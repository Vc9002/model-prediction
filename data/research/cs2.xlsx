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22" headerRowCount="1">
  <autoFilter ref="A1:CS12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COUNTA('Picks'!$A$2:$A$122)</f>
        <v/>
      </c>
      <c r="C4" s="6">
        <f>COUNTIF('Picks'!$U$2:$U$122,"open")</f>
        <v/>
      </c>
      <c r="E4" s="6">
        <f>COUNTIF('Picks'!$U$2:$U$122,"settled")</f>
        <v/>
      </c>
      <c r="G4" s="6">
        <f>IF(COUNTIFS('Picks'!$U$2:$U$122,"settled",'Picks'!$V$2:$V$122,"win")+COUNTIFS('Picks'!$U$2:$U$122,"settled",'Picks'!$V$2:$V$122,"loss")&gt;=$L$2,"Ready","Insufficient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COUNTIF('Picks'!$BX$2:$BX$122,"&gt;0")</f>
        <v/>
      </c>
      <c r="C7" s="6">
        <f>COUNTIFS('Picks'!$BX$2:$BX$122,"&gt;0",'Picks'!$V$2:$V$122,"win")&amp;"-"&amp;COUNTIFS('Picks'!$BX$2:$BX$122,"&gt;0",'Picks'!$V$2:$V$122,"loss")</f>
        <v/>
      </c>
      <c r="E7" s="7">
        <f>IFERROR(COUNTIFS('Picks'!$BX$2:$BX$122,"&gt;0",'Picks'!$V$2:$V$122,"win")/(COUNTIFS('Picks'!$BX$2:$BX$122,"&gt;0",'Picks'!$V$2:$V$122,"win")+COUNTIFS('Picks'!$BX$2:$BX$122,"&gt;0",'Picks'!$V$2:$V$122,"loss")),0)</f>
        <v/>
      </c>
      <c r="G7" s="7">
        <f>IFERROR(SUM('Picks'!$BY$2:$BY$122)/SUM('Picks'!$BX$2:$BX$122),0)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SUM('Picks'!$BY$2:$BY$122)</f>
        <v/>
      </c>
      <c r="C10" s="9">
        <f>IFERROR(AVERAGEIF('Picks'!$AB$2:$AB$122,"&lt;&gt;",'Picks'!$AB$2:$AB$122),0)</f>
        <v/>
      </c>
      <c r="E10" s="6">
        <f>COUNTIFS('Picks'!$AM$2:$AM$122,"QUALIFIED_SHADOW_CALL",'Picks'!$U$2:$U$122,"settled")</f>
        <v/>
      </c>
      <c r="G10" s="8">
        <f>SUMIFS('Picks'!$AC$2:$AC$122,'Picks'!$AM$2:$AM$122,"QUALIFIED_SHADOW_CALL")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COUNTIFS('Picks'!$H$2:$H$122,$A14,'Picks'!$U$2:$U$122,"settled")</f>
        <v/>
      </c>
      <c r="C14" s="13">
        <f>COUNTIFS('Picks'!$H$2:$H$122,$A14,'Picks'!$U$2:$U$122,"settled",'Picks'!$V$2:$V$122,"win")</f>
        <v/>
      </c>
      <c r="D14" s="13">
        <f>COUNTIFS('Picks'!$H$2:$H$122,$A14,'Picks'!$U$2:$U$122,"settled",'Picks'!$V$2:$V$122,"loss")</f>
        <v/>
      </c>
      <c r="E14" s="14">
        <f>IFERROR(C14/(C14+D14),0)</f>
        <v/>
      </c>
      <c r="F14" s="15">
        <f>SUMIFS('Picks'!$BY$2:$BY$122,'Picks'!$H$2:$H$122,$A14)</f>
        <v/>
      </c>
      <c r="G14" s="16">
        <f>IFERROR(AVERAGEIFS('Picks'!$AB$2:$AB$122,'Picks'!$H$2:$H$122,$A14,'Picks'!$U$2:$U$122,"settled"),0)</f>
        <v/>
      </c>
    </row>
    <row r="15">
      <c r="A15" s="17" t="inlineStr">
        <is>
          <t>spread</t>
        </is>
      </c>
      <c r="B15" s="18">
        <f>COUNTIFS('Picks'!$H$2:$H$122,$A15,'Picks'!$U$2:$U$122,"settled")</f>
        <v/>
      </c>
      <c r="C15" s="18">
        <f>COUNTIFS('Picks'!$H$2:$H$122,$A15,'Picks'!$U$2:$U$122,"settled",'Picks'!$V$2:$V$122,"win")</f>
        <v/>
      </c>
      <c r="D15" s="18">
        <f>COUNTIFS('Picks'!$H$2:$H$122,$A15,'Picks'!$U$2:$U$122,"settled",'Picks'!$V$2:$V$122,"loss")</f>
        <v/>
      </c>
      <c r="E15" s="19">
        <f>IFERROR(C15/(C15+D15),0)</f>
        <v/>
      </c>
      <c r="F15" s="20">
        <f>SUMIFS('Picks'!$BY$2:$BY$122,'Picks'!$H$2:$H$122,$A15)</f>
        <v/>
      </c>
      <c r="G15" s="21">
        <f>IFERROR(AVERAGEIFS('Picks'!$AB$2:$AB$122,'Picks'!$H$2:$H$122,$A15,'Picks'!$U$2:$U$122,"settled"),0)</f>
        <v/>
      </c>
    </row>
    <row r="16">
      <c r="A16" s="12" t="inlineStr">
        <is>
          <t>total</t>
        </is>
      </c>
      <c r="B16" s="13">
        <f>COUNTIFS('Picks'!$H$2:$H$122,$A16,'Picks'!$U$2:$U$122,"settled")</f>
        <v/>
      </c>
      <c r="C16" s="13">
        <f>COUNTIFS('Picks'!$H$2:$H$122,$A16,'Picks'!$U$2:$U$122,"settled",'Picks'!$V$2:$V$122,"win")</f>
        <v/>
      </c>
      <c r="D16" s="13">
        <f>COUNTIFS('Picks'!$H$2:$H$122,$A16,'Picks'!$U$2:$U$122,"settled",'Picks'!$V$2:$V$122,"loss")</f>
        <v/>
      </c>
      <c r="E16" s="14">
        <f>IFERROR(C16/(C16+D16),0)</f>
        <v/>
      </c>
      <c r="F16" s="15">
        <f>SUMIFS('Picks'!$BY$2:$BY$122,'Picks'!$H$2:$H$122,$A16)</f>
        <v/>
      </c>
      <c r="G16" s="16">
        <f>IFERROR(AVERAGEIFS('Picks'!$AB$2:$AB$122,'Picks'!$H$2:$H$122,$A16,'Picks'!$U$2:$U$122,"settled"),0)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-150</v>
      </c>
      <c r="AA56" s="28" t="n">
        <v>0.6</v>
      </c>
      <c r="AB56" s="28" t="n">
        <v>0</v>
      </c>
      <c r="AC56" s="30" t="n">
        <v>1</v>
      </c>
      <c r="AD56" s="24" t="inlineStr">
        <is>
          <t>2026-08-05T01:05:49.683001Z</t>
        </is>
      </c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>
        <v>1.666667</v>
      </c>
      <c r="BR56" s="28" t="n">
        <v>0.6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-122</v>
      </c>
      <c r="AA58" s="28" t="n">
        <v>0.55</v>
      </c>
      <c r="AB58" s="28" t="n">
        <v>0.00045</v>
      </c>
      <c r="AC58" s="30" t="n">
        <v>0.8197</v>
      </c>
      <c r="AD58" s="24" t="inlineStr">
        <is>
          <t>2026-08-04T11:57:38.643502Z</t>
        </is>
      </c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>
        <v>1.819672</v>
      </c>
      <c r="BR58" s="28" t="n">
        <v>0.55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-223</v>
      </c>
      <c r="AA59" s="28" t="n">
        <v>0.6899999999999999</v>
      </c>
      <c r="AB59" s="28" t="n">
        <v>-0.000402</v>
      </c>
      <c r="AC59" s="30" t="n">
        <v>-1.25</v>
      </c>
      <c r="AD59" s="24" t="inlineStr">
        <is>
          <t>2026-08-04T11:57:40.271226Z</t>
        </is>
      </c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>
        <v>1.44843</v>
      </c>
      <c r="BR59" s="28" t="n">
        <v>0.6899999999999999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-127</v>
      </c>
      <c r="AA60" s="28" t="n">
        <v>0.5600000000000001</v>
      </c>
      <c r="AB60" s="28" t="n">
        <v>0.000529</v>
      </c>
      <c r="AC60" s="30" t="n">
        <v>0.7874</v>
      </c>
      <c r="AD60" s="24" t="inlineStr">
        <is>
          <t>2026-08-04T14:03:06.444544Z</t>
        </is>
      </c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>
        <v>1.787402</v>
      </c>
      <c r="BR60" s="28" t="n">
        <v>0.5600000000000001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104</v>
      </c>
      <c r="AA61" s="28" t="n">
        <v>0.49</v>
      </c>
      <c r="AB61" s="28" t="n">
        <v>-0.000196</v>
      </c>
      <c r="AC61" s="30" t="n">
        <v>1.04</v>
      </c>
      <c r="AD61" s="24" t="inlineStr">
        <is>
          <t>2026-08-04T14:03:08.153056Z</t>
        </is>
      </c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>
        <v>2.04</v>
      </c>
      <c r="BR61" s="28" t="n">
        <v>0.49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-1</v>
      </c>
      <c r="AD62" s="24" t="inlineStr">
        <is>
          <t>2026-08-04T14:03:09.721402Z</t>
        </is>
      </c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-2</v>
      </c>
      <c r="AD63" s="24" t="inlineStr">
        <is>
          <t>2026-08-04T14:03:11.366824Z</t>
        </is>
      </c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71253e3d5d7f47e2</t>
        </is>
      </c>
      <c r="B64" s="24" t="inlineStr">
        <is>
          <t>2026-08-04T12:02:30.114508Z</t>
        </is>
      </c>
      <c r="C64" s="24" t="inlineStr">
        <is>
          <t>2026-08-04T13:00:00Z</t>
        </is>
      </c>
      <c r="D64" s="24" t="inlineStr">
        <is>
          <t>71280</t>
        </is>
      </c>
      <c r="E64" s="24" t="inlineStr">
        <is>
          <t>CS2</t>
        </is>
      </c>
      <c r="F64" s="24" t="inlineStr">
        <is>
          <t>ex-MANA eSports</t>
        </is>
      </c>
      <c r="G64" s="24" t="inlineStr">
        <is>
          <t>BASEMENT BOYS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0.640787</v>
      </c>
      <c r="P64" s="28" t="n"/>
      <c r="Q64" s="28" t="n">
        <v>-0.02918</v>
      </c>
      <c r="R64" s="26" t="n">
        <v>5</v>
      </c>
      <c r="S64" s="29" t="n">
        <v>1.5</v>
      </c>
      <c r="T64" s="24" t="inlineStr">
        <is>
          <t>cs2-tiered-elo-v5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-203</v>
      </c>
      <c r="AA64" s="28" t="n">
        <v>0.67</v>
      </c>
      <c r="AB64" s="28" t="n">
        <v>3.3e-05</v>
      </c>
      <c r="AC64" s="30" t="n">
        <v>-1.5</v>
      </c>
      <c r="AD64" s="24" t="inlineStr">
        <is>
          <t>2026-08-04T16:48:44.982139Z</t>
        </is>
      </c>
      <c r="AE64" s="31" t="inlineStr">
        <is>
          <t>Neutral Elo baseline; executable ask 0.6700 (market_slug=aec-cs2-bmb-exmana-2026-08-04).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ex-MANA eSports</t>
        </is>
      </c>
      <c r="AQ64" s="24" t="inlineStr">
        <is>
          <t>ex-MANA eSports</t>
        </is>
      </c>
      <c r="AR64" s="24" t="inlineStr">
        <is>
          <t>ex-MANA eSports</t>
        </is>
      </c>
      <c r="AS64" s="24" t="inlineStr">
        <is>
          <t>BASEMENT BOYS</t>
        </is>
      </c>
      <c r="AT64" s="24" t="inlineStr">
        <is>
          <t>BASEMENT BOYS</t>
        </is>
      </c>
      <c r="AU64" s="24" t="inlineStr">
        <is>
          <t>BASEMENT BOYS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c721353818b949592e0d9143f94caccefc04915eac71c58a5983a137fbf32d77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c721353818b949592e0d9143f94caccefc04915eac71c58a5983a137fbf32d77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2026-08-04T12:01:37.143655Z</t>
        </is>
      </c>
      <c r="BI64" s="24" t="inlineStr">
        <is>
          <t>["same_event","same_team_same_day","same_league_same_day"]</t>
        </is>
      </c>
      <c r="BJ64" s="25" t="n"/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>
        <v>1.492611</v>
      </c>
      <c r="BR64" s="28" t="n">
        <v>0.67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04bf6223d1074ca1</t>
        </is>
      </c>
      <c r="B65" s="24" t="inlineStr">
        <is>
          <t>2026-08-04T12:02:30.114508Z</t>
        </is>
      </c>
      <c r="C65" s="24" t="inlineStr">
        <is>
          <t>2026-08-04T13:00:00Z</t>
        </is>
      </c>
      <c r="D65" s="24" t="inlineStr">
        <is>
          <t>71213</t>
        </is>
      </c>
      <c r="E65" s="24" t="inlineStr">
        <is>
          <t>CS2</t>
        </is>
      </c>
      <c r="F65" s="24" t="inlineStr">
        <is>
          <t>Leo Team</t>
        </is>
      </c>
      <c r="G65" s="24" t="inlineStr">
        <is>
          <t>Bushido Wildcats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0.719395</v>
      </c>
      <c r="P65" s="28" t="n"/>
      <c r="Q65" s="28" t="n">
        <v>0.209591</v>
      </c>
      <c r="R65" s="26" t="n">
        <v>100</v>
      </c>
      <c r="S65" s="29" t="n">
        <v>2</v>
      </c>
      <c r="T65" s="24" t="inlineStr">
        <is>
          <t>cs2-tiered-elo-v5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1.9231</v>
      </c>
      <c r="AD65" s="24" t="inlineStr">
        <is>
          <t>2026-08-04T16:48:47.151832Z</t>
        </is>
      </c>
      <c r="AE65" s="31" t="inlineStr">
        <is>
          <t>Neutral Elo baseline; executable ask 0.5100 (market_slug=aec-cs2-bw-leo-2026-08-04).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Leo Team</t>
        </is>
      </c>
      <c r="AQ65" s="24" t="inlineStr">
        <is>
          <t>Leo Team</t>
        </is>
      </c>
      <c r="AR65" s="24" t="inlineStr">
        <is>
          <t>Leo Team</t>
        </is>
      </c>
      <c r="AS65" s="24" t="inlineStr">
        <is>
          <t>Bushido Wildcats</t>
        </is>
      </c>
      <c r="AT65" s="24" t="inlineStr">
        <is>
          <t>Bushido Wildcats</t>
        </is>
      </c>
      <c r="AU65" s="24" t="inlineStr">
        <is>
          <t>Bushido Wildcats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c721353818b949592e0d9143f94caccefc04915eac71c58a5983a137fbf32d77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c721353818b949592e0d9143f94caccefc04915eac71c58a5983a137fbf32d77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2026-08-04T12:01:38.137077Z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/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8bb216674c4240bc</t>
        </is>
      </c>
      <c r="B66" s="24" t="inlineStr">
        <is>
          <t>2026-08-04T12:02:30.114508Z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163</v>
      </c>
      <c r="M66" s="27" t="n">
        <v>2.63</v>
      </c>
      <c r="N66" s="28" t="n">
        <v>0.380228</v>
      </c>
      <c r="O66" s="28" t="n">
        <v>0.526874</v>
      </c>
      <c r="P66" s="28" t="n"/>
      <c r="Q66" s="28" t="n">
        <v>0.146646</v>
      </c>
      <c r="R66" s="26" t="n">
        <v>93</v>
      </c>
      <c r="S66" s="29" t="n">
        <v>1</v>
      </c>
      <c r="T66" s="24" t="inlineStr">
        <is>
          <t>cs2-tiered-elo-v5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163</v>
      </c>
      <c r="AA66" s="28" t="n">
        <v>0.38</v>
      </c>
      <c r="AB66" s="28" t="n">
        <v>-0.000228</v>
      </c>
      <c r="AC66" s="30" t="n">
        <v>-1</v>
      </c>
      <c r="AD66" s="24" t="inlineStr">
        <is>
          <t>2026-08-04T18:03:29.026778Z</t>
        </is>
      </c>
      <c r="AE66" s="31" t="inlineStr">
        <is>
          <t>Neutral Elo baseline; executable ask 0.3800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c721353818b949592e0d9143f94caccefc04915eac71c58a5983a137fbf32d77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c721353818b949592e0d9143f94caccefc04915eac71c58a5983a137fbf32d77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2026-08-04T12:01:39.296037Z</t>
        </is>
      </c>
      <c r="BI66" s="24" t="inlineStr">
        <is>
          <t>["same_event","same_team_same_day","same_league_same_day"]</t>
        </is>
      </c>
      <c r="BJ66" s="25" t="n"/>
      <c r="BK66" s="26" t="n">
        <v>163</v>
      </c>
      <c r="BL66" s="27" t="n">
        <v>2.63</v>
      </c>
      <c r="BM66" s="28" t="n">
        <v>0.380228</v>
      </c>
      <c r="BN66" s="28" t="n"/>
      <c r="BO66" s="28" t="n"/>
      <c r="BP66" s="25" t="n"/>
      <c r="BQ66" s="27" t="n">
        <v>2.63</v>
      </c>
      <c r="BR66" s="28" t="n">
        <v>0.38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96126276e7a74d7e</t>
        </is>
      </c>
      <c r="B67" s="24" t="inlineStr">
        <is>
          <t>2026-08-04T12:02:30.114508Z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0.5179</v>
      </c>
      <c r="P67" s="28" t="n"/>
      <c r="Q67" s="28" t="n">
        <v>-0.101872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-163</v>
      </c>
      <c r="AA67" s="28" t="n">
        <v>0.62</v>
      </c>
      <c r="AB67" s="28" t="n">
        <v>0.000228</v>
      </c>
      <c r="AC67" s="30" t="n">
        <v>-1</v>
      </c>
      <c r="AD67" s="24" t="inlineStr">
        <is>
          <t>2026-08-04T16:48:50.341509Z</t>
        </is>
      </c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c721353818b949592e0d9143f94caccefc04915eac71c58a5983a137fbf32d77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c721353818b949592e0d9143f94caccefc04915eac71c58a5983a137fbf32d77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2026-08-04T12:01:41.460173Z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>
        <v>1.613497</v>
      </c>
      <c r="BR67" s="28" t="n">
        <v>0.62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66b3a1ade0a04bd3</t>
        </is>
      </c>
      <c r="B68" s="24" t="inlineStr">
        <is>
          <t>2026-08-04T12:02:30.114508Z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163</v>
      </c>
      <c r="M68" s="27" t="n">
        <v>2.63</v>
      </c>
      <c r="N68" s="28" t="n">
        <v>0.380228</v>
      </c>
      <c r="O68" s="28" t="n">
        <v>0.509432</v>
      </c>
      <c r="P68" s="28" t="n"/>
      <c r="Q68" s="28" t="n">
        <v>0.129204</v>
      </c>
      <c r="R68" s="26" t="n">
        <v>85</v>
      </c>
      <c r="S68" s="29" t="n">
        <v>1</v>
      </c>
      <c r="T68" s="24" t="inlineStr">
        <is>
          <t>cs2-tiered-elo-v5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163</v>
      </c>
      <c r="AA68" s="28" t="n">
        <v>0.38</v>
      </c>
      <c r="AB68" s="28" t="n">
        <v>-0.000228</v>
      </c>
      <c r="AC68" s="30" t="n">
        <v>-1</v>
      </c>
      <c r="AD68" s="24" t="inlineStr">
        <is>
          <t>2026-08-04T16:48:52.484593Z</t>
        </is>
      </c>
      <c r="AE68" s="31" t="inlineStr">
        <is>
          <t>Neutral Elo baseline; executable ask 0.3800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c721353818b949592e0d9143f94caccefc04915eac71c58a5983a137fbf32d77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c721353818b949592e0d9143f94caccefc04915eac71c58a5983a137fbf32d77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2026-08-04T12:01:42.547114Z</t>
        </is>
      </c>
      <c r="BI68" s="24" t="inlineStr">
        <is>
          <t>["same_event","same_team_same_day","same_league_same_day"]</t>
        </is>
      </c>
      <c r="BJ68" s="25" t="n"/>
      <c r="BK68" s="26" t="n">
        <v>163</v>
      </c>
      <c r="BL68" s="27" t="n">
        <v>2.63</v>
      </c>
      <c r="BM68" s="28" t="n">
        <v>0.380228</v>
      </c>
      <c r="BN68" s="28" t="n"/>
      <c r="BO68" s="28" t="n"/>
      <c r="BP68" s="25" t="n"/>
      <c r="BQ68" s="27" t="n">
        <v>2.63</v>
      </c>
      <c r="BR68" s="28" t="n">
        <v>0.38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6d604382a0a344f2</t>
        </is>
      </c>
      <c r="B69" s="24" t="inlineStr">
        <is>
          <t>2026-08-04T12:02:30.114508Z</t>
        </is>
      </c>
      <c r="C69" s="24" t="inlineStr">
        <is>
          <t>2026-08-04T14:00:00Z</t>
        </is>
      </c>
      <c r="D69" s="24" t="inlineStr">
        <is>
          <t>71318</t>
        </is>
      </c>
      <c r="E69" s="24" t="inlineStr">
        <is>
          <t>CS2</t>
        </is>
      </c>
      <c r="F69" s="24" t="inlineStr">
        <is>
          <t>9INE</t>
        </is>
      </c>
      <c r="G69" s="24" t="inlineStr">
        <is>
          <t>Liquid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-233</v>
      </c>
      <c r="M69" s="27" t="n">
        <v>1.429185</v>
      </c>
      <c r="N69" s="28" t="n">
        <v>0.6997</v>
      </c>
      <c r="O69" s="28" t="n">
        <v>0.689352</v>
      </c>
      <c r="P69" s="28" t="n"/>
      <c r="Q69" s="28" t="n">
        <v>-0.010348</v>
      </c>
      <c r="R69" s="26" t="n">
        <v>15</v>
      </c>
      <c r="S69" s="29" t="n">
        <v>2</v>
      </c>
      <c r="T69" s="24" t="inlineStr">
        <is>
          <t>cs2-tiered-elo-v5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-233</v>
      </c>
      <c r="AA69" s="28" t="n">
        <v>0.7</v>
      </c>
      <c r="AB69" s="28" t="n">
        <v>0.0003</v>
      </c>
      <c r="AC69" s="30" t="n">
        <v>0.8584000000000001</v>
      </c>
      <c r="AD69" s="24" t="inlineStr">
        <is>
          <t>2026-08-04T16:48:54.777298Z</t>
        </is>
      </c>
      <c r="AE69" s="31" t="inlineStr">
        <is>
          <t>Neutral Elo baseline; executable ask 0.7000 (market_slug=aec-cs2-tl-9ine-2026-08-04).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9INE</t>
        </is>
      </c>
      <c r="AQ69" s="24" t="inlineStr">
        <is>
          <t>9INE</t>
        </is>
      </c>
      <c r="AR69" s="24" t="inlineStr">
        <is>
          <t>9INE</t>
        </is>
      </c>
      <c r="AS69" s="24" t="inlineStr">
        <is>
          <t>Liquid</t>
        </is>
      </c>
      <c r="AT69" s="24" t="inlineStr">
        <is>
          <t>Liquid</t>
        </is>
      </c>
      <c r="AU69" s="24" t="inlineStr">
        <is>
          <t>Liquid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c721353818b949592e0d9143f94caccefc04915eac71c58a5983a137fbf32d77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c721353818b949592e0d9143f94caccefc04915eac71c58a5983a137fbf32d77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2026-08-04T12:01:43.680044Z</t>
        </is>
      </c>
      <c r="BI69" s="24" t="inlineStr">
        <is>
          <t>["same_event","same_team_same_day","same_league_same_day"]</t>
        </is>
      </c>
      <c r="BJ69" s="25" t="n"/>
      <c r="BK69" s="26" t="n">
        <v>-233</v>
      </c>
      <c r="BL69" s="27" t="n">
        <v>1.429185</v>
      </c>
      <c r="BM69" s="28" t="n">
        <v>0.6997</v>
      </c>
      <c r="BN69" s="28" t="n"/>
      <c r="BO69" s="28" t="n"/>
      <c r="BP69" s="25" t="n"/>
      <c r="BQ69" s="27" t="n">
        <v>1.429185</v>
      </c>
      <c r="BR69" s="28" t="n">
        <v>0.7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4b897465742b45d6</t>
        </is>
      </c>
      <c r="B70" s="24" t="inlineStr">
        <is>
          <t>2026-08-04T15:04:43.651004Z</t>
        </is>
      </c>
      <c r="C70" s="24" t="inlineStr">
        <is>
          <t>2026-08-04T16:30:00Z</t>
        </is>
      </c>
      <c r="D70" s="24" t="inlineStr">
        <is>
          <t>68563</t>
        </is>
      </c>
      <c r="E70" s="24" t="inlineStr">
        <is>
          <t>CS2</t>
        </is>
      </c>
      <c r="F70" s="24" t="inlineStr">
        <is>
          <t>Recrent Club</t>
        </is>
      </c>
      <c r="G70" s="24" t="inlineStr">
        <is>
          <t>Buster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0.5267269999999999</v>
      </c>
      <c r="P70" s="28" t="n"/>
      <c r="Q70" s="28" t="n">
        <v>-0.044088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2026-08-04T18:03:30.717665Z</t>
        </is>
      </c>
      <c r="AE70" s="31" t="inlineStr">
        <is>
          <t>Neutral Elo baseline; executable ask 0.5700 (market_slug=aec-cs2-bcu-rce-2026-08-04).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Recrent Club</t>
        </is>
      </c>
      <c r="AQ70" s="24" t="inlineStr">
        <is>
          <t>Recrent Club</t>
        </is>
      </c>
      <c r="AR70" s="24" t="inlineStr">
        <is>
          <t>Recrent Club</t>
        </is>
      </c>
      <c r="AS70" s="24" t="inlineStr">
        <is>
          <t>Buster Club</t>
        </is>
      </c>
      <c r="AT70" s="24" t="inlineStr">
        <is>
          <t>Buster Club</t>
        </is>
      </c>
      <c r="AU70" s="24" t="inlineStr">
        <is>
          <t>Buster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9cd22a347ddd07dcb14d465784988076b2f99aac119d8a8534a3e5b7ebfc248f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9cd22a347ddd07dcb14d465784988076b2f99aac119d8a8534a3e5b7ebfc248f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2026-08-04T15:04:18.275261Z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2c3c38e1f7174d22</t>
        </is>
      </c>
      <c r="B71" s="24" t="inlineStr">
        <is>
          <t>2026-08-04T15:04:43.651004Z</t>
        </is>
      </c>
      <c r="C71" s="24" t="inlineStr">
        <is>
          <t>2026-08-04T16:30:00Z</t>
        </is>
      </c>
      <c r="D71" s="24" t="inlineStr">
        <is>
          <t>68562</t>
        </is>
      </c>
      <c r="E71" s="24" t="inlineStr">
        <is>
          <t>CS2</t>
        </is>
      </c>
      <c r="F71" s="24" t="inlineStr">
        <is>
          <t>WorldEdit Club</t>
        </is>
      </c>
      <c r="G71" s="24" t="inlineStr">
        <is>
          <t>shoke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0.5267269999999999</v>
      </c>
      <c r="P71" s="28" t="n"/>
      <c r="Q71" s="28" t="n">
        <v>-0.102903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-1</v>
      </c>
      <c r="AD71" s="24" t="inlineStr">
        <is>
          <t>2026-08-04T21:59:11.430591Z</t>
        </is>
      </c>
      <c r="AE71" s="31" t="inlineStr">
        <is>
          <t>Neutral Elo baseline; executable ask 0.6300 (market_slug=aec-cs2-sch-wco-2026-08-04).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WorldEdit Club</t>
        </is>
      </c>
      <c r="AQ71" s="24" t="inlineStr">
        <is>
          <t>WorldEdit Club</t>
        </is>
      </c>
      <c r="AR71" s="24" t="inlineStr">
        <is>
          <t>WorldEdit Club</t>
        </is>
      </c>
      <c r="AS71" s="24" t="inlineStr">
        <is>
          <t>shoke Club</t>
        </is>
      </c>
      <c r="AT71" s="24" t="inlineStr">
        <is>
          <t>shoke Club</t>
        </is>
      </c>
      <c r="AU71" s="24" t="inlineStr">
        <is>
          <t>shoke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9cd22a347ddd07dcb14d465784988076b2f99aac119d8a8534a3e5b7ebfc248f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9cd22a347ddd07dcb14d465784988076b2f99aac119d8a8534a3e5b7ebfc248f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2026-08-04T15:04:18.898041Z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a0b6032aac0c414d</t>
        </is>
      </c>
      <c r="B72" s="24" t="inlineStr">
        <is>
          <t>2026-08-04T16:54:42.280324Z</t>
        </is>
      </c>
      <c r="C72" s="24" t="inlineStr">
        <is>
          <t>2026-08-04T17:00:00Z</t>
        </is>
      </c>
      <c r="D72" s="24" t="inlineStr">
        <is>
          <t>71337</t>
        </is>
      </c>
      <c r="E72" s="24" t="inlineStr">
        <is>
          <t>CS2</t>
        </is>
      </c>
      <c r="F72" s="24" t="inlineStr">
        <is>
          <t>A Great Chaos</t>
        </is>
      </c>
      <c r="G72" s="24" t="inlineStr">
        <is>
          <t>Fortress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-127</v>
      </c>
      <c r="M72" s="27" t="n">
        <v>1.787402</v>
      </c>
      <c r="N72" s="28" t="n">
        <v>0.5594710000000001</v>
      </c>
      <c r="O72" s="28" t="n">
        <v>0.580391</v>
      </c>
      <c r="P72" s="28" t="n"/>
      <c r="Q72" s="28" t="n">
        <v>0.02092</v>
      </c>
      <c r="R72" s="26" t="n">
        <v>30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-127</v>
      </c>
      <c r="AA72" s="28" t="n">
        <v>0.5600000000000001</v>
      </c>
      <c r="AB72" s="28" t="n">
        <v>0.000529</v>
      </c>
      <c r="AC72" s="30" t="n">
        <v>0.9843</v>
      </c>
      <c r="AD72" s="24" t="inlineStr">
        <is>
          <t>2026-08-04T18:03:37.491780Z</t>
        </is>
      </c>
      <c r="AE72" s="31" t="inlineStr">
        <is>
          <t>Neutral Elo baseline; executable ask 0.5600 (market_slug=aec-cs2-for-agc-2026-08-04).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A Great Chaos</t>
        </is>
      </c>
      <c r="AQ72" s="24" t="inlineStr">
        <is>
          <t>A Great Chaos</t>
        </is>
      </c>
      <c r="AR72" s="24" t="inlineStr">
        <is>
          <t>A Great Chaos</t>
        </is>
      </c>
      <c r="AS72" s="24" t="inlineStr">
        <is>
          <t>Fortress</t>
        </is>
      </c>
      <c r="AT72" s="24" t="inlineStr">
        <is>
          <t>Fortress</t>
        </is>
      </c>
      <c r="AU72" s="24" t="inlineStr">
        <is>
          <t>Fortress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87e73f3e8c33751dbc7005b4404d0ee0ac9b9f8c3869a8f2e7fbc367004c2f64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87e73f3e8c33751dbc7005b4404d0ee0ac9b9f8c3869a8f2e7fbc367004c2f64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2026-08-04T16:54:14.340644Z</t>
        </is>
      </c>
      <c r="BI72" s="24" t="inlineStr">
        <is>
          <t>["same_event","same_team_same_day","same_league_same_day"]</t>
        </is>
      </c>
      <c r="BJ72" s="25" t="n"/>
      <c r="BK72" s="26" t="n">
        <v>-127</v>
      </c>
      <c r="BL72" s="27" t="n">
        <v>1.787402</v>
      </c>
      <c r="BM72" s="28" t="n">
        <v>0.5594710000000001</v>
      </c>
      <c r="BN72" s="28" t="n"/>
      <c r="BO72" s="28" t="n"/>
      <c r="BP72" s="25" t="n"/>
      <c r="BQ72" s="27" t="n">
        <v>1.787402</v>
      </c>
      <c r="BR72" s="28" t="n">
        <v>0.5600000000000001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fa321ee4546f45ee</t>
        </is>
      </c>
      <c r="B73" s="24" t="inlineStr">
        <is>
          <t>2026-08-04T16:54:42.280324Z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0.507786</v>
      </c>
      <c r="P73" s="28" t="n"/>
      <c r="Q73" s="28" t="n">
        <v>-0.072046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-1</v>
      </c>
      <c r="AD73" s="24" t="inlineStr">
        <is>
          <t>2026-08-04T21:59:13.108354Z</t>
        </is>
      </c>
      <c r="AE73" s="31" t="inlineStr">
        <is>
          <t>Neutral Elo baseline; executable ask 0.5800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87e73f3e8c33751dbc7005b4404d0ee0ac9b9f8c3869a8f2e7fbc367004c2f64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87e73f3e8c33751dbc7005b4404d0ee0ac9b9f8c3869a8f2e7fbc367004c2f64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2026-08-04T16:54:14.852628Z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</row>
    <row r="74" ht="36" customHeight="1">
      <c r="A74" s="24" t="inlineStr">
        <is>
          <t>528ccc28a02b428d</t>
        </is>
      </c>
      <c r="B74" s="24" t="inlineStr">
        <is>
          <t>2026-08-04T16:54:42.280324Z</t>
        </is>
      </c>
      <c r="C74" s="24" t="inlineStr">
        <is>
          <t>2026-08-04T17:00:00Z</t>
        </is>
      </c>
      <c r="D74" s="24" t="inlineStr">
        <is>
          <t>68565</t>
        </is>
      </c>
      <c r="E74" s="24" t="inlineStr">
        <is>
          <t>CS2</t>
        </is>
      </c>
      <c r="F74" s="24" t="inlineStr">
        <is>
          <t>ALKA GAMING</t>
        </is>
      </c>
      <c r="G74" s="24" t="inlineStr">
        <is>
          <t>UNO MILLE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0.576068</v>
      </c>
      <c r="P74" s="28" t="n"/>
      <c r="Q74" s="28" t="n">
        <v>-0.104443</v>
      </c>
      <c r="R74" s="26" t="n">
        <v>0</v>
      </c>
      <c r="S74" s="29" t="n">
        <v>1.25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-213</v>
      </c>
      <c r="AA74" s="28" t="n">
        <v>0.68</v>
      </c>
      <c r="AB74" s="28" t="n">
        <v>-0.000511</v>
      </c>
      <c r="AC74" s="30" t="n">
        <v>-1.25</v>
      </c>
      <c r="AD74" s="24" t="inlineStr">
        <is>
          <t>2026-08-04T21:59:14.754042Z</t>
        </is>
      </c>
      <c r="AE74" s="31" t="inlineStr">
        <is>
          <t>Neutral Elo baseline; executable ask 0.6800 (market_slug=aec-cs2-uno-alka-2026-08-04).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ALKA GAMING</t>
        </is>
      </c>
      <c r="AQ74" s="24" t="inlineStr">
        <is>
          <t>ALKA GAMING</t>
        </is>
      </c>
      <c r="AR74" s="24" t="inlineStr">
        <is>
          <t>ALKA GAMING</t>
        </is>
      </c>
      <c r="AS74" s="24" t="inlineStr">
        <is>
          <t>UNO MILLE</t>
        </is>
      </c>
      <c r="AT74" s="24" t="inlineStr">
        <is>
          <t>UNO MILLE</t>
        </is>
      </c>
      <c r="AU74" s="24" t="inlineStr">
        <is>
          <t>UNO MILLE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87e73f3e8c33751dbc7005b4404d0ee0ac9b9f8c3869a8f2e7fbc367004c2f64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87e73f3e8c33751dbc7005b4404d0ee0ac9b9f8c3869a8f2e7fbc367004c2f64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2026-08-04T16:54:15.572827Z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>
        <v>1.469484</v>
      </c>
      <c r="BR74" s="28" t="n">
        <v>0.68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</row>
    <row r="75" ht="36" customHeight="1">
      <c r="A75" s="24" t="inlineStr">
        <is>
          <t>6837fadd84c14557</t>
        </is>
      </c>
      <c r="B75" s="24" t="inlineStr">
        <is>
          <t>2026-08-04T16:54:42.280324Z</t>
        </is>
      </c>
      <c r="C75" s="24" t="inlineStr">
        <is>
          <t>2026-08-04T17:00:00Z</t>
        </is>
      </c>
      <c r="D75" s="24" t="inlineStr">
        <is>
          <t>71321</t>
        </is>
      </c>
      <c r="E75" s="24" t="inlineStr">
        <is>
          <t>CS2</t>
        </is>
      </c>
      <c r="F75" s="24" t="inlineStr">
        <is>
          <t>ex-Young Ninjas</t>
        </is>
      </c>
      <c r="G75" s="24" t="inlineStr">
        <is>
          <t>UNiTY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0.5041060000000001</v>
      </c>
      <c r="P75" s="28" t="n"/>
      <c r="Q75" s="28" t="n">
        <v>0.004106</v>
      </c>
      <c r="R75" s="26" t="n">
        <v>22</v>
      </c>
      <c r="S75" s="29" t="n">
        <v>1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100</v>
      </c>
      <c r="AA75" s="28" t="n">
        <v>0.5</v>
      </c>
      <c r="AB75" s="28" t="n">
        <v>0</v>
      </c>
      <c r="AC75" s="30" t="n">
        <v>-1</v>
      </c>
      <c r="AD75" s="24" t="inlineStr">
        <is>
          <t>2026-08-04T21:59:16.356884Z</t>
        </is>
      </c>
      <c r="AE75" s="31" t="inlineStr">
        <is>
          <t>Neutral Elo baseline; executable ask 0.5000 (market_slug=aec-cs2-unity-eyn-2026-08-04).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ex-Young Ninjas</t>
        </is>
      </c>
      <c r="AQ75" s="24" t="inlineStr">
        <is>
          <t>ex-Young Ninjas</t>
        </is>
      </c>
      <c r="AR75" s="24" t="inlineStr">
        <is>
          <t>ex-Young Ninjas</t>
        </is>
      </c>
      <c r="AS75" s="24" t="inlineStr">
        <is>
          <t>UNiTY esports</t>
        </is>
      </c>
      <c r="AT75" s="24" t="inlineStr">
        <is>
          <t>UNiTY esports</t>
        </is>
      </c>
      <c r="AU75" s="24" t="inlineStr">
        <is>
          <t>UNiTY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87e73f3e8c33751dbc7005b4404d0ee0ac9b9f8c3869a8f2e7fbc367004c2f64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87e73f3e8c33751dbc7005b4404d0ee0ac9b9f8c3869a8f2e7fbc367004c2f64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2026-08-04T16:54:18.104504Z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>
        <v>2</v>
      </c>
      <c r="BR75" s="28" t="n">
        <v>0.5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c3931abfbab2458e</t>
        </is>
      </c>
      <c r="B76" s="24" t="inlineStr">
        <is>
          <t>2026-08-04T16:54:42.280324Z</t>
        </is>
      </c>
      <c r="C76" s="24" t="inlineStr">
        <is>
          <t>2026-08-04T17:15:00Z</t>
        </is>
      </c>
      <c r="D76" s="24" t="inlineStr">
        <is>
          <t>71339</t>
        </is>
      </c>
      <c r="E76" s="24" t="inlineStr">
        <is>
          <t>CS2</t>
        </is>
      </c>
      <c r="F76" s="24" t="inlineStr">
        <is>
          <t>OLDBOYS PL</t>
        </is>
      </c>
      <c r="G76" s="24" t="inlineStr">
        <is>
          <t>XI Esport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0.6610549999999999</v>
      </c>
      <c r="P76" s="28" t="n"/>
      <c r="Q76" s="28" t="n">
        <v>-0.008912</v>
      </c>
      <c r="R76" s="26" t="n">
        <v>16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0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0.8621</v>
      </c>
      <c r="AD76" s="24" t="inlineStr">
        <is>
          <t>2026-08-04T21:59:17.977068Z</t>
        </is>
      </c>
      <c r="AE76" s="31" t="inlineStr">
        <is>
          <t>Neutral Elo baseline; executable ask 0.6700 (market_slug=aec-cs2-xi-oldboyspl-2026-08-04).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OLDBOYS PL</t>
        </is>
      </c>
      <c r="AQ76" s="24" t="inlineStr">
        <is>
          <t>OLDBOYS PL</t>
        </is>
      </c>
      <c r="AR76" s="24" t="inlineStr">
        <is>
          <t>OLDBOYS PL</t>
        </is>
      </c>
      <c r="AS76" s="24" t="inlineStr">
        <is>
          <t>XI Esport</t>
        </is>
      </c>
      <c r="AT76" s="24" t="inlineStr">
        <is>
          <t>XI Esport</t>
        </is>
      </c>
      <c r="AU76" s="24" t="inlineStr">
        <is>
          <t>XI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87e73f3e8c33751dbc7005b4404d0ee0ac9b9f8c3869a8f2e7fbc367004c2f64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87e73f3e8c33751dbc7005b4404d0ee0ac9b9f8c3869a8f2e7fbc367004c2f64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2026-08-04T16:54:18.673032Z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</row>
    <row r="77" ht="36" customHeight="1">
      <c r="A77" s="24" t="inlineStr">
        <is>
          <t>391552ba11844f69</t>
        </is>
      </c>
      <c r="B77" s="24" t="inlineStr">
        <is>
          <t>2026-08-04T18:08:37.067138Z</t>
        </is>
      </c>
      <c r="C77" s="24" t="inlineStr">
        <is>
          <t>2026-08-04T18:30:00Z</t>
        </is>
      </c>
      <c r="D77" s="24" t="inlineStr">
        <is>
          <t>71341</t>
        </is>
      </c>
      <c r="E77" s="24" t="inlineStr">
        <is>
          <t>CS2</t>
        </is>
      </c>
      <c r="F77" s="24" t="inlineStr">
        <is>
          <t>mellren</t>
        </is>
      </c>
      <c r="G77" s="24" t="inlineStr">
        <is>
          <t>uust _esports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0.501063</v>
      </c>
      <c r="P77" s="28" t="n"/>
      <c r="Q77" s="28" t="n">
        <v>0.001063</v>
      </c>
      <c r="R77" s="26" t="n">
        <v>21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100</v>
      </c>
      <c r="AA77" s="28" t="n">
        <v>0.5</v>
      </c>
      <c r="AB77" s="28" t="n">
        <v>0</v>
      </c>
      <c r="AC77" s="30" t="n">
        <v>1</v>
      </c>
      <c r="AD77" s="24" t="inlineStr">
        <is>
          <t>2026-08-05T01:05:52.538542Z</t>
        </is>
      </c>
      <c r="AE77" s="31" t="inlineStr">
        <is>
          <t>Neutral Elo baseline; executable ask 0.5000 (market_slug=aec-cs2-uust-mel-2026-08-04).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mellren</t>
        </is>
      </c>
      <c r="AQ77" s="24" t="inlineStr">
        <is>
          <t>mellren</t>
        </is>
      </c>
      <c r="AR77" s="24" t="inlineStr">
        <is>
          <t>mellren</t>
        </is>
      </c>
      <c r="AS77" s="24" t="inlineStr">
        <is>
          <t>uust _esports</t>
        </is>
      </c>
      <c r="AT77" s="24" t="inlineStr">
        <is>
          <t>uust _esports</t>
        </is>
      </c>
      <c r="AU77" s="24" t="inlineStr">
        <is>
          <t>uust _esports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3d3dc6a4f0641cb9aa015aaf4ccd2f260230dfea2e1b613f3ccdb860b2230f3e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3d3dc6a4f0641cb9aa015aaf4ccd2f260230dfea2e1b613f3ccdb860b2230f3e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2026-08-04T18:08:10.725061Z</t>
        </is>
      </c>
      <c r="BI77" s="24" t="inlineStr">
        <is>
          <t>["same_event","same_team_same_day","same_league_same_day"]</t>
        </is>
      </c>
      <c r="BJ77" s="25" t="n"/>
      <c r="BK77" s="26" t="n">
        <v>100</v>
      </c>
      <c r="BL77" s="27" t="n">
        <v>2</v>
      </c>
      <c r="BM77" s="28" t="n">
        <v>0.5</v>
      </c>
      <c r="BN77" s="28" t="n"/>
      <c r="BO77" s="28" t="n"/>
      <c r="BP77" s="25" t="n"/>
      <c r="BQ77" s="27" t="n">
        <v>2</v>
      </c>
      <c r="BR77" s="28" t="n">
        <v>0.5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8dbd912020ee4c2d</t>
        </is>
      </c>
      <c r="B78" s="24" t="inlineStr">
        <is>
          <t>2026-08-04T18:08:37.067138Z</t>
        </is>
      </c>
      <c r="C78" s="24" t="inlineStr">
        <is>
          <t>2026-08-04T18:30:00Z</t>
        </is>
      </c>
      <c r="D78" s="24" t="inlineStr">
        <is>
          <t>70533</t>
        </is>
      </c>
      <c r="E78" s="24" t="inlineStr">
        <is>
          <t>CS2</t>
        </is>
      </c>
      <c r="F78" s="24" t="inlineStr">
        <is>
          <t>Rush</t>
        </is>
      </c>
      <c r="G78" s="24" t="inlineStr">
        <is>
          <t>Grêmio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-178</v>
      </c>
      <c r="M78" s="27" t="n">
        <v>1.561798</v>
      </c>
      <c r="N78" s="28" t="n">
        <v>0.640288</v>
      </c>
      <c r="O78" s="28" t="n">
        <v>0.50231</v>
      </c>
      <c r="P78" s="28" t="n"/>
      <c r="Q78" s="28" t="n">
        <v>-0.137978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-178</v>
      </c>
      <c r="AA78" s="28" t="n">
        <v>0.64</v>
      </c>
      <c r="AB78" s="28" t="n">
        <v>-0.000288</v>
      </c>
      <c r="AC78" s="30" t="n">
        <v>0.5618</v>
      </c>
      <c r="AD78" s="24" t="inlineStr">
        <is>
          <t>2026-08-04T21:59:20.625187Z</t>
        </is>
      </c>
      <c r="AE78" s="31" t="inlineStr">
        <is>
          <t>Neutral Elo baseline; executable ask 0.6400 (market_slug=aec-cs2-ger-rush-2026-08-04).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Rush</t>
        </is>
      </c>
      <c r="AQ78" s="24" t="inlineStr">
        <is>
          <t>Rush</t>
        </is>
      </c>
      <c r="AR78" s="24" t="inlineStr">
        <is>
          <t>Rush</t>
        </is>
      </c>
      <c r="AS78" s="24" t="inlineStr">
        <is>
          <t>Grêmio Esports</t>
        </is>
      </c>
      <c r="AT78" s="24" t="inlineStr">
        <is>
          <t>Grêmio Esports</t>
        </is>
      </c>
      <c r="AU78" s="24" t="inlineStr">
        <is>
          <t>Grêmio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3d3dc6a4f0641cb9aa015aaf4ccd2f260230dfea2e1b613f3ccdb860b2230f3e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3d3dc6a4f0641cb9aa015aaf4ccd2f260230dfea2e1b613f3ccdb860b2230f3e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2026-08-04T18:08:11.509479Z</t>
        </is>
      </c>
      <c r="BI78" s="24" t="inlineStr">
        <is>
          <t>["same_event","same_team_same_day","same_league_same_day"]</t>
        </is>
      </c>
      <c r="BJ78" s="25" t="n"/>
      <c r="BK78" s="26" t="n">
        <v>-178</v>
      </c>
      <c r="BL78" s="27" t="n">
        <v>1.561798</v>
      </c>
      <c r="BM78" s="28" t="n">
        <v>0.640288</v>
      </c>
      <c r="BN78" s="28" t="n"/>
      <c r="BO78" s="28" t="n"/>
      <c r="BP78" s="25" t="n"/>
      <c r="BQ78" s="27" t="n">
        <v>1.561798</v>
      </c>
      <c r="BR78" s="28" t="n">
        <v>0.64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ea16728e5d3b451a</t>
        </is>
      </c>
      <c r="B79" s="24" t="inlineStr">
        <is>
          <t>2026-08-04T18:08:37.067138Z</t>
        </is>
      </c>
      <c r="C79" s="24" t="inlineStr">
        <is>
          <t>2026-08-04T18:30:00Z</t>
        </is>
      </c>
      <c r="D79" s="24" t="inlineStr">
        <is>
          <t>71391</t>
        </is>
      </c>
      <c r="E79" s="24" t="inlineStr">
        <is>
          <t>CS2</t>
        </is>
      </c>
      <c r="F79" s="24" t="inlineStr">
        <is>
          <t>A Great Chaos</t>
        </is>
      </c>
      <c r="G79" s="24" t="inlineStr">
        <is>
          <t>FAST LAYNERS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0.633669</v>
      </c>
      <c r="P79" s="28" t="n"/>
      <c r="Q79" s="28" t="n">
        <v>0.074198</v>
      </c>
      <c r="R79" s="26" t="n">
        <v>57</v>
      </c>
      <c r="S79" s="29" t="n">
        <v>1.5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-127</v>
      </c>
      <c r="AA79" s="28" t="n">
        <v>0.5600000000000001</v>
      </c>
      <c r="AB79" s="28" t="n">
        <v>0.000529</v>
      </c>
      <c r="AC79" s="30" t="n">
        <v>-1.5</v>
      </c>
      <c r="AD79" s="24" t="inlineStr">
        <is>
          <t>2026-08-04T21:59:22.259337Z</t>
        </is>
      </c>
      <c r="AE79" s="31" t="inlineStr">
        <is>
          <t>Neutral Elo baseline; executable ask 0.5600 (market_slug=aec-cs2-fla-agc-2026-08-04).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 Great Chaos</t>
        </is>
      </c>
      <c r="AQ79" s="24" t="inlineStr">
        <is>
          <t>A Great Chaos</t>
        </is>
      </c>
      <c r="AR79" s="24" t="inlineStr">
        <is>
          <t>A Great Chaos</t>
        </is>
      </c>
      <c r="AS79" s="24" t="inlineStr">
        <is>
          <t>FAST LAYNERS</t>
        </is>
      </c>
      <c r="AT79" s="24" t="inlineStr">
        <is>
          <t>FAST LAYNERS</t>
        </is>
      </c>
      <c r="AU79" s="24" t="inlineStr">
        <is>
          <t>FAST LAYNERS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3d3dc6a4f0641cb9aa015aaf4ccd2f260230dfea2e1b613f3ccdb860b2230f3e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3d3dc6a4f0641cb9aa015aaf4ccd2f260230dfea2e1b613f3ccdb860b2230f3e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2026-08-04T18:08:12.712388Z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>
        <v>1.787402</v>
      </c>
      <c r="BR79" s="28" t="n">
        <v>0.5600000000000001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6e8452c1f14141a4</t>
        </is>
      </c>
      <c r="B80" s="24" t="inlineStr">
        <is>
          <t>2026-08-04T18:08:37.067138Z</t>
        </is>
      </c>
      <c r="C80" s="24" t="inlineStr">
        <is>
          <t>2026-08-04T18:30:00Z</t>
        </is>
      </c>
      <c r="D80" s="24" t="inlineStr">
        <is>
          <t>71390</t>
        </is>
      </c>
      <c r="E80" s="24" t="inlineStr">
        <is>
          <t>CS2</t>
        </is>
      </c>
      <c r="F80" s="24" t="inlineStr">
        <is>
          <t>Subtop De France</t>
        </is>
      </c>
      <c r="G80" s="24" t="inlineStr">
        <is>
          <t>Glitchtech Esports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-156</v>
      </c>
      <c r="M80" s="27" t="n">
        <v>1.641026</v>
      </c>
      <c r="N80" s="28" t="n">
        <v>0.609375</v>
      </c>
      <c r="O80" s="28" t="n">
        <v>0.6049600000000001</v>
      </c>
      <c r="P80" s="28" t="n"/>
      <c r="Q80" s="28" t="n">
        <v>-0.004415</v>
      </c>
      <c r="R80" s="26" t="n">
        <v>18</v>
      </c>
      <c r="S80" s="29" t="n">
        <v>1.25</v>
      </c>
      <c r="T80" s="24" t="inlineStr">
        <is>
          <t>cs2-tiered-elo-v6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Neutral Elo baseline; executable ask 0.6100 (market_slug=aec-cs2-gel-sdf-2026-08-04).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Subtop De France</t>
        </is>
      </c>
      <c r="AQ80" s="24" t="inlineStr">
        <is>
          <t>Subtop De France</t>
        </is>
      </c>
      <c r="AR80" s="24" t="inlineStr">
        <is>
          <t>Subtop De France</t>
        </is>
      </c>
      <c r="AS80" s="24" t="inlineStr">
        <is>
          <t>Glitchtech Esports</t>
        </is>
      </c>
      <c r="AT80" s="24" t="inlineStr">
        <is>
          <t>Glitchtech Esports</t>
        </is>
      </c>
      <c r="AU80" s="24" t="inlineStr">
        <is>
          <t>Glitchtech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3d3dc6a4f0641cb9aa015aaf4ccd2f260230dfea2e1b613f3ccdb860b2230f3e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3d3dc6a4f0641cb9aa015aaf4ccd2f260230dfea2e1b613f3ccdb860b2230f3e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2026-08-04T18:08:13.464831Z</t>
        </is>
      </c>
      <c r="BI80" s="24" t="inlineStr">
        <is>
          <t>["same_event","same_team_same_day","same_league_same_day"]</t>
        </is>
      </c>
      <c r="BJ80" s="25" t="n"/>
      <c r="BK80" s="26" t="n">
        <v>-156</v>
      </c>
      <c r="BL80" s="27" t="n">
        <v>1.641026</v>
      </c>
      <c r="BM80" s="28" t="n">
        <v>0.609375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10ccf018a82d4dee</t>
        </is>
      </c>
      <c r="B81" s="24" t="inlineStr">
        <is>
          <t>2026-08-04T18:08:37.067138Z</t>
        </is>
      </c>
      <c r="C81" s="24" t="inlineStr">
        <is>
          <t>2026-08-04T18:30:00Z</t>
        </is>
      </c>
      <c r="D81" s="24" t="inlineStr">
        <is>
          <t>71389</t>
        </is>
      </c>
      <c r="E81" s="24" t="inlineStr">
        <is>
          <t>CS2</t>
        </is>
      </c>
      <c r="F81" s="24" t="inlineStr">
        <is>
          <t>Banger Gang</t>
        </is>
      </c>
      <c r="G81" s="24" t="inlineStr">
        <is>
          <t>Arch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-104</v>
      </c>
      <c r="M81" s="27" t="n">
        <v>1.961538</v>
      </c>
      <c r="N81" s="28" t="n">
        <v>0.509804</v>
      </c>
      <c r="O81" s="28" t="n">
        <v>0.684275</v>
      </c>
      <c r="P81" s="28" t="n"/>
      <c r="Q81" s="28" t="n">
        <v>0.174471</v>
      </c>
      <c r="R81" s="26" t="n">
        <v>100</v>
      </c>
      <c r="S81" s="29" t="n">
        <v>2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0.000196</v>
      </c>
      <c r="AC81" s="30" t="n">
        <v>-2</v>
      </c>
      <c r="AD81" s="24" t="inlineStr">
        <is>
          <t>2026-08-05T01:05:56.928096Z</t>
        </is>
      </c>
      <c r="AE81" s="31" t="inlineStr">
        <is>
          <t>Neutral Elo baseline; executable ask 0.5100 (market_slug=aec-cs2-arch-bg-2026-08-04).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Banger Gang</t>
        </is>
      </c>
      <c r="AQ81" s="24" t="inlineStr">
        <is>
          <t>Banger Gang</t>
        </is>
      </c>
      <c r="AR81" s="24" t="inlineStr">
        <is>
          <t>Banger Gang</t>
        </is>
      </c>
      <c r="AS81" s="24" t="inlineStr">
        <is>
          <t>Arch</t>
        </is>
      </c>
      <c r="AT81" s="24" t="inlineStr">
        <is>
          <t>Arch</t>
        </is>
      </c>
      <c r="AU81" s="24" t="inlineStr">
        <is>
          <t>Arch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3d3dc6a4f0641cb9aa015aaf4ccd2f260230dfea2e1b613f3ccdb860b2230f3e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3d3dc6a4f0641cb9aa015aaf4ccd2f260230dfea2e1b613f3ccdb860b2230f3e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2026-08-04T18:08:14.227023Z</t>
        </is>
      </c>
      <c r="BI81" s="24" t="inlineStr">
        <is>
          <t>["same_event","same_team_same_day","same_league_same_day"]</t>
        </is>
      </c>
      <c r="BJ81" s="25" t="n"/>
      <c r="BK81" s="26" t="n">
        <v>-104</v>
      </c>
      <c r="BL81" s="27" t="n">
        <v>1.961538</v>
      </c>
      <c r="BM81" s="28" t="n">
        <v>0.509804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8e98fbabec744558</t>
        </is>
      </c>
      <c r="B82" s="24" t="inlineStr">
        <is>
          <t>2026-08-04T18:08:37.067138Z</t>
        </is>
      </c>
      <c r="C82" s="24" t="inlineStr">
        <is>
          <t>2026-08-04T18:30:00Z</t>
        </is>
      </c>
      <c r="D82" s="24" t="inlineStr">
        <is>
          <t>71388</t>
        </is>
      </c>
      <c r="E82" s="24" t="inlineStr">
        <is>
          <t>CS2</t>
        </is>
      </c>
      <c r="F82" s="24" t="inlineStr">
        <is>
          <t>Fraternity</t>
        </is>
      </c>
      <c r="G82" s="24" t="inlineStr">
        <is>
          <t>PURE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-113</v>
      </c>
      <c r="M82" s="27" t="n">
        <v>1.884956</v>
      </c>
      <c r="N82" s="28" t="n">
        <v>0.530516</v>
      </c>
      <c r="O82" s="28" t="n">
        <v>0.556272</v>
      </c>
      <c r="P82" s="28" t="n"/>
      <c r="Q82" s="28" t="n">
        <v>0.025756</v>
      </c>
      <c r="R82" s="26" t="n">
        <v>33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-113</v>
      </c>
      <c r="AA82" s="28" t="n">
        <v>0.53</v>
      </c>
      <c r="AB82" s="28" t="n">
        <v>-0.000516</v>
      </c>
      <c r="AC82" s="30" t="n">
        <v>0.885</v>
      </c>
      <c r="AD82" s="24" t="inlineStr">
        <is>
          <t>2026-08-04T21:59:26.104976Z</t>
        </is>
      </c>
      <c r="AE82" s="31" t="inlineStr">
        <is>
          <t>Neutral Elo baseline; executable ask 0.5300 (market_slug=aec-cs2-pure-frt-2026-08-04).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Fraternity</t>
        </is>
      </c>
      <c r="AQ82" s="24" t="inlineStr">
        <is>
          <t>Fraternity</t>
        </is>
      </c>
      <c r="AR82" s="24" t="inlineStr">
        <is>
          <t>Fraternity</t>
        </is>
      </c>
      <c r="AS82" s="24" t="inlineStr">
        <is>
          <t>PURE</t>
        </is>
      </c>
      <c r="AT82" s="24" t="inlineStr">
        <is>
          <t>PURE</t>
        </is>
      </c>
      <c r="AU82" s="24" t="inlineStr">
        <is>
          <t>PURE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3d3dc6a4f0641cb9aa015aaf4ccd2f260230dfea2e1b613f3ccdb860b2230f3e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3d3dc6a4f0641cb9aa015aaf4ccd2f260230dfea2e1b613f3ccdb860b2230f3e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2026-08-04T18:08:15.431614Z</t>
        </is>
      </c>
      <c r="BI82" s="24" t="inlineStr">
        <is>
          <t>["same_event","same_team_same_day","same_league_same_day"]</t>
        </is>
      </c>
      <c r="BJ82" s="25" t="n"/>
      <c r="BK82" s="26" t="n">
        <v>-113</v>
      </c>
      <c r="BL82" s="27" t="n">
        <v>1.884956</v>
      </c>
      <c r="BM82" s="28" t="n">
        <v>0.530516</v>
      </c>
      <c r="BN82" s="28" t="n"/>
      <c r="BO82" s="28" t="n"/>
      <c r="BP82" s="25" t="n"/>
      <c r="BQ82" s="27" t="n">
        <v>1.884956</v>
      </c>
      <c r="BR82" s="28" t="n">
        <v>0.53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4d9df78b0b5a402d</t>
        </is>
      </c>
      <c r="B83" s="24" t="inlineStr">
        <is>
          <t>2026-08-04T18:08:37.067138Z</t>
        </is>
      </c>
      <c r="C83" s="24" t="inlineStr">
        <is>
          <t>2026-08-04T18:30:00Z</t>
        </is>
      </c>
      <c r="D83" s="24" t="inlineStr">
        <is>
          <t>71387</t>
        </is>
      </c>
      <c r="E83" s="24" t="inlineStr">
        <is>
          <t>CS2</t>
        </is>
      </c>
      <c r="F83" s="24" t="inlineStr">
        <is>
          <t>OLDBOYS PL</t>
        </is>
      </c>
      <c r="G83" s="24" t="inlineStr">
        <is>
          <t>eSuba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-138</v>
      </c>
      <c r="M83" s="27" t="n">
        <v>1.724638</v>
      </c>
      <c r="N83" s="28" t="n">
        <v>0.579832</v>
      </c>
      <c r="O83" s="28" t="n">
        <v>0.595428</v>
      </c>
      <c r="P83" s="28" t="n"/>
      <c r="Q83" s="28" t="n">
        <v>0.015596</v>
      </c>
      <c r="R83" s="26" t="n">
        <v>28</v>
      </c>
      <c r="S83" s="29" t="n">
        <v>1.25</v>
      </c>
      <c r="T83" s="24" t="inlineStr">
        <is>
          <t>cs2-tiered-elo-v6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0.5800 (market_slug=aec-cs2-esb-oldboyspl-2026-08-04).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OLDBOYS PL</t>
        </is>
      </c>
      <c r="AQ83" s="24" t="inlineStr">
        <is>
          <t>OLDBOYS PL</t>
        </is>
      </c>
      <c r="AR83" s="24" t="inlineStr">
        <is>
          <t>OLDBOYS PL</t>
        </is>
      </c>
      <c r="AS83" s="24" t="inlineStr">
        <is>
          <t>eSuba</t>
        </is>
      </c>
      <c r="AT83" s="24" t="inlineStr">
        <is>
          <t>eSuba</t>
        </is>
      </c>
      <c r="AU83" s="24" t="inlineStr">
        <is>
          <t>eSuba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3d3dc6a4f0641cb9aa015aaf4ccd2f260230dfea2e1b613f3ccdb860b2230f3e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3d3dc6a4f0641cb9aa015aaf4ccd2f260230dfea2e1b613f3ccdb860b2230f3e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2026-08-04T18:08:16.175127Z</t>
        </is>
      </c>
      <c r="BI83" s="24" t="inlineStr">
        <is>
          <t>["same_event","same_team_same_day","same_league_same_day"]</t>
        </is>
      </c>
      <c r="BJ83" s="25" t="n"/>
      <c r="BK83" s="26" t="n">
        <v>-138</v>
      </c>
      <c r="BL83" s="27" t="n">
        <v>1.724638</v>
      </c>
      <c r="BM83" s="28" t="n">
        <v>0.579832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73d32b6a9f1d44f4</t>
        </is>
      </c>
      <c r="B84" s="24" t="inlineStr">
        <is>
          <t>2026-08-04T18:08:37.067138Z</t>
        </is>
      </c>
      <c r="C84" s="24" t="inlineStr">
        <is>
          <t>2026-08-04T18:30:00Z</t>
        </is>
      </c>
      <c r="D84" s="24" t="inlineStr">
        <is>
          <t>71386</t>
        </is>
      </c>
      <c r="E84" s="24" t="inlineStr">
        <is>
          <t>CS2</t>
        </is>
      </c>
      <c r="F84" s="24" t="inlineStr">
        <is>
          <t>VP.Prodigy</t>
        </is>
      </c>
      <c r="G84" s="24" t="inlineStr">
        <is>
          <t>Diamant Esports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0.555195</v>
      </c>
      <c r="P84" s="28" t="n"/>
      <c r="Q84" s="28" t="n">
        <v>-0.114772</v>
      </c>
      <c r="R84" s="26" t="n">
        <v>0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2026-08-04T21:59:28.748789Z</t>
        </is>
      </c>
      <c r="AE84" s="31" t="inlineStr">
        <is>
          <t>Neutral Elo baseline; executable ask 0.6700 (market_slug=aec-cs2-dei-vpp-2026-08-04).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VP.Prodigy</t>
        </is>
      </c>
      <c r="AQ84" s="24" t="inlineStr">
        <is>
          <t>VP.Prodigy</t>
        </is>
      </c>
      <c r="AR84" s="24" t="inlineStr">
        <is>
          <t>VP.Prodigy</t>
        </is>
      </c>
      <c r="AS84" s="24" t="inlineStr">
        <is>
          <t>Diamant Esports</t>
        </is>
      </c>
      <c r="AT84" s="24" t="inlineStr">
        <is>
          <t>Diamant Esports</t>
        </is>
      </c>
      <c r="AU84" s="24" t="inlineStr">
        <is>
          <t>Diamant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3d3dc6a4f0641cb9aa015aaf4ccd2f260230dfea2e1b613f3ccdb860b2230f3e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3d3dc6a4f0641cb9aa015aaf4ccd2f260230dfea2e1b613f3ccdb860b2230f3e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2026-08-04T18:08:16.945508Z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da4b1226aabc441f</t>
        </is>
      </c>
      <c r="B85" s="24" t="inlineStr">
        <is>
          <t>2026-08-04T18:08:37.067138Z</t>
        </is>
      </c>
      <c r="C85" s="24" t="inlineStr">
        <is>
          <t>2026-08-04T18:30:00Z</t>
        </is>
      </c>
      <c r="D85" s="24" t="inlineStr">
        <is>
          <t>71385</t>
        </is>
      </c>
      <c r="E85" s="24" t="inlineStr">
        <is>
          <t>CS2</t>
        </is>
      </c>
      <c r="F85" s="24" t="inlineStr">
        <is>
          <t>Drama eSports</t>
        </is>
      </c>
      <c r="G85" s="24" t="inlineStr">
        <is>
          <t>KUUSAMO.gg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-108</v>
      </c>
      <c r="M85" s="27" t="n">
        <v>1.925926</v>
      </c>
      <c r="N85" s="28" t="n">
        <v>0.519231</v>
      </c>
      <c r="O85" s="28" t="n">
        <v>0.529003</v>
      </c>
      <c r="P85" s="28" t="n"/>
      <c r="Q85" s="28" t="n">
        <v>0.009771999999999999</v>
      </c>
      <c r="R85" s="26" t="n">
        <v>25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-108</v>
      </c>
      <c r="AA85" s="28" t="n">
        <v>0.52</v>
      </c>
      <c r="AB85" s="28" t="n">
        <v>0.000769</v>
      </c>
      <c r="AC85" s="30" t="n">
        <v>-1</v>
      </c>
      <c r="AD85" s="24" t="inlineStr">
        <is>
          <t>2026-08-04T21:59:30.384904Z</t>
        </is>
      </c>
      <c r="AE85" s="31" t="inlineStr">
        <is>
          <t>Neutral Elo baseline; executable ask 0.5200 (market_slug=aec-cs2-ksm-drama-2026-08-04).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Drama eSports</t>
        </is>
      </c>
      <c r="AQ85" s="24" t="inlineStr">
        <is>
          <t>Drama eSports</t>
        </is>
      </c>
      <c r="AR85" s="24" t="inlineStr">
        <is>
          <t>Drama eSports</t>
        </is>
      </c>
      <c r="AS85" s="24" t="inlineStr">
        <is>
          <t>KUUSAMO.gg</t>
        </is>
      </c>
      <c r="AT85" s="24" t="inlineStr">
        <is>
          <t>KUUSAMO.gg</t>
        </is>
      </c>
      <c r="AU85" s="24" t="inlineStr">
        <is>
          <t>KUUSAMO.gg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3d3dc6a4f0641cb9aa015aaf4ccd2f260230dfea2e1b613f3ccdb860b2230f3e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3d3dc6a4f0641cb9aa015aaf4ccd2f260230dfea2e1b613f3ccdb860b2230f3e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2026-08-04T18:08:17.703838Z</t>
        </is>
      </c>
      <c r="BI85" s="24" t="inlineStr">
        <is>
          <t>["same_event","same_team_same_day","same_league_same_day"]</t>
        </is>
      </c>
      <c r="BJ85" s="25" t="n"/>
      <c r="BK85" s="26" t="n">
        <v>-108</v>
      </c>
      <c r="BL85" s="27" t="n">
        <v>1.925926</v>
      </c>
      <c r="BM85" s="28" t="n">
        <v>0.519231</v>
      </c>
      <c r="BN85" s="28" t="n"/>
      <c r="BO85" s="28" t="n"/>
      <c r="BP85" s="25" t="n"/>
      <c r="BQ85" s="27" t="n">
        <v>1.925926</v>
      </c>
      <c r="BR85" s="28" t="n">
        <v>0.52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0e018b9c231b4e26</t>
        </is>
      </c>
      <c r="B86" s="24" t="inlineStr">
        <is>
          <t>2026-08-04T18:08:37.067138Z</t>
        </is>
      </c>
      <c r="C86" s="24" t="inlineStr">
        <is>
          <t>2026-08-04T18:30:00Z</t>
        </is>
      </c>
      <c r="D86" s="24" t="inlineStr">
        <is>
          <t>71382</t>
        </is>
      </c>
      <c r="E86" s="24" t="inlineStr">
        <is>
          <t>CS2</t>
        </is>
      </c>
      <c r="F86" s="24" t="inlineStr">
        <is>
          <t>JUMBO TEAM</t>
        </is>
      </c>
      <c r="G86" s="24" t="inlineStr">
        <is>
          <t>Benched gods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0.674864</v>
      </c>
      <c r="P86" s="28" t="n"/>
      <c r="Q86" s="28" t="n">
        <v>0.214035</v>
      </c>
      <c r="R86" s="26" t="n">
        <v>100</v>
      </c>
      <c r="S86" s="29" t="n">
        <v>1.75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-1.75</v>
      </c>
      <c r="AD86" s="24" t="inlineStr">
        <is>
          <t>2026-08-04T21:59:31.980177Z</t>
        </is>
      </c>
      <c r="AE86" s="31" t="inlineStr">
        <is>
          <t>Neutral Elo baseline; executable ask 0.4600 (market_slug=aec-cs2-bge-jumbo-2026-08-04).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JUMBO TEAM</t>
        </is>
      </c>
      <c r="AQ86" s="24" t="inlineStr">
        <is>
          <t>JUMBO TEAM</t>
        </is>
      </c>
      <c r="AR86" s="24" t="inlineStr">
        <is>
          <t>JUMBO TEAM</t>
        </is>
      </c>
      <c r="AS86" s="24" t="inlineStr">
        <is>
          <t>Benched gods</t>
        </is>
      </c>
      <c r="AT86" s="24" t="inlineStr">
        <is>
          <t>Benched gods</t>
        </is>
      </c>
      <c r="AU86" s="24" t="inlineStr">
        <is>
          <t>Benched gods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3d3dc6a4f0641cb9aa015aaf4ccd2f260230dfea2e1b613f3ccdb860b2230f3e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3d3dc6a4f0641cb9aa015aaf4ccd2f260230dfea2e1b613f3ccdb860b2230f3e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2026-08-04T18:08:19.220614Z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5301926b4dc04605</t>
        </is>
      </c>
      <c r="B87" s="24" t="inlineStr">
        <is>
          <t>2026-08-05T04:39:04.512717Z</t>
        </is>
      </c>
      <c r="C87" s="24" t="inlineStr">
        <is>
          <t>2026-08-05T08:00:00Z</t>
        </is>
      </c>
      <c r="D87" s="24" t="inlineStr">
        <is>
          <t>71727</t>
        </is>
      </c>
      <c r="E87" s="24" t="inlineStr">
        <is>
          <t>CS2</t>
        </is>
      </c>
      <c r="F87" s="24" t="inlineStr">
        <is>
          <t>CYBERSHOKE Prospects</t>
        </is>
      </c>
      <c r="G87" s="24" t="inlineStr">
        <is>
          <t>Nuclear TigeRES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0.661077</v>
      </c>
      <c r="P87" s="28" t="n"/>
      <c r="Q87" s="28" t="n">
        <v>-0.038623</v>
      </c>
      <c r="R87" s="26" t="n">
        <v>1</v>
      </c>
      <c r="S87" s="29" t="n">
        <v>1.75</v>
      </c>
      <c r="T87" s="24" t="inlineStr">
        <is>
          <t>cs2-tiered-elo-v6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0.7000 (market_slug=aec-cs2-ntr-cshp-2026-08-05).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CYBERSHOKE Prospects</t>
        </is>
      </c>
      <c r="AQ87" s="24" t="inlineStr">
        <is>
          <t>CYBERSHOKE Prospects</t>
        </is>
      </c>
      <c r="AR87" s="24" t="inlineStr">
        <is>
          <t>CYBERSHOKE Prospects</t>
        </is>
      </c>
      <c r="AS87" s="24" t="inlineStr">
        <is>
          <t>Nuclear TigeRES</t>
        </is>
      </c>
      <c r="AT87" s="24" t="inlineStr">
        <is>
          <t>Nuclear TigeRES</t>
        </is>
      </c>
      <c r="AU87" s="24" t="inlineStr">
        <is>
          <t>Nuclear TigeRES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79b38f494ba89a56e3ba1ee48b9a2a5937958160c434a13516c1eb8ec97a91aa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79b38f494ba89a56e3ba1ee48b9a2a5937958160c434a13516c1eb8ec97a91aa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2026-08-05T04:38:10.339234Z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74065a10b79c4246</t>
        </is>
      </c>
      <c r="B88" s="24" t="inlineStr">
        <is>
          <t>2026-08-05T04:39:04.512717Z</t>
        </is>
      </c>
      <c r="C88" s="24" t="inlineStr">
        <is>
          <t>2026-08-05T08:00:00Z</t>
        </is>
      </c>
      <c r="D88" s="24" t="inlineStr">
        <is>
          <t>72482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ARCRED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0.5382670000000001</v>
      </c>
      <c r="P88" s="28" t="n"/>
      <c r="Q88" s="28" t="n">
        <v>0.007751</v>
      </c>
      <c r="R88" s="26" t="n">
        <v>24</v>
      </c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-113</v>
      </c>
      <c r="AA88" s="28" t="n">
        <v>0.53</v>
      </c>
      <c r="AB88" s="28" t="n">
        <v>-0.000516</v>
      </c>
      <c r="AC88" s="30" t="n">
        <v>-1</v>
      </c>
      <c r="AD88" s="24" t="inlineStr">
        <is>
          <t>2026-08-05T13:50:23.582749Z</t>
        </is>
      </c>
      <c r="AE88" s="31" t="inlineStr">
        <is>
          <t>Neutral Elo baseline; executable ask 0.5300 (market_slug=aec-cs2-arc-jpu-2026-08-05).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Just Players</t>
        </is>
      </c>
      <c r="AQ88" s="24" t="inlineStr">
        <is>
          <t>Just Players</t>
        </is>
      </c>
      <c r="AR88" s="24" t="inlineStr">
        <is>
          <t>Just Players</t>
        </is>
      </c>
      <c r="AS88" s="24" t="inlineStr">
        <is>
          <t>ARCRED</t>
        </is>
      </c>
      <c r="AT88" s="24" t="inlineStr">
        <is>
          <t>ARCRED</t>
        </is>
      </c>
      <c r="AU88" s="24" t="inlineStr">
        <is>
          <t>ARCRED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79b38f494ba89a56e3ba1ee48b9a2a5937958160c434a13516c1eb8ec97a91aa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79b38f494ba89a56e3ba1ee48b9a2a5937958160c434a13516c1eb8ec97a91aa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2026-08-05T04:38:12.834040Z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>
        <v>1.884956</v>
      </c>
      <c r="BR88" s="28" t="n">
        <v>0.53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b2c2e4213ed14fe3</t>
        </is>
      </c>
      <c r="B89" s="24" t="inlineStr">
        <is>
          <t>2026-08-05T04:39:04.512717Z</t>
        </is>
      </c>
      <c r="C89" s="24" t="inlineStr">
        <is>
          <t>2026-08-05T10:00:00Z</t>
        </is>
      </c>
      <c r="D89" s="24" t="inlineStr">
        <is>
          <t>69537</t>
        </is>
      </c>
      <c r="E89" s="24" t="inlineStr">
        <is>
          <t>CS2</t>
        </is>
      </c>
      <c r="F89" s="24" t="inlineStr">
        <is>
          <t>Abyssal</t>
        </is>
      </c>
      <c r="G89" s="24" t="inlineStr">
        <is>
          <t>Arcade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133</v>
      </c>
      <c r="M89" s="27" t="n">
        <v>2.33</v>
      </c>
      <c r="N89" s="28" t="n">
        <v>0.429185</v>
      </c>
      <c r="O89" s="28" t="n">
        <v>0.5199589999999999</v>
      </c>
      <c r="P89" s="28" t="n"/>
      <c r="Q89" s="28" t="n">
        <v>0.09077399999999999</v>
      </c>
      <c r="R89" s="26" t="n">
        <v>65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133</v>
      </c>
      <c r="AA89" s="28" t="n">
        <v>0.43</v>
      </c>
      <c r="AB89" s="28" t="n">
        <v>0.000815</v>
      </c>
      <c r="AC89" s="30" t="n">
        <v>-1</v>
      </c>
      <c r="AD89" s="24" t="inlineStr">
        <is>
          <t>2026-08-05T13:50:25.982959Z</t>
        </is>
      </c>
      <c r="AE89" s="31" t="inlineStr">
        <is>
          <t>Neutral Elo baseline; executable ask 0.4300 (market_slug=aec-cs2-aer-aby-2026-08-05).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Abyssal</t>
        </is>
      </c>
      <c r="AQ89" s="24" t="inlineStr">
        <is>
          <t>Abyssal</t>
        </is>
      </c>
      <c r="AR89" s="24" t="inlineStr">
        <is>
          <t>Abyssal</t>
        </is>
      </c>
      <c r="AS89" s="24" t="inlineStr">
        <is>
          <t>Arcade Esports</t>
        </is>
      </c>
      <c r="AT89" s="24" t="inlineStr">
        <is>
          <t>Arcade Esports</t>
        </is>
      </c>
      <c r="AU89" s="24" t="inlineStr">
        <is>
          <t>Arcade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79b38f494ba89a56e3ba1ee48b9a2a5937958160c434a13516c1eb8ec97a91aa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79b38f494ba89a56e3ba1ee48b9a2a5937958160c434a13516c1eb8ec97a91aa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2026-08-05T04:38:13.898810Z</t>
        </is>
      </c>
      <c r="BI89" s="24" t="inlineStr">
        <is>
          <t>["same_event","same_team_same_day","same_league_same_day"]</t>
        </is>
      </c>
      <c r="BJ89" s="25" t="n"/>
      <c r="BK89" s="26" t="n">
        <v>133</v>
      </c>
      <c r="BL89" s="27" t="n">
        <v>2.33</v>
      </c>
      <c r="BM89" s="28" t="n">
        <v>0.429185</v>
      </c>
      <c r="BN89" s="28" t="n"/>
      <c r="BO89" s="28" t="n"/>
      <c r="BP89" s="25" t="n"/>
      <c r="BQ89" s="27" t="n">
        <v>2.33</v>
      </c>
      <c r="BR89" s="28" t="n">
        <v>0.43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</row>
    <row r="90" ht="36" customHeight="1">
      <c r="A90" s="24" t="inlineStr">
        <is>
          <t>73052229bd684de6</t>
        </is>
      </c>
      <c r="B90" s="24" t="inlineStr">
        <is>
          <t>2026-08-05T04:39:04.512717Z</t>
        </is>
      </c>
      <c r="C90" s="24" t="inlineStr">
        <is>
          <t>2026-08-05T10:00:00Z</t>
        </is>
      </c>
      <c r="D90" s="24" t="inlineStr">
        <is>
          <t>71795</t>
        </is>
      </c>
      <c r="E90" s="24" t="inlineStr">
        <is>
          <t>CS2</t>
        </is>
      </c>
      <c r="F90" s="24" t="inlineStr">
        <is>
          <t>Betclic Apogee Esports</t>
        </is>
      </c>
      <c r="G90" s="24" t="inlineStr">
        <is>
          <t>Johnny Speeds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156</v>
      </c>
      <c r="M90" s="27" t="n">
        <v>2.56</v>
      </c>
      <c r="N90" s="28" t="n">
        <v>0.390625</v>
      </c>
      <c r="O90" s="28" t="n">
        <v>0.5349</v>
      </c>
      <c r="P90" s="28" t="n"/>
      <c r="Q90" s="28" t="n">
        <v>0.144275</v>
      </c>
      <c r="R90" s="26" t="n">
        <v>92</v>
      </c>
      <c r="S90" s="29" t="n">
        <v>1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156</v>
      </c>
      <c r="AA90" s="28" t="n">
        <v>0.39</v>
      </c>
      <c r="AB90" s="28" t="n">
        <v>-0.000625</v>
      </c>
      <c r="AC90" s="30" t="n">
        <v>-1</v>
      </c>
      <c r="AD90" s="24" t="inlineStr">
        <is>
          <t>2026-08-05T13:50:28.406737Z</t>
        </is>
      </c>
      <c r="AE90" s="31" t="inlineStr">
        <is>
          <t>Neutral Elo baseline; executable ask 0.3900 (market_slug=aec-cs2-js-bca-2026-08-05).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Betclic Apogee Esports</t>
        </is>
      </c>
      <c r="AQ90" s="24" t="inlineStr">
        <is>
          <t>Betclic Apogee Esports</t>
        </is>
      </c>
      <c r="AR90" s="24" t="inlineStr">
        <is>
          <t>Betclic Apogee Esports</t>
        </is>
      </c>
      <c r="AS90" s="24" t="inlineStr">
        <is>
          <t>Johnny Speeds</t>
        </is>
      </c>
      <c r="AT90" s="24" t="inlineStr">
        <is>
          <t>Johnny Speeds</t>
        </is>
      </c>
      <c r="AU90" s="24" t="inlineStr">
        <is>
          <t>Johnny Speeds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79b38f494ba89a56e3ba1ee48b9a2a5937958160c434a13516c1eb8ec97a91aa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79b38f494ba89a56e3ba1ee48b9a2a5937958160c434a13516c1eb8ec97a91aa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2026-08-05T04:38:15.635268Z</t>
        </is>
      </c>
      <c r="BI90" s="24" t="inlineStr">
        <is>
          <t>["same_event","same_team_same_day","same_league_same_day"]</t>
        </is>
      </c>
      <c r="BJ90" s="25" t="n"/>
      <c r="BK90" s="26" t="n">
        <v>156</v>
      </c>
      <c r="BL90" s="27" t="n">
        <v>2.56</v>
      </c>
      <c r="BM90" s="28" t="n">
        <v>0.390625</v>
      </c>
      <c r="BN90" s="28" t="n"/>
      <c r="BO90" s="28" t="n"/>
      <c r="BP90" s="25" t="n"/>
      <c r="BQ90" s="27" t="n">
        <v>2.56</v>
      </c>
      <c r="BR90" s="28" t="n">
        <v>0.39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a1c5f3dbc207489d</t>
        </is>
      </c>
      <c r="B91" s="24" t="inlineStr">
        <is>
          <t>2026-08-05T10:47:03.473375Z</t>
        </is>
      </c>
      <c r="C91" s="24" t="inlineStr">
        <is>
          <t>2026-08-05T11:00:00Z</t>
        </is>
      </c>
      <c r="D91" s="24" t="inlineStr">
        <is>
          <t>69554</t>
        </is>
      </c>
      <c r="E91" s="24" t="inlineStr">
        <is>
          <t>CS2</t>
        </is>
      </c>
      <c r="F91" s="24" t="inlineStr">
        <is>
          <t>eSuba</t>
        </is>
      </c>
      <c r="G91" s="24" t="inlineStr">
        <is>
          <t>GamersLab Esports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-170</v>
      </c>
      <c r="M91" s="27" t="n">
        <v>1.588235</v>
      </c>
      <c r="N91" s="28" t="n">
        <v>0.62963</v>
      </c>
      <c r="O91" s="28" t="n">
        <v>0.601544</v>
      </c>
      <c r="P91" s="28" t="n"/>
      <c r="Q91" s="28" t="n">
        <v>-0.028086</v>
      </c>
      <c r="R91" s="26" t="n">
        <v>6</v>
      </c>
      <c r="S91" s="29" t="n">
        <v>1.25</v>
      </c>
      <c r="T91" s="24" t="inlineStr">
        <is>
          <t>cs2-tiered-elo-v6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Neutral Elo baseline; executable ask 0.6300 (market_slug=aec-cs2-gea-esb-2026-08-05).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NO_CALL_LOW_EDGE</t>
        </is>
      </c>
      <c r="AP91" s="24" t="inlineStr">
        <is>
          <t>eSuba</t>
        </is>
      </c>
      <c r="AQ91" s="24" t="inlineStr">
        <is>
          <t>eSuba</t>
        </is>
      </c>
      <c r="AR91" s="24" t="inlineStr">
        <is>
          <t>eSuba</t>
        </is>
      </c>
      <c r="AS91" s="24" t="inlineStr">
        <is>
          <t>GamersLab Esports</t>
        </is>
      </c>
      <c r="AT91" s="24" t="inlineStr">
        <is>
          <t>GamersLab Esports</t>
        </is>
      </c>
      <c r="AU91" s="24" t="inlineStr">
        <is>
          <t>GamersLab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5ed7c189c90211b472ec0214d2b7901a8b9cb103b2be3f5519c68e215b46057f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5ed7c189c90211b472ec0214d2b7901a8b9cb103b2be3f5519c68e215b46057f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2026-08-05T10:46:28.177264Z</t>
        </is>
      </c>
      <c r="BI91" s="24" t="inlineStr">
        <is>
          <t>["same_event","same_team_same_day","same_league_same_day"]</t>
        </is>
      </c>
      <c r="BJ91" s="25" t="n"/>
      <c r="BK91" s="26" t="n">
        <v>-170</v>
      </c>
      <c r="BL91" s="27" t="n">
        <v>1.588235</v>
      </c>
      <c r="BM91" s="28" t="n">
        <v>0.62963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322751de9d4447e1</t>
        </is>
      </c>
      <c r="B92" s="24" t="inlineStr">
        <is>
          <t>2026-08-05T10:47:03.473375Z</t>
        </is>
      </c>
      <c r="C92" s="24" t="inlineStr">
        <is>
          <t>2026-08-05T11:00:00Z</t>
        </is>
      </c>
      <c r="D92" s="24" t="inlineStr">
        <is>
          <t>72486</t>
        </is>
      </c>
      <c r="E92" s="24" t="inlineStr">
        <is>
          <t>CS2</t>
        </is>
      </c>
      <c r="F92" s="24" t="inlineStr">
        <is>
          <t>Rune Eaters</t>
        </is>
      </c>
      <c r="G92" s="24" t="inlineStr">
        <is>
          <t>Butterfly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0.545533</v>
      </c>
      <c r="P92" s="28" t="n"/>
      <c r="Q92" s="28" t="n">
        <v>-0.034299</v>
      </c>
      <c r="R92" s="26" t="n">
        <v>3</v>
      </c>
      <c r="S92" s="29" t="n">
        <v>1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-138</v>
      </c>
      <c r="AA92" s="28" t="n">
        <v>0.58</v>
      </c>
      <c r="AB92" s="28" t="n">
        <v>0.000168</v>
      </c>
      <c r="AC92" s="30" t="n">
        <v>0.7246</v>
      </c>
      <c r="AD92" s="24" t="inlineStr">
        <is>
          <t>2026-08-05T13:50:31.884244Z</t>
        </is>
      </c>
      <c r="AE92" s="31" t="inlineStr">
        <is>
          <t>Neutral Elo baseline; executable ask 0.5800 (market_slug=aec-cs2-btf-re-2026-08-05).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Rune Eaters</t>
        </is>
      </c>
      <c r="AQ92" s="24" t="inlineStr">
        <is>
          <t>Rune Eaters</t>
        </is>
      </c>
      <c r="AR92" s="24" t="inlineStr">
        <is>
          <t>Rune Eaters</t>
        </is>
      </c>
      <c r="AS92" s="24" t="inlineStr">
        <is>
          <t>Butterfly</t>
        </is>
      </c>
      <c r="AT92" s="24" t="inlineStr">
        <is>
          <t>Butterfly</t>
        </is>
      </c>
      <c r="AU92" s="24" t="inlineStr">
        <is>
          <t>Butterfly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5ed7c189c90211b472ec0214d2b7901a8b9cb103b2be3f5519c68e215b46057f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5ed7c189c90211b472ec0214d2b7901a8b9cb103b2be3f5519c68e215b46057f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2026-08-05T10:46:28.788366Z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>
        <v>1.724638</v>
      </c>
      <c r="BR92" s="28" t="n">
        <v>0.58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e881091349344cd7</t>
        </is>
      </c>
      <c r="B93" s="24" t="inlineStr">
        <is>
          <t>2026-08-05T10:47:03.473375Z</t>
        </is>
      </c>
      <c r="C93" s="24" t="inlineStr">
        <is>
          <t>2026-08-05T11:00:00Z</t>
        </is>
      </c>
      <c r="D93" s="24" t="inlineStr">
        <is>
          <t>71199</t>
        </is>
      </c>
      <c r="E93" s="24" t="inlineStr">
        <is>
          <t>CS2</t>
        </is>
      </c>
      <c r="F93" s="24" t="inlineStr">
        <is>
          <t>ex-RUSTEC</t>
        </is>
      </c>
      <c r="G93" s="24" t="inlineStr">
        <is>
          <t>Butterfly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122</v>
      </c>
      <c r="M93" s="27" t="n">
        <v>2.22</v>
      </c>
      <c r="N93" s="28" t="n">
        <v>0.45045</v>
      </c>
      <c r="O93" s="28" t="n">
        <v>0.521475</v>
      </c>
      <c r="P93" s="28" t="n"/>
      <c r="Q93" s="28" t="n">
        <v>0.071025</v>
      </c>
      <c r="R93" s="26" t="n">
        <v>56</v>
      </c>
      <c r="S93" s="29" t="n">
        <v>1</v>
      </c>
      <c r="T93" s="24" t="inlineStr">
        <is>
          <t>cs2-tiered-elo-v6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0.4500 (market_slug=aec-cs2-btf-erx-2026-08-05).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NO_CALL_LOW_EDGE</t>
        </is>
      </c>
      <c r="AP93" s="24" t="inlineStr">
        <is>
          <t>ex-RUSTEC</t>
        </is>
      </c>
      <c r="AQ93" s="24" t="inlineStr">
        <is>
          <t>ex-RUSTEC</t>
        </is>
      </c>
      <c r="AR93" s="24" t="inlineStr">
        <is>
          <t>ex-RUSTEC</t>
        </is>
      </c>
      <c r="AS93" s="24" t="inlineStr">
        <is>
          <t>Butterfly</t>
        </is>
      </c>
      <c r="AT93" s="24" t="inlineStr">
        <is>
          <t>Butterfly</t>
        </is>
      </c>
      <c r="AU93" s="24" t="inlineStr">
        <is>
          <t>Butterfly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5ed7c189c90211b472ec0214d2b7901a8b9cb103b2be3f5519c68e215b46057f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5ed7c189c90211b472ec0214d2b7901a8b9cb103b2be3f5519c68e215b46057f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2026-08-05T10:46:29.302001Z</t>
        </is>
      </c>
      <c r="BI93" s="24" t="inlineStr">
        <is>
          <t>["same_event","same_team_same_day","same_league_same_day"]</t>
        </is>
      </c>
      <c r="BJ93" s="25" t="n"/>
      <c r="BK93" s="26" t="n">
        <v>122</v>
      </c>
      <c r="BL93" s="27" t="n">
        <v>2.22</v>
      </c>
      <c r="BM93" s="28" t="n">
        <v>0.45045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193c1e08ce064b05</t>
        </is>
      </c>
      <c r="B94" s="24" t="inlineStr">
        <is>
          <t>2026-08-05T10:47:03.473375Z</t>
        </is>
      </c>
      <c r="C94" s="24" t="inlineStr">
        <is>
          <t>2026-08-05T11:00:00Z</t>
        </is>
      </c>
      <c r="D94" s="24" t="inlineStr">
        <is>
          <t>71975</t>
        </is>
      </c>
      <c r="E94" s="24" t="inlineStr">
        <is>
          <t>CS2</t>
        </is>
      </c>
      <c r="F94" s="24" t="inlineStr">
        <is>
          <t>GenOne</t>
        </is>
      </c>
      <c r="G94" s="24" t="inlineStr">
        <is>
          <t>Sashi Esport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0.529077</v>
      </c>
      <c r="P94" s="28" t="n"/>
      <c r="Q94" s="28" t="n">
        <v>0.188941</v>
      </c>
      <c r="R94" s="26" t="n">
        <v>100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-104</v>
      </c>
      <c r="AA94" s="28" t="n">
        <v>0.51</v>
      </c>
      <c r="AB94" s="28" t="n">
        <v>0.169864</v>
      </c>
      <c r="AC94" s="30" t="n">
        <v>-1</v>
      </c>
      <c r="AD94" s="24" t="inlineStr">
        <is>
          <t>2026-08-05T13:50:35.412528Z</t>
        </is>
      </c>
      <c r="AE94" s="31" t="inlineStr">
        <is>
          <t>Neutral Elo baseline; executable ask 0.3400 (market_slug=aec-cs2-sashi-g1-2026-08-05).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GenOne</t>
        </is>
      </c>
      <c r="AQ94" s="24" t="inlineStr">
        <is>
          <t>GenOne</t>
        </is>
      </c>
      <c r="AR94" s="24" t="inlineStr">
        <is>
          <t>GenOne</t>
        </is>
      </c>
      <c r="AS94" s="24" t="inlineStr">
        <is>
          <t>Sashi Esport</t>
        </is>
      </c>
      <c r="AT94" s="24" t="inlineStr">
        <is>
          <t>Sashi Esport</t>
        </is>
      </c>
      <c r="AU94" s="24" t="inlineStr">
        <is>
          <t>Sashi Esport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5ed7c189c90211b472ec0214d2b7901a8b9cb103b2be3f5519c68e215b46057f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5ed7c189c90211b472ec0214d2b7901a8b9cb103b2be3f5519c68e215b46057f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2026-08-05T10:46:30.502188Z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1.961538</v>
      </c>
      <c r="BR94" s="28" t="n">
        <v>0.51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8c0b7af9667a48e5</t>
        </is>
      </c>
      <c r="B95" s="24" t="inlineStr">
        <is>
          <t>2026-08-05T10:47:03.473375Z</t>
        </is>
      </c>
      <c r="C95" s="24" t="inlineStr">
        <is>
          <t>2026-08-05T11:00:00Z</t>
        </is>
      </c>
      <c r="D95" s="24" t="inlineStr">
        <is>
          <t>69555</t>
        </is>
      </c>
      <c r="E95" s="24" t="inlineStr">
        <is>
          <t>CS2</t>
        </is>
      </c>
      <c r="F95" s="24" t="inlineStr">
        <is>
          <t>PCH3LK1N Club</t>
        </is>
      </c>
      <c r="G95" s="24" t="inlineStr">
        <is>
          <t>Lixxx Club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-163</v>
      </c>
      <c r="M95" s="27" t="n">
        <v>1.613497</v>
      </c>
      <c r="N95" s="28" t="n">
        <v>0.619772</v>
      </c>
      <c r="O95" s="28" t="n">
        <v>0.515116</v>
      </c>
      <c r="P95" s="28" t="n"/>
      <c r="Q95" s="28" t="n">
        <v>-0.104656</v>
      </c>
      <c r="R95" s="26" t="n">
        <v>0</v>
      </c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-163</v>
      </c>
      <c r="AA95" s="28" t="n">
        <v>0.62</v>
      </c>
      <c r="AB95" s="28" t="n">
        <v>0.000228</v>
      </c>
      <c r="AC95" s="30" t="n">
        <v>0.6135</v>
      </c>
      <c r="AD95" s="24" t="inlineStr">
        <is>
          <t>2026-08-05T13:50:37.712767Z</t>
        </is>
      </c>
      <c r="AE95" s="31" t="inlineStr">
        <is>
          <t>Neutral Elo baseline; executable ask 0.6200 (market_slug=aec-cs2-lci-plnc-2026-08-05).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PCH3LK1N Club</t>
        </is>
      </c>
      <c r="AQ95" s="24" t="inlineStr">
        <is>
          <t>PCH3LK1N Club</t>
        </is>
      </c>
      <c r="AR95" s="24" t="inlineStr">
        <is>
          <t>PCH3LK1N Club</t>
        </is>
      </c>
      <c r="AS95" s="24" t="inlineStr">
        <is>
          <t>Lixxx Club</t>
        </is>
      </c>
      <c r="AT95" s="24" t="inlineStr">
        <is>
          <t>Lixxx Club</t>
        </is>
      </c>
      <c r="AU95" s="24" t="inlineStr">
        <is>
          <t>Lixxx Club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5ed7c189c90211b472ec0214d2b7901a8b9cb103b2be3f5519c68e215b46057f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5ed7c189c90211b472ec0214d2b7901a8b9cb103b2be3f5519c68e215b46057f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2026-08-05T10:46:31.991229Z</t>
        </is>
      </c>
      <c r="BI95" s="24" t="inlineStr">
        <is>
          <t>["same_event","same_team_same_day","same_league_same_day"]</t>
        </is>
      </c>
      <c r="BJ95" s="25" t="n"/>
      <c r="BK95" s="26" t="n">
        <v>-163</v>
      </c>
      <c r="BL95" s="27" t="n">
        <v>1.613497</v>
      </c>
      <c r="BM95" s="28" t="n">
        <v>0.619772</v>
      </c>
      <c r="BN95" s="28" t="n"/>
      <c r="BO95" s="28" t="n"/>
      <c r="BP95" s="25" t="n"/>
      <c r="BQ95" s="27" t="n">
        <v>1.613497</v>
      </c>
      <c r="BR95" s="28" t="n">
        <v>0.62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</row>
    <row r="96" ht="36" customHeight="1">
      <c r="A96" s="24" t="inlineStr">
        <is>
          <t>765eac422c0740c0</t>
        </is>
      </c>
      <c r="B96" s="24" t="inlineStr">
        <is>
          <t>2026-08-05T10:47:03.473375Z</t>
        </is>
      </c>
      <c r="C96" s="24" t="inlineStr">
        <is>
          <t>2026-08-05T13:00:00Z</t>
        </is>
      </c>
      <c r="D96" s="24" t="inlineStr">
        <is>
          <t>72334</t>
        </is>
      </c>
      <c r="E96" s="24" t="inlineStr">
        <is>
          <t>CS2</t>
        </is>
      </c>
      <c r="F96" s="24" t="inlineStr">
        <is>
          <t>fnatic</t>
        </is>
      </c>
      <c r="G96" s="24" t="inlineStr">
        <is>
          <t>Liquid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-194</v>
      </c>
      <c r="M96" s="27" t="n">
        <v>1.515464</v>
      </c>
      <c r="N96" s="28" t="n">
        <v>0.659864</v>
      </c>
      <c r="O96" s="28" t="n">
        <v>0.552515</v>
      </c>
      <c r="P96" s="28" t="n"/>
      <c r="Q96" s="28" t="n">
        <v>-0.107349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0.6600 (market_slug=aec-cs2-tl-fnc-2026-08-05).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fnatic</t>
        </is>
      </c>
      <c r="AQ96" s="24" t="inlineStr">
        <is>
          <t>fnatic</t>
        </is>
      </c>
      <c r="AR96" s="24" t="inlineStr">
        <is>
          <t>fnatic</t>
        </is>
      </c>
      <c r="AS96" s="24" t="inlineStr">
        <is>
          <t>Liquid</t>
        </is>
      </c>
      <c r="AT96" s="24" t="inlineStr">
        <is>
          <t>Liquid</t>
        </is>
      </c>
      <c r="AU96" s="24" t="inlineStr">
        <is>
          <t>Liquid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5ed7c189c90211b472ec0214d2b7901a8b9cb103b2be3f5519c68e215b46057f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5ed7c189c90211b472ec0214d2b7901a8b9cb103b2be3f5519c68e215b46057f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2026-08-05T10:46:32.599387Z</t>
        </is>
      </c>
      <c r="BI96" s="24" t="inlineStr">
        <is>
          <t>["same_event","same_team_same_day","same_league_same_day"]</t>
        </is>
      </c>
      <c r="BJ96" s="25" t="n"/>
      <c r="BK96" s="26" t="n">
        <v>-194</v>
      </c>
      <c r="BL96" s="27" t="n">
        <v>1.515464</v>
      </c>
      <c r="BM96" s="28" t="n">
        <v>0.659864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38edc39025d94d15</t>
        </is>
      </c>
      <c r="B97" s="24" t="inlineStr">
        <is>
          <t>2026-08-05T10:47:03.473375Z</t>
        </is>
      </c>
      <c r="C97" s="24" t="inlineStr">
        <is>
          <t>2026-08-05T13:45:00Z</t>
        </is>
      </c>
      <c r="D97" s="24" t="inlineStr">
        <is>
          <t>69615</t>
        </is>
      </c>
      <c r="E97" s="24" t="inlineStr">
        <is>
          <t>CS2</t>
        </is>
      </c>
      <c r="F97" s="24" t="inlineStr">
        <is>
          <t>shoke Club</t>
        </is>
      </c>
      <c r="G97" s="24" t="inlineStr">
        <is>
          <t>Lixxx Club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138</v>
      </c>
      <c r="M97" s="27" t="n">
        <v>2.38</v>
      </c>
      <c r="N97" s="28" t="n">
        <v>0.420168</v>
      </c>
      <c r="O97" s="28" t="n">
        <v>0.515116</v>
      </c>
      <c r="P97" s="28" t="n"/>
      <c r="Q97" s="28" t="n">
        <v>0.094948</v>
      </c>
      <c r="R97" s="26" t="n">
        <v>67</v>
      </c>
      <c r="S97" s="29" t="n">
        <v>1</v>
      </c>
      <c r="T97" s="24" t="inlineStr">
        <is>
          <t>cs2-tiered-elo-v6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0.4200 (market_slug=aec-cs2-lci-sch-2026-08-05).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shoke Club</t>
        </is>
      </c>
      <c r="AQ97" s="24" t="inlineStr">
        <is>
          <t>shoke Club</t>
        </is>
      </c>
      <c r="AR97" s="24" t="inlineStr">
        <is>
          <t>shoke Club</t>
        </is>
      </c>
      <c r="AS97" s="24" t="inlineStr">
        <is>
          <t>Lixxx Club</t>
        </is>
      </c>
      <c r="AT97" s="24" t="inlineStr">
        <is>
          <t>Lixxx Club</t>
        </is>
      </c>
      <c r="AU97" s="24" t="inlineStr">
        <is>
          <t>Lixxx Club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5ed7c189c90211b472ec0214d2b7901a8b9cb103b2be3f5519c68e215b46057f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5ed7c189c90211b472ec0214d2b7901a8b9cb103b2be3f5519c68e215b46057f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2026-08-05T10:46:33.195221Z</t>
        </is>
      </c>
      <c r="BI97" s="24" t="inlineStr">
        <is>
          <t>["same_event","same_team_same_day","same_league_same_day"]</t>
        </is>
      </c>
      <c r="BJ97" s="25" t="n"/>
      <c r="BK97" s="26" t="n">
        <v>138</v>
      </c>
      <c r="BL97" s="27" t="n">
        <v>2.38</v>
      </c>
      <c r="BM97" s="28" t="n">
        <v>0.420168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</row>
    <row r="98" ht="36" customHeight="1">
      <c r="A98" s="24" t="inlineStr">
        <is>
          <t>7af625b93ed44c22</t>
        </is>
      </c>
      <c r="B98" s="24" t="inlineStr">
        <is>
          <t>2026-08-05T10:47:03.473375Z</t>
        </is>
      </c>
      <c r="C98" s="24" t="inlineStr">
        <is>
          <t>2026-08-05T13:45:00Z</t>
        </is>
      </c>
      <c r="D98" s="24" t="inlineStr">
        <is>
          <t>69614</t>
        </is>
      </c>
      <c r="E98" s="24" t="inlineStr">
        <is>
          <t>CS2</t>
        </is>
      </c>
      <c r="F98" s="24" t="inlineStr">
        <is>
          <t>WorldEdit Club</t>
        </is>
      </c>
      <c r="G98" s="24" t="inlineStr">
        <is>
          <t>SNAILKICK Club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203</v>
      </c>
      <c r="M98" s="27" t="n">
        <v>3.03</v>
      </c>
      <c r="N98" s="28" t="n">
        <v>0.330033</v>
      </c>
      <c r="O98" s="28" t="n">
        <v>0.515116</v>
      </c>
      <c r="P98" s="28" t="n"/>
      <c r="Q98" s="28" t="n">
        <v>0.185083</v>
      </c>
      <c r="R98" s="26" t="n">
        <v>100</v>
      </c>
      <c r="S98" s="29" t="n">
        <v>1</v>
      </c>
      <c r="T98" s="24" t="inlineStr">
        <is>
          <t>cs2-tiered-elo-v6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0.3300 (market_slug=aec-cs2-scn-wco-2026-08-05).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WorldEdit Club</t>
        </is>
      </c>
      <c r="AQ98" s="24" t="inlineStr">
        <is>
          <t>WorldEdit Club</t>
        </is>
      </c>
      <c r="AR98" s="24" t="inlineStr">
        <is>
          <t>WorldEdit Club</t>
        </is>
      </c>
      <c r="AS98" s="24" t="inlineStr">
        <is>
          <t>SNAILKICK Club</t>
        </is>
      </c>
      <c r="AT98" s="24" t="inlineStr">
        <is>
          <t>SNAILKICK Club</t>
        </is>
      </c>
      <c r="AU98" s="24" t="inlineStr">
        <is>
          <t>SNAILKICK Club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5ed7c189c90211b472ec0214d2b7901a8b9cb103b2be3f5519c68e215b46057f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5ed7c189c90211b472ec0214d2b7901a8b9cb103b2be3f5519c68e215b46057f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2026-08-05T10:46:33.954307Z</t>
        </is>
      </c>
      <c r="BI98" s="24" t="inlineStr">
        <is>
          <t>["same_event","same_team_same_day","same_league_same_day"]</t>
        </is>
      </c>
      <c r="BJ98" s="25" t="n"/>
      <c r="BK98" s="26" t="n">
        <v>203</v>
      </c>
      <c r="BL98" s="27" t="n">
        <v>3.03</v>
      </c>
      <c r="BM98" s="28" t="n">
        <v>0.330033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341ba464029848c6</t>
        </is>
      </c>
      <c r="B99" s="24" t="inlineStr">
        <is>
          <t>2026-08-05T13:56:36.539226Z</t>
        </is>
      </c>
      <c r="C99" s="24" t="inlineStr">
        <is>
          <t>2026-08-05T14:00:00Z</t>
        </is>
      </c>
      <c r="D99" s="24" t="inlineStr">
        <is>
          <t>69616</t>
        </is>
      </c>
      <c r="E99" s="24" t="inlineStr">
        <is>
          <t>CS2</t>
        </is>
      </c>
      <c r="F99" s="24" t="inlineStr">
        <is>
          <t>eSuba</t>
        </is>
      </c>
      <c r="G99" s="24" t="inlineStr">
        <is>
          <t>JAM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0.522299</v>
      </c>
      <c r="P99" s="28" t="n"/>
      <c r="Q99" s="28" t="n">
        <v>0.162587</v>
      </c>
      <c r="R99" s="26" t="n">
        <v>100</v>
      </c>
      <c r="S99" s="29" t="n">
        <v>1</v>
      </c>
      <c r="T99" s="24" t="inlineStr">
        <is>
          <t>cs2-tiered-elo-v6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0.3600 (market_slug=aec-cs2-jam-esb-2026-08-05).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eSuba</t>
        </is>
      </c>
      <c r="AQ99" s="24" t="inlineStr">
        <is>
          <t>eSuba</t>
        </is>
      </c>
      <c r="AR99" s="24" t="inlineStr">
        <is>
          <t>eSuba</t>
        </is>
      </c>
      <c r="AS99" s="24" t="inlineStr">
        <is>
          <t>JAM</t>
        </is>
      </c>
      <c r="AT99" s="24" t="inlineStr">
        <is>
          <t>JAM</t>
        </is>
      </c>
      <c r="AU99" s="24" t="inlineStr">
        <is>
          <t>JAM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95ef3685860928d3c12125a00cdf074ac4e628138aac112a58082f0ead77ffde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95ef3685860928d3c12125a00cdf074ac4e628138aac112a58082f0ead77ffde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2026-08-05T13:56:10.001216Z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e72b5a0d4d164dd0</t>
        </is>
      </c>
      <c r="B100" s="24" t="inlineStr">
        <is>
          <t>2026-08-05T13:56:36.539226Z</t>
        </is>
      </c>
      <c r="C100" s="24" t="inlineStr">
        <is>
          <t>2026-08-05T14:00:00Z</t>
        </is>
      </c>
      <c r="D100" s="24" t="inlineStr">
        <is>
          <t>72488</t>
        </is>
      </c>
      <c r="E100" s="24" t="inlineStr">
        <is>
          <t>CS2</t>
        </is>
      </c>
      <c r="F100" s="24" t="inlineStr">
        <is>
          <t>GenOne</t>
        </is>
      </c>
      <c r="G100" s="24" t="inlineStr">
        <is>
          <t xml:space="preserve">Nordic Partners Gaming 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0.687182</v>
      </c>
      <c r="P100" s="28" t="n"/>
      <c r="Q100" s="28" t="n">
        <v>-0.012518</v>
      </c>
      <c r="R100" s="26" t="n">
        <v>14</v>
      </c>
      <c r="S100" s="29" t="n">
        <v>2</v>
      </c>
      <c r="T100" s="24" t="inlineStr">
        <is>
          <t>cs2-tiered-elo-v6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0.7000 (market_slug=aec-cs2-npg-g1-2026-08-05).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NO_CALL_LOW_EDGE</t>
        </is>
      </c>
      <c r="AP100" s="24" t="inlineStr">
        <is>
          <t>GenOne</t>
        </is>
      </c>
      <c r="AQ100" s="24" t="inlineStr">
        <is>
          <t>GenOne</t>
        </is>
      </c>
      <c r="AR100" s="24" t="inlineStr">
        <is>
          <t>GenOne</t>
        </is>
      </c>
      <c r="AS100" s="24" t="inlineStr">
        <is>
          <t xml:space="preserve">Nordic Partners Gaming </t>
        </is>
      </c>
      <c r="AT100" s="24" t="inlineStr">
        <is>
          <t xml:space="preserve">Nordic Partners Gaming </t>
        </is>
      </c>
      <c r="AU100" s="24" t="inlineStr">
        <is>
          <t xml:space="preserve">Nordic Partners Gaming 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95ef3685860928d3c12125a00cdf074ac4e628138aac112a58082f0ead77ffde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95ef3685860928d3c12125a00cdf074ac4e628138aac112a58082f0ead77ffde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2026-08-05T13:56:10.543011Z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b05fe7e3baa24e9b</t>
        </is>
      </c>
      <c r="B101" s="24" t="inlineStr">
        <is>
          <t>2026-08-05T13:56:36.539226Z</t>
        </is>
      </c>
      <c r="C101" s="24" t="inlineStr">
        <is>
          <t>2026-08-05T16:30:00Z</t>
        </is>
      </c>
      <c r="D101" s="24" t="inlineStr">
        <is>
          <t>72533</t>
        </is>
      </c>
      <c r="E101" s="24" t="inlineStr">
        <is>
          <t>CS2</t>
        </is>
      </c>
      <c r="F101" s="24" t="inlineStr">
        <is>
          <t>XI Esport</t>
        </is>
      </c>
      <c r="G101" s="24" t="inlineStr">
        <is>
          <t>Esport BERG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138</v>
      </c>
      <c r="M101" s="27" t="n">
        <v>2.38</v>
      </c>
      <c r="N101" s="28" t="n">
        <v>0.420168</v>
      </c>
      <c r="O101" s="28" t="n">
        <v>0.633758</v>
      </c>
      <c r="P101" s="28" t="n"/>
      <c r="Q101" s="28" t="n">
        <v>0.21359</v>
      </c>
      <c r="R101" s="26" t="n">
        <v>100</v>
      </c>
      <c r="S101" s="29" t="n">
        <v>1.5</v>
      </c>
      <c r="T101" s="24" t="inlineStr">
        <is>
          <t>cs2-tiered-elo-v6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0.4200 (market_slug=aec-cs2-berg-xi-2026-08-05).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XI Esport</t>
        </is>
      </c>
      <c r="AQ101" s="24" t="inlineStr">
        <is>
          <t>XI Esport</t>
        </is>
      </c>
      <c r="AR101" s="24" t="inlineStr">
        <is>
          <t>XI Esport</t>
        </is>
      </c>
      <c r="AS101" s="24" t="inlineStr">
        <is>
          <t>Esport BERG</t>
        </is>
      </c>
      <c r="AT101" s="24" t="inlineStr">
        <is>
          <t>Esport BERG</t>
        </is>
      </c>
      <c r="AU101" s="24" t="inlineStr">
        <is>
          <t>Esport BERG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95ef3685860928d3c12125a00cdf074ac4e628138aac112a58082f0ead77ffde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95ef3685860928d3c12125a00cdf074ac4e628138aac112a58082f0ead77ffde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2026-08-05T13:56:11.868130Z</t>
        </is>
      </c>
      <c r="BI101" s="24" t="inlineStr">
        <is>
          <t>["same_event","same_team_same_day","same_league_same_day"]</t>
        </is>
      </c>
      <c r="BJ101" s="25" t="n"/>
      <c r="BK101" s="26" t="n">
        <v>138</v>
      </c>
      <c r="BL101" s="27" t="n">
        <v>2.38</v>
      </c>
      <c r="BM101" s="28" t="n">
        <v>0.420168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1a27664be694457f</t>
        </is>
      </c>
      <c r="B102" s="24" t="inlineStr">
        <is>
          <t>2026-08-05T13:56:36.539226Z</t>
        </is>
      </c>
      <c r="C102" s="24" t="inlineStr">
        <is>
          <t>2026-08-05T16:30:00Z</t>
        </is>
      </c>
      <c r="D102" s="24" t="inlineStr">
        <is>
          <t>69845</t>
        </is>
      </c>
      <c r="E102" s="24" t="inlineStr">
        <is>
          <t>CS2</t>
        </is>
      </c>
      <c r="F102" s="24" t="inlineStr">
        <is>
          <t>mokrivskiy Club</t>
        </is>
      </c>
      <c r="G102" s="24" t="inlineStr">
        <is>
          <t>Recrent Club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127</v>
      </c>
      <c r="M102" s="27" t="n">
        <v>2.27</v>
      </c>
      <c r="N102" s="28" t="n">
        <v>0.440529</v>
      </c>
      <c r="O102" s="28" t="n">
        <v>0.514946</v>
      </c>
      <c r="P102" s="28" t="n"/>
      <c r="Q102" s="28" t="n">
        <v>0.074417</v>
      </c>
      <c r="R102" s="26" t="n">
        <v>57</v>
      </c>
      <c r="S102" s="29" t="n">
        <v>1</v>
      </c>
      <c r="T102" s="24" t="inlineStr">
        <is>
          <t>cs2-tiered-elo-v6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0.4400 (market_slug=aec-cs2-rce-mco-2026-08-05).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mokrivskiy Club</t>
        </is>
      </c>
      <c r="AQ102" s="24" t="inlineStr">
        <is>
          <t>mokrivskiy Club</t>
        </is>
      </c>
      <c r="AR102" s="24" t="inlineStr">
        <is>
          <t>mokrivskiy Club</t>
        </is>
      </c>
      <c r="AS102" s="24" t="inlineStr">
        <is>
          <t>Recrent Club</t>
        </is>
      </c>
      <c r="AT102" s="24" t="inlineStr">
        <is>
          <t>Recrent Club</t>
        </is>
      </c>
      <c r="AU102" s="24" t="inlineStr">
        <is>
          <t>Recrent 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95ef3685860928d3c12125a00cdf074ac4e628138aac112a58082f0ead77ffde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95ef3685860928d3c12125a00cdf074ac4e628138aac112a58082f0ead77ffde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2026-08-05T13:56:12.373406Z</t>
        </is>
      </c>
      <c r="BI102" s="24" t="inlineStr">
        <is>
          <t>["same_event","same_team_same_day","same_league_same_day"]</t>
        </is>
      </c>
      <c r="BJ102" s="25" t="n"/>
      <c r="BK102" s="26" t="n">
        <v>127</v>
      </c>
      <c r="BL102" s="27" t="n">
        <v>2.27</v>
      </c>
      <c r="BM102" s="28" t="n">
        <v>0.440529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db62ed66dd9f410a</t>
        </is>
      </c>
      <c r="B103" s="24" t="inlineStr">
        <is>
          <t>2026-08-05T13:56:36.539226Z</t>
        </is>
      </c>
      <c r="C103" s="24" t="inlineStr">
        <is>
          <t>2026-08-05T17:00:00Z</t>
        </is>
      </c>
      <c r="D103" s="24" t="inlineStr">
        <is>
          <t>72534</t>
        </is>
      </c>
      <c r="E103" s="24" t="inlineStr">
        <is>
          <t>CS2</t>
        </is>
      </c>
      <c r="F103" s="24" t="inlineStr">
        <is>
          <t>Spirit Academy Green</t>
        </is>
      </c>
      <c r="G103" s="24" t="inlineStr">
        <is>
          <t>Falcons Force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-170</v>
      </c>
      <c r="M103" s="27" t="n">
        <v>1.588235</v>
      </c>
      <c r="N103" s="28" t="n">
        <v>0.62963</v>
      </c>
      <c r="O103" s="28" t="n">
        <v>0.647084</v>
      </c>
      <c r="P103" s="28" t="n"/>
      <c r="Q103" s="28" t="n">
        <v>0.017454</v>
      </c>
      <c r="R103" s="26" t="n">
        <v>29</v>
      </c>
      <c r="S103" s="29" t="n">
        <v>1.75</v>
      </c>
      <c r="T103" s="24" t="inlineStr">
        <is>
          <t>cs2-tiered-elo-v6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0.6300 (market_slug=aec-cs2-falf-sag-2026-08-05).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Spirit Academy Green</t>
        </is>
      </c>
      <c r="AQ103" s="24" t="inlineStr">
        <is>
          <t>Spirit Academy Green</t>
        </is>
      </c>
      <c r="AR103" s="24" t="inlineStr">
        <is>
          <t>Spirit Academy Green</t>
        </is>
      </c>
      <c r="AS103" s="24" t="inlineStr">
        <is>
          <t>Falcons Force</t>
        </is>
      </c>
      <c r="AT103" s="24" t="inlineStr">
        <is>
          <t>Falcons Force</t>
        </is>
      </c>
      <c r="AU103" s="24" t="inlineStr">
        <is>
          <t>Falcons Force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95ef3685860928d3c12125a00cdf074ac4e628138aac112a58082f0ead77ffde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95ef3685860928d3c12125a00cdf074ac4e628138aac112a58082f0ead77ffde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2026-08-05T13:56:13.589736Z</t>
        </is>
      </c>
      <c r="BI103" s="24" t="inlineStr">
        <is>
          <t>["same_event","same_team_same_day","same_league_same_day"]</t>
        </is>
      </c>
      <c r="BJ103" s="25" t="n"/>
      <c r="BK103" s="26" t="n">
        <v>-170</v>
      </c>
      <c r="BL103" s="27" t="n">
        <v>1.588235</v>
      </c>
      <c r="BM103" s="28" t="n">
        <v>0.62963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57d992b149ba4ba2</t>
        </is>
      </c>
      <c r="B104" s="24" t="inlineStr">
        <is>
          <t>2026-08-05T13:56:36.539226Z</t>
        </is>
      </c>
      <c r="C104" s="24" t="inlineStr">
        <is>
          <t>2026-08-05T17:00:00Z</t>
        </is>
      </c>
      <c r="D104" s="24" t="inlineStr">
        <is>
          <t>69868</t>
        </is>
      </c>
      <c r="E104" s="24" t="inlineStr">
        <is>
          <t>CS2</t>
        </is>
      </c>
      <c r="F104" s="24" t="inlineStr">
        <is>
          <t>eSuba</t>
        </is>
      </c>
      <c r="G104" s="24" t="inlineStr">
        <is>
          <t>maybe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0.565101</v>
      </c>
      <c r="P104" s="28" t="n"/>
      <c r="Q104" s="28" t="n">
        <v>-0.014731</v>
      </c>
      <c r="R104" s="26" t="n">
        <v>13</v>
      </c>
      <c r="S104" s="29" t="n">
        <v>1</v>
      </c>
      <c r="T104" s="24" t="inlineStr">
        <is>
          <t>cs2-tiered-elo-v6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0.5800 (market_slug=aec-cs2-maybe-esb-2026-08-05).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eSuba</t>
        </is>
      </c>
      <c r="AQ104" s="24" t="inlineStr">
        <is>
          <t>eSuba</t>
        </is>
      </c>
      <c r="AR104" s="24" t="inlineStr">
        <is>
          <t>eSuba</t>
        </is>
      </c>
      <c r="AS104" s="24" t="inlineStr">
        <is>
          <t>maybe</t>
        </is>
      </c>
      <c r="AT104" s="24" t="inlineStr">
        <is>
          <t>maybe</t>
        </is>
      </c>
      <c r="AU104" s="24" t="inlineStr">
        <is>
          <t>maybe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95ef3685860928d3c12125a00cdf074ac4e628138aac112a58082f0ead77ffde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95ef3685860928d3c12125a00cdf074ac4e628138aac112a58082f0ead77ffde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2026-08-05T13:56:15.700409Z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a82949dbed5a4c8e</t>
        </is>
      </c>
      <c r="B105" s="24" t="inlineStr">
        <is>
          <t>2026-08-05T13:56:36.539226Z</t>
        </is>
      </c>
      <c r="C105" s="24" t="inlineStr">
        <is>
          <t>2026-08-05T18:00:00Z</t>
        </is>
      </c>
      <c r="D105" s="24" t="inlineStr">
        <is>
          <t>72535</t>
        </is>
      </c>
      <c r="E105" s="24" t="inlineStr">
        <is>
          <t>CS2</t>
        </is>
      </c>
      <c r="F105" s="24" t="inlineStr">
        <is>
          <t>Falcons Force</t>
        </is>
      </c>
      <c r="G105" s="24" t="inlineStr">
        <is>
          <t>Privateer Gaming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223</v>
      </c>
      <c r="M105" s="27" t="n">
        <v>3.23</v>
      </c>
      <c r="N105" s="28" t="n">
        <v>0.309598</v>
      </c>
      <c r="O105" s="28" t="n">
        <v>0.510258</v>
      </c>
      <c r="P105" s="28" t="n"/>
      <c r="Q105" s="28" t="n">
        <v>0.20066</v>
      </c>
      <c r="R105" s="26" t="n">
        <v>100</v>
      </c>
      <c r="S105" s="29" t="n">
        <v>1</v>
      </c>
      <c r="T105" s="24" t="inlineStr">
        <is>
          <t>cs2-tiered-elo-v6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0.3100 (market_slug=aec-cs2-pg-falf-2026-08-05).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Falcons Force</t>
        </is>
      </c>
      <c r="AQ105" s="24" t="inlineStr">
        <is>
          <t>Falcons Force</t>
        </is>
      </c>
      <c r="AR105" s="24" t="inlineStr">
        <is>
          <t>Falcons Force</t>
        </is>
      </c>
      <c r="AS105" s="24" t="inlineStr">
        <is>
          <t>Privateer Gaming</t>
        </is>
      </c>
      <c r="AT105" s="24" t="inlineStr">
        <is>
          <t>Privateer Gaming</t>
        </is>
      </c>
      <c r="AU105" s="24" t="inlineStr">
        <is>
          <t>Privateer Gaming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95ef3685860928d3c12125a00cdf074ac4e628138aac112a58082f0ead77ffde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95ef3685860928d3c12125a00cdf074ac4e628138aac112a58082f0ead77ffde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2026-08-05T13:56:16.375066Z</t>
        </is>
      </c>
      <c r="BI105" s="24" t="inlineStr">
        <is>
          <t>["same_event","same_team_same_day","same_league_same_day"]</t>
        </is>
      </c>
      <c r="BJ105" s="25" t="n"/>
      <c r="BK105" s="26" t="n">
        <v>223</v>
      </c>
      <c r="BL105" s="27" t="n">
        <v>3.23</v>
      </c>
      <c r="BM105" s="28" t="n">
        <v>0.309598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73adf2eb7c3e46fe</t>
        </is>
      </c>
      <c r="B106" s="24" t="inlineStr">
        <is>
          <t>2026-08-05T13:56:36.539226Z</t>
        </is>
      </c>
      <c r="C106" s="24" t="inlineStr">
        <is>
          <t>2026-08-05T18:00:00Z</t>
        </is>
      </c>
      <c r="D106" s="24" t="inlineStr">
        <is>
          <t>72536</t>
        </is>
      </c>
      <c r="E106" s="24" t="inlineStr">
        <is>
          <t>CS2</t>
        </is>
      </c>
      <c r="F106" s="24" t="inlineStr">
        <is>
          <t>FAST LAYNERS</t>
        </is>
      </c>
      <c r="G106" s="24" t="inlineStr">
        <is>
          <t>TEAM_COPH9K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-150</v>
      </c>
      <c r="M106" s="27" t="n">
        <v>1.666667</v>
      </c>
      <c r="N106" s="28" t="n">
        <v>0.6</v>
      </c>
      <c r="O106" s="28" t="n">
        <v>0.553111</v>
      </c>
      <c r="P106" s="28" t="n"/>
      <c r="Q106" s="28" t="n">
        <v>-0.046889</v>
      </c>
      <c r="R106" s="26" t="n">
        <v>0</v>
      </c>
      <c r="S106" s="29" t="n">
        <v>1</v>
      </c>
      <c r="T106" s="24" t="inlineStr">
        <is>
          <t>cs2-tiered-elo-v6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0.6000 (market_slug=aec-cs2-tck-fla-2026-08-05).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FAST LAYNERS</t>
        </is>
      </c>
      <c r="AQ106" s="24" t="inlineStr">
        <is>
          <t>FAST LAYNERS</t>
        </is>
      </c>
      <c r="AR106" s="24" t="inlineStr">
        <is>
          <t>FAST LAYNERS</t>
        </is>
      </c>
      <c r="AS106" s="24" t="inlineStr">
        <is>
          <t>TEAM_COPH9K</t>
        </is>
      </c>
      <c r="AT106" s="24" t="inlineStr">
        <is>
          <t>TEAM_COPH9K</t>
        </is>
      </c>
      <c r="AU106" s="24" t="inlineStr">
        <is>
          <t>TEAM_COPH9K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95ef3685860928d3c12125a00cdf074ac4e628138aac112a58082f0ead77ffde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95ef3685860928d3c12125a00cdf074ac4e628138aac112a58082f0ead77ffde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2026-08-05T13:56:17.073187Z</t>
        </is>
      </c>
      <c r="BI106" s="24" t="inlineStr">
        <is>
          <t>["same_event","same_team_same_day","same_league_same_day"]</t>
        </is>
      </c>
      <c r="BJ106" s="25" t="n"/>
      <c r="BK106" s="26" t="n">
        <v>-150</v>
      </c>
      <c r="BL106" s="27" t="n">
        <v>1.666667</v>
      </c>
      <c r="BM106" s="28" t="n">
        <v>0.6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70cdd768caa84916</t>
        </is>
      </c>
      <c r="B107" s="24" t="inlineStr">
        <is>
          <t>2026-08-05T13:56:36.539226Z</t>
        </is>
      </c>
      <c r="C107" s="24" t="inlineStr">
        <is>
          <t>2026-08-05T18:30:00Z</t>
        </is>
      </c>
      <c r="D107" s="24" t="inlineStr">
        <is>
          <t>72538</t>
        </is>
      </c>
      <c r="E107" s="24" t="inlineStr">
        <is>
          <t>CS2</t>
        </is>
      </c>
      <c r="F107" s="24" t="inlineStr">
        <is>
          <t>Diamant Esports</t>
        </is>
      </c>
      <c r="G107" s="24" t="inlineStr">
        <is>
          <t>ZOTIX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127</v>
      </c>
      <c r="M107" s="27" t="n">
        <v>2.27</v>
      </c>
      <c r="N107" s="28" t="n">
        <v>0.440529</v>
      </c>
      <c r="O107" s="28" t="n">
        <v>0.547108</v>
      </c>
      <c r="P107" s="28" t="n"/>
      <c r="Q107" s="28" t="n">
        <v>0.106579</v>
      </c>
      <c r="R107" s="26" t="n">
        <v>73</v>
      </c>
      <c r="S107" s="29" t="n">
        <v>1</v>
      </c>
      <c r="T107" s="24" t="inlineStr">
        <is>
          <t>cs2-tiered-elo-v6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0.4400 (market_slug=aec-cs2-zotix-dei-2026-08-05).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Diamant Esports</t>
        </is>
      </c>
      <c r="AQ107" s="24" t="inlineStr">
        <is>
          <t>Diamant Esports</t>
        </is>
      </c>
      <c r="AR107" s="24" t="inlineStr">
        <is>
          <t>Diamant Esports</t>
        </is>
      </c>
      <c r="AS107" s="24" t="inlineStr">
        <is>
          <t>ZOTIX</t>
        </is>
      </c>
      <c r="AT107" s="24" t="inlineStr">
        <is>
          <t>ZOTIX</t>
        </is>
      </c>
      <c r="AU107" s="24" t="inlineStr">
        <is>
          <t>ZOTIX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95ef3685860928d3c12125a00cdf074ac4e628138aac112a58082f0ead77ffde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95ef3685860928d3c12125a00cdf074ac4e628138aac112a58082f0ead77ffde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2026-08-05T13:56:17.554534Z</t>
        </is>
      </c>
      <c r="BI107" s="24" t="inlineStr">
        <is>
          <t>["same_event","same_team_same_day","same_league_same_day"]</t>
        </is>
      </c>
      <c r="BJ107" s="25" t="n"/>
      <c r="BK107" s="26" t="n">
        <v>127</v>
      </c>
      <c r="BL107" s="27" t="n">
        <v>2.27</v>
      </c>
      <c r="BM107" s="28" t="n">
        <v>0.440529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b9e1d541cb2e4d92</t>
        </is>
      </c>
      <c r="B108" s="24" t="inlineStr">
        <is>
          <t>2026-08-05T13:56:36.539226Z</t>
        </is>
      </c>
      <c r="C108" s="24" t="inlineStr">
        <is>
          <t>2026-08-05T18:30:00Z</t>
        </is>
      </c>
      <c r="D108" s="24" t="inlineStr">
        <is>
          <t>72539</t>
        </is>
      </c>
      <c r="E108" s="24" t="inlineStr">
        <is>
          <t>CS2</t>
        </is>
      </c>
      <c r="F108" s="24" t="inlineStr">
        <is>
          <t>Esport BERG</t>
        </is>
      </c>
      <c r="G108" s="24" t="inlineStr">
        <is>
          <t>Fire Flux Esports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108</v>
      </c>
      <c r="M108" s="27" t="n">
        <v>2.08</v>
      </c>
      <c r="N108" s="28" t="n">
        <v>0.480769</v>
      </c>
      <c r="O108" s="28" t="n">
        <v>0.532242</v>
      </c>
      <c r="P108" s="28" t="n"/>
      <c r="Q108" s="28" t="n">
        <v>0.051473</v>
      </c>
      <c r="R108" s="26" t="n">
        <v>46</v>
      </c>
      <c r="S108" s="29" t="n">
        <v>1</v>
      </c>
      <c r="T108" s="24" t="inlineStr">
        <is>
          <t>cs2-tiered-elo-v6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0.4800 (market_slug=aec-cs2-ff-berg-2026-08-05).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Esport BERG</t>
        </is>
      </c>
      <c r="AQ108" s="24" t="inlineStr">
        <is>
          <t>Esport BERG</t>
        </is>
      </c>
      <c r="AR108" s="24" t="inlineStr">
        <is>
          <t>Esport BERG</t>
        </is>
      </c>
      <c r="AS108" s="24" t="inlineStr">
        <is>
          <t>Fire Flux Esports</t>
        </is>
      </c>
      <c r="AT108" s="24" t="inlineStr">
        <is>
          <t>Fire Flux Esports</t>
        </is>
      </c>
      <c r="AU108" s="24" t="inlineStr">
        <is>
          <t>Fire Flux Esports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95ef3685860928d3c12125a00cdf074ac4e628138aac112a58082f0ead77ffde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95ef3685860928d3c12125a00cdf074ac4e628138aac112a58082f0ead77ffde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2026-08-05T13:56:18.686800Z</t>
        </is>
      </c>
      <c r="BI108" s="24" t="inlineStr">
        <is>
          <t>["same_event","same_team_same_day","same_league_same_day"]</t>
        </is>
      </c>
      <c r="BJ108" s="25" t="n"/>
      <c r="BK108" s="26" t="n">
        <v>108</v>
      </c>
      <c r="BL108" s="27" t="n">
        <v>2.08</v>
      </c>
      <c r="BM108" s="28" t="n">
        <v>0.480769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55135d05fdb940f4</t>
        </is>
      </c>
      <c r="B109" s="24" t="inlineStr">
        <is>
          <t>2026-08-05T13:56:36.539226Z</t>
        </is>
      </c>
      <c r="C109" s="24" t="inlineStr">
        <is>
          <t>2026-08-05T18:30:00Z</t>
        </is>
      </c>
      <c r="D109" s="24" t="inlineStr">
        <is>
          <t>72537</t>
        </is>
      </c>
      <c r="E109" s="24" t="inlineStr">
        <is>
          <t>CS2</t>
        </is>
      </c>
      <c r="F109" s="24" t="inlineStr">
        <is>
          <t>Drama eSports</t>
        </is>
      </c>
      <c r="G109" s="24" t="inlineStr">
        <is>
          <t>PURE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0.748624</v>
      </c>
      <c r="P109" s="28" t="n"/>
      <c r="Q109" s="28" t="n">
        <v>0.267855</v>
      </c>
      <c r="R109" s="26" t="n">
        <v>100</v>
      </c>
      <c r="S109" s="29" t="n">
        <v>2</v>
      </c>
      <c r="T109" s="24" t="inlineStr">
        <is>
          <t>cs2-tiered-elo-v6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0.4800 (market_slug=aec-cs2-pure-drama-2026-08-05).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Drama eSports</t>
        </is>
      </c>
      <c r="AQ109" s="24" t="inlineStr">
        <is>
          <t>Drama eSports</t>
        </is>
      </c>
      <c r="AR109" s="24" t="inlineStr">
        <is>
          <t>Drama eSports</t>
        </is>
      </c>
      <c r="AS109" s="24" t="inlineStr">
        <is>
          <t>PURE</t>
        </is>
      </c>
      <c r="AT109" s="24" t="inlineStr">
        <is>
          <t>PURE</t>
        </is>
      </c>
      <c r="AU109" s="24" t="inlineStr">
        <is>
          <t>PURE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95ef3685860928d3c12125a00cdf074ac4e628138aac112a58082f0ead77ffde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95ef3685860928d3c12125a00cdf074ac4e628138aac112a58082f0ead77ffde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2026-08-05T13:56:19.555277Z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f6f2fb332d7a4514</t>
        </is>
      </c>
      <c r="B110" s="24" t="inlineStr">
        <is>
          <t>2026-08-05T13:56:36.539226Z</t>
        </is>
      </c>
      <c r="C110" s="24" t="inlineStr">
        <is>
          <t>2026-08-05T19:15:00Z</t>
        </is>
      </c>
      <c r="D110" s="24" t="inlineStr">
        <is>
          <t>70104</t>
        </is>
      </c>
      <c r="E110" s="24" t="inlineStr">
        <is>
          <t>CS2</t>
        </is>
      </c>
      <c r="F110" s="24" t="inlineStr">
        <is>
          <t>Morphilina Club</t>
        </is>
      </c>
      <c r="G110" s="24" t="inlineStr">
        <is>
          <t>Recrent Club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0.502793</v>
      </c>
      <c r="P110" s="28" t="n"/>
      <c r="Q110" s="28" t="n">
        <v>0.041964</v>
      </c>
      <c r="R110" s="26" t="n">
        <v>41</v>
      </c>
      <c r="S110" s="29" t="n">
        <v>1</v>
      </c>
      <c r="T110" s="24" t="inlineStr">
        <is>
          <t>cs2-tiered-elo-v6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0.4600 (market_slug=aec-cs2-rce-mcor-2026-08-05).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Morphilina Club</t>
        </is>
      </c>
      <c r="AQ110" s="24" t="inlineStr">
        <is>
          <t>Morphilina Club</t>
        </is>
      </c>
      <c r="AR110" s="24" t="inlineStr">
        <is>
          <t>Morphilina Club</t>
        </is>
      </c>
      <c r="AS110" s="24" t="inlineStr">
        <is>
          <t>Recrent Club</t>
        </is>
      </c>
      <c r="AT110" s="24" t="inlineStr">
        <is>
          <t>Recrent Club</t>
        </is>
      </c>
      <c r="AU110" s="24" t="inlineStr">
        <is>
          <t>Recrent Club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95ef3685860928d3c12125a00cdf074ac4e628138aac112a58082f0ead77ffde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95ef3685860928d3c12125a00cdf074ac4e628138aac112a58082f0ead77ffde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2026-08-05T13:56:20.207873Z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a54c22ea59c94131</t>
        </is>
      </c>
      <c r="B111" s="24" t="inlineStr">
        <is>
          <t>2026-08-05T13:56:36.539226Z</t>
        </is>
      </c>
      <c r="C111" s="24" t="inlineStr">
        <is>
          <t>2026-08-05T21:00:00Z</t>
        </is>
      </c>
      <c r="D111" s="24" t="inlineStr">
        <is>
          <t>72423</t>
        </is>
      </c>
      <c r="E111" s="24" t="inlineStr">
        <is>
          <t>CS2</t>
        </is>
      </c>
      <c r="F111" s="24" t="inlineStr">
        <is>
          <t>Grêmio Esports</t>
        </is>
      </c>
      <c r="G111" s="24" t="inlineStr">
        <is>
          <t>ALKA GAMING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-170</v>
      </c>
      <c r="M111" s="27" t="n">
        <v>1.588235</v>
      </c>
      <c r="N111" s="28" t="n">
        <v>0.62963</v>
      </c>
      <c r="O111" s="28" t="n">
        <v>0.5983579999999999</v>
      </c>
      <c r="P111" s="28" t="n"/>
      <c r="Q111" s="28" t="n">
        <v>-0.031272</v>
      </c>
      <c r="R111" s="26" t="n">
        <v>4</v>
      </c>
      <c r="S111" s="29" t="n">
        <v>1.25</v>
      </c>
      <c r="T111" s="24" t="inlineStr">
        <is>
          <t>cs2-tiered-elo-v6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0.6300 (market_slug=aec-cs2-alka-ger-2026-08-05).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Grêmio Esports</t>
        </is>
      </c>
      <c r="AQ111" s="24" t="inlineStr">
        <is>
          <t>Grêmio Esports</t>
        </is>
      </c>
      <c r="AR111" s="24" t="inlineStr">
        <is>
          <t>Grêmio Esports</t>
        </is>
      </c>
      <c r="AS111" s="24" t="inlineStr">
        <is>
          <t>ALKA GAMING</t>
        </is>
      </c>
      <c r="AT111" s="24" t="inlineStr">
        <is>
          <t>ALKA GAMING</t>
        </is>
      </c>
      <c r="AU111" s="24" t="inlineStr">
        <is>
          <t>ALKA GAMING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95ef3685860928d3c12125a00cdf074ac4e628138aac112a58082f0ead77ffde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95ef3685860928d3c12125a00cdf074ac4e628138aac112a58082f0ead77ffde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2026-08-05T13:56:21.299040Z</t>
        </is>
      </c>
      <c r="BI111" s="24" t="inlineStr">
        <is>
          <t>["same_event","same_team_same_day","same_league_same_day"]</t>
        </is>
      </c>
      <c r="BJ111" s="25" t="n"/>
      <c r="BK111" s="26" t="n">
        <v>-170</v>
      </c>
      <c r="BL111" s="27" t="n">
        <v>1.588235</v>
      </c>
      <c r="BM111" s="28" t="n">
        <v>0.62963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d23de349941a46b5</t>
        </is>
      </c>
      <c r="B112" s="24" t="inlineStr">
        <is>
          <t>2026-08-05T13:56:36.539226Z</t>
        </is>
      </c>
      <c r="C112" s="24" t="inlineStr">
        <is>
          <t>2026-08-06T08:00:00Z</t>
        </is>
      </c>
      <c r="D112" s="24" t="inlineStr">
        <is>
          <t>72490</t>
        </is>
      </c>
      <c r="E112" s="24" t="inlineStr">
        <is>
          <t>CS2</t>
        </is>
      </c>
      <c r="F112" s="24" t="inlineStr">
        <is>
          <t>Black Phoenix</t>
        </is>
      </c>
      <c r="G112" s="24" t="inlineStr">
        <is>
          <t>Lavked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138</v>
      </c>
      <c r="M112" s="27" t="n">
        <v>2.38</v>
      </c>
      <c r="N112" s="28" t="n">
        <v>0.420168</v>
      </c>
      <c r="O112" s="28" t="n">
        <v>0.530945</v>
      </c>
      <c r="P112" s="28" t="n"/>
      <c r="Q112" s="28" t="n">
        <v>0.110777</v>
      </c>
      <c r="R112" s="26" t="n">
        <v>75</v>
      </c>
      <c r="S112" s="29" t="n">
        <v>1</v>
      </c>
      <c r="T112" s="24" t="inlineStr">
        <is>
          <t>cs2-tiered-elo-v6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0.4200 (market_slug=aec-cs2-lav-bpl-2026-08-06).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Black Phoenix</t>
        </is>
      </c>
      <c r="AQ112" s="24" t="inlineStr">
        <is>
          <t>Black Phoenix</t>
        </is>
      </c>
      <c r="AR112" s="24" t="inlineStr">
        <is>
          <t>Black Phoenix</t>
        </is>
      </c>
      <c r="AS112" s="24" t="inlineStr">
        <is>
          <t>Lavked</t>
        </is>
      </c>
      <c r="AT112" s="24" t="inlineStr">
        <is>
          <t>Lavked</t>
        </is>
      </c>
      <c r="AU112" s="24" t="inlineStr">
        <is>
          <t>Lavked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95ef3685860928d3c12125a00cdf074ac4e628138aac112a58082f0ead77ffde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95ef3685860928d3c12125a00cdf074ac4e628138aac112a58082f0ead77ffde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2026-08-05T13:56:22.532084Z</t>
        </is>
      </c>
      <c r="BI112" s="24" t="inlineStr">
        <is>
          <t>["same_event","same_team_same_day","same_league_same_day"]</t>
        </is>
      </c>
      <c r="BJ112" s="25" t="n"/>
      <c r="BK112" s="26" t="n">
        <v>138</v>
      </c>
      <c r="BL112" s="27" t="n">
        <v>2.38</v>
      </c>
      <c r="BM112" s="28" t="n">
        <v>0.420168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</row>
    <row r="113" ht="36" customHeight="1">
      <c r="A113" s="24" t="inlineStr">
        <is>
          <t>c466e5cb02594e8f</t>
        </is>
      </c>
      <c r="B113" s="24" t="inlineStr">
        <is>
          <t>2026-08-05T13:56:36.539226Z</t>
        </is>
      </c>
      <c r="C113" s="24" t="inlineStr">
        <is>
          <t>2026-08-06T08:00:00Z</t>
        </is>
      </c>
      <c r="D113" s="24" t="inlineStr">
        <is>
          <t>71896</t>
        </is>
      </c>
      <c r="E113" s="24" t="inlineStr">
        <is>
          <t>CS2</t>
        </is>
      </c>
      <c r="F113" s="24" t="inlineStr">
        <is>
          <t>EAC Rising</t>
        </is>
      </c>
      <c r="G113" s="24" t="inlineStr">
        <is>
          <t>Eternal Fire Academy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0.549414</v>
      </c>
      <c r="P113" s="28" t="n"/>
      <c r="Q113" s="28" t="n">
        <v>-0.030418</v>
      </c>
      <c r="R113" s="26" t="n">
        <v>5</v>
      </c>
      <c r="S113" s="29" t="n">
        <v>1</v>
      </c>
      <c r="T113" s="24" t="inlineStr">
        <is>
          <t>cs2-tiered-elo-v6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0.5800 (market_slug=aec-cs2-efa-era-2026-08-06).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EAC Rising</t>
        </is>
      </c>
      <c r="AQ113" s="24" t="inlineStr">
        <is>
          <t>EAC Rising</t>
        </is>
      </c>
      <c r="AR113" s="24" t="inlineStr">
        <is>
          <t>EAC Rising</t>
        </is>
      </c>
      <c r="AS113" s="24" t="inlineStr">
        <is>
          <t>Eternal Fire Academy</t>
        </is>
      </c>
      <c r="AT113" s="24" t="inlineStr">
        <is>
          <t>Eternal Fire Academy</t>
        </is>
      </c>
      <c r="AU113" s="24" t="inlineStr">
        <is>
          <t>Eternal Fire Academy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95ef3685860928d3c12125a00cdf074ac4e628138aac112a58082f0ead77ffde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95ef3685860928d3c12125a00cdf074ac4e628138aac112a58082f0ead77ffde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2026-08-05T13:56:23.086668Z</t>
        </is>
      </c>
      <c r="BI113" s="24" t="inlineStr">
        <is>
          <t>["same_event","same_team_same_day","same_league_same_day"]</t>
        </is>
      </c>
      <c r="BJ113" s="25" t="n"/>
      <c r="BK113" s="26" t="n">
        <v>-138</v>
      </c>
      <c r="BL113" s="27" t="n">
        <v>1.724638</v>
      </c>
      <c r="BM113" s="28" t="n">
        <v>0.579832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</row>
    <row r="114" ht="36" customHeight="1">
      <c r="A114" s="24" t="inlineStr">
        <is>
          <t>bea66681437d4720</t>
        </is>
      </c>
      <c r="B114" s="24" t="inlineStr">
        <is>
          <t>2026-08-05T13:56:36.539226Z</t>
        </is>
      </c>
      <c r="C114" s="24" t="inlineStr">
        <is>
          <t>2026-08-06T08:00:00Z</t>
        </is>
      </c>
      <c r="D114" s="24" t="inlineStr">
        <is>
          <t>70562</t>
        </is>
      </c>
      <c r="E114" s="24" t="inlineStr">
        <is>
          <t>CS2</t>
        </is>
      </c>
      <c r="F114" s="24" t="inlineStr">
        <is>
          <t>Teletubisie</t>
        </is>
      </c>
      <c r="G114" s="24" t="inlineStr">
        <is>
          <t>WRAITH PCIFIC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122</v>
      </c>
      <c r="M114" s="27" t="n">
        <v>2.22</v>
      </c>
      <c r="N114" s="28" t="n">
        <v>0.45045</v>
      </c>
      <c r="O114" s="28" t="n">
        <v>0.606164</v>
      </c>
      <c r="P114" s="28" t="n"/>
      <c r="Q114" s="28" t="n">
        <v>0.155714</v>
      </c>
      <c r="R114" s="26" t="n">
        <v>98</v>
      </c>
      <c r="S114" s="29" t="n">
        <v>1.25</v>
      </c>
      <c r="T114" s="24" t="inlineStr">
        <is>
          <t>cs2-tiered-elo-v6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0.4500 (market_slug=aec-cs2-pcific-ttbs-2026-08-06).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Teletubisie</t>
        </is>
      </c>
      <c r="AQ114" s="24" t="inlineStr">
        <is>
          <t>Teletubisie</t>
        </is>
      </c>
      <c r="AR114" s="24" t="inlineStr">
        <is>
          <t>Teletubisie</t>
        </is>
      </c>
      <c r="AS114" s="24" t="inlineStr">
        <is>
          <t>WRAITH PCIFIC</t>
        </is>
      </c>
      <c r="AT114" s="24" t="inlineStr">
        <is>
          <t>WRAITH PCIFIC</t>
        </is>
      </c>
      <c r="AU114" s="24" t="inlineStr">
        <is>
          <t>WRAITH PCIFIC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95ef3685860928d3c12125a00cdf074ac4e628138aac112a58082f0ead77ffde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95ef3685860928d3c12125a00cdf074ac4e628138aac112a58082f0ead77ffde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2026-08-05T13:56:23.683454Z</t>
        </is>
      </c>
      <c r="BI114" s="24" t="inlineStr">
        <is>
          <t>["same_event","same_team_same_day","same_league_same_day"]</t>
        </is>
      </c>
      <c r="BJ114" s="25" t="n"/>
      <c r="BK114" s="26" t="n">
        <v>122</v>
      </c>
      <c r="BL114" s="27" t="n">
        <v>2.22</v>
      </c>
      <c r="BM114" s="28" t="n">
        <v>0.45045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</row>
    <row r="115" ht="36" customHeight="1">
      <c r="A115" s="24" t="inlineStr">
        <is>
          <t>0a7aac1682ee4252</t>
        </is>
      </c>
      <c r="B115" s="24" t="inlineStr">
        <is>
          <t>2026-08-05T13:56:36.539226Z</t>
        </is>
      </c>
      <c r="C115" s="24" t="inlineStr">
        <is>
          <t>2026-08-06T10:30:00Z</t>
        </is>
      </c>
      <c r="D115" s="24" t="inlineStr">
        <is>
          <t>70787</t>
        </is>
      </c>
      <c r="E115" s="24" t="inlineStr">
        <is>
          <t>CS2</t>
        </is>
      </c>
      <c r="F115" s="24" t="inlineStr">
        <is>
          <t>Eternal Fire Academy</t>
        </is>
      </c>
      <c r="G115" s="24" t="inlineStr">
        <is>
          <t>EAC Rising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-133</v>
      </c>
      <c r="M115" s="27" t="n">
        <v>1.75188</v>
      </c>
      <c r="N115" s="28" t="n">
        <v>0.570815</v>
      </c>
      <c r="O115" s="28" t="n">
        <v>0.607715</v>
      </c>
      <c r="P115" s="28" t="n"/>
      <c r="Q115" s="28" t="n">
        <v>0.0369</v>
      </c>
      <c r="R115" s="26" t="n">
        <v>38</v>
      </c>
      <c r="S115" s="29" t="n">
        <v>1.5</v>
      </c>
      <c r="T115" s="24" t="inlineStr">
        <is>
          <t>cs2-tiered-elo-v6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0.5700 (market_slug=aec-cs2-era-efa-2026-08-06).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Eternal Fire Academy</t>
        </is>
      </c>
      <c r="AQ115" s="24" t="inlineStr">
        <is>
          <t>Eternal Fire Academy</t>
        </is>
      </c>
      <c r="AR115" s="24" t="inlineStr">
        <is>
          <t>Eternal Fire Academy</t>
        </is>
      </c>
      <c r="AS115" s="24" t="inlineStr">
        <is>
          <t>EAC Rising</t>
        </is>
      </c>
      <c r="AT115" s="24" t="inlineStr">
        <is>
          <t>EAC Rising</t>
        </is>
      </c>
      <c r="AU115" s="24" t="inlineStr">
        <is>
          <t>EAC Rising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95ef3685860928d3c12125a00cdf074ac4e628138aac112a58082f0ead77ffde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95ef3685860928d3c12125a00cdf074ac4e628138aac112a58082f0ead77ffde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2026-08-05T13:56:26.353887Z</t>
        </is>
      </c>
      <c r="BI115" s="24" t="inlineStr">
        <is>
          <t>["same_event","same_team_same_day","same_league_same_day"]</t>
        </is>
      </c>
      <c r="BJ115" s="25" t="n"/>
      <c r="BK115" s="26" t="n">
        <v>-133</v>
      </c>
      <c r="BL115" s="27" t="n">
        <v>1.75188</v>
      </c>
      <c r="BM115" s="28" t="n">
        <v>0.570815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06af79109b5e4ac0</t>
        </is>
      </c>
      <c r="B116" s="24" t="inlineStr">
        <is>
          <t>2026-08-05T13:56:36.539226Z</t>
        </is>
      </c>
      <c r="C116" s="24" t="inlineStr">
        <is>
          <t>2026-08-06T11:00:00Z</t>
        </is>
      </c>
      <c r="D116" s="24" t="inlineStr">
        <is>
          <t>72492</t>
        </is>
      </c>
      <c r="E116" s="24" t="inlineStr">
        <is>
          <t>CS2</t>
        </is>
      </c>
      <c r="F116" s="24" t="inlineStr">
        <is>
          <t>SPARTA</t>
        </is>
      </c>
      <c r="G116" s="24" t="inlineStr">
        <is>
          <t>BET-M 33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-163</v>
      </c>
      <c r="M116" s="27" t="n">
        <v>1.613497</v>
      </c>
      <c r="N116" s="28" t="n">
        <v>0.619772</v>
      </c>
      <c r="O116" s="28" t="n">
        <v>0.55218</v>
      </c>
      <c r="P116" s="28" t="n"/>
      <c r="Q116" s="28" t="n">
        <v>-0.067592</v>
      </c>
      <c r="R116" s="26" t="n">
        <v>0</v>
      </c>
      <c r="S116" s="29" t="n">
        <v>1</v>
      </c>
      <c r="T116" s="24" t="inlineStr">
        <is>
          <t>cs2-tiered-elo-v6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0.6200 (market_slug=aec-cs2-33-sparta-2026-08-06).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SPARTA</t>
        </is>
      </c>
      <c r="AQ116" s="24" t="inlineStr">
        <is>
          <t>SPARTA</t>
        </is>
      </c>
      <c r="AR116" s="24" t="inlineStr">
        <is>
          <t>SPARTA</t>
        </is>
      </c>
      <c r="AS116" s="24" t="inlineStr">
        <is>
          <t>BET-M 33</t>
        </is>
      </c>
      <c r="AT116" s="24" t="inlineStr">
        <is>
          <t>BET-M 33</t>
        </is>
      </c>
      <c r="AU116" s="24" t="inlineStr">
        <is>
          <t>BET-M 33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95ef3685860928d3c12125a00cdf074ac4e628138aac112a58082f0ead77ffde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95ef3685860928d3c12125a00cdf074ac4e628138aac112a58082f0ead77ffde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2026-08-05T13:56:28.864994Z</t>
        </is>
      </c>
      <c r="BI116" s="24" t="inlineStr">
        <is>
          <t>["same_event","same_team_same_day","same_league_same_day"]</t>
        </is>
      </c>
      <c r="BJ116" s="25" t="n"/>
      <c r="BK116" s="26" t="n">
        <v>-163</v>
      </c>
      <c r="BL116" s="27" t="n">
        <v>1.613497</v>
      </c>
      <c r="BM116" s="28" t="n">
        <v>0.619772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5c47e14436524860</t>
        </is>
      </c>
      <c r="B117" s="24" t="inlineStr">
        <is>
          <t>2026-08-05T13:56:36.539226Z</t>
        </is>
      </c>
      <c r="C117" s="24" t="inlineStr">
        <is>
          <t>2026-08-06T12:00:00Z</t>
        </is>
      </c>
      <c r="D117" s="24" t="inlineStr">
        <is>
          <t>70636</t>
        </is>
      </c>
      <c r="E117" s="24" t="inlineStr">
        <is>
          <t>CS2</t>
        </is>
      </c>
      <c r="F117" s="24" t="inlineStr">
        <is>
          <t>shoke Club</t>
        </is>
      </c>
      <c r="G117" s="24" t="inlineStr">
        <is>
          <t>PCH3LK1N Club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178</v>
      </c>
      <c r="M117" s="27" t="n">
        <v>2.78</v>
      </c>
      <c r="N117" s="28" t="n">
        <v>0.359712</v>
      </c>
      <c r="O117" s="28" t="n">
        <v>0.514946</v>
      </c>
      <c r="P117" s="28" t="n"/>
      <c r="Q117" s="28" t="n">
        <v>0.155234</v>
      </c>
      <c r="R117" s="26" t="n">
        <v>98</v>
      </c>
      <c r="S117" s="29" t="n">
        <v>1</v>
      </c>
      <c r="T117" s="24" t="inlineStr">
        <is>
          <t>cs2-tiered-elo-v6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0.3600 (market_slug=aec-cs2-plnc-sch-2026-08-06).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shoke Club</t>
        </is>
      </c>
      <c r="AQ117" s="24" t="inlineStr">
        <is>
          <t>shoke Club</t>
        </is>
      </c>
      <c r="AR117" s="24" t="inlineStr">
        <is>
          <t>shoke Club</t>
        </is>
      </c>
      <c r="AS117" s="24" t="inlineStr">
        <is>
          <t>PCH3LK1N Club</t>
        </is>
      </c>
      <c r="AT117" s="24" t="inlineStr">
        <is>
          <t>PCH3LK1N Club</t>
        </is>
      </c>
      <c r="AU117" s="24" t="inlineStr">
        <is>
          <t>PCH3LK1N Club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95ef3685860928d3c12125a00cdf074ac4e628138aac112a58082f0ead77ffde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95ef3685860928d3c12125a00cdf074ac4e628138aac112a58082f0ead77ffde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2026-08-05T13:56:29.543005Z</t>
        </is>
      </c>
      <c r="BI117" s="24" t="inlineStr">
        <is>
          <t>["same_event","same_team_same_day","same_league_same_day"]</t>
        </is>
      </c>
      <c r="BJ117" s="25" t="n"/>
      <c r="BK117" s="26" t="n">
        <v>178</v>
      </c>
      <c r="BL117" s="27" t="n">
        <v>2.78</v>
      </c>
      <c r="BM117" s="28" t="n">
        <v>0.359712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</row>
    <row r="118" ht="36" customHeight="1">
      <c r="A118" s="24" t="inlineStr">
        <is>
          <t>800c3a7539224c26</t>
        </is>
      </c>
      <c r="B118" s="24" t="inlineStr">
        <is>
          <t>2026-08-05T13:56:36.539226Z</t>
        </is>
      </c>
      <c r="C118" s="24" t="inlineStr">
        <is>
          <t>2026-08-06T14:00:00Z</t>
        </is>
      </c>
      <c r="D118" s="24" t="inlineStr">
        <is>
          <t>72496</t>
        </is>
      </c>
      <c r="E118" s="24" t="inlineStr">
        <is>
          <t>CS2</t>
        </is>
      </c>
      <c r="F118" s="24" t="inlineStr">
        <is>
          <t>UNiTY esports</t>
        </is>
      </c>
      <c r="G118" s="24" t="inlineStr">
        <is>
          <t>Walczaki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-178</v>
      </c>
      <c r="M118" s="27" t="n">
        <v>1.561798</v>
      </c>
      <c r="N118" s="28" t="n">
        <v>0.640288</v>
      </c>
      <c r="O118" s="28" t="n">
        <v>0.619004</v>
      </c>
      <c r="P118" s="28" t="n"/>
      <c r="Q118" s="28" t="n">
        <v>-0.021284</v>
      </c>
      <c r="R118" s="26" t="n">
        <v>9</v>
      </c>
      <c r="S118" s="29" t="n">
        <v>1.5</v>
      </c>
      <c r="T118" s="24" t="inlineStr">
        <is>
          <t>cs2-tiered-elo-v6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0.6400 (market_slug=aec-cs2-wal-unity-2026-08-06).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UNiTY esports</t>
        </is>
      </c>
      <c r="AQ118" s="24" t="inlineStr">
        <is>
          <t>UNiTY esports</t>
        </is>
      </c>
      <c r="AR118" s="24" t="inlineStr">
        <is>
          <t>UNiTY esports</t>
        </is>
      </c>
      <c r="AS118" s="24" t="inlineStr">
        <is>
          <t>Walczaki</t>
        </is>
      </c>
      <c r="AT118" s="24" t="inlineStr">
        <is>
          <t>Walczaki</t>
        </is>
      </c>
      <c r="AU118" s="24" t="inlineStr">
        <is>
          <t>Walczaki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95ef3685860928d3c12125a00cdf074ac4e628138aac112a58082f0ead77ffde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95ef3685860928d3c12125a00cdf074ac4e628138aac112a58082f0ead77ffde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2026-08-05T13:56:30.204800Z</t>
        </is>
      </c>
      <c r="BI118" s="24" t="inlineStr">
        <is>
          <t>["same_event","same_team_same_day","same_league_same_day"]</t>
        </is>
      </c>
      <c r="BJ118" s="25" t="n"/>
      <c r="BK118" s="26" t="n">
        <v>-178</v>
      </c>
      <c r="BL118" s="27" t="n">
        <v>1.561798</v>
      </c>
      <c r="BM118" s="28" t="n">
        <v>0.640288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</row>
    <row r="119" ht="36" customHeight="1">
      <c r="A119" s="24" t="inlineStr">
        <is>
          <t>1ff411ded59a4a1e</t>
        </is>
      </c>
      <c r="B119" s="24" t="inlineStr">
        <is>
          <t>2026-08-05T13:56:36.539226Z</t>
        </is>
      </c>
      <c r="C119" s="24" t="inlineStr">
        <is>
          <t>2026-08-06T14:00:00Z</t>
        </is>
      </c>
      <c r="D119" s="24" t="inlineStr">
        <is>
          <t>70695</t>
        </is>
      </c>
      <c r="E119" s="24" t="inlineStr">
        <is>
          <t>CS2</t>
        </is>
      </c>
      <c r="F119" s="24" t="inlineStr">
        <is>
          <t>JAM</t>
        </is>
      </c>
      <c r="G119" s="24" t="inlineStr">
        <is>
          <t>NAVI Junior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-223</v>
      </c>
      <c r="M119" s="27" t="n">
        <v>1.44843</v>
      </c>
      <c r="N119" s="28" t="n">
        <v>0.690402</v>
      </c>
      <c r="O119" s="28" t="n">
        <v>0.545555</v>
      </c>
      <c r="P119" s="28" t="n"/>
      <c r="Q119" s="28" t="n">
        <v>-0.144847</v>
      </c>
      <c r="R119" s="26" t="n">
        <v>0</v>
      </c>
      <c r="S119" s="29" t="n">
        <v>1</v>
      </c>
      <c r="T119" s="24" t="inlineStr">
        <is>
          <t>cs2-tiered-elo-v6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Neutral Elo baseline; executable ask 0.6900 (market_slug=aec-cs2-navij-jam-2026-08-06).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NO_CALL_MODEL_UNVALIDATED</t>
        </is>
      </c>
      <c r="AP119" s="24" t="inlineStr">
        <is>
          <t>JAM</t>
        </is>
      </c>
      <c r="AQ119" s="24" t="inlineStr">
        <is>
          <t>JAM</t>
        </is>
      </c>
      <c r="AR119" s="24" t="inlineStr">
        <is>
          <t>JAM</t>
        </is>
      </c>
      <c r="AS119" s="24" t="inlineStr">
        <is>
          <t>NAVI Junior</t>
        </is>
      </c>
      <c r="AT119" s="24" t="inlineStr">
        <is>
          <t>NAVI Junior</t>
        </is>
      </c>
      <c r="AU119" s="24" t="inlineStr">
        <is>
          <t>NAVI Junior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95ef3685860928d3c12125a00cdf074ac4e628138aac112a58082f0ead77ffde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95ef3685860928d3c12125a00cdf074ac4e628138aac112a58082f0ead77ffde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2026-08-05T13:56:31.440404Z</t>
        </is>
      </c>
      <c r="BI119" s="24" t="inlineStr">
        <is>
          <t>["same_event","same_team_same_day","same_league_same_day"]</t>
        </is>
      </c>
      <c r="BJ119" s="25" t="n"/>
      <c r="BK119" s="26" t="n">
        <v>-223</v>
      </c>
      <c r="BL119" s="27" t="n">
        <v>1.44843</v>
      </c>
      <c r="BM119" s="28" t="n">
        <v>0.690402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9d4a1967821b43e2</t>
        </is>
      </c>
      <c r="B120" s="24" t="inlineStr">
        <is>
          <t>2026-08-05T13:56:36.539226Z</t>
        </is>
      </c>
      <c r="C120" s="24" t="inlineStr">
        <is>
          <t>2026-08-06T17:00:00Z</t>
        </is>
      </c>
      <c r="D120" s="24" t="inlineStr">
        <is>
          <t>72500</t>
        </is>
      </c>
      <c r="E120" s="24" t="inlineStr">
        <is>
          <t>CS2</t>
        </is>
      </c>
      <c r="F120" s="24" t="inlineStr">
        <is>
          <t>ex-RUSTEC</t>
        </is>
      </c>
      <c r="G120" s="24" t="inlineStr">
        <is>
          <t>WW Team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144</v>
      </c>
      <c r="M120" s="27" t="n">
        <v>2.44</v>
      </c>
      <c r="N120" s="28" t="n">
        <v>0.409836</v>
      </c>
      <c r="O120" s="28" t="n">
        <v>0.606374</v>
      </c>
      <c r="P120" s="28" t="n"/>
      <c r="Q120" s="28" t="n">
        <v>0.196538</v>
      </c>
      <c r="R120" s="26" t="n">
        <v>100</v>
      </c>
      <c r="S120" s="29" t="n">
        <v>1.5</v>
      </c>
      <c r="T120" s="24" t="inlineStr">
        <is>
          <t>cs2-tiered-elo-v6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Neutral Elo baseline; executable ask 0.4100 (market_slug=aec-cs2-ww-erx-2026-08-06).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NO_CALL_MODEL_UNVALIDATED</t>
        </is>
      </c>
      <c r="AP120" s="24" t="inlineStr">
        <is>
          <t>ex-RUSTEC</t>
        </is>
      </c>
      <c r="AQ120" s="24" t="inlineStr">
        <is>
          <t>ex-RUSTEC</t>
        </is>
      </c>
      <c r="AR120" s="24" t="inlineStr">
        <is>
          <t>ex-RUSTEC</t>
        </is>
      </c>
      <c r="AS120" s="24" t="inlineStr">
        <is>
          <t>WW Team</t>
        </is>
      </c>
      <c r="AT120" s="24" t="inlineStr">
        <is>
          <t>WW Team</t>
        </is>
      </c>
      <c r="AU120" s="24" t="inlineStr">
        <is>
          <t>WW Team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95ef3685860928d3c12125a00cdf074ac4e628138aac112a58082f0ead77ffde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95ef3685860928d3c12125a00cdf074ac4e628138aac112a58082f0ead77ffde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2026-08-05T13:56:33.499803Z</t>
        </is>
      </c>
      <c r="BI120" s="24" t="inlineStr">
        <is>
          <t>["same_event","same_team_same_day","same_league_same_day"]</t>
        </is>
      </c>
      <c r="BJ120" s="25" t="n"/>
      <c r="BK120" s="26" t="n">
        <v>144</v>
      </c>
      <c r="BL120" s="27" t="n">
        <v>2.44</v>
      </c>
      <c r="BM120" s="28" t="n">
        <v>0.409836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939767574b1e49e4</t>
        </is>
      </c>
      <c r="B121" s="24" t="inlineStr">
        <is>
          <t>2026-08-05T13:56:36.539226Z</t>
        </is>
      </c>
      <c r="C121" s="24" t="inlineStr">
        <is>
          <t>2026-08-06T17:00:00Z</t>
        </is>
      </c>
      <c r="D121" s="24" t="inlineStr">
        <is>
          <t>72651</t>
        </is>
      </c>
      <c r="E121" s="24" t="inlineStr">
        <is>
          <t>CS2</t>
        </is>
      </c>
      <c r="F121" s="24" t="inlineStr">
        <is>
          <t>Yawara Esports</t>
        </is>
      </c>
      <c r="G121" s="24" t="inlineStr">
        <is>
          <t>Isurus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-150</v>
      </c>
      <c r="M121" s="27" t="n">
        <v>1.666667</v>
      </c>
      <c r="N121" s="28" t="n">
        <v>0.6</v>
      </c>
      <c r="O121" s="28" t="n">
        <v>0.746375</v>
      </c>
      <c r="P121" s="28" t="n"/>
      <c r="Q121" s="28" t="n">
        <v>0.146375</v>
      </c>
      <c r="R121" s="26" t="n">
        <v>93</v>
      </c>
      <c r="S121" s="29" t="n">
        <v>2</v>
      </c>
      <c r="T121" s="24" t="inlineStr">
        <is>
          <t>cs2-tiered-elo-v6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Neutral Elo baseline; executable ask 0.6000 (market_slug=aec-cs2-isg-yaw-2026-08-06).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Yawara Esports</t>
        </is>
      </c>
      <c r="AQ121" s="24" t="inlineStr">
        <is>
          <t>Yawara Esports</t>
        </is>
      </c>
      <c r="AR121" s="24" t="inlineStr">
        <is>
          <t>Yawara Esports</t>
        </is>
      </c>
      <c r="AS121" s="24" t="inlineStr">
        <is>
          <t>Isurus</t>
        </is>
      </c>
      <c r="AT121" s="24" t="inlineStr">
        <is>
          <t>Isurus</t>
        </is>
      </c>
      <c r="AU121" s="24" t="inlineStr">
        <is>
          <t>Isurus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95ef3685860928d3c12125a00cdf074ac4e628138aac112a58082f0ead77ffde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95ef3685860928d3c12125a00cdf074ac4e628138aac112a58082f0ead77ffde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2026-08-05T13:56:34.073375Z</t>
        </is>
      </c>
      <c r="BI121" s="24" t="inlineStr">
        <is>
          <t>["same_event","same_team_same_day","same_league_same_day"]</t>
        </is>
      </c>
      <c r="BJ121" s="25" t="n"/>
      <c r="BK121" s="26" t="n">
        <v>-150</v>
      </c>
      <c r="BL121" s="27" t="n">
        <v>1.666667</v>
      </c>
      <c r="BM121" s="28" t="n">
        <v>0.6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</row>
    <row r="122" ht="36" customHeight="1">
      <c r="A122" s="24" t="inlineStr">
        <is>
          <t>131790137cac441c</t>
        </is>
      </c>
      <c r="B122" s="24" t="inlineStr">
        <is>
          <t>2026-08-05T13:56:36.539226Z</t>
        </is>
      </c>
      <c r="C122" s="24" t="inlineStr">
        <is>
          <t>2026-08-06T20:00:00Z</t>
        </is>
      </c>
      <c r="D122" s="24" t="inlineStr">
        <is>
          <t>72652</t>
        </is>
      </c>
      <c r="E122" s="24" t="inlineStr">
        <is>
          <t>CS2</t>
        </is>
      </c>
      <c r="F122" s="24" t="inlineStr">
        <is>
          <t>Procyon Gaming</t>
        </is>
      </c>
      <c r="G122" s="24" t="inlineStr">
        <is>
          <t>METANOIA WOLVES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122</v>
      </c>
      <c r="M122" s="27" t="n">
        <v>2.22</v>
      </c>
      <c r="N122" s="28" t="n">
        <v>0.45045</v>
      </c>
      <c r="O122" s="28" t="n">
        <v>0.543196</v>
      </c>
      <c r="P122" s="28" t="n"/>
      <c r="Q122" s="28" t="n">
        <v>0.092746</v>
      </c>
      <c r="R122" s="26" t="n">
        <v>66</v>
      </c>
      <c r="S122" s="29" t="n">
        <v>1</v>
      </c>
      <c r="T122" s="24" t="inlineStr">
        <is>
          <t>cs2-tiered-elo-v6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Neutral Elo baseline; executable ask 0.4500 (market_slug=aec-cs2-mw-pcy-2026-08-06).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Procyon Gaming</t>
        </is>
      </c>
      <c r="AQ122" s="24" t="inlineStr">
        <is>
          <t>Procyon Gaming</t>
        </is>
      </c>
      <c r="AR122" s="24" t="inlineStr">
        <is>
          <t>Procyon Gaming</t>
        </is>
      </c>
      <c r="AS122" s="24" t="inlineStr">
        <is>
          <t>METANOIA WOLVES</t>
        </is>
      </c>
      <c r="AT122" s="24" t="inlineStr">
        <is>
          <t>METANOIA WOLVES</t>
        </is>
      </c>
      <c r="AU122" s="24" t="inlineStr">
        <is>
          <t>METANOIA WOLVES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95ef3685860928d3c12125a00cdf074ac4e628138aac112a58082f0ead77ffde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95ef3685860928d3c12125a00cdf074ac4e628138aac112a58082f0ead77ffde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2026-08-05T13:56:35.923759Z</t>
        </is>
      </c>
      <c r="BI122" s="24" t="inlineStr">
        <is>
          <t>["same_event","same_team_same_day","same_league_same_day"]</t>
        </is>
      </c>
      <c r="BJ122" s="25" t="n"/>
      <c r="BK122" s="26" t="n">
        <v>122</v>
      </c>
      <c r="BL122" s="27" t="n">
        <v>2.22</v>
      </c>
      <c r="BM122" s="28" t="n">
        <v>0.45045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2026-08-05T13:58:59Z</dcterms:created>
  <dcterms:modified xmlns:dcterms="http://purl.org/dc/terms/" xmlns:xsi="http://www.w3.org/2001/XMLSchema-instance" xsi:type="dcterms:W3CDTF">2026-08-05T13:58:59Z</dcterms:modified>
</cp:coreProperties>
</file>