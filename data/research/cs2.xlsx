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8" headerRowCount="1">
  <autoFilter ref="A1:CO11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COUNTA('Picks'!$A$2:$A$118)</f>
        <v/>
      </c>
      <c r="C4" s="6">
        <f>COUNTIF('Picks'!$U$2:$U$118,"open")</f>
        <v/>
      </c>
      <c r="E4" s="6">
        <f>COUNTIF('Picks'!$U$2:$U$118,"settled")</f>
        <v/>
      </c>
      <c r="G4" s="6">
        <f>IF(COUNTIFS('Picks'!$U$2:$U$118,"settled",'Picks'!$V$2:$V$118,"win")+COUNTIFS('Picks'!$U$2:$U$118,"settled",'Picks'!$V$2:$V$118,"loss")&gt;=$L$2,"Ready","Insufficient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COUNTIF('Picks'!$BX$2:$BX$118,"&gt;0")</f>
        <v/>
      </c>
      <c r="C7" s="6">
        <f>COUNTIFS('Picks'!$BX$2:$BX$118,"&gt;0",'Picks'!$V$2:$V$118,"win")&amp;"-"&amp;COUNTIFS('Picks'!$BX$2:$BX$118,"&gt;0",'Picks'!$V$2:$V$118,"loss")</f>
        <v/>
      </c>
      <c r="E7" s="7">
        <f>IFERROR(COUNTIFS('Picks'!$BX$2:$BX$118,"&gt;0",'Picks'!$V$2:$V$118,"win")/(COUNTIFS('Picks'!$BX$2:$BX$118,"&gt;0",'Picks'!$V$2:$V$118,"win")+COUNTIFS('Picks'!$BX$2:$BX$118,"&gt;0",'Picks'!$V$2:$V$118,"loss")),0)</f>
        <v/>
      </c>
      <c r="G7" s="7">
        <f>IFERROR(SUM('Picks'!$BY$2:$BY$118)/SUM('Picks'!$BX$2:$BX$118),0)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SUM('Picks'!$BY$2:$BY$118)</f>
        <v/>
      </c>
      <c r="C10" s="9">
        <f>IFERROR(AVERAGEIF('Picks'!$AB$2:$AB$118,"&lt;&gt;",'Picks'!$AB$2:$AB$118),0)</f>
        <v/>
      </c>
      <c r="E10" s="6">
        <f>COUNTIFS('Picks'!$AM$2:$AM$118,"QUALIFIED_SHADOW_CALL",'Picks'!$U$2:$U$118,"settled")</f>
        <v/>
      </c>
      <c r="G10" s="8">
        <f>SUMIFS('Picks'!$AC$2:$AC$118,'Picks'!$AM$2:$AM$118,"QUALIFIED_SHADOW_CALL")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COUNTIFS('Picks'!$H$2:$H$118,$A14,'Picks'!$U$2:$U$118,"settled")</f>
        <v/>
      </c>
      <c r="C14" s="13">
        <f>COUNTIFS('Picks'!$H$2:$H$118,$A14,'Picks'!$U$2:$U$118,"settled",'Picks'!$V$2:$V$118,"win")</f>
        <v/>
      </c>
      <c r="D14" s="13">
        <f>COUNTIFS('Picks'!$H$2:$H$118,$A14,'Picks'!$U$2:$U$118,"settled",'Picks'!$V$2:$V$118,"loss")</f>
        <v/>
      </c>
      <c r="E14" s="14">
        <f>IFERROR(C14/(C14+D14),0)</f>
        <v/>
      </c>
      <c r="F14" s="15">
        <f>SUMIFS('Picks'!$BY$2:$BY$118,'Picks'!$H$2:$H$118,$A14)</f>
        <v/>
      </c>
      <c r="G14" s="16">
        <f>IFERROR(AVERAGEIFS('Picks'!$AB$2:$AB$118,'Picks'!$H$2:$H$118,$A14,'Picks'!$U$2:$U$118,"settled"),0)</f>
        <v/>
      </c>
    </row>
    <row r="15">
      <c r="A15" s="17" t="inlineStr">
        <is>
          <t>spread</t>
        </is>
      </c>
      <c r="B15" s="18">
        <f>COUNTIFS('Picks'!$H$2:$H$118,$A15,'Picks'!$U$2:$U$118,"settled")</f>
        <v/>
      </c>
      <c r="C15" s="18">
        <f>COUNTIFS('Picks'!$H$2:$H$118,$A15,'Picks'!$U$2:$U$118,"settled",'Picks'!$V$2:$V$118,"win")</f>
        <v/>
      </c>
      <c r="D15" s="18">
        <f>COUNTIFS('Picks'!$H$2:$H$118,$A15,'Picks'!$U$2:$U$118,"settled",'Picks'!$V$2:$V$118,"loss")</f>
        <v/>
      </c>
      <c r="E15" s="19">
        <f>IFERROR(C15/(C15+D15),0)</f>
        <v/>
      </c>
      <c r="F15" s="20">
        <f>SUMIFS('Picks'!$BY$2:$BY$118,'Picks'!$H$2:$H$118,$A15)</f>
        <v/>
      </c>
      <c r="G15" s="21">
        <f>IFERROR(AVERAGEIFS('Picks'!$AB$2:$AB$118,'Picks'!$H$2:$H$118,$A15,'Picks'!$U$2:$U$118,"settled"),0)</f>
        <v/>
      </c>
    </row>
    <row r="16">
      <c r="A16" s="12" t="inlineStr">
        <is>
          <t>total</t>
        </is>
      </c>
      <c r="B16" s="13">
        <f>COUNTIFS('Picks'!$H$2:$H$118,$A16,'Picks'!$U$2:$U$118,"settled")</f>
        <v/>
      </c>
      <c r="C16" s="13">
        <f>COUNTIFS('Picks'!$H$2:$H$118,$A16,'Picks'!$U$2:$U$118,"settled",'Picks'!$V$2:$V$118,"win")</f>
        <v/>
      </c>
      <c r="D16" s="13">
        <f>COUNTIFS('Picks'!$H$2:$H$118,$A16,'Picks'!$U$2:$U$118,"settled",'Picks'!$V$2:$V$118,"loss")</f>
        <v/>
      </c>
      <c r="E16" s="14">
        <f>IFERROR(C16/(C16+D16),0)</f>
        <v/>
      </c>
      <c r="F16" s="15">
        <f>SUMIFS('Picks'!$BY$2:$BY$118,'Picks'!$H$2:$H$118,$A16)</f>
        <v/>
      </c>
      <c r="G16" s="16">
        <f>IFERROR(AVERAGEIFS('Picks'!$AB$2:$AB$118,'Picks'!$H$2:$H$118,$A16,'Picks'!$U$2:$U$118,"settled"),0)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ccd360f2013e40ba</t>
        </is>
      </c>
      <c r="B2" s="24" t="inlineStr">
        <is>
          <t>2026-07-24T10:52:55.851714Z</t>
        </is>
      </c>
      <c r="C2" s="24" t="inlineStr">
        <is>
          <t>2026-07-24T11:00:00Z</t>
        </is>
      </c>
      <c r="D2" s="24" t="inlineStr">
        <is>
          <t>60433</t>
        </is>
      </c>
      <c r="E2" s="24" t="inlineStr">
        <is>
          <t>CS2</t>
        </is>
      </c>
      <c r="F2" s="24" t="inlineStr">
        <is>
          <t>ROUNDS</t>
        </is>
      </c>
      <c r="G2" s="24" t="inlineStr">
        <is>
          <t>megoshort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127</v>
      </c>
      <c r="M2" s="27" t="n">
        <v>2.27</v>
      </c>
      <c r="N2" s="28" t="n">
        <v>0.440529</v>
      </c>
      <c r="O2" s="28" t="n">
        <v>0.48672</v>
      </c>
      <c r="P2" s="28" t="n"/>
      <c r="Q2" s="28" t="n">
        <v>0.046191</v>
      </c>
      <c r="R2" s="26" t="n">
        <v>57</v>
      </c>
      <c r="S2" s="29" t="n">
        <v>0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push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2026-07-25T23:18:34.088996Z</t>
        </is>
      </c>
      <c r="AE2" s="31" t="inlineStr">
        <is>
          <t>Neutral Elo baseline; executable ask 0.4400 (market_slug=aec-cs2-mego-rgg-2026-07-24).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NO_CALL_MODEL_INELIGIBLE</t>
        </is>
      </c>
      <c r="AP2" s="24" t="inlineStr">
        <is>
          <t>ROUNDS</t>
        </is>
      </c>
      <c r="AQ2" s="24" t="inlineStr">
        <is>
          <t>ROUNDS</t>
        </is>
      </c>
      <c r="AR2" s="24" t="inlineStr">
        <is>
          <t>ROUNDS</t>
        </is>
      </c>
      <c r="AS2" s="24" t="inlineStr">
        <is>
          <t>megoshort</t>
        </is>
      </c>
      <c r="AT2" s="24" t="inlineStr">
        <is>
          <t>megoshort</t>
        </is>
      </c>
      <c r="AU2" s="24" t="inlineStr">
        <is>
          <t>megoshort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cs2-tiered-elo-v3</t>
        </is>
      </c>
      <c r="BD2" s="24" t="inlineStr">
        <is>
          <t>48424b79d75fc1173c9c465d95feb6fc041a2ccfbc64455058b3f74905ce28d5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cs2-tiered-elo-v3</t>
        </is>
      </c>
      <c r="BH2" s="24" t="inlineStr">
        <is>
          <t>2026-07-24T10:52:08.897862Z</t>
        </is>
      </c>
      <c r="BI2" s="24" t="inlineStr">
        <is>
          <t>["same_event","same_team_same_day","same_league_same_day"]</t>
        </is>
      </c>
      <c r="BJ2" s="25" t="n"/>
      <c r="BK2" s="26" t="n">
        <v>127</v>
      </c>
      <c r="BL2" s="27" t="n">
        <v>2.27</v>
      </c>
      <c r="BM2" s="28" t="n">
        <v>0.440529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model_prob_below_0.5_bug: selected side was never actually favored by the model (pre-fix esports logging bug in _log_esports_forecast, fixed 2026-07-25 with model_prob&lt;0.5 guard)</t>
        </is>
      </c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7f58b2e1b99b4a82</t>
        </is>
      </c>
      <c r="B3" s="24" t="inlineStr">
        <is>
          <t>2026-07-26T08:22:32.657968Z</t>
        </is>
      </c>
      <c r="C3" s="24" t="inlineStr">
        <is>
          <t>2026-07-26T11:00:00Z</t>
        </is>
      </c>
      <c r="D3" s="24" t="inlineStr">
        <is>
          <t>61824</t>
        </is>
      </c>
      <c r="E3" s="24" t="inlineStr">
        <is>
          <t>CS2</t>
        </is>
      </c>
      <c r="F3" s="24" t="inlineStr">
        <is>
          <t>ex-MANA eSports</t>
        </is>
      </c>
      <c r="G3" s="24" t="inlineStr">
        <is>
          <t>NEW VISION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0.621956</v>
      </c>
      <c r="P3" s="28" t="n"/>
      <c r="Q3" s="28" t="n">
        <v>0.09143999999999999</v>
      </c>
      <c r="R3" s="26" t="n">
        <v>66</v>
      </c>
      <c r="S3" s="29" t="n">
        <v>1.75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1.5487</v>
      </c>
      <c r="AD3" s="24" t="inlineStr">
        <is>
          <t>2026-07-26T17:52:22.477994Z</t>
        </is>
      </c>
      <c r="AE3" s="31" t="inlineStr">
        <is>
          <t>Neutral Elo baseline; executable ask 0.5300 (market_slug=aec-cs2-nve-exmana-2026-07-26).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ex-MANA eSports</t>
        </is>
      </c>
      <c r="AQ3" s="24" t="inlineStr">
        <is>
          <t>ex-MANA eSports</t>
        </is>
      </c>
      <c r="AR3" s="24" t="inlineStr">
        <is>
          <t>ex-MANA eSports</t>
        </is>
      </c>
      <c r="AS3" s="24" t="inlineStr">
        <is>
          <t>NEW VISION</t>
        </is>
      </c>
      <c r="AT3" s="24" t="inlineStr">
        <is>
          <t>NEW VISION</t>
        </is>
      </c>
      <c r="AU3" s="24" t="inlineStr">
        <is>
          <t>NEW VISION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2026-07-26T08:21:51.887770Z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6bfaef0a2c0b4fe1</t>
        </is>
      </c>
      <c r="B4" s="24" t="inlineStr">
        <is>
          <t>2026-07-26T12:50:13.208687Z</t>
        </is>
      </c>
      <c r="C4" s="24" t="inlineStr">
        <is>
          <t>2026-07-26T14:00:00Z</t>
        </is>
      </c>
      <c r="D4" s="24" t="inlineStr">
        <is>
          <t>61440</t>
        </is>
      </c>
      <c r="E4" s="24" t="inlineStr">
        <is>
          <t>CS2</t>
        </is>
      </c>
      <c r="F4" s="24" t="inlineStr">
        <is>
          <t>Lazer Cats</t>
        </is>
      </c>
      <c r="G4" s="24" t="inlineStr">
        <is>
          <t>STATE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0.769302</v>
      </c>
      <c r="P4" s="28" t="n"/>
      <c r="Q4" s="28" t="n">
        <v>0.269302</v>
      </c>
      <c r="R4" s="26" t="n">
        <v>100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-2</v>
      </c>
      <c r="AD4" s="24" t="inlineStr">
        <is>
          <t>2026-07-26T17:52:39.939443Z</t>
        </is>
      </c>
      <c r="AE4" s="31" t="inlineStr">
        <is>
          <t>Neutral Elo baseline; executable ask 0.5000 (market_slug=aec-cs2-sta-lc-2026-07-26).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Lazer Cats</t>
        </is>
      </c>
      <c r="AQ4" s="24" t="inlineStr">
        <is>
          <t>Lazer Cats</t>
        </is>
      </c>
      <c r="AR4" s="24" t="inlineStr">
        <is>
          <t>Lazer Cats</t>
        </is>
      </c>
      <c r="AS4" s="24" t="inlineStr">
        <is>
          <t>STATE</t>
        </is>
      </c>
      <c r="AT4" s="24" t="inlineStr">
        <is>
          <t>STATE</t>
        </is>
      </c>
      <c r="AU4" s="24" t="inlineStr">
        <is>
          <t>STATE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2026-07-26T12:49:44.422167Z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36f4eeb7a1fc4959</t>
        </is>
      </c>
      <c r="B5" s="24" t="inlineStr">
        <is>
          <t>2026-07-26T12:50:13.208687Z</t>
        </is>
      </c>
      <c r="C5" s="24" t="inlineStr">
        <is>
          <t>2026-07-26T15:00:00Z</t>
        </is>
      </c>
      <c r="D5" s="24" t="inlineStr">
        <is>
          <t>61219</t>
        </is>
      </c>
      <c r="E5" s="24" t="inlineStr">
        <is>
          <t>CS2</t>
        </is>
      </c>
      <c r="F5" s="24" t="inlineStr">
        <is>
          <t>TheMongolz</t>
        </is>
      </c>
      <c r="G5" s="24" t="inlineStr">
        <is>
          <t>Wildcard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-178</v>
      </c>
      <c r="M5" s="27" t="n">
        <v>1.561798</v>
      </c>
      <c r="N5" s="28" t="n">
        <v>0.640288</v>
      </c>
      <c r="O5" s="28" t="n">
        <v>0.702966</v>
      </c>
      <c r="P5" s="28" t="n"/>
      <c r="Q5" s="28" t="n">
        <v>0.062678</v>
      </c>
      <c r="R5" s="26" t="n">
        <v>51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1.1236</v>
      </c>
      <c r="AD5" s="24" t="inlineStr">
        <is>
          <t>2026-07-26T17:52:44.016789Z</t>
        </is>
      </c>
      <c r="AE5" s="31" t="inlineStr">
        <is>
          <t>Neutral Elo baseline; executable ask 0.6400 (market_slug=aec-cs2-wc-mglz-2026-07-26).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TheMongolz</t>
        </is>
      </c>
      <c r="AQ5" s="24" t="inlineStr">
        <is>
          <t>TheMongolz</t>
        </is>
      </c>
      <c r="AR5" s="24" t="inlineStr">
        <is>
          <t>TheMongolz</t>
        </is>
      </c>
      <c r="AS5" s="24" t="inlineStr">
        <is>
          <t>Wildcard</t>
        </is>
      </c>
      <c r="AT5" s="24" t="inlineStr">
        <is>
          <t>Wildcard</t>
        </is>
      </c>
      <c r="AU5" s="24" t="inlineStr">
        <is>
          <t>Wildcard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2026-07-26T12:49:46.102307Z</t>
        </is>
      </c>
      <c r="BI5" s="24" t="inlineStr">
        <is>
          <t>["same_event","same_team_same_day","same_league_same_day"]</t>
        </is>
      </c>
      <c r="BJ5" s="25" t="n"/>
      <c r="BK5" s="26" t="n">
        <v>-178</v>
      </c>
      <c r="BL5" s="27" t="n">
        <v>1.561798</v>
      </c>
      <c r="BM5" s="28" t="n">
        <v>0.640288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1490f707da544484</t>
        </is>
      </c>
      <c r="B6" s="24" t="inlineStr">
        <is>
          <t>2026-07-26T12:50:13.208687Z</t>
        </is>
      </c>
      <c r="C6" s="24" t="inlineStr">
        <is>
          <t>2026-07-26T16:00:00Z</t>
        </is>
      </c>
      <c r="D6" s="24" t="inlineStr">
        <is>
          <t>61948</t>
        </is>
      </c>
      <c r="E6" s="24" t="inlineStr">
        <is>
          <t>CS2</t>
        </is>
      </c>
      <c r="F6" s="24" t="inlineStr">
        <is>
          <t>NIP</t>
        </is>
      </c>
      <c r="G6" s="24" t="inlineStr">
        <is>
          <t>magic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113</v>
      </c>
      <c r="M6" s="27" t="n">
        <v>2.13</v>
      </c>
      <c r="N6" s="28" t="n">
        <v>0.469484</v>
      </c>
      <c r="O6" s="28" t="n">
        <v>0.665479</v>
      </c>
      <c r="P6" s="28" t="n"/>
      <c r="Q6" s="28" t="n">
        <v>0.195995</v>
      </c>
      <c r="R6" s="26" t="n">
        <v>100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2.26</v>
      </c>
      <c r="AD6" s="24" t="inlineStr">
        <is>
          <t>2026-07-26T18:55:39.044193Z</t>
        </is>
      </c>
      <c r="AE6" s="31" t="inlineStr">
        <is>
          <t>Neutral Elo baseline; executable ask 0.4700 (market_slug=aec-cs2-mgc-nip-2026-07-26).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NIP</t>
        </is>
      </c>
      <c r="AQ6" s="24" t="inlineStr">
        <is>
          <t>NIP</t>
        </is>
      </c>
      <c r="AR6" s="24" t="inlineStr">
        <is>
          <t>NIP</t>
        </is>
      </c>
      <c r="AS6" s="24" t="inlineStr">
        <is>
          <t>magic</t>
        </is>
      </c>
      <c r="AT6" s="24" t="inlineStr">
        <is>
          <t>magic</t>
        </is>
      </c>
      <c r="AU6" s="24" t="inlineStr">
        <is>
          <t>magic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2026-07-26T12:49:49.664310Z</t>
        </is>
      </c>
      <c r="BI6" s="24" t="inlineStr">
        <is>
          <t>["same_event","same_team_same_day","same_league_same_day"]</t>
        </is>
      </c>
      <c r="BJ6" s="25" t="n"/>
      <c r="BK6" s="26" t="n">
        <v>113</v>
      </c>
      <c r="BL6" s="27" t="n">
        <v>2.13</v>
      </c>
      <c r="BM6" s="28" t="n">
        <v>0.469484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dc27f4a4fe824b06</t>
        </is>
      </c>
      <c r="B7" s="24" t="inlineStr">
        <is>
          <t>2026-07-26T12:50:13.208687Z</t>
        </is>
      </c>
      <c r="C7" s="24" t="inlineStr">
        <is>
          <t>2026-07-26T17:00:00Z</t>
        </is>
      </c>
      <c r="D7" s="24" t="inlineStr">
        <is>
          <t>62237</t>
        </is>
      </c>
      <c r="E7" s="24" t="inlineStr">
        <is>
          <t>CS2</t>
        </is>
      </c>
      <c r="F7" s="24" t="inlineStr">
        <is>
          <t>Privateer Gaming</t>
        </is>
      </c>
      <c r="G7" s="24" t="inlineStr">
        <is>
          <t>Honvéd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0.700097</v>
      </c>
      <c r="P7" s="28" t="n"/>
      <c r="Q7" s="28" t="n">
        <v>0.08032499999999999</v>
      </c>
      <c r="R7" s="26" t="n">
        <v>60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1.227</v>
      </c>
      <c r="AD7" s="24" t="inlineStr">
        <is>
          <t>2026-07-26T19:30:47.171665Z</t>
        </is>
      </c>
      <c r="AE7" s="31" t="inlineStr">
        <is>
          <t>Neutral Elo baseline; executable ask 0.6200 (market_slug=aec-cs2-hon-pg-2026-07-26).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Privateer Gaming</t>
        </is>
      </c>
      <c r="AQ7" s="24" t="inlineStr">
        <is>
          <t>Privateer Gaming</t>
        </is>
      </c>
      <c r="AR7" s="24" t="inlineStr">
        <is>
          <t>Privateer Gaming</t>
        </is>
      </c>
      <c r="AS7" s="24" t="inlineStr">
        <is>
          <t>Honvéd</t>
        </is>
      </c>
      <c r="AT7" s="24" t="inlineStr">
        <is>
          <t>Honvéd</t>
        </is>
      </c>
      <c r="AU7" s="24" t="inlineStr">
        <is>
          <t>Honvéd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2026-07-26T12:49:51.560831Z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a02cf80a68614277</t>
        </is>
      </c>
      <c r="B8" s="24" t="inlineStr">
        <is>
          <t>2026-07-26T17:57:12.724550Z</t>
        </is>
      </c>
      <c r="C8" s="24" t="inlineStr">
        <is>
          <t>2026-07-26T18:15:00Z</t>
        </is>
      </c>
      <c r="D8" s="24" t="inlineStr">
        <is>
          <t>61472</t>
        </is>
      </c>
      <c r="E8" s="24" t="inlineStr">
        <is>
          <t>CS2</t>
        </is>
      </c>
      <c r="F8" s="24" t="inlineStr">
        <is>
          <t>mellren</t>
        </is>
      </c>
      <c r="G8" s="24" t="inlineStr">
        <is>
          <t>A Great Chaos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-194</v>
      </c>
      <c r="M8" s="27" t="n">
        <v>1.515464</v>
      </c>
      <c r="N8" s="28" t="n">
        <v>0.659864</v>
      </c>
      <c r="O8" s="28" t="n">
        <v>0.703286</v>
      </c>
      <c r="P8" s="28" t="n"/>
      <c r="Q8" s="28" t="n">
        <v>0.043422</v>
      </c>
      <c r="R8" s="26" t="n">
        <v>42</v>
      </c>
      <c r="S8" s="29" t="n">
        <v>0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2026-07-27T01:52:01.459436Z</t>
        </is>
      </c>
      <c r="AE8" s="31" t="inlineStr">
        <is>
          <t>Neutral Elo baseline; executable ask 0.6600 (market_slug=aec-cs2-agc-mel-2026-07-26).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mellren</t>
        </is>
      </c>
      <c r="AQ8" s="24" t="inlineStr">
        <is>
          <t>mellren</t>
        </is>
      </c>
      <c r="AR8" s="24" t="inlineStr">
        <is>
          <t>mellren</t>
        </is>
      </c>
      <c r="AS8" s="24" t="inlineStr">
        <is>
          <t>A Great Chaos</t>
        </is>
      </c>
      <c r="AT8" s="24" t="inlineStr">
        <is>
          <t>A Great Chaos</t>
        </is>
      </c>
      <c r="AU8" s="24" t="inlineStr">
        <is>
          <t>A Great Chaos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2026-07-26T17:57:02.105740Z</t>
        </is>
      </c>
      <c r="BI8" s="24" t="inlineStr">
        <is>
          <t>["same_event","same_team_same_day","same_league_same_day"]</t>
        </is>
      </c>
      <c r="BJ8" s="25" t="n"/>
      <c r="BK8" s="26" t="n">
        <v>-194</v>
      </c>
      <c r="BL8" s="27" t="n">
        <v>1.515464</v>
      </c>
      <c r="BM8" s="28" t="n">
        <v>0.659864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d70fc113f3034152</t>
        </is>
      </c>
      <c r="B9" s="24" t="inlineStr">
        <is>
          <t>2026-07-27T10:27:30.866418Z</t>
        </is>
      </c>
      <c r="C9" s="24" t="inlineStr">
        <is>
          <t>2026-07-27T11:00:00Z</t>
        </is>
      </c>
      <c r="D9" s="24" t="inlineStr">
        <is>
          <t>60732</t>
        </is>
      </c>
      <c r="E9" s="24" t="inlineStr">
        <is>
          <t>CS2</t>
        </is>
      </c>
      <c r="F9" s="24" t="inlineStr">
        <is>
          <t>Noir Verse</t>
        </is>
      </c>
      <c r="G9" s="24" t="inlineStr">
        <is>
          <t>ASTRAL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-203</v>
      </c>
      <c r="M9" s="27" t="n">
        <v>1.492611</v>
      </c>
      <c r="N9" s="28" t="n">
        <v>0.669967</v>
      </c>
      <c r="O9" s="28" t="n">
        <v>0.736846</v>
      </c>
      <c r="P9" s="28" t="n"/>
      <c r="Q9" s="28" t="n">
        <v>0.06687899999999999</v>
      </c>
      <c r="R9" s="26" t="n">
        <v>53</v>
      </c>
      <c r="S9" s="29" t="n">
        <v>2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2026-07-27T13:27:57.945893Z</t>
        </is>
      </c>
      <c r="AE9" s="31" t="inlineStr">
        <is>
          <t>Neutral Elo baseline; executable ask 0.6700 (market_slug=aec-cs2-astr-nvo-2026-07-27).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Noir Verse</t>
        </is>
      </c>
      <c r="AQ9" s="24" t="inlineStr">
        <is>
          <t>Noir Verse</t>
        </is>
      </c>
      <c r="AR9" s="24" t="inlineStr">
        <is>
          <t>Noir Verse</t>
        </is>
      </c>
      <c r="AS9" s="24" t="inlineStr">
        <is>
          <t>ASTRAL</t>
        </is>
      </c>
      <c r="AT9" s="24" t="inlineStr">
        <is>
          <t>ASTRAL</t>
        </is>
      </c>
      <c r="AU9" s="24" t="inlineStr">
        <is>
          <t>ASTRAL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2026-07-27T10:27:02.394501Z</t>
        </is>
      </c>
      <c r="BI9" s="24" t="inlineStr">
        <is>
          <t>["same_event","same_team_same_day","same_league_same_day"]</t>
        </is>
      </c>
      <c r="BJ9" s="25" t="n"/>
      <c r="BK9" s="26" t="n">
        <v>-203</v>
      </c>
      <c r="BL9" s="27" t="n">
        <v>1.492611</v>
      </c>
      <c r="BM9" s="28" t="n">
        <v>0.669967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a2e4473ba2dc4ac2</t>
        </is>
      </c>
      <c r="B10" s="24" t="inlineStr">
        <is>
          <t>2026-07-27T10:27:30.866418Z</t>
        </is>
      </c>
      <c r="C10" s="24" t="inlineStr">
        <is>
          <t>2026-07-27T11:00:00Z</t>
        </is>
      </c>
      <c r="D10" s="24" t="inlineStr">
        <is>
          <t>63352</t>
        </is>
      </c>
      <c r="E10" s="24" t="inlineStr">
        <is>
          <t>CS2</t>
        </is>
      </c>
      <c r="F10" s="24" t="inlineStr">
        <is>
          <t>ex-RUSTEC</t>
        </is>
      </c>
      <c r="G10" s="24" t="inlineStr">
        <is>
          <t>ex-RUBY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0.862507</v>
      </c>
      <c r="P10" s="28" t="n"/>
      <c r="Q10" s="28" t="n">
        <v>0.253132</v>
      </c>
      <c r="R10" s="26" t="n">
        <v>100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1.2821</v>
      </c>
      <c r="AD10" s="24" t="inlineStr">
        <is>
          <t>2026-07-27T13:27:59.189348Z</t>
        </is>
      </c>
      <c r="AE10" s="31" t="inlineStr">
        <is>
          <t>Neutral Elo baseline; executable ask 0.6100 (market_slug=aec-cs2-exruby-erx-2026-07-27).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ex-RUSTEC</t>
        </is>
      </c>
      <c r="AQ10" s="24" t="inlineStr">
        <is>
          <t>ex-RUSTEC</t>
        </is>
      </c>
      <c r="AR10" s="24" t="inlineStr">
        <is>
          <t>ex-RUSTEC</t>
        </is>
      </c>
      <c r="AS10" s="24" t="inlineStr">
        <is>
          <t>ex-RUBY</t>
        </is>
      </c>
      <c r="AT10" s="24" t="inlineStr">
        <is>
          <t>ex-RUBY</t>
        </is>
      </c>
      <c r="AU10" s="24" t="inlineStr">
        <is>
          <t>ex-RUBY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2026-07-27T10:27:03.352513Z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18433aef54b14feb</t>
        </is>
      </c>
      <c r="B11" s="24" t="inlineStr">
        <is>
          <t>2026-07-27T10:27:30.866418Z</t>
        </is>
      </c>
      <c r="C11" s="24" t="inlineStr">
        <is>
          <t>2026-07-27T11:00:00Z</t>
        </is>
      </c>
      <c r="D11" s="24" t="inlineStr">
        <is>
          <t>63351</t>
        </is>
      </c>
      <c r="E11" s="24" t="inlineStr">
        <is>
          <t>CS2</t>
        </is>
      </c>
      <c r="F11" s="24" t="inlineStr">
        <is>
          <t>Benched gods</t>
        </is>
      </c>
      <c r="G11" s="24" t="inlineStr">
        <is>
          <t>Black Phoenix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104</v>
      </c>
      <c r="M11" s="27" t="n">
        <v>2.04</v>
      </c>
      <c r="N11" s="28" t="n">
        <v>0.490196</v>
      </c>
      <c r="O11" s="28" t="n">
        <v>0.629085</v>
      </c>
      <c r="P11" s="28" t="n"/>
      <c r="Q11" s="28" t="n">
        <v>0.138889</v>
      </c>
      <c r="R11" s="26" t="n">
        <v>89</v>
      </c>
      <c r="S11" s="29" t="n">
        <v>0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2026-07-27T16:09:01.989713Z</t>
        </is>
      </c>
      <c r="AE11" s="31" t="inlineStr">
        <is>
          <t>Neutral Elo baseline; executable ask 0.4900 (market_slug=aec-cs2-bpl-bge-2026-07-27).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Benched gods</t>
        </is>
      </c>
      <c r="AQ11" s="24" t="inlineStr">
        <is>
          <t>Benched gods</t>
        </is>
      </c>
      <c r="AR11" s="24" t="inlineStr">
        <is>
          <t>Benched gods</t>
        </is>
      </c>
      <c r="AS11" s="24" t="inlineStr">
        <is>
          <t>Black Phoenix</t>
        </is>
      </c>
      <c r="AT11" s="24" t="inlineStr">
        <is>
          <t>Black Phoenix</t>
        </is>
      </c>
      <c r="AU11" s="24" t="inlineStr">
        <is>
          <t>Black Phoenix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2026-07-27T10:27:03.893606Z</t>
        </is>
      </c>
      <c r="BI11" s="24" t="inlineStr">
        <is>
          <t>["same_event","same_team_same_day","same_league_same_day"]</t>
        </is>
      </c>
      <c r="BJ11" s="25" t="n"/>
      <c r="BK11" s="26" t="n">
        <v>104</v>
      </c>
      <c r="BL11" s="27" t="n">
        <v>2.04</v>
      </c>
      <c r="BM11" s="28" t="n">
        <v>0.490196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2d614c810b014ac4</t>
        </is>
      </c>
      <c r="B12" s="24" t="inlineStr">
        <is>
          <t>2026-07-27T10:27:30.866418Z</t>
        </is>
      </c>
      <c r="C12" s="24" t="inlineStr">
        <is>
          <t>2026-07-27T11:00:00Z</t>
        </is>
      </c>
      <c r="D12" s="24" t="inlineStr">
        <is>
          <t>60729</t>
        </is>
      </c>
      <c r="E12" s="24" t="inlineStr">
        <is>
          <t>CS2</t>
        </is>
      </c>
      <c r="F12" s="24" t="inlineStr">
        <is>
          <t>Mai Tai</t>
        </is>
      </c>
      <c r="G12" s="24" t="inlineStr">
        <is>
          <t>UNiTY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0.539211</v>
      </c>
      <c r="P12" s="28" t="n"/>
      <c r="Q12" s="28" t="n">
        <v>-0.101077</v>
      </c>
      <c r="R12" s="26" t="n">
        <v>0</v>
      </c>
      <c r="S12" s="29" t="n">
        <v>0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2026-07-27T13:28:01.359998Z</t>
        </is>
      </c>
      <c r="AE12" s="31" t="inlineStr">
        <is>
          <t>Neutral Elo baseline; executable ask 0.6400 (market_slug=aec-cs2-unity-mta-2026-07-27).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Mai Tai</t>
        </is>
      </c>
      <c r="AQ12" s="24" t="inlineStr">
        <is>
          <t>Mai Tai</t>
        </is>
      </c>
      <c r="AR12" s="24" t="inlineStr">
        <is>
          <t>Mai Tai</t>
        </is>
      </c>
      <c r="AS12" s="24" t="inlineStr">
        <is>
          <t>UNiTY esports</t>
        </is>
      </c>
      <c r="AT12" s="24" t="inlineStr">
        <is>
          <t>UNiTY esports</t>
        </is>
      </c>
      <c r="AU12" s="24" t="inlineStr">
        <is>
          <t>UNiTY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2026-07-27T10:27:04.366441Z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23a1cd38bdc74392</t>
        </is>
      </c>
      <c r="B13" s="24" t="inlineStr">
        <is>
          <t>2026-07-27T10:27:30.866418Z</t>
        </is>
      </c>
      <c r="C13" s="24" t="inlineStr">
        <is>
          <t>2026-07-27T12:00:00Z</t>
        </is>
      </c>
      <c r="D13" s="24" t="inlineStr">
        <is>
          <t>60736</t>
        </is>
      </c>
      <c r="E13" s="24" t="inlineStr">
        <is>
          <t>CS2</t>
        </is>
      </c>
      <c r="F13" s="24" t="inlineStr">
        <is>
          <t>Atputies</t>
        </is>
      </c>
      <c r="G13" s="24" t="inlineStr">
        <is>
          <t>Noir Verse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0.610293</v>
      </c>
      <c r="P13" s="28" t="n"/>
      <c r="Q13" s="28" t="n">
        <v>0.210293</v>
      </c>
      <c r="R13" s="26" t="n">
        <v>100</v>
      </c>
      <c r="S13" s="29" t="n">
        <v>1.5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-1.5</v>
      </c>
      <c r="AD13" s="24" t="inlineStr">
        <is>
          <t>2026-07-27T13:28:02.496927Z</t>
        </is>
      </c>
      <c r="AE13" s="31" t="inlineStr">
        <is>
          <t>Neutral Elo baseline; executable ask 0.4000 (market_slug=aec-cs2-nvo-atp-2026-07-27).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Atputies</t>
        </is>
      </c>
      <c r="AQ13" s="24" t="inlineStr">
        <is>
          <t>Atputies</t>
        </is>
      </c>
      <c r="AR13" s="24" t="inlineStr">
        <is>
          <t>Atputies</t>
        </is>
      </c>
      <c r="AS13" s="24" t="inlineStr">
        <is>
          <t>Noir Verse</t>
        </is>
      </c>
      <c r="AT13" s="24" t="inlineStr">
        <is>
          <t>Noir Verse</t>
        </is>
      </c>
      <c r="AU13" s="24" t="inlineStr">
        <is>
          <t>Noir Verse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e9c327ce15d79aaa8ed5032a6fb86929aaa479e14a8bc9a35686411400dd6b91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e9c327ce15d79aaa8ed5032a6fb86929aaa479e14a8bc9a35686411400dd6b91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2026-07-27T10:27:05.476395Z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d94baaebfbd64a2e</t>
        </is>
      </c>
      <c r="B14" s="24" t="inlineStr">
        <is>
          <t>2026-07-27T13:31:52.156513Z</t>
        </is>
      </c>
      <c r="C14" s="24" t="inlineStr">
        <is>
          <t>2026-07-27T14:00:00Z</t>
        </is>
      </c>
      <c r="D14" s="24" t="inlineStr">
        <is>
          <t>63303</t>
        </is>
      </c>
      <c r="E14" s="24" t="inlineStr">
        <is>
          <t>CS2</t>
        </is>
      </c>
      <c r="F14" s="24" t="inlineStr">
        <is>
          <t>Inner Circle Academy</t>
        </is>
      </c>
      <c r="G14" s="24" t="inlineStr">
        <is>
          <t>ex-RUSTEC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0.652309</v>
      </c>
      <c r="P14" s="28" t="n"/>
      <c r="Q14" s="28" t="n">
        <v>0.032537</v>
      </c>
      <c r="R14" s="26" t="n">
        <v>36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2026-07-27T16:32:18.485840Z</t>
        </is>
      </c>
      <c r="AE14" s="31" t="inlineStr">
        <is>
          <t>Neutral Elo baseline; executable ask 0.6200 (market_slug=aec-cs2-erx-ica-2026-07-27).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Inner Circle Academy</t>
        </is>
      </c>
      <c r="AQ14" s="24" t="inlineStr">
        <is>
          <t>Inner Circle Academy</t>
        </is>
      </c>
      <c r="AR14" s="24" t="inlineStr">
        <is>
          <t>Inner Circle Academy</t>
        </is>
      </c>
      <c r="AS14" s="24" t="inlineStr">
        <is>
          <t>ex-RUSTEC</t>
        </is>
      </c>
      <c r="AT14" s="24" t="inlineStr">
        <is>
          <t>ex-RUSTEC</t>
        </is>
      </c>
      <c r="AU14" s="24" t="inlineStr">
        <is>
          <t>ex-RUSTEC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d55450e581d49c9cac62c08b0f9a47fad2adbce61565b9ce26f93fb0e665f4f9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d55450e581d49c9cac62c08b0f9a47fad2adbce61565b9ce26f93fb0e665f4f9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2026-07-27T13:31:26.771058Z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13ca41647d4e4a0d</t>
        </is>
      </c>
      <c r="B15" s="24" t="inlineStr">
        <is>
          <t>2026-07-27T13:31:52.156513Z</t>
        </is>
      </c>
      <c r="C15" s="24" t="inlineStr">
        <is>
          <t>2026-07-27T14:00:00Z</t>
        </is>
      </c>
      <c r="D15" s="24" t="inlineStr">
        <is>
          <t>63354</t>
        </is>
      </c>
      <c r="E15" s="24" t="inlineStr">
        <is>
          <t>CS2</t>
        </is>
      </c>
      <c r="F15" s="24" t="inlineStr">
        <is>
          <t>SPARTA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-133</v>
      </c>
      <c r="M15" s="27" t="n">
        <v>1.75188</v>
      </c>
      <c r="N15" s="28" t="n">
        <v>0.570815</v>
      </c>
      <c r="O15" s="28" t="n">
        <v>0.550435</v>
      </c>
      <c r="P15" s="28" t="n"/>
      <c r="Q15" s="28" t="n">
        <v>-0.02038</v>
      </c>
      <c r="R15" s="26" t="n">
        <v>10</v>
      </c>
      <c r="S15" s="29" t="n">
        <v>0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0</v>
      </c>
      <c r="AD15" s="24" t="inlineStr">
        <is>
          <t>2026-07-27T17:03:36.426866Z</t>
        </is>
      </c>
      <c r="AE15" s="31" t="inlineStr">
        <is>
          <t>Neutral Elo baseline; executable ask 0.5700 (market_slug=aec-cs2-g1-sparta-2026-07-27).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SPARTA</t>
        </is>
      </c>
      <c r="AQ15" s="24" t="inlineStr">
        <is>
          <t>SPARTA</t>
        </is>
      </c>
      <c r="AR15" s="24" t="inlineStr">
        <is>
          <t>SPARTA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d55450e581d49c9cac62c08b0f9a47fad2adbce61565b9ce26f93fb0e665f4f9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d55450e581d49c9cac62c08b0f9a47fad2adbce61565b9ce26f93fb0e665f4f9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2026-07-27T13:31:27.241966Z</t>
        </is>
      </c>
      <c r="BI15" s="24" t="inlineStr">
        <is>
          <t>["same_event","same_team_same_day","same_league_same_day"]</t>
        </is>
      </c>
      <c r="BJ15" s="25" t="n"/>
      <c r="BK15" s="26" t="n">
        <v>-133</v>
      </c>
      <c r="BL15" s="27" t="n">
        <v>1.75188</v>
      </c>
      <c r="BM15" s="28" t="n">
        <v>0.570815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f7d181a644b349e7</t>
        </is>
      </c>
      <c r="B16" s="24" t="inlineStr">
        <is>
          <t>2026-07-27T13:31:52.156513Z</t>
        </is>
      </c>
      <c r="C16" s="24" t="inlineStr">
        <is>
          <t>2026-07-27T14:00:00Z</t>
        </is>
      </c>
      <c r="D16" s="24" t="inlineStr">
        <is>
          <t>63353</t>
        </is>
      </c>
      <c r="E16" s="24" t="inlineStr">
        <is>
          <t>CS2</t>
        </is>
      </c>
      <c r="F16" s="24" t="inlineStr">
        <is>
          <t>SAW Youngsters</t>
        </is>
      </c>
      <c r="G16" s="24" t="inlineStr">
        <is>
          <t>Rune Eaters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-163</v>
      </c>
      <c r="M16" s="27" t="n">
        <v>1.613497</v>
      </c>
      <c r="N16" s="28" t="n">
        <v>0.619772</v>
      </c>
      <c r="O16" s="28" t="n">
        <v>0.563841</v>
      </c>
      <c r="P16" s="28" t="n"/>
      <c r="Q16" s="28" t="n">
        <v>-0.055931</v>
      </c>
      <c r="R16" s="26" t="n">
        <v>0</v>
      </c>
      <c r="S16" s="29" t="n">
        <v>0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2026-07-27T16:09:05.326701Z</t>
        </is>
      </c>
      <c r="AE16" s="31" t="inlineStr">
        <is>
          <t>Neutral Elo baseline; executable ask 0.6200 (market_slug=aec-cs2-re-sawy-2026-07-27).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SAW Youngsters</t>
        </is>
      </c>
      <c r="AQ16" s="24" t="inlineStr">
        <is>
          <t>SAW Youngsters</t>
        </is>
      </c>
      <c r="AR16" s="24" t="inlineStr">
        <is>
          <t>SAW Youngsters</t>
        </is>
      </c>
      <c r="AS16" s="24" t="inlineStr">
        <is>
          <t>Rune Eaters</t>
        </is>
      </c>
      <c r="AT16" s="24" t="inlineStr">
        <is>
          <t>Rune Eaters</t>
        </is>
      </c>
      <c r="AU16" s="24" t="inlineStr">
        <is>
          <t>Rune Eaters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d55450e581d49c9cac62c08b0f9a47fad2adbce61565b9ce26f93fb0e665f4f9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d55450e581d49c9cac62c08b0f9a47fad2adbce61565b9ce26f93fb0e665f4f9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2026-07-27T13:31:27.716035Z</t>
        </is>
      </c>
      <c r="BI16" s="24" t="inlineStr">
        <is>
          <t>["same_event","same_team_same_day","same_league_same_day"]</t>
        </is>
      </c>
      <c r="BJ16" s="25" t="n"/>
      <c r="BK16" s="26" t="n">
        <v>-163</v>
      </c>
      <c r="BL16" s="27" t="n">
        <v>1.613497</v>
      </c>
      <c r="BM16" s="28" t="n">
        <v>0.619772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4897241dec7e4460</t>
        </is>
      </c>
      <c r="B17" s="24" t="inlineStr">
        <is>
          <t>2026-07-27T13:31:52.156513Z</t>
        </is>
      </c>
      <c r="C17" s="24" t="inlineStr">
        <is>
          <t>2026-07-27T14:00:00Z</t>
        </is>
      </c>
      <c r="D17" s="24" t="inlineStr">
        <is>
          <t>60748</t>
        </is>
      </c>
      <c r="E17" s="24" t="inlineStr">
        <is>
          <t>CS2</t>
        </is>
      </c>
      <c r="F17" s="24" t="inlineStr">
        <is>
          <t>Misa Esports</t>
        </is>
      </c>
      <c r="G17" s="24" t="inlineStr">
        <is>
          <t>Black Phoenix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0.538172</v>
      </c>
      <c r="P17" s="28" t="n"/>
      <c r="Q17" s="28" t="n">
        <v>-0.102116</v>
      </c>
      <c r="R17" s="26" t="n">
        <v>0</v>
      </c>
      <c r="S17" s="29" t="n">
        <v>0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2026-07-27T17:03:37.717594Z</t>
        </is>
      </c>
      <c r="AE17" s="31" t="inlineStr">
        <is>
          <t>Neutral Elo baseline; executable ask 0.6400 (market_slug=aec-cs2-bpl-misa-2026-07-27).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Misa Esports</t>
        </is>
      </c>
      <c r="AQ17" s="24" t="inlineStr">
        <is>
          <t>Misa Esports</t>
        </is>
      </c>
      <c r="AR17" s="24" t="inlineStr">
        <is>
          <t>Misa Esports</t>
        </is>
      </c>
      <c r="AS17" s="24" t="inlineStr">
        <is>
          <t>Black Phoenix</t>
        </is>
      </c>
      <c r="AT17" s="24" t="inlineStr">
        <is>
          <t>Black Phoenix</t>
        </is>
      </c>
      <c r="AU17" s="24" t="inlineStr">
        <is>
          <t>Black Phoenix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d55450e581d49c9cac62c08b0f9a47fad2adbce61565b9ce26f93fb0e665f4f9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d55450e581d49c9cac62c08b0f9a47fad2adbce61565b9ce26f93fb0e665f4f9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2026-07-27T13:31:28.222165Z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8ff4294220a9430c</t>
        </is>
      </c>
      <c r="B18" s="24" t="inlineStr">
        <is>
          <t>2026-07-27T13:31:52.156513Z</t>
        </is>
      </c>
      <c r="C18" s="24" t="inlineStr">
        <is>
          <t>2026-07-27T16:30:00Z</t>
        </is>
      </c>
      <c r="D18" s="24" t="inlineStr">
        <is>
          <t>60788</t>
        </is>
      </c>
      <c r="E18" s="24" t="inlineStr">
        <is>
          <t>CS2</t>
        </is>
      </c>
      <c r="F18" s="24" t="inlineStr">
        <is>
          <t>MOUZ NXT</t>
        </is>
      </c>
      <c r="G18" s="24" t="inlineStr">
        <is>
          <t>Brute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-156</v>
      </c>
      <c r="M18" s="27" t="n">
        <v>1.641026</v>
      </c>
      <c r="N18" s="28" t="n">
        <v>0.609375</v>
      </c>
      <c r="O18" s="28" t="n">
        <v>0.658722</v>
      </c>
      <c r="P18" s="28" t="n"/>
      <c r="Q18" s="28" t="n">
        <v>0.049347</v>
      </c>
      <c r="R18" s="26" t="n">
        <v>45</v>
      </c>
      <c r="S18" s="29" t="n">
        <v>2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1.2821</v>
      </c>
      <c r="AD18" s="24" t="inlineStr">
        <is>
          <t>2026-07-27T19:47:14.211302Z</t>
        </is>
      </c>
      <c r="AE18" s="31" t="inlineStr">
        <is>
          <t>Neutral Elo baseline; executable ask 0.6100 (market_slug=aec-cs2-brute-mouzn-2026-07-27).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 NXT</t>
        </is>
      </c>
      <c r="AQ18" s="24" t="inlineStr">
        <is>
          <t>MOUZ NXT</t>
        </is>
      </c>
      <c r="AR18" s="24" t="inlineStr">
        <is>
          <t>MOUZ NXT</t>
        </is>
      </c>
      <c r="AS18" s="24" t="inlineStr">
        <is>
          <t>Brute</t>
        </is>
      </c>
      <c r="AT18" s="24" t="inlineStr">
        <is>
          <t>Brute</t>
        </is>
      </c>
      <c r="AU18" s="24" t="inlineStr">
        <is>
          <t>Brute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d55450e581d49c9cac62c08b0f9a47fad2adbce61565b9ce26f93fb0e665f4f9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d55450e581d49c9cac62c08b0f9a47fad2adbce61565b9ce26f93fb0e665f4f9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2026-07-27T13:31:31.182868Z</t>
        </is>
      </c>
      <c r="BI18" s="24" t="inlineStr">
        <is>
          <t>["same_event","same_team_same_day","same_league_same_day"]</t>
        </is>
      </c>
      <c r="BJ18" s="25" t="n"/>
      <c r="BK18" s="26" t="n">
        <v>-156</v>
      </c>
      <c r="BL18" s="27" t="n">
        <v>1.641026</v>
      </c>
      <c r="BM18" s="28" t="n">
        <v>0.609375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a4054a1c905c46da</t>
        </is>
      </c>
      <c r="B19" s="24" t="inlineStr">
        <is>
          <t>2026-07-27T16:36:41.723874Z</t>
        </is>
      </c>
      <c r="C19" s="24" t="inlineStr">
        <is>
          <t>2026-07-27T17:00:00Z</t>
        </is>
      </c>
      <c r="D19" s="24" t="inlineStr">
        <is>
          <t>60795</t>
        </is>
      </c>
      <c r="E19" s="24" t="inlineStr">
        <is>
          <t>CS2</t>
        </is>
      </c>
      <c r="F19" s="24" t="inlineStr">
        <is>
          <t>Falcons Force</t>
        </is>
      </c>
      <c r="G19" s="24" t="inlineStr">
        <is>
          <t>Bebop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0.680315</v>
      </c>
      <c r="P19" s="28" t="n"/>
      <c r="Q19" s="28" t="n">
        <v>0.07094</v>
      </c>
      <c r="R19" s="26" t="n">
        <v>55</v>
      </c>
      <c r="S19" s="29" t="n">
        <v>2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-2</v>
      </c>
      <c r="AD19" s="24" t="inlineStr">
        <is>
          <t>2026-07-27T19:47:15.379469Z</t>
        </is>
      </c>
      <c r="AE19" s="31" t="inlineStr">
        <is>
          <t>Neutral Elo baseline; executable ask 0.6100 (market_slug=aec-cs2-bbp-falf-2026-07-27).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Falcons Force</t>
        </is>
      </c>
      <c r="AQ19" s="24" t="inlineStr">
        <is>
          <t>Falcons Force</t>
        </is>
      </c>
      <c r="AR19" s="24" t="inlineStr">
        <is>
          <t>Falcons Force</t>
        </is>
      </c>
      <c r="AS19" s="24" t="inlineStr">
        <is>
          <t>Bebop</t>
        </is>
      </c>
      <c r="AT19" s="24" t="inlineStr">
        <is>
          <t>Bebop</t>
        </is>
      </c>
      <c r="AU19" s="24" t="inlineStr">
        <is>
          <t>Bebop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6329bd3e425200846e7ff17d6fd62114a73b33dcf85796cbdc7cb776105e39da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6329bd3e425200846e7ff17d6fd62114a73b33dcf85796cbdc7cb776105e39da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2026-07-27T16:36:23.363578Z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2c1ca287fd514edc</t>
        </is>
      </c>
      <c r="B20" s="24" t="inlineStr">
        <is>
          <t>2026-07-27T16:36:41.723874Z</t>
        </is>
      </c>
      <c r="C20" s="24" t="inlineStr">
        <is>
          <t>2026-07-27T17:00:00Z</t>
        </is>
      </c>
      <c r="D20" s="24" t="inlineStr">
        <is>
          <t>63356</t>
        </is>
      </c>
      <c r="E20" s="24" t="inlineStr">
        <is>
          <t>CS2</t>
        </is>
      </c>
      <c r="F20" s="24" t="inlineStr">
        <is>
          <t>Inner Circle Academy</t>
        </is>
      </c>
      <c r="G20" s="24" t="inlineStr">
        <is>
          <t>Just Players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0.5595909999999999</v>
      </c>
      <c r="P20" s="28" t="n"/>
      <c r="Q20" s="28" t="n">
        <v>-0.09075900000000001</v>
      </c>
      <c r="R20" s="26" t="n">
        <v>0</v>
      </c>
      <c r="S20" s="29" t="n">
        <v>0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</v>
      </c>
      <c r="AD20" s="24" t="inlineStr">
        <is>
          <t>2026-07-27T19:47:16.601700Z</t>
        </is>
      </c>
      <c r="AE20" s="31" t="inlineStr">
        <is>
          <t>Neutral Elo baseline; executable ask 0.6500 (market_slug=aec-cs2-jpu-ica-2026-07-27).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Inner Circle Academy</t>
        </is>
      </c>
      <c r="AQ20" s="24" t="inlineStr">
        <is>
          <t>Inner Circle Academy</t>
        </is>
      </c>
      <c r="AR20" s="24" t="inlineStr">
        <is>
          <t>Inner Circle Academy</t>
        </is>
      </c>
      <c r="AS20" s="24" t="inlineStr">
        <is>
          <t>Just Players</t>
        </is>
      </c>
      <c r="AT20" s="24" t="inlineStr">
        <is>
          <t>Just Players</t>
        </is>
      </c>
      <c r="AU20" s="24" t="inlineStr">
        <is>
          <t>Just Players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6329bd3e425200846e7ff17d6fd62114a73b33dcf85796cbdc7cb776105e39da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6329bd3e425200846e7ff17d6fd62114a73b33dcf85796cbdc7cb776105e39da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2026-07-27T16:36:24.394273Z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6538dda149344041</t>
        </is>
      </c>
      <c r="B21" s="24" t="inlineStr">
        <is>
          <t>2026-07-27T16:36:41.723874Z</t>
        </is>
      </c>
      <c r="C21" s="24" t="inlineStr">
        <is>
          <t>2026-07-27T17:00:00Z</t>
        </is>
      </c>
      <c r="D21" s="24" t="inlineStr">
        <is>
          <t>60794</t>
        </is>
      </c>
      <c r="E21" s="24" t="inlineStr">
        <is>
          <t>CS2</t>
        </is>
      </c>
      <c r="F21" s="24" t="inlineStr">
        <is>
          <t>HATERS</t>
        </is>
      </c>
      <c r="G21" s="24" t="inlineStr">
        <is>
          <t>Rush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186</v>
      </c>
      <c r="M21" s="27" t="n">
        <v>2.86</v>
      </c>
      <c r="N21" s="28" t="n">
        <v>0.34965</v>
      </c>
      <c r="O21" s="28" t="n">
        <v>0.506515</v>
      </c>
      <c r="P21" s="28" t="n"/>
      <c r="Q21" s="28" t="n">
        <v>0.156865</v>
      </c>
      <c r="R21" s="26" t="n">
        <v>98</v>
      </c>
      <c r="S21" s="29" t="n">
        <v>0.5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-0.5</v>
      </c>
      <c r="AD21" s="24" t="inlineStr">
        <is>
          <t>2026-07-27T22:51:48.309540Z</t>
        </is>
      </c>
      <c r="AE21" s="31" t="inlineStr">
        <is>
          <t>Neutral Elo baseline; executable ask 0.3500 (market_slug=aec-cs2-rush-hat-2026-07-27).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HATERS</t>
        </is>
      </c>
      <c r="AQ21" s="24" t="inlineStr">
        <is>
          <t>HATERS</t>
        </is>
      </c>
      <c r="AR21" s="24" t="inlineStr">
        <is>
          <t>HATERS</t>
        </is>
      </c>
      <c r="AS21" s="24" t="inlineStr">
        <is>
          <t>Rush</t>
        </is>
      </c>
      <c r="AT21" s="24" t="inlineStr">
        <is>
          <t>Rush</t>
        </is>
      </c>
      <c r="AU21" s="24" t="inlineStr">
        <is>
          <t>Rush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6329bd3e425200846e7ff17d6fd62114a73b33dcf85796cbdc7cb776105e39da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6329bd3e425200846e7ff17d6fd62114a73b33dcf85796cbdc7cb776105e39da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2026-07-27T16:36:24.863764Z</t>
        </is>
      </c>
      <c r="BI21" s="24" t="inlineStr">
        <is>
          <t>["same_event","same_team_same_day","same_league_same_day"]</t>
        </is>
      </c>
      <c r="BJ21" s="25" t="n"/>
      <c r="BK21" s="26" t="n">
        <v>186</v>
      </c>
      <c r="BL21" s="27" t="n">
        <v>2.86</v>
      </c>
      <c r="BM21" s="28" t="n">
        <v>0.34965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aa04701e4c294a7f</t>
        </is>
      </c>
      <c r="B22" s="24" t="inlineStr">
        <is>
          <t>2026-07-27T17:08:18.026663Z</t>
        </is>
      </c>
      <c r="C22" s="24" t="inlineStr">
        <is>
          <t>2026-07-27T17:30:00Z</t>
        </is>
      </c>
      <c r="D22" s="24" t="inlineStr">
        <is>
          <t>60805</t>
        </is>
      </c>
      <c r="E22" s="24" t="inlineStr">
        <is>
          <t>CS2</t>
        </is>
      </c>
      <c r="F22" s="24" t="inlineStr">
        <is>
          <t>MOUZ NXT</t>
        </is>
      </c>
      <c r="G22" s="24" t="inlineStr">
        <is>
          <t>NAVI Junior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0.573006</v>
      </c>
      <c r="P22" s="28" t="n"/>
      <c r="Q22" s="28" t="n">
        <v>-0.056624</v>
      </c>
      <c r="R22" s="26" t="n">
        <v>0</v>
      </c>
      <c r="S22" s="29" t="n">
        <v>0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0</v>
      </c>
      <c r="AD22" s="24" t="inlineStr">
        <is>
          <t>2026-07-27T19:47:18.735287Z</t>
        </is>
      </c>
      <c r="AE22" s="31" t="inlineStr">
        <is>
          <t>Neutral Elo baseline; executable ask 0.6300 (market_slug=aec-cs2-navij-mouzn-2026-07-27).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MOUZ NXT</t>
        </is>
      </c>
      <c r="AQ22" s="24" t="inlineStr">
        <is>
          <t>MOUZ NXT</t>
        </is>
      </c>
      <c r="AR22" s="24" t="inlineStr">
        <is>
          <t>MOUZ NXT</t>
        </is>
      </c>
      <c r="AS22" s="24" t="inlineStr">
        <is>
          <t>NAVI Junior</t>
        </is>
      </c>
      <c r="AT22" s="24" t="inlineStr">
        <is>
          <t>NAVI Junior</t>
        </is>
      </c>
      <c r="AU22" s="24" t="inlineStr">
        <is>
          <t>NAVI Junior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131e6b24b579a0abf2eb74dac6edd091b7176b450ac3f8f4f38bd35710b750d7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131e6b24b579a0abf2eb74dac6edd091b7176b450ac3f8f4f38bd35710b750d7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2026-07-27T17:08:00.705639Z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b880e7fcfba0433e</t>
        </is>
      </c>
      <c r="B23" s="24" t="inlineStr">
        <is>
          <t>2026-07-27T17:38:10.535886Z</t>
        </is>
      </c>
      <c r="C23" s="24" t="inlineStr">
        <is>
          <t>2026-07-27T18:15:00Z</t>
        </is>
      </c>
      <c r="D23" s="24" t="inlineStr">
        <is>
          <t>63492</t>
        </is>
      </c>
      <c r="E23" s="24" t="inlineStr">
        <is>
          <t>CS2</t>
        </is>
      </c>
      <c r="F23" s="24" t="inlineStr">
        <is>
          <t>mellren</t>
        </is>
      </c>
      <c r="G23" s="24" t="inlineStr">
        <is>
          <t>aimclub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0.65286</v>
      </c>
      <c r="P23" s="28" t="n"/>
      <c r="Q23" s="28" t="n">
        <v>0.10331</v>
      </c>
      <c r="R23" s="26" t="n">
        <v>72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1.6393</v>
      </c>
      <c r="AD23" s="24" t="inlineStr">
        <is>
          <t>2026-07-27T22:51:49.488820Z</t>
        </is>
      </c>
      <c r="AE23" s="31" t="inlineStr">
        <is>
          <t>Neutral Elo baseline; executable ask 0.5500 (market_slug=aec-cs2-aimc-mel-2026-07-27).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mellren</t>
        </is>
      </c>
      <c r="AQ23" s="24" t="inlineStr">
        <is>
          <t>mellren</t>
        </is>
      </c>
      <c r="AR23" s="24" t="inlineStr">
        <is>
          <t>mellren</t>
        </is>
      </c>
      <c r="AS23" s="24" t="inlineStr">
        <is>
          <t>aimclub</t>
        </is>
      </c>
      <c r="AT23" s="24" t="inlineStr">
        <is>
          <t>aimclub</t>
        </is>
      </c>
      <c r="AU23" s="24" t="inlineStr">
        <is>
          <t>aimclub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867870f5311168845ab98ba889eb7970c88200d6dbd0532dbd8a6a3de3837c1a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867870f5311168845ab98ba889eb7970c88200d6dbd0532dbd8a6a3de3837c1a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2026-07-27T17:37:55.611264Z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93b5f70c558b45c0</t>
        </is>
      </c>
      <c r="B24" s="24" t="inlineStr">
        <is>
          <t>2026-07-28T05:05:50.168792Z</t>
        </is>
      </c>
      <c r="C24" s="24" t="inlineStr">
        <is>
          <t>2026-07-28T08:00:00Z</t>
        </is>
      </c>
      <c r="D24" s="24" t="inlineStr">
        <is>
          <t>63357</t>
        </is>
      </c>
      <c r="E24" s="24" t="inlineStr">
        <is>
          <t>CS2</t>
        </is>
      </c>
      <c r="F24" s="24" t="inlineStr">
        <is>
          <t>Honvéd</t>
        </is>
      </c>
      <c r="G24" s="24" t="inlineStr">
        <is>
          <t>BET-M 33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0.582559</v>
      </c>
      <c r="P24" s="28" t="n"/>
      <c r="Q24" s="28" t="n">
        <v>-0.087408</v>
      </c>
      <c r="R24" s="26" t="n">
        <v>0</v>
      </c>
      <c r="S24" s="29" t="n">
        <v>0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</v>
      </c>
      <c r="AD24" s="24" t="inlineStr">
        <is>
          <t>2026-07-28T11:12:25.605160Z</t>
        </is>
      </c>
      <c r="AE24" s="31" t="inlineStr">
        <is>
          <t>Neutral Elo baseline; executable ask 0.6700 (market_slug=aec-cs2-33-hon-2026-07-28).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Honvéd</t>
        </is>
      </c>
      <c r="AQ24" s="24" t="inlineStr">
        <is>
          <t>Honvéd</t>
        </is>
      </c>
      <c r="AR24" s="24" t="inlineStr">
        <is>
          <t>Honvéd</t>
        </is>
      </c>
      <c r="AS24" s="24" t="inlineStr">
        <is>
          <t>BET-M 33</t>
        </is>
      </c>
      <c r="AT24" s="24" t="inlineStr">
        <is>
          <t>BET-M 33</t>
        </is>
      </c>
      <c r="AU24" s="24" t="inlineStr">
        <is>
          <t>BET-M 33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40c2937bc668bb862cf7af94b4e50bd7f49459da4b5b52e8a268f7bbef6d0377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40c2937bc668bb862cf7af94b4e50bd7f49459da4b5b52e8a268f7bbef6d0377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2026-07-28T05:05:25.239075Z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093c354a28414f32</t>
        </is>
      </c>
      <c r="B25" s="24" t="inlineStr">
        <is>
          <t>2026-07-28T05:05:50.168792Z</t>
        </is>
      </c>
      <c r="C25" s="24" t="inlineStr">
        <is>
          <t>2026-07-28T08:00:00Z</t>
        </is>
      </c>
      <c r="D25" s="24" t="inlineStr">
        <is>
          <t>63306</t>
        </is>
      </c>
      <c r="E25" s="24" t="inlineStr">
        <is>
          <t>CS2</t>
        </is>
      </c>
      <c r="F25" s="24" t="inlineStr">
        <is>
          <t>ENJOY</t>
        </is>
      </c>
      <c r="G25" s="24" t="inlineStr">
        <is>
          <t>Black Phoenix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0.710969</v>
      </c>
      <c r="P25" s="28" t="n"/>
      <c r="Q25" s="28" t="n">
        <v>0.25014</v>
      </c>
      <c r="R25" s="26" t="n">
        <v>100</v>
      </c>
      <c r="S25" s="29" t="n">
        <v>2</v>
      </c>
      <c r="T25" s="24" t="inlineStr">
        <is>
          <t>cs2-tiered-elo-v4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2026-07-28T11:12:26.880937Z</t>
        </is>
      </c>
      <c r="AE25" s="31" t="inlineStr">
        <is>
          <t>Neutral Elo baseline; executable ask 0.4600 (market_slug=aec-cs2-bpl-enjoy-2026-07-28).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ENJOY</t>
        </is>
      </c>
      <c r="AQ25" s="24" t="inlineStr">
        <is>
          <t>ENJOY</t>
        </is>
      </c>
      <c r="AR25" s="24" t="inlineStr">
        <is>
          <t>ENJOY</t>
        </is>
      </c>
      <c r="AS25" s="24" t="inlineStr">
        <is>
          <t>Black Phoenix</t>
        </is>
      </c>
      <c r="AT25" s="24" t="inlineStr">
        <is>
          <t>Black Phoenix</t>
        </is>
      </c>
      <c r="AU25" s="24" t="inlineStr">
        <is>
          <t>Black Phoenix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40c2937bc668bb862cf7af94b4e50bd7f49459da4b5b52e8a268f7bbef6d0377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40c2937bc668bb862cf7af94b4e50bd7f49459da4b5b52e8a268f7bbef6d0377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2026-07-28T05:05:25.710714Z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2c82d66aa3c94dc1</t>
        </is>
      </c>
      <c r="B26" s="24" t="inlineStr">
        <is>
          <t>2026-07-28T05:05:50.168792Z</t>
        </is>
      </c>
      <c r="C26" s="24" t="inlineStr">
        <is>
          <t>2026-07-28T08:00:00Z</t>
        </is>
      </c>
      <c r="D26" s="24" t="inlineStr">
        <is>
          <t>63706</t>
        </is>
      </c>
      <c r="E26" s="24" t="inlineStr">
        <is>
          <t>CS2</t>
        </is>
      </c>
      <c r="F26" s="24" t="inlineStr">
        <is>
          <t>Mai Tai</t>
        </is>
      </c>
      <c r="G26" s="24" t="inlineStr">
        <is>
          <t>Entropy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0.609287</v>
      </c>
      <c r="P26" s="28" t="n"/>
      <c r="Q26" s="28" t="n">
        <v>0.019123</v>
      </c>
      <c r="R26" s="26" t="n">
        <v>30</v>
      </c>
      <c r="S26" s="29" t="n">
        <v>1.5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1.0417</v>
      </c>
      <c r="AD26" s="24" t="inlineStr">
        <is>
          <t>2026-07-28T11:12:28.150737Z</t>
        </is>
      </c>
      <c r="AE26" s="31" t="inlineStr">
        <is>
          <t>Neutral Elo baseline; executable ask 0.5900 (market_slug=aec-cs2-ent-mta-2026-07-28).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Mai Tai</t>
        </is>
      </c>
      <c r="AQ26" s="24" t="inlineStr">
        <is>
          <t>Mai Tai</t>
        </is>
      </c>
      <c r="AR26" s="24" t="inlineStr">
        <is>
          <t>Mai Tai</t>
        </is>
      </c>
      <c r="AS26" s="24" t="inlineStr">
        <is>
          <t>Entropy</t>
        </is>
      </c>
      <c r="AT26" s="24" t="inlineStr">
        <is>
          <t>Entropy</t>
        </is>
      </c>
      <c r="AU26" s="24" t="inlineStr">
        <is>
          <t>Entropy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40c2937bc668bb862cf7af94b4e50bd7f49459da4b5b52e8a268f7bbef6d0377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40c2937bc668bb862cf7af94b4e50bd7f49459da4b5b52e8a268f7bbef6d0377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2026-07-28T05:05:26.235601Z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4aeb4483162e48f6</t>
        </is>
      </c>
      <c r="B27" s="24" t="inlineStr">
        <is>
          <t>2026-07-28T08:11:54.722189Z</t>
        </is>
      </c>
      <c r="C27" s="24" t="inlineStr">
        <is>
          <t>2026-07-28T10:00:00Z</t>
        </is>
      </c>
      <c r="D27" s="24" t="inlineStr">
        <is>
          <t>64433</t>
        </is>
      </c>
      <c r="E27" s="24" t="inlineStr">
        <is>
          <t>CS2</t>
        </is>
      </c>
      <c r="F27" s="24" t="inlineStr">
        <is>
          <t>NAVI Junior</t>
        </is>
      </c>
      <c r="G27" s="24" t="inlineStr">
        <is>
          <t>ASTRAL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-178</v>
      </c>
      <c r="M27" s="27" t="n">
        <v>1.561798</v>
      </c>
      <c r="N27" s="28" t="n">
        <v>0.640288</v>
      </c>
      <c r="O27" s="28" t="n">
        <v>0.580775</v>
      </c>
      <c r="P27" s="28" t="n"/>
      <c r="Q27" s="28" t="n">
        <v>-0.059513</v>
      </c>
      <c r="R27" s="26" t="n">
        <v>0</v>
      </c>
      <c r="S27" s="29" t="n">
        <v>0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2026-07-28T14:18:28.305151Z</t>
        </is>
      </c>
      <c r="AE27" s="31" t="inlineStr">
        <is>
          <t>Neutral Elo baseline; executable ask 0.6400 (market_slug=aec-cs2-astr-navij-2026-07-28).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NAVI Junior</t>
        </is>
      </c>
      <c r="AQ27" s="24" t="inlineStr">
        <is>
          <t>NAVI Junior</t>
        </is>
      </c>
      <c r="AR27" s="24" t="inlineStr">
        <is>
          <t>NAVI Junior</t>
        </is>
      </c>
      <c r="AS27" s="24" t="inlineStr">
        <is>
          <t>ASTRAL</t>
        </is>
      </c>
      <c r="AT27" s="24" t="inlineStr">
        <is>
          <t>ASTRAL</t>
        </is>
      </c>
      <c r="AU27" s="24" t="inlineStr">
        <is>
          <t>ASTRAL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bc55e868a05b19a7a0abd9e0981ea1ca6d73030b07b9e89e745ea990df232cdb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bc55e868a05b19a7a0abd9e0981ea1ca6d73030b07b9e89e745ea990df232cdb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2026-07-28T08:11:30.924763Z</t>
        </is>
      </c>
      <c r="BI27" s="24" t="inlineStr">
        <is>
          <t>["same_event","same_team_same_day","same_league_same_day"]</t>
        </is>
      </c>
      <c r="BJ27" s="25" t="n"/>
      <c r="BK27" s="26" t="n">
        <v>-178</v>
      </c>
      <c r="BL27" s="27" t="n">
        <v>1.561798</v>
      </c>
      <c r="BM27" s="28" t="n">
        <v>0.640288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c91d65dba9384013</t>
        </is>
      </c>
      <c r="B28" s="24" t="inlineStr">
        <is>
          <t>2026-07-28T08:11:54.722189Z</t>
        </is>
      </c>
      <c r="C28" s="24" t="inlineStr">
        <is>
          <t>2026-07-28T10:00:00Z</t>
        </is>
      </c>
      <c r="D28" s="24" t="inlineStr">
        <is>
          <t>64432</t>
        </is>
      </c>
      <c r="E28" s="24" t="inlineStr">
        <is>
          <t>CS2</t>
        </is>
      </c>
      <c r="F28" s="24" t="inlineStr">
        <is>
          <t>MOUZ NXT</t>
        </is>
      </c>
      <c r="G28" s="24" t="inlineStr">
        <is>
          <t>Noir Verse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150</v>
      </c>
      <c r="M28" s="27" t="n">
        <v>2.5</v>
      </c>
      <c r="N28" s="28" t="n">
        <v>0.4</v>
      </c>
      <c r="O28" s="28" t="n">
        <v>0.509533</v>
      </c>
      <c r="P28" s="28" t="n"/>
      <c r="Q28" s="28" t="n">
        <v>0.109533</v>
      </c>
      <c r="R28" s="26" t="n">
        <v>75</v>
      </c>
      <c r="S28" s="29" t="n">
        <v>0.5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-0.5</v>
      </c>
      <c r="AD28" s="24" t="inlineStr">
        <is>
          <t>2026-07-28T14:18:29.601810Z</t>
        </is>
      </c>
      <c r="AE28" s="31" t="inlineStr">
        <is>
          <t>Neutral Elo baseline; executable ask 0.4000 (market_slug=aec-cs2-nvo-mouzn-2026-07-28).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MOUZ NXT</t>
        </is>
      </c>
      <c r="AQ28" s="24" t="inlineStr">
        <is>
          <t>MOUZ NXT</t>
        </is>
      </c>
      <c r="AR28" s="24" t="inlineStr">
        <is>
          <t>MOUZ NXT</t>
        </is>
      </c>
      <c r="AS28" s="24" t="inlineStr">
        <is>
          <t>Noir Verse</t>
        </is>
      </c>
      <c r="AT28" s="24" t="inlineStr">
        <is>
          <t>Noir Verse</t>
        </is>
      </c>
      <c r="AU28" s="24" t="inlineStr">
        <is>
          <t>Noir Verse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bc55e868a05b19a7a0abd9e0981ea1ca6d73030b07b9e89e745ea990df232cdb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bc55e868a05b19a7a0abd9e0981ea1ca6d73030b07b9e89e745ea990df232cdb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2026-07-28T08:11:31.472875Z</t>
        </is>
      </c>
      <c r="BI28" s="24" t="inlineStr">
        <is>
          <t>["same_event","same_team_same_day","same_league_same_day"]</t>
        </is>
      </c>
      <c r="BJ28" s="25" t="n"/>
      <c r="BK28" s="26" t="n">
        <v>150</v>
      </c>
      <c r="BL28" s="27" t="n">
        <v>2.5</v>
      </c>
      <c r="BM28" s="28" t="n">
        <v>0.4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5524b0018b2d4912</t>
        </is>
      </c>
      <c r="B29" s="24" t="inlineStr">
        <is>
          <t>2026-07-28T08:11:54.722189Z</t>
        </is>
      </c>
      <c r="C29" s="24" t="inlineStr">
        <is>
          <t>2026-07-28T11:00:00Z</t>
        </is>
      </c>
      <c r="D29" s="24" t="inlineStr">
        <is>
          <t>63358</t>
        </is>
      </c>
      <c r="E29" s="24" t="inlineStr">
        <is>
          <t>CS2</t>
        </is>
      </c>
      <c r="F29" s="24" t="inlineStr">
        <is>
          <t>ex-RUSTEC</t>
        </is>
      </c>
      <c r="G29" s="24" t="inlineStr">
        <is>
          <t>Atreides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-163</v>
      </c>
      <c r="M29" s="27" t="n">
        <v>1.613497</v>
      </c>
      <c r="N29" s="28" t="n">
        <v>0.619772</v>
      </c>
      <c r="O29" s="28" t="n">
        <v>0.563287</v>
      </c>
      <c r="P29" s="28" t="n"/>
      <c r="Q29" s="28" t="n">
        <v>-0.056485</v>
      </c>
      <c r="R29" s="26" t="n">
        <v>0</v>
      </c>
      <c r="S29" s="29" t="n">
        <v>0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0</v>
      </c>
      <c r="AD29" s="24" t="inlineStr">
        <is>
          <t>2026-07-28T14:18:30.793558Z</t>
        </is>
      </c>
      <c r="AE29" s="31" t="inlineStr">
        <is>
          <t>Neutral Elo baseline; executable ask 0.6200 (market_slug=aec-cs2-atr-erx-2026-07-28).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ex-RUSTEC</t>
        </is>
      </c>
      <c r="AQ29" s="24" t="inlineStr">
        <is>
          <t>ex-RUSTEC</t>
        </is>
      </c>
      <c r="AR29" s="24" t="inlineStr">
        <is>
          <t>ex-RUSTEC</t>
        </is>
      </c>
      <c r="AS29" s="24" t="inlineStr">
        <is>
          <t>Atreides</t>
        </is>
      </c>
      <c r="AT29" s="24" t="inlineStr">
        <is>
          <t>Atreides</t>
        </is>
      </c>
      <c r="AU29" s="24" t="inlineStr">
        <is>
          <t>Atreides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bc55e868a05b19a7a0abd9e0981ea1ca6d73030b07b9e89e745ea990df232cdb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bc55e868a05b19a7a0abd9e0981ea1ca6d73030b07b9e89e745ea990df232cdb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2026-07-28T08:11:32.006493Z</t>
        </is>
      </c>
      <c r="BI29" s="24" t="inlineStr">
        <is>
          <t>["same_event","same_team_same_day","same_league_same_day"]</t>
        </is>
      </c>
      <c r="BJ29" s="25" t="n"/>
      <c r="BK29" s="26" t="n">
        <v>-163</v>
      </c>
      <c r="BL29" s="27" t="n">
        <v>1.613497</v>
      </c>
      <c r="BM29" s="28" t="n">
        <v>0.619772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b7eca6d4eec845a7</t>
        </is>
      </c>
      <c r="B30" s="24" t="inlineStr">
        <is>
          <t>2026-07-28T08:11:54.722189Z</t>
        </is>
      </c>
      <c r="C30" s="24" t="inlineStr">
        <is>
          <t>2026-07-28T11:00:00Z</t>
        </is>
      </c>
      <c r="D30" s="24" t="inlineStr">
        <is>
          <t>63359</t>
        </is>
      </c>
      <c r="E30" s="24" t="inlineStr">
        <is>
          <t>CS2</t>
        </is>
      </c>
      <c r="F30" s="24" t="inlineStr">
        <is>
          <t>G2 Ares</t>
        </is>
      </c>
      <c r="G30" s="24" t="inlineStr">
        <is>
          <t>Butterfly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0.589686</v>
      </c>
      <c r="P30" s="28" t="n"/>
      <c r="Q30" s="28" t="n">
        <v>0.089686</v>
      </c>
      <c r="R30" s="26" t="n">
        <v>65</v>
      </c>
      <c r="S30" s="29" t="n">
        <v>1.5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-1.5</v>
      </c>
      <c r="AD30" s="24" t="inlineStr">
        <is>
          <t>2026-07-28T14:18:32.074524Z</t>
        </is>
      </c>
      <c r="AE30" s="31" t="inlineStr">
        <is>
          <t>Neutral Elo baseline; executable ask 0.5000 (market_slug=aec-cs2-btf-g2a-2026-07-28).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G2 Ares</t>
        </is>
      </c>
      <c r="AQ30" s="24" t="inlineStr">
        <is>
          <t>G2 Ares</t>
        </is>
      </c>
      <c r="AR30" s="24" t="inlineStr">
        <is>
          <t>G2 Ares</t>
        </is>
      </c>
      <c r="AS30" s="24" t="inlineStr">
        <is>
          <t>Butterfly</t>
        </is>
      </c>
      <c r="AT30" s="24" t="inlineStr">
        <is>
          <t>Butterfly</t>
        </is>
      </c>
      <c r="AU30" s="24" t="inlineStr">
        <is>
          <t>Butterfly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bc55e868a05b19a7a0abd9e0981ea1ca6d73030b07b9e89e745ea990df232cdb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bc55e868a05b19a7a0abd9e0981ea1ca6d73030b07b9e89e745ea990df232cdb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2026-07-28T08:11:32.486834Z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19f3cfc9755c488c</t>
        </is>
      </c>
      <c r="B31" s="24" t="inlineStr">
        <is>
          <t>2026-07-28T08:11:54.722189Z</t>
        </is>
      </c>
      <c r="C31" s="24" t="inlineStr">
        <is>
          <t>2026-07-28T11:00:00Z</t>
        </is>
      </c>
      <c r="D31" s="24" t="inlineStr">
        <is>
          <t>64367</t>
        </is>
      </c>
      <c r="E31" s="24" t="inlineStr">
        <is>
          <t>CS2</t>
        </is>
      </c>
      <c r="F31" s="24" t="inlineStr">
        <is>
          <t>Bebop</t>
        </is>
      </c>
      <c r="G31" s="24" t="inlineStr">
        <is>
          <t>Black Phoenix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113</v>
      </c>
      <c r="M31" s="27" t="n">
        <v>2.13</v>
      </c>
      <c r="N31" s="28" t="n">
        <v>0.469484</v>
      </c>
      <c r="O31" s="28" t="n">
        <v>0.525641</v>
      </c>
      <c r="P31" s="28" t="n"/>
      <c r="Q31" s="28" t="n">
        <v>0.056157</v>
      </c>
      <c r="R31" s="26" t="n">
        <v>48</v>
      </c>
      <c r="S31" s="29" t="n">
        <v>0.75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0.8475</v>
      </c>
      <c r="AD31" s="24" t="inlineStr">
        <is>
          <t>2026-07-28T14:18:33.321611Z</t>
        </is>
      </c>
      <c r="AE31" s="31" t="inlineStr">
        <is>
          <t>Neutral Elo baseline; executable ask 0.4700 (market_slug=aec-cs2-bpl-bbp-2026-07-28).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Bebop</t>
        </is>
      </c>
      <c r="AQ31" s="24" t="inlineStr">
        <is>
          <t>Bebop</t>
        </is>
      </c>
      <c r="AR31" s="24" t="inlineStr">
        <is>
          <t>Bebop</t>
        </is>
      </c>
      <c r="AS31" s="24" t="inlineStr">
        <is>
          <t>Black Phoenix</t>
        </is>
      </c>
      <c r="AT31" s="24" t="inlineStr">
        <is>
          <t>Black Phoenix</t>
        </is>
      </c>
      <c r="AU31" s="24" t="inlineStr">
        <is>
          <t>Black Phoenix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bc55e868a05b19a7a0abd9e0981ea1ca6d73030b07b9e89e745ea990df232cdb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bc55e868a05b19a7a0abd9e0981ea1ca6d73030b07b9e89e745ea990df232cdb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2026-07-28T08:11:33.028196Z</t>
        </is>
      </c>
      <c r="BI31" s="24" t="inlineStr">
        <is>
          <t>["same_event","same_team_same_day","same_league_same_day"]</t>
        </is>
      </c>
      <c r="BJ31" s="25" t="n"/>
      <c r="BK31" s="26" t="n">
        <v>113</v>
      </c>
      <c r="BL31" s="27" t="n">
        <v>2.13</v>
      </c>
      <c r="BM31" s="28" t="n">
        <v>0.469484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8e6e337790c549e4</t>
        </is>
      </c>
      <c r="B32" s="24" t="inlineStr">
        <is>
          <t>2026-07-28T08:11:54.722189Z</t>
        </is>
      </c>
      <c r="C32" s="24" t="inlineStr">
        <is>
          <t>2026-07-28T11:00:00Z</t>
        </is>
      </c>
      <c r="D32" s="24" t="inlineStr">
        <is>
          <t>63307</t>
        </is>
      </c>
      <c r="E32" s="24" t="inlineStr">
        <is>
          <t>CS2</t>
        </is>
      </c>
      <c r="F32" s="24" t="inlineStr">
        <is>
          <t>ex-MANA eSports</t>
        </is>
      </c>
      <c r="G32" s="24" t="inlineStr">
        <is>
          <t>Rune Eaters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-213</v>
      </c>
      <c r="M32" s="27" t="n">
        <v>1.469484</v>
      </c>
      <c r="N32" s="28" t="n">
        <v>0.680511</v>
      </c>
      <c r="O32" s="28" t="n">
        <v>0.628318</v>
      </c>
      <c r="P32" s="28" t="n"/>
      <c r="Q32" s="28" t="n">
        <v>-0.052193</v>
      </c>
      <c r="R32" s="26" t="n">
        <v>0</v>
      </c>
      <c r="S32" s="29" t="n">
        <v>0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2026-07-28T14:18:34.655414Z</t>
        </is>
      </c>
      <c r="AE32" s="31" t="inlineStr">
        <is>
          <t>Neutral Elo baseline; executable ask 0.6800 (market_slug=aec-cs2-re-exmana-2026-07-28).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ex-MANA eSports</t>
        </is>
      </c>
      <c r="AQ32" s="24" t="inlineStr">
        <is>
          <t>ex-MANA eSports</t>
        </is>
      </c>
      <c r="AR32" s="24" t="inlineStr">
        <is>
          <t>ex-MANA eSports</t>
        </is>
      </c>
      <c r="AS32" s="24" t="inlineStr">
        <is>
          <t>Rune Eaters</t>
        </is>
      </c>
      <c r="AT32" s="24" t="inlineStr">
        <is>
          <t>Rune Eaters</t>
        </is>
      </c>
      <c r="AU32" s="24" t="inlineStr">
        <is>
          <t>Rune Eaters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bc55e868a05b19a7a0abd9e0981ea1ca6d73030b07b9e89e745ea990df232cdb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bc55e868a05b19a7a0abd9e0981ea1ca6d73030b07b9e89e745ea990df232cdb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2026-07-28T08:11:33.566611Z</t>
        </is>
      </c>
      <c r="BI32" s="24" t="inlineStr">
        <is>
          <t>["same_event","same_team_same_day","same_league_same_day"]</t>
        </is>
      </c>
      <c r="BJ32" s="25" t="n"/>
      <c r="BK32" s="26" t="n">
        <v>-213</v>
      </c>
      <c r="BL32" s="27" t="n">
        <v>1.469484</v>
      </c>
      <c r="BM32" s="28" t="n">
        <v>0.680511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6e5f892cbf794422</t>
        </is>
      </c>
      <c r="B33" s="24" t="inlineStr">
        <is>
          <t>2026-07-28T11:17:59.302295Z</t>
        </is>
      </c>
      <c r="C33" s="24" t="inlineStr">
        <is>
          <t>2026-07-28T14:00:00Z</t>
        </is>
      </c>
      <c r="D33" s="24" t="inlineStr">
        <is>
          <t>63707</t>
        </is>
      </c>
      <c r="E33" s="24" t="inlineStr">
        <is>
          <t>CS2</t>
        </is>
      </c>
      <c r="F33" s="24" t="inlineStr">
        <is>
          <t>UNiTY esports</t>
        </is>
      </c>
      <c r="G33" s="24" t="inlineStr">
        <is>
          <t>ex-RUSTEC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0.648231</v>
      </c>
      <c r="P33" s="28" t="n"/>
      <c r="Q33" s="28" t="n">
        <v>0.058067</v>
      </c>
      <c r="R33" s="26" t="n">
        <v>49</v>
      </c>
      <c r="S33" s="29" t="n">
        <v>0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win</t>
        </is>
      </c>
      <c r="W33" s="26" t="n">
        <v>0</v>
      </c>
      <c r="X33" s="26" t="n">
        <v>1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2026-07-28T17:01:58.877090Z</t>
        </is>
      </c>
      <c r="AE33" s="31" t="inlineStr">
        <is>
          <t>Neutral Elo baseline; executable ask 0.5900 (market_slug=aec-cs2-erx-unity-2026-07-28).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UNiTY esports</t>
        </is>
      </c>
      <c r="AQ33" s="24" t="inlineStr">
        <is>
          <t>UNiTY esports</t>
        </is>
      </c>
      <c r="AR33" s="24" t="inlineStr">
        <is>
          <t>UNiTY esports</t>
        </is>
      </c>
      <c r="AS33" s="24" t="inlineStr">
        <is>
          <t>ex-RUSTEC</t>
        </is>
      </c>
      <c r="AT33" s="24" t="inlineStr">
        <is>
          <t>ex-RUSTEC</t>
        </is>
      </c>
      <c r="AU33" s="24" t="inlineStr">
        <is>
          <t>ex-RUSTEC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2b10a508f0b7c33f18d6ceeb867088d36516a5ff42abbccd848c68e2c7ca105c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2b10a508f0b7c33f18d6ceeb867088d36516a5ff42abbccd848c68e2c7ca105c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2026-07-28T11:17:39.606356Z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539315bfdce242f4</t>
        </is>
      </c>
      <c r="B34" s="24" t="inlineStr">
        <is>
          <t>2026-07-28T11:17:59.302295Z</t>
        </is>
      </c>
      <c r="C34" s="24" t="inlineStr">
        <is>
          <t>2026-07-28T14:00:00Z</t>
        </is>
      </c>
      <c r="D34" s="24" t="inlineStr">
        <is>
          <t>63360</t>
        </is>
      </c>
      <c r="E34" s="24" t="inlineStr">
        <is>
          <t>CS2</t>
        </is>
      </c>
      <c r="F34" s="24" t="inlineStr">
        <is>
          <t>Just Players</t>
        </is>
      </c>
      <c r="G34" s="24" t="inlineStr">
        <is>
          <t>Butterfly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113</v>
      </c>
      <c r="M34" s="27" t="n">
        <v>2.13</v>
      </c>
      <c r="N34" s="28" t="n">
        <v>0.469484</v>
      </c>
      <c r="O34" s="28" t="n">
        <v>0.53772</v>
      </c>
      <c r="P34" s="28" t="n"/>
      <c r="Q34" s="28" t="n">
        <v>0.068236</v>
      </c>
      <c r="R34" s="26" t="n">
        <v>54</v>
      </c>
      <c r="S34" s="29" t="n">
        <v>1</v>
      </c>
      <c r="T34" s="24" t="inlineStr">
        <is>
          <t>cs2-tiered-elo-v4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-1</v>
      </c>
      <c r="AD34" s="24" t="inlineStr">
        <is>
          <t>2026-07-28T16:02:05.207677Z</t>
        </is>
      </c>
      <c r="AE34" s="31" t="inlineStr">
        <is>
          <t>Neutral Elo baseline; executable ask 0.4700 (market_slug=aec-cs2-btf-jpu-2026-07-28).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Just Players</t>
        </is>
      </c>
      <c r="AQ34" s="24" t="inlineStr">
        <is>
          <t>Just Players</t>
        </is>
      </c>
      <c r="AR34" s="24" t="inlineStr">
        <is>
          <t>Just Players</t>
        </is>
      </c>
      <c r="AS34" s="24" t="inlineStr">
        <is>
          <t>Butterfly</t>
        </is>
      </c>
      <c r="AT34" s="24" t="inlineStr">
        <is>
          <t>Butterfly</t>
        </is>
      </c>
      <c r="AU34" s="24" t="inlineStr">
        <is>
          <t>Butterfly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2b10a508f0b7c33f18d6ceeb867088d36516a5ff42abbccd848c68e2c7ca105c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2b10a508f0b7c33f18d6ceeb867088d36516a5ff42abbccd848c68e2c7ca105c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2026-07-28T11:17:40.063714Z</t>
        </is>
      </c>
      <c r="BI34" s="24" t="inlineStr">
        <is>
          <t>["same_event","same_team_same_day","same_league_same_day"]</t>
        </is>
      </c>
      <c r="BJ34" s="25" t="n"/>
      <c r="BK34" s="26" t="n">
        <v>113</v>
      </c>
      <c r="BL34" s="27" t="n">
        <v>2.13</v>
      </c>
      <c r="BM34" s="28" t="n">
        <v>0.469484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ecda5b659d244084</t>
        </is>
      </c>
      <c r="B35" s="24" t="inlineStr">
        <is>
          <t>2026-07-28T14:24:09.023643Z</t>
        </is>
      </c>
      <c r="C35" s="24" t="inlineStr">
        <is>
          <t>2026-07-28T15:00:00Z</t>
        </is>
      </c>
      <c r="D35" s="24" t="inlineStr">
        <is>
          <t>61517</t>
        </is>
      </c>
      <c r="E35" s="24" t="inlineStr">
        <is>
          <t>CS2</t>
        </is>
      </c>
      <c r="F35" s="24" t="inlineStr">
        <is>
          <t>BakS eSports</t>
        </is>
      </c>
      <c r="G35" s="24" t="inlineStr">
        <is>
          <t>TDK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-194</v>
      </c>
      <c r="M35" s="27" t="n">
        <v>1.515464</v>
      </c>
      <c r="N35" s="28" t="n">
        <v>0.659864</v>
      </c>
      <c r="O35" s="28" t="n">
        <v>0.907919</v>
      </c>
      <c r="P35" s="28" t="n"/>
      <c r="Q35" s="28" t="n">
        <v>0.248055</v>
      </c>
      <c r="R35" s="26" t="n">
        <v>100</v>
      </c>
      <c r="S35" s="29" t="n">
        <v>2</v>
      </c>
      <c r="T35" s="24" t="inlineStr">
        <is>
          <t>cs2-tiered-elo-v4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2026-07-28T16:35:55.318396Z</t>
        </is>
      </c>
      <c r="AE35" s="31" t="inlineStr">
        <is>
          <t>Neutral Elo baseline; executable ask 0.6600 (market_slug=aec-cs2-tdk-baks-2026-07-28).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BakS eSports</t>
        </is>
      </c>
      <c r="AQ35" s="24" t="inlineStr">
        <is>
          <t>BakS eSports</t>
        </is>
      </c>
      <c r="AR35" s="24" t="inlineStr">
        <is>
          <t>BakS eSports</t>
        </is>
      </c>
      <c r="AS35" s="24" t="inlineStr">
        <is>
          <t>TDK</t>
        </is>
      </c>
      <c r="AT35" s="24" t="inlineStr">
        <is>
          <t>TDK</t>
        </is>
      </c>
      <c r="AU35" s="24" t="inlineStr">
        <is>
          <t>TDK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b7be26981f98c7c049773609859384b830ed2600e5d283ac2efb1545695d5e3e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b7be26981f98c7c049773609859384b830ed2600e5d283ac2efb1545695d5e3e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2026-07-28T14:23:49.113149Z</t>
        </is>
      </c>
      <c r="BI35" s="24" t="inlineStr">
        <is>
          <t>["same_event","same_team_same_day","same_league_same_day"]</t>
        </is>
      </c>
      <c r="BJ35" s="25" t="n"/>
      <c r="BK35" s="26" t="n">
        <v>-194</v>
      </c>
      <c r="BL35" s="27" t="n">
        <v>1.515464</v>
      </c>
      <c r="BM35" s="28" t="n">
        <v>0.659864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98cc1f2af0ec4ebb</t>
        </is>
      </c>
      <c r="B36" s="24" t="inlineStr">
        <is>
          <t>2026-07-28T16:35:31.142713Z</t>
        </is>
      </c>
      <c r="C36" s="24" t="inlineStr">
        <is>
          <t>2026-07-28T17:00:00Z</t>
        </is>
      </c>
      <c r="D36" s="24" t="inlineStr">
        <is>
          <t>64369</t>
        </is>
      </c>
      <c r="E36" s="24" t="inlineStr">
        <is>
          <t>CS2</t>
        </is>
      </c>
      <c r="F36" s="24" t="inlineStr">
        <is>
          <t>Falcons Force</t>
        </is>
      </c>
      <c r="G36" s="24" t="inlineStr">
        <is>
          <t>Misa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0.520751</v>
      </c>
      <c r="P36" s="28" t="n"/>
      <c r="Q36" s="28" t="n">
        <v>0.010947</v>
      </c>
      <c r="R36" s="26" t="n">
        <v>25</v>
      </c>
      <c r="S36" s="29" t="n">
        <v>0</v>
      </c>
      <c r="T36" s="24" t="inlineStr">
        <is>
          <t>cs2-tiered-elo-v4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0</v>
      </c>
      <c r="AD36" s="24" t="inlineStr">
        <is>
          <t>2026-07-28T20:30:39.972664Z</t>
        </is>
      </c>
      <c r="AE36" s="31" t="inlineStr">
        <is>
          <t>Neutral Elo baseline; executable ask 0.5100 (market_slug=aec-cs2-misa-falf-2026-07-28).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Falcons Force</t>
        </is>
      </c>
      <c r="AQ36" s="24" t="inlineStr">
        <is>
          <t>Falcons Force</t>
        </is>
      </c>
      <c r="AR36" s="24" t="inlineStr">
        <is>
          <t>Falcons Force</t>
        </is>
      </c>
      <c r="AS36" s="24" t="inlineStr">
        <is>
          <t>Misa Esports</t>
        </is>
      </c>
      <c r="AT36" s="24" t="inlineStr">
        <is>
          <t>Misa Esports</t>
        </is>
      </c>
      <c r="AU36" s="24" t="inlineStr">
        <is>
          <t>Misa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a894100d90025062e7ae51b5d1e6b0e815cc63c71796cf2c436fe1c50423a32c</t>
        </is>
      </c>
      <c r="BB36" s="24" t="inlineStr">
        <is>
          <t>neutral_elo</t>
        </is>
      </c>
      <c r="BC36" s="24" t="inlineStr">
        <is>
          <t>cs2-tiered-elo-v4</t>
        </is>
      </c>
      <c r="BD36" s="24" t="inlineStr">
        <is>
          <t>a894100d90025062e7ae51b5d1e6b0e815cc63c71796cf2c436fe1c50423a32c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cs2-tiered-elo-v4</t>
        </is>
      </c>
      <c r="BH36" s="24" t="inlineStr">
        <is>
          <t>2026-07-28T16:35:13.317961Z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ada2b0cb8f334282</t>
        </is>
      </c>
      <c r="B37" s="24" t="inlineStr">
        <is>
          <t>2026-07-28T16:35:31.142713Z</t>
        </is>
      </c>
      <c r="C37" s="24" t="inlineStr">
        <is>
          <t>2026-07-28T17:00:00Z</t>
        </is>
      </c>
      <c r="D37" s="24" t="inlineStr">
        <is>
          <t>62297</t>
        </is>
      </c>
      <c r="E37" s="24" t="inlineStr">
        <is>
          <t>CS2</t>
        </is>
      </c>
      <c r="F37" s="24" t="inlineStr">
        <is>
          <t>Grêmio Esports</t>
        </is>
      </c>
      <c r="G37" s="24" t="inlineStr">
        <is>
          <t>RED Canids Academy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-163</v>
      </c>
      <c r="M37" s="27" t="n">
        <v>1.613497</v>
      </c>
      <c r="N37" s="28" t="n">
        <v>0.619772</v>
      </c>
      <c r="O37" s="28" t="n">
        <v>0.791026</v>
      </c>
      <c r="P37" s="28" t="n"/>
      <c r="Q37" s="28" t="n">
        <v>0.171254</v>
      </c>
      <c r="R37" s="26" t="n">
        <v>100</v>
      </c>
      <c r="S37" s="29" t="n">
        <v>0</v>
      </c>
      <c r="T37" s="24" t="inlineStr">
        <is>
          <t>cs2-tiered-elo-v4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</v>
      </c>
      <c r="AD37" s="24" t="inlineStr">
        <is>
          <t>2026-07-28T23:36:46.613927Z</t>
        </is>
      </c>
      <c r="AE37" s="31" t="inlineStr">
        <is>
          <t>Neutral Elo baseline; executable ask 0.6200 (market_slug=aec-cs2-reda-ger-2026-07-28).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Grêmio Esports</t>
        </is>
      </c>
      <c r="AQ37" s="24" t="inlineStr">
        <is>
          <t>Grêmio Esports</t>
        </is>
      </c>
      <c r="AR37" s="24" t="inlineStr">
        <is>
          <t>Grêmio Esports</t>
        </is>
      </c>
      <c r="AS37" s="24" t="inlineStr">
        <is>
          <t>RED Canids Academy</t>
        </is>
      </c>
      <c r="AT37" s="24" t="inlineStr">
        <is>
          <t>RED Canids Academy</t>
        </is>
      </c>
      <c r="AU37" s="24" t="inlineStr">
        <is>
          <t>RED Canids Academy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a894100d90025062e7ae51b5d1e6b0e815cc63c71796cf2c436fe1c50423a32c</t>
        </is>
      </c>
      <c r="BB37" s="24" t="inlineStr">
        <is>
          <t>neutral_elo</t>
        </is>
      </c>
      <c r="BC37" s="24" t="inlineStr">
        <is>
          <t>cs2-tiered-elo-v4</t>
        </is>
      </c>
      <c r="BD37" s="24" t="inlineStr">
        <is>
          <t>a894100d90025062e7ae51b5d1e6b0e815cc63c71796cf2c436fe1c50423a32c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cs2-tiered-elo-v4</t>
        </is>
      </c>
      <c r="BH37" s="24" t="inlineStr">
        <is>
          <t>2026-07-28T16:35:13.798327Z</t>
        </is>
      </c>
      <c r="BI37" s="24" t="inlineStr">
        <is>
          <t>["same_event","same_team_same_day","same_league_same_day"]</t>
        </is>
      </c>
      <c r="BJ37" s="25" t="n"/>
      <c r="BK37" s="26" t="n">
        <v>-163</v>
      </c>
      <c r="BL37" s="27" t="n">
        <v>1.613497</v>
      </c>
      <c r="BM37" s="28" t="n">
        <v>0.619772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3e2da47dbf2c4c59</t>
        </is>
      </c>
      <c r="B38" s="24" t="inlineStr">
        <is>
          <t>2026-07-28T16:35:31.142713Z</t>
        </is>
      </c>
      <c r="C38" s="24" t="inlineStr">
        <is>
          <t>2026-07-28T17:00:00Z</t>
        </is>
      </c>
      <c r="D38" s="24" t="inlineStr">
        <is>
          <t>64498</t>
        </is>
      </c>
      <c r="E38" s="24" t="inlineStr">
        <is>
          <t>CS2</t>
        </is>
      </c>
      <c r="F38" s="24" t="inlineStr">
        <is>
          <t>Honvéd</t>
        </is>
      </c>
      <c r="G38" s="24" t="inlineStr">
        <is>
          <t>Fire Flux Esports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-150</v>
      </c>
      <c r="M38" s="27" t="n">
        <v>1.666667</v>
      </c>
      <c r="N38" s="28" t="n">
        <v>0.6</v>
      </c>
      <c r="O38" s="28" t="n">
        <v>0.507618</v>
      </c>
      <c r="P38" s="28" t="n"/>
      <c r="Q38" s="28" t="n">
        <v>-0.09238200000000001</v>
      </c>
      <c r="R38" s="26" t="n">
        <v>0</v>
      </c>
      <c r="S38" s="29" t="n">
        <v>0</v>
      </c>
      <c r="T38" s="24" t="inlineStr">
        <is>
          <t>cs2-tiered-elo-v4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2026-07-29T02:41:35.636552Z</t>
        </is>
      </c>
      <c r="AE38" s="31" t="inlineStr">
        <is>
          <t>Neutral Elo baseline; executable ask 0.6000 (market_slug=aec-cs2-ff-hon-2026-07-28).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Honvéd</t>
        </is>
      </c>
      <c r="AQ38" s="24" t="inlineStr">
        <is>
          <t>Honvéd</t>
        </is>
      </c>
      <c r="AR38" s="24" t="inlineStr">
        <is>
          <t>Honvéd</t>
        </is>
      </c>
      <c r="AS38" s="24" t="inlineStr">
        <is>
          <t>Fire Flux Esports</t>
        </is>
      </c>
      <c r="AT38" s="24" t="inlineStr">
        <is>
          <t>Fire Flux Esports</t>
        </is>
      </c>
      <c r="AU38" s="24" t="inlineStr">
        <is>
          <t>Fire Flux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a894100d90025062e7ae51b5d1e6b0e815cc63c71796cf2c436fe1c50423a32c</t>
        </is>
      </c>
      <c r="BB38" s="24" t="inlineStr">
        <is>
          <t>neutral_elo</t>
        </is>
      </c>
      <c r="BC38" s="24" t="inlineStr">
        <is>
          <t>cs2-tiered-elo-v4</t>
        </is>
      </c>
      <c r="BD38" s="24" t="inlineStr">
        <is>
          <t>a894100d90025062e7ae51b5d1e6b0e815cc63c71796cf2c436fe1c50423a32c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cs2-tiered-elo-v4</t>
        </is>
      </c>
      <c r="BH38" s="24" t="inlineStr">
        <is>
          <t>2026-07-28T16:35:14.352293Z</t>
        </is>
      </c>
      <c r="BI38" s="24" t="inlineStr">
        <is>
          <t>["same_event","same_team_same_day","same_league_same_day"]</t>
        </is>
      </c>
      <c r="BJ38" s="25" t="n"/>
      <c r="BK38" s="26" t="n">
        <v>-150</v>
      </c>
      <c r="BL38" s="27" t="n">
        <v>1.666667</v>
      </c>
      <c r="BM38" s="28" t="n">
        <v>0.6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esports market settled to a non-binary price (forfeit/postponement per market rules)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73700346372b4b77</t>
        </is>
      </c>
      <c r="B39" s="24" t="inlineStr">
        <is>
          <t>2026-07-28T16:35:31.142713Z</t>
        </is>
      </c>
      <c r="C39" s="24" t="inlineStr">
        <is>
          <t>2026-07-28T17:00:00Z</t>
        </is>
      </c>
      <c r="D39" s="24" t="inlineStr">
        <is>
          <t>63311</t>
        </is>
      </c>
      <c r="E39" s="24" t="inlineStr">
        <is>
          <t>CS2</t>
        </is>
      </c>
      <c r="F39" s="24" t="inlineStr">
        <is>
          <t>UNiTY esports</t>
        </is>
      </c>
      <c r="G39" s="24" t="inlineStr">
        <is>
          <t>los kogutos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178</v>
      </c>
      <c r="M39" s="27" t="n">
        <v>2.78</v>
      </c>
      <c r="N39" s="28" t="n">
        <v>0.359712</v>
      </c>
      <c r="O39" s="28" t="n">
        <v>0.5369350000000001</v>
      </c>
      <c r="P39" s="28" t="n"/>
      <c r="Q39" s="28" t="n">
        <v>0.177223</v>
      </c>
      <c r="R39" s="26" t="n">
        <v>100</v>
      </c>
      <c r="S39" s="29" t="n">
        <v>0</v>
      </c>
      <c r="T39" s="24" t="inlineStr">
        <is>
          <t>cs2-tiered-elo-v4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0</v>
      </c>
      <c r="AD39" s="24" t="inlineStr">
        <is>
          <t>2026-07-28T20:30:43.374402Z</t>
        </is>
      </c>
      <c r="AE39" s="31" t="inlineStr">
        <is>
          <t>Neutral Elo baseline; executable ask 0.3600 (market_slug=aec-cs2-lk-unity-2026-07-28).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UNiTY esports</t>
        </is>
      </c>
      <c r="AQ39" s="24" t="inlineStr">
        <is>
          <t>UNiTY esports</t>
        </is>
      </c>
      <c r="AR39" s="24" t="inlineStr">
        <is>
          <t>UNiTY esports</t>
        </is>
      </c>
      <c r="AS39" s="24" t="inlineStr">
        <is>
          <t>los kogutos</t>
        </is>
      </c>
      <c r="AT39" s="24" t="inlineStr">
        <is>
          <t>los kogutos</t>
        </is>
      </c>
      <c r="AU39" s="24" t="inlineStr">
        <is>
          <t>los kogutos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a894100d90025062e7ae51b5d1e6b0e815cc63c71796cf2c436fe1c50423a32c</t>
        </is>
      </c>
      <c r="BB39" s="24" t="inlineStr">
        <is>
          <t>neutral_elo</t>
        </is>
      </c>
      <c r="BC39" s="24" t="inlineStr">
        <is>
          <t>cs2-tiered-elo-v4</t>
        </is>
      </c>
      <c r="BD39" s="24" t="inlineStr">
        <is>
          <t>a894100d90025062e7ae51b5d1e6b0e815cc63c71796cf2c436fe1c50423a32c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cs2-tiered-elo-v4</t>
        </is>
      </c>
      <c r="BH39" s="24" t="inlineStr">
        <is>
          <t>2026-07-28T16:35:15.359927Z</t>
        </is>
      </c>
      <c r="BI39" s="24" t="inlineStr">
        <is>
          <t>["same_event","same_team_same_day","same_league_same_day"]</t>
        </is>
      </c>
      <c r="BJ39" s="25" t="n"/>
      <c r="BK39" s="26" t="n">
        <v>178</v>
      </c>
      <c r="BL39" s="27" t="n">
        <v>2.78</v>
      </c>
      <c r="BM39" s="28" t="n">
        <v>0.359712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9a1aae62ffc1401d</t>
        </is>
      </c>
      <c r="B40" s="24" t="inlineStr">
        <is>
          <t>2026-07-28T16:35:31.142713Z</t>
        </is>
      </c>
      <c r="C40" s="24" t="inlineStr">
        <is>
          <t>2026-07-28T17:00:00Z</t>
        </is>
      </c>
      <c r="D40" s="24" t="inlineStr">
        <is>
          <t>63362</t>
        </is>
      </c>
      <c r="E40" s="24" t="inlineStr">
        <is>
          <t>CS2</t>
        </is>
      </c>
      <c r="F40" s="24" t="inlineStr">
        <is>
          <t>G2 Ares</t>
        </is>
      </c>
      <c r="G40" s="24" t="inlineStr">
        <is>
          <t>SPARTA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-150</v>
      </c>
      <c r="M40" s="27" t="n">
        <v>1.666667</v>
      </c>
      <c r="N40" s="28" t="n">
        <v>0.6</v>
      </c>
      <c r="O40" s="28" t="n">
        <v>0.518527</v>
      </c>
      <c r="P40" s="28" t="n"/>
      <c r="Q40" s="28" t="n">
        <v>-0.081473</v>
      </c>
      <c r="R40" s="26" t="n">
        <v>0</v>
      </c>
      <c r="S40" s="29" t="n">
        <v>0</v>
      </c>
      <c r="T40" s="24" t="inlineStr">
        <is>
          <t>cs2-tiered-elo-v4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</v>
      </c>
      <c r="AD40" s="24" t="inlineStr">
        <is>
          <t>2026-07-28T20:30:44.715629Z</t>
        </is>
      </c>
      <c r="AE40" s="31" t="inlineStr">
        <is>
          <t>Neutral Elo baseline; executable ask 0.6000 (market_slug=aec-cs2-sparta-g2a-2026-07-28).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G2 Ares</t>
        </is>
      </c>
      <c r="AQ40" s="24" t="inlineStr">
        <is>
          <t>G2 Ares</t>
        </is>
      </c>
      <c r="AR40" s="24" t="inlineStr">
        <is>
          <t>G2 Ares</t>
        </is>
      </c>
      <c r="AS40" s="24" t="inlineStr">
        <is>
          <t>SPARTA</t>
        </is>
      </c>
      <c r="AT40" s="24" t="inlineStr">
        <is>
          <t>SPARTA</t>
        </is>
      </c>
      <c r="AU40" s="24" t="inlineStr">
        <is>
          <t>SPARTA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a894100d90025062e7ae51b5d1e6b0e815cc63c71796cf2c436fe1c50423a32c</t>
        </is>
      </c>
      <c r="BB40" s="24" t="inlineStr">
        <is>
          <t>neutral_elo</t>
        </is>
      </c>
      <c r="BC40" s="24" t="inlineStr">
        <is>
          <t>cs2-tiered-elo-v4</t>
        </is>
      </c>
      <c r="BD40" s="24" t="inlineStr">
        <is>
          <t>a894100d90025062e7ae51b5d1e6b0e815cc63c71796cf2c436fe1c50423a32c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cs2-tiered-elo-v4</t>
        </is>
      </c>
      <c r="BH40" s="24" t="inlineStr">
        <is>
          <t>2026-07-28T16:35:15.859120Z</t>
        </is>
      </c>
      <c r="BI40" s="24" t="inlineStr">
        <is>
          <t>["same_event","same_team_same_day","same_league_same_day"]</t>
        </is>
      </c>
      <c r="BJ40" s="25" t="n"/>
      <c r="BK40" s="26" t="n">
        <v>-150</v>
      </c>
      <c r="BL40" s="27" t="n">
        <v>1.666667</v>
      </c>
      <c r="BM40" s="28" t="n">
        <v>0.6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1fbedda1223545e5</t>
        </is>
      </c>
      <c r="B41" s="24" t="inlineStr">
        <is>
          <t>2026-07-28T16:35:31.142713Z</t>
        </is>
      </c>
      <c r="C41" s="24" t="inlineStr">
        <is>
          <t>2026-07-28T17:00:00Z</t>
        </is>
      </c>
      <c r="D41" s="24" t="inlineStr">
        <is>
          <t>63363</t>
        </is>
      </c>
      <c r="E41" s="24" t="inlineStr">
        <is>
          <t>CS2</t>
        </is>
      </c>
      <c r="F41" s="24" t="inlineStr">
        <is>
          <t>Lavked</t>
        </is>
      </c>
      <c r="G41" s="24" t="inlineStr">
        <is>
          <t>CYBERSHOKE Prospects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0.553323</v>
      </c>
      <c r="P41" s="28" t="n"/>
      <c r="Q41" s="28" t="n">
        <v>0.034092</v>
      </c>
      <c r="R41" s="26" t="n">
        <v>37</v>
      </c>
      <c r="S41" s="29" t="n">
        <v>1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</v>
      </c>
      <c r="AD41" s="24" t="inlineStr">
        <is>
          <t>2026-07-28T20:30:46.071356Z</t>
        </is>
      </c>
      <c r="AE41" s="31" t="inlineStr">
        <is>
          <t>Neutral Elo baseline; executable ask 0.5200 (market_slug=aec-cs2-cshp-lav-2026-07-28).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Lavked</t>
        </is>
      </c>
      <c r="AQ41" s="24" t="inlineStr">
        <is>
          <t>Lavked</t>
        </is>
      </c>
      <c r="AR41" s="24" t="inlineStr">
        <is>
          <t>Lavked</t>
        </is>
      </c>
      <c r="AS41" s="24" t="inlineStr">
        <is>
          <t>CYBERSHOKE Prospects</t>
        </is>
      </c>
      <c r="AT41" s="24" t="inlineStr">
        <is>
          <t>CYBERSHOKE Prospects</t>
        </is>
      </c>
      <c r="AU41" s="24" t="inlineStr">
        <is>
          <t>CYBERSHOKE Prospects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a894100d90025062e7ae51b5d1e6b0e815cc63c71796cf2c436fe1c50423a32c</t>
        </is>
      </c>
      <c r="BB41" s="24" t="inlineStr">
        <is>
          <t>neutral_elo</t>
        </is>
      </c>
      <c r="BC41" s="24" t="inlineStr">
        <is>
          <t>cs2-tiered-elo-v4</t>
        </is>
      </c>
      <c r="BD41" s="24" t="inlineStr">
        <is>
          <t>a894100d90025062e7ae51b5d1e6b0e815cc63c71796cf2c436fe1c50423a32c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cs2-tiered-elo-v4</t>
        </is>
      </c>
      <c r="BH41" s="24" t="inlineStr">
        <is>
          <t>2026-07-28T16:35:16.339835Z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96d37a6a6b064bfb</t>
        </is>
      </c>
      <c r="B42" s="24" t="inlineStr">
        <is>
          <t>2026-07-28T17:30:13.340663Z</t>
        </is>
      </c>
      <c r="C42" s="24" t="inlineStr">
        <is>
          <t>2026-07-28T18:00:00Z</t>
        </is>
      </c>
      <c r="D42" s="24" t="inlineStr">
        <is>
          <t>64499</t>
        </is>
      </c>
      <c r="E42" s="24" t="inlineStr">
        <is>
          <t>CS2</t>
        </is>
      </c>
      <c r="F42" s="24" t="inlineStr">
        <is>
          <t>eSuba</t>
        </is>
      </c>
      <c r="G42" s="24" t="inlineStr">
        <is>
          <t>GoldRashers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-127</v>
      </c>
      <c r="M42" s="27" t="n">
        <v>1.787402</v>
      </c>
      <c r="N42" s="28" t="n">
        <v>0.5594710000000001</v>
      </c>
      <c r="O42" s="28" t="n">
        <v>0.6616919999999999</v>
      </c>
      <c r="P42" s="28" t="n"/>
      <c r="Q42" s="28" t="n">
        <v>0.102221</v>
      </c>
      <c r="R42" s="26" t="n">
        <v>71</v>
      </c>
      <c r="S42" s="29" t="n">
        <v>2</v>
      </c>
      <c r="T42" s="24" t="inlineStr">
        <is>
          <t>cs2-tiered-elo-v4</t>
        </is>
      </c>
      <c r="U42" s="24" t="inlineStr">
        <is>
          <t>settled</t>
        </is>
      </c>
      <c r="V42" s="24" t="inlineStr">
        <is>
          <t>push</t>
        </is>
      </c>
      <c r="W42" s="26" t="n"/>
      <c r="X42" s="26" t="n"/>
      <c r="Y42" s="25" t="n"/>
      <c r="Z42" s="26" t="n"/>
      <c r="AA42" s="28" t="n"/>
      <c r="AB42" s="28" t="n"/>
      <c r="AC42" s="30" t="n">
        <v>0</v>
      </c>
      <c r="AD42" s="24" t="inlineStr">
        <is>
          <t>2026-07-29T02:41:36.909527Z</t>
        </is>
      </c>
      <c r="AE42" s="31" t="inlineStr">
        <is>
          <t>Neutral Elo baseline; executable ask 0.5600 (market_slug=aec-cs2-gol-esb-2026-07-28).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eSuba</t>
        </is>
      </c>
      <c r="AQ42" s="24" t="inlineStr">
        <is>
          <t>eSuba</t>
        </is>
      </c>
      <c r="AR42" s="24" t="inlineStr">
        <is>
          <t>eSuba</t>
        </is>
      </c>
      <c r="AS42" s="24" t="inlineStr">
        <is>
          <t>GoldRashers</t>
        </is>
      </c>
      <c r="AT42" s="24" t="inlineStr">
        <is>
          <t>GoldRashers</t>
        </is>
      </c>
      <c r="AU42" s="24" t="inlineStr">
        <is>
          <t>GoldRashers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3487735e39e50be1fefee9192d509704c974ecc258edfc57a88a384c3d181528</t>
        </is>
      </c>
      <c r="BB42" s="24" t="inlineStr">
        <is>
          <t>neutral_elo</t>
        </is>
      </c>
      <c r="BC42" s="24" t="inlineStr">
        <is>
          <t>cs2-tiered-elo-v4</t>
        </is>
      </c>
      <c r="BD42" s="24" t="inlineStr">
        <is>
          <t>3487735e39e50be1fefee9192d509704c974ecc258edfc57a88a384c3d181528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cs2-tiered-elo-v4</t>
        </is>
      </c>
      <c r="BH42" s="24" t="inlineStr">
        <is>
          <t>2026-07-28T17:29:59.388422Z</t>
        </is>
      </c>
      <c r="BI42" s="24" t="inlineStr">
        <is>
          <t>["same_event","same_team_same_day","same_league_same_day"]</t>
        </is>
      </c>
      <c r="BJ42" s="25" t="n"/>
      <c r="BK42" s="26" t="n">
        <v>-127</v>
      </c>
      <c r="BL42" s="27" t="n">
        <v>1.787402</v>
      </c>
      <c r="BM42" s="28" t="n">
        <v>0.5594710000000001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inlineStr">
        <is>
          <t>esports market settled to a non-binary price (forfeit/postponement per market rules)</t>
        </is>
      </c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a56ff88a10584b3c</t>
        </is>
      </c>
      <c r="B43" s="24" t="inlineStr">
        <is>
          <t>2026-07-28T17:30:13.340663Z</t>
        </is>
      </c>
      <c r="C43" s="24" t="inlineStr">
        <is>
          <t>2026-07-28T18:00:00Z</t>
        </is>
      </c>
      <c r="D43" s="24" t="inlineStr">
        <is>
          <t>61708</t>
        </is>
      </c>
      <c r="E43" s="24" t="inlineStr">
        <is>
          <t>CS2</t>
        </is>
      </c>
      <c r="F43" s="24" t="inlineStr">
        <is>
          <t>largadosypelados</t>
        </is>
      </c>
      <c r="G43" s="24" t="inlineStr">
        <is>
          <t>Bounty Hunters Esports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117</v>
      </c>
      <c r="M43" s="27" t="n">
        <v>2.17</v>
      </c>
      <c r="N43" s="28" t="n">
        <v>0.460829</v>
      </c>
      <c r="O43" s="28" t="n">
        <v>0.731589</v>
      </c>
      <c r="P43" s="28" t="n"/>
      <c r="Q43" s="28" t="n">
        <v>0.27076</v>
      </c>
      <c r="R43" s="26" t="n">
        <v>100</v>
      </c>
      <c r="S43" s="29" t="n">
        <v>0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</v>
      </c>
      <c r="AD43" s="24" t="inlineStr">
        <is>
          <t>2026-07-28T23:36:50.049586Z</t>
        </is>
      </c>
      <c r="AE43" s="31" t="inlineStr">
        <is>
          <t>Neutral Elo baseline; executable ask 0.4600 (market_slug=aec-cs2-bhe-ldp-2026-07-28).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largadosypelados</t>
        </is>
      </c>
      <c r="AQ43" s="24" t="inlineStr">
        <is>
          <t>largadosypelados</t>
        </is>
      </c>
      <c r="AR43" s="24" t="inlineStr">
        <is>
          <t>largadosypelados</t>
        </is>
      </c>
      <c r="AS43" s="24" t="inlineStr">
        <is>
          <t>Bounty Hunters Esports</t>
        </is>
      </c>
      <c r="AT43" s="24" t="inlineStr">
        <is>
          <t>Bounty Hunters Esports</t>
        </is>
      </c>
      <c r="AU43" s="24" t="inlineStr">
        <is>
          <t>Bounty Hunters Esports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3487735e39e50be1fefee9192d509704c974ecc258edfc57a88a384c3d181528</t>
        </is>
      </c>
      <c r="BB43" s="24" t="inlineStr">
        <is>
          <t>neutral_elo</t>
        </is>
      </c>
      <c r="BC43" s="24" t="inlineStr">
        <is>
          <t>cs2-tiered-elo-v4</t>
        </is>
      </c>
      <c r="BD43" s="24" t="inlineStr">
        <is>
          <t>3487735e39e50be1fefee9192d509704c974ecc258edfc57a88a384c3d181528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cs2-tiered-elo-v4</t>
        </is>
      </c>
      <c r="BH43" s="24" t="inlineStr">
        <is>
          <t>2026-07-28T17:29:59.990072Z</t>
        </is>
      </c>
      <c r="BI43" s="24" t="inlineStr">
        <is>
          <t>["same_event","same_team_same_day","same_league_same_day"]</t>
        </is>
      </c>
      <c r="BJ43" s="25" t="n"/>
      <c r="BK43" s="26" t="n">
        <v>117</v>
      </c>
      <c r="BL43" s="27" t="n">
        <v>2.17</v>
      </c>
      <c r="BM43" s="28" t="n">
        <v>0.460829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3f12600f0b524c71</t>
        </is>
      </c>
      <c r="B44" s="24" t="inlineStr">
        <is>
          <t>2026-07-28T17:30:13.340663Z</t>
        </is>
      </c>
      <c r="C44" s="24" t="inlineStr">
        <is>
          <t>2026-07-28T18:15:00Z</t>
        </is>
      </c>
      <c r="D44" s="24" t="inlineStr">
        <is>
          <t>63529</t>
        </is>
      </c>
      <c r="E44" s="24" t="inlineStr">
        <is>
          <t>CS2</t>
        </is>
      </c>
      <c r="F44" s="24" t="inlineStr">
        <is>
          <t>Young TigeRES</t>
        </is>
      </c>
      <c r="G44" s="24" t="inlineStr">
        <is>
          <t>Aurora Young Blood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-144</v>
      </c>
      <c r="M44" s="27" t="n">
        <v>1.694444</v>
      </c>
      <c r="N44" s="28" t="n">
        <v>0.590164</v>
      </c>
      <c r="O44" s="28" t="n">
        <v>0.501511</v>
      </c>
      <c r="P44" s="28" t="n"/>
      <c r="Q44" s="28" t="n">
        <v>-0.088653</v>
      </c>
      <c r="R44" s="26" t="n">
        <v>0</v>
      </c>
      <c r="S44" s="29" t="n">
        <v>0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0</v>
      </c>
      <c r="AD44" s="24" t="inlineStr">
        <is>
          <t>2026-07-28T20:30:49.388237Z</t>
        </is>
      </c>
      <c r="AE44" s="31" t="inlineStr">
        <is>
          <t>Neutral Elo baseline; executable ask 0.5900 (market_slug=aec-cs2-auryb-ytigeres-2026-07-28).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Young TigeRES</t>
        </is>
      </c>
      <c r="AQ44" s="24" t="inlineStr">
        <is>
          <t>Young TigeRES</t>
        </is>
      </c>
      <c r="AR44" s="24" t="inlineStr">
        <is>
          <t>Young TigeRES</t>
        </is>
      </c>
      <c r="AS44" s="24" t="inlineStr">
        <is>
          <t>Aurora Young Blood</t>
        </is>
      </c>
      <c r="AT44" s="24" t="inlineStr">
        <is>
          <t>Aurora Young Blood</t>
        </is>
      </c>
      <c r="AU44" s="24" t="inlineStr">
        <is>
          <t>Aurora Young Blood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3487735e39e50be1fefee9192d509704c974ecc258edfc57a88a384c3d181528</t>
        </is>
      </c>
      <c r="BB44" s="24" t="inlineStr">
        <is>
          <t>neutral_elo</t>
        </is>
      </c>
      <c r="BC44" s="24" t="inlineStr">
        <is>
          <t>cs2-tiered-elo-v4</t>
        </is>
      </c>
      <c r="BD44" s="24" t="inlineStr">
        <is>
          <t>3487735e39e50be1fefee9192d509704c974ecc258edfc57a88a384c3d181528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cs2-tiered-elo-v4</t>
        </is>
      </c>
      <c r="BH44" s="24" t="inlineStr">
        <is>
          <t>2026-07-28T17:30:00.489153Z</t>
        </is>
      </c>
      <c r="BI44" s="24" t="inlineStr">
        <is>
          <t>["same_event","same_team_same_day","same_league_same_day"]</t>
        </is>
      </c>
      <c r="BJ44" s="25" t="n"/>
      <c r="BK44" s="26" t="n">
        <v>-144</v>
      </c>
      <c r="BL44" s="27" t="n">
        <v>1.694444</v>
      </c>
      <c r="BM44" s="28" t="n">
        <v>0.590164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0656ccbf697d49bd</t>
        </is>
      </c>
      <c r="B45" s="24" t="inlineStr">
        <is>
          <t>2026-07-28T17:30:13.340663Z</t>
        </is>
      </c>
      <c r="C45" s="24" t="inlineStr">
        <is>
          <t>2026-07-28T18:30:00Z</t>
        </is>
      </c>
      <c r="D45" s="24" t="inlineStr">
        <is>
          <t>64504</t>
        </is>
      </c>
      <c r="E45" s="24" t="inlineStr">
        <is>
          <t>CS2</t>
        </is>
      </c>
      <c r="F45" s="24" t="inlineStr">
        <is>
          <t>Glitchtech Esports</t>
        </is>
      </c>
      <c r="G45" s="24" t="inlineStr">
        <is>
          <t>VP.Prodigy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0.723251</v>
      </c>
      <c r="P45" s="28" t="n"/>
      <c r="Q45" s="28" t="n">
        <v>0.032849</v>
      </c>
      <c r="R45" s="26" t="n">
        <v>36</v>
      </c>
      <c r="S45" s="29" t="n">
        <v>2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0.8969</v>
      </c>
      <c r="AD45" s="24" t="inlineStr">
        <is>
          <t>2026-07-28T20:30:50.952420Z</t>
        </is>
      </c>
      <c r="AE45" s="31" t="inlineStr">
        <is>
          <t>Neutral Elo baseline; executable ask 0.6900 (market_slug=aec-cs2-vpp-gel-2026-07-28).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Glitchtech Esports</t>
        </is>
      </c>
      <c r="AQ45" s="24" t="inlineStr">
        <is>
          <t>Glitchtech Esports</t>
        </is>
      </c>
      <c r="AR45" s="24" t="inlineStr">
        <is>
          <t>Glitchtech Esports</t>
        </is>
      </c>
      <c r="AS45" s="24" t="inlineStr">
        <is>
          <t>VP.Prodigy</t>
        </is>
      </c>
      <c r="AT45" s="24" t="inlineStr">
        <is>
          <t>VP.Prodigy</t>
        </is>
      </c>
      <c r="AU45" s="24" t="inlineStr">
        <is>
          <t>VP.Prodigy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3487735e39e50be1fefee9192d509704c974ecc258edfc57a88a384c3d181528</t>
        </is>
      </c>
      <c r="BB45" s="24" t="inlineStr">
        <is>
          <t>neutral_elo</t>
        </is>
      </c>
      <c r="BC45" s="24" t="inlineStr">
        <is>
          <t>cs2-tiered-elo-v4</t>
        </is>
      </c>
      <c r="BD45" s="24" t="inlineStr">
        <is>
          <t>3487735e39e50be1fefee9192d509704c974ecc258edfc57a88a384c3d181528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cs2-tiered-elo-v4</t>
        </is>
      </c>
      <c r="BH45" s="24" t="inlineStr">
        <is>
          <t>2026-07-28T17:30:01.551070Z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5edf9b60847540bf</t>
        </is>
      </c>
      <c r="B46" s="24" t="inlineStr">
        <is>
          <t>2026-07-28T17:30:13.340663Z</t>
        </is>
      </c>
      <c r="C46" s="24" t="inlineStr">
        <is>
          <t>2026-07-28T18:30:00Z</t>
        </is>
      </c>
      <c r="D46" s="24" t="inlineStr">
        <is>
          <t>64500</t>
        </is>
      </c>
      <c r="E46" s="24" t="inlineStr">
        <is>
          <t>CS2</t>
        </is>
      </c>
      <c r="F46" s="24" t="inlineStr">
        <is>
          <t xml:space="preserve"> Phantom Academy</t>
        </is>
      </c>
      <c r="G46" s="24" t="inlineStr">
        <is>
          <t>Bushido Wildcats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0.514182</v>
      </c>
      <c r="P46" s="28" t="n"/>
      <c r="Q46" s="28" t="n">
        <v>-0.10559</v>
      </c>
      <c r="R46" s="26" t="n">
        <v>0</v>
      </c>
      <c r="S46" s="29" t="n">
        <v>0</v>
      </c>
      <c r="T46" s="24" t="inlineStr">
        <is>
          <t>cs2-tiered-elo-v4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</v>
      </c>
      <c r="AD46" s="24" t="inlineStr">
        <is>
          <t>2026-07-28T20:30:52.380267Z</t>
        </is>
      </c>
      <c r="AE46" s="31" t="inlineStr">
        <is>
          <t>Neutral Elo baseline; executable ask 0.6200 (market_slug=aec-cs2-bw-phtmac-2026-07-28).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 xml:space="preserve"> Phantom Academy</t>
        </is>
      </c>
      <c r="AQ46" s="24" t="inlineStr">
        <is>
          <t xml:space="preserve"> Phantom Academy</t>
        </is>
      </c>
      <c r="AR46" s="24" t="inlineStr">
        <is>
          <t xml:space="preserve"> Phantom Academy</t>
        </is>
      </c>
      <c r="AS46" s="24" t="inlineStr">
        <is>
          <t>Bushido Wildcats</t>
        </is>
      </c>
      <c r="AT46" s="24" t="inlineStr">
        <is>
          <t>Bushido Wildcats</t>
        </is>
      </c>
      <c r="AU46" s="24" t="inlineStr">
        <is>
          <t>Bushido Wildcats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3487735e39e50be1fefee9192d509704c974ecc258edfc57a88a384c3d181528</t>
        </is>
      </c>
      <c r="BB46" s="24" t="inlineStr">
        <is>
          <t>neutral_elo</t>
        </is>
      </c>
      <c r="BC46" s="24" t="inlineStr">
        <is>
          <t>cs2-tiered-elo-v4</t>
        </is>
      </c>
      <c r="BD46" s="24" t="inlineStr">
        <is>
          <t>3487735e39e50be1fefee9192d509704c974ecc258edfc57a88a384c3d181528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cs2-tiered-elo-v4</t>
        </is>
      </c>
      <c r="BH46" s="24" t="inlineStr">
        <is>
          <t>2026-07-28T17:30:02.051789Z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341c120d8e0d4be5</t>
        </is>
      </c>
      <c r="B47" s="24" t="inlineStr">
        <is>
          <t>2026-07-28T17:30:13.340663Z</t>
        </is>
      </c>
      <c r="C47" s="24" t="inlineStr">
        <is>
          <t>2026-07-28T18:30:00Z</t>
        </is>
      </c>
      <c r="D47" s="24" t="inlineStr">
        <is>
          <t>64503</t>
        </is>
      </c>
      <c r="E47" s="24" t="inlineStr">
        <is>
          <t>CS2</t>
        </is>
      </c>
      <c r="F47" s="24" t="inlineStr">
        <is>
          <t>Banger Gang</t>
        </is>
      </c>
      <c r="G47" s="24" t="inlineStr">
        <is>
          <t>Donstu Esports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-144</v>
      </c>
      <c r="M47" s="27" t="n">
        <v>1.694444</v>
      </c>
      <c r="N47" s="28" t="n">
        <v>0.590164</v>
      </c>
      <c r="O47" s="28" t="n">
        <v>0.585025</v>
      </c>
      <c r="P47" s="28" t="n"/>
      <c r="Q47" s="28" t="n">
        <v>-0.005139</v>
      </c>
      <c r="R47" s="26" t="n">
        <v>17</v>
      </c>
      <c r="S47" s="29" t="n">
        <v>0</v>
      </c>
      <c r="T47" s="24" t="inlineStr">
        <is>
          <t>cs2-tiered-elo-v4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/>
      <c r="AA47" s="28" t="n"/>
      <c r="AB47" s="28" t="n"/>
      <c r="AC47" s="30" t="n">
        <v>0</v>
      </c>
      <c r="AD47" s="24" t="inlineStr">
        <is>
          <t>2026-07-28T20:30:53.722801Z</t>
        </is>
      </c>
      <c r="AE47" s="31" t="inlineStr">
        <is>
          <t>Neutral Elo baseline; executable ask 0.5900 (market_slug=aec-cs2-dnt-bg-2026-07-28).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Banger Gang</t>
        </is>
      </c>
      <c r="AQ47" s="24" t="inlineStr">
        <is>
          <t>Banger Gang</t>
        </is>
      </c>
      <c r="AR47" s="24" t="inlineStr">
        <is>
          <t>Banger Gang</t>
        </is>
      </c>
      <c r="AS47" s="24" t="inlineStr">
        <is>
          <t>Donstu Esports</t>
        </is>
      </c>
      <c r="AT47" s="24" t="inlineStr">
        <is>
          <t>Donstu Esports</t>
        </is>
      </c>
      <c r="AU47" s="24" t="inlineStr">
        <is>
          <t>Donstu Esports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3487735e39e50be1fefee9192d509704c974ecc258edfc57a88a384c3d181528</t>
        </is>
      </c>
      <c r="BB47" s="24" t="inlineStr">
        <is>
          <t>neutral_elo</t>
        </is>
      </c>
      <c r="BC47" s="24" t="inlineStr">
        <is>
          <t>cs2-tiered-elo-v4</t>
        </is>
      </c>
      <c r="BD47" s="24" t="inlineStr">
        <is>
          <t>3487735e39e50be1fefee9192d509704c974ecc258edfc57a88a384c3d181528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cs2-tiered-elo-v4</t>
        </is>
      </c>
      <c r="BH47" s="24" t="inlineStr">
        <is>
          <t>2026-07-28T17:30:03.788949Z</t>
        </is>
      </c>
      <c r="BI47" s="24" t="inlineStr">
        <is>
          <t>["same_event","same_team_same_day","same_league_same_day"]</t>
        </is>
      </c>
      <c r="BJ47" s="25" t="n"/>
      <c r="BK47" s="26" t="n">
        <v>-144</v>
      </c>
      <c r="BL47" s="27" t="n">
        <v>1.694444</v>
      </c>
      <c r="BM47" s="28" t="n">
        <v>0.590164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144d1b54ad954178</t>
        </is>
      </c>
      <c r="B48" s="24" t="inlineStr">
        <is>
          <t>2026-07-28T17:30:13.340663Z</t>
        </is>
      </c>
      <c r="C48" s="24" t="inlineStr">
        <is>
          <t>2026-07-28T18:30:00Z</t>
        </is>
      </c>
      <c r="D48" s="24" t="inlineStr">
        <is>
          <t>64505</t>
        </is>
      </c>
      <c r="E48" s="24" t="inlineStr">
        <is>
          <t>CS2</t>
        </is>
      </c>
      <c r="F48" s="24" t="inlineStr">
        <is>
          <t>OLDBOYS PL</t>
        </is>
      </c>
      <c r="G48" s="24" t="inlineStr">
        <is>
          <t>Fortress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0.661428</v>
      </c>
      <c r="P48" s="28" t="n"/>
      <c r="Q48" s="28" t="n">
        <v>0.011078</v>
      </c>
      <c r="R48" s="26" t="n">
        <v>26</v>
      </c>
      <c r="S48" s="29" t="n">
        <v>2</v>
      </c>
      <c r="T48" s="24" t="inlineStr">
        <is>
          <t>cs2-tiered-elo-v4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1.0753</v>
      </c>
      <c r="AD48" s="24" t="inlineStr">
        <is>
          <t>2026-07-28T20:30:55.016166Z</t>
        </is>
      </c>
      <c r="AE48" s="31" t="inlineStr">
        <is>
          <t>Neutral Elo baseline; executable ask 0.6500 (market_slug=aec-cs2-for-oldboyspl-2026-07-28).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OLDBOYS PL</t>
        </is>
      </c>
      <c r="AQ48" s="24" t="inlineStr">
        <is>
          <t>OLDBOYS PL</t>
        </is>
      </c>
      <c r="AR48" s="24" t="inlineStr">
        <is>
          <t>OLDBOYS PL</t>
        </is>
      </c>
      <c r="AS48" s="24" t="inlineStr">
        <is>
          <t>Fortress</t>
        </is>
      </c>
      <c r="AT48" s="24" t="inlineStr">
        <is>
          <t>Fortress</t>
        </is>
      </c>
      <c r="AU48" s="24" t="inlineStr">
        <is>
          <t>Fortress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3487735e39e50be1fefee9192d509704c974ecc258edfc57a88a384c3d181528</t>
        </is>
      </c>
      <c r="BB48" s="24" t="inlineStr">
        <is>
          <t>neutral_elo</t>
        </is>
      </c>
      <c r="BC48" s="24" t="inlineStr">
        <is>
          <t>cs2-tiered-elo-v4</t>
        </is>
      </c>
      <c r="BD48" s="24" t="inlineStr">
        <is>
          <t>3487735e39e50be1fefee9192d509704c974ecc258edfc57a88a384c3d181528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cs2-tiered-elo-v4</t>
        </is>
      </c>
      <c r="BH48" s="24" t="inlineStr">
        <is>
          <t>2026-07-28T17:30:04.306467Z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179ebaa8ae5a4cc5</t>
        </is>
      </c>
      <c r="B49" s="24" t="inlineStr">
        <is>
          <t>2026-07-28T17:30:13.340663Z</t>
        </is>
      </c>
      <c r="C49" s="24" t="inlineStr">
        <is>
          <t>2026-07-28T18:30:00Z</t>
        </is>
      </c>
      <c r="D49" s="24" t="inlineStr">
        <is>
          <t>64506</t>
        </is>
      </c>
      <c r="E49" s="24" t="inlineStr">
        <is>
          <t>CS2</t>
        </is>
      </c>
      <c r="F49" s="24" t="inlineStr">
        <is>
          <t>NAVI Junior</t>
        </is>
      </c>
      <c r="G49" s="24" t="inlineStr">
        <is>
          <t>uust _esports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212</v>
      </c>
      <c r="M49" s="27" t="n">
        <v>3.12</v>
      </c>
      <c r="N49" s="28" t="n">
        <v>0.320513</v>
      </c>
      <c r="O49" s="28" t="n">
        <v>0.500346</v>
      </c>
      <c r="P49" s="28" t="n"/>
      <c r="Q49" s="28" t="n">
        <v>0.179833</v>
      </c>
      <c r="R49" s="26" t="n">
        <v>100</v>
      </c>
      <c r="S49" s="29" t="n">
        <v>0</v>
      </c>
      <c r="T49" s="24" t="inlineStr">
        <is>
          <t>cs2-tiered-elo-v4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2026-07-28T20:30:56.427162Z</t>
        </is>
      </c>
      <c r="AE49" s="31" t="inlineStr">
        <is>
          <t>Neutral Elo baseline; executable ask 0.3200 (market_slug=aec-cs2-uust-navij-2026-07-28).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NAVI Junior</t>
        </is>
      </c>
      <c r="AQ49" s="24" t="inlineStr">
        <is>
          <t>NAVI Junior</t>
        </is>
      </c>
      <c r="AR49" s="24" t="inlineStr">
        <is>
          <t>NAVI Junior</t>
        </is>
      </c>
      <c r="AS49" s="24" t="inlineStr">
        <is>
          <t>uust _esports</t>
        </is>
      </c>
      <c r="AT49" s="24" t="inlineStr">
        <is>
          <t>uust _esports</t>
        </is>
      </c>
      <c r="AU49" s="24" t="inlineStr">
        <is>
          <t>uust _esports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3487735e39e50be1fefee9192d509704c974ecc258edfc57a88a384c3d181528</t>
        </is>
      </c>
      <c r="BB49" s="24" t="inlineStr">
        <is>
          <t>neutral_elo</t>
        </is>
      </c>
      <c r="BC49" s="24" t="inlineStr">
        <is>
          <t>cs2-tiered-elo-v4</t>
        </is>
      </c>
      <c r="BD49" s="24" t="inlineStr">
        <is>
          <t>3487735e39e50be1fefee9192d509704c974ecc258edfc57a88a384c3d181528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cs2-tiered-elo-v4</t>
        </is>
      </c>
      <c r="BH49" s="24" t="inlineStr">
        <is>
          <t>2026-07-28T17:30:04.828480Z</t>
        </is>
      </c>
      <c r="BI49" s="24" t="inlineStr">
        <is>
          <t>["same_event","same_team_same_day","same_league_same_day"]</t>
        </is>
      </c>
      <c r="BJ49" s="25" t="n"/>
      <c r="BK49" s="26" t="n">
        <v>212</v>
      </c>
      <c r="BL49" s="27" t="n">
        <v>3.12</v>
      </c>
      <c r="BM49" s="28" t="n">
        <v>0.320513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ab4af6606ee9489c</t>
        </is>
      </c>
      <c r="B50" s="24" t="inlineStr">
        <is>
          <t>2026-07-28T17:30:13.340663Z</t>
        </is>
      </c>
      <c r="C50" s="24" t="inlineStr">
        <is>
          <t>2026-07-28T18:30:00Z</t>
        </is>
      </c>
      <c r="D50" s="24" t="inlineStr">
        <is>
          <t>64507</t>
        </is>
      </c>
      <c r="E50" s="24" t="inlineStr">
        <is>
          <t>CS2</t>
        </is>
      </c>
      <c r="F50" s="24" t="inlineStr">
        <is>
          <t>Younglings</t>
        </is>
      </c>
      <c r="G50" s="24" t="inlineStr">
        <is>
          <t>Arch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-203</v>
      </c>
      <c r="M50" s="27" t="n">
        <v>1.492611</v>
      </c>
      <c r="N50" s="28" t="n">
        <v>0.669967</v>
      </c>
      <c r="O50" s="28" t="n">
        <v>0.590162</v>
      </c>
      <c r="P50" s="28" t="n"/>
      <c r="Q50" s="28" t="n">
        <v>-0.079805</v>
      </c>
      <c r="R50" s="26" t="n">
        <v>0</v>
      </c>
      <c r="S50" s="29" t="n">
        <v>0</v>
      </c>
      <c r="T50" s="24" t="inlineStr">
        <is>
          <t>cs2-tiered-elo-v4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0</v>
      </c>
      <c r="AD50" s="24" t="inlineStr">
        <is>
          <t>2026-07-28T20:30:57.882818Z</t>
        </is>
      </c>
      <c r="AE50" s="31" t="inlineStr">
        <is>
          <t>Neutral Elo baseline; executable ask 0.6700 (market_slug=aec-cs2-arch-yl-2026-07-28).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NO_CALL_LOW_EDGE</t>
        </is>
      </c>
      <c r="AP50" s="24" t="inlineStr">
        <is>
          <t>Younglings</t>
        </is>
      </c>
      <c r="AQ50" s="24" t="inlineStr">
        <is>
          <t>Younglings</t>
        </is>
      </c>
      <c r="AR50" s="24" t="inlineStr">
        <is>
          <t>Younglings</t>
        </is>
      </c>
      <c r="AS50" s="24" t="inlineStr">
        <is>
          <t>Arch</t>
        </is>
      </c>
      <c r="AT50" s="24" t="inlineStr">
        <is>
          <t>Arch</t>
        </is>
      </c>
      <c r="AU50" s="24" t="inlineStr">
        <is>
          <t>Arch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3487735e39e50be1fefee9192d509704c974ecc258edfc57a88a384c3d181528</t>
        </is>
      </c>
      <c r="BB50" s="24" t="inlineStr">
        <is>
          <t>neutral_elo</t>
        </is>
      </c>
      <c r="BC50" s="24" t="inlineStr">
        <is>
          <t>cs2-tiered-elo-v4</t>
        </is>
      </c>
      <c r="BD50" s="24" t="inlineStr">
        <is>
          <t>3487735e39e50be1fefee9192d509704c974ecc258edfc57a88a384c3d181528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cs2-tiered-elo-v4</t>
        </is>
      </c>
      <c r="BH50" s="24" t="inlineStr">
        <is>
          <t>2026-07-28T17:30:05.344387Z</t>
        </is>
      </c>
      <c r="BI50" s="24" t="inlineStr">
        <is>
          <t>["same_event","same_team_same_day","same_league_same_day"]</t>
        </is>
      </c>
      <c r="BJ50" s="25" t="n"/>
      <c r="BK50" s="26" t="n">
        <v>-203</v>
      </c>
      <c r="BL50" s="27" t="n">
        <v>1.492611</v>
      </c>
      <c r="BM50" s="28" t="n">
        <v>0.669967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c110d1f353874bdd</t>
        </is>
      </c>
      <c r="B51" s="24" t="inlineStr">
        <is>
          <t>2026-07-28T17:30:13.340663Z</t>
        </is>
      </c>
      <c r="C51" s="24" t="inlineStr">
        <is>
          <t>2026-07-28T18:30:00Z</t>
        </is>
      </c>
      <c r="D51" s="24" t="inlineStr">
        <is>
          <t>64508</t>
        </is>
      </c>
      <c r="E51" s="24" t="inlineStr">
        <is>
          <t>CS2</t>
        </is>
      </c>
      <c r="F51" s="24" t="inlineStr">
        <is>
          <t>EvolupeGG</t>
        </is>
      </c>
      <c r="G51" s="24" t="inlineStr">
        <is>
          <t>TEAM_COPH9K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186</v>
      </c>
      <c r="M51" s="27" t="n">
        <v>2.86</v>
      </c>
      <c r="N51" s="28" t="n">
        <v>0.34965</v>
      </c>
      <c r="O51" s="28" t="n">
        <v>0.516993</v>
      </c>
      <c r="P51" s="28" t="n"/>
      <c r="Q51" s="28" t="n">
        <v>0.167343</v>
      </c>
      <c r="R51" s="26" t="n">
        <v>100</v>
      </c>
      <c r="S51" s="29" t="n">
        <v>0.75</v>
      </c>
      <c r="T51" s="24" t="inlineStr">
        <is>
          <t>cs2-tiered-elo-v4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1.395</v>
      </c>
      <c r="AD51" s="24" t="inlineStr">
        <is>
          <t>2026-07-28T20:30:59.340223Z</t>
        </is>
      </c>
      <c r="AE51" s="31" t="inlineStr">
        <is>
          <t>Neutral Elo baseline; executable ask 0.3500 (market_slug=aec-cs2-tck-evo-2026-07-28).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EvolupeGG</t>
        </is>
      </c>
      <c r="AQ51" s="24" t="inlineStr">
        <is>
          <t>EvolupeGG</t>
        </is>
      </c>
      <c r="AR51" s="24" t="inlineStr">
        <is>
          <t>EvolupeGG</t>
        </is>
      </c>
      <c r="AS51" s="24" t="inlineStr">
        <is>
          <t>TEAM_COPH9K</t>
        </is>
      </c>
      <c r="AT51" s="24" t="inlineStr">
        <is>
          <t>TEAM_COPH9K</t>
        </is>
      </c>
      <c r="AU51" s="24" t="inlineStr">
        <is>
          <t>TEAM_COPH9K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3487735e39e50be1fefee9192d509704c974ecc258edfc57a88a384c3d181528</t>
        </is>
      </c>
      <c r="BB51" s="24" t="inlineStr">
        <is>
          <t>neutral_elo</t>
        </is>
      </c>
      <c r="BC51" s="24" t="inlineStr">
        <is>
          <t>cs2-tiered-elo-v4</t>
        </is>
      </c>
      <c r="BD51" s="24" t="inlineStr">
        <is>
          <t>3487735e39e50be1fefee9192d509704c974ecc258edfc57a88a384c3d181528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cs2-tiered-elo-v4</t>
        </is>
      </c>
      <c r="BH51" s="24" t="inlineStr">
        <is>
          <t>2026-07-28T17:30:05.845373Z</t>
        </is>
      </c>
      <c r="BI51" s="24" t="inlineStr">
        <is>
          <t>["same_event","same_team_same_day","same_league_same_day"]</t>
        </is>
      </c>
      <c r="BJ51" s="25" t="n"/>
      <c r="BK51" s="26" t="n">
        <v>186</v>
      </c>
      <c r="BL51" s="27" t="n">
        <v>2.86</v>
      </c>
      <c r="BM51" s="28" t="n">
        <v>0.34965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e11fae0c2b33414d</t>
        </is>
      </c>
      <c r="B52" s="24" t="inlineStr">
        <is>
          <t>2026-07-28T17:30:13.340663Z</t>
        </is>
      </c>
      <c r="C52" s="24" t="inlineStr">
        <is>
          <t>2026-07-28T18:30:00Z</t>
        </is>
      </c>
      <c r="D52" s="24" t="inlineStr">
        <is>
          <t>64510</t>
        </is>
      </c>
      <c r="E52" s="24" t="inlineStr">
        <is>
          <t>CS2</t>
        </is>
      </c>
      <c r="F52" s="24" t="inlineStr">
        <is>
          <t>Subtop De France</t>
        </is>
      </c>
      <c r="G52" s="24" t="inlineStr">
        <is>
          <t>Hermine Esports Club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-186</v>
      </c>
      <c r="M52" s="27" t="n">
        <v>1.537634</v>
      </c>
      <c r="N52" s="28" t="n">
        <v>0.65035</v>
      </c>
      <c r="O52" s="28" t="n">
        <v>0.591041</v>
      </c>
      <c r="P52" s="28" t="n"/>
      <c r="Q52" s="28" t="n">
        <v>-0.059309</v>
      </c>
      <c r="R52" s="26" t="n">
        <v>0</v>
      </c>
      <c r="S52" s="29" t="n">
        <v>0</v>
      </c>
      <c r="T52" s="24" t="inlineStr">
        <is>
          <t>cs2-tiered-elo-v4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0.6500 (market_slug=aec-cs2-hec-sdf-2026-07-28).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Subtop De France</t>
        </is>
      </c>
      <c r="AQ52" s="24" t="inlineStr">
        <is>
          <t>Subtop De France</t>
        </is>
      </c>
      <c r="AR52" s="24" t="inlineStr">
        <is>
          <t>Subtop De France</t>
        </is>
      </c>
      <c r="AS52" s="24" t="inlineStr">
        <is>
          <t>Hermine Esports Club</t>
        </is>
      </c>
      <c r="AT52" s="24" t="inlineStr">
        <is>
          <t>Hermine Esports Club</t>
        </is>
      </c>
      <c r="AU52" s="24" t="inlineStr">
        <is>
          <t>Hermine Esports Club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3487735e39e50be1fefee9192d509704c974ecc258edfc57a88a384c3d181528</t>
        </is>
      </c>
      <c r="BB52" s="24" t="inlineStr">
        <is>
          <t>neutral_elo</t>
        </is>
      </c>
      <c r="BC52" s="24" t="inlineStr">
        <is>
          <t>cs2-tiered-elo-v4</t>
        </is>
      </c>
      <c r="BD52" s="24" t="inlineStr">
        <is>
          <t>3487735e39e50be1fefee9192d509704c974ecc258edfc57a88a384c3d181528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cs2-tiered-elo-v4</t>
        </is>
      </c>
      <c r="BH52" s="24" t="inlineStr">
        <is>
          <t>2026-07-28T17:30:06.993861Z</t>
        </is>
      </c>
      <c r="BI52" s="24" t="inlineStr">
        <is>
          <t>["same_event","same_team_same_day","same_league_same_day"]</t>
        </is>
      </c>
      <c r="BJ52" s="25" t="n"/>
      <c r="BK52" s="26" t="n">
        <v>-186</v>
      </c>
      <c r="BL52" s="27" t="n">
        <v>1.537634</v>
      </c>
      <c r="BM52" s="28" t="n">
        <v>0.65035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6fcb1c2eae5447ab</t>
        </is>
      </c>
      <c r="B53" s="24" t="inlineStr">
        <is>
          <t>2026-07-28T17:30:13.340663Z</t>
        </is>
      </c>
      <c r="C53" s="24" t="inlineStr">
        <is>
          <t>2026-07-28T18:30:00Z</t>
        </is>
      </c>
      <c r="D53" s="24" t="inlineStr">
        <is>
          <t>64511</t>
        </is>
      </c>
      <c r="E53" s="24" t="inlineStr">
        <is>
          <t>CS2</t>
        </is>
      </c>
      <c r="F53" s="24" t="inlineStr">
        <is>
          <t>mellren</t>
        </is>
      </c>
      <c r="G53" s="24" t="inlineStr">
        <is>
          <t>A Great Chaos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0.619746</v>
      </c>
      <c r="P53" s="28" t="n"/>
      <c r="Q53" s="28" t="n">
        <v>-0.030604</v>
      </c>
      <c r="R53" s="26" t="n">
        <v>5</v>
      </c>
      <c r="S53" s="29" t="n">
        <v>0</v>
      </c>
      <c r="T53" s="24" t="inlineStr">
        <is>
          <t>cs2-tiered-elo-v4</t>
        </is>
      </c>
      <c r="U53" s="24" t="inlineStr">
        <is>
          <t>settled</t>
        </is>
      </c>
      <c r="V53" s="24" t="inlineStr">
        <is>
          <t>push</t>
        </is>
      </c>
      <c r="W53" s="26" t="n"/>
      <c r="X53" s="26" t="n"/>
      <c r="Y53" s="25" t="n"/>
      <c r="Z53" s="26" t="n"/>
      <c r="AA53" s="28" t="n"/>
      <c r="AB53" s="28" t="n"/>
      <c r="AC53" s="30" t="n">
        <v>0</v>
      </c>
      <c r="AD53" s="24" t="inlineStr">
        <is>
          <t>2026-07-29T02:41:39.344372Z</t>
        </is>
      </c>
      <c r="AE53" s="31" t="inlineStr">
        <is>
          <t>Neutral Elo baseline; executable ask 0.6500 (market_slug=aec-cs2-agc-mel-2026-07-28).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mellren</t>
        </is>
      </c>
      <c r="AQ53" s="24" t="inlineStr">
        <is>
          <t>mellren</t>
        </is>
      </c>
      <c r="AR53" s="24" t="inlineStr">
        <is>
          <t>mellren</t>
        </is>
      </c>
      <c r="AS53" s="24" t="inlineStr">
        <is>
          <t>A Great Chaos</t>
        </is>
      </c>
      <c r="AT53" s="24" t="inlineStr">
        <is>
          <t>A Great Chaos</t>
        </is>
      </c>
      <c r="AU53" s="24" t="inlineStr">
        <is>
          <t>A Great Chaos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3487735e39e50be1fefee9192d509704c974ecc258edfc57a88a384c3d181528</t>
        </is>
      </c>
      <c r="BB53" s="24" t="inlineStr">
        <is>
          <t>neutral_elo</t>
        </is>
      </c>
      <c r="BC53" s="24" t="inlineStr">
        <is>
          <t>cs2-tiered-elo-v4</t>
        </is>
      </c>
      <c r="BD53" s="24" t="inlineStr">
        <is>
          <t>3487735e39e50be1fefee9192d509704c974ecc258edfc57a88a384c3d181528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cs2-tiered-elo-v4</t>
        </is>
      </c>
      <c r="BH53" s="24" t="inlineStr">
        <is>
          <t>2026-07-28T17:30:07.480535Z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inlineStr">
        <is>
          <t>esports market settled to a non-binary price (forfeit/postponement per market rules)</t>
        </is>
      </c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a06b6205fdf5420a</t>
        </is>
      </c>
      <c r="B54" s="24" t="inlineStr">
        <is>
          <t>2026-07-28T20:36:22.103772Z</t>
        </is>
      </c>
      <c r="C54" s="24" t="inlineStr">
        <is>
          <t>2026-07-28T21:00:00Z</t>
        </is>
      </c>
      <c r="D54" s="24" t="inlineStr">
        <is>
          <t>62236</t>
        </is>
      </c>
      <c r="E54" s="24" t="inlineStr">
        <is>
          <t>CS2</t>
        </is>
      </c>
      <c r="F54" s="24" t="inlineStr">
        <is>
          <t>BESTIA</t>
        </is>
      </c>
      <c r="G54" s="24" t="inlineStr">
        <is>
          <t>Imperial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-144</v>
      </c>
      <c r="M54" s="27" t="n">
        <v>1.694444</v>
      </c>
      <c r="N54" s="28" t="n">
        <v>0.590164</v>
      </c>
      <c r="O54" s="28" t="n">
        <v>0.527017</v>
      </c>
      <c r="P54" s="28" t="n"/>
      <c r="Q54" s="28" t="n">
        <v>-0.06314699999999999</v>
      </c>
      <c r="R54" s="26" t="n">
        <v>0</v>
      </c>
      <c r="S54" s="29" t="n">
        <v>0</v>
      </c>
      <c r="T54" s="24" t="inlineStr">
        <is>
          <t>cs2-tiered-elo-v4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/>
      <c r="AA54" s="28" t="n"/>
      <c r="AB54" s="28" t="n"/>
      <c r="AC54" s="30" t="n">
        <v>0</v>
      </c>
      <c r="AD54" s="24" t="inlineStr">
        <is>
          <t>2026-07-29T02:41:40.544663Z</t>
        </is>
      </c>
      <c r="AE54" s="31" t="inlineStr">
        <is>
          <t>Neutral Elo baseline; executable ask 0.5900 (market_slug=aec-cs2-imp-bst-2026-07-28).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BESTIA</t>
        </is>
      </c>
      <c r="AQ54" s="24" t="inlineStr">
        <is>
          <t>BESTIA</t>
        </is>
      </c>
      <c r="AR54" s="24" t="inlineStr">
        <is>
          <t>BESTIA</t>
        </is>
      </c>
      <c r="AS54" s="24" t="inlineStr">
        <is>
          <t>Imperial</t>
        </is>
      </c>
      <c r="AT54" s="24" t="inlineStr">
        <is>
          <t>Imperial</t>
        </is>
      </c>
      <c r="AU54" s="24" t="inlineStr">
        <is>
          <t>Imperial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427ef7081d43665378aad9613748ba9e7c3cf9716f42b970661abadd207f5c84</t>
        </is>
      </c>
      <c r="BB54" s="24" t="inlineStr">
        <is>
          <t>neutral_elo</t>
        </is>
      </c>
      <c r="BC54" s="24" t="inlineStr">
        <is>
          <t>cs2-tiered-elo-v4</t>
        </is>
      </c>
      <c r="BD54" s="24" t="inlineStr">
        <is>
          <t>427ef7081d43665378aad9613748ba9e7c3cf9716f42b970661abadd207f5c84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cs2-tiered-elo-v4</t>
        </is>
      </c>
      <c r="BH54" s="24" t="inlineStr">
        <is>
          <t>2026-07-28T20:36:15.339618Z</t>
        </is>
      </c>
      <c r="BI54" s="24" t="inlineStr">
        <is>
          <t>["same_event","same_team_same_day","same_league_same_day"]</t>
        </is>
      </c>
      <c r="BJ54" s="25" t="n"/>
      <c r="BK54" s="26" t="n">
        <v>-144</v>
      </c>
      <c r="BL54" s="27" t="n">
        <v>1.694444</v>
      </c>
      <c r="BM54" s="28" t="n">
        <v>0.590164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e03411041a8b4942</t>
        </is>
      </c>
      <c r="B55" s="24" t="inlineStr">
        <is>
          <t>2026-07-28T20:36:22.103772Z</t>
        </is>
      </c>
      <c r="C55" s="24" t="inlineStr">
        <is>
          <t>2026-07-28T22:00:00Z</t>
        </is>
      </c>
      <c r="D55" s="24" t="inlineStr">
        <is>
          <t>62282</t>
        </is>
      </c>
      <c r="E55" s="24" t="inlineStr">
        <is>
          <t>CS2</t>
        </is>
      </c>
      <c r="F55" s="24" t="inlineStr">
        <is>
          <t>Marsborne</t>
        </is>
      </c>
      <c r="G55" s="24" t="inlineStr">
        <is>
          <t>LAG Gaming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-186</v>
      </c>
      <c r="M55" s="27" t="n">
        <v>1.537634</v>
      </c>
      <c r="N55" s="28" t="n">
        <v>0.65035</v>
      </c>
      <c r="O55" s="28" t="n">
        <v>0.5845630000000001</v>
      </c>
      <c r="P55" s="28" t="n"/>
      <c r="Q55" s="28" t="n">
        <v>-0.065787</v>
      </c>
      <c r="R55" s="26" t="n">
        <v>0</v>
      </c>
      <c r="S55" s="29" t="n">
        <v>0</v>
      </c>
      <c r="T55" s="24" t="inlineStr">
        <is>
          <t>cs2-tiered-elo-v4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0</v>
      </c>
      <c r="AD55" s="24" t="inlineStr">
        <is>
          <t>2026-07-29T02:41:41.747718Z</t>
        </is>
      </c>
      <c r="AE55" s="31" t="inlineStr">
        <is>
          <t>Neutral Elo baseline; executable ask 0.6500 (market_slug=aec-cs2-lag-mars-2026-07-28).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Marsborne</t>
        </is>
      </c>
      <c r="AQ55" s="24" t="inlineStr">
        <is>
          <t>Marsborne</t>
        </is>
      </c>
      <c r="AR55" s="24" t="inlineStr">
        <is>
          <t>Marsborne</t>
        </is>
      </c>
      <c r="AS55" s="24" t="inlineStr">
        <is>
          <t>LAG Gaming</t>
        </is>
      </c>
      <c r="AT55" s="24" t="inlineStr">
        <is>
          <t>LAG Gaming</t>
        </is>
      </c>
      <c r="AU55" s="24" t="inlineStr">
        <is>
          <t>LAG Gaming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427ef7081d43665378aad9613748ba9e7c3cf9716f42b970661abadd207f5c84</t>
        </is>
      </c>
      <c r="BB55" s="24" t="inlineStr">
        <is>
          <t>neutral_elo</t>
        </is>
      </c>
      <c r="BC55" s="24" t="inlineStr">
        <is>
          <t>cs2-tiered-elo-v4</t>
        </is>
      </c>
      <c r="BD55" s="24" t="inlineStr">
        <is>
          <t>427ef7081d43665378aad9613748ba9e7c3cf9716f42b970661abadd207f5c84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cs2-tiered-elo-v4</t>
        </is>
      </c>
      <c r="BH55" s="24" t="inlineStr">
        <is>
          <t>2026-07-28T20:36:15.862094Z</t>
        </is>
      </c>
      <c r="BI55" s="24" t="inlineStr">
        <is>
          <t>["same_event","same_team_same_day","same_league_same_day"]</t>
        </is>
      </c>
      <c r="BJ55" s="25" t="n"/>
      <c r="BK55" s="26" t="n">
        <v>-186</v>
      </c>
      <c r="BL55" s="27" t="n">
        <v>1.537634</v>
      </c>
      <c r="BM55" s="28" t="n">
        <v>0.65035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97585e529e544490</t>
        </is>
      </c>
      <c r="B56" s="24" t="inlineStr">
        <is>
          <t>2026-07-29T05:51:03.041855Z</t>
        </is>
      </c>
      <c r="C56" s="24" t="inlineStr">
        <is>
          <t>2026-07-29T08:00:00Z</t>
        </is>
      </c>
      <c r="D56" s="24" t="inlineStr">
        <is>
          <t>63841</t>
        </is>
      </c>
      <c r="E56" s="24" t="inlineStr">
        <is>
          <t>CS2</t>
        </is>
      </c>
      <c r="F56" s="24" t="inlineStr">
        <is>
          <t>WRAITH PCIFIC</t>
        </is>
      </c>
      <c r="G56" s="24" t="inlineStr">
        <is>
          <t>Teletubisie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122</v>
      </c>
      <c r="M56" s="27" t="n">
        <v>2.22</v>
      </c>
      <c r="N56" s="28" t="n">
        <v>0.45045</v>
      </c>
      <c r="O56" s="28" t="n">
        <v>0.645738</v>
      </c>
      <c r="P56" s="28" t="n"/>
      <c r="Q56" s="28" t="n">
        <v>0.195288</v>
      </c>
      <c r="R56" s="26" t="n">
        <v>100</v>
      </c>
      <c r="S56" s="29" t="n">
        <v>0</v>
      </c>
      <c r="T56" s="24" t="inlineStr">
        <is>
          <t>cs2-tiered-elo-v4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</v>
      </c>
      <c r="AD56" s="24" t="inlineStr">
        <is>
          <t>2026-07-29T11:58:02.591118Z</t>
        </is>
      </c>
      <c r="AE56" s="31" t="inlineStr">
        <is>
          <t>Neutral Elo baseline; executable ask 0.4500 (market_slug=aec-cs2-ttbs-pcific-2026-07-29).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WRAITH PCIFIC</t>
        </is>
      </c>
      <c r="AQ56" s="24" t="inlineStr">
        <is>
          <t>WRAITH PCIFIC</t>
        </is>
      </c>
      <c r="AR56" s="24" t="inlineStr">
        <is>
          <t>WRAITH PCIFIC</t>
        </is>
      </c>
      <c r="AS56" s="24" t="inlineStr">
        <is>
          <t>Teletubisie</t>
        </is>
      </c>
      <c r="AT56" s="24" t="inlineStr">
        <is>
          <t>Teletubisie</t>
        </is>
      </c>
      <c r="AU56" s="24" t="inlineStr">
        <is>
          <t>Teletubisie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331ba95b99ee947a0e898747a2a477ca985dde406e5b809d8068d215db7072a3</t>
        </is>
      </c>
      <c r="BB56" s="24" t="inlineStr">
        <is>
          <t>neutral_elo</t>
        </is>
      </c>
      <c r="BC56" s="24" t="inlineStr">
        <is>
          <t>cs2-tiered-elo-v4</t>
        </is>
      </c>
      <c r="BD56" s="24" t="inlineStr">
        <is>
          <t>331ba95b99ee947a0e898747a2a477ca985dde406e5b809d8068d215db7072a3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cs2-tiered-elo-v4</t>
        </is>
      </c>
      <c r="BH56" s="24" t="inlineStr">
        <is>
          <t>2026-07-29T05:50:40.515123Z</t>
        </is>
      </c>
      <c r="BI56" s="24" t="inlineStr">
        <is>
          <t>["same_event","same_team_same_day","same_league_same_day"]</t>
        </is>
      </c>
      <c r="BJ56" s="25" t="n"/>
      <c r="BK56" s="26" t="n">
        <v>122</v>
      </c>
      <c r="BL56" s="27" t="n">
        <v>2.22</v>
      </c>
      <c r="BM56" s="28" t="n">
        <v>0.45045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226c9122273d4a4e</t>
        </is>
      </c>
      <c r="B57" s="24" t="inlineStr">
        <is>
          <t>2026-07-29T05:51:03.041855Z</t>
        </is>
      </c>
      <c r="C57" s="24" t="inlineStr">
        <is>
          <t>2026-07-29T08:00:00Z</t>
        </is>
      </c>
      <c r="D57" s="24" t="inlineStr">
        <is>
          <t>65403</t>
        </is>
      </c>
      <c r="E57" s="24" t="inlineStr">
        <is>
          <t>CS2</t>
        </is>
      </c>
      <c r="F57" s="24" t="inlineStr">
        <is>
          <t>Vexar</t>
        </is>
      </c>
      <c r="G57" s="24" t="inlineStr">
        <is>
          <t>BET-M 33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-223</v>
      </c>
      <c r="M57" s="27" t="n">
        <v>1.44843</v>
      </c>
      <c r="N57" s="28" t="n">
        <v>0.690402</v>
      </c>
      <c r="O57" s="28" t="n">
        <v>0.5218660000000001</v>
      </c>
      <c r="P57" s="28" t="n"/>
      <c r="Q57" s="28" t="n">
        <v>-0.168536</v>
      </c>
      <c r="R57" s="26" t="n">
        <v>0</v>
      </c>
      <c r="S57" s="29" t="n">
        <v>0</v>
      </c>
      <c r="T57" s="24" t="inlineStr">
        <is>
          <t>cs2-tiered-elo-v4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0</v>
      </c>
      <c r="AD57" s="24" t="inlineStr">
        <is>
          <t>2026-07-29T11:58:03.918280Z</t>
        </is>
      </c>
      <c r="AE57" s="31" t="inlineStr">
        <is>
          <t>Neutral Elo baseline; executable ask 0.6900 (market_slug=aec-cs2-33-vexar-2026-07-29).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NO_CALL_LOW_EDGE</t>
        </is>
      </c>
      <c r="AP57" s="24" t="inlineStr">
        <is>
          <t>Vexar</t>
        </is>
      </c>
      <c r="AQ57" s="24" t="inlineStr">
        <is>
          <t>Vexar</t>
        </is>
      </c>
      <c r="AR57" s="24" t="inlineStr">
        <is>
          <t>Vexar</t>
        </is>
      </c>
      <c r="AS57" s="24" t="inlineStr">
        <is>
          <t>BET-M 33</t>
        </is>
      </c>
      <c r="AT57" s="24" t="inlineStr">
        <is>
          <t>BET-M 33</t>
        </is>
      </c>
      <c r="AU57" s="24" t="inlineStr">
        <is>
          <t>BET-M 33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331ba95b99ee947a0e898747a2a477ca985dde406e5b809d8068d215db7072a3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331ba95b99ee947a0e898747a2a477ca985dde406e5b809d8068d215db7072a3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2026-07-29T05:50:41.494745Z</t>
        </is>
      </c>
      <c r="BI57" s="24" t="inlineStr">
        <is>
          <t>["same_event","same_team_same_day","same_league_same_day"]</t>
        </is>
      </c>
      <c r="BJ57" s="25" t="n"/>
      <c r="BK57" s="26" t="n">
        <v>-223</v>
      </c>
      <c r="BL57" s="27" t="n">
        <v>1.44843</v>
      </c>
      <c r="BM57" s="28" t="n">
        <v>0.690402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abd7b38af1b94217</t>
        </is>
      </c>
      <c r="B58" s="24" t="inlineStr">
        <is>
          <t>2026-07-29T05:51:03.041855Z</t>
        </is>
      </c>
      <c r="C58" s="24" t="inlineStr">
        <is>
          <t>2026-07-29T08:00:00Z</t>
        </is>
      </c>
      <c r="D58" s="24" t="inlineStr">
        <is>
          <t>65548</t>
        </is>
      </c>
      <c r="E58" s="24" t="inlineStr">
        <is>
          <t>CS2</t>
        </is>
      </c>
      <c r="F58" s="24" t="inlineStr">
        <is>
          <t>ex-MANA eSports</t>
        </is>
      </c>
      <c r="G58" s="24" t="inlineStr">
        <is>
          <t>los kogutos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133</v>
      </c>
      <c r="M58" s="27" t="n">
        <v>2.33</v>
      </c>
      <c r="N58" s="28" t="n">
        <v>0.429185</v>
      </c>
      <c r="O58" s="28" t="n">
        <v>0.5099089999999999</v>
      </c>
      <c r="P58" s="28" t="n"/>
      <c r="Q58" s="28" t="n">
        <v>0.080724</v>
      </c>
      <c r="R58" s="26" t="n">
        <v>60</v>
      </c>
      <c r="S58" s="29" t="n">
        <v>0.5</v>
      </c>
      <c r="T58" s="24" t="inlineStr">
        <is>
          <t>cs2-tiered-elo-v4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-0.5</v>
      </c>
      <c r="AD58" s="24" t="inlineStr">
        <is>
          <t>2026-07-29T11:58:05.224021Z</t>
        </is>
      </c>
      <c r="AE58" s="31" t="inlineStr">
        <is>
          <t>Neutral Elo baseline; executable ask 0.4300 (market_slug=aec-cs2-lk-exmana-2026-07-29).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ex-MANA eSports</t>
        </is>
      </c>
      <c r="AQ58" s="24" t="inlineStr">
        <is>
          <t>ex-MANA eSports</t>
        </is>
      </c>
      <c r="AR58" s="24" t="inlineStr">
        <is>
          <t>ex-MANA eSports</t>
        </is>
      </c>
      <c r="AS58" s="24" t="inlineStr">
        <is>
          <t>los kogutos</t>
        </is>
      </c>
      <c r="AT58" s="24" t="inlineStr">
        <is>
          <t>los kogutos</t>
        </is>
      </c>
      <c r="AU58" s="24" t="inlineStr">
        <is>
          <t>los kogutos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331ba95b99ee947a0e898747a2a477ca985dde406e5b809d8068d215db7072a3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331ba95b99ee947a0e898747a2a477ca985dde406e5b809d8068d215db7072a3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2026-07-29T05:50:41.959611Z</t>
        </is>
      </c>
      <c r="BI58" s="24" t="inlineStr">
        <is>
          <t>["same_event","same_team_same_day","same_league_same_day"]</t>
        </is>
      </c>
      <c r="BJ58" s="25" t="n"/>
      <c r="BK58" s="26" t="n">
        <v>133</v>
      </c>
      <c r="BL58" s="27" t="n">
        <v>2.33</v>
      </c>
      <c r="BM58" s="28" t="n">
        <v>0.429185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2288bc35470b4b58</t>
        </is>
      </c>
      <c r="B59" s="24" t="inlineStr">
        <is>
          <t>2026-07-29T08:57:24.727857Z</t>
        </is>
      </c>
      <c r="C59" s="24" t="inlineStr">
        <is>
          <t>2026-07-29T11:00:00Z</t>
        </is>
      </c>
      <c r="D59" s="24" t="inlineStr">
        <is>
          <t>65518</t>
        </is>
      </c>
      <c r="E59" s="24" t="inlineStr">
        <is>
          <t>CS2</t>
        </is>
      </c>
      <c r="F59" s="24" t="inlineStr">
        <is>
          <t>Entropy</t>
        </is>
      </c>
      <c r="G59" s="24" t="inlineStr">
        <is>
          <t>Black Phoenix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144</v>
      </c>
      <c r="M59" s="27" t="n">
        <v>2.44</v>
      </c>
      <c r="N59" s="28" t="n">
        <v>0.409836</v>
      </c>
      <c r="O59" s="28" t="n">
        <v>0.637917</v>
      </c>
      <c r="P59" s="28" t="n"/>
      <c r="Q59" s="28" t="n">
        <v>0.228081</v>
      </c>
      <c r="R59" s="26" t="n">
        <v>100</v>
      </c>
      <c r="S59" s="29" t="n">
        <v>2</v>
      </c>
      <c r="T59" s="24" t="inlineStr">
        <is>
          <t>cs2-tiered-elo-v4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/>
      <c r="AA59" s="28" t="n"/>
      <c r="AB59" s="28" t="n"/>
      <c r="AC59" s="30" t="n">
        <v>-2</v>
      </c>
      <c r="AD59" s="24" t="inlineStr">
        <is>
          <t>2026-07-29T15:04:32.189928Z</t>
        </is>
      </c>
      <c r="AE59" s="31" t="inlineStr">
        <is>
          <t>Neutral Elo baseline; executable ask 0.4100 (market_slug=aec-cs2-bpl-ent-2026-07-29).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Entropy</t>
        </is>
      </c>
      <c r="AQ59" s="24" t="inlineStr">
        <is>
          <t>Entropy</t>
        </is>
      </c>
      <c r="AR59" s="24" t="inlineStr">
        <is>
          <t>Entropy</t>
        </is>
      </c>
      <c r="AS59" s="24" t="inlineStr">
        <is>
          <t>Black Phoenix</t>
        </is>
      </c>
      <c r="AT59" s="24" t="inlineStr">
        <is>
          <t>Black Phoenix</t>
        </is>
      </c>
      <c r="AU59" s="24" t="inlineStr">
        <is>
          <t>Black Phoenix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df6cf01ee246d66d6b106c2e0aff3fe9d9a841a07a91748c32850d7d5ddd6b60</t>
        </is>
      </c>
      <c r="BB59" s="24" t="inlineStr">
        <is>
          <t>neutral_elo</t>
        </is>
      </c>
      <c r="BC59" s="24" t="inlineStr">
        <is>
          <t>cs2-tiered-elo-v4</t>
        </is>
      </c>
      <c r="BD59" s="24" t="inlineStr">
        <is>
          <t>df6cf01ee246d66d6b106c2e0aff3fe9d9a841a07a91748c32850d7d5ddd6b60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cs2-tiered-elo-v4</t>
        </is>
      </c>
      <c r="BH59" s="24" t="inlineStr">
        <is>
          <t>2026-07-29T08:57:04.789386Z</t>
        </is>
      </c>
      <c r="BI59" s="24" t="inlineStr">
        <is>
          <t>["same_event","same_team_same_day","same_league_same_day"]</t>
        </is>
      </c>
      <c r="BJ59" s="25" t="n"/>
      <c r="BK59" s="26" t="n">
        <v>144</v>
      </c>
      <c r="BL59" s="27" t="n">
        <v>2.44</v>
      </c>
      <c r="BM59" s="28" t="n">
        <v>0.409836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3d05c2467bea4f94</t>
        </is>
      </c>
      <c r="B60" s="24" t="inlineStr">
        <is>
          <t>2026-07-29T08:57:24.727857Z</t>
        </is>
      </c>
      <c r="C60" s="24" t="inlineStr">
        <is>
          <t>2026-07-29T11:00:00Z</t>
        </is>
      </c>
      <c r="D60" s="24" t="inlineStr">
        <is>
          <t>65549</t>
        </is>
      </c>
      <c r="E60" s="24" t="inlineStr">
        <is>
          <t>CS2</t>
        </is>
      </c>
      <c r="F60" s="24" t="inlineStr">
        <is>
          <t>ENJOY</t>
        </is>
      </c>
      <c r="G60" s="24" t="inlineStr">
        <is>
          <t>Atreides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163</v>
      </c>
      <c r="M60" s="27" t="n">
        <v>2.63</v>
      </c>
      <c r="N60" s="28" t="n">
        <v>0.380228</v>
      </c>
      <c r="O60" s="28" t="n">
        <v>0.550969</v>
      </c>
      <c r="P60" s="28" t="n"/>
      <c r="Q60" s="28" t="n">
        <v>0.170741</v>
      </c>
      <c r="R60" s="26" t="n">
        <v>100</v>
      </c>
      <c r="S60" s="29" t="n">
        <v>1</v>
      </c>
      <c r="T60" s="24" t="inlineStr">
        <is>
          <t>cs2-tiered-elo-v4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2026-07-29T17:34:06.585698Z</t>
        </is>
      </c>
      <c r="AE60" s="31" t="inlineStr">
        <is>
          <t>Neutral Elo baseline; executable ask 0.3800 (market_slug=aec-cs2-atr-enjoy-2026-07-29).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ENJOY</t>
        </is>
      </c>
      <c r="AQ60" s="24" t="inlineStr">
        <is>
          <t>ENJOY</t>
        </is>
      </c>
      <c r="AR60" s="24" t="inlineStr">
        <is>
          <t>ENJOY</t>
        </is>
      </c>
      <c r="AS60" s="24" t="inlineStr">
        <is>
          <t>Atreides</t>
        </is>
      </c>
      <c r="AT60" s="24" t="inlineStr">
        <is>
          <t>Atreides</t>
        </is>
      </c>
      <c r="AU60" s="24" t="inlineStr">
        <is>
          <t>Atreides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df6cf01ee246d66d6b106c2e0aff3fe9d9a841a07a91748c32850d7d5ddd6b60</t>
        </is>
      </c>
      <c r="BB60" s="24" t="inlineStr">
        <is>
          <t>neutral_elo</t>
        </is>
      </c>
      <c r="BC60" s="24" t="inlineStr">
        <is>
          <t>cs2-tiered-elo-v4</t>
        </is>
      </c>
      <c r="BD60" s="24" t="inlineStr">
        <is>
          <t>df6cf01ee246d66d6b106c2e0aff3fe9d9a841a07a91748c32850d7d5ddd6b60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cs2-tiered-elo-v4</t>
        </is>
      </c>
      <c r="BH60" s="24" t="inlineStr">
        <is>
          <t>2026-07-29T08:57:05.243963Z</t>
        </is>
      </c>
      <c r="BI60" s="24" t="inlineStr">
        <is>
          <t>["same_event","same_team_same_day","same_league_same_day"]</t>
        </is>
      </c>
      <c r="BJ60" s="25" t="n"/>
      <c r="BK60" s="26" t="n">
        <v>163</v>
      </c>
      <c r="BL60" s="27" t="n">
        <v>2.63</v>
      </c>
      <c r="BM60" s="28" t="n">
        <v>0.380228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esports market settled to a non-binary price (forfeit/postponement per market rules)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8c10f02722f84005</t>
        </is>
      </c>
      <c r="B61" s="24" t="inlineStr">
        <is>
          <t>2026-07-29T08:57:24.727857Z</t>
        </is>
      </c>
      <c r="C61" s="24" t="inlineStr">
        <is>
          <t>2026-07-29T11:00:00Z</t>
        </is>
      </c>
      <c r="D61" s="24" t="inlineStr">
        <is>
          <t>63014</t>
        </is>
      </c>
      <c r="E61" s="24" t="inlineStr">
        <is>
          <t>CS2</t>
        </is>
      </c>
      <c r="F61" s="24" t="inlineStr">
        <is>
          <t>los kogutos</t>
        </is>
      </c>
      <c r="G61" s="24" t="inlineStr">
        <is>
          <t>ex-MANA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212</v>
      </c>
      <c r="M61" s="27" t="n">
        <v>3.12</v>
      </c>
      <c r="N61" s="28" t="n">
        <v>0.320513</v>
      </c>
      <c r="O61" s="28" t="n">
        <v>0.572318</v>
      </c>
      <c r="P61" s="28" t="n"/>
      <c r="Q61" s="28" t="n">
        <v>0.251805</v>
      </c>
      <c r="R61" s="26" t="n">
        <v>100</v>
      </c>
      <c r="S61" s="29" t="n">
        <v>1.25</v>
      </c>
      <c r="T61" s="24" t="inlineStr">
        <is>
          <t>cs2-tiered-elo-v4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/>
      <c r="AA61" s="28" t="n"/>
      <c r="AB61" s="28" t="n"/>
      <c r="AC61" s="30" t="n">
        <v>-1.25</v>
      </c>
      <c r="AD61" s="24" t="inlineStr">
        <is>
          <t>2026-07-29T15:04:34.677243Z</t>
        </is>
      </c>
      <c r="AE61" s="31" t="inlineStr">
        <is>
          <t>Neutral Elo baseline; executable ask 0.3200 (market_slug=aec-cs2-exmana-lk-2026-07-29).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los kogutos</t>
        </is>
      </c>
      <c r="AQ61" s="24" t="inlineStr">
        <is>
          <t>los kogutos</t>
        </is>
      </c>
      <c r="AR61" s="24" t="inlineStr">
        <is>
          <t>los kogutos</t>
        </is>
      </c>
      <c r="AS61" s="24" t="inlineStr">
        <is>
          <t>ex-MANA eSports</t>
        </is>
      </c>
      <c r="AT61" s="24" t="inlineStr">
        <is>
          <t>ex-MANA eSports</t>
        </is>
      </c>
      <c r="AU61" s="24" t="inlineStr">
        <is>
          <t>ex-MANA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df6cf01ee246d66d6b106c2e0aff3fe9d9a841a07a91748c32850d7d5ddd6b60</t>
        </is>
      </c>
      <c r="BB61" s="24" t="inlineStr">
        <is>
          <t>neutral_elo</t>
        </is>
      </c>
      <c r="BC61" s="24" t="inlineStr">
        <is>
          <t>cs2-tiered-elo-v4</t>
        </is>
      </c>
      <c r="BD61" s="24" t="inlineStr">
        <is>
          <t>df6cf01ee246d66d6b106c2e0aff3fe9d9a841a07a91748c32850d7d5ddd6b60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cs2-tiered-elo-v4</t>
        </is>
      </c>
      <c r="BH61" s="24" t="inlineStr">
        <is>
          <t>2026-07-29T08:57:05.792515Z</t>
        </is>
      </c>
      <c r="BI61" s="24" t="inlineStr">
        <is>
          <t>["same_event","same_team_same_day","same_league_same_day"]</t>
        </is>
      </c>
      <c r="BJ61" s="25" t="n"/>
      <c r="BK61" s="26" t="n">
        <v>212</v>
      </c>
      <c r="BL61" s="27" t="n">
        <v>3.12</v>
      </c>
      <c r="BM61" s="28" t="n">
        <v>0.320513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48a2896e772f477a</t>
        </is>
      </c>
      <c r="B62" s="24" t="inlineStr">
        <is>
          <t>2026-07-29T08:57:24.727857Z</t>
        </is>
      </c>
      <c r="C62" s="24" t="inlineStr">
        <is>
          <t>2026-07-29T11:00:00Z</t>
        </is>
      </c>
      <c r="D62" s="24" t="inlineStr">
        <is>
          <t>65404</t>
        </is>
      </c>
      <c r="E62" s="24" t="inlineStr">
        <is>
          <t>CS2</t>
        </is>
      </c>
      <c r="F62" s="24" t="inlineStr">
        <is>
          <t>G2 Ares</t>
        </is>
      </c>
      <c r="G62" s="24" t="inlineStr">
        <is>
          <t>ex-RUSTEC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-150</v>
      </c>
      <c r="M62" s="27" t="n">
        <v>1.666667</v>
      </c>
      <c r="N62" s="28" t="n">
        <v>0.6</v>
      </c>
      <c r="O62" s="28" t="n">
        <v>0.593992</v>
      </c>
      <c r="P62" s="28" t="n"/>
      <c r="Q62" s="28" t="n">
        <v>-0.006008</v>
      </c>
      <c r="R62" s="26" t="n">
        <v>17</v>
      </c>
      <c r="S62" s="29" t="n">
        <v>0</v>
      </c>
      <c r="T62" s="24" t="inlineStr">
        <is>
          <t>cs2-tiered-elo-v4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/>
      <c r="AA62" s="28" t="n"/>
      <c r="AB62" s="28" t="n"/>
      <c r="AC62" s="30" t="n">
        <v>0</v>
      </c>
      <c r="AD62" s="24" t="inlineStr">
        <is>
          <t>2026-07-29T15:04:35.989782Z</t>
        </is>
      </c>
      <c r="AE62" s="31" t="inlineStr">
        <is>
          <t>Neutral Elo baseline; executable ask 0.6000 (market_slug=aec-cs2-erx-g2a-2026-07-29).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G2 Ares</t>
        </is>
      </c>
      <c r="AQ62" s="24" t="inlineStr">
        <is>
          <t>G2 Ares</t>
        </is>
      </c>
      <c r="AR62" s="24" t="inlineStr">
        <is>
          <t>G2 Ares</t>
        </is>
      </c>
      <c r="AS62" s="24" t="inlineStr">
        <is>
          <t>ex-RUSTEC</t>
        </is>
      </c>
      <c r="AT62" s="24" t="inlineStr">
        <is>
          <t>ex-RUSTEC</t>
        </is>
      </c>
      <c r="AU62" s="24" t="inlineStr">
        <is>
          <t>ex-RUSTEC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df6cf01ee246d66d6b106c2e0aff3fe9d9a841a07a91748c32850d7d5ddd6b60</t>
        </is>
      </c>
      <c r="BB62" s="24" t="inlineStr">
        <is>
          <t>neutral_elo</t>
        </is>
      </c>
      <c r="BC62" s="24" t="inlineStr">
        <is>
          <t>cs2-tiered-elo-v4</t>
        </is>
      </c>
      <c r="BD62" s="24" t="inlineStr">
        <is>
          <t>df6cf01ee246d66d6b106c2e0aff3fe9d9a841a07a91748c32850d7d5ddd6b60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cs2-tiered-elo-v4</t>
        </is>
      </c>
      <c r="BH62" s="24" t="inlineStr">
        <is>
          <t>2026-07-29T08:57:06.238986Z</t>
        </is>
      </c>
      <c r="BI62" s="24" t="inlineStr">
        <is>
          <t>["same_event","same_team_same_day","same_league_same_day"]</t>
        </is>
      </c>
      <c r="BJ62" s="25" t="n"/>
      <c r="BK62" s="26" t="n">
        <v>-150</v>
      </c>
      <c r="BL62" s="27" t="n">
        <v>1.666667</v>
      </c>
      <c r="BM62" s="28" t="n">
        <v>0.6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7aabe9001eb742df</t>
        </is>
      </c>
      <c r="B63" s="24" t="inlineStr">
        <is>
          <t>2026-07-29T08:57:24.727857Z</t>
        </is>
      </c>
      <c r="C63" s="24" t="inlineStr">
        <is>
          <t>2026-07-29T12:00:00Z</t>
        </is>
      </c>
      <c r="D63" s="24" t="inlineStr">
        <is>
          <t>65772</t>
        </is>
      </c>
      <c r="E63" s="24" t="inlineStr">
        <is>
          <t>CS2</t>
        </is>
      </c>
      <c r="F63" s="24" t="inlineStr">
        <is>
          <t>WW Team</t>
        </is>
      </c>
      <c r="G63" s="24" t="inlineStr">
        <is>
          <t>ARCRED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0.71201</v>
      </c>
      <c r="P63" s="28" t="n"/>
      <c r="Q63" s="28" t="n">
        <v>0.132178</v>
      </c>
      <c r="R63" s="26" t="n">
        <v>86</v>
      </c>
      <c r="S63" s="29" t="n">
        <v>0</v>
      </c>
      <c r="T63" s="24" t="inlineStr">
        <is>
          <t>cs2-tiered-elo-v4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</v>
      </c>
      <c r="AD63" s="24" t="inlineStr">
        <is>
          <t>2026-07-29T17:34:07.908688Z</t>
        </is>
      </c>
      <c r="AE63" s="31" t="inlineStr">
        <is>
          <t>Neutral Elo baseline; executable ask 0.5800 (market_slug=aec-cs2-arc-ww-2026-07-29).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WW Team</t>
        </is>
      </c>
      <c r="AQ63" s="24" t="inlineStr">
        <is>
          <t>WW Team</t>
        </is>
      </c>
      <c r="AR63" s="24" t="inlineStr">
        <is>
          <t>WW Team</t>
        </is>
      </c>
      <c r="AS63" s="24" t="inlineStr">
        <is>
          <t>ARCRED</t>
        </is>
      </c>
      <c r="AT63" s="24" t="inlineStr">
        <is>
          <t>ARCRED</t>
        </is>
      </c>
      <c r="AU63" s="24" t="inlineStr">
        <is>
          <t>ARCRED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df6cf01ee246d66d6b106c2e0aff3fe9d9a841a07a91748c32850d7d5ddd6b60</t>
        </is>
      </c>
      <c r="BB63" s="24" t="inlineStr">
        <is>
          <t>neutral_elo</t>
        </is>
      </c>
      <c r="BC63" s="24" t="inlineStr">
        <is>
          <t>cs2-tiered-elo-v4</t>
        </is>
      </c>
      <c r="BD63" s="24" t="inlineStr">
        <is>
          <t>df6cf01ee246d66d6b106c2e0aff3fe9d9a841a07a91748c32850d7d5ddd6b60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cs2-tiered-elo-v4</t>
        </is>
      </c>
      <c r="BH63" s="24" t="inlineStr">
        <is>
          <t>2026-07-29T08:57:06.727411Z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fac4d69968e74ba3</t>
        </is>
      </c>
      <c r="B64" s="24" t="inlineStr">
        <is>
          <t>2026-07-29T12:03:57.676631Z</t>
        </is>
      </c>
      <c r="C64" s="24" t="inlineStr">
        <is>
          <t>2026-07-29T14:00:00Z</t>
        </is>
      </c>
      <c r="D64" s="24" t="inlineStr">
        <is>
          <t>65405</t>
        </is>
      </c>
      <c r="E64" s="24" t="inlineStr">
        <is>
          <t>CS2</t>
        </is>
      </c>
      <c r="F64" s="24" t="inlineStr">
        <is>
          <t>GenOne</t>
        </is>
      </c>
      <c r="G64" s="24" t="inlineStr">
        <is>
          <t>ex-RUBY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-133</v>
      </c>
      <c r="M64" s="27" t="n">
        <v>1.75188</v>
      </c>
      <c r="N64" s="28" t="n">
        <v>0.570815</v>
      </c>
      <c r="O64" s="28" t="n">
        <v>0.699974</v>
      </c>
      <c r="P64" s="28" t="n"/>
      <c r="Q64" s="28" t="n">
        <v>0.129159</v>
      </c>
      <c r="R64" s="26" t="n">
        <v>85</v>
      </c>
      <c r="S64" s="29" t="n">
        <v>2</v>
      </c>
      <c r="T64" s="24" t="inlineStr">
        <is>
          <t>cs2-tiered-elo-v4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/>
      <c r="AA64" s="28" t="n"/>
      <c r="AB64" s="28" t="n"/>
      <c r="AC64" s="30" t="n">
        <v>-2</v>
      </c>
      <c r="AD64" s="24" t="inlineStr">
        <is>
          <t>2026-07-29T17:34:09.263032Z</t>
        </is>
      </c>
      <c r="AE64" s="31" t="inlineStr">
        <is>
          <t>Neutral Elo baseline; executable ask 0.5700 (market_slug=aec-cs2-exruby-g1-2026-07-29).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GenOne</t>
        </is>
      </c>
      <c r="AQ64" s="24" t="inlineStr">
        <is>
          <t>GenOne</t>
        </is>
      </c>
      <c r="AR64" s="24" t="inlineStr">
        <is>
          <t>GenOne</t>
        </is>
      </c>
      <c r="AS64" s="24" t="inlineStr">
        <is>
          <t>ex-RUBY</t>
        </is>
      </c>
      <c r="AT64" s="24" t="inlineStr">
        <is>
          <t>ex-RUBY</t>
        </is>
      </c>
      <c r="AU64" s="24" t="inlineStr">
        <is>
          <t>ex-RUBY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2b0a5d82e2d88c2aecde06ec7d764f6cc92f55465bb2554ae26137088d6d7d2d</t>
        </is>
      </c>
      <c r="BB64" s="24" t="inlineStr">
        <is>
          <t>neutral_elo</t>
        </is>
      </c>
      <c r="BC64" s="24" t="inlineStr">
        <is>
          <t>cs2-tiered-elo-v4</t>
        </is>
      </c>
      <c r="BD64" s="24" t="inlineStr">
        <is>
          <t>2b0a5d82e2d88c2aecde06ec7d764f6cc92f55465bb2554ae26137088d6d7d2d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cs2-tiered-elo-v4</t>
        </is>
      </c>
      <c r="BH64" s="24" t="inlineStr">
        <is>
          <t>2026-07-29T12:03:39.629945Z</t>
        </is>
      </c>
      <c r="BI64" s="24" t="inlineStr">
        <is>
          <t>["same_event","same_team_same_day","same_league_same_day"]</t>
        </is>
      </c>
      <c r="BJ64" s="25" t="n"/>
      <c r="BK64" s="26" t="n">
        <v>-133</v>
      </c>
      <c r="BL64" s="27" t="n">
        <v>1.75188</v>
      </c>
      <c r="BM64" s="28" t="n">
        <v>0.570815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0bc6bb7499054682</t>
        </is>
      </c>
      <c r="B65" s="24" t="inlineStr">
        <is>
          <t>2026-07-29T12:03:57.676631Z</t>
        </is>
      </c>
      <c r="C65" s="24" t="inlineStr">
        <is>
          <t>2026-07-29T14:00:00Z</t>
        </is>
      </c>
      <c r="D65" s="24" t="inlineStr">
        <is>
          <t>65507</t>
        </is>
      </c>
      <c r="E65" s="24" t="inlineStr">
        <is>
          <t>CS2</t>
        </is>
      </c>
      <c r="F65" s="24" t="inlineStr">
        <is>
          <t>Rune Eaters</t>
        </is>
      </c>
      <c r="G65" s="24" t="inlineStr">
        <is>
          <t>Atreides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100</v>
      </c>
      <c r="M65" s="27" t="n">
        <v>2</v>
      </c>
      <c r="N65" s="28" t="n">
        <v>0.5</v>
      </c>
      <c r="O65" s="28" t="n">
        <v>0.530154</v>
      </c>
      <c r="P65" s="28" t="n"/>
      <c r="Q65" s="28" t="n">
        <v>0.030154</v>
      </c>
      <c r="R65" s="26" t="n">
        <v>35</v>
      </c>
      <c r="S65" s="29" t="n">
        <v>0.75</v>
      </c>
      <c r="T65" s="24" t="inlineStr">
        <is>
          <t>cs2-tiered-elo-v4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0.75</v>
      </c>
      <c r="AD65" s="24" t="inlineStr">
        <is>
          <t>2026-07-29T17:34:10.700274Z</t>
        </is>
      </c>
      <c r="AE65" s="31" t="inlineStr">
        <is>
          <t>Neutral Elo baseline; executable ask 0.5000 (market_slug=aec-cs2-atr-re-2026-07-29).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Rune Eaters</t>
        </is>
      </c>
      <c r="AQ65" s="24" t="inlineStr">
        <is>
          <t>Rune Eaters</t>
        </is>
      </c>
      <c r="AR65" s="24" t="inlineStr">
        <is>
          <t>Rune Eaters</t>
        </is>
      </c>
      <c r="AS65" s="24" t="inlineStr">
        <is>
          <t>Atreides</t>
        </is>
      </c>
      <c r="AT65" s="24" t="inlineStr">
        <is>
          <t>Atreides</t>
        </is>
      </c>
      <c r="AU65" s="24" t="inlineStr">
        <is>
          <t>Atreides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2b0a5d82e2d88c2aecde06ec7d764f6cc92f55465bb2554ae26137088d6d7d2d</t>
        </is>
      </c>
      <c r="BB65" s="24" t="inlineStr">
        <is>
          <t>neutral_elo</t>
        </is>
      </c>
      <c r="BC65" s="24" t="inlineStr">
        <is>
          <t>cs2-tiered-elo-v4</t>
        </is>
      </c>
      <c r="BD65" s="24" t="inlineStr">
        <is>
          <t>2b0a5d82e2d88c2aecde06ec7d764f6cc92f55465bb2554ae26137088d6d7d2d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cs2-tiered-elo-v4</t>
        </is>
      </c>
      <c r="BH65" s="24" t="inlineStr">
        <is>
          <t>2026-07-29T12:03:40.083405Z</t>
        </is>
      </c>
      <c r="BI65" s="24" t="inlineStr">
        <is>
          <t>["same_event","same_team_same_day","same_league_same_day"]</t>
        </is>
      </c>
      <c r="BJ65" s="25" t="n"/>
      <c r="BK65" s="26" t="n">
        <v>100</v>
      </c>
      <c r="BL65" s="27" t="n">
        <v>2</v>
      </c>
      <c r="BM65" s="28" t="n">
        <v>0.5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692e471b69234d6f</t>
        </is>
      </c>
      <c r="B66" s="24" t="inlineStr">
        <is>
          <t>2026-07-29T12:03:57.676631Z</t>
        </is>
      </c>
      <c r="C66" s="24" t="inlineStr">
        <is>
          <t>2026-07-29T14:00:00Z</t>
        </is>
      </c>
      <c r="D66" s="24" t="inlineStr">
        <is>
          <t>65051</t>
        </is>
      </c>
      <c r="E66" s="24" t="inlineStr">
        <is>
          <t>CS2</t>
        </is>
      </c>
      <c r="F66" s="24" t="inlineStr">
        <is>
          <t>UNiTY esports</t>
        </is>
      </c>
      <c r="G66" s="24" t="inlineStr">
        <is>
          <t>Entropy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127</v>
      </c>
      <c r="M66" s="27" t="n">
        <v>2.27</v>
      </c>
      <c r="N66" s="28" t="n">
        <v>0.440529</v>
      </c>
      <c r="O66" s="28" t="n">
        <v>0.727737</v>
      </c>
      <c r="P66" s="28" t="n"/>
      <c r="Q66" s="28" t="n">
        <v>0.287208</v>
      </c>
      <c r="R66" s="26" t="n">
        <v>100</v>
      </c>
      <c r="S66" s="29" t="n">
        <v>0</v>
      </c>
      <c r="T66" s="24" t="inlineStr">
        <is>
          <t>cs2-tiered-elo-v4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1</v>
      </c>
      <c r="Y66" s="25" t="n"/>
      <c r="Z66" s="26" t="n"/>
      <c r="AA66" s="28" t="n"/>
      <c r="AB66" s="28" t="n"/>
      <c r="AC66" s="30" t="n">
        <v>0</v>
      </c>
      <c r="AD66" s="24" t="inlineStr">
        <is>
          <t>2026-07-29T17:34:12.101037Z</t>
        </is>
      </c>
      <c r="AE66" s="31" t="inlineStr">
        <is>
          <t>Neutral Elo baseline; executable ask 0.4400 (market_slug=aec-cs2-ent-unity-2026-07-29).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UNiTY esports</t>
        </is>
      </c>
      <c r="AQ66" s="24" t="inlineStr">
        <is>
          <t>UNiTY esports</t>
        </is>
      </c>
      <c r="AR66" s="24" t="inlineStr">
        <is>
          <t>UNiTY esports</t>
        </is>
      </c>
      <c r="AS66" s="24" t="inlineStr">
        <is>
          <t>Entropy</t>
        </is>
      </c>
      <c r="AT66" s="24" t="inlineStr">
        <is>
          <t>Entropy</t>
        </is>
      </c>
      <c r="AU66" s="24" t="inlineStr">
        <is>
          <t>Entropy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2b0a5d82e2d88c2aecde06ec7d764f6cc92f55465bb2554ae26137088d6d7d2d</t>
        </is>
      </c>
      <c r="BB66" s="24" t="inlineStr">
        <is>
          <t>neutral_elo</t>
        </is>
      </c>
      <c r="BC66" s="24" t="inlineStr">
        <is>
          <t>cs2-tiered-elo-v4</t>
        </is>
      </c>
      <c r="BD66" s="24" t="inlineStr">
        <is>
          <t>2b0a5d82e2d88c2aecde06ec7d764f6cc92f55465bb2554ae26137088d6d7d2d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cs2-tiered-elo-v4</t>
        </is>
      </c>
      <c r="BH66" s="24" t="inlineStr">
        <is>
          <t>2026-07-29T12:03:40.551164Z</t>
        </is>
      </c>
      <c r="BI66" s="24" t="inlineStr">
        <is>
          <t>["same_event","same_team_same_day","same_league_same_day"]</t>
        </is>
      </c>
      <c r="BJ66" s="25" t="n"/>
      <c r="BK66" s="26" t="n">
        <v>127</v>
      </c>
      <c r="BL66" s="27" t="n">
        <v>2.27</v>
      </c>
      <c r="BM66" s="28" t="n">
        <v>0.440529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d637fb5b8a234eeb</t>
        </is>
      </c>
      <c r="B67" s="24" t="inlineStr">
        <is>
          <t>2026-07-29T12:03:57.676631Z</t>
        </is>
      </c>
      <c r="C67" s="24" t="inlineStr">
        <is>
          <t>2026-07-29T14:00:00Z</t>
        </is>
      </c>
      <c r="D67" s="24" t="inlineStr">
        <is>
          <t>65550</t>
        </is>
      </c>
      <c r="E67" s="24" t="inlineStr">
        <is>
          <t>CS2</t>
        </is>
      </c>
      <c r="F67" s="24" t="inlineStr">
        <is>
          <t>ex-Young Ninjas</t>
        </is>
      </c>
      <c r="G67" s="24" t="inlineStr">
        <is>
          <t>ex-RUSTEC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-194</v>
      </c>
      <c r="M67" s="27" t="n">
        <v>1.515464</v>
      </c>
      <c r="N67" s="28" t="n">
        <v>0.659864</v>
      </c>
      <c r="O67" s="28" t="n">
        <v>0.736619</v>
      </c>
      <c r="P67" s="28" t="n"/>
      <c r="Q67" s="28" t="n">
        <v>0.076755</v>
      </c>
      <c r="R67" s="26" t="n">
        <v>58</v>
      </c>
      <c r="S67" s="29" t="n">
        <v>2</v>
      </c>
      <c r="T67" s="24" t="inlineStr">
        <is>
          <t>cs2-tiered-elo-v4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-2</v>
      </c>
      <c r="AD67" s="24" t="inlineStr">
        <is>
          <t>2026-07-29T17:34:13.474627Z</t>
        </is>
      </c>
      <c r="AE67" s="31" t="inlineStr">
        <is>
          <t>Neutral Elo baseline; executable ask 0.6600 (market_slug=aec-cs2-erx-eyn-2026-07-29).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ex-Young Ninjas</t>
        </is>
      </c>
      <c r="AQ67" s="24" t="inlineStr">
        <is>
          <t>ex-Young Ninjas</t>
        </is>
      </c>
      <c r="AR67" s="24" t="inlineStr">
        <is>
          <t>ex-Young Ninjas</t>
        </is>
      </c>
      <c r="AS67" s="24" t="inlineStr">
        <is>
          <t>ex-RUSTEC</t>
        </is>
      </c>
      <c r="AT67" s="24" t="inlineStr">
        <is>
          <t>ex-RUSTEC</t>
        </is>
      </c>
      <c r="AU67" s="24" t="inlineStr">
        <is>
          <t>ex-RUSTEC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2b0a5d82e2d88c2aecde06ec7d764f6cc92f55465bb2554ae26137088d6d7d2d</t>
        </is>
      </c>
      <c r="BB67" s="24" t="inlineStr">
        <is>
          <t>neutral_elo</t>
        </is>
      </c>
      <c r="BC67" s="24" t="inlineStr">
        <is>
          <t>cs2-tiered-elo-v4</t>
        </is>
      </c>
      <c r="BD67" s="24" t="inlineStr">
        <is>
          <t>2b0a5d82e2d88c2aecde06ec7d764f6cc92f55465bb2554ae26137088d6d7d2d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cs2-tiered-elo-v4</t>
        </is>
      </c>
      <c r="BH67" s="24" t="inlineStr">
        <is>
          <t>2026-07-29T12:03:41.096546Z</t>
        </is>
      </c>
      <c r="BI67" s="24" t="inlineStr">
        <is>
          <t>["same_event","same_team_same_day","same_league_same_day"]</t>
        </is>
      </c>
      <c r="BJ67" s="25" t="n"/>
      <c r="BK67" s="26" t="n">
        <v>-194</v>
      </c>
      <c r="BL67" s="27" t="n">
        <v>1.515464</v>
      </c>
      <c r="BM67" s="28" t="n">
        <v>0.659864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4ee4e38b7c864c1a</t>
        </is>
      </c>
      <c r="B68" s="24" t="inlineStr">
        <is>
          <t>2026-07-29T12:03:57.676631Z</t>
        </is>
      </c>
      <c r="C68" s="24" t="inlineStr">
        <is>
          <t>2026-07-29T15:00:00Z</t>
        </is>
      </c>
      <c r="D68" s="24" t="inlineStr">
        <is>
          <t>65774</t>
        </is>
      </c>
      <c r="E68" s="24" t="inlineStr">
        <is>
          <t>CS2</t>
        </is>
      </c>
      <c r="F68" s="24" t="inlineStr">
        <is>
          <t>TDK</t>
        </is>
      </c>
      <c r="G68" s="24" t="inlineStr">
        <is>
          <t>Nemiga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0.7117869999999999</v>
      </c>
      <c r="P68" s="28" t="n"/>
      <c r="Q68" s="28" t="n">
        <v>0.152316</v>
      </c>
      <c r="R68" s="26" t="n">
        <v>96</v>
      </c>
      <c r="S68" s="29" t="n">
        <v>2</v>
      </c>
      <c r="T68" s="24" t="inlineStr">
        <is>
          <t>cs2-tiered-elo-v4</t>
        </is>
      </c>
      <c r="U68" s="24" t="inlineStr">
        <is>
          <t>settled</t>
        </is>
      </c>
      <c r="V68" s="24" t="inlineStr">
        <is>
          <t>win</t>
        </is>
      </c>
      <c r="W68" s="26" t="n">
        <v>1</v>
      </c>
      <c r="X68" s="26" t="n">
        <v>0</v>
      </c>
      <c r="Y68" s="25" t="n"/>
      <c r="Z68" s="26" t="n"/>
      <c r="AA68" s="28" t="n"/>
      <c r="AB68" s="28" t="n"/>
      <c r="AC68" s="30" t="n">
        <v>1.5748</v>
      </c>
      <c r="AD68" s="24" t="inlineStr">
        <is>
          <t>2026-07-29T17:48:40.172155Z</t>
        </is>
      </c>
      <c r="AE68" s="31" t="inlineStr">
        <is>
          <t>Neutral Elo baseline; executable ask 0.5600 (market_slug=aec-cs2-nemi-tdk-2026-07-29).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TDK</t>
        </is>
      </c>
      <c r="AQ68" s="24" t="inlineStr">
        <is>
          <t>TDK</t>
        </is>
      </c>
      <c r="AR68" s="24" t="inlineStr">
        <is>
          <t>TDK</t>
        </is>
      </c>
      <c r="AS68" s="24" t="inlineStr">
        <is>
          <t>Nemiga</t>
        </is>
      </c>
      <c r="AT68" s="24" t="inlineStr">
        <is>
          <t>Nemiga</t>
        </is>
      </c>
      <c r="AU68" s="24" t="inlineStr">
        <is>
          <t>Nemiga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2b0a5d82e2d88c2aecde06ec7d764f6cc92f55465bb2554ae26137088d6d7d2d</t>
        </is>
      </c>
      <c r="BB68" s="24" t="inlineStr">
        <is>
          <t>neutral_elo</t>
        </is>
      </c>
      <c r="BC68" s="24" t="inlineStr">
        <is>
          <t>cs2-tiered-elo-v4</t>
        </is>
      </c>
      <c r="BD68" s="24" t="inlineStr">
        <is>
          <t>2b0a5d82e2d88c2aecde06ec7d764f6cc92f55465bb2554ae26137088d6d7d2d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cs2-tiered-elo-v4</t>
        </is>
      </c>
      <c r="BH68" s="24" t="inlineStr">
        <is>
          <t>2026-07-29T12:03:41.545071Z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ac33dafb61824d77</t>
        </is>
      </c>
      <c r="B69" s="24" t="inlineStr">
        <is>
          <t>2026-07-29T12:03:57.676631Z</t>
        </is>
      </c>
      <c r="C69" s="24" t="inlineStr">
        <is>
          <t>2026-07-29T15:00:00Z</t>
        </is>
      </c>
      <c r="D69" s="24" t="inlineStr">
        <is>
          <t>62684</t>
        </is>
      </c>
      <c r="E69" s="24" t="inlineStr">
        <is>
          <t>CS2</t>
        </is>
      </c>
      <c r="F69" s="24" t="inlineStr">
        <is>
          <t>Galorys</t>
        </is>
      </c>
      <c r="G69" s="24" t="inlineStr">
        <is>
          <t>ShindeN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-133</v>
      </c>
      <c r="M69" s="27" t="n">
        <v>1.75188</v>
      </c>
      <c r="N69" s="28" t="n">
        <v>0.570815</v>
      </c>
      <c r="O69" s="28" t="n">
        <v>0.505057</v>
      </c>
      <c r="P69" s="28" t="n"/>
      <c r="Q69" s="28" t="n">
        <v>-0.065758</v>
      </c>
      <c r="R69" s="26" t="n">
        <v>0</v>
      </c>
      <c r="S69" s="29" t="n">
        <v>0</v>
      </c>
      <c r="T69" s="24" t="inlineStr">
        <is>
          <t>cs2-tiered-elo-v4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/>
      <c r="AA69" s="28" t="n"/>
      <c r="AB69" s="28" t="n"/>
      <c r="AC69" s="30" t="n">
        <v>0</v>
      </c>
      <c r="AD69" s="24" t="inlineStr">
        <is>
          <t>2026-07-29T17:34:15.776657Z</t>
        </is>
      </c>
      <c r="AE69" s="31" t="inlineStr">
        <is>
          <t>Neutral Elo baseline; executable ask 0.5700 (market_slug=aec-cs2-shin-gls-2026-07-29).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Galorys</t>
        </is>
      </c>
      <c r="AQ69" s="24" t="inlineStr">
        <is>
          <t>Galorys</t>
        </is>
      </c>
      <c r="AR69" s="24" t="inlineStr">
        <is>
          <t>Galorys</t>
        </is>
      </c>
      <c r="AS69" s="24" t="inlineStr">
        <is>
          <t>ShindeN</t>
        </is>
      </c>
      <c r="AT69" s="24" t="inlineStr">
        <is>
          <t>ShindeN</t>
        </is>
      </c>
      <c r="AU69" s="24" t="inlineStr">
        <is>
          <t>ShindeN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2b0a5d82e2d88c2aecde06ec7d764f6cc92f55465bb2554ae26137088d6d7d2d</t>
        </is>
      </c>
      <c r="BB69" s="24" t="inlineStr">
        <is>
          <t>neutral_elo</t>
        </is>
      </c>
      <c r="BC69" s="24" t="inlineStr">
        <is>
          <t>cs2-tiered-elo-v4</t>
        </is>
      </c>
      <c r="BD69" s="24" t="inlineStr">
        <is>
          <t>2b0a5d82e2d88c2aecde06ec7d764f6cc92f55465bb2554ae26137088d6d7d2d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cs2-tiered-elo-v4</t>
        </is>
      </c>
      <c r="BH69" s="24" t="inlineStr">
        <is>
          <t>2026-07-29T12:03:42.091089Z</t>
        </is>
      </c>
      <c r="BI69" s="24" t="inlineStr">
        <is>
          <t>["same_event","same_team_same_day","same_league_same_day"]</t>
        </is>
      </c>
      <c r="BJ69" s="25" t="n"/>
      <c r="BK69" s="26" t="n">
        <v>-133</v>
      </c>
      <c r="BL69" s="27" t="n">
        <v>1.75188</v>
      </c>
      <c r="BM69" s="28" t="n">
        <v>0.570815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d46bae8b6756405a</t>
        </is>
      </c>
      <c r="B70" s="24" t="inlineStr">
        <is>
          <t>2026-07-29T15:09:39.463983Z</t>
        </is>
      </c>
      <c r="C70" s="24" t="inlineStr">
        <is>
          <t>2026-07-29T15:30:00Z</t>
        </is>
      </c>
      <c r="D70" s="24" t="inlineStr">
        <is>
          <t>65756</t>
        </is>
      </c>
      <c r="E70" s="24" t="inlineStr">
        <is>
          <t>CS2</t>
        </is>
      </c>
      <c r="F70" s="24" t="inlineStr">
        <is>
          <t>sleepers</t>
        </is>
      </c>
      <c r="G70" s="24" t="inlineStr">
        <is>
          <t>163ON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113</v>
      </c>
      <c r="M70" s="27" t="n">
        <v>2.13</v>
      </c>
      <c r="N70" s="28" t="n">
        <v>0.469484</v>
      </c>
      <c r="O70" s="28" t="n">
        <v>0.614162</v>
      </c>
      <c r="P70" s="28" t="n"/>
      <c r="Q70" s="28" t="n">
        <v>0.144678</v>
      </c>
      <c r="R70" s="26" t="n">
        <v>92</v>
      </c>
      <c r="S70" s="29" t="n">
        <v>1.75</v>
      </c>
      <c r="T70" s="24" t="inlineStr">
        <is>
          <t>cs2-tiered-elo-v4</t>
        </is>
      </c>
      <c r="U70" s="24" t="inlineStr">
        <is>
          <t>settled</t>
        </is>
      </c>
      <c r="V70" s="24" t="inlineStr">
        <is>
          <t>push</t>
        </is>
      </c>
      <c r="W70" s="26" t="n"/>
      <c r="X70" s="26" t="n"/>
      <c r="Y70" s="25" t="n"/>
      <c r="Z70" s="26" t="n"/>
      <c r="AA70" s="28" t="n"/>
      <c r="AB70" s="28" t="n"/>
      <c r="AC70" s="30" t="n">
        <v>0</v>
      </c>
      <c r="AD70" s="24" t="inlineStr">
        <is>
          <t>2026-07-30T04:12:09.866400Z</t>
        </is>
      </c>
      <c r="AE70" s="31" t="inlineStr">
        <is>
          <t>Neutral Elo baseline; executable ask 0.4700 (market_slug=aec-cs2-163on-sle-2026-07-29).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sleepers</t>
        </is>
      </c>
      <c r="AQ70" s="24" t="inlineStr">
        <is>
          <t>sleepers</t>
        </is>
      </c>
      <c r="AR70" s="24" t="inlineStr">
        <is>
          <t>sleepers</t>
        </is>
      </c>
      <c r="AS70" s="24" t="inlineStr">
        <is>
          <t>163ON</t>
        </is>
      </c>
      <c r="AT70" s="24" t="inlineStr">
        <is>
          <t>163ON</t>
        </is>
      </c>
      <c r="AU70" s="24" t="inlineStr">
        <is>
          <t>163ON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30dbbef0997e6baef6c7233c91dc9398124e2ae54a7d47479fa663dd1fc3b7a3</t>
        </is>
      </c>
      <c r="BB70" s="24" t="inlineStr">
        <is>
          <t>neutral_elo</t>
        </is>
      </c>
      <c r="BC70" s="24" t="inlineStr">
        <is>
          <t>cs2-tiered-elo-v4</t>
        </is>
      </c>
      <c r="BD70" s="24" t="inlineStr">
        <is>
          <t>30dbbef0997e6baef6c7233c91dc9398124e2ae54a7d47479fa663dd1fc3b7a3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cs2-tiered-elo-v4</t>
        </is>
      </c>
      <c r="BH70" s="24" t="inlineStr">
        <is>
          <t>2026-07-29T15:09:23.491424Z</t>
        </is>
      </c>
      <c r="BI70" s="24" t="inlineStr">
        <is>
          <t>["same_event","same_team_same_day","same_league_same_day"]</t>
        </is>
      </c>
      <c r="BJ70" s="25" t="n"/>
      <c r="BK70" s="26" t="n">
        <v>113</v>
      </c>
      <c r="BL70" s="27" t="n">
        <v>2.13</v>
      </c>
      <c r="BM70" s="28" t="n">
        <v>0.469484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inlineStr">
        <is>
          <t>esports market settled to a non-binary price (forfeit/postponement per market rules)</t>
        </is>
      </c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3cd007340e8a4ee0</t>
        </is>
      </c>
      <c r="B71" s="24" t="inlineStr">
        <is>
          <t>2026-07-29T15:09:39.463983Z</t>
        </is>
      </c>
      <c r="C71" s="24" t="inlineStr">
        <is>
          <t>2026-07-29T15:30:00Z</t>
        </is>
      </c>
      <c r="D71" s="24" t="inlineStr">
        <is>
          <t>65755</t>
        </is>
      </c>
      <c r="E71" s="24" t="inlineStr">
        <is>
          <t>CS2</t>
        </is>
      </c>
      <c r="F71" s="24" t="inlineStr">
        <is>
          <t>VP.Prodigy</t>
        </is>
      </c>
      <c r="G71" s="24" t="inlineStr">
        <is>
          <t>mellren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0.640306</v>
      </c>
      <c r="P71" s="28" t="n"/>
      <c r="Q71" s="28" t="n">
        <v>0.010676</v>
      </c>
      <c r="R71" s="26" t="n">
        <v>25</v>
      </c>
      <c r="S71" s="29" t="n">
        <v>2</v>
      </c>
      <c r="T71" s="24" t="inlineStr">
        <is>
          <t>cs2-tiered-elo-v4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/>
      <c r="AA71" s="28" t="n"/>
      <c r="AB71" s="28" t="n"/>
      <c r="AC71" s="30" t="n">
        <v>-2</v>
      </c>
      <c r="AD71" s="24" t="inlineStr">
        <is>
          <t>2026-07-30T04:12:11.369074Z</t>
        </is>
      </c>
      <c r="AE71" s="31" t="inlineStr">
        <is>
          <t>Neutral Elo baseline; executable ask 0.6300 (market_slug=aec-cs2-mel-vpp-2026-07-29).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VP.Prodigy</t>
        </is>
      </c>
      <c r="AQ71" s="24" t="inlineStr">
        <is>
          <t>VP.Prodigy</t>
        </is>
      </c>
      <c r="AR71" s="24" t="inlineStr">
        <is>
          <t>VP.Prodigy</t>
        </is>
      </c>
      <c r="AS71" s="24" t="inlineStr">
        <is>
          <t>mellren</t>
        </is>
      </c>
      <c r="AT71" s="24" t="inlineStr">
        <is>
          <t>mellren</t>
        </is>
      </c>
      <c r="AU71" s="24" t="inlineStr">
        <is>
          <t>mellren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30dbbef0997e6baef6c7233c91dc9398124e2ae54a7d47479fa663dd1fc3b7a3</t>
        </is>
      </c>
      <c r="BB71" s="24" t="inlineStr">
        <is>
          <t>neutral_elo</t>
        </is>
      </c>
      <c r="BC71" s="24" t="inlineStr">
        <is>
          <t>cs2-tiered-elo-v4</t>
        </is>
      </c>
      <c r="BD71" s="24" t="inlineStr">
        <is>
          <t>30dbbef0997e6baef6c7233c91dc9398124e2ae54a7d47479fa663dd1fc3b7a3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cs2-tiered-elo-v4</t>
        </is>
      </c>
      <c r="BH71" s="24" t="inlineStr">
        <is>
          <t>2026-07-29T15:09:24.100803Z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66391620805d4627</t>
        </is>
      </c>
      <c r="B72" s="24" t="inlineStr">
        <is>
          <t>2026-07-29T15:09:39.463983Z</t>
        </is>
      </c>
      <c r="C72" s="24" t="inlineStr">
        <is>
          <t>2026-07-29T17:00:00Z</t>
        </is>
      </c>
      <c r="D72" s="24" t="inlineStr">
        <is>
          <t>65520</t>
        </is>
      </c>
      <c r="E72" s="24" t="inlineStr">
        <is>
          <t>CS2</t>
        </is>
      </c>
      <c r="F72" s="24" t="inlineStr">
        <is>
          <t>G2 Ares</t>
        </is>
      </c>
      <c r="G72" s="24" t="inlineStr">
        <is>
          <t>Just Players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-122</v>
      </c>
      <c r="M72" s="27" t="n">
        <v>1.819672</v>
      </c>
      <c r="N72" s="28" t="n">
        <v>0.54955</v>
      </c>
      <c r="O72" s="28" t="n">
        <v>0.581156</v>
      </c>
      <c r="P72" s="28" t="n"/>
      <c r="Q72" s="28" t="n">
        <v>0.031606</v>
      </c>
      <c r="R72" s="26" t="n">
        <v>36</v>
      </c>
      <c r="S72" s="29" t="n">
        <v>1.25</v>
      </c>
      <c r="T72" s="24" t="inlineStr">
        <is>
          <t>cs2-tiered-elo-v4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/>
      <c r="AA72" s="28" t="n"/>
      <c r="AB72" s="28" t="n"/>
      <c r="AC72" s="30" t="n">
        <v>1.0246</v>
      </c>
      <c r="AD72" s="24" t="inlineStr">
        <is>
          <t>2026-07-30T04:12:12.836747Z</t>
        </is>
      </c>
      <c r="AE72" s="31" t="inlineStr">
        <is>
          <t>Neutral Elo baseline; executable ask 0.5500 (market_slug=aec-cs2-jpu-g2a-2026-07-29).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G2 Ares</t>
        </is>
      </c>
      <c r="AQ72" s="24" t="inlineStr">
        <is>
          <t>G2 Ares</t>
        </is>
      </c>
      <c r="AR72" s="24" t="inlineStr">
        <is>
          <t>G2 Ares</t>
        </is>
      </c>
      <c r="AS72" s="24" t="inlineStr">
        <is>
          <t>Just Players</t>
        </is>
      </c>
      <c r="AT72" s="24" t="inlineStr">
        <is>
          <t>Just Players</t>
        </is>
      </c>
      <c r="AU72" s="24" t="inlineStr">
        <is>
          <t>Just Players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30dbbef0997e6baef6c7233c91dc9398124e2ae54a7d47479fa663dd1fc3b7a3</t>
        </is>
      </c>
      <c r="BB72" s="24" t="inlineStr">
        <is>
          <t>neutral_elo</t>
        </is>
      </c>
      <c r="BC72" s="24" t="inlineStr">
        <is>
          <t>cs2-tiered-elo-v4</t>
        </is>
      </c>
      <c r="BD72" s="24" t="inlineStr">
        <is>
          <t>30dbbef0997e6baef6c7233c91dc9398124e2ae54a7d47479fa663dd1fc3b7a3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cs2-tiered-elo-v4</t>
        </is>
      </c>
      <c r="BH72" s="24" t="inlineStr">
        <is>
          <t>2026-07-29T15:09:25.127070Z</t>
        </is>
      </c>
      <c r="BI72" s="24" t="inlineStr">
        <is>
          <t>["same_event","same_team_same_day","same_league_same_day"]</t>
        </is>
      </c>
      <c r="BJ72" s="25" t="n"/>
      <c r="BK72" s="26" t="n">
        <v>-122</v>
      </c>
      <c r="BL72" s="27" t="n">
        <v>1.819672</v>
      </c>
      <c r="BM72" s="28" t="n">
        <v>0.54955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cae5034483f94b9d</t>
        </is>
      </c>
      <c r="B73" s="24" t="inlineStr">
        <is>
          <t>2026-07-29T15:09:39.463983Z</t>
        </is>
      </c>
      <c r="C73" s="24" t="inlineStr">
        <is>
          <t>2026-07-29T17:00:00Z</t>
        </is>
      </c>
      <c r="D73" s="24" t="inlineStr">
        <is>
          <t>65148</t>
        </is>
      </c>
      <c r="E73" s="24" t="inlineStr">
        <is>
          <t>CS2</t>
        </is>
      </c>
      <c r="F73" s="24" t="inlineStr">
        <is>
          <t>Misa Esports</t>
        </is>
      </c>
      <c r="G73" s="24" t="inlineStr">
        <is>
          <t>Bebop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-163</v>
      </c>
      <c r="M73" s="27" t="n">
        <v>1.613497</v>
      </c>
      <c r="N73" s="28" t="n">
        <v>0.619772</v>
      </c>
      <c r="O73" s="28" t="n">
        <v>0.64461</v>
      </c>
      <c r="P73" s="28" t="n"/>
      <c r="Q73" s="28" t="n">
        <v>0.024838</v>
      </c>
      <c r="R73" s="26" t="n">
        <v>32</v>
      </c>
      <c r="S73" s="29" t="n">
        <v>0</v>
      </c>
      <c r="T73" s="24" t="inlineStr">
        <is>
          <t>cs2-tiered-elo-v4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2026-07-30T04:12:14.263321Z</t>
        </is>
      </c>
      <c r="AE73" s="31" t="inlineStr">
        <is>
          <t>Neutral Elo baseline; executable ask 0.6200 (market_slug=aec-cs2-bbp-misa-2026-07-29).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Misa Esports</t>
        </is>
      </c>
      <c r="AQ73" s="24" t="inlineStr">
        <is>
          <t>Misa Esports</t>
        </is>
      </c>
      <c r="AR73" s="24" t="inlineStr">
        <is>
          <t>Misa Esports</t>
        </is>
      </c>
      <c r="AS73" s="24" t="inlineStr">
        <is>
          <t>Bebop</t>
        </is>
      </c>
      <c r="AT73" s="24" t="inlineStr">
        <is>
          <t>Bebop</t>
        </is>
      </c>
      <c r="AU73" s="24" t="inlineStr">
        <is>
          <t>Bebop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30dbbef0997e6baef6c7233c91dc9398124e2ae54a7d47479fa663dd1fc3b7a3</t>
        </is>
      </c>
      <c r="BB73" s="24" t="inlineStr">
        <is>
          <t>neutral_elo</t>
        </is>
      </c>
      <c r="BC73" s="24" t="inlineStr">
        <is>
          <t>cs2-tiered-elo-v4</t>
        </is>
      </c>
      <c r="BD73" s="24" t="inlineStr">
        <is>
          <t>30dbbef0997e6baef6c7233c91dc9398124e2ae54a7d47479fa663dd1fc3b7a3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cs2-tiered-elo-v4</t>
        </is>
      </c>
      <c r="BH73" s="24" t="inlineStr">
        <is>
          <t>2026-07-29T15:09:25.624022Z</t>
        </is>
      </c>
      <c r="BI73" s="24" t="inlineStr">
        <is>
          <t>["same_event","same_team_same_day","same_league_same_day"]</t>
        </is>
      </c>
      <c r="BJ73" s="25" t="n"/>
      <c r="BK73" s="26" t="n">
        <v>-163</v>
      </c>
      <c r="BL73" s="27" t="n">
        <v>1.613497</v>
      </c>
      <c r="BM73" s="28" t="n">
        <v>0.619772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540bba1ad1ec4d8a</t>
        </is>
      </c>
      <c r="B74" s="24" t="inlineStr">
        <is>
          <t>2026-07-29T15:09:39.463983Z</t>
        </is>
      </c>
      <c r="C74" s="24" t="inlineStr">
        <is>
          <t>2026-07-29T17:00:00Z</t>
        </is>
      </c>
      <c r="D74" s="24" t="inlineStr">
        <is>
          <t>65631</t>
        </is>
      </c>
      <c r="E74" s="24" t="inlineStr">
        <is>
          <t>CS2</t>
        </is>
      </c>
      <c r="F74" s="24" t="inlineStr">
        <is>
          <t>Spirit Academy Green</t>
        </is>
      </c>
      <c r="G74" s="24" t="inlineStr">
        <is>
          <t>B8 Academy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-133</v>
      </c>
      <c r="M74" s="27" t="n">
        <v>1.75188</v>
      </c>
      <c r="N74" s="28" t="n">
        <v>0.570815</v>
      </c>
      <c r="O74" s="28" t="n">
        <v>0.720664</v>
      </c>
      <c r="P74" s="28" t="n"/>
      <c r="Q74" s="28" t="n">
        <v>0.149849</v>
      </c>
      <c r="R74" s="26" t="n">
        <v>95</v>
      </c>
      <c r="S74" s="29" t="n">
        <v>2</v>
      </c>
      <c r="T74" s="24" t="inlineStr">
        <is>
          <t>cs2-tiered-elo-v4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/>
      <c r="AA74" s="28" t="n"/>
      <c r="AB74" s="28" t="n"/>
      <c r="AC74" s="30" t="n">
        <v>1.5038</v>
      </c>
      <c r="AD74" s="24" t="inlineStr">
        <is>
          <t>2026-07-30T04:12:15.732464Z</t>
        </is>
      </c>
      <c r="AE74" s="31" t="inlineStr">
        <is>
          <t>Neutral Elo baseline; executable ask 0.5700 (market_slug=aec-cs2-b8a-sag-2026-07-29).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Spirit Academy Green</t>
        </is>
      </c>
      <c r="AQ74" s="24" t="inlineStr">
        <is>
          <t>Spirit Academy Green</t>
        </is>
      </c>
      <c r="AR74" s="24" t="inlineStr">
        <is>
          <t>Spirit Academy Green</t>
        </is>
      </c>
      <c r="AS74" s="24" t="inlineStr">
        <is>
          <t>B8 Academy</t>
        </is>
      </c>
      <c r="AT74" s="24" t="inlineStr">
        <is>
          <t>B8 Academy</t>
        </is>
      </c>
      <c r="AU74" s="24" t="inlineStr">
        <is>
          <t>B8 Academy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30dbbef0997e6baef6c7233c91dc9398124e2ae54a7d47479fa663dd1fc3b7a3</t>
        </is>
      </c>
      <c r="BB74" s="24" t="inlineStr">
        <is>
          <t>neutral_elo</t>
        </is>
      </c>
      <c r="BC74" s="24" t="inlineStr">
        <is>
          <t>cs2-tiered-elo-v4</t>
        </is>
      </c>
      <c r="BD74" s="24" t="inlineStr">
        <is>
          <t>30dbbef0997e6baef6c7233c91dc9398124e2ae54a7d47479fa663dd1fc3b7a3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cs2-tiered-elo-v4</t>
        </is>
      </c>
      <c r="BH74" s="24" t="inlineStr">
        <is>
          <t>2026-07-29T15:09:26.110914Z</t>
        </is>
      </c>
      <c r="BI74" s="24" t="inlineStr">
        <is>
          <t>["same_event","same_team_same_day","same_league_same_day"]</t>
        </is>
      </c>
      <c r="BJ74" s="25" t="n"/>
      <c r="BK74" s="26" t="n">
        <v>-133</v>
      </c>
      <c r="BL74" s="27" t="n">
        <v>1.75188</v>
      </c>
      <c r="BM74" s="28" t="n">
        <v>0.570815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24db14c21ca3474c</t>
        </is>
      </c>
      <c r="B75" s="24" t="inlineStr">
        <is>
          <t>2026-07-29T17:48:13.954531Z</t>
        </is>
      </c>
      <c r="C75" s="24" t="inlineStr">
        <is>
          <t>2026-07-29T18:00:00Z</t>
        </is>
      </c>
      <c r="D75" s="24" t="inlineStr">
        <is>
          <t>65775</t>
        </is>
      </c>
      <c r="E75" s="24" t="inlineStr">
        <is>
          <t>CS2</t>
        </is>
      </c>
      <c r="F75" s="24" t="inlineStr">
        <is>
          <t>Virtus.pro</t>
        </is>
      </c>
      <c r="G75" s="24" t="inlineStr">
        <is>
          <t>CYBERSHOKE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0.815865</v>
      </c>
      <c r="P75" s="28" t="n"/>
      <c r="Q75" s="28" t="n">
        <v>0.315865</v>
      </c>
      <c r="R75" s="26" t="n">
        <v>100</v>
      </c>
      <c r="S75" s="29" t="n">
        <v>0</v>
      </c>
      <c r="T75" s="24" t="inlineStr">
        <is>
          <t>cs2-tiered-elo-v4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2026-07-30T04:12:17.215486Z</t>
        </is>
      </c>
      <c r="AE75" s="31" t="inlineStr">
        <is>
          <t>Neutral Elo baseline; executable ask 0.5000 (market_slug=aec-cs2-cs-vp-2026-07-29).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Virtus.pro</t>
        </is>
      </c>
      <c r="AQ75" s="24" t="inlineStr">
        <is>
          <t>Virtus.pro</t>
        </is>
      </c>
      <c r="AR75" s="24" t="inlineStr">
        <is>
          <t>Virtus.pro</t>
        </is>
      </c>
      <c r="AS75" s="24" t="inlineStr">
        <is>
          <t>CYBERSHOKE Esports</t>
        </is>
      </c>
      <c r="AT75" s="24" t="inlineStr">
        <is>
          <t>CYBERSHOKE Esports</t>
        </is>
      </c>
      <c r="AU75" s="24" t="inlineStr">
        <is>
          <t>CYBERSHOKE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141f1943d576a594edb9557f232afa5bb61278cf91ecc5365b39d56e184e91fd</t>
        </is>
      </c>
      <c r="BB75" s="24" t="inlineStr">
        <is>
          <t>neutral_elo</t>
        </is>
      </c>
      <c r="BC75" s="24" t="inlineStr">
        <is>
          <t>cs2-tiered-elo-v4</t>
        </is>
      </c>
      <c r="BD75" s="24" t="inlineStr">
        <is>
          <t>141f1943d576a594edb9557f232afa5bb61278cf91ecc5365b39d56e184e91fd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cs2-tiered-elo-v4</t>
        </is>
      </c>
      <c r="BH75" s="24" t="inlineStr">
        <is>
          <t>2026-07-29T17:47:59.696321Z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654ae87bf2264abe</t>
        </is>
      </c>
      <c r="B76" s="24" t="inlineStr">
        <is>
          <t>2026-07-29T17:48:13.954531Z</t>
        </is>
      </c>
      <c r="C76" s="24" t="inlineStr">
        <is>
          <t>2026-07-29T18:15:00Z</t>
        </is>
      </c>
      <c r="D76" s="24" t="inlineStr">
        <is>
          <t>65759</t>
        </is>
      </c>
      <c r="E76" s="24" t="inlineStr">
        <is>
          <t>CS2</t>
        </is>
      </c>
      <c r="F76" s="24" t="inlineStr">
        <is>
          <t>TrafficPills Esports</t>
        </is>
      </c>
      <c r="G76" s="24" t="inlineStr">
        <is>
          <t>GameSport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-170</v>
      </c>
      <c r="M76" s="27" t="n">
        <v>1.588235</v>
      </c>
      <c r="N76" s="28" t="n">
        <v>0.62963</v>
      </c>
      <c r="O76" s="28" t="n">
        <v>0.555258</v>
      </c>
      <c r="P76" s="28" t="n"/>
      <c r="Q76" s="28" t="n">
        <v>-0.07437199999999999</v>
      </c>
      <c r="R76" s="26" t="n">
        <v>0</v>
      </c>
      <c r="S76" s="29" t="n">
        <v>0</v>
      </c>
      <c r="T76" s="24" t="inlineStr">
        <is>
          <t>cs2-tiered-elo-v4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2026-07-30T04:12:18.662962Z</t>
        </is>
      </c>
      <c r="AE76" s="31" t="inlineStr">
        <is>
          <t>Neutral Elo baseline; executable ask 0.6300 (market_slug=aec-cs2-gs-ter-2026-07-29).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TrafficPills Esports</t>
        </is>
      </c>
      <c r="AQ76" s="24" t="inlineStr">
        <is>
          <t>TrafficPills Esports</t>
        </is>
      </c>
      <c r="AR76" s="24" t="inlineStr">
        <is>
          <t>TrafficPills Esports</t>
        </is>
      </c>
      <c r="AS76" s="24" t="inlineStr">
        <is>
          <t>GameSport</t>
        </is>
      </c>
      <c r="AT76" s="24" t="inlineStr">
        <is>
          <t>GameSport</t>
        </is>
      </c>
      <c r="AU76" s="24" t="inlineStr">
        <is>
          <t>GameSport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141f1943d576a594edb9557f232afa5bb61278cf91ecc5365b39d56e184e91fd</t>
        </is>
      </c>
      <c r="BB76" s="24" t="inlineStr">
        <is>
          <t>neutral_elo</t>
        </is>
      </c>
      <c r="BC76" s="24" t="inlineStr">
        <is>
          <t>cs2-tiered-elo-v4</t>
        </is>
      </c>
      <c r="BD76" s="24" t="inlineStr">
        <is>
          <t>141f1943d576a594edb9557f232afa5bb61278cf91ecc5365b39d56e184e91fd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cs2-tiered-elo-v4</t>
        </is>
      </c>
      <c r="BH76" s="24" t="inlineStr">
        <is>
          <t>2026-07-29T17:48:01.361274Z</t>
        </is>
      </c>
      <c r="BI76" s="24" t="inlineStr">
        <is>
          <t>["same_event","same_team_same_day","same_league_same_day"]</t>
        </is>
      </c>
      <c r="BJ76" s="25" t="n"/>
      <c r="BK76" s="26" t="n">
        <v>-170</v>
      </c>
      <c r="BL76" s="27" t="n">
        <v>1.588235</v>
      </c>
      <c r="BM76" s="28" t="n">
        <v>0.62963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81950bbe363e4129</t>
        </is>
      </c>
      <c r="B77" s="24" t="inlineStr">
        <is>
          <t>2026-07-29T17:48:13.954531Z</t>
        </is>
      </c>
      <c r="C77" s="24" t="inlineStr">
        <is>
          <t>2026-07-29T18:15:00Z</t>
        </is>
      </c>
      <c r="D77" s="24" t="inlineStr">
        <is>
          <t>65760</t>
        </is>
      </c>
      <c r="E77" s="24" t="inlineStr">
        <is>
          <t>CS2</t>
        </is>
      </c>
      <c r="F77" s="24" t="inlineStr">
        <is>
          <t>gribo4ki</t>
        </is>
      </c>
      <c r="G77" s="24" t="inlineStr">
        <is>
          <t>Aurora Young Blood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0.557199</v>
      </c>
      <c r="P77" s="28" t="n"/>
      <c r="Q77" s="28" t="n">
        <v>-0.052176</v>
      </c>
      <c r="R77" s="26" t="n">
        <v>0</v>
      </c>
      <c r="S77" s="29" t="n">
        <v>0</v>
      </c>
      <c r="T77" s="24" t="inlineStr">
        <is>
          <t>cs2-tiered-elo-v4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2026-07-30T04:12:19.979555Z</t>
        </is>
      </c>
      <c r="AE77" s="31" t="inlineStr">
        <is>
          <t>Neutral Elo baseline; executable ask 0.6100 (market_slug=aec-cs2-auryb-gkr-2026-07-29).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gribo4ki</t>
        </is>
      </c>
      <c r="AQ77" s="24" t="inlineStr">
        <is>
          <t>gribo4ki</t>
        </is>
      </c>
      <c r="AR77" s="24" t="inlineStr">
        <is>
          <t>gribo4ki</t>
        </is>
      </c>
      <c r="AS77" s="24" t="inlineStr">
        <is>
          <t>Aurora Young Blood</t>
        </is>
      </c>
      <c r="AT77" s="24" t="inlineStr">
        <is>
          <t>Aurora Young Blood</t>
        </is>
      </c>
      <c r="AU77" s="24" t="inlineStr">
        <is>
          <t>Aurora Young Blood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141f1943d576a594edb9557f232afa5bb61278cf91ecc5365b39d56e184e91fd</t>
        </is>
      </c>
      <c r="BB77" s="24" t="inlineStr">
        <is>
          <t>neutral_elo</t>
        </is>
      </c>
      <c r="BC77" s="24" t="inlineStr">
        <is>
          <t>cs2-tiered-elo-v4</t>
        </is>
      </c>
      <c r="BD77" s="24" t="inlineStr">
        <is>
          <t>141f1943d576a594edb9557f232afa5bb61278cf91ecc5365b39d56e184e91fd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cs2-tiered-elo-v4</t>
        </is>
      </c>
      <c r="BH77" s="24" t="inlineStr">
        <is>
          <t>2026-07-29T17:48:01.923709Z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9d6e8a6134cb4459</t>
        </is>
      </c>
      <c r="B78" s="24" t="inlineStr">
        <is>
          <t>2026-07-29T17:48:13.954531Z</t>
        </is>
      </c>
      <c r="C78" s="24" t="inlineStr">
        <is>
          <t>2026-07-29T21:00:00Z</t>
        </is>
      </c>
      <c r="D78" s="24" t="inlineStr">
        <is>
          <t>65553</t>
        </is>
      </c>
      <c r="E78" s="24" t="inlineStr">
        <is>
          <t>CS2</t>
        </is>
      </c>
      <c r="F78" s="24" t="inlineStr">
        <is>
          <t>Bounty Hunters Esports</t>
        </is>
      </c>
      <c r="G78" s="24" t="inlineStr">
        <is>
          <t>Fluxo W7M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-203</v>
      </c>
      <c r="M78" s="27" t="n">
        <v>1.492611</v>
      </c>
      <c r="N78" s="28" t="n">
        <v>0.669967</v>
      </c>
      <c r="O78" s="28" t="n">
        <v>0.686423</v>
      </c>
      <c r="P78" s="28" t="n"/>
      <c r="Q78" s="28" t="n">
        <v>0.016456</v>
      </c>
      <c r="R78" s="26" t="n">
        <v>28</v>
      </c>
      <c r="S78" s="29" t="n">
        <v>2</v>
      </c>
      <c r="T78" s="24" t="inlineStr">
        <is>
          <t>cs2-tiered-elo-v4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/>
      <c r="AA78" s="28" t="n"/>
      <c r="AB78" s="28" t="n"/>
      <c r="AC78" s="30" t="n">
        <v>0.9852</v>
      </c>
      <c r="AD78" s="24" t="inlineStr">
        <is>
          <t>2026-07-30T04:12:21.168379Z</t>
        </is>
      </c>
      <c r="AE78" s="31" t="inlineStr">
        <is>
          <t>Neutral Elo baseline; executable ask 0.6700 (market_slug=aec-cs2-fxw7-bhe-2026-07-29).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Bounty Hunters Esports</t>
        </is>
      </c>
      <c r="AQ78" s="24" t="inlineStr">
        <is>
          <t>Bounty Hunters Esports</t>
        </is>
      </c>
      <c r="AR78" s="24" t="inlineStr">
        <is>
          <t>Bounty Hunters Esports</t>
        </is>
      </c>
      <c r="AS78" s="24" t="inlineStr">
        <is>
          <t>Fluxo W7M</t>
        </is>
      </c>
      <c r="AT78" s="24" t="inlineStr">
        <is>
          <t>Fluxo W7M</t>
        </is>
      </c>
      <c r="AU78" s="24" t="inlineStr">
        <is>
          <t>Fluxo W7M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141f1943d576a594edb9557f232afa5bb61278cf91ecc5365b39d56e184e91fd</t>
        </is>
      </c>
      <c r="BB78" s="24" t="inlineStr">
        <is>
          <t>neutral_elo</t>
        </is>
      </c>
      <c r="BC78" s="24" t="inlineStr">
        <is>
          <t>cs2-tiered-elo-v4</t>
        </is>
      </c>
      <c r="BD78" s="24" t="inlineStr">
        <is>
          <t>141f1943d576a594edb9557f232afa5bb61278cf91ecc5365b39d56e184e91fd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cs2-tiered-elo-v4</t>
        </is>
      </c>
      <c r="BH78" s="24" t="inlineStr">
        <is>
          <t>2026-07-29T17:48:03.009886Z</t>
        </is>
      </c>
      <c r="BI78" s="24" t="inlineStr">
        <is>
          <t>["same_event","same_team_same_day","same_league_same_day"]</t>
        </is>
      </c>
      <c r="BJ78" s="25" t="n"/>
      <c r="BK78" s="26" t="n">
        <v>-203</v>
      </c>
      <c r="BL78" s="27" t="n">
        <v>1.492611</v>
      </c>
      <c r="BM78" s="28" t="n">
        <v>0.669967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b1f07082bc9e4b3a</t>
        </is>
      </c>
      <c r="B79" s="24" t="inlineStr">
        <is>
          <t>2026-07-29T17:48:13.954531Z</t>
        </is>
      </c>
      <c r="C79" s="24" t="inlineStr">
        <is>
          <t>2026-07-29T21:00:00Z</t>
        </is>
      </c>
      <c r="D79" s="24" t="inlineStr">
        <is>
          <t>65776</t>
        </is>
      </c>
      <c r="E79" s="24" t="inlineStr">
        <is>
          <t>CS2</t>
        </is>
      </c>
      <c r="F79" s="24" t="inlineStr">
        <is>
          <t>BakS eSports</t>
        </is>
      </c>
      <c r="G79" s="24" t="inlineStr">
        <is>
          <t>K28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178</v>
      </c>
      <c r="M79" s="27" t="n">
        <v>2.78</v>
      </c>
      <c r="N79" s="28" t="n">
        <v>0.359712</v>
      </c>
      <c r="O79" s="28" t="n">
        <v>0.505647</v>
      </c>
      <c r="P79" s="28" t="n"/>
      <c r="Q79" s="28" t="n">
        <v>0.145935</v>
      </c>
      <c r="R79" s="26" t="n">
        <v>93</v>
      </c>
      <c r="S79" s="29" t="n">
        <v>0</v>
      </c>
      <c r="T79" s="24" t="inlineStr">
        <is>
          <t>cs2-tiered-elo-v4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/>
      <c r="AA79" s="28" t="n"/>
      <c r="AB79" s="28" t="n"/>
      <c r="AC79" s="30" t="n">
        <v>0</v>
      </c>
      <c r="AD79" s="24" t="inlineStr">
        <is>
          <t>2026-07-30T04:12:22.639627Z</t>
        </is>
      </c>
      <c r="AE79" s="31" t="inlineStr">
        <is>
          <t>Neutral Elo baseline; executable ask 0.3600 (market_slug=aec-cs2-k28-baks-2026-07-29).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BakS eSports</t>
        </is>
      </c>
      <c r="AQ79" s="24" t="inlineStr">
        <is>
          <t>BakS eSports</t>
        </is>
      </c>
      <c r="AR79" s="24" t="inlineStr">
        <is>
          <t>BakS eSports</t>
        </is>
      </c>
      <c r="AS79" s="24" t="inlineStr">
        <is>
          <t>K28</t>
        </is>
      </c>
      <c r="AT79" s="24" t="inlineStr">
        <is>
          <t>K28</t>
        </is>
      </c>
      <c r="AU79" s="24" t="inlineStr">
        <is>
          <t>K28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141f1943d576a594edb9557f232afa5bb61278cf91ecc5365b39d56e184e91fd</t>
        </is>
      </c>
      <c r="BB79" s="24" t="inlineStr">
        <is>
          <t>neutral_elo</t>
        </is>
      </c>
      <c r="BC79" s="24" t="inlineStr">
        <is>
          <t>cs2-tiered-elo-v4</t>
        </is>
      </c>
      <c r="BD79" s="24" t="inlineStr">
        <is>
          <t>141f1943d576a594edb9557f232afa5bb61278cf91ecc5365b39d56e184e91fd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cs2-tiered-elo-v4</t>
        </is>
      </c>
      <c r="BH79" s="24" t="inlineStr">
        <is>
          <t>2026-07-29T17:48:03.599495Z</t>
        </is>
      </c>
      <c r="BI79" s="24" t="inlineStr">
        <is>
          <t>["same_event","same_team_same_day","same_league_same_day"]</t>
        </is>
      </c>
      <c r="BJ79" s="25" t="n"/>
      <c r="BK79" s="26" t="n">
        <v>178</v>
      </c>
      <c r="BL79" s="27" t="n">
        <v>2.78</v>
      </c>
      <c r="BM79" s="28" t="n">
        <v>0.359712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69a2aa2938db40e7</t>
        </is>
      </c>
      <c r="B80" s="24" t="inlineStr">
        <is>
          <t>2026-07-30T07:24:22.518512Z</t>
        </is>
      </c>
      <c r="C80" s="24" t="inlineStr">
        <is>
          <t>2026-07-30T08:00:00Z</t>
        </is>
      </c>
      <c r="D80" s="24" t="inlineStr">
        <is>
          <t>65406</t>
        </is>
      </c>
      <c r="E80" s="24" t="inlineStr">
        <is>
          <t>CS2</t>
        </is>
      </c>
      <c r="F80" s="24" t="inlineStr">
        <is>
          <t>Just Players</t>
        </is>
      </c>
      <c r="G80" s="24" t="inlineStr">
        <is>
          <t>SPARTA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138</v>
      </c>
      <c r="M80" s="27" t="n">
        <v>2.38</v>
      </c>
      <c r="N80" s="28" t="n">
        <v>0.420168</v>
      </c>
      <c r="O80" s="28" t="n">
        <v>0.438187</v>
      </c>
      <c r="P80" s="28" t="n"/>
      <c r="Q80" s="28" t="n">
        <v>0.018019</v>
      </c>
      <c r="R80" s="26" t="n">
        <v>29</v>
      </c>
      <c r="S80" s="29" t="n">
        <v>1</v>
      </c>
      <c r="T80" s="24" t="inlineStr">
        <is>
          <t>cs2-tiered-elo-v4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/>
      <c r="AA80" s="28" t="n"/>
      <c r="AB80" s="28" t="n"/>
      <c r="AC80" s="30" t="n">
        <v>1.38</v>
      </c>
      <c r="AD80" s="24" t="inlineStr">
        <is>
          <t>2026-07-30T13:30:39.170318Z</t>
        </is>
      </c>
      <c r="AE80" s="31" t="inlineStr">
        <is>
          <t>Neutral Elo baseline; executable ask 0.4200 (market_slug=aec-cs2-sparta-jpu-2026-07-30).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Just Players</t>
        </is>
      </c>
      <c r="AQ80" s="24" t="inlineStr">
        <is>
          <t>Just Players</t>
        </is>
      </c>
      <c r="AR80" s="24" t="inlineStr">
        <is>
          <t>Just Players</t>
        </is>
      </c>
      <c r="AS80" s="24" t="inlineStr">
        <is>
          <t>SPARTA</t>
        </is>
      </c>
      <c r="AT80" s="24" t="inlineStr">
        <is>
          <t>SPARTA</t>
        </is>
      </c>
      <c r="AU80" s="24" t="inlineStr">
        <is>
          <t>SPARTA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5fcc750ae524e04c39a97b842ec3473441d6c6614e7b88704ac08bbf0df09d94</t>
        </is>
      </c>
      <c r="BB80" s="24" t="inlineStr">
        <is>
          <t>neutral_elo</t>
        </is>
      </c>
      <c r="BC80" s="24" t="inlineStr">
        <is>
          <t>cs2-tiered-elo-v4</t>
        </is>
      </c>
      <c r="BD80" s="24" t="inlineStr">
        <is>
          <t>5fcc750ae524e04c39a97b842ec3473441d6c6614e7b88704ac08bbf0df09d94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cs2-tiered-elo-v4</t>
        </is>
      </c>
      <c r="BH80" s="24" t="inlineStr">
        <is>
          <t>2026-07-30T07:23:48.825899Z</t>
        </is>
      </c>
      <c r="BI80" s="24" t="inlineStr">
        <is>
          <t>["same_event","same_team_same_day","same_league_same_day"]</t>
        </is>
      </c>
      <c r="BJ80" s="25" t="n"/>
      <c r="BK80" s="26" t="n">
        <v>138</v>
      </c>
      <c r="BL80" s="27" t="n">
        <v>2.38</v>
      </c>
      <c r="BM80" s="28" t="n">
        <v>0.420168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71b5c4034b834ca9</t>
        </is>
      </c>
      <c r="B81" s="24" t="inlineStr">
        <is>
          <t>2026-07-30T07:24:22.518512Z</t>
        </is>
      </c>
      <c r="C81" s="24" t="inlineStr">
        <is>
          <t>2026-07-30T08:00:00Z</t>
        </is>
      </c>
      <c r="D81" s="24" t="inlineStr">
        <is>
          <t>65554</t>
        </is>
      </c>
      <c r="E81" s="24" t="inlineStr">
        <is>
          <t>CS2</t>
        </is>
      </c>
      <c r="F81" s="24" t="inlineStr">
        <is>
          <t>Mai Tai</t>
        </is>
      </c>
      <c r="G81" s="24" t="inlineStr">
        <is>
          <t>Black Phoenix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194</v>
      </c>
      <c r="M81" s="27" t="n">
        <v>2.94</v>
      </c>
      <c r="N81" s="28" t="n">
        <v>0.340136</v>
      </c>
      <c r="O81" s="28" t="n">
        <v>0.424596</v>
      </c>
      <c r="P81" s="28" t="n"/>
      <c r="Q81" s="28" t="n">
        <v>0.08445999999999999</v>
      </c>
      <c r="R81" s="26" t="n">
        <v>62</v>
      </c>
      <c r="S81" s="29" t="n">
        <v>1.25</v>
      </c>
      <c r="T81" s="24" t="inlineStr">
        <is>
          <t>cs2-tiered-elo-v4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/>
      <c r="AA81" s="28" t="n"/>
      <c r="AB81" s="28" t="n"/>
      <c r="AC81" s="30" t="n">
        <v>-1.25</v>
      </c>
      <c r="AD81" s="24" t="inlineStr">
        <is>
          <t>2026-07-30T10:25:01.118478Z</t>
        </is>
      </c>
      <c r="AE81" s="31" t="inlineStr">
        <is>
          <t>Neutral Elo baseline; executable ask 0.3400 (market_slug=aec-cs2-bpl-mta-2026-07-30).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Mai Tai</t>
        </is>
      </c>
      <c r="AQ81" s="24" t="inlineStr">
        <is>
          <t>Mai Tai</t>
        </is>
      </c>
      <c r="AR81" s="24" t="inlineStr">
        <is>
          <t>Mai Tai</t>
        </is>
      </c>
      <c r="AS81" s="24" t="inlineStr">
        <is>
          <t>Black Phoenix</t>
        </is>
      </c>
      <c r="AT81" s="24" t="inlineStr">
        <is>
          <t>Black Phoenix</t>
        </is>
      </c>
      <c r="AU81" s="24" t="inlineStr">
        <is>
          <t>Black Phoenix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5fcc750ae524e04c39a97b842ec3473441d6c6614e7b88704ac08bbf0df09d94</t>
        </is>
      </c>
      <c r="BB81" s="24" t="inlineStr">
        <is>
          <t>neutral_elo</t>
        </is>
      </c>
      <c r="BC81" s="24" t="inlineStr">
        <is>
          <t>cs2-tiered-elo-v4</t>
        </is>
      </c>
      <c r="BD81" s="24" t="inlineStr">
        <is>
          <t>5fcc750ae524e04c39a97b842ec3473441d6c6614e7b88704ac08bbf0df09d94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cs2-tiered-elo-v4</t>
        </is>
      </c>
      <c r="BH81" s="24" t="inlineStr">
        <is>
          <t>2026-07-30T07:23:49.809522Z</t>
        </is>
      </c>
      <c r="BI81" s="24" t="inlineStr">
        <is>
          <t>["same_event","same_team_same_day","same_league_same_day"]</t>
        </is>
      </c>
      <c r="BJ81" s="25" t="n"/>
      <c r="BK81" s="26" t="n">
        <v>194</v>
      </c>
      <c r="BL81" s="27" t="n">
        <v>2.94</v>
      </c>
      <c r="BM81" s="28" t="n">
        <v>0.340136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1d2253d0b02443ab</t>
        </is>
      </c>
      <c r="B82" s="24" t="inlineStr">
        <is>
          <t>2026-07-30T10:30:01.551146Z</t>
        </is>
      </c>
      <c r="C82" s="24" t="inlineStr">
        <is>
          <t>2026-07-30T11:00:00Z</t>
        </is>
      </c>
      <c r="D82" s="24" t="inlineStr">
        <is>
          <t>65555</t>
        </is>
      </c>
      <c r="E82" s="24" t="inlineStr">
        <is>
          <t>CS2</t>
        </is>
      </c>
      <c r="F82" s="24" t="inlineStr">
        <is>
          <t>UNiTY esports</t>
        </is>
      </c>
      <c r="G82" s="24" t="inlineStr">
        <is>
          <t>Rune Eaters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0.715793</v>
      </c>
      <c r="P82" s="28" t="n"/>
      <c r="Q82" s="28" t="n">
        <v>0.166243</v>
      </c>
      <c r="R82" s="26" t="n">
        <v>100</v>
      </c>
      <c r="S82" s="29" t="n">
        <v>0</v>
      </c>
      <c r="T82" s="24" t="inlineStr">
        <is>
          <t>cs2-tiered-elo-v4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2026-07-30T16:00:44.915087Z</t>
        </is>
      </c>
      <c r="AE82" s="31" t="inlineStr">
        <is>
          <t>Neutral Elo baseline; executable ask 0.5500 (market_slug=aec-cs2-re-unity-2026-07-30).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UNiTY esports</t>
        </is>
      </c>
      <c r="AQ82" s="24" t="inlineStr">
        <is>
          <t>UNiTY esports</t>
        </is>
      </c>
      <c r="AR82" s="24" t="inlineStr">
        <is>
          <t>UNiTY esports</t>
        </is>
      </c>
      <c r="AS82" s="24" t="inlineStr">
        <is>
          <t>Rune Eaters</t>
        </is>
      </c>
      <c r="AT82" s="24" t="inlineStr">
        <is>
          <t>Rune Eaters</t>
        </is>
      </c>
      <c r="AU82" s="24" t="inlineStr">
        <is>
          <t>Rune Eaters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69cce4c904af97f73bf892fd5d38c166788adc49847b19df353482cedca97c6b</t>
        </is>
      </c>
      <c r="BB82" s="24" t="inlineStr">
        <is>
          <t>neutral_elo</t>
        </is>
      </c>
      <c r="BC82" s="24" t="inlineStr">
        <is>
          <t>cs2-tiered-elo-v4</t>
        </is>
      </c>
      <c r="BD82" s="24" t="inlineStr">
        <is>
          <t>69cce4c904af97f73bf892fd5d38c166788adc49847b19df353482cedca97c6b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cs2-tiered-elo-v4</t>
        </is>
      </c>
      <c r="BH82" s="24" t="inlineStr">
        <is>
          <t>2026-07-30T10:29:32.627154Z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1ca1fcb3a9894b42</t>
        </is>
      </c>
      <c r="B83" s="24" t="inlineStr">
        <is>
          <t>2026-07-30T10:30:01.551146Z</t>
        </is>
      </c>
      <c r="C83" s="24" t="inlineStr">
        <is>
          <t>2026-07-30T11:00:00Z</t>
        </is>
      </c>
      <c r="D83" s="24" t="inlineStr">
        <is>
          <t>66490</t>
        </is>
      </c>
      <c r="E83" s="24" t="inlineStr">
        <is>
          <t>CS2</t>
        </is>
      </c>
      <c r="F83" s="24" t="inlineStr">
        <is>
          <t>Butterfly</t>
        </is>
      </c>
      <c r="G83" s="24" t="inlineStr">
        <is>
          <t>1WIN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-203</v>
      </c>
      <c r="M83" s="27" t="n">
        <v>1.492611</v>
      </c>
      <c r="N83" s="28" t="n">
        <v>0.669967</v>
      </c>
      <c r="O83" s="28" t="n">
        <v>0.629916</v>
      </c>
      <c r="P83" s="28" t="n"/>
      <c r="Q83" s="28" t="n">
        <v>-0.040051</v>
      </c>
      <c r="R83" s="26" t="n">
        <v>0</v>
      </c>
      <c r="S83" s="29" t="n">
        <v>0</v>
      </c>
      <c r="T83" s="24" t="inlineStr">
        <is>
          <t>cs2-tiered-elo-v4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2026-07-30T16:00:46.614750Z</t>
        </is>
      </c>
      <c r="AE83" s="31" t="inlineStr">
        <is>
          <t>Neutral Elo baseline; executable ask 0.6700 (market_slug=aec-cs2-1win-btf-2026-07-30).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Butterfly</t>
        </is>
      </c>
      <c r="AQ83" s="24" t="inlineStr">
        <is>
          <t>Butterfly</t>
        </is>
      </c>
      <c r="AR83" s="24" t="inlineStr">
        <is>
          <t>Butterfly</t>
        </is>
      </c>
      <c r="AS83" s="24" t="inlineStr">
        <is>
          <t>1WIN</t>
        </is>
      </c>
      <c r="AT83" s="24" t="inlineStr">
        <is>
          <t>1WIN</t>
        </is>
      </c>
      <c r="AU83" s="24" t="inlineStr">
        <is>
          <t>1WIN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69cce4c904af97f73bf892fd5d38c166788adc49847b19df353482cedca97c6b</t>
        </is>
      </c>
      <c r="BB83" s="24" t="inlineStr">
        <is>
          <t>neutral_elo</t>
        </is>
      </c>
      <c r="BC83" s="24" t="inlineStr">
        <is>
          <t>cs2-tiered-elo-v4</t>
        </is>
      </c>
      <c r="BD83" s="24" t="inlineStr">
        <is>
          <t>69cce4c904af97f73bf892fd5d38c166788adc49847b19df353482cedca97c6b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cs2-tiered-elo-v4</t>
        </is>
      </c>
      <c r="BH83" s="24" t="inlineStr">
        <is>
          <t>2026-07-30T10:29:33.156258Z</t>
        </is>
      </c>
      <c r="BI83" s="24" t="inlineStr">
        <is>
          <t>["same_event","same_team_same_day","same_league_same_day"]</t>
        </is>
      </c>
      <c r="BJ83" s="25" t="n"/>
      <c r="BK83" s="26" t="n">
        <v>-203</v>
      </c>
      <c r="BL83" s="27" t="n">
        <v>1.492611</v>
      </c>
      <c r="BM83" s="28" t="n">
        <v>0.669967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f7c4e9ddc1cd4b48</t>
        </is>
      </c>
      <c r="B84" s="24" t="inlineStr">
        <is>
          <t>2026-07-30T10:30:01.551146Z</t>
        </is>
      </c>
      <c r="C84" s="24" t="inlineStr">
        <is>
          <t>2026-07-30T11:00:00Z</t>
        </is>
      </c>
      <c r="D84" s="24" t="inlineStr">
        <is>
          <t>65407</t>
        </is>
      </c>
      <c r="E84" s="24" t="inlineStr">
        <is>
          <t>CS2</t>
        </is>
      </c>
      <c r="F84" s="24" t="inlineStr">
        <is>
          <t>Atreides</t>
        </is>
      </c>
      <c r="G84" s="24" t="inlineStr">
        <is>
          <t>Butterfly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-104</v>
      </c>
      <c r="M84" s="27" t="n">
        <v>1.961538</v>
      </c>
      <c r="N84" s="28" t="n">
        <v>0.509804</v>
      </c>
      <c r="O84" s="28" t="n">
        <v>0.696192</v>
      </c>
      <c r="P84" s="28" t="n"/>
      <c r="Q84" s="28" t="n">
        <v>0.186388</v>
      </c>
      <c r="R84" s="26" t="n">
        <v>100</v>
      </c>
      <c r="S84" s="29" t="n">
        <v>2</v>
      </c>
      <c r="T84" s="24" t="inlineStr">
        <is>
          <t>cs2-tiered-elo-v4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0.5100 (market_slug=aec-cs2-btf-atr-2026-07-30).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Atreides</t>
        </is>
      </c>
      <c r="AQ84" s="24" t="inlineStr">
        <is>
          <t>Atreides</t>
        </is>
      </c>
      <c r="AR84" s="24" t="inlineStr">
        <is>
          <t>Atreides</t>
        </is>
      </c>
      <c r="AS84" s="24" t="inlineStr">
        <is>
          <t>Butterfly</t>
        </is>
      </c>
      <c r="AT84" s="24" t="inlineStr">
        <is>
          <t>Butterfly</t>
        </is>
      </c>
      <c r="AU84" s="24" t="inlineStr">
        <is>
          <t>Butterfly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69cce4c904af97f73bf892fd5d38c166788adc49847b19df353482cedca97c6b</t>
        </is>
      </c>
      <c r="BB84" s="24" t="inlineStr">
        <is>
          <t>neutral_elo</t>
        </is>
      </c>
      <c r="BC84" s="24" t="inlineStr">
        <is>
          <t>cs2-tiered-elo-v4</t>
        </is>
      </c>
      <c r="BD84" s="24" t="inlineStr">
        <is>
          <t>69cce4c904af97f73bf892fd5d38c166788adc49847b19df353482cedca97c6b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cs2-tiered-elo-v4</t>
        </is>
      </c>
      <c r="BH84" s="24" t="inlineStr">
        <is>
          <t>2026-07-30T10:29:33.632649Z</t>
        </is>
      </c>
      <c r="BI84" s="24" t="inlineStr">
        <is>
          <t>["same_event","same_team_same_day","same_league_same_day"]</t>
        </is>
      </c>
      <c r="BJ84" s="25" t="n"/>
      <c r="BK84" s="26" t="n">
        <v>-104</v>
      </c>
      <c r="BL84" s="27" t="n">
        <v>1.961538</v>
      </c>
      <c r="BM84" s="28" t="n">
        <v>0.509804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b0c1fa811c014d9e</t>
        </is>
      </c>
      <c r="B85" s="24" t="inlineStr">
        <is>
          <t>2026-07-30T10:30:01.551146Z</t>
        </is>
      </c>
      <c r="C85" s="24" t="inlineStr">
        <is>
          <t>2026-07-30T11:00:00Z</t>
        </is>
      </c>
      <c r="D85" s="24" t="inlineStr">
        <is>
          <t>66537</t>
        </is>
      </c>
      <c r="E85" s="24" t="inlineStr">
        <is>
          <t>CS2</t>
        </is>
      </c>
      <c r="F85" s="24" t="inlineStr">
        <is>
          <t>ex-RUSTEC</t>
        </is>
      </c>
      <c r="G85" s="24" t="inlineStr">
        <is>
          <t>GenOne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-170</v>
      </c>
      <c r="M85" s="27" t="n">
        <v>1.588235</v>
      </c>
      <c r="N85" s="28" t="n">
        <v>0.62963</v>
      </c>
      <c r="O85" s="28" t="n">
        <v>0.657463</v>
      </c>
      <c r="P85" s="28" t="n"/>
      <c r="Q85" s="28" t="n">
        <v>0.027833</v>
      </c>
      <c r="R85" s="26" t="n">
        <v>34</v>
      </c>
      <c r="S85" s="29" t="n">
        <v>2</v>
      </c>
      <c r="T85" s="24" t="inlineStr">
        <is>
          <t>cs2-tiered-elo-v4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/>
      <c r="AA85" s="28" t="n"/>
      <c r="AB85" s="28" t="n"/>
      <c r="AC85" s="30" t="n">
        <v>1.1765</v>
      </c>
      <c r="AD85" s="24" t="inlineStr">
        <is>
          <t>2026-07-30T13:30:43.956388Z</t>
        </is>
      </c>
      <c r="AE85" s="31" t="inlineStr">
        <is>
          <t>Neutral Elo baseline; executable ask 0.6300 (market_slug=aec-cs2-g1-erx-2026-07-30).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ex-RUSTEC</t>
        </is>
      </c>
      <c r="AQ85" s="24" t="inlineStr">
        <is>
          <t>ex-RUSTEC</t>
        </is>
      </c>
      <c r="AR85" s="24" t="inlineStr">
        <is>
          <t>ex-RUSTEC</t>
        </is>
      </c>
      <c r="AS85" s="24" t="inlineStr">
        <is>
          <t>GenOne</t>
        </is>
      </c>
      <c r="AT85" s="24" t="inlineStr">
        <is>
          <t>GenOne</t>
        </is>
      </c>
      <c r="AU85" s="24" t="inlineStr">
        <is>
          <t>GenOne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69cce4c904af97f73bf892fd5d38c166788adc49847b19df353482cedca97c6b</t>
        </is>
      </c>
      <c r="BB85" s="24" t="inlineStr">
        <is>
          <t>neutral_elo</t>
        </is>
      </c>
      <c r="BC85" s="24" t="inlineStr">
        <is>
          <t>cs2-tiered-elo-v4</t>
        </is>
      </c>
      <c r="BD85" s="24" t="inlineStr">
        <is>
          <t>69cce4c904af97f73bf892fd5d38c166788adc49847b19df353482cedca97c6b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cs2-tiered-elo-v4</t>
        </is>
      </c>
      <c r="BH85" s="24" t="inlineStr">
        <is>
          <t>2026-07-30T10:29:34.086996Z</t>
        </is>
      </c>
      <c r="BI85" s="24" t="inlineStr">
        <is>
          <t>["same_event","same_team_same_day","same_league_same_day"]</t>
        </is>
      </c>
      <c r="BJ85" s="25" t="n"/>
      <c r="BK85" s="26" t="n">
        <v>-170</v>
      </c>
      <c r="BL85" s="27" t="n">
        <v>1.588235</v>
      </c>
      <c r="BM85" s="28" t="n">
        <v>0.62963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a515808d28d144a8</t>
        </is>
      </c>
      <c r="B86" s="24" t="inlineStr">
        <is>
          <t>2026-07-30T10:30:01.551146Z</t>
        </is>
      </c>
      <c r="C86" s="24" t="inlineStr">
        <is>
          <t>2026-07-30T12:00:00Z</t>
        </is>
      </c>
      <c r="D86" s="24" t="inlineStr">
        <is>
          <t>63673</t>
        </is>
      </c>
      <c r="E86" s="24" t="inlineStr">
        <is>
          <t>CS2</t>
        </is>
      </c>
      <c r="F86" s="24" t="inlineStr">
        <is>
          <t>BOJONG</t>
        </is>
      </c>
      <c r="G86" s="24" t="inlineStr">
        <is>
          <t>KUUSAMO.gg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133</v>
      </c>
      <c r="M86" s="27" t="n">
        <v>2.33</v>
      </c>
      <c r="N86" s="28" t="n">
        <v>0.429185</v>
      </c>
      <c r="O86" s="28" t="n">
        <v>0.5136500000000001</v>
      </c>
      <c r="P86" s="28" t="n"/>
      <c r="Q86" s="28" t="n">
        <v>0.084465</v>
      </c>
      <c r="R86" s="26" t="n">
        <v>62</v>
      </c>
      <c r="S86" s="29" t="n">
        <v>0.75</v>
      </c>
      <c r="T86" s="24" t="inlineStr">
        <is>
          <t>cs2-tiered-elo-v4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/>
      <c r="AA86" s="28" t="n"/>
      <c r="AB86" s="28" t="n"/>
      <c r="AC86" s="30" t="n">
        <v>-0.75</v>
      </c>
      <c r="AD86" s="24" t="inlineStr">
        <is>
          <t>2026-07-30T13:30:45.657676Z</t>
        </is>
      </c>
      <c r="AE86" s="31" t="inlineStr">
        <is>
          <t>Neutral Elo baseline; executable ask 0.4300 (market_slug=aec-cs2-ksm-bjng-2026-07-30).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BOJONG</t>
        </is>
      </c>
      <c r="AQ86" s="24" t="inlineStr">
        <is>
          <t>BOJONG</t>
        </is>
      </c>
      <c r="AR86" s="24" t="inlineStr">
        <is>
          <t>BOJONG</t>
        </is>
      </c>
      <c r="AS86" s="24" t="inlineStr">
        <is>
          <t>KUUSAMO.gg</t>
        </is>
      </c>
      <c r="AT86" s="24" t="inlineStr">
        <is>
          <t>KUUSAMO.gg</t>
        </is>
      </c>
      <c r="AU86" s="24" t="inlineStr">
        <is>
          <t>KUUSAMO.gg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69cce4c904af97f73bf892fd5d38c166788adc49847b19df353482cedca97c6b</t>
        </is>
      </c>
      <c r="BB86" s="24" t="inlineStr">
        <is>
          <t>neutral_elo</t>
        </is>
      </c>
      <c r="BC86" s="24" t="inlineStr">
        <is>
          <t>cs2-tiered-elo-v4</t>
        </is>
      </c>
      <c r="BD86" s="24" t="inlineStr">
        <is>
          <t>69cce4c904af97f73bf892fd5d38c166788adc49847b19df353482cedca97c6b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cs2-tiered-elo-v4</t>
        </is>
      </c>
      <c r="BH86" s="24" t="inlineStr">
        <is>
          <t>2026-07-30T10:29:34.634187Z</t>
        </is>
      </c>
      <c r="BI86" s="24" t="inlineStr">
        <is>
          <t>["same_event","same_team_same_day","same_league_same_day"]</t>
        </is>
      </c>
      <c r="BJ86" s="25" t="n"/>
      <c r="BK86" s="26" t="n">
        <v>133</v>
      </c>
      <c r="BL86" s="27" t="n">
        <v>2.33</v>
      </c>
      <c r="BM86" s="28" t="n">
        <v>0.429185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887a1f24ff2443a7</t>
        </is>
      </c>
      <c r="B87" s="24" t="inlineStr">
        <is>
          <t>2026-07-30T10:30:01.551146Z</t>
        </is>
      </c>
      <c r="C87" s="24" t="inlineStr">
        <is>
          <t>2026-07-30T13:00:00Z</t>
        </is>
      </c>
      <c r="D87" s="24" t="inlineStr">
        <is>
          <t>66409</t>
        </is>
      </c>
      <c r="E87" s="24" t="inlineStr">
        <is>
          <t>CS2</t>
        </is>
      </c>
      <c r="F87" s="24" t="inlineStr">
        <is>
          <t>Astralis</t>
        </is>
      </c>
      <c r="G87" s="24" t="inlineStr">
        <is>
          <t>paiN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-133</v>
      </c>
      <c r="M87" s="27" t="n">
        <v>1.75188</v>
      </c>
      <c r="N87" s="28" t="n">
        <v>0.570815</v>
      </c>
      <c r="O87" s="28" t="n">
        <v>0.510445</v>
      </c>
      <c r="P87" s="28" t="n"/>
      <c r="Q87" s="28" t="n">
        <v>-0.06037</v>
      </c>
      <c r="R87" s="26" t="n">
        <v>0</v>
      </c>
      <c r="S87" s="29" t="n">
        <v>0</v>
      </c>
      <c r="T87" s="24" t="inlineStr">
        <is>
          <t>cs2-tiered-elo-v4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0.5700 (market_slug=aec-cs2-pain-ast-2026-07-30).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Astralis</t>
        </is>
      </c>
      <c r="AQ87" s="24" t="inlineStr">
        <is>
          <t>Astralis</t>
        </is>
      </c>
      <c r="AR87" s="24" t="inlineStr">
        <is>
          <t>Astralis</t>
        </is>
      </c>
      <c r="AS87" s="24" t="inlineStr">
        <is>
          <t>paiN</t>
        </is>
      </c>
      <c r="AT87" s="24" t="inlineStr">
        <is>
          <t>paiN</t>
        </is>
      </c>
      <c r="AU87" s="24" t="inlineStr">
        <is>
          <t>paiN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69cce4c904af97f73bf892fd5d38c166788adc49847b19df353482cedca97c6b</t>
        </is>
      </c>
      <c r="BB87" s="24" t="inlineStr">
        <is>
          <t>neutral_elo</t>
        </is>
      </c>
      <c r="BC87" s="24" t="inlineStr">
        <is>
          <t>cs2-tiered-elo-v4</t>
        </is>
      </c>
      <c r="BD87" s="24" t="inlineStr">
        <is>
          <t>69cce4c904af97f73bf892fd5d38c166788adc49847b19df353482cedca97c6b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cs2-tiered-elo-v4</t>
        </is>
      </c>
      <c r="BH87" s="24" t="inlineStr">
        <is>
          <t>2026-07-30T10:29:35.616664Z</t>
        </is>
      </c>
      <c r="BI87" s="24" t="inlineStr">
        <is>
          <t>["same_event","same_team_same_day","same_league_same_day"]</t>
        </is>
      </c>
      <c r="BJ87" s="25" t="n"/>
      <c r="BK87" s="26" t="n">
        <v>-133</v>
      </c>
      <c r="BL87" s="27" t="n">
        <v>1.75188</v>
      </c>
      <c r="BM87" s="28" t="n">
        <v>0.570815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db46830e39de488e</t>
        </is>
      </c>
      <c r="B88" s="24" t="inlineStr">
        <is>
          <t>2026-07-30T13:35:54.175193Z</t>
        </is>
      </c>
      <c r="C88" s="24" t="inlineStr">
        <is>
          <t>2026-07-30T14:00:00Z</t>
        </is>
      </c>
      <c r="D88" s="24" t="inlineStr">
        <is>
          <t>66538</t>
        </is>
      </c>
      <c r="E88" s="24" t="inlineStr">
        <is>
          <t>CS2</t>
        </is>
      </c>
      <c r="F88" s="24" t="inlineStr">
        <is>
          <t>ex-RUSTEC</t>
        </is>
      </c>
      <c r="G88" s="24" t="inlineStr">
        <is>
          <t>Walczaki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-203</v>
      </c>
      <c r="M88" s="27" t="n">
        <v>1.492611</v>
      </c>
      <c r="N88" s="28" t="n">
        <v>0.669967</v>
      </c>
      <c r="O88" s="28" t="n">
        <v>0.6564140000000001</v>
      </c>
      <c r="P88" s="28" t="n"/>
      <c r="Q88" s="28" t="n">
        <v>-0.013553</v>
      </c>
      <c r="R88" s="26" t="n">
        <v>13</v>
      </c>
      <c r="S88" s="29" t="n">
        <v>0</v>
      </c>
      <c r="T88" s="24" t="inlineStr">
        <is>
          <t>cs2-tiered-elo-v4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2026-07-30T16:36:39.662190Z</t>
        </is>
      </c>
      <c r="AE88" s="31" t="inlineStr">
        <is>
          <t>Neutral Elo baseline; executable ask 0.6700 (market_slug=aec-cs2-wal-erx-2026-07-30).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ex-RUSTEC</t>
        </is>
      </c>
      <c r="AQ88" s="24" t="inlineStr">
        <is>
          <t>ex-RUSTEC</t>
        </is>
      </c>
      <c r="AR88" s="24" t="inlineStr">
        <is>
          <t>ex-RUSTEC</t>
        </is>
      </c>
      <c r="AS88" s="24" t="inlineStr">
        <is>
          <t>Walczaki</t>
        </is>
      </c>
      <c r="AT88" s="24" t="inlineStr">
        <is>
          <t>Walczaki</t>
        </is>
      </c>
      <c r="AU88" s="24" t="inlineStr">
        <is>
          <t>Walczaki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28e7088513ece9a600d2691e9577a2ee05b7b4ff65bfa68d9f3126cca6bf62f6</t>
        </is>
      </c>
      <c r="BB88" s="24" t="inlineStr">
        <is>
          <t>neutral_elo</t>
        </is>
      </c>
      <c r="BC88" s="24" t="inlineStr">
        <is>
          <t>cs2-tiered-elo-v4</t>
        </is>
      </c>
      <c r="BD88" s="24" t="inlineStr">
        <is>
          <t>28e7088513ece9a600d2691e9577a2ee05b7b4ff65bfa68d9f3126cca6bf62f6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cs2-tiered-elo-v4</t>
        </is>
      </c>
      <c r="BH88" s="24" t="inlineStr">
        <is>
          <t>2026-07-30T13:35:26.268995Z</t>
        </is>
      </c>
      <c r="BI88" s="24" t="inlineStr">
        <is>
          <t>["same_event","same_team_same_day","same_league_same_day"]</t>
        </is>
      </c>
      <c r="BJ88" s="25" t="n"/>
      <c r="BK88" s="26" t="n">
        <v>-203</v>
      </c>
      <c r="BL88" s="27" t="n">
        <v>1.492611</v>
      </c>
      <c r="BM88" s="28" t="n">
        <v>0.669967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84886f2a9051476b</t>
        </is>
      </c>
      <c r="B89" s="24" t="inlineStr">
        <is>
          <t>2026-07-30T13:35:54.175193Z</t>
        </is>
      </c>
      <c r="C89" s="24" t="inlineStr">
        <is>
          <t>2026-07-30T14:00:00Z</t>
        </is>
      </c>
      <c r="D89" s="24" t="inlineStr">
        <is>
          <t>65408</t>
        </is>
      </c>
      <c r="E89" s="24" t="inlineStr">
        <is>
          <t>CS2</t>
        </is>
      </c>
      <c r="F89" s="24" t="inlineStr">
        <is>
          <t>Lavked</t>
        </is>
      </c>
      <c r="G89" s="24" t="inlineStr">
        <is>
          <t>Phantom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-203</v>
      </c>
      <c r="M89" s="27" t="n">
        <v>1.492611</v>
      </c>
      <c r="N89" s="28" t="n">
        <v>0.669967</v>
      </c>
      <c r="O89" s="28" t="n">
        <v>0.636292</v>
      </c>
      <c r="P89" s="28" t="n"/>
      <c r="Q89" s="28" t="n">
        <v>-0.033675</v>
      </c>
      <c r="R89" s="26" t="n">
        <v>3</v>
      </c>
      <c r="S89" s="29" t="n">
        <v>0</v>
      </c>
      <c r="T89" s="24" t="inlineStr">
        <is>
          <t>cs2-tiered-elo-v4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2026-07-30T16:00:51.821046Z</t>
        </is>
      </c>
      <c r="AE89" s="31" t="inlineStr">
        <is>
          <t>Neutral Elo baseline; executable ask 0.6700 (market_slug=aec-cs2-pha-lav-2026-07-30).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NO_CALL_LOW_EDGE</t>
        </is>
      </c>
      <c r="AP89" s="24" t="inlineStr">
        <is>
          <t>Lavked</t>
        </is>
      </c>
      <c r="AQ89" s="24" t="inlineStr">
        <is>
          <t>Lavked</t>
        </is>
      </c>
      <c r="AR89" s="24" t="inlineStr">
        <is>
          <t>Lavked</t>
        </is>
      </c>
      <c r="AS89" s="24" t="inlineStr">
        <is>
          <t>Phantom</t>
        </is>
      </c>
      <c r="AT89" s="24" t="inlineStr">
        <is>
          <t>Phantom</t>
        </is>
      </c>
      <c r="AU89" s="24" t="inlineStr">
        <is>
          <t>Phantom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28e7088513ece9a600d2691e9577a2ee05b7b4ff65bfa68d9f3126cca6bf62f6</t>
        </is>
      </c>
      <c r="BB89" s="24" t="inlineStr">
        <is>
          <t>neutral_elo</t>
        </is>
      </c>
      <c r="BC89" s="24" t="inlineStr">
        <is>
          <t>cs2-tiered-elo-v4</t>
        </is>
      </c>
      <c r="BD89" s="24" t="inlineStr">
        <is>
          <t>28e7088513ece9a600d2691e9577a2ee05b7b4ff65bfa68d9f3126cca6bf62f6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cs2-tiered-elo-v4</t>
        </is>
      </c>
      <c r="BH89" s="24" t="inlineStr">
        <is>
          <t>2026-07-30T13:35:26.843827Z</t>
        </is>
      </c>
      <c r="BI89" s="24" t="inlineStr">
        <is>
          <t>["same_event","same_team_same_day","same_league_same_day"]</t>
        </is>
      </c>
      <c r="BJ89" s="25" t="n"/>
      <c r="BK89" s="26" t="n">
        <v>-203</v>
      </c>
      <c r="BL89" s="27" t="n">
        <v>1.492611</v>
      </c>
      <c r="BM89" s="28" t="n">
        <v>0.669967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8f7ef35a2456424a</t>
        </is>
      </c>
      <c r="B90" s="24" t="inlineStr">
        <is>
          <t>2026-07-30T13:35:54.175193Z</t>
        </is>
      </c>
      <c r="C90" s="24" t="inlineStr">
        <is>
          <t>2026-07-30T15:00:00Z</t>
        </is>
      </c>
      <c r="D90" s="24" t="inlineStr">
        <is>
          <t>66603</t>
        </is>
      </c>
      <c r="E90" s="24" t="inlineStr">
        <is>
          <t>CS2</t>
        </is>
      </c>
      <c r="F90" s="24" t="inlineStr">
        <is>
          <t>eSuba</t>
        </is>
      </c>
      <c r="G90" s="24" t="inlineStr">
        <is>
          <t>Bushido Wildcats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-108</v>
      </c>
      <c r="M90" s="27" t="n">
        <v>1.925926</v>
      </c>
      <c r="N90" s="28" t="n">
        <v>0.519231</v>
      </c>
      <c r="O90" s="28" t="n">
        <v>0.537044</v>
      </c>
      <c r="P90" s="28" t="n"/>
      <c r="Q90" s="28" t="n">
        <v>0.017813</v>
      </c>
      <c r="R90" s="26" t="n">
        <v>29</v>
      </c>
      <c r="S90" s="29" t="n">
        <v>0.75</v>
      </c>
      <c r="T90" s="24" t="inlineStr">
        <is>
          <t>cs2-tiered-elo-v4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/>
      <c r="AA90" s="28" t="n"/>
      <c r="AB90" s="28" t="n"/>
      <c r="AC90" s="30" t="n">
        <v>0.6944</v>
      </c>
      <c r="AD90" s="24" t="inlineStr">
        <is>
          <t>2026-07-30T16:36:41.398823Z</t>
        </is>
      </c>
      <c r="AE90" s="31" t="inlineStr">
        <is>
          <t>Neutral Elo baseline; executable ask 0.5200 (market_slug=aec-cs2-bw-esb-2026-07-30).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eSuba</t>
        </is>
      </c>
      <c r="AQ90" s="24" t="inlineStr">
        <is>
          <t>eSuba</t>
        </is>
      </c>
      <c r="AR90" s="24" t="inlineStr">
        <is>
          <t>eSuba</t>
        </is>
      </c>
      <c r="AS90" s="24" t="inlineStr">
        <is>
          <t>Bushido Wildcats</t>
        </is>
      </c>
      <c r="AT90" s="24" t="inlineStr">
        <is>
          <t>Bushido Wildcats</t>
        </is>
      </c>
      <c r="AU90" s="24" t="inlineStr">
        <is>
          <t>Bushido Wildcats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28e7088513ece9a600d2691e9577a2ee05b7b4ff65bfa68d9f3126cca6bf62f6</t>
        </is>
      </c>
      <c r="BB90" s="24" t="inlineStr">
        <is>
          <t>neutral_elo</t>
        </is>
      </c>
      <c r="BC90" s="24" t="inlineStr">
        <is>
          <t>cs2-tiered-elo-v4</t>
        </is>
      </c>
      <c r="BD90" s="24" t="inlineStr">
        <is>
          <t>28e7088513ece9a600d2691e9577a2ee05b7b4ff65bfa68d9f3126cca6bf62f6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cs2-tiered-elo-v4</t>
        </is>
      </c>
      <c r="BH90" s="24" t="inlineStr">
        <is>
          <t>2026-07-30T13:35:28.915141Z</t>
        </is>
      </c>
      <c r="BI90" s="24" t="inlineStr">
        <is>
          <t>["same_event","same_team_same_day","same_league_same_day"]</t>
        </is>
      </c>
      <c r="BJ90" s="25" t="n"/>
      <c r="BK90" s="26" t="n">
        <v>-108</v>
      </c>
      <c r="BL90" s="27" t="n">
        <v>1.925926</v>
      </c>
      <c r="BM90" s="28" t="n">
        <v>0.519231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044f36d515db46f5</t>
        </is>
      </c>
      <c r="B91" s="24" t="inlineStr">
        <is>
          <t>2026-07-30T13:35:54.175193Z</t>
        </is>
      </c>
      <c r="C91" s="24" t="inlineStr">
        <is>
          <t>2026-07-30T15:30:00Z</t>
        </is>
      </c>
      <c r="D91" s="24" t="inlineStr">
        <is>
          <t>66604</t>
        </is>
      </c>
      <c r="E91" s="24" t="inlineStr">
        <is>
          <t>CS2</t>
        </is>
      </c>
      <c r="F91" s="24" t="inlineStr">
        <is>
          <t>mellren</t>
        </is>
      </c>
      <c r="G91" s="24" t="inlineStr">
        <is>
          <t>GameSport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156</v>
      </c>
      <c r="M91" s="27" t="n">
        <v>2.56</v>
      </c>
      <c r="N91" s="28" t="n">
        <v>0.390625</v>
      </c>
      <c r="O91" s="28" t="n">
        <v>0.568631</v>
      </c>
      <c r="P91" s="28" t="n"/>
      <c r="Q91" s="28" t="n">
        <v>0.178006</v>
      </c>
      <c r="R91" s="26" t="n">
        <v>100</v>
      </c>
      <c r="S91" s="29" t="n">
        <v>1.25</v>
      </c>
      <c r="T91" s="24" t="inlineStr">
        <is>
          <t>cs2-tiered-elo-v4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Neutral Elo baseline; executable ask 0.3900 (market_slug=aec-cs2-gs-mel-2026-07-30).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mellren</t>
        </is>
      </c>
      <c r="AQ91" s="24" t="inlineStr">
        <is>
          <t>mellren</t>
        </is>
      </c>
      <c r="AR91" s="24" t="inlineStr">
        <is>
          <t>mellren</t>
        </is>
      </c>
      <c r="AS91" s="24" t="inlineStr">
        <is>
          <t>GameSport</t>
        </is>
      </c>
      <c r="AT91" s="24" t="inlineStr">
        <is>
          <t>GameSport</t>
        </is>
      </c>
      <c r="AU91" s="24" t="inlineStr">
        <is>
          <t>GameSport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28e7088513ece9a600d2691e9577a2ee05b7b4ff65bfa68d9f3126cca6bf62f6</t>
        </is>
      </c>
      <c r="BB91" s="24" t="inlineStr">
        <is>
          <t>neutral_elo</t>
        </is>
      </c>
      <c r="BC91" s="24" t="inlineStr">
        <is>
          <t>cs2-tiered-elo-v4</t>
        </is>
      </c>
      <c r="BD91" s="24" t="inlineStr">
        <is>
          <t>28e7088513ece9a600d2691e9577a2ee05b7b4ff65bfa68d9f3126cca6bf62f6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cs2-tiered-elo-v4</t>
        </is>
      </c>
      <c r="BH91" s="24" t="inlineStr">
        <is>
          <t>2026-07-30T13:35:29.410257Z</t>
        </is>
      </c>
      <c r="BI91" s="24" t="inlineStr">
        <is>
          <t>["same_event","same_team_same_day","same_league_same_day"]</t>
        </is>
      </c>
      <c r="BJ91" s="25" t="n"/>
      <c r="BK91" s="26" t="n">
        <v>156</v>
      </c>
      <c r="BL91" s="27" t="n">
        <v>2.56</v>
      </c>
      <c r="BM91" s="28" t="n">
        <v>0.390625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eb862b01f67b449c</t>
        </is>
      </c>
      <c r="B92" s="24" t="inlineStr">
        <is>
          <t>2026-07-30T13:35:54.175193Z</t>
        </is>
      </c>
      <c r="C92" s="24" t="inlineStr">
        <is>
          <t>2026-07-30T15:30:00Z</t>
        </is>
      </c>
      <c r="D92" s="24" t="inlineStr">
        <is>
          <t>66605</t>
        </is>
      </c>
      <c r="E92" s="24" t="inlineStr">
        <is>
          <t>CS2</t>
        </is>
      </c>
      <c r="F92" s="24" t="inlineStr">
        <is>
          <t>gribo4ki</t>
        </is>
      </c>
      <c r="G92" s="24" t="inlineStr">
        <is>
          <t>sleepers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-113</v>
      </c>
      <c r="M92" s="27" t="n">
        <v>1.884956</v>
      </c>
      <c r="N92" s="28" t="n">
        <v>0.530516</v>
      </c>
      <c r="O92" s="28" t="n">
        <v>0.521888</v>
      </c>
      <c r="P92" s="28" t="n"/>
      <c r="Q92" s="28" t="n">
        <v>-0.008628</v>
      </c>
      <c r="R92" s="26" t="n">
        <v>16</v>
      </c>
      <c r="S92" s="29" t="n">
        <v>0</v>
      </c>
      <c r="T92" s="24" t="inlineStr">
        <is>
          <t>cs2-tiered-elo-v4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Neutral Elo baseline; executable ask 0.5300 (market_slug=aec-cs2-sle-gkr-2026-07-30).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gribo4ki</t>
        </is>
      </c>
      <c r="AQ92" s="24" t="inlineStr">
        <is>
          <t>gribo4ki</t>
        </is>
      </c>
      <c r="AR92" s="24" t="inlineStr">
        <is>
          <t>gribo4ki</t>
        </is>
      </c>
      <c r="AS92" s="24" t="inlineStr">
        <is>
          <t>sleepers</t>
        </is>
      </c>
      <c r="AT92" s="24" t="inlineStr">
        <is>
          <t>sleepers</t>
        </is>
      </c>
      <c r="AU92" s="24" t="inlineStr">
        <is>
          <t>sleepers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28e7088513ece9a600d2691e9577a2ee05b7b4ff65bfa68d9f3126cca6bf62f6</t>
        </is>
      </c>
      <c r="BB92" s="24" t="inlineStr">
        <is>
          <t>neutral_elo</t>
        </is>
      </c>
      <c r="BC92" s="24" t="inlineStr">
        <is>
          <t>cs2-tiered-elo-v4</t>
        </is>
      </c>
      <c r="BD92" s="24" t="inlineStr">
        <is>
          <t>28e7088513ece9a600d2691e9577a2ee05b7b4ff65bfa68d9f3126cca6bf62f6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cs2-tiered-elo-v4</t>
        </is>
      </c>
      <c r="BH92" s="24" t="inlineStr">
        <is>
          <t>2026-07-30T13:35:29.894423Z</t>
        </is>
      </c>
      <c r="BI92" s="24" t="inlineStr">
        <is>
          <t>["same_event","same_team_same_day","same_league_same_day"]</t>
        </is>
      </c>
      <c r="BJ92" s="25" t="n"/>
      <c r="BK92" s="26" t="n">
        <v>-113</v>
      </c>
      <c r="BL92" s="27" t="n">
        <v>1.884956</v>
      </c>
      <c r="BM92" s="28" t="n">
        <v>0.530516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5767579614634ab2</t>
        </is>
      </c>
      <c r="B93" s="24" t="inlineStr">
        <is>
          <t>2026-07-30T13:35:54.175193Z</t>
        </is>
      </c>
      <c r="C93" s="24" t="inlineStr">
        <is>
          <t>2026-07-30T16:00:00Z</t>
        </is>
      </c>
      <c r="D93" s="24" t="inlineStr">
        <is>
          <t>66410</t>
        </is>
      </c>
      <c r="E93" s="24" t="inlineStr">
        <is>
          <t>CS2</t>
        </is>
      </c>
      <c r="F93" s="24" t="inlineStr">
        <is>
          <t>TheMongolz</t>
        </is>
      </c>
      <c r="G93" s="24" t="inlineStr">
        <is>
          <t>FaZe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144</v>
      </c>
      <c r="M93" s="27" t="n">
        <v>2.44</v>
      </c>
      <c r="N93" s="28" t="n">
        <v>0.409836</v>
      </c>
      <c r="O93" s="28" t="n">
        <v>0.552539</v>
      </c>
      <c r="P93" s="28" t="n"/>
      <c r="Q93" s="28" t="n">
        <v>0.142703</v>
      </c>
      <c r="R93" s="26" t="n">
        <v>91</v>
      </c>
      <c r="S93" s="29" t="n">
        <v>1</v>
      </c>
      <c r="T93" s="24" t="inlineStr">
        <is>
          <t>cs2-tiered-elo-v4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Neutral Elo baseline; executable ask 0.4100 (market_slug=aec-cs2-faze-mglz-2026-07-30).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TheMongolz</t>
        </is>
      </c>
      <c r="AQ93" s="24" t="inlineStr">
        <is>
          <t>TheMongolz</t>
        </is>
      </c>
      <c r="AR93" s="24" t="inlineStr">
        <is>
          <t>TheMongolz</t>
        </is>
      </c>
      <c r="AS93" s="24" t="inlineStr">
        <is>
          <t>FaZe</t>
        </is>
      </c>
      <c r="AT93" s="24" t="inlineStr">
        <is>
          <t>FaZe</t>
        </is>
      </c>
      <c r="AU93" s="24" t="inlineStr">
        <is>
          <t>FaZe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28e7088513ece9a600d2691e9577a2ee05b7b4ff65bfa68d9f3126cca6bf62f6</t>
        </is>
      </c>
      <c r="BB93" s="24" t="inlineStr">
        <is>
          <t>neutral_elo</t>
        </is>
      </c>
      <c r="BC93" s="24" t="inlineStr">
        <is>
          <t>cs2-tiered-elo-v4</t>
        </is>
      </c>
      <c r="BD93" s="24" t="inlineStr">
        <is>
          <t>28e7088513ece9a600d2691e9577a2ee05b7b4ff65bfa68d9f3126cca6bf62f6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cs2-tiered-elo-v4</t>
        </is>
      </c>
      <c r="BH93" s="24" t="inlineStr">
        <is>
          <t>2026-07-30T13:35:30.460260Z</t>
        </is>
      </c>
      <c r="BI93" s="24" t="inlineStr">
        <is>
          <t>["same_event","same_team_same_day","same_league_same_day"]</t>
        </is>
      </c>
      <c r="BJ93" s="25" t="n"/>
      <c r="BK93" s="26" t="n">
        <v>144</v>
      </c>
      <c r="BL93" s="27" t="n">
        <v>2.44</v>
      </c>
      <c r="BM93" s="28" t="n">
        <v>0.409836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2c29d0bc463f4999</t>
        </is>
      </c>
      <c r="B94" s="24" t="inlineStr">
        <is>
          <t>2026-07-30T13:35:54.175193Z</t>
        </is>
      </c>
      <c r="C94" s="24" t="inlineStr">
        <is>
          <t>2026-07-30T16:00:00Z</t>
        </is>
      </c>
      <c r="D94" s="24" t="inlineStr">
        <is>
          <t>63848</t>
        </is>
      </c>
      <c r="E94" s="24" t="inlineStr">
        <is>
          <t>CS2</t>
        </is>
      </c>
      <c r="F94" s="24" t="inlineStr">
        <is>
          <t>BOJONG</t>
        </is>
      </c>
      <c r="G94" s="24" t="inlineStr">
        <is>
          <t>SINQU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-108</v>
      </c>
      <c r="M94" s="27" t="n">
        <v>1.925926</v>
      </c>
      <c r="N94" s="28" t="n">
        <v>0.519231</v>
      </c>
      <c r="O94" s="28" t="n">
        <v>0.545053</v>
      </c>
      <c r="P94" s="28" t="n"/>
      <c r="Q94" s="28" t="n">
        <v>0.025822</v>
      </c>
      <c r="R94" s="26" t="n">
        <v>33</v>
      </c>
      <c r="S94" s="29" t="n">
        <v>1</v>
      </c>
      <c r="T94" s="24" t="inlineStr">
        <is>
          <t>cs2-tiered-elo-v4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Neutral Elo baseline; executable ask 0.5200 (market_slug=aec-cs2-sinqu-bjng-2026-07-30).</t>
        </is>
      </c>
      <c r="AF94" s="31" t="inlineStr">
        <is>
          <t>Config-promoted esports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BOJONG</t>
        </is>
      </c>
      <c r="AQ94" s="24" t="inlineStr">
        <is>
          <t>BOJONG</t>
        </is>
      </c>
      <c r="AR94" s="24" t="inlineStr">
        <is>
          <t>BOJONG</t>
        </is>
      </c>
      <c r="AS94" s="24" t="inlineStr">
        <is>
          <t>SINQU</t>
        </is>
      </c>
      <c r="AT94" s="24" t="inlineStr">
        <is>
          <t>SINQU</t>
        </is>
      </c>
      <c r="AU94" s="24" t="inlineStr">
        <is>
          <t>SINQU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28e7088513ece9a600d2691e9577a2ee05b7b4ff65bfa68d9f3126cca6bf62f6</t>
        </is>
      </c>
      <c r="BB94" s="24" t="inlineStr">
        <is>
          <t>neutral_elo</t>
        </is>
      </c>
      <c r="BC94" s="24" t="inlineStr">
        <is>
          <t>cs2-tiered-elo-v4</t>
        </is>
      </c>
      <c r="BD94" s="24" t="inlineStr">
        <is>
          <t>28e7088513ece9a600d2691e9577a2ee05b7b4ff65bfa68d9f3126cca6bf62f6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cs2-tiered-elo-v4</t>
        </is>
      </c>
      <c r="BH94" s="24" t="inlineStr">
        <is>
          <t>2026-07-30T13:35:30.942556Z</t>
        </is>
      </c>
      <c r="BI94" s="24" t="inlineStr">
        <is>
          <t>["same_event","same_team_same_day","same_league_same_day"]</t>
        </is>
      </c>
      <c r="BJ94" s="25" t="n"/>
      <c r="BK94" s="26" t="n">
        <v>-108</v>
      </c>
      <c r="BL94" s="27" t="n">
        <v>1.925926</v>
      </c>
      <c r="BM94" s="28" t="n">
        <v>0.519231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659fe19b35554fae</t>
        </is>
      </c>
      <c r="B95" s="24" t="inlineStr">
        <is>
          <t>2026-07-30T16:55:43.918344Z</t>
        </is>
      </c>
      <c r="C95" s="24" t="inlineStr">
        <is>
          <t>2026-07-30T17:00:00Z</t>
        </is>
      </c>
      <c r="D95" s="24" t="inlineStr">
        <is>
          <t>65560</t>
        </is>
      </c>
      <c r="E95" s="24" t="inlineStr">
        <is>
          <t>CS2</t>
        </is>
      </c>
      <c r="F95" s="24" t="inlineStr">
        <is>
          <t>Inner Circle Academy</t>
        </is>
      </c>
      <c r="G95" s="24" t="inlineStr">
        <is>
          <t>Just Players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-170</v>
      </c>
      <c r="M95" s="27" t="n">
        <v>1.588235</v>
      </c>
      <c r="N95" s="28" t="n">
        <v>0.62963</v>
      </c>
      <c r="O95" s="28" t="n">
        <v>0.676112</v>
      </c>
      <c r="P95" s="28" t="n"/>
      <c r="Q95" s="28" t="n">
        <v>0.046482</v>
      </c>
      <c r="R95" s="26" t="n">
        <v>43</v>
      </c>
      <c r="S95" s="29" t="n">
        <v>2</v>
      </c>
      <c r="T95" s="24" t="inlineStr">
        <is>
          <t>cs2-tiered-elo-v4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Neutral Elo baseline; executable ask 0.6300 (market_slug=aec-cs2-jpu-ica-2026-07-30).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Inner Circle Academy</t>
        </is>
      </c>
      <c r="AQ95" s="24" t="inlineStr">
        <is>
          <t>Inner Circle Academy</t>
        </is>
      </c>
      <c r="AR95" s="24" t="inlineStr">
        <is>
          <t>Inner Circle Academy</t>
        </is>
      </c>
      <c r="AS95" s="24" t="inlineStr">
        <is>
          <t>Just Players</t>
        </is>
      </c>
      <c r="AT95" s="24" t="inlineStr">
        <is>
          <t>Just Players</t>
        </is>
      </c>
      <c r="AU95" s="24" t="inlineStr">
        <is>
          <t>Just Players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20e27ad25c309367babd477909aaf456b3eeff4b6a3d4b27706d8f38244b6304</t>
        </is>
      </c>
      <c r="BB95" s="24" t="inlineStr">
        <is>
          <t>neutral_elo</t>
        </is>
      </c>
      <c r="BC95" s="24" t="inlineStr">
        <is>
          <t>cs2-tiered-elo-v4</t>
        </is>
      </c>
      <c r="BD95" s="24" t="inlineStr">
        <is>
          <t>20e27ad25c309367babd477909aaf456b3eeff4b6a3d4b27706d8f38244b6304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cs2-tiered-elo-v4</t>
        </is>
      </c>
      <c r="BH95" s="24" t="inlineStr">
        <is>
          <t>2026-07-30T16:55:24.925576Z</t>
        </is>
      </c>
      <c r="BI95" s="24" t="inlineStr">
        <is>
          <t>["same_event","same_team_same_day","same_league_same_day"]</t>
        </is>
      </c>
      <c r="BJ95" s="25" t="n"/>
      <c r="BK95" s="26" t="n">
        <v>-170</v>
      </c>
      <c r="BL95" s="27" t="n">
        <v>1.588235</v>
      </c>
      <c r="BM95" s="28" t="n">
        <v>0.62963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658b99cfd5f841d4</t>
        </is>
      </c>
      <c r="B96" s="24" t="inlineStr">
        <is>
          <t>2026-07-30T16:55:43.918344Z</t>
        </is>
      </c>
      <c r="C96" s="24" t="inlineStr">
        <is>
          <t>2026-07-30T17:00:00Z</t>
        </is>
      </c>
      <c r="D96" s="24" t="inlineStr">
        <is>
          <t>66542</t>
        </is>
      </c>
      <c r="E96" s="24" t="inlineStr">
        <is>
          <t>CS2</t>
        </is>
      </c>
      <c r="F96" s="24" t="inlineStr">
        <is>
          <t>Esport Academy Copenhagen</t>
        </is>
      </c>
      <c r="G96" s="24" t="inlineStr">
        <is>
          <t>Sashi Esport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170</v>
      </c>
      <c r="M96" s="27" t="n">
        <v>2.7</v>
      </c>
      <c r="N96" s="28" t="n">
        <v>0.37037</v>
      </c>
      <c r="O96" s="28" t="n">
        <v>0.508136</v>
      </c>
      <c r="P96" s="28" t="n"/>
      <c r="Q96" s="28" t="n">
        <v>0.137766</v>
      </c>
      <c r="R96" s="26" t="n">
        <v>89</v>
      </c>
      <c r="S96" s="29" t="n">
        <v>0</v>
      </c>
      <c r="T96" s="24" t="inlineStr">
        <is>
          <t>cs2-tiered-elo-v4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Neutral Elo baseline; executable ask 0.3700 (market_slug=aec-cs2-sashi-eac-2026-07-30).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Esport Academy Copenhagen</t>
        </is>
      </c>
      <c r="AQ96" s="24" t="inlineStr">
        <is>
          <t>Esport Academy Copenhagen</t>
        </is>
      </c>
      <c r="AR96" s="24" t="inlineStr">
        <is>
          <t>Esport Academy Copenhagen</t>
        </is>
      </c>
      <c r="AS96" s="24" t="inlineStr">
        <is>
          <t>Sashi Esport</t>
        </is>
      </c>
      <c r="AT96" s="24" t="inlineStr">
        <is>
          <t>Sashi Esport</t>
        </is>
      </c>
      <c r="AU96" s="24" t="inlineStr">
        <is>
          <t>Sashi Esport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20e27ad25c309367babd477909aaf456b3eeff4b6a3d4b27706d8f38244b6304</t>
        </is>
      </c>
      <c r="BB96" s="24" t="inlineStr">
        <is>
          <t>neutral_elo</t>
        </is>
      </c>
      <c r="BC96" s="24" t="inlineStr">
        <is>
          <t>cs2-tiered-elo-v4</t>
        </is>
      </c>
      <c r="BD96" s="24" t="inlineStr">
        <is>
          <t>20e27ad25c309367babd477909aaf456b3eeff4b6a3d4b27706d8f38244b6304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cs2-tiered-elo-v4</t>
        </is>
      </c>
      <c r="BH96" s="24" t="inlineStr">
        <is>
          <t>2026-07-30T16:55:25.411385Z</t>
        </is>
      </c>
      <c r="BI96" s="24" t="inlineStr">
        <is>
          <t>["same_event","same_team_same_day","same_league_same_day"]</t>
        </is>
      </c>
      <c r="BJ96" s="25" t="n"/>
      <c r="BK96" s="26" t="n">
        <v>170</v>
      </c>
      <c r="BL96" s="27" t="n">
        <v>2.7</v>
      </c>
      <c r="BM96" s="28" t="n">
        <v>0.37037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f5874f34e89f4da5</t>
        </is>
      </c>
      <c r="B97" s="24" t="inlineStr">
        <is>
          <t>2026-07-30T16:55:43.918344Z</t>
        </is>
      </c>
      <c r="C97" s="24" t="inlineStr">
        <is>
          <t>2026-07-30T17:00:00Z</t>
        </is>
      </c>
      <c r="D97" s="24" t="inlineStr">
        <is>
          <t>66544</t>
        </is>
      </c>
      <c r="E97" s="24" t="inlineStr">
        <is>
          <t>CS2</t>
        </is>
      </c>
      <c r="F97" s="24" t="inlineStr">
        <is>
          <t>Bebop</t>
        </is>
      </c>
      <c r="G97" s="24" t="inlineStr">
        <is>
          <t>Walczaki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-233</v>
      </c>
      <c r="M97" s="27" t="n">
        <v>1.429185</v>
      </c>
      <c r="N97" s="28" t="n">
        <v>0.6997</v>
      </c>
      <c r="O97" s="28" t="n">
        <v>0.574124</v>
      </c>
      <c r="P97" s="28" t="n"/>
      <c r="Q97" s="28" t="n">
        <v>-0.125576</v>
      </c>
      <c r="R97" s="26" t="n">
        <v>0</v>
      </c>
      <c r="S97" s="29" t="n">
        <v>0</v>
      </c>
      <c r="T97" s="24" t="inlineStr">
        <is>
          <t>cs2-tiered-elo-v4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Neutral Elo baseline; executable ask 0.7000 (market_slug=aec-cs2-wal-bbp-2026-07-30).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NO_CALL_LOW_EDGE</t>
        </is>
      </c>
      <c r="AP97" s="24" t="inlineStr">
        <is>
          <t>Bebop</t>
        </is>
      </c>
      <c r="AQ97" s="24" t="inlineStr">
        <is>
          <t>Bebop</t>
        </is>
      </c>
      <c r="AR97" s="24" t="inlineStr">
        <is>
          <t>Bebop</t>
        </is>
      </c>
      <c r="AS97" s="24" t="inlineStr">
        <is>
          <t>Walczaki</t>
        </is>
      </c>
      <c r="AT97" s="24" t="inlineStr">
        <is>
          <t>Walczaki</t>
        </is>
      </c>
      <c r="AU97" s="24" t="inlineStr">
        <is>
          <t>Walczaki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20e27ad25c309367babd477909aaf456b3eeff4b6a3d4b27706d8f38244b6304</t>
        </is>
      </c>
      <c r="BB97" s="24" t="inlineStr">
        <is>
          <t>neutral_elo</t>
        </is>
      </c>
      <c r="BC97" s="24" t="inlineStr">
        <is>
          <t>cs2-tiered-elo-v4</t>
        </is>
      </c>
      <c r="BD97" s="24" t="inlineStr">
        <is>
          <t>20e27ad25c309367babd477909aaf456b3eeff4b6a3d4b27706d8f38244b6304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cs2-tiered-elo-v4</t>
        </is>
      </c>
      <c r="BH97" s="24" t="inlineStr">
        <is>
          <t>2026-07-30T16:55:25.864049Z</t>
        </is>
      </c>
      <c r="BI97" s="24" t="inlineStr">
        <is>
          <t>["same_event","same_team_same_day","same_league_same_day"]</t>
        </is>
      </c>
      <c r="BJ97" s="25" t="n"/>
      <c r="BK97" s="26" t="n">
        <v>-233</v>
      </c>
      <c r="BL97" s="27" t="n">
        <v>1.429185</v>
      </c>
      <c r="BM97" s="28" t="n">
        <v>0.6997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0b990e89409849c9</t>
        </is>
      </c>
      <c r="B98" s="24" t="inlineStr">
        <is>
          <t>2026-07-30T16:55:43.918344Z</t>
        </is>
      </c>
      <c r="C98" s="24" t="inlineStr">
        <is>
          <t>2026-07-30T17:00:00Z</t>
        </is>
      </c>
      <c r="D98" s="24" t="inlineStr">
        <is>
          <t>66606</t>
        </is>
      </c>
      <c r="E98" s="24" t="inlineStr">
        <is>
          <t>CS2</t>
        </is>
      </c>
      <c r="F98" s="24" t="inlineStr">
        <is>
          <t>Benched gods</t>
        </is>
      </c>
      <c r="G98" s="24" t="inlineStr">
        <is>
          <t>LFO UKRAINE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104</v>
      </c>
      <c r="M98" s="27" t="n">
        <v>2.04</v>
      </c>
      <c r="N98" s="28" t="n">
        <v>0.490196</v>
      </c>
      <c r="O98" s="28" t="n">
        <v>0.53389</v>
      </c>
      <c r="P98" s="28" t="n"/>
      <c r="Q98" s="28" t="n">
        <v>0.043694</v>
      </c>
      <c r="R98" s="26" t="n">
        <v>42</v>
      </c>
      <c r="S98" s="29" t="n">
        <v>0</v>
      </c>
      <c r="T98" s="24" t="inlineStr">
        <is>
          <t>cs2-tiered-elo-v4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Neutral Elo baseline; executable ask 0.4900 (market_slug=aec-cs2-lfouk-bge-2026-07-30).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Benched gods</t>
        </is>
      </c>
      <c r="AQ98" s="24" t="inlineStr">
        <is>
          <t>Benched gods</t>
        </is>
      </c>
      <c r="AR98" s="24" t="inlineStr">
        <is>
          <t>Benched gods</t>
        </is>
      </c>
      <c r="AS98" s="24" t="inlineStr">
        <is>
          <t>LFO UKRAINE</t>
        </is>
      </c>
      <c r="AT98" s="24" t="inlineStr">
        <is>
          <t>LFO UKRAINE</t>
        </is>
      </c>
      <c r="AU98" s="24" t="inlineStr">
        <is>
          <t>LFO UKRAINE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20e27ad25c309367babd477909aaf456b3eeff4b6a3d4b27706d8f38244b6304</t>
        </is>
      </c>
      <c r="BB98" s="24" t="inlineStr">
        <is>
          <t>neutral_elo</t>
        </is>
      </c>
      <c r="BC98" s="24" t="inlineStr">
        <is>
          <t>cs2-tiered-elo-v4</t>
        </is>
      </c>
      <c r="BD98" s="24" t="inlineStr">
        <is>
          <t>20e27ad25c309367babd477909aaf456b3eeff4b6a3d4b27706d8f38244b6304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cs2-tiered-elo-v4</t>
        </is>
      </c>
      <c r="BH98" s="24" t="inlineStr">
        <is>
          <t>2026-07-30T16:55:26.334338Z</t>
        </is>
      </c>
      <c r="BI98" s="24" t="inlineStr">
        <is>
          <t>["same_event","same_team_same_day","same_league_same_day"]</t>
        </is>
      </c>
      <c r="BJ98" s="25" t="n"/>
      <c r="BK98" s="26" t="n">
        <v>104</v>
      </c>
      <c r="BL98" s="27" t="n">
        <v>2.04</v>
      </c>
      <c r="BM98" s="28" t="n">
        <v>0.490196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258dfc375a624fc9</t>
        </is>
      </c>
      <c r="B99" s="24" t="inlineStr">
        <is>
          <t>2026-07-30T16:55:43.918344Z</t>
        </is>
      </c>
      <c r="C99" s="24" t="inlineStr">
        <is>
          <t>2026-07-30T17:00:00Z</t>
        </is>
      </c>
      <c r="D99" s="24" t="inlineStr">
        <is>
          <t>66607</t>
        </is>
      </c>
      <c r="E99" s="24" t="inlineStr">
        <is>
          <t>CS2</t>
        </is>
      </c>
      <c r="F99" s="24" t="inlineStr">
        <is>
          <t>Fire Flux Esports</t>
        </is>
      </c>
      <c r="G99" s="24" t="inlineStr">
        <is>
          <t>uust _esports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0.530616</v>
      </c>
      <c r="P99" s="28" t="n"/>
      <c r="Q99" s="28" t="n">
        <v>0.170904</v>
      </c>
      <c r="R99" s="26" t="n">
        <v>100</v>
      </c>
      <c r="S99" s="29" t="n">
        <v>0</v>
      </c>
      <c r="T99" s="24" t="inlineStr">
        <is>
          <t>cs2-tiered-elo-v4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Neutral Elo baseline; executable ask 0.3600 (market_slug=aec-cs2-uust-ff-2026-07-30).</t>
        </is>
      </c>
      <c r="AF99" s="31" t="inlineStr">
        <is>
          <t>Config-promoted esports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Fire Flux Esports</t>
        </is>
      </c>
      <c r="AQ99" s="24" t="inlineStr">
        <is>
          <t>Fire Flux Esports</t>
        </is>
      </c>
      <c r="AR99" s="24" t="inlineStr">
        <is>
          <t>Fire Flux Esports</t>
        </is>
      </c>
      <c r="AS99" s="24" t="inlineStr">
        <is>
          <t>uust _esports</t>
        </is>
      </c>
      <c r="AT99" s="24" t="inlineStr">
        <is>
          <t>uust _esports</t>
        </is>
      </c>
      <c r="AU99" s="24" t="inlineStr">
        <is>
          <t>uust _esports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20e27ad25c309367babd477909aaf456b3eeff4b6a3d4b27706d8f38244b6304</t>
        </is>
      </c>
      <c r="BB99" s="24" t="inlineStr">
        <is>
          <t>neutral_elo</t>
        </is>
      </c>
      <c r="BC99" s="24" t="inlineStr">
        <is>
          <t>cs2-tiered-elo-v4</t>
        </is>
      </c>
      <c r="BD99" s="24" t="inlineStr">
        <is>
          <t>20e27ad25c309367babd477909aaf456b3eeff4b6a3d4b27706d8f38244b6304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cs2-tiered-elo-v4</t>
        </is>
      </c>
      <c r="BH99" s="24" t="inlineStr">
        <is>
          <t>2026-07-30T16:55:26.780664Z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ffa07b633bed4f46</t>
        </is>
      </c>
      <c r="B100" s="24" t="inlineStr">
        <is>
          <t>2026-07-30T16:55:43.918344Z</t>
        </is>
      </c>
      <c r="C100" s="24" t="inlineStr">
        <is>
          <t>2026-07-30T17:30:00Z</t>
        </is>
      </c>
      <c r="D100" s="24" t="inlineStr">
        <is>
          <t>66609</t>
        </is>
      </c>
      <c r="E100" s="24" t="inlineStr">
        <is>
          <t>CS2</t>
        </is>
      </c>
      <c r="F100" s="24" t="inlineStr">
        <is>
          <t>Fraternity</t>
        </is>
      </c>
      <c r="G100" s="24" t="inlineStr">
        <is>
          <t>Sangal ALTERS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104</v>
      </c>
      <c r="M100" s="27" t="n">
        <v>2.04</v>
      </c>
      <c r="N100" s="28" t="n">
        <v>0.490196</v>
      </c>
      <c r="O100" s="28" t="n">
        <v>0.6620780000000001</v>
      </c>
      <c r="P100" s="28" t="n"/>
      <c r="Q100" s="28" t="n">
        <v>0.171882</v>
      </c>
      <c r="R100" s="26" t="n">
        <v>100</v>
      </c>
      <c r="S100" s="29" t="n">
        <v>2</v>
      </c>
      <c r="T100" s="24" t="inlineStr">
        <is>
          <t>cs2-tiered-elo-v4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0.4900 (market_slug=aec-cs2-sng-frt-2026-07-30).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Fraternity</t>
        </is>
      </c>
      <c r="AQ100" s="24" t="inlineStr">
        <is>
          <t>Fraternity</t>
        </is>
      </c>
      <c r="AR100" s="24" t="inlineStr">
        <is>
          <t>Fraternity</t>
        </is>
      </c>
      <c r="AS100" s="24" t="inlineStr">
        <is>
          <t>Sangal ALTERS</t>
        </is>
      </c>
      <c r="AT100" s="24" t="inlineStr">
        <is>
          <t>Sangal ALTERS</t>
        </is>
      </c>
      <c r="AU100" s="24" t="inlineStr">
        <is>
          <t>Sangal ALTERS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20e27ad25c309367babd477909aaf456b3eeff4b6a3d4b27706d8f38244b6304</t>
        </is>
      </c>
      <c r="BB100" s="24" t="inlineStr">
        <is>
          <t>neutral_elo</t>
        </is>
      </c>
      <c r="BC100" s="24" t="inlineStr">
        <is>
          <t>cs2-tiered-elo-v4</t>
        </is>
      </c>
      <c r="BD100" s="24" t="inlineStr">
        <is>
          <t>20e27ad25c309367babd477909aaf456b3eeff4b6a3d4b27706d8f38244b6304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cs2-tiered-elo-v4</t>
        </is>
      </c>
      <c r="BH100" s="24" t="inlineStr">
        <is>
          <t>2026-07-30T16:55:27.303905Z</t>
        </is>
      </c>
      <c r="BI100" s="24" t="inlineStr">
        <is>
          <t>["same_event","same_team_same_day","same_league_same_day"]</t>
        </is>
      </c>
      <c r="BJ100" s="25" t="n"/>
      <c r="BK100" s="26" t="n">
        <v>104</v>
      </c>
      <c r="BL100" s="27" t="n">
        <v>2.04</v>
      </c>
      <c r="BM100" s="28" t="n">
        <v>0.490196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1cdad3c4e3ea4552</t>
        </is>
      </c>
      <c r="B101" s="24" t="inlineStr">
        <is>
          <t>2026-07-30T16:55:43.918344Z</t>
        </is>
      </c>
      <c r="C101" s="24" t="inlineStr">
        <is>
          <t>2026-07-30T18:00:00Z</t>
        </is>
      </c>
      <c r="D101" s="24" t="inlineStr">
        <is>
          <t>66113</t>
        </is>
      </c>
      <c r="E101" s="24" t="inlineStr">
        <is>
          <t>CS2</t>
        </is>
      </c>
      <c r="F101" s="24" t="inlineStr">
        <is>
          <t>ShindeN</t>
        </is>
      </c>
      <c r="G101" s="24" t="inlineStr">
        <is>
          <t>Imperial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-203</v>
      </c>
      <c r="M101" s="27" t="n">
        <v>1.492611</v>
      </c>
      <c r="N101" s="28" t="n">
        <v>0.669967</v>
      </c>
      <c r="O101" s="28" t="n">
        <v>0.551683</v>
      </c>
      <c r="P101" s="28" t="n"/>
      <c r="Q101" s="28" t="n">
        <v>-0.118284</v>
      </c>
      <c r="R101" s="26" t="n">
        <v>0</v>
      </c>
      <c r="S101" s="29" t="n">
        <v>0</v>
      </c>
      <c r="T101" s="24" t="inlineStr">
        <is>
          <t>cs2-tiered-elo-v4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0.6700 (market_slug=aec-cs2-imp-shin-2026-07-30).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ShindeN</t>
        </is>
      </c>
      <c r="AQ101" s="24" t="inlineStr">
        <is>
          <t>ShindeN</t>
        </is>
      </c>
      <c r="AR101" s="24" t="inlineStr">
        <is>
          <t>ShindeN</t>
        </is>
      </c>
      <c r="AS101" s="24" t="inlineStr">
        <is>
          <t>Imperial</t>
        </is>
      </c>
      <c r="AT101" s="24" t="inlineStr">
        <is>
          <t>Imperial</t>
        </is>
      </c>
      <c r="AU101" s="24" t="inlineStr">
        <is>
          <t>Imperial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20e27ad25c309367babd477909aaf456b3eeff4b6a3d4b27706d8f38244b6304</t>
        </is>
      </c>
      <c r="BB101" s="24" t="inlineStr">
        <is>
          <t>neutral_elo</t>
        </is>
      </c>
      <c r="BC101" s="24" t="inlineStr">
        <is>
          <t>cs2-tiered-elo-v4</t>
        </is>
      </c>
      <c r="BD101" s="24" t="inlineStr">
        <is>
          <t>20e27ad25c309367babd477909aaf456b3eeff4b6a3d4b27706d8f38244b6304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cs2-tiered-elo-v4</t>
        </is>
      </c>
      <c r="BH101" s="24" t="inlineStr">
        <is>
          <t>2026-07-30T16:55:27.746474Z</t>
        </is>
      </c>
      <c r="BI101" s="24" t="inlineStr">
        <is>
          <t>["same_event","same_team_same_day","same_league_same_day"]</t>
        </is>
      </c>
      <c r="BJ101" s="25" t="n"/>
      <c r="BK101" s="26" t="n">
        <v>-203</v>
      </c>
      <c r="BL101" s="27" t="n">
        <v>1.492611</v>
      </c>
      <c r="BM101" s="28" t="n">
        <v>0.669967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8e7f773050aa4c7d</t>
        </is>
      </c>
      <c r="B102" s="24" t="inlineStr">
        <is>
          <t>2026-07-30T16:55:43.918344Z</t>
        </is>
      </c>
      <c r="C102" s="24" t="inlineStr">
        <is>
          <t>2026-07-30T18:15:00Z</t>
        </is>
      </c>
      <c r="D102" s="24" t="inlineStr">
        <is>
          <t>66204</t>
        </is>
      </c>
      <c r="E102" s="24" t="inlineStr">
        <is>
          <t>CS2</t>
        </is>
      </c>
      <c r="F102" s="24" t="inlineStr">
        <is>
          <t>Spirit Academy</t>
        </is>
      </c>
      <c r="G102" s="24" t="inlineStr">
        <is>
          <t>aimclub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-213</v>
      </c>
      <c r="M102" s="27" t="n">
        <v>1.469484</v>
      </c>
      <c r="N102" s="28" t="n">
        <v>0.680511</v>
      </c>
      <c r="O102" s="28" t="n">
        <v>0.589317</v>
      </c>
      <c r="P102" s="28" t="n"/>
      <c r="Q102" s="28" t="n">
        <v>-0.091194</v>
      </c>
      <c r="R102" s="26" t="n">
        <v>0</v>
      </c>
      <c r="S102" s="29" t="n">
        <v>0</v>
      </c>
      <c r="T102" s="24" t="inlineStr">
        <is>
          <t>cs2-tiered-elo-v4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0.6800 (market_slug=aec-cs2-aimc-tsa-2026-07-30).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Spirit Academy</t>
        </is>
      </c>
      <c r="AQ102" s="24" t="inlineStr">
        <is>
          <t>Spirit Academy</t>
        </is>
      </c>
      <c r="AR102" s="24" t="inlineStr">
        <is>
          <t>Spirit Academy</t>
        </is>
      </c>
      <c r="AS102" s="24" t="inlineStr">
        <is>
          <t>aimclub</t>
        </is>
      </c>
      <c r="AT102" s="24" t="inlineStr">
        <is>
          <t>aimclub</t>
        </is>
      </c>
      <c r="AU102" s="24" t="inlineStr">
        <is>
          <t>aimclub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20e27ad25c309367babd477909aaf456b3eeff4b6a3d4b27706d8f38244b6304</t>
        </is>
      </c>
      <c r="BB102" s="24" t="inlineStr">
        <is>
          <t>neutral_elo</t>
        </is>
      </c>
      <c r="BC102" s="24" t="inlineStr">
        <is>
          <t>cs2-tiered-elo-v4</t>
        </is>
      </c>
      <c r="BD102" s="24" t="inlineStr">
        <is>
          <t>20e27ad25c309367babd477909aaf456b3eeff4b6a3d4b27706d8f38244b6304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cs2-tiered-elo-v4</t>
        </is>
      </c>
      <c r="BH102" s="24" t="inlineStr">
        <is>
          <t>2026-07-30T16:55:28.644615Z</t>
        </is>
      </c>
      <c r="BI102" s="24" t="inlineStr">
        <is>
          <t>["same_event","same_team_same_day","same_league_same_day"]</t>
        </is>
      </c>
      <c r="BJ102" s="25" t="n"/>
      <c r="BK102" s="26" t="n">
        <v>-213</v>
      </c>
      <c r="BL102" s="27" t="n">
        <v>1.469484</v>
      </c>
      <c r="BM102" s="28" t="n">
        <v>0.680511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4140a1dd982c4d22</t>
        </is>
      </c>
      <c r="B103" s="24" t="inlineStr">
        <is>
          <t>2026-07-30T16:55:43.918344Z</t>
        </is>
      </c>
      <c r="C103" s="24" t="inlineStr">
        <is>
          <t>2026-07-30T18:30:00Z</t>
        </is>
      </c>
      <c r="D103" s="24" t="inlineStr">
        <is>
          <t>66614</t>
        </is>
      </c>
      <c r="E103" s="24" t="inlineStr">
        <is>
          <t>CS2</t>
        </is>
      </c>
      <c r="F103" s="24" t="inlineStr">
        <is>
          <t>NEXORA</t>
        </is>
      </c>
      <c r="G103" s="24" t="inlineStr">
        <is>
          <t>Strael-Bora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138</v>
      </c>
      <c r="M103" s="27" t="n">
        <v>2.38</v>
      </c>
      <c r="N103" s="28" t="n">
        <v>0.420168</v>
      </c>
      <c r="O103" s="28" t="n">
        <v>0.541443</v>
      </c>
      <c r="P103" s="28" t="n"/>
      <c r="Q103" s="28" t="n">
        <v>0.121275</v>
      </c>
      <c r="R103" s="26" t="n">
        <v>81</v>
      </c>
      <c r="S103" s="29" t="n">
        <v>1</v>
      </c>
      <c r="T103" s="24" t="inlineStr">
        <is>
          <t>cs2-tiered-elo-v4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Neutral Elo baseline; executable ask 0.4200 (market_slug=aec-cs2-sb-nexo-2026-07-30).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NEXORA</t>
        </is>
      </c>
      <c r="AQ103" s="24" t="inlineStr">
        <is>
          <t>NEXORA</t>
        </is>
      </c>
      <c r="AR103" s="24" t="inlineStr">
        <is>
          <t>NEXORA</t>
        </is>
      </c>
      <c r="AS103" s="24" t="inlineStr">
        <is>
          <t>Strael-Bora</t>
        </is>
      </c>
      <c r="AT103" s="24" t="inlineStr">
        <is>
          <t>Strael-Bora</t>
        </is>
      </c>
      <c r="AU103" s="24" t="inlineStr">
        <is>
          <t>Strael-Bora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20e27ad25c309367babd477909aaf456b3eeff4b6a3d4b27706d8f38244b6304</t>
        </is>
      </c>
      <c r="BB103" s="24" t="inlineStr">
        <is>
          <t>neutral_elo</t>
        </is>
      </c>
      <c r="BC103" s="24" t="inlineStr">
        <is>
          <t>cs2-tiered-elo-v4</t>
        </is>
      </c>
      <c r="BD103" s="24" t="inlineStr">
        <is>
          <t>20e27ad25c309367babd477909aaf456b3eeff4b6a3d4b27706d8f38244b6304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cs2-tiered-elo-v4</t>
        </is>
      </c>
      <c r="BH103" s="24" t="inlineStr">
        <is>
          <t>2026-07-30T16:55:29.676246Z</t>
        </is>
      </c>
      <c r="BI103" s="24" t="inlineStr">
        <is>
          <t>["same_event","same_team_same_day","same_league_same_day"]</t>
        </is>
      </c>
      <c r="BJ103" s="25" t="n"/>
      <c r="BK103" s="26" t="n">
        <v>138</v>
      </c>
      <c r="BL103" s="27" t="n">
        <v>2.38</v>
      </c>
      <c r="BM103" s="28" t="n">
        <v>0.420168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29a69441f1734eaa</t>
        </is>
      </c>
      <c r="B104" s="24" t="inlineStr">
        <is>
          <t>2026-07-30T16:55:43.918344Z</t>
        </is>
      </c>
      <c r="C104" s="24" t="inlineStr">
        <is>
          <t>2026-07-30T18:30:00Z</t>
        </is>
      </c>
      <c r="D104" s="24" t="inlineStr">
        <is>
          <t>66617</t>
        </is>
      </c>
      <c r="E104" s="24" t="inlineStr">
        <is>
          <t>CS2</t>
        </is>
      </c>
      <c r="F104" s="24" t="inlineStr">
        <is>
          <t>Hermine Esports Club</t>
        </is>
      </c>
      <c r="G104" s="24" t="inlineStr">
        <is>
          <t>mellren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100</v>
      </c>
      <c r="M104" s="27" t="n">
        <v>2</v>
      </c>
      <c r="N104" s="28" t="n">
        <v>0.5</v>
      </c>
      <c r="O104" s="28" t="n">
        <v>0.554756</v>
      </c>
      <c r="P104" s="28" t="n"/>
      <c r="Q104" s="28" t="n">
        <v>0.054756</v>
      </c>
      <c r="R104" s="26" t="n">
        <v>47</v>
      </c>
      <c r="S104" s="29" t="n">
        <v>1</v>
      </c>
      <c r="T104" s="24" t="inlineStr">
        <is>
          <t>cs2-tiered-elo-v4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Neutral Elo baseline; executable ask 0.5000 (market_slug=aec-cs2-mel-hec-2026-07-30).</t>
        </is>
      </c>
      <c r="AF104" s="31" t="inlineStr">
        <is>
          <t>Config-promoted esports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Hermine Esports Club</t>
        </is>
      </c>
      <c r="AQ104" s="24" t="inlineStr">
        <is>
          <t>Hermine Esports Club</t>
        </is>
      </c>
      <c r="AR104" s="24" t="inlineStr">
        <is>
          <t>Hermine Esports Club</t>
        </is>
      </c>
      <c r="AS104" s="24" t="inlineStr">
        <is>
          <t>mellren</t>
        </is>
      </c>
      <c r="AT104" s="24" t="inlineStr">
        <is>
          <t>mellren</t>
        </is>
      </c>
      <c r="AU104" s="24" t="inlineStr">
        <is>
          <t>mellren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20e27ad25c309367babd477909aaf456b3eeff4b6a3d4b27706d8f38244b6304</t>
        </is>
      </c>
      <c r="BB104" s="24" t="inlineStr">
        <is>
          <t>neutral_elo</t>
        </is>
      </c>
      <c r="BC104" s="24" t="inlineStr">
        <is>
          <t>cs2-tiered-elo-v4</t>
        </is>
      </c>
      <c r="BD104" s="24" t="inlineStr">
        <is>
          <t>20e27ad25c309367babd477909aaf456b3eeff4b6a3d4b27706d8f38244b6304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cs2-tiered-elo-v4</t>
        </is>
      </c>
      <c r="BH104" s="24" t="inlineStr">
        <is>
          <t>2026-07-30T16:55:30.122924Z</t>
        </is>
      </c>
      <c r="BI104" s="24" t="inlineStr">
        <is>
          <t>["same_event","same_team_same_day","same_league_same_day"]</t>
        </is>
      </c>
      <c r="BJ104" s="25" t="n"/>
      <c r="BK104" s="26" t="n">
        <v>100</v>
      </c>
      <c r="BL104" s="27" t="n">
        <v>2</v>
      </c>
      <c r="BM104" s="28" t="n">
        <v>0.5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fcff171f11ed40cb</t>
        </is>
      </c>
      <c r="B105" s="24" t="inlineStr">
        <is>
          <t>2026-07-30T16:55:43.918344Z</t>
        </is>
      </c>
      <c r="C105" s="24" t="inlineStr">
        <is>
          <t>2026-07-30T18:30:00Z</t>
        </is>
      </c>
      <c r="D105" s="24" t="inlineStr">
        <is>
          <t>66610</t>
        </is>
      </c>
      <c r="E105" s="24" t="inlineStr">
        <is>
          <t>CS2</t>
        </is>
      </c>
      <c r="F105" s="24" t="inlineStr">
        <is>
          <t>LFO UKRAINE</t>
        </is>
      </c>
      <c r="G105" s="24" t="inlineStr">
        <is>
          <t>OldBoys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122</v>
      </c>
      <c r="M105" s="27" t="n">
        <v>2.22</v>
      </c>
      <c r="N105" s="28" t="n">
        <v>0.45045</v>
      </c>
      <c r="O105" s="28" t="n">
        <v>0.522795</v>
      </c>
      <c r="P105" s="28" t="n"/>
      <c r="Q105" s="28" t="n">
        <v>0.07234500000000001</v>
      </c>
      <c r="R105" s="26" t="n">
        <v>56</v>
      </c>
      <c r="S105" s="29" t="n">
        <v>0</v>
      </c>
      <c r="T105" s="24" t="inlineStr">
        <is>
          <t>cs2-tiered-elo-v4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Neutral Elo baseline; executable ask 0.4500 (market_slug=aec-cs2-oboys-lfouk-2026-07-30).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LFO UKRAINE</t>
        </is>
      </c>
      <c r="AQ105" s="24" t="inlineStr">
        <is>
          <t>LFO UKRAINE</t>
        </is>
      </c>
      <c r="AR105" s="24" t="inlineStr">
        <is>
          <t>LFO UKRAINE</t>
        </is>
      </c>
      <c r="AS105" s="24" t="inlineStr">
        <is>
          <t>OldBoys</t>
        </is>
      </c>
      <c r="AT105" s="24" t="inlineStr">
        <is>
          <t>OldBoys</t>
        </is>
      </c>
      <c r="AU105" s="24" t="inlineStr">
        <is>
          <t>OldBoys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20e27ad25c309367babd477909aaf456b3eeff4b6a3d4b27706d8f38244b6304</t>
        </is>
      </c>
      <c r="BB105" s="24" t="inlineStr">
        <is>
          <t>neutral_elo</t>
        </is>
      </c>
      <c r="BC105" s="24" t="inlineStr">
        <is>
          <t>cs2-tiered-elo-v4</t>
        </is>
      </c>
      <c r="BD105" s="24" t="inlineStr">
        <is>
          <t>20e27ad25c309367babd477909aaf456b3eeff4b6a3d4b27706d8f38244b6304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cs2-tiered-elo-v4</t>
        </is>
      </c>
      <c r="BH105" s="24" t="inlineStr">
        <is>
          <t>2026-07-30T16:55:31.077916Z</t>
        </is>
      </c>
      <c r="BI105" s="24" t="inlineStr">
        <is>
          <t>["same_event","same_team_same_day","same_league_same_day"]</t>
        </is>
      </c>
      <c r="BJ105" s="25" t="n"/>
      <c r="BK105" s="26" t="n">
        <v>122</v>
      </c>
      <c r="BL105" s="27" t="n">
        <v>2.22</v>
      </c>
      <c r="BM105" s="28" t="n">
        <v>0.45045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092b746ba28948b3</t>
        </is>
      </c>
      <c r="B106" s="24" t="inlineStr">
        <is>
          <t>2026-07-30T16:55:43.918344Z</t>
        </is>
      </c>
      <c r="C106" s="24" t="inlineStr">
        <is>
          <t>2026-07-30T18:30:00Z</t>
        </is>
      </c>
      <c r="D106" s="24" t="inlineStr">
        <is>
          <t>66613</t>
        </is>
      </c>
      <c r="E106" s="24" t="inlineStr">
        <is>
          <t>CS2</t>
        </is>
      </c>
      <c r="F106" s="24" t="inlineStr">
        <is>
          <t>Banger Gang</t>
        </is>
      </c>
      <c r="G106" s="24" t="inlineStr">
        <is>
          <t>Younglings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-117</v>
      </c>
      <c r="M106" s="27" t="n">
        <v>1.854701</v>
      </c>
      <c r="N106" s="28" t="n">
        <v>0.539171</v>
      </c>
      <c r="O106" s="28" t="n">
        <v>0.576464</v>
      </c>
      <c r="P106" s="28" t="n"/>
      <c r="Q106" s="28" t="n">
        <v>0.037293</v>
      </c>
      <c r="R106" s="26" t="n">
        <v>39</v>
      </c>
      <c r="S106" s="29" t="n">
        <v>1.25</v>
      </c>
      <c r="T106" s="24" t="inlineStr">
        <is>
          <t>cs2-tiered-elo-v4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Neutral Elo baseline; executable ask 0.5400 (market_slug=aec-cs2-yl-bg-2026-07-30).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Banger Gang</t>
        </is>
      </c>
      <c r="AQ106" s="24" t="inlineStr">
        <is>
          <t>Banger Gang</t>
        </is>
      </c>
      <c r="AR106" s="24" t="inlineStr">
        <is>
          <t>Banger Gang</t>
        </is>
      </c>
      <c r="AS106" s="24" t="inlineStr">
        <is>
          <t>Younglings</t>
        </is>
      </c>
      <c r="AT106" s="24" t="inlineStr">
        <is>
          <t>Younglings</t>
        </is>
      </c>
      <c r="AU106" s="24" t="inlineStr">
        <is>
          <t>Younglings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20e27ad25c309367babd477909aaf456b3eeff4b6a3d4b27706d8f38244b6304</t>
        </is>
      </c>
      <c r="BB106" s="24" t="inlineStr">
        <is>
          <t>neutral_elo</t>
        </is>
      </c>
      <c r="BC106" s="24" t="inlineStr">
        <is>
          <t>cs2-tiered-elo-v4</t>
        </is>
      </c>
      <c r="BD106" s="24" t="inlineStr">
        <is>
          <t>20e27ad25c309367babd477909aaf456b3eeff4b6a3d4b27706d8f38244b6304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cs2-tiered-elo-v4</t>
        </is>
      </c>
      <c r="BH106" s="24" t="inlineStr">
        <is>
          <t>2026-07-30T16:55:31.539734Z</t>
        </is>
      </c>
      <c r="BI106" s="24" t="inlineStr">
        <is>
          <t>["same_event","same_team_same_day","same_league_same_day"]</t>
        </is>
      </c>
      <c r="BJ106" s="25" t="n"/>
      <c r="BK106" s="26" t="n">
        <v>-117</v>
      </c>
      <c r="BL106" s="27" t="n">
        <v>1.854701</v>
      </c>
      <c r="BM106" s="28" t="n">
        <v>0.539171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5ea8352301c747e6</t>
        </is>
      </c>
      <c r="B107" s="24" t="inlineStr">
        <is>
          <t>2026-07-30T16:55:43.918344Z</t>
        </is>
      </c>
      <c r="C107" s="24" t="inlineStr">
        <is>
          <t>2026-07-30T18:30:00Z</t>
        </is>
      </c>
      <c r="D107" s="24" t="inlineStr">
        <is>
          <t>66611</t>
        </is>
      </c>
      <c r="E107" s="24" t="inlineStr">
        <is>
          <t>CS2</t>
        </is>
      </c>
      <c r="F107" s="24" t="inlineStr">
        <is>
          <t>Benched gods</t>
        </is>
      </c>
      <c r="G107" s="24" t="inlineStr">
        <is>
          <t>Wave Esports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178</v>
      </c>
      <c r="M107" s="27" t="n">
        <v>2.78</v>
      </c>
      <c r="N107" s="28" t="n">
        <v>0.359712</v>
      </c>
      <c r="O107" s="28" t="n">
        <v>0.53389</v>
      </c>
      <c r="P107" s="28" t="n"/>
      <c r="Q107" s="28" t="n">
        <v>0.174178</v>
      </c>
      <c r="R107" s="26" t="n">
        <v>100</v>
      </c>
      <c r="S107" s="29" t="n">
        <v>0</v>
      </c>
      <c r="T107" s="24" t="inlineStr">
        <is>
          <t>cs2-tiered-elo-v4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Neutral Elo baseline; executable ask 0.3600 (market_slug=aec-cs2-wave-bge-2026-07-30).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Benched gods</t>
        </is>
      </c>
      <c r="AQ107" s="24" t="inlineStr">
        <is>
          <t>Benched gods</t>
        </is>
      </c>
      <c r="AR107" s="24" t="inlineStr">
        <is>
          <t>Benched gods</t>
        </is>
      </c>
      <c r="AS107" s="24" t="inlineStr">
        <is>
          <t>Wave Esports</t>
        </is>
      </c>
      <c r="AT107" s="24" t="inlineStr">
        <is>
          <t>Wave Esports</t>
        </is>
      </c>
      <c r="AU107" s="24" t="inlineStr">
        <is>
          <t>Wave Esports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20e27ad25c309367babd477909aaf456b3eeff4b6a3d4b27706d8f38244b6304</t>
        </is>
      </c>
      <c r="BB107" s="24" t="inlineStr">
        <is>
          <t>neutral_elo</t>
        </is>
      </c>
      <c r="BC107" s="24" t="inlineStr">
        <is>
          <t>cs2-tiered-elo-v4</t>
        </is>
      </c>
      <c r="BD107" s="24" t="inlineStr">
        <is>
          <t>20e27ad25c309367babd477909aaf456b3eeff4b6a3d4b27706d8f38244b6304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cs2-tiered-elo-v4</t>
        </is>
      </c>
      <c r="BH107" s="24" t="inlineStr">
        <is>
          <t>2026-07-30T16:55:32.123396Z</t>
        </is>
      </c>
      <c r="BI107" s="24" t="inlineStr">
        <is>
          <t>["same_event","same_team_same_day","same_league_same_day"]</t>
        </is>
      </c>
      <c r="BJ107" s="25" t="n"/>
      <c r="BK107" s="26" t="n">
        <v>178</v>
      </c>
      <c r="BL107" s="27" t="n">
        <v>2.78</v>
      </c>
      <c r="BM107" s="28" t="n">
        <v>0.359712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55c326eaf3db423c</t>
        </is>
      </c>
      <c r="B108" s="24" t="inlineStr">
        <is>
          <t>2026-07-30T16:55:43.918344Z</t>
        </is>
      </c>
      <c r="C108" s="24" t="inlineStr">
        <is>
          <t>2026-07-30T21:00:00Z</t>
        </is>
      </c>
      <c r="D108" s="24" t="inlineStr">
        <is>
          <t>66114</t>
        </is>
      </c>
      <c r="E108" s="24" t="inlineStr">
        <is>
          <t>CS2</t>
        </is>
      </c>
      <c r="F108" s="24" t="inlineStr">
        <is>
          <t>Galorys</t>
        </is>
      </c>
      <c r="G108" s="24" t="inlineStr">
        <is>
          <t>BESTIA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-194</v>
      </c>
      <c r="M108" s="27" t="n">
        <v>1.515464</v>
      </c>
      <c r="N108" s="28" t="n">
        <v>0.659864</v>
      </c>
      <c r="O108" s="28" t="n">
        <v>0.537423</v>
      </c>
      <c r="P108" s="28" t="n"/>
      <c r="Q108" s="28" t="n">
        <v>-0.122441</v>
      </c>
      <c r="R108" s="26" t="n">
        <v>0</v>
      </c>
      <c r="S108" s="29" t="n">
        <v>0</v>
      </c>
      <c r="T108" s="24" t="inlineStr">
        <is>
          <t>cs2-tiered-elo-v4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0.6600 (market_slug=aec-cs2-bst-gls-2026-07-30).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Galorys</t>
        </is>
      </c>
      <c r="AQ108" s="24" t="inlineStr">
        <is>
          <t>Galorys</t>
        </is>
      </c>
      <c r="AR108" s="24" t="inlineStr">
        <is>
          <t>Galorys</t>
        </is>
      </c>
      <c r="AS108" s="24" t="inlineStr">
        <is>
          <t>BESTIA</t>
        </is>
      </c>
      <c r="AT108" s="24" t="inlineStr">
        <is>
          <t>BESTIA</t>
        </is>
      </c>
      <c r="AU108" s="24" t="inlineStr">
        <is>
          <t>BESTIA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20e27ad25c309367babd477909aaf456b3eeff4b6a3d4b27706d8f38244b6304</t>
        </is>
      </c>
      <c r="BB108" s="24" t="inlineStr">
        <is>
          <t>neutral_elo</t>
        </is>
      </c>
      <c r="BC108" s="24" t="inlineStr">
        <is>
          <t>cs2-tiered-elo-v4</t>
        </is>
      </c>
      <c r="BD108" s="24" t="inlineStr">
        <is>
          <t>20e27ad25c309367babd477909aaf456b3eeff4b6a3d4b27706d8f38244b6304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cs2-tiered-elo-v4</t>
        </is>
      </c>
      <c r="BH108" s="24" t="inlineStr">
        <is>
          <t>2026-07-30T16:55:32.565820Z</t>
        </is>
      </c>
      <c r="BI108" s="24" t="inlineStr">
        <is>
          <t>["same_event","same_team_same_day","same_league_same_day"]</t>
        </is>
      </c>
      <c r="BJ108" s="25" t="n"/>
      <c r="BK108" s="26" t="n">
        <v>-194</v>
      </c>
      <c r="BL108" s="27" t="n">
        <v>1.515464</v>
      </c>
      <c r="BM108" s="28" t="n">
        <v>0.659864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cb3ee25b21bb4efd</t>
        </is>
      </c>
      <c r="B109" s="24" t="inlineStr">
        <is>
          <t>2026-07-30T16:55:43.918344Z</t>
        </is>
      </c>
      <c r="C109" s="24" t="inlineStr">
        <is>
          <t>2026-07-31T01:00:00Z</t>
        </is>
      </c>
      <c r="D109" s="24" t="inlineStr">
        <is>
          <t>66561</t>
        </is>
      </c>
      <c r="E109" s="24" t="inlineStr">
        <is>
          <t>CS2</t>
        </is>
      </c>
      <c r="F109" s="24" t="inlineStr">
        <is>
          <t>Chicken Coop Esports</t>
        </is>
      </c>
      <c r="G109" s="24" t="inlineStr">
        <is>
          <t>regain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0.5433210000000001</v>
      </c>
      <c r="P109" s="28" t="n"/>
      <c r="Q109" s="28" t="n">
        <v>0.062552</v>
      </c>
      <c r="R109" s="26" t="n">
        <v>51</v>
      </c>
      <c r="S109" s="29" t="n">
        <v>1</v>
      </c>
      <c r="T109" s="24" t="inlineStr">
        <is>
          <t>cs2-tiered-elo-v4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Neutral Elo baseline; executable ask 0.4800 (market_slug=aec-cs2-regain-cce-2026-07-31).</t>
        </is>
      </c>
      <c r="AF109" s="31" t="inlineStr">
        <is>
          <t>Config-promoted esports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Chicken Coop Esports</t>
        </is>
      </c>
      <c r="AQ109" s="24" t="inlineStr">
        <is>
          <t>Chicken Coop Esports</t>
        </is>
      </c>
      <c r="AR109" s="24" t="inlineStr">
        <is>
          <t>Chicken Coop Esports</t>
        </is>
      </c>
      <c r="AS109" s="24" t="inlineStr">
        <is>
          <t>regain</t>
        </is>
      </c>
      <c r="AT109" s="24" t="inlineStr">
        <is>
          <t>regain</t>
        </is>
      </c>
      <c r="AU109" s="24" t="inlineStr">
        <is>
          <t>regain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20e27ad25c309367babd477909aaf456b3eeff4b6a3d4b27706d8f38244b6304</t>
        </is>
      </c>
      <c r="BB109" s="24" t="inlineStr">
        <is>
          <t>neutral_elo</t>
        </is>
      </c>
      <c r="BC109" s="24" t="inlineStr">
        <is>
          <t>cs2-tiered-elo-v4</t>
        </is>
      </c>
      <c r="BD109" s="24" t="inlineStr">
        <is>
          <t>20e27ad25c309367babd477909aaf456b3eeff4b6a3d4b27706d8f38244b6304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cs2-tiered-elo-v4</t>
        </is>
      </c>
      <c r="BH109" s="24" t="inlineStr">
        <is>
          <t>2026-07-30T16:55:33.548064Z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df2485759f324547</t>
        </is>
      </c>
      <c r="B110" s="24" t="inlineStr">
        <is>
          <t>2026-07-30T16:55:43.918344Z</t>
        </is>
      </c>
      <c r="C110" s="24" t="inlineStr">
        <is>
          <t>2026-07-31T08:00:00Z</t>
        </is>
      </c>
      <c r="D110" s="24" t="inlineStr">
        <is>
          <t>66545</t>
        </is>
      </c>
      <c r="E110" s="24" t="inlineStr">
        <is>
          <t>CS2</t>
        </is>
      </c>
      <c r="F110" s="24" t="inlineStr">
        <is>
          <t>Lazer Cats</t>
        </is>
      </c>
      <c r="G110" s="24" t="inlineStr">
        <is>
          <t>BASEMENT BOYS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-108</v>
      </c>
      <c r="M110" s="27" t="n">
        <v>1.925926</v>
      </c>
      <c r="N110" s="28" t="n">
        <v>0.519231</v>
      </c>
      <c r="O110" s="28" t="n">
        <v>0.676216</v>
      </c>
      <c r="P110" s="28" t="n"/>
      <c r="Q110" s="28" t="n">
        <v>0.156985</v>
      </c>
      <c r="R110" s="26" t="n">
        <v>98</v>
      </c>
      <c r="S110" s="29" t="n">
        <v>2</v>
      </c>
      <c r="T110" s="24" t="inlineStr">
        <is>
          <t>cs2-tiered-elo-v4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Neutral Elo baseline; executable ask 0.5200 (market_slug=aec-cs2-bmb-lc-2026-07-31).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Lazer Cats</t>
        </is>
      </c>
      <c r="AQ110" s="24" t="inlineStr">
        <is>
          <t>Lazer Cats</t>
        </is>
      </c>
      <c r="AR110" s="24" t="inlineStr">
        <is>
          <t>Lazer Cats</t>
        </is>
      </c>
      <c r="AS110" s="24" t="inlineStr">
        <is>
          <t>BASEMENT BOYS</t>
        </is>
      </c>
      <c r="AT110" s="24" t="inlineStr">
        <is>
          <t>BASEMENT BOYS</t>
        </is>
      </c>
      <c r="AU110" s="24" t="inlineStr">
        <is>
          <t>BASEMENT BOYS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20e27ad25c309367babd477909aaf456b3eeff4b6a3d4b27706d8f38244b6304</t>
        </is>
      </c>
      <c r="BB110" s="24" t="inlineStr">
        <is>
          <t>neutral_elo</t>
        </is>
      </c>
      <c r="BC110" s="24" t="inlineStr">
        <is>
          <t>cs2-tiered-elo-v4</t>
        </is>
      </c>
      <c r="BD110" s="24" t="inlineStr">
        <is>
          <t>20e27ad25c309367babd477909aaf456b3eeff4b6a3d4b27706d8f38244b6304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cs2-tiered-elo-v4</t>
        </is>
      </c>
      <c r="BH110" s="24" t="inlineStr">
        <is>
          <t>2026-07-30T16:55:34.094425Z</t>
        </is>
      </c>
      <c r="BI110" s="24" t="inlineStr">
        <is>
          <t>["same_event","same_team_same_day","same_league_same_day"]</t>
        </is>
      </c>
      <c r="BJ110" s="25" t="n"/>
      <c r="BK110" s="26" t="n">
        <v>-108</v>
      </c>
      <c r="BL110" s="27" t="n">
        <v>1.925926</v>
      </c>
      <c r="BM110" s="28" t="n">
        <v>0.519231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30f2192731034700</t>
        </is>
      </c>
      <c r="B111" s="24" t="inlineStr">
        <is>
          <t>2026-07-30T16:55:43.918344Z</t>
        </is>
      </c>
      <c r="C111" s="24" t="inlineStr">
        <is>
          <t>2026-07-31T08:00:00Z</t>
        </is>
      </c>
      <c r="D111" s="24" t="inlineStr">
        <is>
          <t>66535</t>
        </is>
      </c>
      <c r="E111" s="24" t="inlineStr">
        <is>
          <t>CS2</t>
        </is>
      </c>
      <c r="F111" s="24" t="inlineStr">
        <is>
          <t>SPARTA</t>
        </is>
      </c>
      <c r="G111" s="24" t="inlineStr">
        <is>
          <t>Infinite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-127</v>
      </c>
      <c r="M111" s="27" t="n">
        <v>1.787402</v>
      </c>
      <c r="N111" s="28" t="n">
        <v>0.5594710000000001</v>
      </c>
      <c r="O111" s="28" t="n">
        <v>0.688034</v>
      </c>
      <c r="P111" s="28" t="n"/>
      <c r="Q111" s="28" t="n">
        <v>0.128563</v>
      </c>
      <c r="R111" s="26" t="n">
        <v>84</v>
      </c>
      <c r="S111" s="29" t="n">
        <v>2</v>
      </c>
      <c r="T111" s="24" t="inlineStr">
        <is>
          <t>cs2-tiered-elo-v4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Neutral Elo baseline; executable ask 0.5600 (market_slug=aec-cs2-inf-sparta-2026-07-31).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SPARTA</t>
        </is>
      </c>
      <c r="AQ111" s="24" t="inlineStr">
        <is>
          <t>SPARTA</t>
        </is>
      </c>
      <c r="AR111" s="24" t="inlineStr">
        <is>
          <t>SPARTA</t>
        </is>
      </c>
      <c r="AS111" s="24" t="inlineStr">
        <is>
          <t>Infinite</t>
        </is>
      </c>
      <c r="AT111" s="24" t="inlineStr">
        <is>
          <t>Infinite</t>
        </is>
      </c>
      <c r="AU111" s="24" t="inlineStr">
        <is>
          <t>Infinite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20e27ad25c309367babd477909aaf456b3eeff4b6a3d4b27706d8f38244b6304</t>
        </is>
      </c>
      <c r="BB111" s="24" t="inlineStr">
        <is>
          <t>neutral_elo</t>
        </is>
      </c>
      <c r="BC111" s="24" t="inlineStr">
        <is>
          <t>cs2-tiered-elo-v4</t>
        </is>
      </c>
      <c r="BD111" s="24" t="inlineStr">
        <is>
          <t>20e27ad25c309367babd477909aaf456b3eeff4b6a3d4b27706d8f38244b6304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cs2-tiered-elo-v4</t>
        </is>
      </c>
      <c r="BH111" s="24" t="inlineStr">
        <is>
          <t>2026-07-30T16:55:34.584817Z</t>
        </is>
      </c>
      <c r="BI111" s="24" t="inlineStr">
        <is>
          <t>["same_event","same_team_same_day","same_league_same_day"]</t>
        </is>
      </c>
      <c r="BJ111" s="25" t="n"/>
      <c r="BK111" s="26" t="n">
        <v>-127</v>
      </c>
      <c r="BL111" s="27" t="n">
        <v>1.787402</v>
      </c>
      <c r="BM111" s="28" t="n">
        <v>0.5594710000000001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82f7173aaabc4383</t>
        </is>
      </c>
      <c r="B112" s="24" t="inlineStr">
        <is>
          <t>2026-07-30T16:55:43.918344Z</t>
        </is>
      </c>
      <c r="C112" s="24" t="inlineStr">
        <is>
          <t>2026-07-31T10:00:00Z</t>
        </is>
      </c>
      <c r="D112" s="24" t="inlineStr">
        <is>
          <t>64778</t>
        </is>
      </c>
      <c r="E112" s="24" t="inlineStr">
        <is>
          <t>CS2</t>
        </is>
      </c>
      <c r="F112" s="24" t="inlineStr">
        <is>
          <t>G2 Ares</t>
        </is>
      </c>
      <c r="G112" s="24" t="inlineStr">
        <is>
          <t>Esport Academy Copenhagen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0.71909</v>
      </c>
      <c r="P112" s="28" t="n"/>
      <c r="Q112" s="28" t="n">
        <v>0.238321</v>
      </c>
      <c r="R112" s="26" t="n">
        <v>100</v>
      </c>
      <c r="S112" s="29" t="n">
        <v>2</v>
      </c>
      <c r="T112" s="24" t="inlineStr">
        <is>
          <t>cs2-tiered-elo-v4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Neutral Elo baseline; executable ask 0.4800 (market_slug=aec-cs2-eac-g2a-2026-07-31).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G2 Ares</t>
        </is>
      </c>
      <c r="AQ112" s="24" t="inlineStr">
        <is>
          <t>G2 Ares</t>
        </is>
      </c>
      <c r="AR112" s="24" t="inlineStr">
        <is>
          <t>G2 Ares</t>
        </is>
      </c>
      <c r="AS112" s="24" t="inlineStr">
        <is>
          <t>Esport Academy Copenhagen</t>
        </is>
      </c>
      <c r="AT112" s="24" t="inlineStr">
        <is>
          <t>Esport Academy Copenhagen</t>
        </is>
      </c>
      <c r="AU112" s="24" t="inlineStr">
        <is>
          <t>Esport Academy Copenhagen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20e27ad25c309367babd477909aaf456b3eeff4b6a3d4b27706d8f38244b6304</t>
        </is>
      </c>
      <c r="BB112" s="24" t="inlineStr">
        <is>
          <t>neutral_elo</t>
        </is>
      </c>
      <c r="BC112" s="24" t="inlineStr">
        <is>
          <t>cs2-tiered-elo-v4</t>
        </is>
      </c>
      <c r="BD112" s="24" t="inlineStr">
        <is>
          <t>20e27ad25c309367babd477909aaf456b3eeff4b6a3d4b27706d8f38244b6304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cs2-tiered-elo-v4</t>
        </is>
      </c>
      <c r="BH112" s="24" t="inlineStr">
        <is>
          <t>2026-07-30T16:55:36.505125Z</t>
        </is>
      </c>
      <c r="BI112" s="24" t="inlineStr">
        <is>
          <t>["same_event","same_team_same_day","same_league_same_day"]</t>
        </is>
      </c>
      <c r="BJ112" s="25" t="n"/>
      <c r="BK112" s="26" t="n">
        <v>108</v>
      </c>
      <c r="BL112" s="27" t="n">
        <v>2.08</v>
      </c>
      <c r="BM112" s="28" t="n">
        <v>0.480769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01b2a484bd7d4582</t>
        </is>
      </c>
      <c r="B113" s="24" t="inlineStr">
        <is>
          <t>2026-07-30T16:55:43.918344Z</t>
        </is>
      </c>
      <c r="C113" s="24" t="inlineStr">
        <is>
          <t>2026-07-31T12:30:00Z</t>
        </is>
      </c>
      <c r="D113" s="24" t="inlineStr">
        <is>
          <t>66411</t>
        </is>
      </c>
      <c r="E113" s="24" t="inlineStr">
        <is>
          <t>CS2</t>
        </is>
      </c>
      <c r="F113" s="24" t="inlineStr">
        <is>
          <t>MOUZ</t>
        </is>
      </c>
      <c r="G113" s="24" t="inlineStr">
        <is>
          <t>3DMAX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144</v>
      </c>
      <c r="M113" s="27" t="n">
        <v>2.44</v>
      </c>
      <c r="N113" s="28" t="n">
        <v>0.409836</v>
      </c>
      <c r="O113" s="28" t="n">
        <v>0.671111</v>
      </c>
      <c r="P113" s="28" t="n"/>
      <c r="Q113" s="28" t="n">
        <v>0.261275</v>
      </c>
      <c r="R113" s="26" t="n">
        <v>100</v>
      </c>
      <c r="S113" s="29" t="n">
        <v>2</v>
      </c>
      <c r="T113" s="24" t="inlineStr">
        <is>
          <t>cs2-tiered-elo-v4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0.4100 (market_slug=aec-cs2-3dmax-mouz-2026-07-31).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MOUZ</t>
        </is>
      </c>
      <c r="AQ113" s="24" t="inlineStr">
        <is>
          <t>MOUZ</t>
        </is>
      </c>
      <c r="AR113" s="24" t="inlineStr">
        <is>
          <t>MOUZ</t>
        </is>
      </c>
      <c r="AS113" s="24" t="inlineStr">
        <is>
          <t>3DMAX</t>
        </is>
      </c>
      <c r="AT113" s="24" t="inlineStr">
        <is>
          <t>3DMAX</t>
        </is>
      </c>
      <c r="AU113" s="24" t="inlineStr">
        <is>
          <t>3DMAX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20e27ad25c309367babd477909aaf456b3eeff4b6a3d4b27706d8f38244b6304</t>
        </is>
      </c>
      <c r="BB113" s="24" t="inlineStr">
        <is>
          <t>neutral_elo</t>
        </is>
      </c>
      <c r="BC113" s="24" t="inlineStr">
        <is>
          <t>cs2-tiered-elo-v4</t>
        </is>
      </c>
      <c r="BD113" s="24" t="inlineStr">
        <is>
          <t>20e27ad25c309367babd477909aaf456b3eeff4b6a3d4b27706d8f38244b6304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cs2-tiered-elo-v4</t>
        </is>
      </c>
      <c r="BH113" s="24" t="inlineStr">
        <is>
          <t>2026-07-30T16:55:39.517006Z</t>
        </is>
      </c>
      <c r="BI113" s="24" t="inlineStr">
        <is>
          <t>["same_event","same_team_same_day","same_league_same_day"]</t>
        </is>
      </c>
      <c r="BJ113" s="25" t="n"/>
      <c r="BK113" s="26" t="n">
        <v>144</v>
      </c>
      <c r="BL113" s="27" t="n">
        <v>2.44</v>
      </c>
      <c r="BM113" s="28" t="n">
        <v>0.409836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1bada20b117347d8</t>
        </is>
      </c>
      <c r="B114" s="24" t="inlineStr">
        <is>
          <t>2026-07-30T16:55:43.918344Z</t>
        </is>
      </c>
      <c r="C114" s="24" t="inlineStr">
        <is>
          <t>2026-07-31T14:00:00Z</t>
        </is>
      </c>
      <c r="D114" s="24" t="inlineStr">
        <is>
          <t>66549</t>
        </is>
      </c>
      <c r="E114" s="24" t="inlineStr">
        <is>
          <t>CS2</t>
        </is>
      </c>
      <c r="F114" s="24" t="inlineStr">
        <is>
          <t>megoshort</t>
        </is>
      </c>
      <c r="G114" s="24" t="inlineStr">
        <is>
          <t>Lavked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-170</v>
      </c>
      <c r="M114" s="27" t="n">
        <v>1.588235</v>
      </c>
      <c r="N114" s="28" t="n">
        <v>0.62963</v>
      </c>
      <c r="O114" s="28" t="n">
        <v>0.697797</v>
      </c>
      <c r="P114" s="28" t="n"/>
      <c r="Q114" s="28" t="n">
        <v>0.06816700000000001</v>
      </c>
      <c r="R114" s="26" t="n">
        <v>54</v>
      </c>
      <c r="S114" s="29" t="n">
        <v>2</v>
      </c>
      <c r="T114" s="24" t="inlineStr">
        <is>
          <t>cs2-tiered-elo-v4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0.6300 (market_slug=aec-cs2-lav-mego-2026-07-31).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megoshort</t>
        </is>
      </c>
      <c r="AQ114" s="24" t="inlineStr">
        <is>
          <t>megoshort</t>
        </is>
      </c>
      <c r="AR114" s="24" t="inlineStr">
        <is>
          <t>megoshort</t>
        </is>
      </c>
      <c r="AS114" s="24" t="inlineStr">
        <is>
          <t>Lavked</t>
        </is>
      </c>
      <c r="AT114" s="24" t="inlineStr">
        <is>
          <t>Lavked</t>
        </is>
      </c>
      <c r="AU114" s="24" t="inlineStr">
        <is>
          <t>Lavked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20e27ad25c309367babd477909aaf456b3eeff4b6a3d4b27706d8f38244b6304</t>
        </is>
      </c>
      <c r="BB114" s="24" t="inlineStr">
        <is>
          <t>neutral_elo</t>
        </is>
      </c>
      <c r="BC114" s="24" t="inlineStr">
        <is>
          <t>cs2-tiered-elo-v4</t>
        </is>
      </c>
      <c r="BD114" s="24" t="inlineStr">
        <is>
          <t>20e27ad25c309367babd477909aaf456b3eeff4b6a3d4b27706d8f38244b6304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cs2-tiered-elo-v4</t>
        </is>
      </c>
      <c r="BH114" s="24" t="inlineStr">
        <is>
          <t>2026-07-30T16:55:39.995435Z</t>
        </is>
      </c>
      <c r="BI114" s="24" t="inlineStr">
        <is>
          <t>["same_event","same_team_same_day","same_league_same_day"]</t>
        </is>
      </c>
      <c r="BJ114" s="25" t="n"/>
      <c r="BK114" s="26" t="n">
        <v>-170</v>
      </c>
      <c r="BL114" s="27" t="n">
        <v>1.588235</v>
      </c>
      <c r="BM114" s="28" t="n">
        <v>0.62963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35554b8a95214676</t>
        </is>
      </c>
      <c r="B115" s="24" t="inlineStr">
        <is>
          <t>2026-07-30T16:55:43.918344Z</t>
        </is>
      </c>
      <c r="C115" s="24" t="inlineStr">
        <is>
          <t>2026-07-31T14:00:00Z</t>
        </is>
      </c>
      <c r="D115" s="24" t="inlineStr">
        <is>
          <t>64927</t>
        </is>
      </c>
      <c r="E115" s="24" t="inlineStr">
        <is>
          <t>CS2</t>
        </is>
      </c>
      <c r="F115" s="24" t="inlineStr">
        <is>
          <t>Trainwrecks eSports</t>
        </is>
      </c>
      <c r="G115" s="24" t="inlineStr">
        <is>
          <t>ROUNDS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-186</v>
      </c>
      <c r="M115" s="27" t="n">
        <v>1.537634</v>
      </c>
      <c r="N115" s="28" t="n">
        <v>0.65035</v>
      </c>
      <c r="O115" s="28" t="n">
        <v>0.644294</v>
      </c>
      <c r="P115" s="28" t="n"/>
      <c r="Q115" s="28" t="n">
        <v>-0.006056</v>
      </c>
      <c r="R115" s="26" t="n">
        <v>17</v>
      </c>
      <c r="S115" s="29" t="n">
        <v>0</v>
      </c>
      <c r="T115" s="24" t="inlineStr">
        <is>
          <t>cs2-tiered-elo-v4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0.6500 (market_slug=aec-cs2-rgg-tera-2026-07-31).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Trainwrecks eSports</t>
        </is>
      </c>
      <c r="AQ115" s="24" t="inlineStr">
        <is>
          <t>Trainwrecks eSports</t>
        </is>
      </c>
      <c r="AR115" s="24" t="inlineStr">
        <is>
          <t>Trainwrecks eSports</t>
        </is>
      </c>
      <c r="AS115" s="24" t="inlineStr">
        <is>
          <t>ROUNDS</t>
        </is>
      </c>
      <c r="AT115" s="24" t="inlineStr">
        <is>
          <t>ROUNDS</t>
        </is>
      </c>
      <c r="AU115" s="24" t="inlineStr">
        <is>
          <t>ROUNDS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20e27ad25c309367babd477909aaf456b3eeff4b6a3d4b27706d8f38244b6304</t>
        </is>
      </c>
      <c r="BB115" s="24" t="inlineStr">
        <is>
          <t>neutral_elo</t>
        </is>
      </c>
      <c r="BC115" s="24" t="inlineStr">
        <is>
          <t>cs2-tiered-elo-v4</t>
        </is>
      </c>
      <c r="BD115" s="24" t="inlineStr">
        <is>
          <t>20e27ad25c309367babd477909aaf456b3eeff4b6a3d4b27706d8f38244b6304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cs2-tiered-elo-v4</t>
        </is>
      </c>
      <c r="BH115" s="24" t="inlineStr">
        <is>
          <t>2026-07-30T16:55:40.467515Z</t>
        </is>
      </c>
      <c r="BI115" s="24" t="inlineStr">
        <is>
          <t>["same_event","same_team_same_day","same_league_same_day"]</t>
        </is>
      </c>
      <c r="BJ115" s="25" t="n"/>
      <c r="BK115" s="26" t="n">
        <v>-186</v>
      </c>
      <c r="BL115" s="27" t="n">
        <v>1.537634</v>
      </c>
      <c r="BM115" s="28" t="n">
        <v>0.65035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99a88fd916e04b88</t>
        </is>
      </c>
      <c r="B116" s="24" t="inlineStr">
        <is>
          <t>2026-07-30T16:55:43.918344Z</t>
        </is>
      </c>
      <c r="C116" s="24" t="inlineStr">
        <is>
          <t>2026-07-31T17:00:00Z</t>
        </is>
      </c>
      <c r="D116" s="24" t="inlineStr">
        <is>
          <t>66536</t>
        </is>
      </c>
      <c r="E116" s="24" t="inlineStr">
        <is>
          <t>CS2</t>
        </is>
      </c>
      <c r="F116" s="24" t="inlineStr">
        <is>
          <t>Black Phoenix</t>
        </is>
      </c>
      <c r="G116" s="24" t="inlineStr">
        <is>
          <t>JiJieHao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-213</v>
      </c>
      <c r="M116" s="27" t="n">
        <v>1.469484</v>
      </c>
      <c r="N116" s="28" t="n">
        <v>0.680511</v>
      </c>
      <c r="O116" s="28" t="n">
        <v>0.691882</v>
      </c>
      <c r="P116" s="28" t="n"/>
      <c r="Q116" s="28" t="n">
        <v>0.011371</v>
      </c>
      <c r="R116" s="26" t="n">
        <v>26</v>
      </c>
      <c r="S116" s="29" t="n">
        <v>2</v>
      </c>
      <c r="T116" s="24" t="inlineStr">
        <is>
          <t>cs2-tiered-elo-v4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0.6800 (market_slug=aec-cs2-jjh-bpl-2026-07-31).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Black Phoenix</t>
        </is>
      </c>
      <c r="AQ116" s="24" t="inlineStr">
        <is>
          <t>Black Phoenix</t>
        </is>
      </c>
      <c r="AR116" s="24" t="inlineStr">
        <is>
          <t>Black Phoenix</t>
        </is>
      </c>
      <c r="AS116" s="24" t="inlineStr">
        <is>
          <t>JiJieHao</t>
        </is>
      </c>
      <c r="AT116" s="24" t="inlineStr">
        <is>
          <t>JiJieHao</t>
        </is>
      </c>
      <c r="AU116" s="24" t="inlineStr">
        <is>
          <t>JiJieHao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20e27ad25c309367babd477909aaf456b3eeff4b6a3d4b27706d8f38244b6304</t>
        </is>
      </c>
      <c r="BB116" s="24" t="inlineStr">
        <is>
          <t>neutral_elo</t>
        </is>
      </c>
      <c r="BC116" s="24" t="inlineStr">
        <is>
          <t>cs2-tiered-elo-v4</t>
        </is>
      </c>
      <c r="BD116" s="24" t="inlineStr">
        <is>
          <t>20e27ad25c309367babd477909aaf456b3eeff4b6a3d4b27706d8f38244b6304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cs2-tiered-elo-v4</t>
        </is>
      </c>
      <c r="BH116" s="24" t="inlineStr">
        <is>
          <t>2026-07-30T16:55:41.909156Z</t>
        </is>
      </c>
      <c r="BI116" s="24" t="inlineStr">
        <is>
          <t>["same_event","same_team_same_day","same_league_same_day"]</t>
        </is>
      </c>
      <c r="BJ116" s="25" t="n"/>
      <c r="BK116" s="26" t="n">
        <v>-213</v>
      </c>
      <c r="BL116" s="27" t="n">
        <v>1.469484</v>
      </c>
      <c r="BM116" s="28" t="n">
        <v>0.680511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e412f828f0494a39</t>
        </is>
      </c>
      <c r="B117" s="24" t="inlineStr">
        <is>
          <t>2026-07-30T16:55:43.918344Z</t>
        </is>
      </c>
      <c r="C117" s="24" t="inlineStr">
        <is>
          <t>2026-07-31T17:00:00Z</t>
        </is>
      </c>
      <c r="D117" s="24" t="inlineStr">
        <is>
          <t>66547</t>
        </is>
      </c>
      <c r="E117" s="24" t="inlineStr">
        <is>
          <t>CS2</t>
        </is>
      </c>
      <c r="F117" s="24" t="inlineStr">
        <is>
          <t>STATE</t>
        </is>
      </c>
      <c r="G117" s="24" t="inlineStr">
        <is>
          <t>CYBERSHOKE Esports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203</v>
      </c>
      <c r="M117" s="27" t="n">
        <v>3.03</v>
      </c>
      <c r="N117" s="28" t="n">
        <v>0.330033</v>
      </c>
      <c r="O117" s="28" t="n">
        <v>0.662587</v>
      </c>
      <c r="P117" s="28" t="n"/>
      <c r="Q117" s="28" t="n">
        <v>0.332554</v>
      </c>
      <c r="R117" s="26" t="n">
        <v>100</v>
      </c>
      <c r="S117" s="29" t="n">
        <v>0</v>
      </c>
      <c r="T117" s="24" t="inlineStr">
        <is>
          <t>cs2-tiered-elo-v4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Neutral Elo baseline; executable ask 0.3300 (market_slug=aec-cs2-cs-sta-2026-07-31).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STATE</t>
        </is>
      </c>
      <c r="AQ117" s="24" t="inlineStr">
        <is>
          <t>STATE</t>
        </is>
      </c>
      <c r="AR117" s="24" t="inlineStr">
        <is>
          <t>STATE</t>
        </is>
      </c>
      <c r="AS117" s="24" t="inlineStr">
        <is>
          <t>CYBERSHOKE Esports</t>
        </is>
      </c>
      <c r="AT117" s="24" t="inlineStr">
        <is>
          <t>CYBERSHOKE Esports</t>
        </is>
      </c>
      <c r="AU117" s="24" t="inlineStr">
        <is>
          <t>CYBERSHOKE Esports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20e27ad25c309367babd477909aaf456b3eeff4b6a3d4b27706d8f38244b6304</t>
        </is>
      </c>
      <c r="BB117" s="24" t="inlineStr">
        <is>
          <t>neutral_elo</t>
        </is>
      </c>
      <c r="BC117" s="24" t="inlineStr">
        <is>
          <t>cs2-tiered-elo-v4</t>
        </is>
      </c>
      <c r="BD117" s="24" t="inlineStr">
        <is>
          <t>20e27ad25c309367babd477909aaf456b3eeff4b6a3d4b27706d8f38244b6304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cs2-tiered-elo-v4</t>
        </is>
      </c>
      <c r="BH117" s="24" t="inlineStr">
        <is>
          <t>2026-07-30T16:55:42.899241Z</t>
        </is>
      </c>
      <c r="BI117" s="24" t="inlineStr">
        <is>
          <t>["same_event","same_team_same_day","same_league_same_day"]</t>
        </is>
      </c>
      <c r="BJ117" s="25" t="n"/>
      <c r="BK117" s="26" t="n">
        <v>203</v>
      </c>
      <c r="BL117" s="27" t="n">
        <v>3.03</v>
      </c>
      <c r="BM117" s="28" t="n">
        <v>0.330033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7d181f854cfc4eac</t>
        </is>
      </c>
      <c r="B118" s="24" t="inlineStr">
        <is>
          <t>2026-07-30T16:55:43.918344Z</t>
        </is>
      </c>
      <c r="C118" s="24" t="inlineStr">
        <is>
          <t>2026-07-31T18:00:00Z</t>
        </is>
      </c>
      <c r="D118" s="24" t="inlineStr">
        <is>
          <t>65109</t>
        </is>
      </c>
      <c r="E118" s="24" t="inlineStr">
        <is>
          <t>CS2</t>
        </is>
      </c>
      <c r="F118" s="24" t="inlineStr">
        <is>
          <t>Rush</t>
        </is>
      </c>
      <c r="G118" s="24" t="inlineStr">
        <is>
          <t>paiN Academy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-170</v>
      </c>
      <c r="M118" s="27" t="n">
        <v>1.588235</v>
      </c>
      <c r="N118" s="28" t="n">
        <v>0.62963</v>
      </c>
      <c r="O118" s="28" t="n">
        <v>0.541795</v>
      </c>
      <c r="P118" s="28" t="n"/>
      <c r="Q118" s="28" t="n">
        <v>-0.087835</v>
      </c>
      <c r="R118" s="26" t="n">
        <v>0</v>
      </c>
      <c r="S118" s="29" t="n">
        <v>0</v>
      </c>
      <c r="T118" s="24" t="inlineStr">
        <is>
          <t>cs2-tiered-elo-v4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Neutral Elo baseline; executable ask 0.6300 (market_slug=aec-cs2-paina-rush-2026-07-31).</t>
        </is>
      </c>
      <c r="AF118" s="31" t="inlineStr">
        <is>
          <t>Config-promoted esports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Rush</t>
        </is>
      </c>
      <c r="AQ118" s="24" t="inlineStr">
        <is>
          <t>Rush</t>
        </is>
      </c>
      <c r="AR118" s="24" t="inlineStr">
        <is>
          <t>Rush</t>
        </is>
      </c>
      <c r="AS118" s="24" t="inlineStr">
        <is>
          <t>paiN Academy</t>
        </is>
      </c>
      <c r="AT118" s="24" t="inlineStr">
        <is>
          <t>paiN Academy</t>
        </is>
      </c>
      <c r="AU118" s="24" t="inlineStr">
        <is>
          <t>paiN Academy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20e27ad25c309367babd477909aaf456b3eeff4b6a3d4b27706d8f38244b6304</t>
        </is>
      </c>
      <c r="BB118" s="24" t="inlineStr">
        <is>
          <t>neutral_elo</t>
        </is>
      </c>
      <c r="BC118" s="24" t="inlineStr">
        <is>
          <t>cs2-tiered-elo-v4</t>
        </is>
      </c>
      <c r="BD118" s="24" t="inlineStr">
        <is>
          <t>20e27ad25c309367babd477909aaf456b3eeff4b6a3d4b27706d8f38244b6304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cs2-tiered-elo-v4</t>
        </is>
      </c>
      <c r="BH118" s="24" t="inlineStr">
        <is>
          <t>2026-07-30T16:55:43.917299Z</t>
        </is>
      </c>
      <c r="BI118" s="24" t="inlineStr">
        <is>
          <t>["same_event","same_team_same_day","same_league_same_day"]</t>
        </is>
      </c>
      <c r="BJ118" s="25" t="n"/>
      <c r="BK118" s="26" t="n">
        <v>-170</v>
      </c>
      <c r="BL118" s="27" t="n">
        <v>1.588235</v>
      </c>
      <c r="BM118" s="28" t="n">
        <v>0.62963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2026-07-30T16:56:03Z</dcterms:created>
  <dcterms:modified xsi:type="dcterms:W3CDTF">2026-07-30T16:56:03Z</dcterms:modified>
</cp:coreProperties>
</file>