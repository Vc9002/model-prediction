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4" headerRowCount="1">
  <autoFilter ref="A1:CQ54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COUNTA('Picks'!$A$2:$A$54)</f>
        <v/>
      </c>
      <c r="C4" s="6">
        <f>COUNTIF('Picks'!$U$2:$U$54,"open")</f>
        <v/>
      </c>
      <c r="E4" s="6">
        <f>COUNTIF('Picks'!$U$2:$U$54,"settled")</f>
        <v/>
      </c>
      <c r="G4" s="6">
        <f>IF(COUNTIFS('Picks'!$U$2:$U$54,"settled",'Picks'!$V$2:$V$54,"win")+COUNTIFS('Picks'!$U$2:$U$54,"settled",'Picks'!$V$2:$V$54,"loss")&gt;=$L$2,"Ready","Insufficient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COUNTIF('Picks'!$BX$2:$BX$54,"&gt;0")</f>
        <v/>
      </c>
      <c r="C7" s="6">
        <f>COUNTIFS('Picks'!$BX$2:$BX$54,"&gt;0",'Picks'!$V$2:$V$54,"win")&amp;"-"&amp;COUNTIFS('Picks'!$BX$2:$BX$54,"&gt;0",'Picks'!$V$2:$V$54,"loss")</f>
        <v/>
      </c>
      <c r="E7" s="7">
        <f>IFERROR(COUNTIFS('Picks'!$BX$2:$BX$54,"&gt;0",'Picks'!$V$2:$V$54,"win")/(COUNTIFS('Picks'!$BX$2:$BX$54,"&gt;0",'Picks'!$V$2:$V$54,"win")+COUNTIFS('Picks'!$BX$2:$BX$54,"&gt;0",'Picks'!$V$2:$V$54,"loss")),0)</f>
        <v/>
      </c>
      <c r="G7" s="7">
        <f>IFERROR(SUM('Picks'!$BY$2:$BY$54)/SUM('Picks'!$BX$2:$BX$54),0)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SUM('Picks'!$BY$2:$BY$54)</f>
        <v/>
      </c>
      <c r="C10" s="9">
        <f>IFERROR(AVERAGEIF('Picks'!$AB$2:$AB$54,"&lt;&gt;",'Picks'!$AB$2:$AB$54),0)</f>
        <v/>
      </c>
      <c r="E10" s="6">
        <f>COUNTIFS('Picks'!$AM$2:$AM$54,"QUALIFIED_SHADOW_CALL",'Picks'!$U$2:$U$54,"settled")</f>
        <v/>
      </c>
      <c r="G10" s="8">
        <f>SUMIFS('Picks'!$AC$2:$AC$54,'Picks'!$AM$2:$AM$54,"QUALIFIED_SHADOW_CALL")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COUNTIFS('Picks'!$H$2:$H$54,$A14,'Picks'!$U$2:$U$54,"settled")</f>
        <v/>
      </c>
      <c r="C14" s="13">
        <f>COUNTIFS('Picks'!$H$2:$H$54,$A14,'Picks'!$U$2:$U$54,"settled",'Picks'!$V$2:$V$54,"win")</f>
        <v/>
      </c>
      <c r="D14" s="13">
        <f>COUNTIFS('Picks'!$H$2:$H$54,$A14,'Picks'!$U$2:$U$54,"settled",'Picks'!$V$2:$V$54,"loss")</f>
        <v/>
      </c>
      <c r="E14" s="14">
        <f>IFERROR(C14/(C14+D14),0)</f>
        <v/>
      </c>
      <c r="F14" s="15">
        <f>SUMIFS('Picks'!$BY$2:$BY$54,'Picks'!$H$2:$H$54,$A14)</f>
        <v/>
      </c>
      <c r="G14" s="16">
        <f>IFERROR(AVERAGEIFS('Picks'!$AB$2:$AB$54,'Picks'!$H$2:$H$54,$A14,'Picks'!$U$2:$U$54,"settled"),0)</f>
        <v/>
      </c>
    </row>
    <row r="15">
      <c r="A15" s="17" t="inlineStr">
        <is>
          <t>spread</t>
        </is>
      </c>
      <c r="B15" s="18">
        <f>COUNTIFS('Picks'!$H$2:$H$54,$A15,'Picks'!$U$2:$U$54,"settled")</f>
        <v/>
      </c>
      <c r="C15" s="18">
        <f>COUNTIFS('Picks'!$H$2:$H$54,$A15,'Picks'!$U$2:$U$54,"settled",'Picks'!$V$2:$V$54,"win")</f>
        <v/>
      </c>
      <c r="D15" s="18">
        <f>COUNTIFS('Picks'!$H$2:$H$54,$A15,'Picks'!$U$2:$U$54,"settled",'Picks'!$V$2:$V$54,"loss")</f>
        <v/>
      </c>
      <c r="E15" s="19">
        <f>IFERROR(C15/(C15+D15),0)</f>
        <v/>
      </c>
      <c r="F15" s="20">
        <f>SUMIFS('Picks'!$BY$2:$BY$54,'Picks'!$H$2:$H$54,$A15)</f>
        <v/>
      </c>
      <c r="G15" s="21">
        <f>IFERROR(AVERAGEIFS('Picks'!$AB$2:$AB$54,'Picks'!$H$2:$H$54,$A15,'Picks'!$U$2:$U$54,"settled"),0)</f>
        <v/>
      </c>
    </row>
    <row r="16">
      <c r="A16" s="12" t="inlineStr">
        <is>
          <t>total</t>
        </is>
      </c>
      <c r="B16" s="13">
        <f>COUNTIFS('Picks'!$H$2:$H$54,$A16,'Picks'!$U$2:$U$54,"settled")</f>
        <v/>
      </c>
      <c r="C16" s="13">
        <f>COUNTIFS('Picks'!$H$2:$H$54,$A16,'Picks'!$U$2:$U$54,"settled",'Picks'!$V$2:$V$54,"win")</f>
        <v/>
      </c>
      <c r="D16" s="13">
        <f>COUNTIFS('Picks'!$H$2:$H$54,$A16,'Picks'!$U$2:$U$54,"settled",'Picks'!$V$2:$V$54,"loss")</f>
        <v/>
      </c>
      <c r="E16" s="14">
        <f>IFERROR(C16/(C16+D16),0)</f>
        <v/>
      </c>
      <c r="F16" s="15">
        <f>SUMIFS('Picks'!$BY$2:$BY$54,'Picks'!$H$2:$H$54,$A16)</f>
        <v/>
      </c>
      <c r="G16" s="16">
        <f>IFERROR(AVERAGEIFS('Picks'!$AB$2:$AB$54,'Picks'!$H$2:$H$54,$A16,'Picks'!$U$2:$U$54,"settled"),0)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f385338f671d4616</t>
        </is>
      </c>
      <c r="B38" s="24" t="inlineStr">
        <is>
          <t>2026-08-02T16:15:14.476529Z</t>
        </is>
      </c>
      <c r="C38" s="24" t="inlineStr">
        <is>
          <t>2026-08-02T17:00:00Z</t>
        </is>
      </c>
      <c r="D38" s="24" t="inlineStr">
        <is>
          <t>69681</t>
        </is>
      </c>
      <c r="E38" s="24" t="inlineStr">
        <is>
          <t>CS2</t>
        </is>
      </c>
      <c r="F38" s="24" t="inlineStr">
        <is>
          <t>BASEMENT BOYS</t>
        </is>
      </c>
      <c r="G38" s="24" t="inlineStr">
        <is>
          <t>Mai Tai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0.616241</v>
      </c>
      <c r="P38" s="28" t="n"/>
      <c r="Q38" s="28" t="n">
        <v>-0.074161</v>
      </c>
      <c r="R38" s="26" t="n">
        <v>0</v>
      </c>
      <c r="S38" s="29" t="n">
        <v>1.5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0.6900 (market_slug=aec-cs2-mta-bmb-2026-08-02).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BASEMENT BOYS</t>
        </is>
      </c>
      <c r="AQ38" s="24" t="inlineStr">
        <is>
          <t>BASEMENT BOYS</t>
        </is>
      </c>
      <c r="AR38" s="24" t="inlineStr">
        <is>
          <t>BASEMENT BOYS</t>
        </is>
      </c>
      <c r="AS38" s="24" t="inlineStr">
        <is>
          <t>Mai Tai</t>
        </is>
      </c>
      <c r="AT38" s="24" t="inlineStr">
        <is>
          <t>Mai Tai</t>
        </is>
      </c>
      <c r="AU38" s="24" t="inlineStr">
        <is>
          <t>Mai Tai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be57084f1d7fbd4d502df5071cd07ad0aef0fe46ec9ff6b18e470efb3b2bbfd4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be57084f1d7fbd4d502df5071cd07ad0aef0fe46ec9ff6b18e470efb3b2bbfd4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2026-08-02T16:14:57.846727Z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False</t>
        </is>
      </c>
    </row>
    <row r="39" ht="36" customHeight="1">
      <c r="A39" s="24" t="inlineStr">
        <is>
          <t>3665df6053ba4abb</t>
        </is>
      </c>
      <c r="B39" s="24" t="inlineStr">
        <is>
          <t>2026-08-02T16:15:14.476529Z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-233</v>
      </c>
      <c r="M39" s="27" t="n">
        <v>1.429185</v>
      </c>
      <c r="N39" s="28" t="n">
        <v>0.6997</v>
      </c>
      <c r="O39" s="28" t="n">
        <v>0.680308</v>
      </c>
      <c r="P39" s="28" t="n"/>
      <c r="Q39" s="28" t="n">
        <v>-0.019392</v>
      </c>
      <c r="R39" s="26" t="n">
        <v>10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0.7000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be57084f1d7fbd4d502df5071cd07ad0aef0fe46ec9ff6b18e470efb3b2bbfd4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be57084f1d7fbd4d502df5071cd07ad0aef0fe46ec9ff6b18e470efb3b2bbfd4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2026-08-02T16:14:58.340278Z</t>
        </is>
      </c>
      <c r="BI39" s="24" t="inlineStr">
        <is>
          <t>["same_event","same_team_same_day","same_league_same_day"]</t>
        </is>
      </c>
      <c r="BJ39" s="25" t="n"/>
      <c r="BK39" s="26" t="n">
        <v>-233</v>
      </c>
      <c r="BL39" s="27" t="n">
        <v>1.429185</v>
      </c>
      <c r="BM39" s="28" t="n">
        <v>0.6997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False</t>
        </is>
      </c>
    </row>
    <row r="40" ht="36" customHeight="1">
      <c r="A40" s="24" t="inlineStr">
        <is>
          <t>3bec5ce3b31644d1</t>
        </is>
      </c>
      <c r="B40" s="24" t="inlineStr">
        <is>
          <t>2026-08-02T16:15:14.476529Z</t>
        </is>
      </c>
      <c r="C40" s="24" t="inlineStr">
        <is>
          <t>2026-08-02T17:00:00Z</t>
        </is>
      </c>
      <c r="D40" s="24" t="inlineStr">
        <is>
          <t>69682</t>
        </is>
      </c>
      <c r="E40" s="24" t="inlineStr">
        <is>
          <t>CS2</t>
        </is>
      </c>
      <c r="F40" s="24" t="inlineStr">
        <is>
          <t>Fire Flux Esports</t>
        </is>
      </c>
      <c r="G40" s="24" t="inlineStr">
        <is>
          <t>Bushido Wildcats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0.6842009999999999</v>
      </c>
      <c r="P40" s="28" t="n"/>
      <c r="Q40" s="28" t="n">
        <v>0.043913</v>
      </c>
      <c r="R40" s="26" t="n">
        <v>42</v>
      </c>
      <c r="S40" s="29" t="n">
        <v>2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0.6400 (market_slug=aec-cs2-bw-ff-2026-08-02).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Fire Flux Esports</t>
        </is>
      </c>
      <c r="AQ40" s="24" t="inlineStr">
        <is>
          <t>Fire Flux Esports</t>
        </is>
      </c>
      <c r="AR40" s="24" t="inlineStr">
        <is>
          <t>Fire Flux Esports</t>
        </is>
      </c>
      <c r="AS40" s="24" t="inlineStr">
        <is>
          <t>Bushido Wildcats</t>
        </is>
      </c>
      <c r="AT40" s="24" t="inlineStr">
        <is>
          <t>Bushido Wildcats</t>
        </is>
      </c>
      <c r="AU40" s="24" t="inlineStr">
        <is>
          <t>Bushido Wildcats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be57084f1d7fbd4d502df5071cd07ad0aef0fe46ec9ff6b18e470efb3b2bbfd4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be57084f1d7fbd4d502df5071cd07ad0aef0fe46ec9ff6b18e470efb3b2bbfd4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2026-08-02T16:14:58.893489Z</t>
        </is>
      </c>
      <c r="BI40" s="24" t="inlineStr">
        <is>
          <t>["same_event","same_team_same_day","same_league_same_day"]</t>
        </is>
      </c>
      <c r="BJ40" s="25" t="n"/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2fbf53bfe5054b4a</t>
        </is>
      </c>
      <c r="B41" s="24" t="inlineStr">
        <is>
          <t>2026-08-02T16:15:14.476529Z</t>
        </is>
      </c>
      <c r="C41" s="24" t="inlineStr">
        <is>
          <t>2026-08-02T17:00:00Z</t>
        </is>
      </c>
      <c r="D41" s="24" t="inlineStr">
        <is>
          <t>69679</t>
        </is>
      </c>
      <c r="E41" s="24" t="inlineStr">
        <is>
          <t>CS2</t>
        </is>
      </c>
      <c r="F41" s="24" t="inlineStr">
        <is>
          <t>Noir Verse</t>
        </is>
      </c>
      <c r="G41" s="24" t="inlineStr">
        <is>
          <t>DragonClaw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-233</v>
      </c>
      <c r="M41" s="27" t="n">
        <v>1.429185</v>
      </c>
      <c r="N41" s="28" t="n">
        <v>0.6997</v>
      </c>
      <c r="O41" s="28" t="n">
        <v>0.632201</v>
      </c>
      <c r="P41" s="28" t="n"/>
      <c r="Q41" s="28" t="n">
        <v>-0.067499</v>
      </c>
      <c r="R41" s="26" t="n">
        <v>0</v>
      </c>
      <c r="S41" s="29" t="n">
        <v>1.5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0.7000 (market_slug=aec-cs2-dc-nvo-2026-08-02).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Noir Verse</t>
        </is>
      </c>
      <c r="AQ41" s="24" t="inlineStr">
        <is>
          <t>Noir Verse</t>
        </is>
      </c>
      <c r="AR41" s="24" t="inlineStr">
        <is>
          <t>Noir Verse</t>
        </is>
      </c>
      <c r="AS41" s="24" t="inlineStr">
        <is>
          <t>DragonClaw</t>
        </is>
      </c>
      <c r="AT41" s="24" t="inlineStr">
        <is>
          <t>DragonClaw</t>
        </is>
      </c>
      <c r="AU41" s="24" t="inlineStr">
        <is>
          <t>DragonClaw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be57084f1d7fbd4d502df5071cd07ad0aef0fe46ec9ff6b18e470efb3b2bbfd4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be57084f1d7fbd4d502df5071cd07ad0aef0fe46ec9ff6b18e470efb3b2bbfd4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2026-08-02T16:15:00.014811Z</t>
        </is>
      </c>
      <c r="BI41" s="24" t="inlineStr">
        <is>
          <t>["same_event","same_team_same_day","same_league_same_day"]</t>
        </is>
      </c>
      <c r="BJ41" s="25" t="n"/>
      <c r="BK41" s="26" t="n">
        <v>-233</v>
      </c>
      <c r="BL41" s="27" t="n">
        <v>1.429185</v>
      </c>
      <c r="BM41" s="28" t="n">
        <v>0.6997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False</t>
        </is>
      </c>
    </row>
    <row r="42" ht="36" customHeight="1">
      <c r="A42" s="24" t="inlineStr">
        <is>
          <t>99b0c3dddef84564</t>
        </is>
      </c>
      <c r="B42" s="24" t="inlineStr">
        <is>
          <t>2026-08-02T16:15:14.476529Z</t>
        </is>
      </c>
      <c r="C42" s="24" t="inlineStr">
        <is>
          <t>2026-08-02T18:00:00Z</t>
        </is>
      </c>
      <c r="D42" s="24" t="inlineStr">
        <is>
          <t>69289</t>
        </is>
      </c>
      <c r="E42" s="24" t="inlineStr">
        <is>
          <t>CS2</t>
        </is>
      </c>
      <c r="F42" s="24" t="inlineStr">
        <is>
          <t>BESTIA</t>
        </is>
      </c>
      <c r="G42" s="24" t="inlineStr">
        <is>
          <t>ShindeN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0.510807</v>
      </c>
      <c r="P42" s="28" t="n"/>
      <c r="Q42" s="28" t="n">
        <v>0.110807</v>
      </c>
      <c r="R42" s="26" t="n">
        <v>75</v>
      </c>
      <c r="S42" s="29" t="n">
        <v>1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0.4000 (market_slug=aec-cs2-shin-bst-2026-08-02).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BESTIA</t>
        </is>
      </c>
      <c r="AQ42" s="24" t="inlineStr">
        <is>
          <t>BESTIA</t>
        </is>
      </c>
      <c r="AR42" s="24" t="inlineStr">
        <is>
          <t>BESTIA</t>
        </is>
      </c>
      <c r="AS42" s="24" t="inlineStr">
        <is>
          <t>ShindeN</t>
        </is>
      </c>
      <c r="AT42" s="24" t="inlineStr">
        <is>
          <t>ShindeN</t>
        </is>
      </c>
      <c r="AU42" s="24" t="inlineStr">
        <is>
          <t>ShindeN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be57084f1d7fbd4d502df5071cd07ad0aef0fe46ec9ff6b18e470efb3b2bbfd4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be57084f1d7fbd4d502df5071cd07ad0aef0fe46ec9ff6b18e470efb3b2bbfd4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2026-08-02T16:15:01.130828Z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True</t>
        </is>
      </c>
    </row>
    <row r="43" ht="36" customHeight="1">
      <c r="A43" s="24" t="inlineStr">
        <is>
          <t>c16eb6a46e7b4b0e</t>
        </is>
      </c>
      <c r="B43" s="24" t="inlineStr">
        <is>
          <t>2026-08-02T16:15:14.476529Z</t>
        </is>
      </c>
      <c r="C43" s="24" t="inlineStr">
        <is>
          <t>2026-08-02T19:15:00Z</t>
        </is>
      </c>
      <c r="D43" s="24" t="inlineStr">
        <is>
          <t>67576</t>
        </is>
      </c>
      <c r="E43" s="24" t="inlineStr">
        <is>
          <t>CS2</t>
        </is>
      </c>
      <c r="F43" s="24" t="inlineStr">
        <is>
          <t>mokrivskiy Club</t>
        </is>
      </c>
      <c r="G43" s="24" t="inlineStr">
        <is>
          <t>Morphilina Club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127</v>
      </c>
      <c r="M43" s="27" t="n">
        <v>2.27</v>
      </c>
      <c r="N43" s="28" t="n">
        <v>0.440529</v>
      </c>
      <c r="O43" s="28" t="n">
        <v>0.57955</v>
      </c>
      <c r="P43" s="28" t="n"/>
      <c r="Q43" s="28" t="n">
        <v>0.139021</v>
      </c>
      <c r="R43" s="26" t="n">
        <v>90</v>
      </c>
      <c r="S43" s="29" t="n">
        <v>1.25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0.4400 (market_slug=aec-cs2-mcor-mco-2026-08-02).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mokrivskiy Club</t>
        </is>
      </c>
      <c r="AQ43" s="24" t="inlineStr">
        <is>
          <t>mokrivskiy Club</t>
        </is>
      </c>
      <c r="AR43" s="24" t="inlineStr">
        <is>
          <t>mokrivskiy Club</t>
        </is>
      </c>
      <c r="AS43" s="24" t="inlineStr">
        <is>
          <t>Morphilina Club</t>
        </is>
      </c>
      <c r="AT43" s="24" t="inlineStr">
        <is>
          <t>Morphilina Club</t>
        </is>
      </c>
      <c r="AU43" s="24" t="inlineStr">
        <is>
          <t>Morphilina Club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be57084f1d7fbd4d502df5071cd07ad0aef0fe46ec9ff6b18e470efb3b2bbfd4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be57084f1d7fbd4d502df5071cd07ad0aef0fe46ec9ff6b18e470efb3b2bbfd4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2026-08-02T16:15:01.749745Z</t>
        </is>
      </c>
      <c r="BI43" s="24" t="inlineStr">
        <is>
          <t>["same_event","same_team_same_day","same_league_same_day"]</t>
        </is>
      </c>
      <c r="BJ43" s="25" t="n"/>
      <c r="BK43" s="26" t="n">
        <v>127</v>
      </c>
      <c r="BL43" s="27" t="n">
        <v>2.27</v>
      </c>
      <c r="BM43" s="28" t="n">
        <v>0.440529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a537748a25784e56</t>
        </is>
      </c>
      <c r="B44" s="24" t="inlineStr">
        <is>
          <t>2026-08-02T16:15:14.476529Z</t>
        </is>
      </c>
      <c r="C44" s="24" t="inlineStr">
        <is>
          <t>2026-08-02T19:15:00Z</t>
        </is>
      </c>
      <c r="D44" s="24" t="inlineStr">
        <is>
          <t>67577</t>
        </is>
      </c>
      <c r="E44" s="24" t="inlineStr">
        <is>
          <t>CS2</t>
        </is>
      </c>
      <c r="F44" s="24" t="inlineStr">
        <is>
          <t>SNAILKICK Club</t>
        </is>
      </c>
      <c r="G44" s="24" t="inlineStr">
        <is>
          <t>Lixxx Club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-156</v>
      </c>
      <c r="M44" s="27" t="n">
        <v>1.641026</v>
      </c>
      <c r="N44" s="28" t="n">
        <v>0.609375</v>
      </c>
      <c r="O44" s="28" t="n">
        <v>0.526936</v>
      </c>
      <c r="P44" s="28" t="n"/>
      <c r="Q44" s="28" t="n">
        <v>-0.082439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0.6100 (market_slug=aec-cs2-lci-scn-2026-08-02).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SNAILKICK Club</t>
        </is>
      </c>
      <c r="AQ44" s="24" t="inlineStr">
        <is>
          <t>SNAILKICK Club</t>
        </is>
      </c>
      <c r="AR44" s="24" t="inlineStr">
        <is>
          <t>SNAILKICK Club</t>
        </is>
      </c>
      <c r="AS44" s="24" t="inlineStr">
        <is>
          <t>Lixxx Club</t>
        </is>
      </c>
      <c r="AT44" s="24" t="inlineStr">
        <is>
          <t>Lixxx Club</t>
        </is>
      </c>
      <c r="AU44" s="24" t="inlineStr">
        <is>
          <t>Lixxx Club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be57084f1d7fbd4d502df5071cd07ad0aef0fe46ec9ff6b18e470efb3b2bbfd4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be57084f1d7fbd4d502df5071cd07ad0aef0fe46ec9ff6b18e470efb3b2bbfd4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2026-08-02T16:15:02.236713Z</t>
        </is>
      </c>
      <c r="BI44" s="24" t="inlineStr">
        <is>
          <t>["same_event","same_team_same_day","same_league_same_day"]</t>
        </is>
      </c>
      <c r="BJ44" s="25" t="n"/>
      <c r="BK44" s="26" t="n">
        <v>-156</v>
      </c>
      <c r="BL44" s="27" t="n">
        <v>1.641026</v>
      </c>
      <c r="BM44" s="28" t="n">
        <v>0.609375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False</t>
        </is>
      </c>
    </row>
    <row r="45" ht="36" customHeight="1">
      <c r="A45" s="24" t="inlineStr">
        <is>
          <t>8f3af3ca9e3a4409</t>
        </is>
      </c>
      <c r="B45" s="24" t="inlineStr">
        <is>
          <t>2026-08-02T16:15:14.476529Z</t>
        </is>
      </c>
      <c r="C45" s="24" t="inlineStr">
        <is>
          <t>2026-08-03T08:00:00Z</t>
        </is>
      </c>
      <c r="D45" s="24" t="inlineStr">
        <is>
          <t>68288</t>
        </is>
      </c>
      <c r="E45" s="24" t="inlineStr">
        <is>
          <t>CS2</t>
        </is>
      </c>
      <c r="F45" s="24" t="inlineStr">
        <is>
          <t>CYBERSHOKE Prospects</t>
        </is>
      </c>
      <c r="G45" s="24" t="inlineStr">
        <is>
          <t>WW Team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186</v>
      </c>
      <c r="M45" s="27" t="n">
        <v>2.86</v>
      </c>
      <c r="N45" s="28" t="n">
        <v>0.34965</v>
      </c>
      <c r="O45" s="28" t="n">
        <v>0.7042350000000001</v>
      </c>
      <c r="P45" s="28" t="n"/>
      <c r="Q45" s="28" t="n">
        <v>0.354585</v>
      </c>
      <c r="R45" s="26" t="n">
        <v>100</v>
      </c>
      <c r="S45" s="29" t="n">
        <v>2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0.3500 (market_slug=aec-cs2-ww-cshp-2026-08-03).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CYBERSHOKE Prospects</t>
        </is>
      </c>
      <c r="AQ45" s="24" t="inlineStr">
        <is>
          <t>CYBERSHOKE Prospects</t>
        </is>
      </c>
      <c r="AR45" s="24" t="inlineStr">
        <is>
          <t>CYBERSHOKE Prospects</t>
        </is>
      </c>
      <c r="AS45" s="24" t="inlineStr">
        <is>
          <t>WW Team</t>
        </is>
      </c>
      <c r="AT45" s="24" t="inlineStr">
        <is>
          <t>WW Team</t>
        </is>
      </c>
      <c r="AU45" s="24" t="inlineStr">
        <is>
          <t>WW Team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be57084f1d7fbd4d502df5071cd07ad0aef0fe46ec9ff6b18e470efb3b2bbfd4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be57084f1d7fbd4d502df5071cd07ad0aef0fe46ec9ff6b18e470efb3b2bbfd4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2026-08-02T16:15:03.660648Z</t>
        </is>
      </c>
      <c r="BI45" s="24" t="inlineStr">
        <is>
          <t>["same_event","same_team_same_day","same_league_same_day"]</t>
        </is>
      </c>
      <c r="BJ45" s="25" t="n"/>
      <c r="BK45" s="26" t="n">
        <v>186</v>
      </c>
      <c r="BL45" s="27" t="n">
        <v>2.86</v>
      </c>
      <c r="BM45" s="28" t="n">
        <v>0.34965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True</t>
        </is>
      </c>
    </row>
    <row r="46" ht="36" customHeight="1">
      <c r="A46" s="24" t="inlineStr">
        <is>
          <t>f7d84bedbe6b465c</t>
        </is>
      </c>
      <c r="B46" s="24" t="inlineStr">
        <is>
          <t>2026-08-02T16:15:14.476529Z</t>
        </is>
      </c>
      <c r="C46" s="24" t="inlineStr">
        <is>
          <t>2026-08-03T10:00:00Z</t>
        </is>
      </c>
      <c r="D46" s="24" t="inlineStr">
        <is>
          <t>68289</t>
        </is>
      </c>
      <c r="E46" s="24" t="inlineStr">
        <is>
          <t>CS2</t>
        </is>
      </c>
      <c r="F46" s="24" t="inlineStr">
        <is>
          <t>FURY</t>
        </is>
      </c>
      <c r="G46" s="24" t="inlineStr">
        <is>
          <t>Mindfreak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-138</v>
      </c>
      <c r="M46" s="27" t="n">
        <v>1.724638</v>
      </c>
      <c r="N46" s="28" t="n">
        <v>0.579832</v>
      </c>
      <c r="O46" s="28" t="n">
        <v>0.599195</v>
      </c>
      <c r="P46" s="28" t="n"/>
      <c r="Q46" s="28" t="n">
        <v>0.019363</v>
      </c>
      <c r="R46" s="26" t="n">
        <v>30</v>
      </c>
      <c r="S46" s="29" t="n">
        <v>1.25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0.5800 (market_slug=aec-cs2-mf-fury-2026-08-03).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FURY</t>
        </is>
      </c>
      <c r="AQ46" s="24" t="inlineStr">
        <is>
          <t>FURY</t>
        </is>
      </c>
      <c r="AR46" s="24" t="inlineStr">
        <is>
          <t>FURY</t>
        </is>
      </c>
      <c r="AS46" s="24" t="inlineStr">
        <is>
          <t>Mindfreak</t>
        </is>
      </c>
      <c r="AT46" s="24" t="inlineStr">
        <is>
          <t>Mindfreak</t>
        </is>
      </c>
      <c r="AU46" s="24" t="inlineStr">
        <is>
          <t>Mindfreak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be57084f1d7fbd4d502df5071cd07ad0aef0fe46ec9ff6b18e470efb3b2bbfd4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be57084f1d7fbd4d502df5071cd07ad0aef0fe46ec9ff6b18e470efb3b2bbfd4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2026-08-02T16:15:04.678326Z</t>
        </is>
      </c>
      <c r="BI46" s="24" t="inlineStr">
        <is>
          <t>["same_event","same_team_same_day","same_league_same_day"]</t>
        </is>
      </c>
      <c r="BJ46" s="25" t="n"/>
      <c r="BK46" s="26" t="n">
        <v>-138</v>
      </c>
      <c r="BL46" s="27" t="n">
        <v>1.724638</v>
      </c>
      <c r="BM46" s="28" t="n">
        <v>0.579832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True</t>
        </is>
      </c>
    </row>
    <row r="47" ht="36" customHeight="1">
      <c r="A47" s="24" t="inlineStr">
        <is>
          <t>dffbe7e4fcdf4368</t>
        </is>
      </c>
      <c r="B47" s="24" t="inlineStr">
        <is>
          <t>2026-08-02T16:15:14.476529Z</t>
        </is>
      </c>
      <c r="C47" s="24" t="inlineStr">
        <is>
          <t>2026-08-03T10:00:00Z</t>
        </is>
      </c>
      <c r="D47" s="24" t="inlineStr">
        <is>
          <t>67510</t>
        </is>
      </c>
      <c r="E47" s="24" t="inlineStr">
        <is>
          <t>CS2</t>
        </is>
      </c>
      <c r="F47" s="24" t="inlineStr">
        <is>
          <t>Johnny Speeds</t>
        </is>
      </c>
      <c r="G47" s="24" t="inlineStr">
        <is>
          <t>Metizport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0.563014</v>
      </c>
      <c r="P47" s="28" t="n"/>
      <c r="Q47" s="28" t="n">
        <v>-0.127388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0.6900 (market_slug=aec-cs2-mzp-js-2026-08-03).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Johnny Speeds</t>
        </is>
      </c>
      <c r="AQ47" s="24" t="inlineStr">
        <is>
          <t>Johnny Speeds</t>
        </is>
      </c>
      <c r="AR47" s="24" t="inlineStr">
        <is>
          <t>Johnny Speeds</t>
        </is>
      </c>
      <c r="AS47" s="24" t="inlineStr">
        <is>
          <t>Metizport</t>
        </is>
      </c>
      <c r="AT47" s="24" t="inlineStr">
        <is>
          <t>Metizport</t>
        </is>
      </c>
      <c r="AU47" s="24" t="inlineStr">
        <is>
          <t>Metizport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be57084f1d7fbd4d502df5071cd07ad0aef0fe46ec9ff6b18e470efb3b2bbfd4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be57084f1d7fbd4d502df5071cd07ad0aef0fe46ec9ff6b18e470efb3b2bbfd4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2026-08-02T16:15:05.206115Z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False</t>
        </is>
      </c>
    </row>
    <row r="48" ht="36" customHeight="1">
      <c r="A48" s="24" t="inlineStr">
        <is>
          <t>3fc885d5fb374d1f</t>
        </is>
      </c>
      <c r="B48" s="24" t="inlineStr">
        <is>
          <t>2026-08-02T16:15:14.476529Z</t>
        </is>
      </c>
      <c r="C48" s="24" t="inlineStr">
        <is>
          <t>2026-08-03T11:00:00Z</t>
        </is>
      </c>
      <c r="D48" s="24" t="inlineStr">
        <is>
          <t>69267</t>
        </is>
      </c>
      <c r="E48" s="24" t="inlineStr">
        <is>
          <t>CS2</t>
        </is>
      </c>
      <c r="F48" s="24" t="inlineStr">
        <is>
          <t>los kogutos</t>
        </is>
      </c>
      <c r="G48" s="24" t="inlineStr">
        <is>
          <t>Just Players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-213</v>
      </c>
      <c r="M48" s="27" t="n">
        <v>1.469484</v>
      </c>
      <c r="N48" s="28" t="n">
        <v>0.680511</v>
      </c>
      <c r="O48" s="28" t="n">
        <v>0.628883</v>
      </c>
      <c r="P48" s="28" t="n"/>
      <c r="Q48" s="28" t="n">
        <v>-0.051628</v>
      </c>
      <c r="R48" s="26" t="n">
        <v>0</v>
      </c>
      <c r="S48" s="29" t="n">
        <v>1.5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0.6800 (market_slug=aec-cs2-jpu-lk-2026-08-03).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los kogutos</t>
        </is>
      </c>
      <c r="AQ48" s="24" t="inlineStr">
        <is>
          <t>los kogutos</t>
        </is>
      </c>
      <c r="AR48" s="24" t="inlineStr">
        <is>
          <t>los kogutos</t>
        </is>
      </c>
      <c r="AS48" s="24" t="inlineStr">
        <is>
          <t>Just Players</t>
        </is>
      </c>
      <c r="AT48" s="24" t="inlineStr">
        <is>
          <t>Just Players</t>
        </is>
      </c>
      <c r="AU48" s="24" t="inlineStr">
        <is>
          <t>Just Players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be57084f1d7fbd4d502df5071cd07ad0aef0fe46ec9ff6b18e470efb3b2bbfd4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be57084f1d7fbd4d502df5071cd07ad0aef0fe46ec9ff6b18e470efb3b2bbfd4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2026-08-02T16:15:07.681014Z</t>
        </is>
      </c>
      <c r="BI48" s="24" t="inlineStr">
        <is>
          <t>["same_event","same_team_same_day","same_league_same_day"]</t>
        </is>
      </c>
      <c r="BJ48" s="25" t="n"/>
      <c r="BK48" s="26" t="n">
        <v>-213</v>
      </c>
      <c r="BL48" s="27" t="n">
        <v>1.469484</v>
      </c>
      <c r="BM48" s="28" t="n">
        <v>0.680511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False</t>
        </is>
      </c>
    </row>
    <row r="49" ht="36" customHeight="1">
      <c r="A49" s="24" t="inlineStr">
        <is>
          <t>8d5696a8efae4319</t>
        </is>
      </c>
      <c r="B49" s="24" t="inlineStr">
        <is>
          <t>2026-08-02T16:15:14.476529Z</t>
        </is>
      </c>
      <c r="C49" s="24" t="inlineStr">
        <is>
          <t>2026-08-03T11:00:00Z</t>
        </is>
      </c>
      <c r="D49" s="24" t="inlineStr">
        <is>
          <t>69135</t>
        </is>
      </c>
      <c r="E49" s="24" t="inlineStr">
        <is>
          <t>CS2</t>
        </is>
      </c>
      <c r="F49" s="24" t="inlineStr">
        <is>
          <t>ex-RUBY</t>
        </is>
      </c>
      <c r="G49" s="24" t="inlineStr">
        <is>
          <t>1WIN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-156</v>
      </c>
      <c r="M49" s="27" t="n">
        <v>1.641026</v>
      </c>
      <c r="N49" s="28" t="n">
        <v>0.609375</v>
      </c>
      <c r="O49" s="28" t="n">
        <v>0.527254</v>
      </c>
      <c r="P49" s="28" t="n"/>
      <c r="Q49" s="28" t="n">
        <v>-0.082121</v>
      </c>
      <c r="R49" s="26" t="n">
        <v>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0.6100 (market_slug=aec-cs2-1win-exruby-2026-08-03).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ex-RUBY</t>
        </is>
      </c>
      <c r="AQ49" s="24" t="inlineStr">
        <is>
          <t>ex-RUBY</t>
        </is>
      </c>
      <c r="AR49" s="24" t="inlineStr">
        <is>
          <t>ex-RUBY</t>
        </is>
      </c>
      <c r="AS49" s="24" t="inlineStr">
        <is>
          <t>1WIN</t>
        </is>
      </c>
      <c r="AT49" s="24" t="inlineStr">
        <is>
          <t>1WIN</t>
        </is>
      </c>
      <c r="AU49" s="24" t="inlineStr">
        <is>
          <t>1WIN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be57084f1d7fbd4d502df5071cd07ad0aef0fe46ec9ff6b18e470efb3b2bbfd4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be57084f1d7fbd4d502df5071cd07ad0aef0fe46ec9ff6b18e470efb3b2bbfd4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2026-08-02T16:15:08.249635Z</t>
        </is>
      </c>
      <c r="BI49" s="24" t="inlineStr">
        <is>
          <t>["same_event","same_team_same_day","same_league_same_day"]</t>
        </is>
      </c>
      <c r="BJ49" s="25" t="n"/>
      <c r="BK49" s="26" t="n">
        <v>-156</v>
      </c>
      <c r="BL49" s="27" t="n">
        <v>1.641026</v>
      </c>
      <c r="BM49" s="28" t="n">
        <v>0.609375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False</t>
        </is>
      </c>
    </row>
    <row r="50" ht="36" customHeight="1">
      <c r="A50" s="24" t="inlineStr">
        <is>
          <t>58de58897ee54660</t>
        </is>
      </c>
      <c r="B50" s="24" t="inlineStr">
        <is>
          <t>2026-08-02T16:15:14.476529Z</t>
        </is>
      </c>
      <c r="C50" s="24" t="inlineStr">
        <is>
          <t>2026-08-03T11:00:00Z</t>
        </is>
      </c>
      <c r="D50" s="24" t="inlineStr">
        <is>
          <t>67578</t>
        </is>
      </c>
      <c r="E50" s="24" t="inlineStr">
        <is>
          <t>CS2</t>
        </is>
      </c>
      <c r="F50" s="24" t="inlineStr">
        <is>
          <t>Perfecto Club</t>
        </is>
      </c>
      <c r="G50" s="24" t="inlineStr">
        <is>
          <t>Recrent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-150</v>
      </c>
      <c r="M50" s="27" t="n">
        <v>1.666667</v>
      </c>
      <c r="N50" s="28" t="n">
        <v>0.6</v>
      </c>
      <c r="O50" s="28" t="n">
        <v>0.526936</v>
      </c>
      <c r="P50" s="28" t="n"/>
      <c r="Q50" s="28" t="n">
        <v>-0.073064</v>
      </c>
      <c r="R50" s="26" t="n">
        <v>0</v>
      </c>
      <c r="S50" s="29" t="n">
        <v>1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0.6000 (market_slug=aec-cs2-rce-pce-2026-08-03).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Perfecto Club</t>
        </is>
      </c>
      <c r="AQ50" s="24" t="inlineStr">
        <is>
          <t>Perfecto Club</t>
        </is>
      </c>
      <c r="AR50" s="24" t="inlineStr">
        <is>
          <t>Perfecto Club</t>
        </is>
      </c>
      <c r="AS50" s="24" t="inlineStr">
        <is>
          <t>Recrent Club</t>
        </is>
      </c>
      <c r="AT50" s="24" t="inlineStr">
        <is>
          <t>Recrent Club</t>
        </is>
      </c>
      <c r="AU50" s="24" t="inlineStr">
        <is>
          <t>Recrent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be57084f1d7fbd4d502df5071cd07ad0aef0fe46ec9ff6b18e470efb3b2bbfd4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be57084f1d7fbd4d502df5071cd07ad0aef0fe46ec9ff6b18e470efb3b2bbfd4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2026-08-02T16:15:08.773065Z</t>
        </is>
      </c>
      <c r="BI50" s="24" t="inlineStr">
        <is>
          <t>["same_event","same_team_same_day","same_league_same_day"]</t>
        </is>
      </c>
      <c r="BJ50" s="25" t="n"/>
      <c r="BK50" s="26" t="n">
        <v>-150</v>
      </c>
      <c r="BL50" s="27" t="n">
        <v>1.666667</v>
      </c>
      <c r="BM50" s="28" t="n">
        <v>0.6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False</t>
        </is>
      </c>
    </row>
    <row r="51" ht="36" customHeight="1">
      <c r="A51" s="24" t="inlineStr">
        <is>
          <t>524fb6f75b7e4bb1</t>
        </is>
      </c>
      <c r="B51" s="24" t="inlineStr">
        <is>
          <t>2026-08-02T16:15:14.476529Z</t>
        </is>
      </c>
      <c r="C51" s="24" t="inlineStr">
        <is>
          <t>2026-08-03T13:45:00Z</t>
        </is>
      </c>
      <c r="D51" s="24" t="inlineStr">
        <is>
          <t>67579</t>
        </is>
      </c>
      <c r="E51" s="24" t="inlineStr">
        <is>
          <t>CS2</t>
        </is>
      </c>
      <c r="F51" s="24" t="inlineStr">
        <is>
          <t>Morphilina Club</t>
        </is>
      </c>
      <c r="G51" s="24" t="inlineStr">
        <is>
          <t>Perfecto Club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194</v>
      </c>
      <c r="M51" s="27" t="n">
        <v>2.94</v>
      </c>
      <c r="N51" s="28" t="n">
        <v>0.340136</v>
      </c>
      <c r="O51" s="28" t="n">
        <v>0.5262829999999999</v>
      </c>
      <c r="P51" s="28" t="n"/>
      <c r="Q51" s="28" t="n">
        <v>0.186147</v>
      </c>
      <c r="R51" s="26" t="n">
        <v>100</v>
      </c>
      <c r="S51" s="29" t="n">
        <v>1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0.3400 (market_slug=aec-cs2-pce-mcor-2026-08-03).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Morphilina Club</t>
        </is>
      </c>
      <c r="AQ51" s="24" t="inlineStr">
        <is>
          <t>Morphilina Club</t>
        </is>
      </c>
      <c r="AR51" s="24" t="inlineStr">
        <is>
          <t>Morphilina Club</t>
        </is>
      </c>
      <c r="AS51" s="24" t="inlineStr">
        <is>
          <t>Perfecto Club</t>
        </is>
      </c>
      <c r="AT51" s="24" t="inlineStr">
        <is>
          <t>Perfecto Club</t>
        </is>
      </c>
      <c r="AU51" s="24" t="inlineStr">
        <is>
          <t>Perfecto Club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be57084f1d7fbd4d502df5071cd07ad0aef0fe46ec9ff6b18e470efb3b2bbfd4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be57084f1d7fbd4d502df5071cd07ad0aef0fe46ec9ff6b18e470efb3b2bbfd4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2026-08-02T16:15:09.305570Z</t>
        </is>
      </c>
      <c r="BI51" s="24" t="inlineStr">
        <is>
          <t>["same_event","same_team_same_day","same_league_same_day"]</t>
        </is>
      </c>
      <c r="BJ51" s="25" t="n"/>
      <c r="BK51" s="26" t="n">
        <v>194</v>
      </c>
      <c r="BL51" s="27" t="n">
        <v>2.94</v>
      </c>
      <c r="BM51" s="28" t="n">
        <v>0.340136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True</t>
        </is>
      </c>
    </row>
    <row r="52" ht="36" customHeight="1">
      <c r="A52" s="24" t="inlineStr">
        <is>
          <t>13cd0b530de04f9a</t>
        </is>
      </c>
      <c r="B52" s="24" t="inlineStr">
        <is>
          <t>2026-08-02T16:15:14.476529Z</t>
        </is>
      </c>
      <c r="C52" s="24" t="inlineStr">
        <is>
          <t>2026-08-03T14:00:00Z</t>
        </is>
      </c>
      <c r="D52" s="24" t="inlineStr">
        <is>
          <t>68292</t>
        </is>
      </c>
      <c r="E52" s="24" t="inlineStr">
        <is>
          <t>CS2</t>
        </is>
      </c>
      <c r="F52" s="24" t="inlineStr">
        <is>
          <t>Butterfly</t>
        </is>
      </c>
      <c r="G52" s="24" t="inlineStr">
        <is>
          <t>ARCRED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0.6138479999999999</v>
      </c>
      <c r="P52" s="28" t="n"/>
      <c r="Q52" s="28" t="n">
        <v>-0.02644</v>
      </c>
      <c r="R52" s="26" t="n">
        <v>7</v>
      </c>
      <c r="S52" s="29" t="n">
        <v>1.5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(market_slug=aec-cs2-arc-btf-2026-08-03).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Butterfly</t>
        </is>
      </c>
      <c r="AQ52" s="24" t="inlineStr">
        <is>
          <t>Butterfly</t>
        </is>
      </c>
      <c r="AR52" s="24" t="inlineStr">
        <is>
          <t>Butterfly</t>
        </is>
      </c>
      <c r="AS52" s="24" t="inlineStr">
        <is>
          <t>ARCRED</t>
        </is>
      </c>
      <c r="AT52" s="24" t="inlineStr">
        <is>
          <t>ARCRED</t>
        </is>
      </c>
      <c r="AU52" s="24" t="inlineStr">
        <is>
          <t>ARCRED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be57084f1d7fbd4d502df5071cd07ad0aef0fe46ec9ff6b18e470efb3b2bbfd4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be57084f1d7fbd4d502df5071cd07ad0aef0fe46ec9ff6b18e470efb3b2bbfd4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2026-08-02T16:15:09.759475Z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False</t>
        </is>
      </c>
    </row>
    <row r="53" ht="36" customHeight="1">
      <c r="A53" s="24" t="inlineStr">
        <is>
          <t>29fb553152eb4466</t>
        </is>
      </c>
      <c r="B53" s="24" t="inlineStr">
        <is>
          <t>2026-08-02T16:15:14.476529Z</t>
        </is>
      </c>
      <c r="C53" s="24" t="inlineStr">
        <is>
          <t>2026-08-03T14:00:00Z</t>
        </is>
      </c>
      <c r="D53" s="24" t="inlineStr">
        <is>
          <t>69268</t>
        </is>
      </c>
      <c r="E53" s="24" t="inlineStr">
        <is>
          <t>CS2</t>
        </is>
      </c>
      <c r="F53" s="24" t="inlineStr">
        <is>
          <t>ex-Young Ninjas</t>
        </is>
      </c>
      <c r="G53" s="24" t="inlineStr">
        <is>
          <t>SPARTA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-178</v>
      </c>
      <c r="M53" s="27" t="n">
        <v>1.561798</v>
      </c>
      <c r="N53" s="28" t="n">
        <v>0.640288</v>
      </c>
      <c r="O53" s="28" t="n">
        <v>0.662883</v>
      </c>
      <c r="P53" s="28" t="n"/>
      <c r="Q53" s="28" t="n">
        <v>0.022595</v>
      </c>
      <c r="R53" s="26" t="n">
        <v>31</v>
      </c>
      <c r="S53" s="29" t="n">
        <v>1.75</v>
      </c>
      <c r="T53" s="24" t="inlineStr">
        <is>
          <t>cs2-tiered-elo-v5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0.6400 (market_slug=aec-cs2-sparta-eyn-2026-08-03).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ex-Young Ninjas</t>
        </is>
      </c>
      <c r="AQ53" s="24" t="inlineStr">
        <is>
          <t>ex-Young Ninjas</t>
        </is>
      </c>
      <c r="AR53" s="24" t="inlineStr">
        <is>
          <t>ex-Young Ninjas</t>
        </is>
      </c>
      <c r="AS53" s="24" t="inlineStr">
        <is>
          <t>SPARTA</t>
        </is>
      </c>
      <c r="AT53" s="24" t="inlineStr">
        <is>
          <t>SPARTA</t>
        </is>
      </c>
      <c r="AU53" s="24" t="inlineStr">
        <is>
          <t>SPARTA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be57084f1d7fbd4d502df5071cd07ad0aef0fe46ec9ff6b18e470efb3b2bbfd4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be57084f1d7fbd4d502df5071cd07ad0aef0fe46ec9ff6b18e470efb3b2bbfd4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2026-08-02T16:15:10.799851Z</t>
        </is>
      </c>
      <c r="BI53" s="24" t="inlineStr">
        <is>
          <t>["same_event","same_team_same_day","same_league_same_day"]</t>
        </is>
      </c>
      <c r="BJ53" s="25" t="n"/>
      <c r="BK53" s="26" t="n">
        <v>-178</v>
      </c>
      <c r="BL53" s="27" t="n">
        <v>1.561798</v>
      </c>
      <c r="BM53" s="28" t="n">
        <v>0.640288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True</t>
        </is>
      </c>
    </row>
    <row r="54" ht="36" customHeight="1">
      <c r="A54" s="24" t="inlineStr">
        <is>
          <t>02d2fc0ac6f14768</t>
        </is>
      </c>
      <c r="B54" s="24" t="inlineStr">
        <is>
          <t>2026-08-02T16:15:14.476529Z</t>
        </is>
      </c>
      <c r="C54" s="24" t="inlineStr">
        <is>
          <t>2026-08-03T23:00:00Z</t>
        </is>
      </c>
      <c r="D54" s="24" t="inlineStr">
        <is>
          <t>68043</t>
        </is>
      </c>
      <c r="E54" s="24" t="inlineStr">
        <is>
          <t>CS2</t>
        </is>
      </c>
      <c r="F54" s="24" t="inlineStr">
        <is>
          <t>paiN Academy</t>
        </is>
      </c>
      <c r="G54" s="24" t="inlineStr">
        <is>
          <t>Grêmio Esports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122</v>
      </c>
      <c r="M54" s="27" t="n">
        <v>2.22</v>
      </c>
      <c r="N54" s="28" t="n">
        <v>0.45045</v>
      </c>
      <c r="O54" s="28" t="n">
        <v>0.569642</v>
      </c>
      <c r="P54" s="28" t="n"/>
      <c r="Q54" s="28" t="n">
        <v>0.119192</v>
      </c>
      <c r="R54" s="26" t="n">
        <v>80</v>
      </c>
      <c r="S54" s="29" t="n">
        <v>1.25</v>
      </c>
      <c r="T54" s="24" t="inlineStr">
        <is>
          <t>cs2-tiered-elo-v5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0.4500 (market_slug=aec-cs2-ger-paina-2026-08-03).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paiN Academy</t>
        </is>
      </c>
      <c r="AQ54" s="24" t="inlineStr">
        <is>
          <t>paiN Academy</t>
        </is>
      </c>
      <c r="AR54" s="24" t="inlineStr">
        <is>
          <t>paiN Academy</t>
        </is>
      </c>
      <c r="AS54" s="24" t="inlineStr">
        <is>
          <t>Grêmio Esports</t>
        </is>
      </c>
      <c r="AT54" s="24" t="inlineStr">
        <is>
          <t>Grêmio Esports</t>
        </is>
      </c>
      <c r="AU54" s="24" t="inlineStr">
        <is>
          <t>Grêmio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be57084f1d7fbd4d502df5071cd07ad0aef0fe46ec9ff6b18e470efb3b2bbfd4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be57084f1d7fbd4d502df5071cd07ad0aef0fe46ec9ff6b18e470efb3b2bbfd4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2026-08-02T16:15:14.474993Z</t>
        </is>
      </c>
      <c r="BI54" s="24" t="inlineStr">
        <is>
          <t>["same_event","same_team_same_day","same_league_same_day"]</t>
        </is>
      </c>
      <c r="BJ54" s="25" t="n"/>
      <c r="BK54" s="26" t="n">
        <v>122</v>
      </c>
      <c r="BL54" s="27" t="n">
        <v>2.22</v>
      </c>
      <c r="BM54" s="28" t="n">
        <v>0.45045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2026-08-02T16:19:34Z</dcterms:created>
  <dcterms:modified xsi:type="dcterms:W3CDTF">2026-08-02T16:19:34Z</dcterms:modified>
</cp:coreProperties>
</file>