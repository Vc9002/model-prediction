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51" headerRowCount="1">
  <autoFilter ref="A1:CO51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COUNTA('Picks'!$A$2:$A$51)</f>
        <v/>
      </c>
      <c r="C4" s="6">
        <f>COUNTIF('Picks'!$U$2:$U$51,"open")</f>
        <v/>
      </c>
      <c r="E4" s="6">
        <f>COUNTIF('Picks'!$U$2:$U$51,"settled")</f>
        <v/>
      </c>
      <c r="G4" s="6">
        <f>IF(COUNTIFS('Picks'!$U$2:$U$51,"settled",'Picks'!$V$2:$V$51,"win")+COUNTIFS('Picks'!$U$2:$U$51,"settled",'Picks'!$V$2:$V$51,"loss")&gt;=$L$2,"Ready","Insufficient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COUNTIF('Picks'!$BX$2:$BX$51,"&gt;0")</f>
        <v/>
      </c>
      <c r="C7" s="6">
        <f>COUNTIFS('Picks'!$BX$2:$BX$51,"&gt;0",'Picks'!$V$2:$V$51,"win")&amp;"-"&amp;COUNTIFS('Picks'!$BX$2:$BX$51,"&gt;0",'Picks'!$V$2:$V$51,"loss")</f>
        <v/>
      </c>
      <c r="E7" s="7">
        <f>IFERROR(COUNTIFS('Picks'!$BX$2:$BX$51,"&gt;0",'Picks'!$V$2:$V$51,"win")/(COUNTIFS('Picks'!$BX$2:$BX$51,"&gt;0",'Picks'!$V$2:$V$51,"win")+COUNTIFS('Picks'!$BX$2:$BX$51,"&gt;0",'Picks'!$V$2:$V$51,"loss")),0)</f>
        <v/>
      </c>
      <c r="G7" s="7">
        <f>IFERROR(SUM('Picks'!$BY$2:$BY$51)/SUM('Picks'!$BX$2:$BX$51),0)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SUM('Picks'!$BY$2:$BY$51)</f>
        <v/>
      </c>
      <c r="C10" s="9">
        <f>IFERROR(AVERAGEIF('Picks'!$AB$2:$AB$51,"&lt;&gt;",'Picks'!$AB$2:$AB$51),0)</f>
        <v/>
      </c>
      <c r="E10" s="6">
        <f>COUNTIFS('Picks'!$AM$2:$AM$51,"QUALIFIED_SHADOW_CALL",'Picks'!$U$2:$U$51,"settled")</f>
        <v/>
      </c>
      <c r="G10" s="8">
        <f>SUMIFS('Picks'!$AC$2:$AC$51,'Picks'!$AM$2:$AM$51,"QUALIFIED_SHADOW_CALL")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COUNTIFS('Picks'!$H$2:$H$51,$A14,'Picks'!$U$2:$U$51,"settled")</f>
        <v/>
      </c>
      <c r="C14" s="13">
        <f>COUNTIFS('Picks'!$H$2:$H$51,$A14,'Picks'!$U$2:$U$51,"settled",'Picks'!$V$2:$V$51,"win")</f>
        <v/>
      </c>
      <c r="D14" s="13">
        <f>COUNTIFS('Picks'!$H$2:$H$51,$A14,'Picks'!$U$2:$U$51,"settled",'Picks'!$V$2:$V$51,"loss")</f>
        <v/>
      </c>
      <c r="E14" s="14">
        <f>IFERROR(C14/(C14+D14),0)</f>
        <v/>
      </c>
      <c r="F14" s="15">
        <f>SUMIFS('Picks'!$BY$2:$BY$51,'Picks'!$H$2:$H$51,$A14)</f>
        <v/>
      </c>
      <c r="G14" s="16">
        <f>IFERROR(AVERAGEIFS('Picks'!$AB$2:$AB$51,'Picks'!$H$2:$H$51,$A14,'Picks'!$U$2:$U$51,"settled"),0)</f>
        <v/>
      </c>
    </row>
    <row r="15">
      <c r="A15" s="17" t="inlineStr">
        <is>
          <t>spread</t>
        </is>
      </c>
      <c r="B15" s="18">
        <f>COUNTIFS('Picks'!$H$2:$H$51,$A15,'Picks'!$U$2:$U$51,"settled")</f>
        <v/>
      </c>
      <c r="C15" s="18">
        <f>COUNTIFS('Picks'!$H$2:$H$51,$A15,'Picks'!$U$2:$U$51,"settled",'Picks'!$V$2:$V$51,"win")</f>
        <v/>
      </c>
      <c r="D15" s="18">
        <f>COUNTIFS('Picks'!$H$2:$H$51,$A15,'Picks'!$U$2:$U$51,"settled",'Picks'!$V$2:$V$51,"loss")</f>
        <v/>
      </c>
      <c r="E15" s="19">
        <f>IFERROR(C15/(C15+D15),0)</f>
        <v/>
      </c>
      <c r="F15" s="20">
        <f>SUMIFS('Picks'!$BY$2:$BY$51,'Picks'!$H$2:$H$51,$A15)</f>
        <v/>
      </c>
      <c r="G15" s="21">
        <f>IFERROR(AVERAGEIFS('Picks'!$AB$2:$AB$51,'Picks'!$H$2:$H$51,$A15,'Picks'!$U$2:$U$51,"settled"),0)</f>
        <v/>
      </c>
    </row>
    <row r="16">
      <c r="A16" s="12" t="inlineStr">
        <is>
          <t>total</t>
        </is>
      </c>
      <c r="B16" s="13">
        <f>COUNTIFS('Picks'!$H$2:$H$51,$A16,'Picks'!$U$2:$U$51,"settled")</f>
        <v/>
      </c>
      <c r="C16" s="13">
        <f>COUNTIFS('Picks'!$H$2:$H$51,$A16,'Picks'!$U$2:$U$51,"settled",'Picks'!$V$2:$V$51,"win")</f>
        <v/>
      </c>
      <c r="D16" s="13">
        <f>COUNTIFS('Picks'!$H$2:$H$51,$A16,'Picks'!$U$2:$U$51,"settled",'Picks'!$V$2:$V$51,"loss")</f>
        <v/>
      </c>
      <c r="E16" s="14">
        <f>IFERROR(C16/(C16+D16),0)</f>
        <v/>
      </c>
      <c r="F16" s="15">
        <f>SUMIFS('Picks'!$BY$2:$BY$51,'Picks'!$H$2:$H$51,$A16)</f>
        <v/>
      </c>
      <c r="G16" s="16">
        <f>IFERROR(AVERAGEIFS('Picks'!$AB$2:$AB$51,'Picks'!$H$2:$H$51,$A16,'Picks'!$U$2:$U$51,"settled"),0)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</row>
    <row r="29" ht="36" customHeight="1">
      <c r="A29" s="24" t="inlineStr">
        <is>
          <t>de9c7d7a4e164358</t>
        </is>
      </c>
      <c r="B29" s="24" t="inlineStr">
        <is>
          <t>2026-08-02T07:16:24.505191Z</t>
        </is>
      </c>
      <c r="C29" s="24" t="inlineStr">
        <is>
          <t>2026-08-02T10:00:00Z</t>
        </is>
      </c>
      <c r="D29" s="24" t="inlineStr">
        <is>
          <t>69137</t>
        </is>
      </c>
      <c r="E29" s="24" t="inlineStr">
        <is>
          <t>CS2</t>
        </is>
      </c>
      <c r="F29" s="24" t="inlineStr">
        <is>
          <t>CYBERSHOKE Esports</t>
        </is>
      </c>
      <c r="G29" s="24" t="inlineStr">
        <is>
          <t>GenOne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138</v>
      </c>
      <c r="M29" s="27" t="n">
        <v>2.38</v>
      </c>
      <c r="N29" s="28" t="n">
        <v>0.420168</v>
      </c>
      <c r="O29" s="28" t="n">
        <v>0.820206</v>
      </c>
      <c r="P29" s="28" t="n"/>
      <c r="Q29" s="28" t="n">
        <v>0.400038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0.4200 (market_slug=aec-cs2-g1-cs-2026-08-02).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research_observation</t>
        </is>
      </c>
      <c r="AL29" s="26" t="n">
        <v>3</v>
      </c>
      <c r="AM29" s="24" t="inlineStr">
        <is>
          <t>RESEARCH_OBSERVATION</t>
        </is>
      </c>
      <c r="AN29" s="24" t="inlineStr">
        <is>
          <t>NO_CALL</t>
        </is>
      </c>
      <c r="AO29" s="24" t="inlineStr">
        <is>
          <t>NO_CALL_MODEL_UNVALIDATED</t>
        </is>
      </c>
      <c r="AP29" s="24" t="inlineStr">
        <is>
          <t>CYBERSHOKE Esports</t>
        </is>
      </c>
      <c r="AQ29" s="24" t="inlineStr">
        <is>
          <t>CYBERSHOKE Esports</t>
        </is>
      </c>
      <c r="AR29" s="24" t="inlineStr">
        <is>
          <t>CYBERSHOKE Esports</t>
        </is>
      </c>
      <c r="AS29" s="24" t="inlineStr">
        <is>
          <t>GenOne</t>
        </is>
      </c>
      <c r="AT29" s="24" t="inlineStr">
        <is>
          <t>GenOne</t>
        </is>
      </c>
      <c r="AU29" s="24" t="inlineStr">
        <is>
          <t>GenOne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43d985cc5d70edc577b4f1cac09fef882d817938dc77ba88e4cdf7954d2f8c58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43d985cc5d70edc577b4f1cac09fef882d817938dc77ba88e4cdf7954d2f8c58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2026-08-02T07:16:01.689501Z</t>
        </is>
      </c>
      <c r="BI29" s="24" t="inlineStr">
        <is>
          <t>["same_event","same_team_same_day","same_league_same_day"]</t>
        </is>
      </c>
      <c r="BJ29" s="25" t="n"/>
      <c r="BK29" s="26" t="n">
        <v>138</v>
      </c>
      <c r="BL29" s="27" t="n">
        <v>2.38</v>
      </c>
      <c r="BM29" s="28" t="n">
        <v>0.420168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</row>
    <row r="30" ht="36" customHeight="1">
      <c r="A30" s="24" t="inlineStr">
        <is>
          <t>43f1421683da42a9</t>
        </is>
      </c>
      <c r="B30" s="24" t="inlineStr">
        <is>
          <t>2026-08-02T07:16:24.505191Z</t>
        </is>
      </c>
      <c r="C30" s="24" t="inlineStr">
        <is>
          <t>2026-08-02T10:00:00Z</t>
        </is>
      </c>
      <c r="D30" s="24" t="inlineStr">
        <is>
          <t>69163</t>
        </is>
      </c>
      <c r="E30" s="24" t="inlineStr">
        <is>
          <t>CS2</t>
        </is>
      </c>
      <c r="F30" s="24" t="inlineStr">
        <is>
          <t>SPARTA</t>
        </is>
      </c>
      <c r="G30" s="24" t="inlineStr">
        <is>
          <t>Sinners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-178</v>
      </c>
      <c r="M30" s="27" t="n">
        <v>1.561798</v>
      </c>
      <c r="N30" s="28" t="n">
        <v>0.640288</v>
      </c>
      <c r="O30" s="28" t="n">
        <v>0.626061</v>
      </c>
      <c r="P30" s="28" t="n"/>
      <c r="Q30" s="28" t="n">
        <v>-0.014227</v>
      </c>
      <c r="R30" s="26" t="n">
        <v>13</v>
      </c>
      <c r="S30" s="29" t="n">
        <v>1.5</v>
      </c>
      <c r="T30" s="24" t="inlineStr">
        <is>
          <t>cs2-tiered-elo-v5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0.6400 (market_slug=aec-cs2-sin-sparta-2026-08-02).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SPARTA</t>
        </is>
      </c>
      <c r="AQ30" s="24" t="inlineStr">
        <is>
          <t>SPARTA</t>
        </is>
      </c>
      <c r="AR30" s="24" t="inlineStr">
        <is>
          <t>SPARTA</t>
        </is>
      </c>
      <c r="AS30" s="24" t="inlineStr">
        <is>
          <t>Sinners</t>
        </is>
      </c>
      <c r="AT30" s="24" t="inlineStr">
        <is>
          <t>Sinners</t>
        </is>
      </c>
      <c r="AU30" s="24" t="inlineStr">
        <is>
          <t>Sinners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43d985cc5d70edc577b4f1cac09fef882d817938dc77ba88e4cdf7954d2f8c58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43d985cc5d70edc577b4f1cac09fef882d817938dc77ba88e4cdf7954d2f8c58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2026-08-02T07:16:02.201908Z</t>
        </is>
      </c>
      <c r="BI30" s="24" t="inlineStr">
        <is>
          <t>["same_event","same_team_same_day","same_league_same_day"]</t>
        </is>
      </c>
      <c r="BJ30" s="25" t="n"/>
      <c r="BK30" s="26" t="n">
        <v>-178</v>
      </c>
      <c r="BL30" s="27" t="n">
        <v>1.561798</v>
      </c>
      <c r="BM30" s="28" t="n">
        <v>0.640288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</row>
    <row r="31" ht="36" customHeight="1">
      <c r="A31" s="24" t="inlineStr">
        <is>
          <t>363e66a45db74321</t>
        </is>
      </c>
      <c r="B31" s="24" t="inlineStr">
        <is>
          <t>2026-08-02T07:16:24.505191Z</t>
        </is>
      </c>
      <c r="C31" s="24" t="inlineStr">
        <is>
          <t>2026-08-02T10:00:00Z</t>
        </is>
      </c>
      <c r="D31" s="24" t="inlineStr">
        <is>
          <t>69413</t>
        </is>
      </c>
      <c r="E31" s="24" t="inlineStr">
        <is>
          <t>CS2</t>
        </is>
      </c>
      <c r="F31" s="24" t="inlineStr">
        <is>
          <t>ex-1win</t>
        </is>
      </c>
      <c r="G31" s="24" t="inlineStr">
        <is>
          <t>Lazer Cats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-178</v>
      </c>
      <c r="M31" s="27" t="n">
        <v>1.561798</v>
      </c>
      <c r="N31" s="28" t="n">
        <v>0.640288</v>
      </c>
      <c r="O31" s="28" t="n">
        <v>0.714955</v>
      </c>
      <c r="P31" s="28" t="n"/>
      <c r="Q31" s="28" t="n">
        <v>0.074667</v>
      </c>
      <c r="R31" s="26" t="n">
        <v>57</v>
      </c>
      <c r="S31" s="29" t="n">
        <v>2</v>
      </c>
      <c r="T31" s="24" t="inlineStr">
        <is>
          <t>cs2-tiered-elo-v5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0.6400 (market_slug=aec-cs2-lc-ewx-2026-08-02).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ex-1win</t>
        </is>
      </c>
      <c r="AQ31" s="24" t="inlineStr">
        <is>
          <t>ex-1win</t>
        </is>
      </c>
      <c r="AR31" s="24" t="inlineStr">
        <is>
          <t>ex-1win</t>
        </is>
      </c>
      <c r="AS31" s="24" t="inlineStr">
        <is>
          <t>Lazer Cats</t>
        </is>
      </c>
      <c r="AT31" s="24" t="inlineStr">
        <is>
          <t>Lazer Cats</t>
        </is>
      </c>
      <c r="AU31" s="24" t="inlineStr">
        <is>
          <t>Lazer Cats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43d985cc5d70edc577b4f1cac09fef882d817938dc77ba88e4cdf7954d2f8c58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43d985cc5d70edc577b4f1cac09fef882d817938dc77ba88e4cdf7954d2f8c58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2026-08-02T07:16:02.743627Z</t>
        </is>
      </c>
      <c r="BI31" s="24" t="inlineStr">
        <is>
          <t>["same_event","same_team_same_day","same_league_same_day"]</t>
        </is>
      </c>
      <c r="BJ31" s="25" t="n"/>
      <c r="BK31" s="26" t="n">
        <v>-178</v>
      </c>
      <c r="BL31" s="27" t="n">
        <v>1.561798</v>
      </c>
      <c r="BM31" s="28" t="n">
        <v>0.640288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</row>
    <row r="32" ht="36" customHeight="1">
      <c r="A32" s="24" t="inlineStr">
        <is>
          <t>8ebd4ec09a7e4bc8</t>
        </is>
      </c>
      <c r="B32" s="24" t="inlineStr">
        <is>
          <t>2026-08-02T07:16:24.505191Z</t>
        </is>
      </c>
      <c r="C32" s="24" t="inlineStr">
        <is>
          <t>2026-08-02T10:00:00Z</t>
        </is>
      </c>
      <c r="D32" s="24" t="inlineStr">
        <is>
          <t>66809</t>
        </is>
      </c>
      <c r="E32" s="24" t="inlineStr">
        <is>
          <t>CS2</t>
        </is>
      </c>
      <c r="F32" s="24" t="inlineStr">
        <is>
          <t>Brute</t>
        </is>
      </c>
      <c r="G32" s="24" t="inlineStr">
        <is>
          <t>9INE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203</v>
      </c>
      <c r="M32" s="27" t="n">
        <v>3.03</v>
      </c>
      <c r="N32" s="28" t="n">
        <v>0.330033</v>
      </c>
      <c r="O32" s="28" t="n">
        <v>0.531502</v>
      </c>
      <c r="P32" s="28" t="n"/>
      <c r="Q32" s="28" t="n">
        <v>0.201469</v>
      </c>
      <c r="R32" s="26" t="n">
        <v>100</v>
      </c>
      <c r="S32" s="29" t="n">
        <v>1</v>
      </c>
      <c r="T32" s="24" t="inlineStr">
        <is>
          <t>cs2-tiered-elo-v5</t>
        </is>
      </c>
      <c r="U32" s="24" t="inlineStr">
        <is>
          <t>open</t>
        </is>
      </c>
      <c r="V32" s="24" t="n"/>
      <c r="W32" s="26" t="n"/>
      <c r="X32" s="26" t="n"/>
      <c r="Y32" s="25" t="n"/>
      <c r="Z32" s="26" t="n"/>
      <c r="AA32" s="28" t="n"/>
      <c r="AB32" s="28" t="n"/>
      <c r="AC32" s="30" t="n"/>
      <c r="AD32" s="24" t="n"/>
      <c r="AE32" s="31" t="inlineStr">
        <is>
          <t>Neutral Elo baseline; executable ask 0.3300 (market_slug=aec-cs2-9ine-brute-2026-08-02).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Brute</t>
        </is>
      </c>
      <c r="AQ32" s="24" t="inlineStr">
        <is>
          <t>Brute</t>
        </is>
      </c>
      <c r="AR32" s="24" t="inlineStr">
        <is>
          <t>Brute</t>
        </is>
      </c>
      <c r="AS32" s="24" t="inlineStr">
        <is>
          <t>9INE</t>
        </is>
      </c>
      <c r="AT32" s="24" t="inlineStr">
        <is>
          <t>9INE</t>
        </is>
      </c>
      <c r="AU32" s="24" t="inlineStr">
        <is>
          <t>9INE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43d985cc5d70edc577b4f1cac09fef882d817938dc77ba88e4cdf7954d2f8c58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43d985cc5d70edc577b4f1cac09fef882d817938dc77ba88e4cdf7954d2f8c58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2026-08-02T07:16:03.217761Z</t>
        </is>
      </c>
      <c r="BI32" s="24" t="inlineStr">
        <is>
          <t>["same_event","same_team_same_day","same_league_same_day"]</t>
        </is>
      </c>
      <c r="BJ32" s="25" t="n"/>
      <c r="BK32" s="26" t="n">
        <v>203</v>
      </c>
      <c r="BL32" s="27" t="n">
        <v>3.03</v>
      </c>
      <c r="BM32" s="28" t="n">
        <v>0.330033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</row>
    <row r="33" ht="36" customHeight="1">
      <c r="A33" s="24" t="inlineStr">
        <is>
          <t>14cd5e66285b4c08</t>
        </is>
      </c>
      <c r="B33" s="24" t="inlineStr">
        <is>
          <t>2026-08-02T07:16:24.505191Z</t>
        </is>
      </c>
      <c r="C33" s="24" t="inlineStr">
        <is>
          <t>2026-08-02T10:30:00Z</t>
        </is>
      </c>
      <c r="D33" s="24" t="inlineStr">
        <is>
          <t>66836</t>
        </is>
      </c>
      <c r="E33" s="24" t="inlineStr">
        <is>
          <t>CS2</t>
        </is>
      </c>
      <c r="F33" s="24" t="inlineStr">
        <is>
          <t>Sangal ALTERS</t>
        </is>
      </c>
      <c r="G33" s="24" t="inlineStr">
        <is>
          <t>Teletubisie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-104</v>
      </c>
      <c r="M33" s="27" t="n">
        <v>1.961538</v>
      </c>
      <c r="N33" s="28" t="n">
        <v>0.509804</v>
      </c>
      <c r="O33" s="28" t="n">
        <v>0.690392</v>
      </c>
      <c r="P33" s="28" t="n"/>
      <c r="Q33" s="28" t="n">
        <v>0.180588</v>
      </c>
      <c r="R33" s="26" t="n">
        <v>100</v>
      </c>
      <c r="S33" s="29" t="n">
        <v>2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0.5100 (market_slug=aec-cs2-ttbs-sng-2026-08-02).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Sangal ALTERS</t>
        </is>
      </c>
      <c r="AQ33" s="24" t="inlineStr">
        <is>
          <t>Sangal ALTERS</t>
        </is>
      </c>
      <c r="AR33" s="24" t="inlineStr">
        <is>
          <t>Sangal ALTERS</t>
        </is>
      </c>
      <c r="AS33" s="24" t="inlineStr">
        <is>
          <t>Teletubisie</t>
        </is>
      </c>
      <c r="AT33" s="24" t="inlineStr">
        <is>
          <t>Teletubisie</t>
        </is>
      </c>
      <c r="AU33" s="24" t="inlineStr">
        <is>
          <t>Teletubisie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43d985cc5d70edc577b4f1cac09fef882d817938dc77ba88e4cdf7954d2f8c58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43d985cc5d70edc577b4f1cac09fef882d817938dc77ba88e4cdf7954d2f8c58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2026-08-02T07:16:04.165652Z</t>
        </is>
      </c>
      <c r="BI33" s="24" t="inlineStr">
        <is>
          <t>["same_event","same_team_same_day","same_league_same_day"]</t>
        </is>
      </c>
      <c r="BJ33" s="25" t="n"/>
      <c r="BK33" s="26" t="n">
        <v>-104</v>
      </c>
      <c r="BL33" s="27" t="n">
        <v>1.961538</v>
      </c>
      <c r="BM33" s="28" t="n">
        <v>0.509804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</row>
    <row r="34" ht="36" customHeight="1">
      <c r="A34" s="24" t="inlineStr">
        <is>
          <t>7b498ee9442c4348</t>
        </is>
      </c>
      <c r="B34" s="24" t="inlineStr">
        <is>
          <t>2026-08-02T07:16:24.505191Z</t>
        </is>
      </c>
      <c r="C34" s="24" t="inlineStr">
        <is>
          <t>2026-08-02T11:00:00Z</t>
        </is>
      </c>
      <c r="D34" s="24" t="inlineStr">
        <is>
          <t>69252</t>
        </is>
      </c>
      <c r="E34" s="24" t="inlineStr">
        <is>
          <t>CS2</t>
        </is>
      </c>
      <c r="F34" s="24" t="inlineStr">
        <is>
          <t>NEW VISION</t>
        </is>
      </c>
      <c r="G34" s="24" t="inlineStr">
        <is>
          <t>Inner Circle Academy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polymarket_us</t>
        </is>
      </c>
      <c r="L34" s="26" t="n">
        <v>-133</v>
      </c>
      <c r="M34" s="27" t="n">
        <v>1.75188</v>
      </c>
      <c r="N34" s="28" t="n">
        <v>0.570815</v>
      </c>
      <c r="O34" s="28" t="n">
        <v>0.539188</v>
      </c>
      <c r="P34" s="28" t="n"/>
      <c r="Q34" s="28" t="n">
        <v>-0.031627</v>
      </c>
      <c r="R34" s="26" t="n">
        <v>4</v>
      </c>
      <c r="S34" s="29" t="n">
        <v>1</v>
      </c>
      <c r="T34" s="24" t="inlineStr">
        <is>
          <t>cs2-tiered-elo-v5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0.5700 (market_slug=aec-cs2-ica-nve-2026-08-02).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NEW VISION</t>
        </is>
      </c>
      <c r="AQ34" s="24" t="inlineStr">
        <is>
          <t>NEW VISION</t>
        </is>
      </c>
      <c r="AR34" s="24" t="inlineStr">
        <is>
          <t>NEW VISION</t>
        </is>
      </c>
      <c r="AS34" s="24" t="inlineStr">
        <is>
          <t>Inner Circle Academy</t>
        </is>
      </c>
      <c r="AT34" s="24" t="inlineStr">
        <is>
          <t>Inner Circle Academy</t>
        </is>
      </c>
      <c r="AU34" s="24" t="inlineStr">
        <is>
          <t>Inner Circle Academy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43d985cc5d70edc577b4f1cac09fef882d817938dc77ba88e4cdf7954d2f8c58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43d985cc5d70edc577b4f1cac09fef882d817938dc77ba88e4cdf7954d2f8c58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2026-08-02T07:16:04.648612Z</t>
        </is>
      </c>
      <c r="BI34" s="24" t="inlineStr">
        <is>
          <t>["same_event","same_team_same_day","same_league_same_day"]</t>
        </is>
      </c>
      <c r="BJ34" s="25" t="n"/>
      <c r="BK34" s="26" t="n">
        <v>-133</v>
      </c>
      <c r="BL34" s="27" t="n">
        <v>1.75188</v>
      </c>
      <c r="BM34" s="28" t="n">
        <v>0.570815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</row>
    <row r="35" ht="36" customHeight="1">
      <c r="A35" s="24" t="inlineStr">
        <is>
          <t>bd05189ae788427d</t>
        </is>
      </c>
      <c r="B35" s="24" t="inlineStr">
        <is>
          <t>2026-08-02T07:16:24.505191Z</t>
        </is>
      </c>
      <c r="C35" s="24" t="inlineStr">
        <is>
          <t>2026-08-02T13:00:00Z</t>
        </is>
      </c>
      <c r="D35" s="24" t="inlineStr">
        <is>
          <t>68673</t>
        </is>
      </c>
      <c r="E35" s="24" t="inlineStr">
        <is>
          <t>CS2</t>
        </is>
      </c>
      <c r="F35" s="24" t="inlineStr">
        <is>
          <t>Sashi Esport</t>
        </is>
      </c>
      <c r="G35" s="24" t="inlineStr">
        <is>
          <t>Black Phoenix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-194</v>
      </c>
      <c r="M35" s="27" t="n">
        <v>1.515464</v>
      </c>
      <c r="N35" s="28" t="n">
        <v>0.659864</v>
      </c>
      <c r="O35" s="28" t="n">
        <v>0.5938369999999999</v>
      </c>
      <c r="P35" s="28" t="n"/>
      <c r="Q35" s="28" t="n">
        <v>-0.066027</v>
      </c>
      <c r="R35" s="26" t="n">
        <v>0</v>
      </c>
      <c r="S35" s="29" t="n">
        <v>1.25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0.6600 (market_slug=aec-cs2-bpl-sashi-2026-08-02).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NO_CALL_LOW_EDGE</t>
        </is>
      </c>
      <c r="AP35" s="24" t="inlineStr">
        <is>
          <t>Sashi Esport</t>
        </is>
      </c>
      <c r="AQ35" s="24" t="inlineStr">
        <is>
          <t>Sashi Esport</t>
        </is>
      </c>
      <c r="AR35" s="24" t="inlineStr">
        <is>
          <t>Sashi Esport</t>
        </is>
      </c>
      <c r="AS35" s="24" t="inlineStr">
        <is>
          <t>Black Phoenix</t>
        </is>
      </c>
      <c r="AT35" s="24" t="inlineStr">
        <is>
          <t>Black Phoenix</t>
        </is>
      </c>
      <c r="AU35" s="24" t="inlineStr">
        <is>
          <t>Black Phoenix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43d985cc5d70edc577b4f1cac09fef882d817938dc77ba88e4cdf7954d2f8c58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43d985cc5d70edc577b4f1cac09fef882d817938dc77ba88e4cdf7954d2f8c58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2026-08-02T07:16:05.156748Z</t>
        </is>
      </c>
      <c r="BI35" s="24" t="inlineStr">
        <is>
          <t>["same_event","same_team_same_day","same_league_same_day"]</t>
        </is>
      </c>
      <c r="BJ35" s="25" t="n"/>
      <c r="BK35" s="26" t="n">
        <v>-194</v>
      </c>
      <c r="BL35" s="27" t="n">
        <v>1.515464</v>
      </c>
      <c r="BM35" s="28" t="n">
        <v>0.659864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</row>
    <row r="36" ht="36" customHeight="1">
      <c r="A36" s="24" t="inlineStr">
        <is>
          <t>54f939fba9ce4c88</t>
        </is>
      </c>
      <c r="B36" s="24" t="inlineStr">
        <is>
          <t>2026-08-02T07:16:24.505191Z</t>
        </is>
      </c>
      <c r="C36" s="24" t="inlineStr">
        <is>
          <t>2026-08-02T13:00:00Z</t>
        </is>
      </c>
      <c r="D36" s="24" t="inlineStr">
        <is>
          <t>68255</t>
        </is>
      </c>
      <c r="E36" s="24" t="inlineStr">
        <is>
          <t>CS2</t>
        </is>
      </c>
      <c r="F36" s="24" t="inlineStr">
        <is>
          <t>WBT</t>
        </is>
      </c>
      <c r="G36" s="24" t="inlineStr">
        <is>
          <t>MOUZ NXT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-133</v>
      </c>
      <c r="M36" s="27" t="n">
        <v>1.75188</v>
      </c>
      <c r="N36" s="28" t="n">
        <v>0.570815</v>
      </c>
      <c r="O36" s="28" t="n">
        <v>0.543496</v>
      </c>
      <c r="P36" s="28" t="n"/>
      <c r="Q36" s="28" t="n">
        <v>-0.027319</v>
      </c>
      <c r="R36" s="26" t="n">
        <v>6</v>
      </c>
      <c r="S36" s="29" t="n">
        <v>1</v>
      </c>
      <c r="T36" s="24" t="inlineStr">
        <is>
          <t>cs2-tiered-elo-v5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0.5700 (market_slug=aec-cs2-mouzn-wba-2026-08-02).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NO_CALL_LOW_EDGE</t>
        </is>
      </c>
      <c r="AP36" s="24" t="inlineStr">
        <is>
          <t>WBT</t>
        </is>
      </c>
      <c r="AQ36" s="24" t="inlineStr">
        <is>
          <t>WBT</t>
        </is>
      </c>
      <c r="AR36" s="24" t="inlineStr">
        <is>
          <t>WBT</t>
        </is>
      </c>
      <c r="AS36" s="24" t="inlineStr">
        <is>
          <t>MOUZ NXT</t>
        </is>
      </c>
      <c r="AT36" s="24" t="inlineStr">
        <is>
          <t>MOUZ NXT</t>
        </is>
      </c>
      <c r="AU36" s="24" t="inlineStr">
        <is>
          <t>MOUZ NXT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43d985cc5d70edc577b4f1cac09fef882d817938dc77ba88e4cdf7954d2f8c58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43d985cc5d70edc577b4f1cac09fef882d817938dc77ba88e4cdf7954d2f8c58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2026-08-02T07:16:05.691452Z</t>
        </is>
      </c>
      <c r="BI36" s="24" t="inlineStr">
        <is>
          <t>["same_event","same_team_same_day","same_league_same_day"]</t>
        </is>
      </c>
      <c r="BJ36" s="25" t="n"/>
      <c r="BK36" s="26" t="n">
        <v>-133</v>
      </c>
      <c r="BL36" s="27" t="n">
        <v>1.75188</v>
      </c>
      <c r="BM36" s="28" t="n">
        <v>0.570815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</row>
    <row r="37" ht="36" customHeight="1">
      <c r="A37" s="24" t="inlineStr">
        <is>
          <t>fd511ab61a09473b</t>
        </is>
      </c>
      <c r="B37" s="24" t="inlineStr">
        <is>
          <t>2026-08-02T07:16:24.505191Z</t>
        </is>
      </c>
      <c r="C37" s="24" t="inlineStr">
        <is>
          <t>2026-08-02T13:00:00Z</t>
        </is>
      </c>
      <c r="D37" s="24" t="inlineStr">
        <is>
          <t>68256</t>
        </is>
      </c>
      <c r="E37" s="24" t="inlineStr">
        <is>
          <t>CS2</t>
        </is>
      </c>
      <c r="F37" s="24" t="inlineStr">
        <is>
          <t>Noir Verse</t>
        </is>
      </c>
      <c r="G37" s="24" t="inlineStr">
        <is>
          <t>los kogutos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-223</v>
      </c>
      <c r="M37" s="27" t="n">
        <v>1.44843</v>
      </c>
      <c r="N37" s="28" t="n">
        <v>0.690402</v>
      </c>
      <c r="O37" s="28" t="n">
        <v>0.620288</v>
      </c>
      <c r="P37" s="28" t="n"/>
      <c r="Q37" s="28" t="n">
        <v>-0.070114</v>
      </c>
      <c r="R37" s="26" t="n">
        <v>0</v>
      </c>
      <c r="S37" s="29" t="n">
        <v>1.5</v>
      </c>
      <c r="T37" s="24" t="inlineStr">
        <is>
          <t>cs2-tiered-elo-v5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0.6900 (market_slug=aec-cs2-lk-nvo-2026-08-02).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Noir Verse</t>
        </is>
      </c>
      <c r="AQ37" s="24" t="inlineStr">
        <is>
          <t>Noir Verse</t>
        </is>
      </c>
      <c r="AR37" s="24" t="inlineStr">
        <is>
          <t>Noir Verse</t>
        </is>
      </c>
      <c r="AS37" s="24" t="inlineStr">
        <is>
          <t>los kogutos</t>
        </is>
      </c>
      <c r="AT37" s="24" t="inlineStr">
        <is>
          <t>los kogutos</t>
        </is>
      </c>
      <c r="AU37" s="24" t="inlineStr">
        <is>
          <t>los kogutos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43d985cc5d70edc577b4f1cac09fef882d817938dc77ba88e4cdf7954d2f8c58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43d985cc5d70edc577b4f1cac09fef882d817938dc77ba88e4cdf7954d2f8c58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2026-08-02T07:16:06.178300Z</t>
        </is>
      </c>
      <c r="BI37" s="24" t="inlineStr">
        <is>
          <t>["same_event","same_team_same_day","same_league_same_day"]</t>
        </is>
      </c>
      <c r="BJ37" s="25" t="n"/>
      <c r="BK37" s="26" t="n">
        <v>-223</v>
      </c>
      <c r="BL37" s="27" t="n">
        <v>1.44843</v>
      </c>
      <c r="BM37" s="28" t="n">
        <v>0.690402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</row>
    <row r="38" ht="36" customHeight="1">
      <c r="A38" s="24" t="inlineStr">
        <is>
          <t>98d6637e728e4660</t>
        </is>
      </c>
      <c r="B38" s="24" t="inlineStr">
        <is>
          <t>2026-08-02T07:16:24.505191Z</t>
        </is>
      </c>
      <c r="C38" s="24" t="inlineStr">
        <is>
          <t>2026-08-02T13:00:00Z</t>
        </is>
      </c>
      <c r="D38" s="24" t="inlineStr">
        <is>
          <t>68257</t>
        </is>
      </c>
      <c r="E38" s="24" t="inlineStr">
        <is>
          <t>CS2</t>
        </is>
      </c>
      <c r="F38" s="24" t="inlineStr">
        <is>
          <t>Fortress</t>
        </is>
      </c>
      <c r="G38" s="24" t="inlineStr">
        <is>
          <t>DragonClaw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-117</v>
      </c>
      <c r="M38" s="27" t="n">
        <v>1.854701</v>
      </c>
      <c r="N38" s="28" t="n">
        <v>0.539171</v>
      </c>
      <c r="O38" s="28" t="n">
        <v>0.6758999999999999</v>
      </c>
      <c r="P38" s="28" t="n"/>
      <c r="Q38" s="28" t="n">
        <v>0.136729</v>
      </c>
      <c r="R38" s="26" t="n">
        <v>88</v>
      </c>
      <c r="S38" s="29" t="n">
        <v>1.75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0.5400 (market_slug=aec-cs2-dc-for-2026-08-02).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Fortress</t>
        </is>
      </c>
      <c r="AQ38" s="24" t="inlineStr">
        <is>
          <t>Fortress</t>
        </is>
      </c>
      <c r="AR38" s="24" t="inlineStr">
        <is>
          <t>Fortress</t>
        </is>
      </c>
      <c r="AS38" s="24" t="inlineStr">
        <is>
          <t>DragonClaw</t>
        </is>
      </c>
      <c r="AT38" s="24" t="inlineStr">
        <is>
          <t>DragonClaw</t>
        </is>
      </c>
      <c r="AU38" s="24" t="inlineStr">
        <is>
          <t>DragonClaw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43d985cc5d70edc577b4f1cac09fef882d817938dc77ba88e4cdf7954d2f8c58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43d985cc5d70edc577b4f1cac09fef882d817938dc77ba88e4cdf7954d2f8c58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2026-08-02T07:16:06.663767Z</t>
        </is>
      </c>
      <c r="BI38" s="24" t="inlineStr">
        <is>
          <t>["same_event","same_team_same_day","same_league_same_day"]</t>
        </is>
      </c>
      <c r="BJ38" s="25" t="n"/>
      <c r="BK38" s="26" t="n">
        <v>-117</v>
      </c>
      <c r="BL38" s="27" t="n">
        <v>1.854701</v>
      </c>
      <c r="BM38" s="28" t="n">
        <v>0.539171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</row>
    <row r="39" ht="36" customHeight="1">
      <c r="A39" s="24" t="inlineStr">
        <is>
          <t>b1ad3c78351b497f</t>
        </is>
      </c>
      <c r="B39" s="24" t="inlineStr">
        <is>
          <t>2026-08-02T07:16:24.505191Z</t>
        </is>
      </c>
      <c r="C39" s="24" t="inlineStr">
        <is>
          <t>2026-08-02T13:00:00Z</t>
        </is>
      </c>
      <c r="D39" s="24" t="inlineStr">
        <is>
          <t>68258</t>
        </is>
      </c>
      <c r="E39" s="24" t="inlineStr">
        <is>
          <t>CS2</t>
        </is>
      </c>
      <c r="F39" s="24" t="inlineStr">
        <is>
          <t>ex-MANA eSports</t>
        </is>
      </c>
      <c r="G39" s="24" t="inlineStr">
        <is>
          <t>Inner Circle Academy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0.583544</v>
      </c>
      <c r="P39" s="28" t="n"/>
      <c r="Q39" s="28" t="n">
        <v>-0.07632</v>
      </c>
      <c r="R39" s="26" t="n">
        <v>0</v>
      </c>
      <c r="S39" s="29" t="n">
        <v>1.25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(market_slug=aec-cs2-ica-exmana-2026-08-02).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ex-MANA eSports</t>
        </is>
      </c>
      <c r="AQ39" s="24" t="inlineStr">
        <is>
          <t>ex-MANA eSports</t>
        </is>
      </c>
      <c r="AR39" s="24" t="inlineStr">
        <is>
          <t>ex-MANA eSports</t>
        </is>
      </c>
      <c r="AS39" s="24" t="inlineStr">
        <is>
          <t>Inner Circle Academy</t>
        </is>
      </c>
      <c r="AT39" s="24" t="inlineStr">
        <is>
          <t>Inner Circle Academy</t>
        </is>
      </c>
      <c r="AU39" s="24" t="inlineStr">
        <is>
          <t>Inner Circle Academy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43d985cc5d70edc577b4f1cac09fef882d817938dc77ba88e4cdf7954d2f8c58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43d985cc5d70edc577b4f1cac09fef882d817938dc77ba88e4cdf7954d2f8c58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2026-08-02T07:16:07.143550Z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</row>
    <row r="40" ht="36" customHeight="1">
      <c r="A40" s="24" t="inlineStr">
        <is>
          <t>7f074a9ff64d4fa9</t>
        </is>
      </c>
      <c r="B40" s="24" t="inlineStr">
        <is>
          <t>2026-08-02T07:16:24.505191Z</t>
        </is>
      </c>
      <c r="C40" s="24" t="inlineStr">
        <is>
          <t>2026-08-02T13:00:00Z</t>
        </is>
      </c>
      <c r="D40" s="24" t="inlineStr">
        <is>
          <t>68259</t>
        </is>
      </c>
      <c r="E40" s="24" t="inlineStr">
        <is>
          <t>CS2</t>
        </is>
      </c>
      <c r="F40" s="24" t="inlineStr">
        <is>
          <t>Vexar</t>
        </is>
      </c>
      <c r="G40" s="24" t="inlineStr">
        <is>
          <t>Leo Team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138</v>
      </c>
      <c r="M40" s="27" t="n">
        <v>2.38</v>
      </c>
      <c r="N40" s="28" t="n">
        <v>0.420168</v>
      </c>
      <c r="O40" s="28" t="n">
        <v>0.563968</v>
      </c>
      <c r="P40" s="28" t="n"/>
      <c r="Q40" s="28" t="n">
        <v>0.1438</v>
      </c>
      <c r="R40" s="26" t="n">
        <v>92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0.4200 (market_slug=aec-cs2-leo-vexar-2026-08-02).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NO_CALL_MODEL_UNVALIDATED</t>
        </is>
      </c>
      <c r="AP40" s="24" t="inlineStr">
        <is>
          <t>Vexar</t>
        </is>
      </c>
      <c r="AQ40" s="24" t="inlineStr">
        <is>
          <t>Vexar</t>
        </is>
      </c>
      <c r="AR40" s="24" t="inlineStr">
        <is>
          <t>Vexar</t>
        </is>
      </c>
      <c r="AS40" s="24" t="inlineStr">
        <is>
          <t>Leo Team</t>
        </is>
      </c>
      <c r="AT40" s="24" t="inlineStr">
        <is>
          <t>Leo Team</t>
        </is>
      </c>
      <c r="AU40" s="24" t="inlineStr">
        <is>
          <t>Leo Team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43d985cc5d70edc577b4f1cac09fef882d817938dc77ba88e4cdf7954d2f8c58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43d985cc5d70edc577b4f1cac09fef882d817938dc77ba88e4cdf7954d2f8c58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2026-08-02T07:16:07.634080Z</t>
        </is>
      </c>
      <c r="BI40" s="24" t="inlineStr">
        <is>
          <t>["same_event","same_team_same_day","same_league_same_day"]</t>
        </is>
      </c>
      <c r="BJ40" s="25" t="n"/>
      <c r="BK40" s="26" t="n">
        <v>138</v>
      </c>
      <c r="BL40" s="27" t="n">
        <v>2.38</v>
      </c>
      <c r="BM40" s="28" t="n">
        <v>0.420168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</row>
    <row r="41" ht="36" customHeight="1">
      <c r="A41" s="24" t="inlineStr">
        <is>
          <t>7ab4e6dbbee94678</t>
        </is>
      </c>
      <c r="B41" s="24" t="inlineStr">
        <is>
          <t>2026-08-02T07:16:24.505191Z</t>
        </is>
      </c>
      <c r="C41" s="24" t="inlineStr">
        <is>
          <t>2026-08-02T13:00:00Z</t>
        </is>
      </c>
      <c r="D41" s="24" t="inlineStr">
        <is>
          <t>68261</t>
        </is>
      </c>
      <c r="E41" s="24" t="inlineStr">
        <is>
          <t>CS2</t>
        </is>
      </c>
      <c r="F41" s="24" t="inlineStr">
        <is>
          <t>Fire Flux Esports</t>
        </is>
      </c>
      <c r="G41" s="24" t="inlineStr">
        <is>
          <t>BASEMENT BOYS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0.65398</v>
      </c>
      <c r="P41" s="28" t="n"/>
      <c r="Q41" s="28" t="n">
        <v>0.05398</v>
      </c>
      <c r="R41" s="26" t="n">
        <v>47</v>
      </c>
      <c r="S41" s="29" t="n">
        <v>1.75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0.6000 (market_slug=aec-cs2-bmb-ff-2026-08-02).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Fire Flux Esports</t>
        </is>
      </c>
      <c r="AQ41" s="24" t="inlineStr">
        <is>
          <t>Fire Flux Esports</t>
        </is>
      </c>
      <c r="AR41" s="24" t="inlineStr">
        <is>
          <t>Fire Flux Esports</t>
        </is>
      </c>
      <c r="AS41" s="24" t="inlineStr">
        <is>
          <t>BASEMENT BOYS</t>
        </is>
      </c>
      <c r="AT41" s="24" t="inlineStr">
        <is>
          <t>BASEMENT BOYS</t>
        </is>
      </c>
      <c r="AU41" s="24" t="inlineStr">
        <is>
          <t>BASEMENT BOYS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43d985cc5d70edc577b4f1cac09fef882d817938dc77ba88e4cdf7954d2f8c58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43d985cc5d70edc577b4f1cac09fef882d817938dc77ba88e4cdf7954d2f8c58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2026-08-02T07:16:08.677895Z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</row>
    <row r="42" ht="36" customHeight="1">
      <c r="A42" s="24" t="inlineStr">
        <is>
          <t>5a94d37632b84824</t>
        </is>
      </c>
      <c r="B42" s="24" t="inlineStr">
        <is>
          <t>2026-08-02T07:16:24.505191Z</t>
        </is>
      </c>
      <c r="C42" s="24" t="inlineStr">
        <is>
          <t>2026-08-02T13:00:00Z</t>
        </is>
      </c>
      <c r="D42" s="24" t="inlineStr">
        <is>
          <t>68277</t>
        </is>
      </c>
      <c r="E42" s="24" t="inlineStr">
        <is>
          <t>CS2</t>
        </is>
      </c>
      <c r="F42" s="24" t="inlineStr">
        <is>
          <t>Misa Esports</t>
        </is>
      </c>
      <c r="G42" s="24" t="inlineStr">
        <is>
          <t>Favbet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-186</v>
      </c>
      <c r="M42" s="27" t="n">
        <v>1.537634</v>
      </c>
      <c r="N42" s="28" t="n">
        <v>0.65035</v>
      </c>
      <c r="O42" s="28" t="n">
        <v>0.74691</v>
      </c>
      <c r="P42" s="28" t="n"/>
      <c r="Q42" s="28" t="n">
        <v>0.09656000000000001</v>
      </c>
      <c r="R42" s="26" t="n">
        <v>68</v>
      </c>
      <c r="S42" s="29" t="n">
        <v>2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0.6500 (market_slug=aec-cs2-fav-misa-2026-08-02).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Misa Esports</t>
        </is>
      </c>
      <c r="AQ42" s="24" t="inlineStr">
        <is>
          <t>Misa Esports</t>
        </is>
      </c>
      <c r="AR42" s="24" t="inlineStr">
        <is>
          <t>Misa Esports</t>
        </is>
      </c>
      <c r="AS42" s="24" t="inlineStr">
        <is>
          <t>Favbet</t>
        </is>
      </c>
      <c r="AT42" s="24" t="inlineStr">
        <is>
          <t>Favbet</t>
        </is>
      </c>
      <c r="AU42" s="24" t="inlineStr">
        <is>
          <t>Favbet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43d985cc5d70edc577b4f1cac09fef882d817938dc77ba88e4cdf7954d2f8c58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43d985cc5d70edc577b4f1cac09fef882d817938dc77ba88e4cdf7954d2f8c58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2026-08-02T07:16:09.248034Z</t>
        </is>
      </c>
      <c r="BI42" s="24" t="inlineStr">
        <is>
          <t>["same_event","same_team_same_day","same_league_same_day"]</t>
        </is>
      </c>
      <c r="BJ42" s="25" t="n"/>
      <c r="BK42" s="26" t="n">
        <v>-186</v>
      </c>
      <c r="BL42" s="27" t="n">
        <v>1.537634</v>
      </c>
      <c r="BM42" s="28" t="n">
        <v>0.65035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</row>
    <row r="43" ht="36" customHeight="1">
      <c r="A43" s="24" t="inlineStr">
        <is>
          <t>7da850e10ee34806</t>
        </is>
      </c>
      <c r="B43" s="24" t="inlineStr">
        <is>
          <t>2026-08-02T07:16:24.505191Z</t>
        </is>
      </c>
      <c r="C43" s="24" t="inlineStr">
        <is>
          <t>2026-08-02T14:00:00Z</t>
        </is>
      </c>
      <c r="D43" s="24" t="inlineStr">
        <is>
          <t>69254</t>
        </is>
      </c>
      <c r="E43" s="24" t="inlineStr">
        <is>
          <t>CS2</t>
        </is>
      </c>
      <c r="F43" s="24" t="inlineStr">
        <is>
          <t>Honvéd</t>
        </is>
      </c>
      <c r="G43" s="24" t="inlineStr">
        <is>
          <t>ex-RUSTEC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-170</v>
      </c>
      <c r="M43" s="27" t="n">
        <v>1.588235</v>
      </c>
      <c r="N43" s="28" t="n">
        <v>0.62963</v>
      </c>
      <c r="O43" s="28" t="n">
        <v>0.661873</v>
      </c>
      <c r="P43" s="28" t="n"/>
      <c r="Q43" s="28" t="n">
        <v>0.032243</v>
      </c>
      <c r="R43" s="26" t="n">
        <v>36</v>
      </c>
      <c r="S43" s="29" t="n">
        <v>1.75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0.6300 (market_slug=aec-cs2-erx-hon-2026-08-02).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Honvéd</t>
        </is>
      </c>
      <c r="AQ43" s="24" t="inlineStr">
        <is>
          <t>Honvéd</t>
        </is>
      </c>
      <c r="AR43" s="24" t="inlineStr">
        <is>
          <t>Honvéd</t>
        </is>
      </c>
      <c r="AS43" s="24" t="inlineStr">
        <is>
          <t>ex-RUSTEC</t>
        </is>
      </c>
      <c r="AT43" s="24" t="inlineStr">
        <is>
          <t>ex-RUSTEC</t>
        </is>
      </c>
      <c r="AU43" s="24" t="inlineStr">
        <is>
          <t>ex-RUSTEC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43d985cc5d70edc577b4f1cac09fef882d817938dc77ba88e4cdf7954d2f8c58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43d985cc5d70edc577b4f1cac09fef882d817938dc77ba88e4cdf7954d2f8c58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2026-08-02T07:16:09.718841Z</t>
        </is>
      </c>
      <c r="BI43" s="24" t="inlineStr">
        <is>
          <t>["same_event","same_team_same_day","same_league_same_day"]</t>
        </is>
      </c>
      <c r="BJ43" s="25" t="n"/>
      <c r="BK43" s="26" t="n">
        <v>-170</v>
      </c>
      <c r="BL43" s="27" t="n">
        <v>1.588235</v>
      </c>
      <c r="BM43" s="28" t="n">
        <v>0.62963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</row>
    <row r="44" ht="36" customHeight="1">
      <c r="A44" s="24" t="inlineStr">
        <is>
          <t>fdfc810e7ffe4402</t>
        </is>
      </c>
      <c r="B44" s="24" t="inlineStr">
        <is>
          <t>2026-08-02T07:16:24.505191Z</t>
        </is>
      </c>
      <c r="C44" s="24" t="inlineStr">
        <is>
          <t>2026-08-02T17:00:00Z</t>
        </is>
      </c>
      <c r="D44" s="24" t="inlineStr">
        <is>
          <t>69263</t>
        </is>
      </c>
      <c r="E44" s="24" t="inlineStr">
        <is>
          <t>CS2</t>
        </is>
      </c>
      <c r="F44" s="24" t="inlineStr">
        <is>
          <t>ENJOY</t>
        </is>
      </c>
      <c r="G44" s="24" t="inlineStr">
        <is>
          <t>Mai Tai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-150</v>
      </c>
      <c r="M44" s="27" t="n">
        <v>1.666667</v>
      </c>
      <c r="N44" s="28" t="n">
        <v>0.6</v>
      </c>
      <c r="O44" s="28" t="n">
        <v>0.6664099999999999</v>
      </c>
      <c r="P44" s="28" t="n"/>
      <c r="Q44" s="28" t="n">
        <v>0.06641</v>
      </c>
      <c r="R44" s="26" t="n">
        <v>53</v>
      </c>
      <c r="S44" s="29" t="n">
        <v>1.75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0.6000 (market_slug=aec-cs2-mta-enjoy-2026-08-02).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ENJOY</t>
        </is>
      </c>
      <c r="AQ44" s="24" t="inlineStr">
        <is>
          <t>ENJOY</t>
        </is>
      </c>
      <c r="AR44" s="24" t="inlineStr">
        <is>
          <t>ENJOY</t>
        </is>
      </c>
      <c r="AS44" s="24" t="inlineStr">
        <is>
          <t>Mai Tai</t>
        </is>
      </c>
      <c r="AT44" s="24" t="inlineStr">
        <is>
          <t>Mai Tai</t>
        </is>
      </c>
      <c r="AU44" s="24" t="inlineStr">
        <is>
          <t>Mai Tai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43d985cc5d70edc577b4f1cac09fef882d817938dc77ba88e4cdf7954d2f8c58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43d985cc5d70edc577b4f1cac09fef882d817938dc77ba88e4cdf7954d2f8c58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2026-08-02T07:16:11.282396Z</t>
        </is>
      </c>
      <c r="BI44" s="24" t="inlineStr">
        <is>
          <t>["same_event","same_team_same_day","same_league_same_day"]</t>
        </is>
      </c>
      <c r="BJ44" s="25" t="n"/>
      <c r="BK44" s="26" t="n">
        <v>-150</v>
      </c>
      <c r="BL44" s="27" t="n">
        <v>1.666667</v>
      </c>
      <c r="BM44" s="28" t="n">
        <v>0.6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</row>
    <row r="45" ht="36" customHeight="1">
      <c r="A45" s="24" t="inlineStr">
        <is>
          <t>b3b5330f268c41ad</t>
        </is>
      </c>
      <c r="B45" s="24" t="inlineStr">
        <is>
          <t>2026-08-02T07:16:24.505191Z</t>
        </is>
      </c>
      <c r="C45" s="24" t="inlineStr">
        <is>
          <t>2026-08-02T18:00:00Z</t>
        </is>
      </c>
      <c r="D45" s="24" t="inlineStr">
        <is>
          <t>69289</t>
        </is>
      </c>
      <c r="E45" s="24" t="inlineStr">
        <is>
          <t>CS2</t>
        </is>
      </c>
      <c r="F45" s="24" t="inlineStr">
        <is>
          <t>BESTIA</t>
        </is>
      </c>
      <c r="G45" s="24" t="inlineStr">
        <is>
          <t>ShindeN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138</v>
      </c>
      <c r="M45" s="27" t="n">
        <v>2.38</v>
      </c>
      <c r="N45" s="28" t="n">
        <v>0.420168</v>
      </c>
      <c r="O45" s="28" t="n">
        <v>0.510415</v>
      </c>
      <c r="P45" s="28" t="n"/>
      <c r="Q45" s="28" t="n">
        <v>0.09024699999999999</v>
      </c>
      <c r="R45" s="26" t="n">
        <v>65</v>
      </c>
      <c r="S45" s="29" t="n">
        <v>1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0.4200 (market_slug=aec-cs2-shin-bst-2026-08-02).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BESTIA</t>
        </is>
      </c>
      <c r="AQ45" s="24" t="inlineStr">
        <is>
          <t>BESTIA</t>
        </is>
      </c>
      <c r="AR45" s="24" t="inlineStr">
        <is>
          <t>BESTIA</t>
        </is>
      </c>
      <c r="AS45" s="24" t="inlineStr">
        <is>
          <t>ShindeN</t>
        </is>
      </c>
      <c r="AT45" s="24" t="inlineStr">
        <is>
          <t>ShindeN</t>
        </is>
      </c>
      <c r="AU45" s="24" t="inlineStr">
        <is>
          <t>ShindeN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43d985cc5d70edc577b4f1cac09fef882d817938dc77ba88e4cdf7954d2f8c58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43d985cc5d70edc577b4f1cac09fef882d817938dc77ba88e4cdf7954d2f8c58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2026-08-02T07:16:11.856492Z</t>
        </is>
      </c>
      <c r="BI45" s="24" t="inlineStr">
        <is>
          <t>["same_event","same_team_same_day","same_league_same_day"]</t>
        </is>
      </c>
      <c r="BJ45" s="25" t="n"/>
      <c r="BK45" s="26" t="n">
        <v>138</v>
      </c>
      <c r="BL45" s="27" t="n">
        <v>2.38</v>
      </c>
      <c r="BM45" s="28" t="n">
        <v>0.420168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</row>
    <row r="46" ht="36" customHeight="1">
      <c r="A46" s="24" t="inlineStr">
        <is>
          <t>15f2408e29fd4258</t>
        </is>
      </c>
      <c r="B46" s="24" t="inlineStr">
        <is>
          <t>2026-08-02T07:16:24.505191Z</t>
        </is>
      </c>
      <c r="C46" s="24" t="inlineStr">
        <is>
          <t>2026-08-02T19:15:00Z</t>
        </is>
      </c>
      <c r="D46" s="24" t="inlineStr">
        <is>
          <t>67577</t>
        </is>
      </c>
      <c r="E46" s="24" t="inlineStr">
        <is>
          <t>CS2</t>
        </is>
      </c>
      <c r="F46" s="24" t="inlineStr">
        <is>
          <t>SNAILKICK Club</t>
        </is>
      </c>
      <c r="G46" s="24" t="inlineStr">
        <is>
          <t>Lixxx Club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-178</v>
      </c>
      <c r="M46" s="27" t="n">
        <v>1.561798</v>
      </c>
      <c r="N46" s="28" t="n">
        <v>0.640288</v>
      </c>
      <c r="O46" s="28" t="n">
        <v>0.5266110000000001</v>
      </c>
      <c r="P46" s="28" t="n"/>
      <c r="Q46" s="28" t="n">
        <v>-0.113677</v>
      </c>
      <c r="R46" s="26" t="n">
        <v>0</v>
      </c>
      <c r="S46" s="29" t="n">
        <v>1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0.6400 (market_slug=aec-cs2-lci-scn-2026-08-02).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NO_CALL_MODEL_UNVALIDATED</t>
        </is>
      </c>
      <c r="AP46" s="24" t="inlineStr">
        <is>
          <t>SNAILKICK Club</t>
        </is>
      </c>
      <c r="AQ46" s="24" t="inlineStr">
        <is>
          <t>SNAILKICK Club</t>
        </is>
      </c>
      <c r="AR46" s="24" t="inlineStr">
        <is>
          <t>SNAILKICK Club</t>
        </is>
      </c>
      <c r="AS46" s="24" t="inlineStr">
        <is>
          <t>Lixxx Club</t>
        </is>
      </c>
      <c r="AT46" s="24" t="inlineStr">
        <is>
          <t>Lixxx Club</t>
        </is>
      </c>
      <c r="AU46" s="24" t="inlineStr">
        <is>
          <t>Lixxx Club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43d985cc5d70edc577b4f1cac09fef882d817938dc77ba88e4cdf7954d2f8c58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43d985cc5d70edc577b4f1cac09fef882d817938dc77ba88e4cdf7954d2f8c58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2026-08-02T07:16:12.356484Z</t>
        </is>
      </c>
      <c r="BI46" s="24" t="inlineStr">
        <is>
          <t>["same_event","same_team_same_day","same_league_same_day"]</t>
        </is>
      </c>
      <c r="BJ46" s="25" t="n"/>
      <c r="BK46" s="26" t="n">
        <v>-178</v>
      </c>
      <c r="BL46" s="27" t="n">
        <v>1.561798</v>
      </c>
      <c r="BM46" s="28" t="n">
        <v>0.640288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</row>
    <row r="47" ht="36" customHeight="1">
      <c r="A47" s="24" t="inlineStr">
        <is>
          <t>588fedbfd6204f81</t>
        </is>
      </c>
      <c r="B47" s="24" t="inlineStr">
        <is>
          <t>2026-08-02T07:16:24.505191Z</t>
        </is>
      </c>
      <c r="C47" s="24" t="inlineStr">
        <is>
          <t>2026-08-02T19:15:00Z</t>
        </is>
      </c>
      <c r="D47" s="24" t="inlineStr">
        <is>
          <t>67576</t>
        </is>
      </c>
      <c r="E47" s="24" t="inlineStr">
        <is>
          <t>CS2</t>
        </is>
      </c>
      <c r="F47" s="24" t="inlineStr">
        <is>
          <t>mokrivskiy Club</t>
        </is>
      </c>
      <c r="G47" s="24" t="inlineStr">
        <is>
          <t>Morphilina Club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186</v>
      </c>
      <c r="M47" s="27" t="n">
        <v>2.86</v>
      </c>
      <c r="N47" s="28" t="n">
        <v>0.34965</v>
      </c>
      <c r="O47" s="28" t="n">
        <v>0.57939</v>
      </c>
      <c r="P47" s="28" t="n"/>
      <c r="Q47" s="28" t="n">
        <v>0.22974</v>
      </c>
      <c r="R47" s="26" t="n">
        <v>100</v>
      </c>
      <c r="S47" s="29" t="n">
        <v>1.25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0.3500 (market_slug=aec-cs2-mcor-mco-2026-08-02).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NO_CALL_MODEL_UNVALIDATED</t>
        </is>
      </c>
      <c r="AP47" s="24" t="inlineStr">
        <is>
          <t>mokrivskiy Club</t>
        </is>
      </c>
      <c r="AQ47" s="24" t="inlineStr">
        <is>
          <t>mokrivskiy Club</t>
        </is>
      </c>
      <c r="AR47" s="24" t="inlineStr">
        <is>
          <t>mokrivskiy Club</t>
        </is>
      </c>
      <c r="AS47" s="24" t="inlineStr">
        <is>
          <t>Morphilina Club</t>
        </is>
      </c>
      <c r="AT47" s="24" t="inlineStr">
        <is>
          <t>Morphilina Club</t>
        </is>
      </c>
      <c r="AU47" s="24" t="inlineStr">
        <is>
          <t>Morphilina Club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43d985cc5d70edc577b4f1cac09fef882d817938dc77ba88e4cdf7954d2f8c58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43d985cc5d70edc577b4f1cac09fef882d817938dc77ba88e4cdf7954d2f8c58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2026-08-02T07:16:12.889350Z</t>
        </is>
      </c>
      <c r="BI47" s="24" t="inlineStr">
        <is>
          <t>["same_event","same_team_same_day","same_league_same_day"]</t>
        </is>
      </c>
      <c r="BJ47" s="25" t="n"/>
      <c r="BK47" s="26" t="n">
        <v>186</v>
      </c>
      <c r="BL47" s="27" t="n">
        <v>2.86</v>
      </c>
      <c r="BM47" s="28" t="n">
        <v>0.34965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</row>
    <row r="48" ht="36" customHeight="1">
      <c r="A48" s="24" t="inlineStr">
        <is>
          <t>df5fbea4dd924549</t>
        </is>
      </c>
      <c r="B48" s="24" t="inlineStr">
        <is>
          <t>2026-08-02T07:16:24.505191Z</t>
        </is>
      </c>
      <c r="C48" s="24" t="inlineStr">
        <is>
          <t>2026-08-03T10:00:00Z</t>
        </is>
      </c>
      <c r="D48" s="24" t="inlineStr">
        <is>
          <t>67510</t>
        </is>
      </c>
      <c r="E48" s="24" t="inlineStr">
        <is>
          <t>CS2</t>
        </is>
      </c>
      <c r="F48" s="24" t="inlineStr">
        <is>
          <t>Johnny Speeds</t>
        </is>
      </c>
      <c r="G48" s="24" t="inlineStr">
        <is>
          <t>Metizport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-223</v>
      </c>
      <c r="M48" s="27" t="n">
        <v>1.44843</v>
      </c>
      <c r="N48" s="28" t="n">
        <v>0.690402</v>
      </c>
      <c r="O48" s="28" t="n">
        <v>0.562959</v>
      </c>
      <c r="P48" s="28" t="n"/>
      <c r="Q48" s="28" t="n">
        <v>-0.127443</v>
      </c>
      <c r="R48" s="26" t="n">
        <v>0</v>
      </c>
      <c r="S48" s="29" t="n">
        <v>1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0.6900 (market_slug=aec-cs2-mzp-js-2026-08-03).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Johnny Speeds</t>
        </is>
      </c>
      <c r="AQ48" s="24" t="inlineStr">
        <is>
          <t>Johnny Speeds</t>
        </is>
      </c>
      <c r="AR48" s="24" t="inlineStr">
        <is>
          <t>Johnny Speeds</t>
        </is>
      </c>
      <c r="AS48" s="24" t="inlineStr">
        <is>
          <t>Metizport</t>
        </is>
      </c>
      <c r="AT48" s="24" t="inlineStr">
        <is>
          <t>Metizport</t>
        </is>
      </c>
      <c r="AU48" s="24" t="inlineStr">
        <is>
          <t>Metizport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43d985cc5d70edc577b4f1cac09fef882d817938dc77ba88e4cdf7954d2f8c58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43d985cc5d70edc577b4f1cac09fef882d817938dc77ba88e4cdf7954d2f8c58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2026-08-02T07:16:15.647933Z</t>
        </is>
      </c>
      <c r="BI48" s="24" t="inlineStr">
        <is>
          <t>["same_event","same_team_same_day","same_league_same_day"]</t>
        </is>
      </c>
      <c r="BJ48" s="25" t="n"/>
      <c r="BK48" s="26" t="n">
        <v>-223</v>
      </c>
      <c r="BL48" s="27" t="n">
        <v>1.44843</v>
      </c>
      <c r="BM48" s="28" t="n">
        <v>0.690402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</row>
    <row r="49" ht="36" customHeight="1">
      <c r="A49" s="24" t="inlineStr">
        <is>
          <t>bdd3531261214a53</t>
        </is>
      </c>
      <c r="B49" s="24" t="inlineStr">
        <is>
          <t>2026-08-02T07:16:24.505191Z</t>
        </is>
      </c>
      <c r="C49" s="24" t="inlineStr">
        <is>
          <t>2026-08-03T10:30:00Z</t>
        </is>
      </c>
      <c r="D49" s="24" t="inlineStr">
        <is>
          <t>67514</t>
        </is>
      </c>
      <c r="E49" s="24" t="inlineStr">
        <is>
          <t>CS2</t>
        </is>
      </c>
      <c r="F49" s="24" t="inlineStr">
        <is>
          <t>Passion Academy</t>
        </is>
      </c>
      <c r="G49" s="24" t="inlineStr">
        <is>
          <t>EAC Rising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100</v>
      </c>
      <c r="M49" s="27" t="n">
        <v>2</v>
      </c>
      <c r="N49" s="28" t="n">
        <v>0.5</v>
      </c>
      <c r="O49" s="28" t="n">
        <v>0.640064</v>
      </c>
      <c r="P49" s="28" t="n"/>
      <c r="Q49" s="28" t="n">
        <v>0.140064</v>
      </c>
      <c r="R49" s="26" t="n">
        <v>90</v>
      </c>
      <c r="S49" s="29" t="n">
        <v>1.5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0.5000 (market_slug=aec-cs2-era-psna-2026-08-03).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Passion Academy</t>
        </is>
      </c>
      <c r="AQ49" s="24" t="inlineStr">
        <is>
          <t>Passion Academy</t>
        </is>
      </c>
      <c r="AR49" s="24" t="inlineStr">
        <is>
          <t>Passion Academy</t>
        </is>
      </c>
      <c r="AS49" s="24" t="inlineStr">
        <is>
          <t>EAC Rising</t>
        </is>
      </c>
      <c r="AT49" s="24" t="inlineStr">
        <is>
          <t>EAC Rising</t>
        </is>
      </c>
      <c r="AU49" s="24" t="inlineStr">
        <is>
          <t>EAC Rising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43d985cc5d70edc577b4f1cac09fef882d817938dc77ba88e4cdf7954d2f8c58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43d985cc5d70edc577b4f1cac09fef882d817938dc77ba88e4cdf7954d2f8c58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2026-08-02T07:16:17.283191Z</t>
        </is>
      </c>
      <c r="BI49" s="24" t="inlineStr">
        <is>
          <t>["same_event","same_team_same_day","same_league_same_day"]</t>
        </is>
      </c>
      <c r="BJ49" s="25" t="n"/>
      <c r="BK49" s="26" t="n">
        <v>100</v>
      </c>
      <c r="BL49" s="27" t="n">
        <v>2</v>
      </c>
      <c r="BM49" s="28" t="n">
        <v>0.5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</row>
    <row r="50" ht="36" customHeight="1">
      <c r="A50" s="24" t="inlineStr">
        <is>
          <t>243c49bec8c540a2</t>
        </is>
      </c>
      <c r="B50" s="24" t="inlineStr">
        <is>
          <t>2026-08-02T07:16:24.505191Z</t>
        </is>
      </c>
      <c r="C50" s="24" t="inlineStr">
        <is>
          <t>2026-08-03T11:00:00Z</t>
        </is>
      </c>
      <c r="D50" s="24" t="inlineStr">
        <is>
          <t>67578</t>
        </is>
      </c>
      <c r="E50" s="24" t="inlineStr">
        <is>
          <t>CS2</t>
        </is>
      </c>
      <c r="F50" s="24" t="inlineStr">
        <is>
          <t>Perfecto Club</t>
        </is>
      </c>
      <c r="G50" s="24" t="inlineStr">
        <is>
          <t>Recrent Club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-170</v>
      </c>
      <c r="M50" s="27" t="n">
        <v>1.588235</v>
      </c>
      <c r="N50" s="28" t="n">
        <v>0.62963</v>
      </c>
      <c r="O50" s="28" t="n">
        <v>0.5266110000000001</v>
      </c>
      <c r="P50" s="28" t="n"/>
      <c r="Q50" s="28" t="n">
        <v>-0.103019</v>
      </c>
      <c r="R50" s="26" t="n">
        <v>0</v>
      </c>
      <c r="S50" s="29" t="n">
        <v>1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0.6300 (market_slug=aec-cs2-rce-pce-2026-08-03).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research_observation</t>
        </is>
      </c>
      <c r="AL50" s="26" t="n">
        <v>3</v>
      </c>
      <c r="AM50" s="24" t="inlineStr">
        <is>
          <t>RESEARCH_OBSERVATION</t>
        </is>
      </c>
      <c r="AN50" s="24" t="inlineStr">
        <is>
          <t>NO_CALL</t>
        </is>
      </c>
      <c r="AO50" s="24" t="inlineStr">
        <is>
          <t>NO_CALL_MODEL_UNVALIDATED</t>
        </is>
      </c>
      <c r="AP50" s="24" t="inlineStr">
        <is>
          <t>Perfecto Club</t>
        </is>
      </c>
      <c r="AQ50" s="24" t="inlineStr">
        <is>
          <t>Perfecto Club</t>
        </is>
      </c>
      <c r="AR50" s="24" t="inlineStr">
        <is>
          <t>Perfecto Club</t>
        </is>
      </c>
      <c r="AS50" s="24" t="inlineStr">
        <is>
          <t>Recrent Club</t>
        </is>
      </c>
      <c r="AT50" s="24" t="inlineStr">
        <is>
          <t>Recrent Club</t>
        </is>
      </c>
      <c r="AU50" s="24" t="inlineStr">
        <is>
          <t>Recrent Club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43d985cc5d70edc577b4f1cac09fef882d817938dc77ba88e4cdf7954d2f8c58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43d985cc5d70edc577b4f1cac09fef882d817938dc77ba88e4cdf7954d2f8c58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2026-08-02T07:16:17.856987Z</t>
        </is>
      </c>
      <c r="BI50" s="24" t="inlineStr">
        <is>
          <t>["same_event","same_team_same_day","same_league_same_day"]</t>
        </is>
      </c>
      <c r="BJ50" s="25" t="n"/>
      <c r="BK50" s="26" t="n">
        <v>-170</v>
      </c>
      <c r="BL50" s="27" t="n">
        <v>1.588235</v>
      </c>
      <c r="BM50" s="28" t="n">
        <v>0.62963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</row>
    <row r="51" ht="36" customHeight="1">
      <c r="A51" s="24" t="inlineStr">
        <is>
          <t>509e7f0ed553481e</t>
        </is>
      </c>
      <c r="B51" s="24" t="inlineStr">
        <is>
          <t>2026-08-02T07:16:24.505191Z</t>
        </is>
      </c>
      <c r="C51" s="24" t="inlineStr">
        <is>
          <t>2026-08-03T23:00:00Z</t>
        </is>
      </c>
      <c r="D51" s="24" t="inlineStr">
        <is>
          <t>68043</t>
        </is>
      </c>
      <c r="E51" s="24" t="inlineStr">
        <is>
          <t>CS2</t>
        </is>
      </c>
      <c r="F51" s="24" t="inlineStr">
        <is>
          <t>paiN Academy</t>
        </is>
      </c>
      <c r="G51" s="24" t="inlineStr">
        <is>
          <t>Grêmio Esports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122</v>
      </c>
      <c r="M51" s="27" t="n">
        <v>2.22</v>
      </c>
      <c r="N51" s="28" t="n">
        <v>0.45045</v>
      </c>
      <c r="O51" s="28" t="n">
        <v>0.569433</v>
      </c>
      <c r="P51" s="28" t="n"/>
      <c r="Q51" s="28" t="n">
        <v>0.118983</v>
      </c>
      <c r="R51" s="26" t="n">
        <v>79</v>
      </c>
      <c r="S51" s="29" t="n">
        <v>1.25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0.4500 (market_slug=aec-cs2-ger-paina-2026-08-03).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NO_CALL_MODEL_UNVALIDATED</t>
        </is>
      </c>
      <c r="AP51" s="24" t="inlineStr">
        <is>
          <t>paiN Academy</t>
        </is>
      </c>
      <c r="AQ51" s="24" t="inlineStr">
        <is>
          <t>paiN Academy</t>
        </is>
      </c>
      <c r="AR51" s="24" t="inlineStr">
        <is>
          <t>paiN Academy</t>
        </is>
      </c>
      <c r="AS51" s="24" t="inlineStr">
        <is>
          <t>Grêmio Esports</t>
        </is>
      </c>
      <c r="AT51" s="24" t="inlineStr">
        <is>
          <t>Grêmio Esports</t>
        </is>
      </c>
      <c r="AU51" s="24" t="inlineStr">
        <is>
          <t>Grêmio Esports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43d985cc5d70edc577b4f1cac09fef882d817938dc77ba88e4cdf7954d2f8c58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43d985cc5d70edc577b4f1cac09fef882d817938dc77ba88e4cdf7954d2f8c58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2026-08-02T07:16:24.503358Z</t>
        </is>
      </c>
      <c r="BI51" s="24" t="inlineStr">
        <is>
          <t>["same_event","same_team_same_day","same_league_same_day"]</t>
        </is>
      </c>
      <c r="BJ51" s="25" t="n"/>
      <c r="BK51" s="26" t="n">
        <v>122</v>
      </c>
      <c r="BL51" s="27" t="n">
        <v>2.22</v>
      </c>
      <c r="BM51" s="28" t="n">
        <v>0.45045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2026-08-02T07:16:28Z</dcterms:created>
  <dcterms:modified xsi:type="dcterms:W3CDTF">2026-08-02T07:16:28Z</dcterms:modified>
</cp:coreProperties>
</file>