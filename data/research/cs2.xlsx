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48" headerRowCount="1">
  <autoFilter ref="A1:CP48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COUNTA('Picks'!$A$2:$A$48)</f>
        <v/>
      </c>
      <c r="C4" s="6">
        <f>COUNTIF('Picks'!$U$2:$U$48,"open")</f>
        <v/>
      </c>
      <c r="E4" s="6">
        <f>COUNTIF('Picks'!$U$2:$U$48,"settled")</f>
        <v/>
      </c>
      <c r="G4" s="6">
        <f>IF(COUNTIFS('Picks'!$U$2:$U$48,"settled",'Picks'!$V$2:$V$48,"win")+COUNTIFS('Picks'!$U$2:$U$48,"settled",'Picks'!$V$2:$V$48,"loss")&gt;=$L$2,"Ready","Insufficient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COUNTIF('Picks'!$BX$2:$BX$48,"&gt;0")</f>
        <v/>
      </c>
      <c r="C7" s="6">
        <f>COUNTIFS('Picks'!$BX$2:$BX$48,"&gt;0",'Picks'!$V$2:$V$48,"win")&amp;"-"&amp;COUNTIFS('Picks'!$BX$2:$BX$48,"&gt;0",'Picks'!$V$2:$V$48,"loss")</f>
        <v/>
      </c>
      <c r="E7" s="7">
        <f>IFERROR(COUNTIFS('Picks'!$BX$2:$BX$48,"&gt;0",'Picks'!$V$2:$V$48,"win")/(COUNTIFS('Picks'!$BX$2:$BX$48,"&gt;0",'Picks'!$V$2:$V$48,"win")+COUNTIFS('Picks'!$BX$2:$BX$48,"&gt;0",'Picks'!$V$2:$V$48,"loss")),0)</f>
        <v/>
      </c>
      <c r="G7" s="7">
        <f>IFERROR(SUM('Picks'!$BY$2:$BY$48)/SUM('Picks'!$BX$2:$BX$48),0)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SUM('Picks'!$BY$2:$BY$48)</f>
        <v/>
      </c>
      <c r="C10" s="9">
        <f>IFERROR(AVERAGEIF('Picks'!$AB$2:$AB$48,"&lt;&gt;",'Picks'!$AB$2:$AB$48),0)</f>
        <v/>
      </c>
      <c r="E10" s="6">
        <f>COUNTIFS('Picks'!$AM$2:$AM$48,"QUALIFIED_SHADOW_CALL",'Picks'!$U$2:$U$48,"settled")</f>
        <v/>
      </c>
      <c r="G10" s="8">
        <f>SUMIFS('Picks'!$AC$2:$AC$48,'Picks'!$AM$2:$AM$48,"QUALIFIED_SHADOW_CALL")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COUNTIFS('Picks'!$H$2:$H$48,$A14,'Picks'!$U$2:$U$48,"settled")</f>
        <v/>
      </c>
      <c r="C14" s="13">
        <f>COUNTIFS('Picks'!$H$2:$H$48,$A14,'Picks'!$U$2:$U$48,"settled",'Picks'!$V$2:$V$48,"win")</f>
        <v/>
      </c>
      <c r="D14" s="13">
        <f>COUNTIFS('Picks'!$H$2:$H$48,$A14,'Picks'!$U$2:$U$48,"settled",'Picks'!$V$2:$V$48,"loss")</f>
        <v/>
      </c>
      <c r="E14" s="14">
        <f>IFERROR(C14/(C14+D14),0)</f>
        <v/>
      </c>
      <c r="F14" s="15">
        <f>SUMIFS('Picks'!$BY$2:$BY$48,'Picks'!$H$2:$H$48,$A14)</f>
        <v/>
      </c>
      <c r="G14" s="16">
        <f>IFERROR(AVERAGEIFS('Picks'!$AB$2:$AB$48,'Picks'!$H$2:$H$48,$A14,'Picks'!$U$2:$U$48,"settled"),0)</f>
        <v/>
      </c>
    </row>
    <row r="15">
      <c r="A15" s="17" t="inlineStr">
        <is>
          <t>spread</t>
        </is>
      </c>
      <c r="B15" s="18">
        <f>COUNTIFS('Picks'!$H$2:$H$48,$A15,'Picks'!$U$2:$U$48,"settled")</f>
        <v/>
      </c>
      <c r="C15" s="18">
        <f>COUNTIFS('Picks'!$H$2:$H$48,$A15,'Picks'!$U$2:$U$48,"settled",'Picks'!$V$2:$V$48,"win")</f>
        <v/>
      </c>
      <c r="D15" s="18">
        <f>COUNTIFS('Picks'!$H$2:$H$48,$A15,'Picks'!$U$2:$U$48,"settled",'Picks'!$V$2:$V$48,"loss")</f>
        <v/>
      </c>
      <c r="E15" s="19">
        <f>IFERROR(C15/(C15+D15),0)</f>
        <v/>
      </c>
      <c r="F15" s="20">
        <f>SUMIFS('Picks'!$BY$2:$BY$48,'Picks'!$H$2:$H$48,$A15)</f>
        <v/>
      </c>
      <c r="G15" s="21">
        <f>IFERROR(AVERAGEIFS('Picks'!$AB$2:$AB$48,'Picks'!$H$2:$H$48,$A15,'Picks'!$U$2:$U$48,"settled"),0)</f>
        <v/>
      </c>
    </row>
    <row r="16">
      <c r="A16" s="12" t="inlineStr">
        <is>
          <t>total</t>
        </is>
      </c>
      <c r="B16" s="13">
        <f>COUNTIFS('Picks'!$H$2:$H$48,$A16,'Picks'!$U$2:$U$48,"settled")</f>
        <v/>
      </c>
      <c r="C16" s="13">
        <f>COUNTIFS('Picks'!$H$2:$H$48,$A16,'Picks'!$U$2:$U$48,"settled",'Picks'!$V$2:$V$48,"win")</f>
        <v/>
      </c>
      <c r="D16" s="13">
        <f>COUNTIFS('Picks'!$H$2:$H$48,$A16,'Picks'!$U$2:$U$48,"settled",'Picks'!$V$2:$V$48,"loss")</f>
        <v/>
      </c>
      <c r="E16" s="14">
        <f>IFERROR(C16/(C16+D16),0)</f>
        <v/>
      </c>
      <c r="F16" s="15">
        <f>SUMIFS('Picks'!$BY$2:$BY$48,'Picks'!$H$2:$H$48,$A16)</f>
        <v/>
      </c>
      <c r="G16" s="16">
        <f>IFERROR(AVERAGEIFS('Picks'!$AB$2:$AB$48,'Picks'!$H$2:$H$48,$A16,'Picks'!$U$2:$U$48,"settled"),0)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</row>
    <row r="38" ht="36" customHeight="1">
      <c r="A38" s="24" t="inlineStr">
        <is>
          <t>70c73fb4130e4b04</t>
        </is>
      </c>
      <c r="B38" s="24" t="inlineStr">
        <is>
          <t>2026-08-02T13:07:50.282319Z</t>
        </is>
      </c>
      <c r="C38" s="24" t="inlineStr">
        <is>
          <t>2026-08-02T17:00:00Z</t>
        </is>
      </c>
      <c r="D38" s="24" t="inlineStr">
        <is>
          <t>69263</t>
        </is>
      </c>
      <c r="E38" s="24" t="inlineStr">
        <is>
          <t>CS2</t>
        </is>
      </c>
      <c r="F38" s="24" t="inlineStr">
        <is>
          <t>ENJOY</t>
        </is>
      </c>
      <c r="G38" s="24" t="inlineStr">
        <is>
          <t>Mai Tai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0.6659040000000001</v>
      </c>
      <c r="P38" s="28" t="n"/>
      <c r="Q38" s="28" t="n">
        <v>0.036274</v>
      </c>
      <c r="R38" s="26" t="n">
        <v>38</v>
      </c>
      <c r="S38" s="29" t="n">
        <v>1.75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0.6300 (market_slug=aec-cs2-mta-enjoy-2026-08-02).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ENJOY</t>
        </is>
      </c>
      <c r="AQ38" s="24" t="inlineStr">
        <is>
          <t>ENJOY</t>
        </is>
      </c>
      <c r="AR38" s="24" t="inlineStr">
        <is>
          <t>ENJOY</t>
        </is>
      </c>
      <c r="AS38" s="24" t="inlineStr">
        <is>
          <t>Mai Tai</t>
        </is>
      </c>
      <c r="AT38" s="24" t="inlineStr">
        <is>
          <t>Mai Tai</t>
        </is>
      </c>
      <c r="AU38" s="24" t="inlineStr">
        <is>
          <t>Mai Tai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90a833898e793d48aa6ce23d298a692fd7b914cfa51b8101005c627e8a886f30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90a833898e793d48aa6ce23d298a692fd7b914cfa51b8101005c627e8a886f30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2026-08-02T13:07:36.093507Z</t>
        </is>
      </c>
      <c r="BI38" s="24" t="inlineStr">
        <is>
          <t>["same_event","same_team_same_day","same_league_same_day"]</t>
        </is>
      </c>
      <c r="BJ38" s="25" t="n"/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</row>
    <row r="39" ht="36" customHeight="1">
      <c r="A39" s="24" t="inlineStr">
        <is>
          <t>d7c4b733118b4e5d</t>
        </is>
      </c>
      <c r="B39" s="24" t="inlineStr">
        <is>
          <t>2026-08-02T13:07:50.282319Z</t>
        </is>
      </c>
      <c r="C39" s="24" t="inlineStr">
        <is>
          <t>2026-08-02T18:00:00Z</t>
        </is>
      </c>
      <c r="D39" s="24" t="inlineStr">
        <is>
          <t>69289</t>
        </is>
      </c>
      <c r="E39" s="24" t="inlineStr">
        <is>
          <t>CS2</t>
        </is>
      </c>
      <c r="F39" s="24" t="inlineStr">
        <is>
          <t>BESTIA</t>
        </is>
      </c>
      <c r="G39" s="24" t="inlineStr">
        <is>
          <t>ShindeN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144</v>
      </c>
      <c r="M39" s="27" t="n">
        <v>2.44</v>
      </c>
      <c r="N39" s="28" t="n">
        <v>0.409836</v>
      </c>
      <c r="O39" s="28" t="n">
        <v>0.510804</v>
      </c>
      <c r="P39" s="28" t="n"/>
      <c r="Q39" s="28" t="n">
        <v>0.100968</v>
      </c>
      <c r="R39" s="26" t="n">
        <v>70</v>
      </c>
      <c r="S39" s="29" t="n">
        <v>1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0.4100 (market_slug=aec-cs2-shin-bst-2026-08-02).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BESTIA</t>
        </is>
      </c>
      <c r="AQ39" s="24" t="inlineStr">
        <is>
          <t>BESTIA</t>
        </is>
      </c>
      <c r="AR39" s="24" t="inlineStr">
        <is>
          <t>BESTIA</t>
        </is>
      </c>
      <c r="AS39" s="24" t="inlineStr">
        <is>
          <t>ShindeN</t>
        </is>
      </c>
      <c r="AT39" s="24" t="inlineStr">
        <is>
          <t>ShindeN</t>
        </is>
      </c>
      <c r="AU39" s="24" t="inlineStr">
        <is>
          <t>ShindeN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90a833898e793d48aa6ce23d298a692fd7b914cfa51b8101005c627e8a886f30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90a833898e793d48aa6ce23d298a692fd7b914cfa51b8101005c627e8a886f30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2026-08-02T13:07:36.582090Z</t>
        </is>
      </c>
      <c r="BI39" s="24" t="inlineStr">
        <is>
          <t>["same_event","same_team_same_day","same_league_same_day"]</t>
        </is>
      </c>
      <c r="BJ39" s="25" t="n"/>
      <c r="BK39" s="26" t="n">
        <v>144</v>
      </c>
      <c r="BL39" s="27" t="n">
        <v>2.44</v>
      </c>
      <c r="BM39" s="28" t="n">
        <v>0.409836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</row>
    <row r="40" ht="36" customHeight="1">
      <c r="A40" s="24" t="inlineStr">
        <is>
          <t>f93d38b9d6484fa0</t>
        </is>
      </c>
      <c r="B40" s="24" t="inlineStr">
        <is>
          <t>2026-08-02T13:07:50.282319Z</t>
        </is>
      </c>
      <c r="C40" s="24" t="inlineStr">
        <is>
          <t>2026-08-02T19:15:00Z</t>
        </is>
      </c>
      <c r="D40" s="24" t="inlineStr">
        <is>
          <t>67577</t>
        </is>
      </c>
      <c r="E40" s="24" t="inlineStr">
        <is>
          <t>CS2</t>
        </is>
      </c>
      <c r="F40" s="24" t="inlineStr">
        <is>
          <t>SNAILKICK Club</t>
        </is>
      </c>
      <c r="G40" s="24" t="inlineStr">
        <is>
          <t>Lixxx Club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-150</v>
      </c>
      <c r="M40" s="27" t="n">
        <v>1.666667</v>
      </c>
      <c r="N40" s="28" t="n">
        <v>0.6</v>
      </c>
      <c r="O40" s="28" t="n">
        <v>0.526957</v>
      </c>
      <c r="P40" s="28" t="n"/>
      <c r="Q40" s="28" t="n">
        <v>-0.073043</v>
      </c>
      <c r="R40" s="26" t="n">
        <v>0</v>
      </c>
      <c r="S40" s="29" t="n">
        <v>1</v>
      </c>
      <c r="T40" s="24" t="inlineStr">
        <is>
          <t>cs2-tiered-elo-v5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0.6000 (market_slug=aec-cs2-lci-scn-2026-08-02).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SNAILKICK Club</t>
        </is>
      </c>
      <c r="AQ40" s="24" t="inlineStr">
        <is>
          <t>SNAILKICK Club</t>
        </is>
      </c>
      <c r="AR40" s="24" t="inlineStr">
        <is>
          <t>SNAILKICK Club</t>
        </is>
      </c>
      <c r="AS40" s="24" t="inlineStr">
        <is>
          <t>Lixxx Club</t>
        </is>
      </c>
      <c r="AT40" s="24" t="inlineStr">
        <is>
          <t>Lixxx Club</t>
        </is>
      </c>
      <c r="AU40" s="24" t="inlineStr">
        <is>
          <t>Lixxx Club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90a833898e793d48aa6ce23d298a692fd7b914cfa51b8101005c627e8a886f30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90a833898e793d48aa6ce23d298a692fd7b914cfa51b8101005c627e8a886f30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2026-08-02T13:07:37.163209Z</t>
        </is>
      </c>
      <c r="BI40" s="24" t="inlineStr">
        <is>
          <t>["same_event","same_team_same_day","same_league_same_day"]</t>
        </is>
      </c>
      <c r="BJ40" s="25" t="n"/>
      <c r="BK40" s="26" t="n">
        <v>-150</v>
      </c>
      <c r="BL40" s="27" t="n">
        <v>1.666667</v>
      </c>
      <c r="BM40" s="28" t="n">
        <v>0.6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</row>
    <row r="41" ht="36" customHeight="1">
      <c r="A41" s="24" t="inlineStr">
        <is>
          <t>52e4ee83bf634645</t>
        </is>
      </c>
      <c r="B41" s="24" t="inlineStr">
        <is>
          <t>2026-08-02T13:07:50.282319Z</t>
        </is>
      </c>
      <c r="C41" s="24" t="inlineStr">
        <is>
          <t>2026-08-02T19:15:00Z</t>
        </is>
      </c>
      <c r="D41" s="24" t="inlineStr">
        <is>
          <t>67576</t>
        </is>
      </c>
      <c r="E41" s="24" t="inlineStr">
        <is>
          <t>CS2</t>
        </is>
      </c>
      <c r="F41" s="24" t="inlineStr">
        <is>
          <t>mokrivskiy Club</t>
        </is>
      </c>
      <c r="G41" s="24" t="inlineStr">
        <is>
          <t>Morphilina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144</v>
      </c>
      <c r="M41" s="27" t="n">
        <v>2.44</v>
      </c>
      <c r="N41" s="28" t="n">
        <v>0.409836</v>
      </c>
      <c r="O41" s="28" t="n">
        <v>0.57967</v>
      </c>
      <c r="P41" s="28" t="n"/>
      <c r="Q41" s="28" t="n">
        <v>0.169834</v>
      </c>
      <c r="R41" s="26" t="n">
        <v>100</v>
      </c>
      <c r="S41" s="29" t="n">
        <v>1.25</v>
      </c>
      <c r="T41" s="24" t="inlineStr">
        <is>
          <t>cs2-tiered-elo-v5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0.4100 (market_slug=aec-cs2-mcor-mco-2026-08-02).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mokrivskiy Club</t>
        </is>
      </c>
      <c r="AQ41" s="24" t="inlineStr">
        <is>
          <t>mokrivskiy Club</t>
        </is>
      </c>
      <c r="AR41" s="24" t="inlineStr">
        <is>
          <t>mokrivskiy Club</t>
        </is>
      </c>
      <c r="AS41" s="24" t="inlineStr">
        <is>
          <t>Morphilina Club</t>
        </is>
      </c>
      <c r="AT41" s="24" t="inlineStr">
        <is>
          <t>Morphilina Club</t>
        </is>
      </c>
      <c r="AU41" s="24" t="inlineStr">
        <is>
          <t>Morphilina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90a833898e793d48aa6ce23d298a692fd7b914cfa51b8101005c627e8a886f30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90a833898e793d48aa6ce23d298a692fd7b914cfa51b8101005c627e8a886f30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2026-08-02T13:07:37.759778Z</t>
        </is>
      </c>
      <c r="BI41" s="24" t="inlineStr">
        <is>
          <t>["same_event","same_team_same_day","same_league_same_day"]</t>
        </is>
      </c>
      <c r="BJ41" s="25" t="n"/>
      <c r="BK41" s="26" t="n">
        <v>144</v>
      </c>
      <c r="BL41" s="27" t="n">
        <v>2.44</v>
      </c>
      <c r="BM41" s="28" t="n">
        <v>0.409836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</row>
    <row r="42" ht="36" customHeight="1">
      <c r="A42" s="24" t="inlineStr">
        <is>
          <t>9527d0019f6c4248</t>
        </is>
      </c>
      <c r="B42" s="24" t="inlineStr">
        <is>
          <t>2026-08-02T13:07:50.282319Z</t>
        </is>
      </c>
      <c r="C42" s="24" t="inlineStr">
        <is>
          <t>2026-08-03T08:00:00Z</t>
        </is>
      </c>
      <c r="D42" s="24" t="inlineStr">
        <is>
          <t>68288</t>
        </is>
      </c>
      <c r="E42" s="24" t="inlineStr">
        <is>
          <t>CS2</t>
        </is>
      </c>
      <c r="F42" s="24" t="inlineStr">
        <is>
          <t>CYBERSHOKE Prospects</t>
        </is>
      </c>
      <c r="G42" s="24" t="inlineStr">
        <is>
          <t>WW Team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156</v>
      </c>
      <c r="M42" s="27" t="n">
        <v>2.56</v>
      </c>
      <c r="N42" s="28" t="n">
        <v>0.390625</v>
      </c>
      <c r="O42" s="28" t="n">
        <v>0.704636</v>
      </c>
      <c r="P42" s="28" t="n"/>
      <c r="Q42" s="28" t="n">
        <v>0.314011</v>
      </c>
      <c r="R42" s="26" t="n">
        <v>100</v>
      </c>
      <c r="S42" s="29" t="n">
        <v>2</v>
      </c>
      <c r="T42" s="24" t="inlineStr">
        <is>
          <t>cs2-tiered-elo-v5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0.3900 (market_slug=aec-cs2-ww-cshp-2026-08-03).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CYBERSHOKE Prospects</t>
        </is>
      </c>
      <c r="AQ42" s="24" t="inlineStr">
        <is>
          <t>CYBERSHOKE Prospects</t>
        </is>
      </c>
      <c r="AR42" s="24" t="inlineStr">
        <is>
          <t>CYBERSHOKE Prospects</t>
        </is>
      </c>
      <c r="AS42" s="24" t="inlineStr">
        <is>
          <t>WW Team</t>
        </is>
      </c>
      <c r="AT42" s="24" t="inlineStr">
        <is>
          <t>WW Team</t>
        </is>
      </c>
      <c r="AU42" s="24" t="inlineStr">
        <is>
          <t>WW Team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90a833898e793d48aa6ce23d298a692fd7b914cfa51b8101005c627e8a886f30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90a833898e793d48aa6ce23d298a692fd7b914cfa51b8101005c627e8a886f30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2026-08-02T13:07:39.841997Z</t>
        </is>
      </c>
      <c r="BI42" s="24" t="inlineStr">
        <is>
          <t>["same_event","same_team_same_day","same_league_same_day"]</t>
        </is>
      </c>
      <c r="BJ42" s="25" t="n"/>
      <c r="BK42" s="26" t="n">
        <v>156</v>
      </c>
      <c r="BL42" s="27" t="n">
        <v>2.56</v>
      </c>
      <c r="BM42" s="28" t="n">
        <v>0.390625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</row>
    <row r="43" ht="36" customHeight="1">
      <c r="A43" s="24" t="inlineStr">
        <is>
          <t>293daddbe23b43ea</t>
        </is>
      </c>
      <c r="B43" s="24" t="inlineStr">
        <is>
          <t>2026-08-02T13:07:50.282319Z</t>
        </is>
      </c>
      <c r="C43" s="24" t="inlineStr">
        <is>
          <t>2026-08-03T10:00:00Z</t>
        </is>
      </c>
      <c r="D43" s="24" t="inlineStr">
        <is>
          <t>67510</t>
        </is>
      </c>
      <c r="E43" s="24" t="inlineStr">
        <is>
          <t>CS2</t>
        </is>
      </c>
      <c r="F43" s="24" t="inlineStr">
        <is>
          <t>Johnny Speeds</t>
        </is>
      </c>
      <c r="G43" s="24" t="inlineStr">
        <is>
          <t>Metizport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-223</v>
      </c>
      <c r="M43" s="27" t="n">
        <v>1.44843</v>
      </c>
      <c r="N43" s="28" t="n">
        <v>0.690402</v>
      </c>
      <c r="O43" s="28" t="n">
        <v>0.563182</v>
      </c>
      <c r="P43" s="28" t="n"/>
      <c r="Q43" s="28" t="n">
        <v>-0.12722</v>
      </c>
      <c r="R43" s="26" t="n">
        <v>0</v>
      </c>
      <c r="S43" s="29" t="n">
        <v>1</v>
      </c>
      <c r="T43" s="24" t="inlineStr">
        <is>
          <t>cs2-tiered-elo-v5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0.6900 (market_slug=aec-cs2-mzp-js-2026-08-03).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Johnny Speeds</t>
        </is>
      </c>
      <c r="AQ43" s="24" t="inlineStr">
        <is>
          <t>Johnny Speeds</t>
        </is>
      </c>
      <c r="AR43" s="24" t="inlineStr">
        <is>
          <t>Johnny Speeds</t>
        </is>
      </c>
      <c r="AS43" s="24" t="inlineStr">
        <is>
          <t>Metizport</t>
        </is>
      </c>
      <c r="AT43" s="24" t="inlineStr">
        <is>
          <t>Metizport</t>
        </is>
      </c>
      <c r="AU43" s="24" t="inlineStr">
        <is>
          <t>Metizport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90a833898e793d48aa6ce23d298a692fd7b914cfa51b8101005c627e8a886f30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90a833898e793d48aa6ce23d298a692fd7b914cfa51b8101005c627e8a886f30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2026-08-02T13:07:40.888258Z</t>
        </is>
      </c>
      <c r="BI43" s="24" t="inlineStr">
        <is>
          <t>["same_event","same_team_same_day","same_league_same_day"]</t>
        </is>
      </c>
      <c r="BJ43" s="25" t="n"/>
      <c r="BK43" s="26" t="n">
        <v>-223</v>
      </c>
      <c r="BL43" s="27" t="n">
        <v>1.44843</v>
      </c>
      <c r="BM43" s="28" t="n">
        <v>0.690402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</row>
    <row r="44" ht="36" customHeight="1">
      <c r="A44" s="24" t="inlineStr">
        <is>
          <t>a5c27a9bba5846d9</t>
        </is>
      </c>
      <c r="B44" s="24" t="inlineStr">
        <is>
          <t>2026-08-02T13:07:50.282319Z</t>
        </is>
      </c>
      <c r="C44" s="24" t="inlineStr">
        <is>
          <t>2026-08-03T11:00:00Z</t>
        </is>
      </c>
      <c r="D44" s="24" t="inlineStr">
        <is>
          <t>69135</t>
        </is>
      </c>
      <c r="E44" s="24" t="inlineStr">
        <is>
          <t>CS2</t>
        </is>
      </c>
      <c r="F44" s="24" t="inlineStr">
        <is>
          <t>ex-RUBY</t>
        </is>
      </c>
      <c r="G44" s="24" t="inlineStr">
        <is>
          <t>1WIN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0.527215</v>
      </c>
      <c r="P44" s="28" t="n"/>
      <c r="Q44" s="28" t="n">
        <v>-0.102415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0.6300 (market_slug=aec-cs2-1win-exruby-2026-08-03).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ex-RUBY</t>
        </is>
      </c>
      <c r="AQ44" s="24" t="inlineStr">
        <is>
          <t>ex-RUBY</t>
        </is>
      </c>
      <c r="AR44" s="24" t="inlineStr">
        <is>
          <t>ex-RUBY</t>
        </is>
      </c>
      <c r="AS44" s="24" t="inlineStr">
        <is>
          <t>1WIN</t>
        </is>
      </c>
      <c r="AT44" s="24" t="inlineStr">
        <is>
          <t>1WIN</t>
        </is>
      </c>
      <c r="AU44" s="24" t="inlineStr">
        <is>
          <t>1WIN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90a833898e793d48aa6ce23d298a692fd7b914cfa51b8101005c627e8a886f30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90a833898e793d48aa6ce23d298a692fd7b914cfa51b8101005c627e8a886f30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2026-08-02T13:07:43.369564Z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</row>
    <row r="45" ht="36" customHeight="1">
      <c r="A45" s="24" t="inlineStr">
        <is>
          <t>0c1d277a9d214da8</t>
        </is>
      </c>
      <c r="B45" s="24" t="inlineStr">
        <is>
          <t>2026-08-02T13:07:50.282319Z</t>
        </is>
      </c>
      <c r="C45" s="24" t="inlineStr">
        <is>
          <t>2026-08-03T11:00:00Z</t>
        </is>
      </c>
      <c r="D45" s="24" t="inlineStr">
        <is>
          <t>67578</t>
        </is>
      </c>
      <c r="E45" s="24" t="inlineStr">
        <is>
          <t>CS2</t>
        </is>
      </c>
      <c r="F45" s="24" t="inlineStr">
        <is>
          <t>Perfecto Club</t>
        </is>
      </c>
      <c r="G45" s="24" t="inlineStr">
        <is>
          <t>Recrent Club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-122</v>
      </c>
      <c r="M45" s="27" t="n">
        <v>1.819672</v>
      </c>
      <c r="N45" s="28" t="n">
        <v>0.54955</v>
      </c>
      <c r="O45" s="28" t="n">
        <v>0.526957</v>
      </c>
      <c r="P45" s="28" t="n"/>
      <c r="Q45" s="28" t="n">
        <v>-0.022593</v>
      </c>
      <c r="R45" s="26" t="n">
        <v>9</v>
      </c>
      <c r="S45" s="29" t="n">
        <v>1</v>
      </c>
      <c r="T45" s="24" t="inlineStr">
        <is>
          <t>cs2-tiered-elo-v5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0.5500 (market_slug=aec-cs2-rce-pce-2026-08-03).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Perfecto Club</t>
        </is>
      </c>
      <c r="AQ45" s="24" t="inlineStr">
        <is>
          <t>Perfecto Club</t>
        </is>
      </c>
      <c r="AR45" s="24" t="inlineStr">
        <is>
          <t>Perfecto Club</t>
        </is>
      </c>
      <c r="AS45" s="24" t="inlineStr">
        <is>
          <t>Recrent Club</t>
        </is>
      </c>
      <c r="AT45" s="24" t="inlineStr">
        <is>
          <t>Recrent Club</t>
        </is>
      </c>
      <c r="AU45" s="24" t="inlineStr">
        <is>
          <t>Recrent Club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90a833898e793d48aa6ce23d298a692fd7b914cfa51b8101005c627e8a886f30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90a833898e793d48aa6ce23d298a692fd7b914cfa51b8101005c627e8a886f30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2026-08-02T13:07:43.897046Z</t>
        </is>
      </c>
      <c r="BI45" s="24" t="inlineStr">
        <is>
          <t>["same_event","same_team_same_day","same_league_same_day"]</t>
        </is>
      </c>
      <c r="BJ45" s="25" t="n"/>
      <c r="BK45" s="26" t="n">
        <v>-122</v>
      </c>
      <c r="BL45" s="27" t="n">
        <v>1.819672</v>
      </c>
      <c r="BM45" s="28" t="n">
        <v>0.54955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</row>
    <row r="46" ht="36" customHeight="1">
      <c r="A46" s="24" t="inlineStr">
        <is>
          <t>28f61e71bb5c4b2e</t>
        </is>
      </c>
      <c r="B46" s="24" t="inlineStr">
        <is>
          <t>2026-08-02T13:07:50.282319Z</t>
        </is>
      </c>
      <c r="C46" s="24" t="inlineStr">
        <is>
          <t>2026-08-03T13:45:00Z</t>
        </is>
      </c>
      <c r="D46" s="24" t="inlineStr">
        <is>
          <t>67579</t>
        </is>
      </c>
      <c r="E46" s="24" t="inlineStr">
        <is>
          <t>CS2</t>
        </is>
      </c>
      <c r="F46" s="24" t="inlineStr">
        <is>
          <t>Morphilina Club</t>
        </is>
      </c>
      <c r="G46" s="24" t="inlineStr">
        <is>
          <t>Perfecto Club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203</v>
      </c>
      <c r="M46" s="27" t="n">
        <v>3.03</v>
      </c>
      <c r="N46" s="28" t="n">
        <v>0.330033</v>
      </c>
      <c r="O46" s="28" t="n">
        <v>0.5263640000000001</v>
      </c>
      <c r="P46" s="28" t="n"/>
      <c r="Q46" s="28" t="n">
        <v>0.196331</v>
      </c>
      <c r="R46" s="26" t="n">
        <v>100</v>
      </c>
      <c r="S46" s="29" t="n">
        <v>1</v>
      </c>
      <c r="T46" s="24" t="inlineStr">
        <is>
          <t>cs2-tiered-elo-v5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0.3300 (market_slug=aec-cs2-pce-mcor-2026-08-03).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Morphilina Club</t>
        </is>
      </c>
      <c r="AQ46" s="24" t="inlineStr">
        <is>
          <t>Morphilina Club</t>
        </is>
      </c>
      <c r="AR46" s="24" t="inlineStr">
        <is>
          <t>Morphilina Club</t>
        </is>
      </c>
      <c r="AS46" s="24" t="inlineStr">
        <is>
          <t>Perfecto Club</t>
        </is>
      </c>
      <c r="AT46" s="24" t="inlineStr">
        <is>
          <t>Perfecto Club</t>
        </is>
      </c>
      <c r="AU46" s="24" t="inlineStr">
        <is>
          <t>Perfecto Club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90a833898e793d48aa6ce23d298a692fd7b914cfa51b8101005c627e8a886f30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90a833898e793d48aa6ce23d298a692fd7b914cfa51b8101005c627e8a886f30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2026-08-02T13:07:44.969369Z</t>
        </is>
      </c>
      <c r="BI46" s="24" t="inlineStr">
        <is>
          <t>["same_event","same_team_same_day","same_league_same_day"]</t>
        </is>
      </c>
      <c r="BJ46" s="25" t="n"/>
      <c r="BK46" s="26" t="n">
        <v>203</v>
      </c>
      <c r="BL46" s="27" t="n">
        <v>3.03</v>
      </c>
      <c r="BM46" s="28" t="n">
        <v>0.330033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</row>
    <row r="47" ht="36" customHeight="1">
      <c r="A47" s="24" t="inlineStr">
        <is>
          <t>d60c391c21d847b7</t>
        </is>
      </c>
      <c r="B47" s="24" t="inlineStr">
        <is>
          <t>2026-08-02T13:07:50.282319Z</t>
        </is>
      </c>
      <c r="C47" s="24" t="inlineStr">
        <is>
          <t>2026-08-03T14:00:00Z</t>
        </is>
      </c>
      <c r="D47" s="24" t="inlineStr">
        <is>
          <t>68292</t>
        </is>
      </c>
      <c r="E47" s="24" t="inlineStr">
        <is>
          <t>CS2</t>
        </is>
      </c>
      <c r="F47" s="24" t="inlineStr">
        <is>
          <t>Butterfly</t>
        </is>
      </c>
      <c r="G47" s="24" t="inlineStr">
        <is>
          <t>ARCRED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-186</v>
      </c>
      <c r="M47" s="27" t="n">
        <v>1.537634</v>
      </c>
      <c r="N47" s="28" t="n">
        <v>0.65035</v>
      </c>
      <c r="O47" s="28" t="n">
        <v>0.613928</v>
      </c>
      <c r="P47" s="28" t="n"/>
      <c r="Q47" s="28" t="n">
        <v>-0.036422</v>
      </c>
      <c r="R47" s="26" t="n">
        <v>2</v>
      </c>
      <c r="S47" s="29" t="n">
        <v>1.5</v>
      </c>
      <c r="T47" s="24" t="inlineStr">
        <is>
          <t>cs2-tiered-elo-v5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0.6500 (market_slug=aec-cs2-arc-btf-2026-08-03).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Butterfly</t>
        </is>
      </c>
      <c r="AQ47" s="24" t="inlineStr">
        <is>
          <t>Butterfly</t>
        </is>
      </c>
      <c r="AR47" s="24" t="inlineStr">
        <is>
          <t>Butterfly</t>
        </is>
      </c>
      <c r="AS47" s="24" t="inlineStr">
        <is>
          <t>ARCRED</t>
        </is>
      </c>
      <c r="AT47" s="24" t="inlineStr">
        <is>
          <t>ARCRED</t>
        </is>
      </c>
      <c r="AU47" s="24" t="inlineStr">
        <is>
          <t>ARCRED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90a833898e793d48aa6ce23d298a692fd7b914cfa51b8101005c627e8a886f30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90a833898e793d48aa6ce23d298a692fd7b914cfa51b8101005c627e8a886f30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2026-08-02T13:07:46.045093Z</t>
        </is>
      </c>
      <c r="BI47" s="24" t="inlineStr">
        <is>
          <t>["same_event","same_team_same_day","same_league_same_day"]</t>
        </is>
      </c>
      <c r="BJ47" s="25" t="n"/>
      <c r="BK47" s="26" t="n">
        <v>-186</v>
      </c>
      <c r="BL47" s="27" t="n">
        <v>1.537634</v>
      </c>
      <c r="BM47" s="28" t="n">
        <v>0.65035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</row>
    <row r="48" ht="36" customHeight="1">
      <c r="A48" s="24" t="inlineStr">
        <is>
          <t>8d2f4d4fb47640e6</t>
        </is>
      </c>
      <c r="B48" s="24" t="inlineStr">
        <is>
          <t>2026-08-02T13:07:50.282319Z</t>
        </is>
      </c>
      <c r="C48" s="24" t="inlineStr">
        <is>
          <t>2026-08-03T23:00:00Z</t>
        </is>
      </c>
      <c r="D48" s="24" t="inlineStr">
        <is>
          <t>68043</t>
        </is>
      </c>
      <c r="E48" s="24" t="inlineStr">
        <is>
          <t>CS2</t>
        </is>
      </c>
      <c r="F48" s="24" t="inlineStr">
        <is>
          <t>paiN Academy</t>
        </is>
      </c>
      <c r="G48" s="24" t="inlineStr">
        <is>
          <t>Grêmio Esports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113</v>
      </c>
      <c r="M48" s="27" t="n">
        <v>2.13</v>
      </c>
      <c r="N48" s="28" t="n">
        <v>0.469484</v>
      </c>
      <c r="O48" s="28" t="n">
        <v>0.569723</v>
      </c>
      <c r="P48" s="28" t="n"/>
      <c r="Q48" s="28" t="n">
        <v>0.100239</v>
      </c>
      <c r="R48" s="26" t="n">
        <v>70</v>
      </c>
      <c r="S48" s="29" t="n">
        <v>1.25</v>
      </c>
      <c r="T48" s="24" t="inlineStr">
        <is>
          <t>cs2-tiered-elo-v5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0.4700 (market_slug=aec-cs2-ger-paina-2026-08-03).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paiN Academy</t>
        </is>
      </c>
      <c r="AQ48" s="24" t="inlineStr">
        <is>
          <t>paiN Academy</t>
        </is>
      </c>
      <c r="AR48" s="24" t="inlineStr">
        <is>
          <t>paiN Academy</t>
        </is>
      </c>
      <c r="AS48" s="24" t="inlineStr">
        <is>
          <t>Grêmio Esports</t>
        </is>
      </c>
      <c r="AT48" s="24" t="inlineStr">
        <is>
          <t>Grêmio Esports</t>
        </is>
      </c>
      <c r="AU48" s="24" t="inlineStr">
        <is>
          <t>Grêmio Esports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90a833898e793d48aa6ce23d298a692fd7b914cfa51b8101005c627e8a886f30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90a833898e793d48aa6ce23d298a692fd7b914cfa51b8101005c627e8a886f30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2026-08-02T13:07:50.279981Z</t>
        </is>
      </c>
      <c r="BI48" s="24" t="inlineStr">
        <is>
          <t>["same_event","same_team_same_day","same_league_same_day"]</t>
        </is>
      </c>
      <c r="BJ48" s="25" t="n"/>
      <c r="BK48" s="26" t="n">
        <v>113</v>
      </c>
      <c r="BL48" s="27" t="n">
        <v>2.13</v>
      </c>
      <c r="BM48" s="28" t="n">
        <v>0.469484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2026-08-02T13:07:52Z</dcterms:created>
  <dcterms:modified xsi:type="dcterms:W3CDTF">2026-08-02T13:07:52Z</dcterms:modified>
</cp:coreProperties>
</file>