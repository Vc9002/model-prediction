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42" headerRowCount="1">
  <autoFilter ref="A1:CO4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COUNTA('Picks'!$A$2:$A$42)</f>
        <v/>
      </c>
      <c r="C4" s="6">
        <f>COUNTIF('Picks'!$U$2:$U$42,"open")</f>
        <v/>
      </c>
      <c r="E4" s="6">
        <f>COUNTIF('Picks'!$U$2:$U$42,"settled")</f>
        <v/>
      </c>
      <c r="G4" s="6">
        <f>IF(COUNTIFS('Picks'!$U$2:$U$42,"settled",'Picks'!$V$2:$V$42,"win")+COUNTIFS('Picks'!$U$2:$U$42,"settled",'Picks'!$V$2:$V$42,"loss")&gt;=$L$2,"Ready","Insufficient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COUNTIF('Picks'!$BX$2:$BX$42,"&gt;0")</f>
        <v/>
      </c>
      <c r="C7" s="6">
        <f>COUNTIFS('Picks'!$BX$2:$BX$42,"&gt;0",'Picks'!$V$2:$V$42,"win")&amp;"-"&amp;COUNTIFS('Picks'!$BX$2:$BX$42,"&gt;0",'Picks'!$V$2:$V$42,"loss")</f>
        <v/>
      </c>
      <c r="E7" s="7">
        <f>IFERROR(COUNTIFS('Picks'!$BX$2:$BX$42,"&gt;0",'Picks'!$V$2:$V$42,"win")/(COUNTIFS('Picks'!$BX$2:$BX$42,"&gt;0",'Picks'!$V$2:$V$42,"win")+COUNTIFS('Picks'!$BX$2:$BX$42,"&gt;0",'Picks'!$V$2:$V$42,"loss")),0)</f>
        <v/>
      </c>
      <c r="G7" s="7">
        <f>IFERROR(SUM('Picks'!$BY$2:$BY$42)/SUM('Picks'!$BX$2:$BX$42),0)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SUM('Picks'!$BY$2:$BY$42)</f>
        <v/>
      </c>
      <c r="C10" s="9">
        <f>IFERROR(AVERAGEIF('Picks'!$AB$2:$AB$42,"&lt;&gt;",'Picks'!$AB$2:$AB$42),0)</f>
        <v/>
      </c>
      <c r="E10" s="6">
        <f>COUNTIFS('Picks'!$AM$2:$AM$42,"QUALIFIED_SHADOW_CALL",'Picks'!$U$2:$U$42,"settled")</f>
        <v/>
      </c>
      <c r="G10" s="8">
        <f>SUMIFS('Picks'!$AC$2:$AC$42,'Picks'!$AM$2:$AM$42,"QUALIFIED_SHADOW_CALL")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COUNTIFS('Picks'!$H$2:$H$42,$A14,'Picks'!$U$2:$U$42,"settled")</f>
        <v/>
      </c>
      <c r="C14" s="13">
        <f>COUNTIFS('Picks'!$H$2:$H$42,$A14,'Picks'!$U$2:$U$42,"settled",'Picks'!$V$2:$V$42,"win")</f>
        <v/>
      </c>
      <c r="D14" s="13">
        <f>COUNTIFS('Picks'!$H$2:$H$42,$A14,'Picks'!$U$2:$U$42,"settled",'Picks'!$V$2:$V$42,"loss")</f>
        <v/>
      </c>
      <c r="E14" s="14">
        <f>IFERROR(C14/(C14+D14),0)</f>
        <v/>
      </c>
      <c r="F14" s="15">
        <f>SUMIFS('Picks'!$BY$2:$BY$42,'Picks'!$H$2:$H$42,$A14)</f>
        <v/>
      </c>
      <c r="G14" s="16">
        <f>IFERROR(AVERAGEIFS('Picks'!$AB$2:$AB$42,'Picks'!$H$2:$H$42,$A14,'Picks'!$U$2:$U$42,"settled"),0)</f>
        <v/>
      </c>
    </row>
    <row r="15">
      <c r="A15" s="17" t="inlineStr">
        <is>
          <t>spread</t>
        </is>
      </c>
      <c r="B15" s="18">
        <f>COUNTIFS('Picks'!$H$2:$H$42,$A15,'Picks'!$U$2:$U$42,"settled")</f>
        <v/>
      </c>
      <c r="C15" s="18">
        <f>COUNTIFS('Picks'!$H$2:$H$42,$A15,'Picks'!$U$2:$U$42,"settled",'Picks'!$V$2:$V$42,"win")</f>
        <v/>
      </c>
      <c r="D15" s="18">
        <f>COUNTIFS('Picks'!$H$2:$H$42,$A15,'Picks'!$U$2:$U$42,"settled",'Picks'!$V$2:$V$42,"loss")</f>
        <v/>
      </c>
      <c r="E15" s="19">
        <f>IFERROR(C15/(C15+D15),0)</f>
        <v/>
      </c>
      <c r="F15" s="20">
        <f>SUMIFS('Picks'!$BY$2:$BY$42,'Picks'!$H$2:$H$42,$A15)</f>
        <v/>
      </c>
      <c r="G15" s="21">
        <f>IFERROR(AVERAGEIFS('Picks'!$AB$2:$AB$42,'Picks'!$H$2:$H$42,$A15,'Picks'!$U$2:$U$42,"settled"),0)</f>
        <v/>
      </c>
    </row>
    <row r="16">
      <c r="A16" s="12" t="inlineStr">
        <is>
          <t>total</t>
        </is>
      </c>
      <c r="B16" s="13">
        <f>COUNTIFS('Picks'!$H$2:$H$42,$A16,'Picks'!$U$2:$U$42,"settled")</f>
        <v/>
      </c>
      <c r="C16" s="13">
        <f>COUNTIFS('Picks'!$H$2:$H$42,$A16,'Picks'!$U$2:$U$42,"settled",'Picks'!$V$2:$V$42,"win")</f>
        <v/>
      </c>
      <c r="D16" s="13">
        <f>COUNTIFS('Picks'!$H$2:$H$42,$A16,'Picks'!$U$2:$U$42,"settled",'Picks'!$V$2:$V$42,"loss")</f>
        <v/>
      </c>
      <c r="E16" s="14">
        <f>IFERROR(C16/(C16+D16),0)</f>
        <v/>
      </c>
      <c r="F16" s="15">
        <f>SUMIFS('Picks'!$BY$2:$BY$42,'Picks'!$H$2:$H$42,$A16)</f>
        <v/>
      </c>
      <c r="G16" s="16">
        <f>IFERROR(AVERAGEIFS('Picks'!$AB$2:$AB$42,'Picks'!$H$2:$H$42,$A16,'Picks'!$U$2:$U$42,"settled"),0)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ccd360f2013e40ba</t>
        </is>
      </c>
      <c r="B2" s="24" t="inlineStr">
        <is>
          <t>2026-07-24T10:52:55.851714Z</t>
        </is>
      </c>
      <c r="C2" s="24" t="inlineStr">
        <is>
          <t>2026-07-24T11:00:00Z</t>
        </is>
      </c>
      <c r="D2" s="24" t="inlineStr">
        <is>
          <t>60433</t>
        </is>
      </c>
      <c r="E2" s="24" t="inlineStr">
        <is>
          <t>CS2</t>
        </is>
      </c>
      <c r="F2" s="24" t="inlineStr">
        <is>
          <t>ROUNDS</t>
        </is>
      </c>
      <c r="G2" s="24" t="inlineStr">
        <is>
          <t>megoshort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127</v>
      </c>
      <c r="M2" s="27" t="n">
        <v>2.27</v>
      </c>
      <c r="N2" s="28" t="n">
        <v>0.440529</v>
      </c>
      <c r="O2" s="28" t="n">
        <v>0.48672</v>
      </c>
      <c r="P2" s="28" t="n"/>
      <c r="Q2" s="28" t="n">
        <v>0.046191</v>
      </c>
      <c r="R2" s="26" t="n">
        <v>57</v>
      </c>
      <c r="S2" s="29" t="n">
        <v>0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2026-07-25T23:18:34.088996Z</t>
        </is>
      </c>
      <c r="AE2" s="31" t="inlineStr">
        <is>
          <t>Neutral Elo baseline; executable ask 0.4400 (market_slug=aec-cs2-mego-rgg-2026-07-24).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ROUNDS</t>
        </is>
      </c>
      <c r="AQ2" s="24" t="inlineStr">
        <is>
          <t>ROUNDS</t>
        </is>
      </c>
      <c r="AR2" s="24" t="inlineStr">
        <is>
          <t>ROUNDS</t>
        </is>
      </c>
      <c r="AS2" s="24" t="inlineStr">
        <is>
          <t>megoshort</t>
        </is>
      </c>
      <c r="AT2" s="24" t="inlineStr">
        <is>
          <t>megoshort</t>
        </is>
      </c>
      <c r="AU2" s="24" t="inlineStr">
        <is>
          <t>megoshort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2026-07-24T10:52:08.897862Z</t>
        </is>
      </c>
      <c r="BI2" s="24" t="inlineStr">
        <is>
          <t>["same_event","same_team_same_day","same_league_same_day"]</t>
        </is>
      </c>
      <c r="BJ2" s="25" t="n"/>
      <c r="BK2" s="26" t="n">
        <v>127</v>
      </c>
      <c r="BL2" s="27" t="n">
        <v>2.27</v>
      </c>
      <c r="BM2" s="28" t="n">
        <v>0.440529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7f58b2e1b99b4a82</t>
        </is>
      </c>
      <c r="B3" s="24" t="inlineStr">
        <is>
          <t>2026-07-26T08:22:32.657968Z</t>
        </is>
      </c>
      <c r="C3" s="24" t="inlineStr">
        <is>
          <t>2026-07-26T11:00:00Z</t>
        </is>
      </c>
      <c r="D3" s="24" t="inlineStr">
        <is>
          <t>61824</t>
        </is>
      </c>
      <c r="E3" s="24" t="inlineStr">
        <is>
          <t>CS2</t>
        </is>
      </c>
      <c r="F3" s="24" t="inlineStr">
        <is>
          <t>ex-MANA eSports</t>
        </is>
      </c>
      <c r="G3" s="24" t="inlineStr">
        <is>
          <t>NEW VISION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0.621956</v>
      </c>
      <c r="P3" s="28" t="n"/>
      <c r="Q3" s="28" t="n">
        <v>0.09143999999999999</v>
      </c>
      <c r="R3" s="26" t="n">
        <v>66</v>
      </c>
      <c r="S3" s="29" t="n">
        <v>1.75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1.5487</v>
      </c>
      <c r="AD3" s="24" t="inlineStr">
        <is>
          <t>2026-07-26T17:52:22.477994Z</t>
        </is>
      </c>
      <c r="AE3" s="31" t="inlineStr">
        <is>
          <t>Neutral Elo baseline; executable ask 0.5300 (market_slug=aec-cs2-nve-exmana-2026-07-26).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ex-MANA eSports</t>
        </is>
      </c>
      <c r="AQ3" s="24" t="inlineStr">
        <is>
          <t>ex-MANA eSports</t>
        </is>
      </c>
      <c r="AR3" s="24" t="inlineStr">
        <is>
          <t>ex-MANA eSports</t>
        </is>
      </c>
      <c r="AS3" s="24" t="inlineStr">
        <is>
          <t>NEW VISION</t>
        </is>
      </c>
      <c r="AT3" s="24" t="inlineStr">
        <is>
          <t>NEW VISION</t>
        </is>
      </c>
      <c r="AU3" s="24" t="inlineStr">
        <is>
          <t>NEW VISION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2026-07-26T08:21:51.887770Z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6bfaef0a2c0b4fe1</t>
        </is>
      </c>
      <c r="B4" s="24" t="inlineStr">
        <is>
          <t>2026-07-26T12:50:13.208687Z</t>
        </is>
      </c>
      <c r="C4" s="24" t="inlineStr">
        <is>
          <t>2026-07-26T14:00:00Z</t>
        </is>
      </c>
      <c r="D4" s="24" t="inlineStr">
        <is>
          <t>61440</t>
        </is>
      </c>
      <c r="E4" s="24" t="inlineStr">
        <is>
          <t>CS2</t>
        </is>
      </c>
      <c r="F4" s="24" t="inlineStr">
        <is>
          <t>Lazer Cats</t>
        </is>
      </c>
      <c r="G4" s="24" t="inlineStr">
        <is>
          <t>STATE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0.769302</v>
      </c>
      <c r="P4" s="28" t="n"/>
      <c r="Q4" s="28" t="n">
        <v>0.269302</v>
      </c>
      <c r="R4" s="26" t="n">
        <v>100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2026-07-26T17:52:39.939443Z</t>
        </is>
      </c>
      <c r="AE4" s="31" t="inlineStr">
        <is>
          <t>Neutral Elo baseline; executable ask 0.5000 (market_slug=aec-cs2-sta-lc-2026-07-26).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Lazer Cats</t>
        </is>
      </c>
      <c r="AQ4" s="24" t="inlineStr">
        <is>
          <t>Lazer Cats</t>
        </is>
      </c>
      <c r="AR4" s="24" t="inlineStr">
        <is>
          <t>Lazer Cats</t>
        </is>
      </c>
      <c r="AS4" s="24" t="inlineStr">
        <is>
          <t>STATE</t>
        </is>
      </c>
      <c r="AT4" s="24" t="inlineStr">
        <is>
          <t>STATE</t>
        </is>
      </c>
      <c r="AU4" s="24" t="inlineStr">
        <is>
          <t>STATE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2026-07-26T12:49:44.422167Z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36f4eeb7a1fc4959</t>
        </is>
      </c>
      <c r="B5" s="24" t="inlineStr">
        <is>
          <t>2026-07-26T12:50:13.208687Z</t>
        </is>
      </c>
      <c r="C5" s="24" t="inlineStr">
        <is>
          <t>2026-07-26T15:00:00Z</t>
        </is>
      </c>
      <c r="D5" s="24" t="inlineStr">
        <is>
          <t>61219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Wildcard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-178</v>
      </c>
      <c r="M5" s="27" t="n">
        <v>1.561798</v>
      </c>
      <c r="N5" s="28" t="n">
        <v>0.640288</v>
      </c>
      <c r="O5" s="28" t="n">
        <v>0.702966</v>
      </c>
      <c r="P5" s="28" t="n"/>
      <c r="Q5" s="28" t="n">
        <v>0.062678</v>
      </c>
      <c r="R5" s="26" t="n">
        <v>51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1.1236</v>
      </c>
      <c r="AD5" s="24" t="inlineStr">
        <is>
          <t>2026-07-26T17:52:44.016789Z</t>
        </is>
      </c>
      <c r="AE5" s="31" t="inlineStr">
        <is>
          <t>Neutral Elo baseline; executable ask 0.6400 (market_slug=aec-cs2-wc-mglz-2026-07-26).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Wildcard</t>
        </is>
      </c>
      <c r="AT5" s="24" t="inlineStr">
        <is>
          <t>Wildcard</t>
        </is>
      </c>
      <c r="AU5" s="24" t="inlineStr">
        <is>
          <t>Wildcard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2026-07-26T12:49:46.102307Z</t>
        </is>
      </c>
      <c r="BI5" s="24" t="inlineStr">
        <is>
          <t>["same_event","same_team_same_day","same_league_same_day"]</t>
        </is>
      </c>
      <c r="BJ5" s="25" t="n"/>
      <c r="BK5" s="26" t="n">
        <v>-178</v>
      </c>
      <c r="BL5" s="27" t="n">
        <v>1.561798</v>
      </c>
      <c r="BM5" s="28" t="n">
        <v>0.640288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1490f707da544484</t>
        </is>
      </c>
      <c r="B6" s="24" t="inlineStr">
        <is>
          <t>2026-07-26T12:50:13.208687Z</t>
        </is>
      </c>
      <c r="C6" s="24" t="inlineStr">
        <is>
          <t>2026-07-26T16:00:00Z</t>
        </is>
      </c>
      <c r="D6" s="24" t="inlineStr">
        <is>
          <t>61948</t>
        </is>
      </c>
      <c r="E6" s="24" t="inlineStr">
        <is>
          <t>CS2</t>
        </is>
      </c>
      <c r="F6" s="24" t="inlineStr">
        <is>
          <t>NIP</t>
        </is>
      </c>
      <c r="G6" s="24" t="inlineStr">
        <is>
          <t>magic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113</v>
      </c>
      <c r="M6" s="27" t="n">
        <v>2.13</v>
      </c>
      <c r="N6" s="28" t="n">
        <v>0.469484</v>
      </c>
      <c r="O6" s="28" t="n">
        <v>0.665479</v>
      </c>
      <c r="P6" s="28" t="n"/>
      <c r="Q6" s="28" t="n">
        <v>0.195995</v>
      </c>
      <c r="R6" s="26" t="n">
        <v>100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2.26</v>
      </c>
      <c r="AD6" s="24" t="inlineStr">
        <is>
          <t>2026-07-26T18:55:39.044193Z</t>
        </is>
      </c>
      <c r="AE6" s="31" t="inlineStr">
        <is>
          <t>Neutral Elo baseline; executable ask 0.4700 (market_slug=aec-cs2-mgc-nip-2026-07-26).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NIP</t>
        </is>
      </c>
      <c r="AQ6" s="24" t="inlineStr">
        <is>
          <t>NIP</t>
        </is>
      </c>
      <c r="AR6" s="24" t="inlineStr">
        <is>
          <t>NIP</t>
        </is>
      </c>
      <c r="AS6" s="24" t="inlineStr">
        <is>
          <t>magic</t>
        </is>
      </c>
      <c r="AT6" s="24" t="inlineStr">
        <is>
          <t>magic</t>
        </is>
      </c>
      <c r="AU6" s="24" t="inlineStr">
        <is>
          <t>magic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2026-07-26T12:49:49.664310Z</t>
        </is>
      </c>
      <c r="BI6" s="24" t="inlineStr">
        <is>
          <t>["same_event","same_team_same_day","same_league_same_day"]</t>
        </is>
      </c>
      <c r="BJ6" s="25" t="n"/>
      <c r="BK6" s="26" t="n">
        <v>113</v>
      </c>
      <c r="BL6" s="27" t="n">
        <v>2.13</v>
      </c>
      <c r="BM6" s="28" t="n">
        <v>0.469484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dc27f4a4fe824b06</t>
        </is>
      </c>
      <c r="B7" s="24" t="inlineStr">
        <is>
          <t>2026-07-26T12:50:13.208687Z</t>
        </is>
      </c>
      <c r="C7" s="24" t="inlineStr">
        <is>
          <t>2026-07-26T17:00:00Z</t>
        </is>
      </c>
      <c r="D7" s="24" t="inlineStr">
        <is>
          <t>62237</t>
        </is>
      </c>
      <c r="E7" s="24" t="inlineStr">
        <is>
          <t>CS2</t>
        </is>
      </c>
      <c r="F7" s="24" t="inlineStr">
        <is>
          <t>Privateer Gaming</t>
        </is>
      </c>
      <c r="G7" s="24" t="inlineStr">
        <is>
          <t>Honvéd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0.700097</v>
      </c>
      <c r="P7" s="28" t="n"/>
      <c r="Q7" s="28" t="n">
        <v>0.08032499999999999</v>
      </c>
      <c r="R7" s="26" t="n">
        <v>60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1.227</v>
      </c>
      <c r="AD7" s="24" t="inlineStr">
        <is>
          <t>2026-07-26T19:30:47.171665Z</t>
        </is>
      </c>
      <c r="AE7" s="31" t="inlineStr">
        <is>
          <t>Neutral Elo baseline; executable ask 0.6200 (market_slug=aec-cs2-hon-pg-2026-07-26).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Privateer Gaming</t>
        </is>
      </c>
      <c r="AQ7" s="24" t="inlineStr">
        <is>
          <t>Privateer Gaming</t>
        </is>
      </c>
      <c r="AR7" s="24" t="inlineStr">
        <is>
          <t>Privateer Gaming</t>
        </is>
      </c>
      <c r="AS7" s="24" t="inlineStr">
        <is>
          <t>Honvéd</t>
        </is>
      </c>
      <c r="AT7" s="24" t="inlineStr">
        <is>
          <t>Honvéd</t>
        </is>
      </c>
      <c r="AU7" s="24" t="inlineStr">
        <is>
          <t>Honvéd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2026-07-26T12:49:51.560831Z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a02cf80a68614277</t>
        </is>
      </c>
      <c r="B8" s="24" t="inlineStr">
        <is>
          <t>2026-07-26T17:57:12.724550Z</t>
        </is>
      </c>
      <c r="C8" s="24" t="inlineStr">
        <is>
          <t>2026-07-26T18:15:00Z</t>
        </is>
      </c>
      <c r="D8" s="24" t="inlineStr">
        <is>
          <t>61472</t>
        </is>
      </c>
      <c r="E8" s="24" t="inlineStr">
        <is>
          <t>CS2</t>
        </is>
      </c>
      <c r="F8" s="24" t="inlineStr">
        <is>
          <t>mellren</t>
        </is>
      </c>
      <c r="G8" s="24" t="inlineStr">
        <is>
          <t>A Great Chaos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-194</v>
      </c>
      <c r="M8" s="27" t="n">
        <v>1.515464</v>
      </c>
      <c r="N8" s="28" t="n">
        <v>0.659864</v>
      </c>
      <c r="O8" s="28" t="n">
        <v>0.703286</v>
      </c>
      <c r="P8" s="28" t="n"/>
      <c r="Q8" s="28" t="n">
        <v>0.043422</v>
      </c>
      <c r="R8" s="26" t="n">
        <v>42</v>
      </c>
      <c r="S8" s="29" t="n">
        <v>0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2026-07-27T01:52:01.459436Z</t>
        </is>
      </c>
      <c r="AE8" s="31" t="inlineStr">
        <is>
          <t>Neutral Elo baseline; executable ask 0.6600 (market_slug=aec-cs2-agc-mel-2026-07-26).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mellren</t>
        </is>
      </c>
      <c r="AQ8" s="24" t="inlineStr">
        <is>
          <t>mellren</t>
        </is>
      </c>
      <c r="AR8" s="24" t="inlineStr">
        <is>
          <t>mellren</t>
        </is>
      </c>
      <c r="AS8" s="24" t="inlineStr">
        <is>
          <t>A Great Chaos</t>
        </is>
      </c>
      <c r="AT8" s="24" t="inlineStr">
        <is>
          <t>A Great Chaos</t>
        </is>
      </c>
      <c r="AU8" s="24" t="inlineStr">
        <is>
          <t>A Great Chaos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2026-07-26T17:57:02.105740Z</t>
        </is>
      </c>
      <c r="BI8" s="24" t="inlineStr">
        <is>
          <t>["same_event","same_team_same_day","same_league_same_day"]</t>
        </is>
      </c>
      <c r="BJ8" s="25" t="n"/>
      <c r="BK8" s="26" t="n">
        <v>-194</v>
      </c>
      <c r="BL8" s="27" t="n">
        <v>1.515464</v>
      </c>
      <c r="BM8" s="28" t="n">
        <v>0.659864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d70fc113f3034152</t>
        </is>
      </c>
      <c r="B9" s="24" t="inlineStr">
        <is>
          <t>2026-07-27T10:27:30.866418Z</t>
        </is>
      </c>
      <c r="C9" s="24" t="inlineStr">
        <is>
          <t>2026-07-27T11:00:00Z</t>
        </is>
      </c>
      <c r="D9" s="24" t="inlineStr">
        <is>
          <t>60732</t>
        </is>
      </c>
      <c r="E9" s="24" t="inlineStr">
        <is>
          <t>CS2</t>
        </is>
      </c>
      <c r="F9" s="24" t="inlineStr">
        <is>
          <t>Noir Verse</t>
        </is>
      </c>
      <c r="G9" s="24" t="inlineStr">
        <is>
          <t>ASTRAL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0.736846</v>
      </c>
      <c r="P9" s="28" t="n"/>
      <c r="Q9" s="28" t="n">
        <v>0.06687899999999999</v>
      </c>
      <c r="R9" s="26" t="n">
        <v>53</v>
      </c>
      <c r="S9" s="29" t="n">
        <v>2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2026-07-27T13:27:57.945893Z</t>
        </is>
      </c>
      <c r="AE9" s="31" t="inlineStr">
        <is>
          <t>Neutral Elo baseline; executable ask 0.6700 (market_slug=aec-cs2-astr-nvo-2026-07-27).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Noir Verse</t>
        </is>
      </c>
      <c r="AQ9" s="24" t="inlineStr">
        <is>
          <t>Noir Verse</t>
        </is>
      </c>
      <c r="AR9" s="24" t="inlineStr">
        <is>
          <t>Noir Verse</t>
        </is>
      </c>
      <c r="AS9" s="24" t="inlineStr">
        <is>
          <t>ASTRAL</t>
        </is>
      </c>
      <c r="AT9" s="24" t="inlineStr">
        <is>
          <t>ASTRAL</t>
        </is>
      </c>
      <c r="AU9" s="24" t="inlineStr">
        <is>
          <t>ASTRAL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2026-07-27T10:27:02.394501Z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a2e4473ba2dc4ac2</t>
        </is>
      </c>
      <c r="B10" s="24" t="inlineStr">
        <is>
          <t>2026-07-27T10:27:30.866418Z</t>
        </is>
      </c>
      <c r="C10" s="24" t="inlineStr">
        <is>
          <t>2026-07-27T11:00:00Z</t>
        </is>
      </c>
      <c r="D10" s="24" t="inlineStr">
        <is>
          <t>63352</t>
        </is>
      </c>
      <c r="E10" s="24" t="inlineStr">
        <is>
          <t>CS2</t>
        </is>
      </c>
      <c r="F10" s="24" t="inlineStr">
        <is>
          <t>ex-RUSTEC</t>
        </is>
      </c>
      <c r="G10" s="24" t="inlineStr">
        <is>
          <t>ex-RUBY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0.862507</v>
      </c>
      <c r="P10" s="28" t="n"/>
      <c r="Q10" s="28" t="n">
        <v>0.253132</v>
      </c>
      <c r="R10" s="26" t="n">
        <v>100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1.2821</v>
      </c>
      <c r="AD10" s="24" t="inlineStr">
        <is>
          <t>2026-07-27T13:27:59.189348Z</t>
        </is>
      </c>
      <c r="AE10" s="31" t="inlineStr">
        <is>
          <t>Neutral Elo baseline; executable ask 0.6100 (market_slug=aec-cs2-exruby-erx-2026-07-27).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ex-RUSTEC</t>
        </is>
      </c>
      <c r="AQ10" s="24" t="inlineStr">
        <is>
          <t>ex-RUSTEC</t>
        </is>
      </c>
      <c r="AR10" s="24" t="inlineStr">
        <is>
          <t>ex-RUSTEC</t>
        </is>
      </c>
      <c r="AS10" s="24" t="inlineStr">
        <is>
          <t>ex-RUBY</t>
        </is>
      </c>
      <c r="AT10" s="24" t="inlineStr">
        <is>
          <t>ex-RUBY</t>
        </is>
      </c>
      <c r="AU10" s="24" t="inlineStr">
        <is>
          <t>ex-RUBY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2026-07-27T10:27:03.352513Z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18433aef54b14feb</t>
        </is>
      </c>
      <c r="B11" s="24" t="inlineStr">
        <is>
          <t>2026-07-27T10:27:30.866418Z</t>
        </is>
      </c>
      <c r="C11" s="24" t="inlineStr">
        <is>
          <t>2026-07-27T11:00:00Z</t>
        </is>
      </c>
      <c r="D11" s="24" t="inlineStr">
        <is>
          <t>63351</t>
        </is>
      </c>
      <c r="E11" s="24" t="inlineStr">
        <is>
          <t>CS2</t>
        </is>
      </c>
      <c r="F11" s="24" t="inlineStr">
        <is>
          <t>Benched gods</t>
        </is>
      </c>
      <c r="G11" s="24" t="inlineStr">
        <is>
          <t>Black Phoenix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104</v>
      </c>
      <c r="M11" s="27" t="n">
        <v>2.04</v>
      </c>
      <c r="N11" s="28" t="n">
        <v>0.490196</v>
      </c>
      <c r="O11" s="28" t="n">
        <v>0.629085</v>
      </c>
      <c r="P11" s="28" t="n"/>
      <c r="Q11" s="28" t="n">
        <v>0.138889</v>
      </c>
      <c r="R11" s="26" t="n">
        <v>89</v>
      </c>
      <c r="S11" s="29" t="n">
        <v>0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2026-07-27T16:09:01.989713Z</t>
        </is>
      </c>
      <c r="AE11" s="31" t="inlineStr">
        <is>
          <t>Neutral Elo baseline; executable ask 0.4900 (market_slug=aec-cs2-bpl-bge-2026-07-27).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Benched gods</t>
        </is>
      </c>
      <c r="AQ11" s="24" t="inlineStr">
        <is>
          <t>Benched gods</t>
        </is>
      </c>
      <c r="AR11" s="24" t="inlineStr">
        <is>
          <t>Benched gods</t>
        </is>
      </c>
      <c r="AS11" s="24" t="inlineStr">
        <is>
          <t>Black Phoenix</t>
        </is>
      </c>
      <c r="AT11" s="24" t="inlineStr">
        <is>
          <t>Black Phoenix</t>
        </is>
      </c>
      <c r="AU11" s="24" t="inlineStr">
        <is>
          <t>Black Phoenix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2026-07-27T10:27:03.893606Z</t>
        </is>
      </c>
      <c r="BI11" s="24" t="inlineStr">
        <is>
          <t>["same_event","same_team_same_day","same_league_same_day"]</t>
        </is>
      </c>
      <c r="BJ11" s="25" t="n"/>
      <c r="BK11" s="26" t="n">
        <v>104</v>
      </c>
      <c r="BL11" s="27" t="n">
        <v>2.04</v>
      </c>
      <c r="BM11" s="28" t="n">
        <v>0.490196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2d614c810b014ac4</t>
        </is>
      </c>
      <c r="B12" s="24" t="inlineStr">
        <is>
          <t>2026-07-27T10:27:30.866418Z</t>
        </is>
      </c>
      <c r="C12" s="24" t="inlineStr">
        <is>
          <t>2026-07-27T11:00:00Z</t>
        </is>
      </c>
      <c r="D12" s="24" t="inlineStr">
        <is>
          <t>60729</t>
        </is>
      </c>
      <c r="E12" s="24" t="inlineStr">
        <is>
          <t>CS2</t>
        </is>
      </c>
      <c r="F12" s="24" t="inlineStr">
        <is>
          <t>Mai Tai</t>
        </is>
      </c>
      <c r="G12" s="24" t="inlineStr">
        <is>
          <t>UNiTY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0.539211</v>
      </c>
      <c r="P12" s="28" t="n"/>
      <c r="Q12" s="28" t="n">
        <v>-0.101077</v>
      </c>
      <c r="R12" s="26" t="n">
        <v>0</v>
      </c>
      <c r="S12" s="29" t="n">
        <v>0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2026-07-27T13:28:01.359998Z</t>
        </is>
      </c>
      <c r="AE12" s="31" t="inlineStr">
        <is>
          <t>Neutral Elo baseline; executable ask 0.6400 (market_slug=aec-cs2-unity-mta-2026-07-27).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Mai Tai</t>
        </is>
      </c>
      <c r="AQ12" s="24" t="inlineStr">
        <is>
          <t>Mai Tai</t>
        </is>
      </c>
      <c r="AR12" s="24" t="inlineStr">
        <is>
          <t>Mai Tai</t>
        </is>
      </c>
      <c r="AS12" s="24" t="inlineStr">
        <is>
          <t>UNiTY esports</t>
        </is>
      </c>
      <c r="AT12" s="24" t="inlineStr">
        <is>
          <t>UNiTY esports</t>
        </is>
      </c>
      <c r="AU12" s="24" t="inlineStr">
        <is>
          <t>UNiTY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2026-07-27T10:27:04.366441Z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23a1cd38bdc74392</t>
        </is>
      </c>
      <c r="B13" s="24" t="inlineStr">
        <is>
          <t>2026-07-27T10:27:30.866418Z</t>
        </is>
      </c>
      <c r="C13" s="24" t="inlineStr">
        <is>
          <t>2026-07-27T12:00:00Z</t>
        </is>
      </c>
      <c r="D13" s="24" t="inlineStr">
        <is>
          <t>60736</t>
        </is>
      </c>
      <c r="E13" s="24" t="inlineStr">
        <is>
          <t>CS2</t>
        </is>
      </c>
      <c r="F13" s="24" t="inlineStr">
        <is>
          <t>Atputies</t>
        </is>
      </c>
      <c r="G13" s="24" t="inlineStr">
        <is>
          <t>Noir Verse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0.610293</v>
      </c>
      <c r="P13" s="28" t="n"/>
      <c r="Q13" s="28" t="n">
        <v>0.210293</v>
      </c>
      <c r="R13" s="26" t="n">
        <v>100</v>
      </c>
      <c r="S13" s="29" t="n">
        <v>1.5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-1.5</v>
      </c>
      <c r="AD13" s="24" t="inlineStr">
        <is>
          <t>2026-07-27T13:28:02.496927Z</t>
        </is>
      </c>
      <c r="AE13" s="31" t="inlineStr">
        <is>
          <t>Neutral Elo baseline; executable ask 0.4000 (market_slug=aec-cs2-nvo-atp-2026-07-27).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Atputies</t>
        </is>
      </c>
      <c r="AQ13" s="24" t="inlineStr">
        <is>
          <t>Atputies</t>
        </is>
      </c>
      <c r="AR13" s="24" t="inlineStr">
        <is>
          <t>Atputies</t>
        </is>
      </c>
      <c r="AS13" s="24" t="inlineStr">
        <is>
          <t>Noir Verse</t>
        </is>
      </c>
      <c r="AT13" s="24" t="inlineStr">
        <is>
          <t>Noir Verse</t>
        </is>
      </c>
      <c r="AU13" s="24" t="inlineStr">
        <is>
          <t>Noir Verse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e9c327ce15d79aaa8ed5032a6fb86929aaa479e14a8bc9a35686411400dd6b91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2026-07-27T10:27:05.476395Z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d94baaebfbd64a2e</t>
        </is>
      </c>
      <c r="B14" s="24" t="inlineStr">
        <is>
          <t>2026-07-27T13:31:52.156513Z</t>
        </is>
      </c>
      <c r="C14" s="24" t="inlineStr">
        <is>
          <t>2026-07-27T14:00:00Z</t>
        </is>
      </c>
      <c r="D14" s="24" t="inlineStr">
        <is>
          <t>63303</t>
        </is>
      </c>
      <c r="E14" s="24" t="inlineStr">
        <is>
          <t>CS2</t>
        </is>
      </c>
      <c r="F14" s="24" t="inlineStr">
        <is>
          <t>Inner Circle Academy</t>
        </is>
      </c>
      <c r="G14" s="24" t="inlineStr">
        <is>
          <t>ex-RUSTEC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0.652309</v>
      </c>
      <c r="P14" s="28" t="n"/>
      <c r="Q14" s="28" t="n">
        <v>0.032537</v>
      </c>
      <c r="R14" s="26" t="n">
        <v>36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2026-07-27T16:32:18.485840Z</t>
        </is>
      </c>
      <c r="AE14" s="31" t="inlineStr">
        <is>
          <t>Neutral Elo baseline; executable ask 0.6200 (market_slug=aec-cs2-erx-ica-2026-07-27).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Inner Circle Academy</t>
        </is>
      </c>
      <c r="AQ14" s="24" t="inlineStr">
        <is>
          <t>Inner Circle Academy</t>
        </is>
      </c>
      <c r="AR14" s="24" t="inlineStr">
        <is>
          <t>Inner Circle Academy</t>
        </is>
      </c>
      <c r="AS14" s="24" t="inlineStr">
        <is>
          <t>ex-RUSTEC</t>
        </is>
      </c>
      <c r="AT14" s="24" t="inlineStr">
        <is>
          <t>ex-RUSTEC</t>
        </is>
      </c>
      <c r="AU14" s="24" t="inlineStr">
        <is>
          <t>ex-RUSTEC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d55450e581d49c9cac62c08b0f9a47fad2adbce61565b9ce26f93fb0e665f4f9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d55450e581d49c9cac62c08b0f9a47fad2adbce61565b9ce26f93fb0e665f4f9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2026-07-27T13:31:26.771058Z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13ca41647d4e4a0d</t>
        </is>
      </c>
      <c r="B15" s="24" t="inlineStr">
        <is>
          <t>2026-07-27T13:31:52.156513Z</t>
        </is>
      </c>
      <c r="C15" s="24" t="inlineStr">
        <is>
          <t>2026-07-27T14:00:00Z</t>
        </is>
      </c>
      <c r="D15" s="24" t="inlineStr">
        <is>
          <t>63354</t>
        </is>
      </c>
      <c r="E15" s="24" t="inlineStr">
        <is>
          <t>CS2</t>
        </is>
      </c>
      <c r="F15" s="24" t="inlineStr">
        <is>
          <t>SPARTA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0.550435</v>
      </c>
      <c r="P15" s="28" t="n"/>
      <c r="Q15" s="28" t="n">
        <v>-0.02038</v>
      </c>
      <c r="R15" s="26" t="n">
        <v>10</v>
      </c>
      <c r="S15" s="29" t="n">
        <v>0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2026-07-27T17:03:36.426866Z</t>
        </is>
      </c>
      <c r="AE15" s="31" t="inlineStr">
        <is>
          <t>Neutral Elo baseline; executable ask 0.5700 (market_slug=aec-cs2-g1-sparta-2026-07-27).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SPARTA</t>
        </is>
      </c>
      <c r="AQ15" s="24" t="inlineStr">
        <is>
          <t>SPARTA</t>
        </is>
      </c>
      <c r="AR15" s="24" t="inlineStr">
        <is>
          <t>SPARTA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d55450e581d49c9cac62c08b0f9a47fad2adbce61565b9ce26f93fb0e665f4f9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d55450e581d49c9cac62c08b0f9a47fad2adbce61565b9ce26f93fb0e665f4f9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2026-07-27T13:31:27.241966Z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f7d181a644b349e7</t>
        </is>
      </c>
      <c r="B16" s="24" t="inlineStr">
        <is>
          <t>2026-07-27T13:31:52.156513Z</t>
        </is>
      </c>
      <c r="C16" s="24" t="inlineStr">
        <is>
          <t>2026-07-27T14:00:00Z</t>
        </is>
      </c>
      <c r="D16" s="24" t="inlineStr">
        <is>
          <t>63353</t>
        </is>
      </c>
      <c r="E16" s="24" t="inlineStr">
        <is>
          <t>CS2</t>
        </is>
      </c>
      <c r="F16" s="24" t="inlineStr">
        <is>
          <t>SAW Youngsters</t>
        </is>
      </c>
      <c r="G16" s="24" t="inlineStr">
        <is>
          <t>Rune Eaters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0.563841</v>
      </c>
      <c r="P16" s="28" t="n"/>
      <c r="Q16" s="28" t="n">
        <v>-0.055931</v>
      </c>
      <c r="R16" s="26" t="n">
        <v>0</v>
      </c>
      <c r="S16" s="29" t="n">
        <v>0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2026-07-27T16:09:05.326701Z</t>
        </is>
      </c>
      <c r="AE16" s="31" t="inlineStr">
        <is>
          <t>Neutral Elo baseline; executable ask 0.6200 (market_slug=aec-cs2-re-sawy-2026-07-27).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SAW Youngsters</t>
        </is>
      </c>
      <c r="AQ16" s="24" t="inlineStr">
        <is>
          <t>SAW Youngsters</t>
        </is>
      </c>
      <c r="AR16" s="24" t="inlineStr">
        <is>
          <t>SAW Youngsters</t>
        </is>
      </c>
      <c r="AS16" s="24" t="inlineStr">
        <is>
          <t>Rune Eaters</t>
        </is>
      </c>
      <c r="AT16" s="24" t="inlineStr">
        <is>
          <t>Rune Eaters</t>
        </is>
      </c>
      <c r="AU16" s="24" t="inlineStr">
        <is>
          <t>Rune Eaters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d55450e581d49c9cac62c08b0f9a47fad2adbce61565b9ce26f93fb0e665f4f9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d55450e581d49c9cac62c08b0f9a47fad2adbce61565b9ce26f93fb0e665f4f9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2026-07-27T13:31:27.716035Z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4897241dec7e4460</t>
        </is>
      </c>
      <c r="B17" s="24" t="inlineStr">
        <is>
          <t>2026-07-27T13:31:52.156513Z</t>
        </is>
      </c>
      <c r="C17" s="24" t="inlineStr">
        <is>
          <t>2026-07-27T14:00:00Z</t>
        </is>
      </c>
      <c r="D17" s="24" t="inlineStr">
        <is>
          <t>60748</t>
        </is>
      </c>
      <c r="E17" s="24" t="inlineStr">
        <is>
          <t>CS2</t>
        </is>
      </c>
      <c r="F17" s="24" t="inlineStr">
        <is>
          <t>Misa Esports</t>
        </is>
      </c>
      <c r="G17" s="24" t="inlineStr">
        <is>
          <t>Black Phoenix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0.538172</v>
      </c>
      <c r="P17" s="28" t="n"/>
      <c r="Q17" s="28" t="n">
        <v>-0.102116</v>
      </c>
      <c r="R17" s="26" t="n">
        <v>0</v>
      </c>
      <c r="S17" s="29" t="n">
        <v>0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2026-07-27T17:03:37.717594Z</t>
        </is>
      </c>
      <c r="AE17" s="31" t="inlineStr">
        <is>
          <t>Neutral Elo baseline; executable ask 0.6400 (market_slug=aec-cs2-bpl-misa-2026-07-27).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Misa Esports</t>
        </is>
      </c>
      <c r="AQ17" s="24" t="inlineStr">
        <is>
          <t>Misa Esports</t>
        </is>
      </c>
      <c r="AR17" s="24" t="inlineStr">
        <is>
          <t>Misa Esports</t>
        </is>
      </c>
      <c r="AS17" s="24" t="inlineStr">
        <is>
          <t>Black Phoenix</t>
        </is>
      </c>
      <c r="AT17" s="24" t="inlineStr">
        <is>
          <t>Black Phoenix</t>
        </is>
      </c>
      <c r="AU17" s="24" t="inlineStr">
        <is>
          <t>Black Phoenix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d55450e581d49c9cac62c08b0f9a47fad2adbce61565b9ce26f93fb0e665f4f9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d55450e581d49c9cac62c08b0f9a47fad2adbce61565b9ce26f93fb0e665f4f9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2026-07-27T13:31:28.222165Z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8ff4294220a9430c</t>
        </is>
      </c>
      <c r="B18" s="24" t="inlineStr">
        <is>
          <t>2026-07-27T13:31:52.156513Z</t>
        </is>
      </c>
      <c r="C18" s="24" t="inlineStr">
        <is>
          <t>2026-07-27T16:30:00Z</t>
        </is>
      </c>
      <c r="D18" s="24" t="inlineStr">
        <is>
          <t>60788</t>
        </is>
      </c>
      <c r="E18" s="24" t="inlineStr">
        <is>
          <t>CS2</t>
        </is>
      </c>
      <c r="F18" s="24" t="inlineStr">
        <is>
          <t>MOUZ NXT</t>
        </is>
      </c>
      <c r="G18" s="24" t="inlineStr">
        <is>
          <t>Brute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0.658722</v>
      </c>
      <c r="P18" s="28" t="n"/>
      <c r="Q18" s="28" t="n">
        <v>0.049347</v>
      </c>
      <c r="R18" s="26" t="n">
        <v>45</v>
      </c>
      <c r="S18" s="29" t="n">
        <v>2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1.2821</v>
      </c>
      <c r="AD18" s="24" t="inlineStr">
        <is>
          <t>2026-07-27T19:47:14.211302Z</t>
        </is>
      </c>
      <c r="AE18" s="31" t="inlineStr">
        <is>
          <t>Neutral Elo baseline; executable ask 0.6100 (market_slug=aec-cs2-brute-mouzn-2026-07-27).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 NXT</t>
        </is>
      </c>
      <c r="AQ18" s="24" t="inlineStr">
        <is>
          <t>MOUZ NXT</t>
        </is>
      </c>
      <c r="AR18" s="24" t="inlineStr">
        <is>
          <t>MOUZ NXT</t>
        </is>
      </c>
      <c r="AS18" s="24" t="inlineStr">
        <is>
          <t>Brute</t>
        </is>
      </c>
      <c r="AT18" s="24" t="inlineStr">
        <is>
          <t>Brute</t>
        </is>
      </c>
      <c r="AU18" s="24" t="inlineStr">
        <is>
          <t>Brute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d55450e581d49c9cac62c08b0f9a47fad2adbce61565b9ce26f93fb0e665f4f9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d55450e581d49c9cac62c08b0f9a47fad2adbce61565b9ce26f93fb0e665f4f9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2026-07-27T13:31:31.182868Z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a4054a1c905c46da</t>
        </is>
      </c>
      <c r="B19" s="24" t="inlineStr">
        <is>
          <t>2026-07-27T16:36:41.723874Z</t>
        </is>
      </c>
      <c r="C19" s="24" t="inlineStr">
        <is>
          <t>2026-07-27T17:00:00Z</t>
        </is>
      </c>
      <c r="D19" s="24" t="inlineStr">
        <is>
          <t>60795</t>
        </is>
      </c>
      <c r="E19" s="24" t="inlineStr">
        <is>
          <t>CS2</t>
        </is>
      </c>
      <c r="F19" s="24" t="inlineStr">
        <is>
          <t>Falcons Force</t>
        </is>
      </c>
      <c r="G19" s="24" t="inlineStr">
        <is>
          <t>Bebop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0.680315</v>
      </c>
      <c r="P19" s="28" t="n"/>
      <c r="Q19" s="28" t="n">
        <v>0.07094</v>
      </c>
      <c r="R19" s="26" t="n">
        <v>55</v>
      </c>
      <c r="S19" s="29" t="n">
        <v>2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-2</v>
      </c>
      <c r="AD19" s="24" t="inlineStr">
        <is>
          <t>2026-07-27T19:47:15.379469Z</t>
        </is>
      </c>
      <c r="AE19" s="31" t="inlineStr">
        <is>
          <t>Neutral Elo baseline; executable ask 0.6100 (market_slug=aec-cs2-bbp-falf-2026-07-27).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Falcons Force</t>
        </is>
      </c>
      <c r="AQ19" s="24" t="inlineStr">
        <is>
          <t>Falcons Force</t>
        </is>
      </c>
      <c r="AR19" s="24" t="inlineStr">
        <is>
          <t>Falcons Force</t>
        </is>
      </c>
      <c r="AS19" s="24" t="inlineStr">
        <is>
          <t>Bebop</t>
        </is>
      </c>
      <c r="AT19" s="24" t="inlineStr">
        <is>
          <t>Bebop</t>
        </is>
      </c>
      <c r="AU19" s="24" t="inlineStr">
        <is>
          <t>Bebop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6329bd3e425200846e7ff17d6fd62114a73b33dcf85796cbdc7cb776105e39da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6329bd3e425200846e7ff17d6fd62114a73b33dcf85796cbdc7cb776105e39da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2026-07-27T16:36:23.363578Z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2c1ca287fd514edc</t>
        </is>
      </c>
      <c r="B20" s="24" t="inlineStr">
        <is>
          <t>2026-07-27T16:36:41.723874Z</t>
        </is>
      </c>
      <c r="C20" s="24" t="inlineStr">
        <is>
          <t>2026-07-27T17:00:00Z</t>
        </is>
      </c>
      <c r="D20" s="24" t="inlineStr">
        <is>
          <t>63356</t>
        </is>
      </c>
      <c r="E20" s="24" t="inlineStr">
        <is>
          <t>CS2</t>
        </is>
      </c>
      <c r="F20" s="24" t="inlineStr">
        <is>
          <t>Inner Circle Academy</t>
        </is>
      </c>
      <c r="G20" s="24" t="inlineStr">
        <is>
          <t>Just Players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0.5595909999999999</v>
      </c>
      <c r="P20" s="28" t="n"/>
      <c r="Q20" s="28" t="n">
        <v>-0.09075900000000001</v>
      </c>
      <c r="R20" s="26" t="n">
        <v>0</v>
      </c>
      <c r="S20" s="29" t="n">
        <v>0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2026-07-27T19:47:16.601700Z</t>
        </is>
      </c>
      <c r="AE20" s="31" t="inlineStr">
        <is>
          <t>Neutral Elo baseline; executable ask 0.6500 (market_slug=aec-cs2-jpu-ica-2026-07-27).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Inner Circle Academy</t>
        </is>
      </c>
      <c r="AQ20" s="24" t="inlineStr">
        <is>
          <t>Inner Circle Academy</t>
        </is>
      </c>
      <c r="AR20" s="24" t="inlineStr">
        <is>
          <t>Inner Circle Academy</t>
        </is>
      </c>
      <c r="AS20" s="24" t="inlineStr">
        <is>
          <t>Just Players</t>
        </is>
      </c>
      <c r="AT20" s="24" t="inlineStr">
        <is>
          <t>Just Players</t>
        </is>
      </c>
      <c r="AU20" s="24" t="inlineStr">
        <is>
          <t>Just Players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6329bd3e425200846e7ff17d6fd62114a73b33dcf85796cbdc7cb776105e39da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6329bd3e425200846e7ff17d6fd62114a73b33dcf85796cbdc7cb776105e39da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2026-07-27T16:36:24.394273Z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6538dda149344041</t>
        </is>
      </c>
      <c r="B21" s="24" t="inlineStr">
        <is>
          <t>2026-07-27T16:36:41.723874Z</t>
        </is>
      </c>
      <c r="C21" s="24" t="inlineStr">
        <is>
          <t>2026-07-27T17:00:00Z</t>
        </is>
      </c>
      <c r="D21" s="24" t="inlineStr">
        <is>
          <t>60794</t>
        </is>
      </c>
      <c r="E21" s="24" t="inlineStr">
        <is>
          <t>CS2</t>
        </is>
      </c>
      <c r="F21" s="24" t="inlineStr">
        <is>
          <t>HATERS</t>
        </is>
      </c>
      <c r="G21" s="24" t="inlineStr">
        <is>
          <t>Rush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186</v>
      </c>
      <c r="M21" s="27" t="n">
        <v>2.86</v>
      </c>
      <c r="N21" s="28" t="n">
        <v>0.34965</v>
      </c>
      <c r="O21" s="28" t="n">
        <v>0.506515</v>
      </c>
      <c r="P21" s="28" t="n"/>
      <c r="Q21" s="28" t="n">
        <v>0.156865</v>
      </c>
      <c r="R21" s="26" t="n">
        <v>98</v>
      </c>
      <c r="S21" s="29" t="n">
        <v>0.5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-0.5</v>
      </c>
      <c r="AD21" s="24" t="inlineStr">
        <is>
          <t>2026-07-27T22:51:48.309540Z</t>
        </is>
      </c>
      <c r="AE21" s="31" t="inlineStr">
        <is>
          <t>Neutral Elo baseline; executable ask 0.3500 (market_slug=aec-cs2-rush-hat-2026-07-27).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HATERS</t>
        </is>
      </c>
      <c r="AQ21" s="24" t="inlineStr">
        <is>
          <t>HATERS</t>
        </is>
      </c>
      <c r="AR21" s="24" t="inlineStr">
        <is>
          <t>HATERS</t>
        </is>
      </c>
      <c r="AS21" s="24" t="inlineStr">
        <is>
          <t>Rush</t>
        </is>
      </c>
      <c r="AT21" s="24" t="inlineStr">
        <is>
          <t>Rush</t>
        </is>
      </c>
      <c r="AU21" s="24" t="inlineStr">
        <is>
          <t>Rush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6329bd3e425200846e7ff17d6fd62114a73b33dcf85796cbdc7cb776105e39da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6329bd3e425200846e7ff17d6fd62114a73b33dcf85796cbdc7cb776105e39da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2026-07-27T16:36:24.863764Z</t>
        </is>
      </c>
      <c r="BI21" s="24" t="inlineStr">
        <is>
          <t>["same_event","same_team_same_day","same_league_same_day"]</t>
        </is>
      </c>
      <c r="BJ21" s="25" t="n"/>
      <c r="BK21" s="26" t="n">
        <v>186</v>
      </c>
      <c r="BL21" s="27" t="n">
        <v>2.86</v>
      </c>
      <c r="BM21" s="28" t="n">
        <v>0.34965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aa04701e4c294a7f</t>
        </is>
      </c>
      <c r="B22" s="24" t="inlineStr">
        <is>
          <t>2026-07-27T17:08:18.026663Z</t>
        </is>
      </c>
      <c r="C22" s="24" t="inlineStr">
        <is>
          <t>2026-07-27T17:30:00Z</t>
        </is>
      </c>
      <c r="D22" s="24" t="inlineStr">
        <is>
          <t>60805</t>
        </is>
      </c>
      <c r="E22" s="24" t="inlineStr">
        <is>
          <t>CS2</t>
        </is>
      </c>
      <c r="F22" s="24" t="inlineStr">
        <is>
          <t>MOUZ NXT</t>
        </is>
      </c>
      <c r="G22" s="24" t="inlineStr">
        <is>
          <t>NAVI Junior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0.573006</v>
      </c>
      <c r="P22" s="28" t="n"/>
      <c r="Q22" s="28" t="n">
        <v>-0.056624</v>
      </c>
      <c r="R22" s="26" t="n">
        <v>0</v>
      </c>
      <c r="S22" s="29" t="n">
        <v>0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2026-07-27T19:47:18.735287Z</t>
        </is>
      </c>
      <c r="AE22" s="31" t="inlineStr">
        <is>
          <t>Neutral Elo baseline; executable ask 0.6300 (market_slug=aec-cs2-navij-mouzn-2026-07-27).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MOUZ NXT</t>
        </is>
      </c>
      <c r="AQ22" s="24" t="inlineStr">
        <is>
          <t>MOUZ NXT</t>
        </is>
      </c>
      <c r="AR22" s="24" t="inlineStr">
        <is>
          <t>MOUZ NXT</t>
        </is>
      </c>
      <c r="AS22" s="24" t="inlineStr">
        <is>
          <t>NAVI Junior</t>
        </is>
      </c>
      <c r="AT22" s="24" t="inlineStr">
        <is>
          <t>NAVI Junior</t>
        </is>
      </c>
      <c r="AU22" s="24" t="inlineStr">
        <is>
          <t>NAVI Junior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131e6b24b579a0abf2eb74dac6edd091b7176b450ac3f8f4f38bd35710b750d7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131e6b24b579a0abf2eb74dac6edd091b7176b450ac3f8f4f38bd35710b750d7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2026-07-27T17:08:00.705639Z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b880e7fcfba0433e</t>
        </is>
      </c>
      <c r="B23" s="24" t="inlineStr">
        <is>
          <t>2026-07-27T17:38:10.535886Z</t>
        </is>
      </c>
      <c r="C23" s="24" t="inlineStr">
        <is>
          <t>2026-07-27T18:15:00Z</t>
        </is>
      </c>
      <c r="D23" s="24" t="inlineStr">
        <is>
          <t>63492</t>
        </is>
      </c>
      <c r="E23" s="24" t="inlineStr">
        <is>
          <t>CS2</t>
        </is>
      </c>
      <c r="F23" s="24" t="inlineStr">
        <is>
          <t>mellren</t>
        </is>
      </c>
      <c r="G23" s="24" t="inlineStr">
        <is>
          <t>aimclub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0.65286</v>
      </c>
      <c r="P23" s="28" t="n"/>
      <c r="Q23" s="28" t="n">
        <v>0.10331</v>
      </c>
      <c r="R23" s="26" t="n">
        <v>72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1.6393</v>
      </c>
      <c r="AD23" s="24" t="inlineStr">
        <is>
          <t>2026-07-27T22:51:49.488820Z</t>
        </is>
      </c>
      <c r="AE23" s="31" t="inlineStr">
        <is>
          <t>Neutral Elo baseline; executable ask 0.5500 (market_slug=aec-cs2-aimc-mel-2026-07-27).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mellren</t>
        </is>
      </c>
      <c r="AQ23" s="24" t="inlineStr">
        <is>
          <t>mellren</t>
        </is>
      </c>
      <c r="AR23" s="24" t="inlineStr">
        <is>
          <t>mellren</t>
        </is>
      </c>
      <c r="AS23" s="24" t="inlineStr">
        <is>
          <t>aimclub</t>
        </is>
      </c>
      <c r="AT23" s="24" t="inlineStr">
        <is>
          <t>aimclub</t>
        </is>
      </c>
      <c r="AU23" s="24" t="inlineStr">
        <is>
          <t>aimclub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867870f5311168845ab98ba889eb7970c88200d6dbd0532dbd8a6a3de3837c1a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867870f5311168845ab98ba889eb7970c88200d6dbd0532dbd8a6a3de3837c1a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2026-07-27T17:37:55.611264Z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d7ae167da1244103</t>
        </is>
      </c>
      <c r="B24" s="24" t="inlineStr">
        <is>
          <t>2026-07-28T02:00:01.501477Z</t>
        </is>
      </c>
      <c r="C24" s="24" t="inlineStr">
        <is>
          <t>2026-07-28T08:00:00Z</t>
        </is>
      </c>
      <c r="D24" s="24" t="inlineStr">
        <is>
          <t>63357</t>
        </is>
      </c>
      <c r="E24" s="24" t="inlineStr">
        <is>
          <t>CS2</t>
        </is>
      </c>
      <c r="F24" s="24" t="inlineStr">
        <is>
          <t>Honvéd</t>
        </is>
      </c>
      <c r="G24" s="24" t="inlineStr">
        <is>
          <t>BET-M 33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-194</v>
      </c>
      <c r="M24" s="27" t="n">
        <v>1.515464</v>
      </c>
      <c r="N24" s="28" t="n">
        <v>0.659864</v>
      </c>
      <c r="O24" s="28" t="n">
        <v>0.582559</v>
      </c>
      <c r="P24" s="28" t="n"/>
      <c r="Q24" s="28" t="n">
        <v>-0.077305</v>
      </c>
      <c r="R24" s="26" t="n">
        <v>0</v>
      </c>
      <c r="S24" s="29" t="n">
        <v>0</v>
      </c>
      <c r="T24" s="24" t="inlineStr">
        <is>
          <t>cs2-tiered-elo-v4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0.6600 (market_slug=aec-cs2-33-hon-2026-07-28).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Honvéd</t>
        </is>
      </c>
      <c r="AQ24" s="24" t="inlineStr">
        <is>
          <t>Honvéd</t>
        </is>
      </c>
      <c r="AR24" s="24" t="inlineStr">
        <is>
          <t>Honvéd</t>
        </is>
      </c>
      <c r="AS24" s="24" t="inlineStr">
        <is>
          <t>BET-M 33</t>
        </is>
      </c>
      <c r="AT24" s="24" t="inlineStr">
        <is>
          <t>BET-M 33</t>
        </is>
      </c>
      <c r="AU24" s="24" t="inlineStr">
        <is>
          <t>BET-M 33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da5537802607ba1fbdae985f92f1b67c327aaa91913ae14bcd767a484004f207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da5537802607ba1fbdae985f92f1b67c327aaa91913ae14bcd767a484004f207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2026-07-28T01:59:39.276046Z</t>
        </is>
      </c>
      <c r="BI24" s="24" t="inlineStr">
        <is>
          <t>["same_event","same_team_same_day","same_league_same_day"]</t>
        </is>
      </c>
      <c r="BJ24" s="25" t="n"/>
      <c r="BK24" s="26" t="n">
        <v>-194</v>
      </c>
      <c r="BL24" s="27" t="n">
        <v>1.515464</v>
      </c>
      <c r="BM24" s="28" t="n">
        <v>0.659864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c7533602b6d8481c</t>
        </is>
      </c>
      <c r="B25" s="24" t="inlineStr">
        <is>
          <t>2026-07-28T02:00:01.501477Z</t>
        </is>
      </c>
      <c r="C25" s="24" t="inlineStr">
        <is>
          <t>2026-07-28T08:00:00Z</t>
        </is>
      </c>
      <c r="D25" s="24" t="inlineStr">
        <is>
          <t>63306</t>
        </is>
      </c>
      <c r="E25" s="24" t="inlineStr">
        <is>
          <t>CS2</t>
        </is>
      </c>
      <c r="F25" s="24" t="inlineStr">
        <is>
          <t>ENJOY</t>
        </is>
      </c>
      <c r="G25" s="24" t="inlineStr">
        <is>
          <t>Black Phoenix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0.710969</v>
      </c>
      <c r="P25" s="28" t="n"/>
      <c r="Q25" s="28" t="n">
        <v>0.25014</v>
      </c>
      <c r="R25" s="26" t="n">
        <v>100</v>
      </c>
      <c r="S25" s="29" t="n">
        <v>2</v>
      </c>
      <c r="T25" s="24" t="inlineStr">
        <is>
          <t>cs2-tiered-elo-v4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0.4600 (market_slug=aec-cs2-bpl-enjoy-2026-07-28).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ENJOY</t>
        </is>
      </c>
      <c r="AQ25" s="24" t="inlineStr">
        <is>
          <t>ENJOY</t>
        </is>
      </c>
      <c r="AR25" s="24" t="inlineStr">
        <is>
          <t>ENJOY</t>
        </is>
      </c>
      <c r="AS25" s="24" t="inlineStr">
        <is>
          <t>Black Phoenix</t>
        </is>
      </c>
      <c r="AT25" s="24" t="inlineStr">
        <is>
          <t>Black Phoenix</t>
        </is>
      </c>
      <c r="AU25" s="24" t="inlineStr">
        <is>
          <t>Black Phoenix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da5537802607ba1fbdae985f92f1b67c327aaa91913ae14bcd767a484004f207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da5537802607ba1fbdae985f92f1b67c327aaa91913ae14bcd767a484004f207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2026-07-28T01:59:39.784703Z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22f0867f90b74019</t>
        </is>
      </c>
      <c r="B26" s="24" t="inlineStr">
        <is>
          <t>2026-07-28T02:00:01.501477Z</t>
        </is>
      </c>
      <c r="C26" s="24" t="inlineStr">
        <is>
          <t>2026-07-28T10:00:00Z</t>
        </is>
      </c>
      <c r="D26" s="24" t="inlineStr">
        <is>
          <t>64432</t>
        </is>
      </c>
      <c r="E26" s="24" t="inlineStr">
        <is>
          <t>CS2</t>
        </is>
      </c>
      <c r="F26" s="24" t="inlineStr">
        <is>
          <t>MOUZ NXT</t>
        </is>
      </c>
      <c r="G26" s="24" t="inlineStr">
        <is>
          <t>Noir Verse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186</v>
      </c>
      <c r="M26" s="27" t="n">
        <v>2.86</v>
      </c>
      <c r="N26" s="28" t="n">
        <v>0.34965</v>
      </c>
      <c r="O26" s="28" t="n">
        <v>0.509533</v>
      </c>
      <c r="P26" s="28" t="n"/>
      <c r="Q26" s="28" t="n">
        <v>0.159883</v>
      </c>
      <c r="R26" s="26" t="n">
        <v>100</v>
      </c>
      <c r="S26" s="29" t="n">
        <v>0.5</v>
      </c>
      <c r="T26" s="24" t="inlineStr">
        <is>
          <t>cs2-tiered-elo-v4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0.3500 (market_slug=aec-cs2-nvo-mouzn-2026-07-28).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MOUZ NXT</t>
        </is>
      </c>
      <c r="AQ26" s="24" t="inlineStr">
        <is>
          <t>MOUZ NXT</t>
        </is>
      </c>
      <c r="AR26" s="24" t="inlineStr">
        <is>
          <t>MOUZ NXT</t>
        </is>
      </c>
      <c r="AS26" s="24" t="inlineStr">
        <is>
          <t>Noir Verse</t>
        </is>
      </c>
      <c r="AT26" s="24" t="inlineStr">
        <is>
          <t>Noir Verse</t>
        </is>
      </c>
      <c r="AU26" s="24" t="inlineStr">
        <is>
          <t>Noir Verse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da5537802607ba1fbdae985f92f1b67c327aaa91913ae14bcd767a484004f207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da5537802607ba1fbdae985f92f1b67c327aaa91913ae14bcd767a484004f207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2026-07-28T01:59:40.889369Z</t>
        </is>
      </c>
      <c r="BI26" s="24" t="inlineStr">
        <is>
          <t>["same_event","same_team_same_day","same_league_same_day"]</t>
        </is>
      </c>
      <c r="BJ26" s="25" t="n"/>
      <c r="BK26" s="26" t="n">
        <v>186</v>
      </c>
      <c r="BL26" s="27" t="n">
        <v>2.86</v>
      </c>
      <c r="BM26" s="28" t="n">
        <v>0.34965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310d6c4312fd480c</t>
        </is>
      </c>
      <c r="B27" s="24" t="inlineStr">
        <is>
          <t>2026-07-28T02:00:01.501477Z</t>
        </is>
      </c>
      <c r="C27" s="24" t="inlineStr">
        <is>
          <t>2026-07-28T10:00:00Z</t>
        </is>
      </c>
      <c r="D27" s="24" t="inlineStr">
        <is>
          <t>64433</t>
        </is>
      </c>
      <c r="E27" s="24" t="inlineStr">
        <is>
          <t>CS2</t>
        </is>
      </c>
      <c r="F27" s="24" t="inlineStr">
        <is>
          <t>NAVI Junior</t>
        </is>
      </c>
      <c r="G27" s="24" t="inlineStr">
        <is>
          <t>ASTRAL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0.580775</v>
      </c>
      <c r="P27" s="28" t="n"/>
      <c r="Q27" s="28" t="n">
        <v>-0.048855</v>
      </c>
      <c r="R27" s="26" t="n">
        <v>0</v>
      </c>
      <c r="S27" s="29" t="n">
        <v>0</v>
      </c>
      <c r="T27" s="24" t="inlineStr">
        <is>
          <t>cs2-tiered-elo-v4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0.6300 (market_slug=aec-cs2-astr-navij-2026-07-28).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NAVI Junior</t>
        </is>
      </c>
      <c r="AQ27" s="24" t="inlineStr">
        <is>
          <t>NAVI Junior</t>
        </is>
      </c>
      <c r="AR27" s="24" t="inlineStr">
        <is>
          <t>NAVI Junior</t>
        </is>
      </c>
      <c r="AS27" s="24" t="inlineStr">
        <is>
          <t>ASTRAL</t>
        </is>
      </c>
      <c r="AT27" s="24" t="inlineStr">
        <is>
          <t>ASTRAL</t>
        </is>
      </c>
      <c r="AU27" s="24" t="inlineStr">
        <is>
          <t>ASTRAL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da5537802607ba1fbdae985f92f1b67c327aaa91913ae14bcd767a484004f207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da5537802607ba1fbdae985f92f1b67c327aaa91913ae14bcd767a484004f207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2026-07-28T01:59:41.424963Z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b248eb6e992643dc</t>
        </is>
      </c>
      <c r="B28" s="24" t="inlineStr">
        <is>
          <t>2026-07-28T02:00:01.501477Z</t>
        </is>
      </c>
      <c r="C28" s="24" t="inlineStr">
        <is>
          <t>2026-07-28T11:00:00Z</t>
        </is>
      </c>
      <c r="D28" s="24" t="inlineStr">
        <is>
          <t>63307</t>
        </is>
      </c>
      <c r="E28" s="24" t="inlineStr">
        <is>
          <t>CS2</t>
        </is>
      </c>
      <c r="F28" s="24" t="inlineStr">
        <is>
          <t>ex-MANA eSports</t>
        </is>
      </c>
      <c r="G28" s="24" t="inlineStr">
        <is>
          <t>Rune Eaters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-223</v>
      </c>
      <c r="M28" s="27" t="n">
        <v>1.44843</v>
      </c>
      <c r="N28" s="28" t="n">
        <v>0.690402</v>
      </c>
      <c r="O28" s="28" t="n">
        <v>0.628318</v>
      </c>
      <c r="P28" s="28" t="n"/>
      <c r="Q28" s="28" t="n">
        <v>-0.062084</v>
      </c>
      <c r="R28" s="26" t="n">
        <v>0</v>
      </c>
      <c r="S28" s="29" t="n">
        <v>0</v>
      </c>
      <c r="T28" s="24" t="inlineStr">
        <is>
          <t>cs2-tiered-elo-v4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0.6900 (market_slug=aec-cs2-re-exmana-2026-07-28).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ex-MANA eSports</t>
        </is>
      </c>
      <c r="AQ28" s="24" t="inlineStr">
        <is>
          <t>ex-MANA eSports</t>
        </is>
      </c>
      <c r="AR28" s="24" t="inlineStr">
        <is>
          <t>ex-MANA eSports</t>
        </is>
      </c>
      <c r="AS28" s="24" t="inlineStr">
        <is>
          <t>Rune Eaters</t>
        </is>
      </c>
      <c r="AT28" s="24" t="inlineStr">
        <is>
          <t>Rune Eaters</t>
        </is>
      </c>
      <c r="AU28" s="24" t="inlineStr">
        <is>
          <t>Rune Eaters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da5537802607ba1fbdae985f92f1b67c327aaa91913ae14bcd767a484004f207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da5537802607ba1fbdae985f92f1b67c327aaa91913ae14bcd767a484004f207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2026-07-28T01:59:41.919045Z</t>
        </is>
      </c>
      <c r="BI28" s="24" t="inlineStr">
        <is>
          <t>["same_event","same_team_same_day","same_league_same_day"]</t>
        </is>
      </c>
      <c r="BJ28" s="25" t="n"/>
      <c r="BK28" s="26" t="n">
        <v>-223</v>
      </c>
      <c r="BL28" s="27" t="n">
        <v>1.44843</v>
      </c>
      <c r="BM28" s="28" t="n">
        <v>0.690402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386e4dc745654aff</t>
        </is>
      </c>
      <c r="B29" s="24" t="inlineStr">
        <is>
          <t>2026-07-28T02:00:01.501477Z</t>
        </is>
      </c>
      <c r="C29" s="24" t="inlineStr">
        <is>
          <t>2026-07-28T11:00:00Z</t>
        </is>
      </c>
      <c r="D29" s="24" t="inlineStr">
        <is>
          <t>63359</t>
        </is>
      </c>
      <c r="E29" s="24" t="inlineStr">
        <is>
          <t>CS2</t>
        </is>
      </c>
      <c r="F29" s="24" t="inlineStr">
        <is>
          <t>G2 Ares</t>
        </is>
      </c>
      <c r="G29" s="24" t="inlineStr">
        <is>
          <t>Butterfly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-108</v>
      </c>
      <c r="M29" s="27" t="n">
        <v>1.925926</v>
      </c>
      <c r="N29" s="28" t="n">
        <v>0.519231</v>
      </c>
      <c r="O29" s="28" t="n">
        <v>0.589686</v>
      </c>
      <c r="P29" s="28" t="n"/>
      <c r="Q29" s="28" t="n">
        <v>0.070455</v>
      </c>
      <c r="R29" s="26" t="n">
        <v>55</v>
      </c>
      <c r="S29" s="29" t="n">
        <v>1.5</v>
      </c>
      <c r="T29" s="24" t="inlineStr">
        <is>
          <t>cs2-tiered-elo-v4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0.5200 (market_slug=aec-cs2-btf-g2a-2026-07-28).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G2 Ares</t>
        </is>
      </c>
      <c r="AQ29" s="24" t="inlineStr">
        <is>
          <t>G2 Ares</t>
        </is>
      </c>
      <c r="AR29" s="24" t="inlineStr">
        <is>
          <t>G2 Ares</t>
        </is>
      </c>
      <c r="AS29" s="24" t="inlineStr">
        <is>
          <t>Butterfly</t>
        </is>
      </c>
      <c r="AT29" s="24" t="inlineStr">
        <is>
          <t>Butterfly</t>
        </is>
      </c>
      <c r="AU29" s="24" t="inlineStr">
        <is>
          <t>Butterfly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da5537802607ba1fbdae985f92f1b67c327aaa91913ae14bcd767a484004f207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da5537802607ba1fbdae985f92f1b67c327aaa91913ae14bcd767a484004f207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2026-07-28T01:59:42.419976Z</t>
        </is>
      </c>
      <c r="BI29" s="24" t="inlineStr">
        <is>
          <t>["same_event","same_team_same_day","same_league_same_day"]</t>
        </is>
      </c>
      <c r="BJ29" s="25" t="n"/>
      <c r="BK29" s="26" t="n">
        <v>-108</v>
      </c>
      <c r="BL29" s="27" t="n">
        <v>1.925926</v>
      </c>
      <c r="BM29" s="28" t="n">
        <v>0.519231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8515f4ed46bc404c</t>
        </is>
      </c>
      <c r="B30" s="24" t="inlineStr">
        <is>
          <t>2026-07-28T02:00:01.501477Z</t>
        </is>
      </c>
      <c r="C30" s="24" t="inlineStr">
        <is>
          <t>2026-07-28T11:00:00Z</t>
        </is>
      </c>
      <c r="D30" s="24" t="inlineStr">
        <is>
          <t>64367</t>
        </is>
      </c>
      <c r="E30" s="24" t="inlineStr">
        <is>
          <t>CS2</t>
        </is>
      </c>
      <c r="F30" s="24" t="inlineStr">
        <is>
          <t>Bebop</t>
        </is>
      </c>
      <c r="G30" s="24" t="inlineStr">
        <is>
          <t>Black Phoenix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117</v>
      </c>
      <c r="M30" s="27" t="n">
        <v>2.17</v>
      </c>
      <c r="N30" s="28" t="n">
        <v>0.460829</v>
      </c>
      <c r="O30" s="28" t="n">
        <v>0.525641</v>
      </c>
      <c r="P30" s="28" t="n"/>
      <c r="Q30" s="28" t="n">
        <v>0.06481199999999999</v>
      </c>
      <c r="R30" s="26" t="n">
        <v>52</v>
      </c>
      <c r="S30" s="29" t="n">
        <v>0.75</v>
      </c>
      <c r="T30" s="24" t="inlineStr">
        <is>
          <t>cs2-tiered-elo-v4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0.4600 (market_slug=aec-cs2-bpl-bbp-2026-07-28).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Bebop</t>
        </is>
      </c>
      <c r="AQ30" s="24" t="inlineStr">
        <is>
          <t>Bebop</t>
        </is>
      </c>
      <c r="AR30" s="24" t="inlineStr">
        <is>
          <t>Bebop</t>
        </is>
      </c>
      <c r="AS30" s="24" t="inlineStr">
        <is>
          <t>Black Phoenix</t>
        </is>
      </c>
      <c r="AT30" s="24" t="inlineStr">
        <is>
          <t>Black Phoenix</t>
        </is>
      </c>
      <c r="AU30" s="24" t="inlineStr">
        <is>
          <t>Black Phoenix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da5537802607ba1fbdae985f92f1b67c327aaa91913ae14bcd767a484004f207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da5537802607ba1fbdae985f92f1b67c327aaa91913ae14bcd767a484004f207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2026-07-28T01:59:42.912018Z</t>
        </is>
      </c>
      <c r="BI30" s="24" t="inlineStr">
        <is>
          <t>["same_event","same_team_same_day","same_league_same_day"]</t>
        </is>
      </c>
      <c r="BJ30" s="25" t="n"/>
      <c r="BK30" s="26" t="n">
        <v>117</v>
      </c>
      <c r="BL30" s="27" t="n">
        <v>2.17</v>
      </c>
      <c r="BM30" s="28" t="n">
        <v>0.460829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e0cf1c2d06654c1f</t>
        </is>
      </c>
      <c r="B31" s="24" t="inlineStr">
        <is>
          <t>2026-07-28T02:00:01.501477Z</t>
        </is>
      </c>
      <c r="C31" s="24" t="inlineStr">
        <is>
          <t>2026-07-28T11:00:00Z</t>
        </is>
      </c>
      <c r="D31" s="24" t="inlineStr">
        <is>
          <t>63358</t>
        </is>
      </c>
      <c r="E31" s="24" t="inlineStr">
        <is>
          <t>CS2</t>
        </is>
      </c>
      <c r="F31" s="24" t="inlineStr">
        <is>
          <t>ex-RUSTEC</t>
        </is>
      </c>
      <c r="G31" s="24" t="inlineStr">
        <is>
          <t>Atreides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0.563287</v>
      </c>
      <c r="P31" s="28" t="n"/>
      <c r="Q31" s="28" t="n">
        <v>-0.056485</v>
      </c>
      <c r="R31" s="26" t="n">
        <v>0</v>
      </c>
      <c r="S31" s="29" t="n">
        <v>0</v>
      </c>
      <c r="T31" s="24" t="inlineStr">
        <is>
          <t>cs2-tiered-elo-v4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0.6200 (market_slug=aec-cs2-atr-erx-2026-07-28).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ex-RUSTEC</t>
        </is>
      </c>
      <c r="AQ31" s="24" t="inlineStr">
        <is>
          <t>ex-RUSTEC</t>
        </is>
      </c>
      <c r="AR31" s="24" t="inlineStr">
        <is>
          <t>ex-RUSTEC</t>
        </is>
      </c>
      <c r="AS31" s="24" t="inlineStr">
        <is>
          <t>Atreides</t>
        </is>
      </c>
      <c r="AT31" s="24" t="inlineStr">
        <is>
          <t>Atreides</t>
        </is>
      </c>
      <c r="AU31" s="24" t="inlineStr">
        <is>
          <t>Atreides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da5537802607ba1fbdae985f92f1b67c327aaa91913ae14bcd767a484004f207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da5537802607ba1fbdae985f92f1b67c327aaa91913ae14bcd767a484004f207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2026-07-28T01:59:43.417305Z</t>
        </is>
      </c>
      <c r="BI31" s="24" t="inlineStr">
        <is>
          <t>["same_event","same_team_same_day","same_league_same_day"]</t>
        </is>
      </c>
      <c r="BJ31" s="25" t="n"/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999ba6d2f5984911</t>
        </is>
      </c>
      <c r="B32" s="24" t="inlineStr">
        <is>
          <t>2026-07-28T02:00:01.501477Z</t>
        </is>
      </c>
      <c r="C32" s="24" t="inlineStr">
        <is>
          <t>2026-07-28T14:00:00Z</t>
        </is>
      </c>
      <c r="D32" s="24" t="inlineStr">
        <is>
          <t>63707</t>
        </is>
      </c>
      <c r="E32" s="24" t="inlineStr">
        <is>
          <t>CS2</t>
        </is>
      </c>
      <c r="F32" s="24" t="inlineStr">
        <is>
          <t>UNiTY esports</t>
        </is>
      </c>
      <c r="G32" s="24" t="inlineStr">
        <is>
          <t>ex-RUSTEC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-150</v>
      </c>
      <c r="M32" s="27" t="n">
        <v>1.666667</v>
      </c>
      <c r="N32" s="28" t="n">
        <v>0.6</v>
      </c>
      <c r="O32" s="28" t="n">
        <v>0.6484839999999999</v>
      </c>
      <c r="P32" s="28" t="n"/>
      <c r="Q32" s="28" t="n">
        <v>0.048484</v>
      </c>
      <c r="R32" s="26" t="n">
        <v>44</v>
      </c>
      <c r="S32" s="29" t="n">
        <v>0</v>
      </c>
      <c r="T32" s="24" t="inlineStr">
        <is>
          <t>cs2-tiered-elo-v4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0.6000 (market_slug=aec-cs2-erx-unity-2026-07-28).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UNiTY esports</t>
        </is>
      </c>
      <c r="AQ32" s="24" t="inlineStr">
        <is>
          <t>UNiTY esports</t>
        </is>
      </c>
      <c r="AR32" s="24" t="inlineStr">
        <is>
          <t>UNiTY esports</t>
        </is>
      </c>
      <c r="AS32" s="24" t="inlineStr">
        <is>
          <t>ex-RUSTEC</t>
        </is>
      </c>
      <c r="AT32" s="24" t="inlineStr">
        <is>
          <t>ex-RUSTEC</t>
        </is>
      </c>
      <c r="AU32" s="24" t="inlineStr">
        <is>
          <t>ex-RUSTEC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da5537802607ba1fbdae985f92f1b67c327aaa91913ae14bcd767a484004f207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da5537802607ba1fbdae985f92f1b67c327aaa91913ae14bcd767a484004f207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2026-07-28T01:59:43.912117Z</t>
        </is>
      </c>
      <c r="BI32" s="24" t="inlineStr">
        <is>
          <t>["same_event","same_team_same_day","same_league_same_day"]</t>
        </is>
      </c>
      <c r="BJ32" s="25" t="n"/>
      <c r="BK32" s="26" t="n">
        <v>-150</v>
      </c>
      <c r="BL32" s="27" t="n">
        <v>1.666667</v>
      </c>
      <c r="BM32" s="28" t="n">
        <v>0.6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7b476b8e853b4e29</t>
        </is>
      </c>
      <c r="B33" s="24" t="inlineStr">
        <is>
          <t>2026-07-28T02:00:01.501477Z</t>
        </is>
      </c>
      <c r="C33" s="24" t="inlineStr">
        <is>
          <t>2026-07-28T14:00:00Z</t>
        </is>
      </c>
      <c r="D33" s="24" t="inlineStr">
        <is>
          <t>63360</t>
        </is>
      </c>
      <c r="E33" s="24" t="inlineStr">
        <is>
          <t>CS2</t>
        </is>
      </c>
      <c r="F33" s="24" t="inlineStr">
        <is>
          <t>Just Players</t>
        </is>
      </c>
      <c r="G33" s="24" t="inlineStr">
        <is>
          <t>Butterfly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108</v>
      </c>
      <c r="M33" s="27" t="n">
        <v>2.08</v>
      </c>
      <c r="N33" s="28" t="n">
        <v>0.480769</v>
      </c>
      <c r="O33" s="28" t="n">
        <v>0.53791</v>
      </c>
      <c r="P33" s="28" t="n"/>
      <c r="Q33" s="28" t="n">
        <v>0.057141</v>
      </c>
      <c r="R33" s="26" t="n">
        <v>49</v>
      </c>
      <c r="S33" s="29" t="n">
        <v>1</v>
      </c>
      <c r="T33" s="24" t="inlineStr">
        <is>
          <t>cs2-tiered-elo-v4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0.4800 (market_slug=aec-cs2-btf-jpu-2026-07-28).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Just Players</t>
        </is>
      </c>
      <c r="AQ33" s="24" t="inlineStr">
        <is>
          <t>Just Players</t>
        </is>
      </c>
      <c r="AR33" s="24" t="inlineStr">
        <is>
          <t>Just Players</t>
        </is>
      </c>
      <c r="AS33" s="24" t="inlineStr">
        <is>
          <t>Butterfly</t>
        </is>
      </c>
      <c r="AT33" s="24" t="inlineStr">
        <is>
          <t>Butterfly</t>
        </is>
      </c>
      <c r="AU33" s="24" t="inlineStr">
        <is>
          <t>Butterfly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da5537802607ba1fbdae985f92f1b67c327aaa91913ae14bcd767a484004f207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da5537802607ba1fbdae985f92f1b67c327aaa91913ae14bcd767a484004f207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2026-07-28T01:59:45.363088Z</t>
        </is>
      </c>
      <c r="BI33" s="24" t="inlineStr">
        <is>
          <t>["same_event","same_team_same_day","same_league_same_day"]</t>
        </is>
      </c>
      <c r="BJ33" s="25" t="n"/>
      <c r="BK33" s="26" t="n">
        <v>108</v>
      </c>
      <c r="BL33" s="27" t="n">
        <v>2.08</v>
      </c>
      <c r="BM33" s="28" t="n">
        <v>0.480769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4dedd6963b9c4ebd</t>
        </is>
      </c>
      <c r="B34" s="24" t="inlineStr">
        <is>
          <t>2026-07-28T02:00:01.501477Z</t>
        </is>
      </c>
      <c r="C34" s="24" t="inlineStr">
        <is>
          <t>2026-07-28T17:00:00Z</t>
        </is>
      </c>
      <c r="D34" s="24" t="inlineStr">
        <is>
          <t>63362</t>
        </is>
      </c>
      <c r="E34" s="24" t="inlineStr">
        <is>
          <t>CS2</t>
        </is>
      </c>
      <c r="F34" s="24" t="inlineStr">
        <is>
          <t>G2 Ares</t>
        </is>
      </c>
      <c r="G34" s="24" t="inlineStr">
        <is>
          <t>SPARTA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127</v>
      </c>
      <c r="M34" s="27" t="n">
        <v>2.27</v>
      </c>
      <c r="N34" s="28" t="n">
        <v>0.440529</v>
      </c>
      <c r="O34" s="28" t="n">
        <v>0.548241</v>
      </c>
      <c r="P34" s="28" t="n"/>
      <c r="Q34" s="28" t="n">
        <v>0.107712</v>
      </c>
      <c r="R34" s="26" t="n">
        <v>74</v>
      </c>
      <c r="S34" s="29" t="n">
        <v>1</v>
      </c>
      <c r="T34" s="24" t="inlineStr">
        <is>
          <t>cs2-tiered-elo-v4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0.4400 (market_slug=aec-cs2-sparta-g2a-2026-07-28).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G2 Ares</t>
        </is>
      </c>
      <c r="AQ34" s="24" t="inlineStr">
        <is>
          <t>G2 Ares</t>
        </is>
      </c>
      <c r="AR34" s="24" t="inlineStr">
        <is>
          <t>G2 Ares</t>
        </is>
      </c>
      <c r="AS34" s="24" t="inlineStr">
        <is>
          <t>SPARTA</t>
        </is>
      </c>
      <c r="AT34" s="24" t="inlineStr">
        <is>
          <t>SPARTA</t>
        </is>
      </c>
      <c r="AU34" s="24" t="inlineStr">
        <is>
          <t>SPARTA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da5537802607ba1fbdae985f92f1b67c327aaa91913ae14bcd767a484004f207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da5537802607ba1fbdae985f92f1b67c327aaa91913ae14bcd767a484004f207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2026-07-28T01:59:47.940507Z</t>
        </is>
      </c>
      <c r="BI34" s="24" t="inlineStr">
        <is>
          <t>["same_event","same_team_same_day","same_league_same_day"]</t>
        </is>
      </c>
      <c r="BJ34" s="25" t="n"/>
      <c r="BK34" s="26" t="n">
        <v>127</v>
      </c>
      <c r="BL34" s="27" t="n">
        <v>2.27</v>
      </c>
      <c r="BM34" s="28" t="n">
        <v>0.440529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b76147fdbe3547e4</t>
        </is>
      </c>
      <c r="B35" s="24" t="inlineStr">
        <is>
          <t>2026-07-28T02:00:01.501477Z</t>
        </is>
      </c>
      <c r="C35" s="24" t="inlineStr">
        <is>
          <t>2026-07-28T17:00:00Z</t>
        </is>
      </c>
      <c r="D35" s="24" t="inlineStr">
        <is>
          <t>63363</t>
        </is>
      </c>
      <c r="E35" s="24" t="inlineStr">
        <is>
          <t>CS2</t>
        </is>
      </c>
      <c r="F35" s="24" t="inlineStr">
        <is>
          <t>Lavked</t>
        </is>
      </c>
      <c r="G35" s="24" t="inlineStr">
        <is>
          <t>CYBERSHOKE Prospects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0.553566</v>
      </c>
      <c r="P35" s="28" t="n"/>
      <c r="Q35" s="28" t="n">
        <v>0.084082</v>
      </c>
      <c r="R35" s="26" t="n">
        <v>62</v>
      </c>
      <c r="S35" s="29" t="n">
        <v>1</v>
      </c>
      <c r="T35" s="24" t="inlineStr">
        <is>
          <t>cs2-tiered-elo-v4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0.4700 (market_slug=aec-cs2-cshp-lav-2026-07-28).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Lavked</t>
        </is>
      </c>
      <c r="AQ35" s="24" t="inlineStr">
        <is>
          <t>Lavked</t>
        </is>
      </c>
      <c r="AR35" s="24" t="inlineStr">
        <is>
          <t>Lavked</t>
        </is>
      </c>
      <c r="AS35" s="24" t="inlineStr">
        <is>
          <t>CYBERSHOKE Prospects</t>
        </is>
      </c>
      <c r="AT35" s="24" t="inlineStr">
        <is>
          <t>CYBERSHOKE Prospects</t>
        </is>
      </c>
      <c r="AU35" s="24" t="inlineStr">
        <is>
          <t>CYBERSHOKE Prospects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da5537802607ba1fbdae985f92f1b67c327aaa91913ae14bcd767a484004f207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da5537802607ba1fbdae985f92f1b67c327aaa91913ae14bcd767a484004f207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2026-07-28T01:59:49.411771Z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e38e6b2beb2f4bef</t>
        </is>
      </c>
      <c r="B36" s="24" t="inlineStr">
        <is>
          <t>2026-07-28T02:00:01.501477Z</t>
        </is>
      </c>
      <c r="C36" s="24" t="inlineStr">
        <is>
          <t>2026-07-28T17:00:00Z</t>
        </is>
      </c>
      <c r="D36" s="24" t="inlineStr">
        <is>
          <t>63311</t>
        </is>
      </c>
      <c r="E36" s="24" t="inlineStr">
        <is>
          <t>CS2</t>
        </is>
      </c>
      <c r="F36" s="24" t="inlineStr">
        <is>
          <t>UNiTY esports</t>
        </is>
      </c>
      <c r="G36" s="24" t="inlineStr">
        <is>
          <t>los kogutos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170</v>
      </c>
      <c r="M36" s="27" t="n">
        <v>2.7</v>
      </c>
      <c r="N36" s="28" t="n">
        <v>0.37037</v>
      </c>
      <c r="O36" s="28" t="n">
        <v>0.536588</v>
      </c>
      <c r="P36" s="28" t="n"/>
      <c r="Q36" s="28" t="n">
        <v>0.166218</v>
      </c>
      <c r="R36" s="26" t="n">
        <v>100</v>
      </c>
      <c r="S36" s="29" t="n">
        <v>0</v>
      </c>
      <c r="T36" s="24" t="inlineStr">
        <is>
          <t>cs2-tiered-elo-v4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0.3700 (market_slug=aec-cs2-lk-unity-2026-07-28).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UNiTY esports</t>
        </is>
      </c>
      <c r="AQ36" s="24" t="inlineStr">
        <is>
          <t>UNiTY esports</t>
        </is>
      </c>
      <c r="AR36" s="24" t="inlineStr">
        <is>
          <t>UNiTY esports</t>
        </is>
      </c>
      <c r="AS36" s="24" t="inlineStr">
        <is>
          <t>los kogutos</t>
        </is>
      </c>
      <c r="AT36" s="24" t="inlineStr">
        <is>
          <t>los kogutos</t>
        </is>
      </c>
      <c r="AU36" s="24" t="inlineStr">
        <is>
          <t>los kogutos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da5537802607ba1fbdae985f92f1b67c327aaa91913ae14bcd767a484004f207</t>
        </is>
      </c>
      <c r="BB36" s="24" t="inlineStr">
        <is>
          <t>neutral_elo</t>
        </is>
      </c>
      <c r="BC36" s="24" t="inlineStr">
        <is>
          <t>cs2-tiered-elo-v4</t>
        </is>
      </c>
      <c r="BD36" s="24" t="inlineStr">
        <is>
          <t>da5537802607ba1fbdae985f92f1b67c327aaa91913ae14bcd767a484004f207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cs2-tiered-elo-v4</t>
        </is>
      </c>
      <c r="BH36" s="24" t="inlineStr">
        <is>
          <t>2026-07-28T01:59:49.932343Z</t>
        </is>
      </c>
      <c r="BI36" s="24" t="inlineStr">
        <is>
          <t>["same_event","same_team_same_day","same_league_same_day"]</t>
        </is>
      </c>
      <c r="BJ36" s="25" t="n"/>
      <c r="BK36" s="26" t="n">
        <v>170</v>
      </c>
      <c r="BL36" s="27" t="n">
        <v>2.7</v>
      </c>
      <c r="BM36" s="28" t="n">
        <v>0.37037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4710a7b97eb84e81</t>
        </is>
      </c>
      <c r="B37" s="24" t="inlineStr">
        <is>
          <t>2026-07-28T02:00:01.501477Z</t>
        </is>
      </c>
      <c r="C37" s="24" t="inlineStr">
        <is>
          <t>2026-07-28T17:00:00Z</t>
        </is>
      </c>
      <c r="D37" s="24" t="inlineStr">
        <is>
          <t>64369</t>
        </is>
      </c>
      <c r="E37" s="24" t="inlineStr">
        <is>
          <t>CS2</t>
        </is>
      </c>
      <c r="F37" s="24" t="inlineStr">
        <is>
          <t>Falcons Force</t>
        </is>
      </c>
      <c r="G37" s="24" t="inlineStr">
        <is>
          <t>Misa Esports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100</v>
      </c>
      <c r="M37" s="27" t="n">
        <v>2</v>
      </c>
      <c r="N37" s="28" t="n">
        <v>0.5</v>
      </c>
      <c r="O37" s="28" t="n">
        <v>0.5211479999999999</v>
      </c>
      <c r="P37" s="28" t="n"/>
      <c r="Q37" s="28" t="n">
        <v>0.021148</v>
      </c>
      <c r="R37" s="26" t="n">
        <v>31</v>
      </c>
      <c r="S37" s="29" t="n">
        <v>0</v>
      </c>
      <c r="T37" s="24" t="inlineStr">
        <is>
          <t>cs2-tiered-elo-v4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0.5000 (market_slug=aec-cs2-misa-falf-2026-07-28).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Falcons Force</t>
        </is>
      </c>
      <c r="AQ37" s="24" t="inlineStr">
        <is>
          <t>Falcons Force</t>
        </is>
      </c>
      <c r="AR37" s="24" t="inlineStr">
        <is>
          <t>Falcons Force</t>
        </is>
      </c>
      <c r="AS37" s="24" t="inlineStr">
        <is>
          <t>Misa Esports</t>
        </is>
      </c>
      <c r="AT37" s="24" t="inlineStr">
        <is>
          <t>Misa Esports</t>
        </is>
      </c>
      <c r="AU37" s="24" t="inlineStr">
        <is>
          <t>Misa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da5537802607ba1fbdae985f92f1b67c327aaa91913ae14bcd767a484004f207</t>
        </is>
      </c>
      <c r="BB37" s="24" t="inlineStr">
        <is>
          <t>neutral_elo</t>
        </is>
      </c>
      <c r="BC37" s="24" t="inlineStr">
        <is>
          <t>cs2-tiered-elo-v4</t>
        </is>
      </c>
      <c r="BD37" s="24" t="inlineStr">
        <is>
          <t>da5537802607ba1fbdae985f92f1b67c327aaa91913ae14bcd767a484004f207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cs2-tiered-elo-v4</t>
        </is>
      </c>
      <c r="BH37" s="24" t="inlineStr">
        <is>
          <t>2026-07-28T01:59:50.504855Z</t>
        </is>
      </c>
      <c r="BI37" s="24" t="inlineStr">
        <is>
          <t>["same_event","same_team_same_day","same_league_same_day"]</t>
        </is>
      </c>
      <c r="BJ37" s="25" t="n"/>
      <c r="BK37" s="26" t="n">
        <v>100</v>
      </c>
      <c r="BL37" s="27" t="n">
        <v>2</v>
      </c>
      <c r="BM37" s="28" t="n">
        <v>0.5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bbcd2c2ef81f4286</t>
        </is>
      </c>
      <c r="B38" s="24" t="inlineStr">
        <is>
          <t>2026-07-28T02:00:01.501477Z</t>
        </is>
      </c>
      <c r="C38" s="24" t="inlineStr">
        <is>
          <t>2026-07-28T18:00:00Z</t>
        </is>
      </c>
      <c r="D38" s="24" t="inlineStr">
        <is>
          <t>61708</t>
        </is>
      </c>
      <c r="E38" s="24" t="inlineStr">
        <is>
          <t>CS2</t>
        </is>
      </c>
      <c r="F38" s="24" t="inlineStr">
        <is>
          <t>largadosypelados</t>
        </is>
      </c>
      <c r="G38" s="24" t="inlineStr">
        <is>
          <t>Bounty Hunters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0.730996</v>
      </c>
      <c r="P38" s="28" t="n"/>
      <c r="Q38" s="28" t="n">
        <v>0.250227</v>
      </c>
      <c r="R38" s="26" t="n">
        <v>100</v>
      </c>
      <c r="S38" s="29" t="n">
        <v>0</v>
      </c>
      <c r="T38" s="24" t="inlineStr">
        <is>
          <t>cs2-tiered-elo-v4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0.4800 (market_slug=aec-cs2-bhe-ldp-2026-07-28).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largadosypelados</t>
        </is>
      </c>
      <c r="AQ38" s="24" t="inlineStr">
        <is>
          <t>largadosypelados</t>
        </is>
      </c>
      <c r="AR38" s="24" t="inlineStr">
        <is>
          <t>largadosypelados</t>
        </is>
      </c>
      <c r="AS38" s="24" t="inlineStr">
        <is>
          <t>Bounty Hunters Esports</t>
        </is>
      </c>
      <c r="AT38" s="24" t="inlineStr">
        <is>
          <t>Bounty Hunters Esports</t>
        </is>
      </c>
      <c r="AU38" s="24" t="inlineStr">
        <is>
          <t>Bounty Hunters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da5537802607ba1fbdae985f92f1b67c327aaa91913ae14bcd767a484004f207</t>
        </is>
      </c>
      <c r="BB38" s="24" t="inlineStr">
        <is>
          <t>neutral_elo</t>
        </is>
      </c>
      <c r="BC38" s="24" t="inlineStr">
        <is>
          <t>cs2-tiered-elo-v4</t>
        </is>
      </c>
      <c r="BD38" s="24" t="inlineStr">
        <is>
          <t>da5537802607ba1fbdae985f92f1b67c327aaa91913ae14bcd767a484004f207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cs2-tiered-elo-v4</t>
        </is>
      </c>
      <c r="BH38" s="24" t="inlineStr">
        <is>
          <t>2026-07-28T01:59:51.025834Z</t>
        </is>
      </c>
      <c r="BI38" s="24" t="inlineStr">
        <is>
          <t>["same_event","same_team_same_day","same_league_same_day"]</t>
        </is>
      </c>
      <c r="BJ38" s="25" t="n"/>
      <c r="BK38" s="26" t="n">
        <v>108</v>
      </c>
      <c r="BL38" s="27" t="n">
        <v>2.08</v>
      </c>
      <c r="BM38" s="28" t="n">
        <v>0.480769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1ef28cef3128445f</t>
        </is>
      </c>
      <c r="B39" s="24" t="inlineStr">
        <is>
          <t>2026-07-28T02:00:01.501477Z</t>
        </is>
      </c>
      <c r="C39" s="24" t="inlineStr">
        <is>
          <t>2026-07-28T21:00:00Z</t>
        </is>
      </c>
      <c r="D39" s="24" t="inlineStr">
        <is>
          <t>62235</t>
        </is>
      </c>
      <c r="E39" s="24" t="inlineStr">
        <is>
          <t>CS2</t>
        </is>
      </c>
      <c r="F39" s="24" t="inlineStr">
        <is>
          <t>QUINTESSÊNCIA</t>
        </is>
      </c>
      <c r="G39" s="24" t="inlineStr">
        <is>
          <t>ALKA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-223</v>
      </c>
      <c r="M39" s="27" t="n">
        <v>1.44843</v>
      </c>
      <c r="N39" s="28" t="n">
        <v>0.690402</v>
      </c>
      <c r="O39" s="28" t="n">
        <v>0.690487</v>
      </c>
      <c r="P39" s="28" t="n"/>
      <c r="Q39" s="28" t="n">
        <v>8.500000000000001e-05</v>
      </c>
      <c r="R39" s="26" t="n">
        <v>20</v>
      </c>
      <c r="S39" s="29" t="n">
        <v>0</v>
      </c>
      <c r="T39" s="24" t="inlineStr">
        <is>
          <t>cs2-tiered-elo-v4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0.6900 (market_slug=aec-cs2-alka-quin-2026-07-28).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QUINTESSÊNCIA</t>
        </is>
      </c>
      <c r="AQ39" s="24" t="inlineStr">
        <is>
          <t>QUINTESSÊNCIA</t>
        </is>
      </c>
      <c r="AR39" s="24" t="inlineStr">
        <is>
          <t>QUINTESSÊNCIA</t>
        </is>
      </c>
      <c r="AS39" s="24" t="inlineStr">
        <is>
          <t>ALKA GAMING</t>
        </is>
      </c>
      <c r="AT39" s="24" t="inlineStr">
        <is>
          <t>ALKA GAMING</t>
        </is>
      </c>
      <c r="AU39" s="24" t="inlineStr">
        <is>
          <t>ALKA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da5537802607ba1fbdae985f92f1b67c327aaa91913ae14bcd767a484004f207</t>
        </is>
      </c>
      <c r="BB39" s="24" t="inlineStr">
        <is>
          <t>neutral_elo</t>
        </is>
      </c>
      <c r="BC39" s="24" t="inlineStr">
        <is>
          <t>cs2-tiered-elo-v4</t>
        </is>
      </c>
      <c r="BD39" s="24" t="inlineStr">
        <is>
          <t>da5537802607ba1fbdae985f92f1b67c327aaa91913ae14bcd767a484004f207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cs2-tiered-elo-v4</t>
        </is>
      </c>
      <c r="BH39" s="24" t="inlineStr">
        <is>
          <t>2026-07-28T01:59:59.872308Z</t>
        </is>
      </c>
      <c r="BI39" s="24" t="inlineStr">
        <is>
          <t>["same_event","same_team_same_day","same_league_same_day"]</t>
        </is>
      </c>
      <c r="BJ39" s="25" t="n"/>
      <c r="BK39" s="26" t="n">
        <v>-223</v>
      </c>
      <c r="BL39" s="27" t="n">
        <v>1.44843</v>
      </c>
      <c r="BM39" s="28" t="n">
        <v>0.690402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62843cbec2364d66</t>
        </is>
      </c>
      <c r="B40" s="24" t="inlineStr">
        <is>
          <t>2026-07-28T02:00:01.501477Z</t>
        </is>
      </c>
      <c r="C40" s="24" t="inlineStr">
        <is>
          <t>2026-07-28T21:00:00Z</t>
        </is>
      </c>
      <c r="D40" s="24" t="inlineStr">
        <is>
          <t>62236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Imperial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-133</v>
      </c>
      <c r="M40" s="27" t="n">
        <v>1.75188</v>
      </c>
      <c r="N40" s="28" t="n">
        <v>0.570815</v>
      </c>
      <c r="O40" s="28" t="n">
        <v>0.526234</v>
      </c>
      <c r="P40" s="28" t="n"/>
      <c r="Q40" s="28" t="n">
        <v>-0.044581</v>
      </c>
      <c r="R40" s="26" t="n">
        <v>0</v>
      </c>
      <c r="S40" s="29" t="n">
        <v>0</v>
      </c>
      <c r="T40" s="24" t="inlineStr">
        <is>
          <t>cs2-tiered-elo-v4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0.5700 (market_slug=aec-cs2-imp-bst-2026-07-28).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Imperial</t>
        </is>
      </c>
      <c r="AT40" s="24" t="inlineStr">
        <is>
          <t>Imperial</t>
        </is>
      </c>
      <c r="AU40" s="24" t="inlineStr">
        <is>
          <t>Imperial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da5537802607ba1fbdae985f92f1b67c327aaa91913ae14bcd767a484004f207</t>
        </is>
      </c>
      <c r="BB40" s="24" t="inlineStr">
        <is>
          <t>neutral_elo</t>
        </is>
      </c>
      <c r="BC40" s="24" t="inlineStr">
        <is>
          <t>cs2-tiered-elo-v4</t>
        </is>
      </c>
      <c r="BD40" s="24" t="inlineStr">
        <is>
          <t>da5537802607ba1fbdae985f92f1b67c327aaa91913ae14bcd767a484004f207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cs2-tiered-elo-v4</t>
        </is>
      </c>
      <c r="BH40" s="24" t="inlineStr">
        <is>
          <t>2026-07-28T02:00:00.381650Z</t>
        </is>
      </c>
      <c r="BI40" s="24" t="inlineStr">
        <is>
          <t>["same_event","same_team_same_day","same_league_same_day"]</t>
        </is>
      </c>
      <c r="BJ40" s="25" t="n"/>
      <c r="BK40" s="26" t="n">
        <v>-133</v>
      </c>
      <c r="BL40" s="27" t="n">
        <v>1.75188</v>
      </c>
      <c r="BM40" s="28" t="n">
        <v>0.570815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2e1b6c7ba1ed46a9</t>
        </is>
      </c>
      <c r="B41" s="24" t="inlineStr">
        <is>
          <t>2026-07-28T02:00:01.501477Z</t>
        </is>
      </c>
      <c r="C41" s="24" t="inlineStr">
        <is>
          <t>2026-07-28T22:00:00Z</t>
        </is>
      </c>
      <c r="D41" s="24" t="inlineStr">
        <is>
          <t>62282</t>
        </is>
      </c>
      <c r="E41" s="24" t="inlineStr">
        <is>
          <t>CS2</t>
        </is>
      </c>
      <c r="F41" s="24" t="inlineStr">
        <is>
          <t>Marsborne</t>
        </is>
      </c>
      <c r="G41" s="24" t="inlineStr">
        <is>
          <t>LAG Gaming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0.585167</v>
      </c>
      <c r="P41" s="28" t="n"/>
      <c r="Q41" s="28" t="n">
        <v>-0.024208</v>
      </c>
      <c r="R41" s="26" t="n">
        <v>8</v>
      </c>
      <c r="S41" s="29" t="n">
        <v>0</v>
      </c>
      <c r="T41" s="24" t="inlineStr">
        <is>
          <t>cs2-tiered-elo-v4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0.6100 (market_slug=aec-cs2-lag-mars-2026-07-28).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Marsborne</t>
        </is>
      </c>
      <c r="AQ41" s="24" t="inlineStr">
        <is>
          <t>Marsborne</t>
        </is>
      </c>
      <c r="AR41" s="24" t="inlineStr">
        <is>
          <t>Marsborne</t>
        </is>
      </c>
      <c r="AS41" s="24" t="inlineStr">
        <is>
          <t>LAG Gaming</t>
        </is>
      </c>
      <c r="AT41" s="24" t="inlineStr">
        <is>
          <t>LAG Gaming</t>
        </is>
      </c>
      <c r="AU41" s="24" t="inlineStr">
        <is>
          <t>LAG Gaming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da5537802607ba1fbdae985f92f1b67c327aaa91913ae14bcd767a484004f207</t>
        </is>
      </c>
      <c r="BB41" s="24" t="inlineStr">
        <is>
          <t>neutral_elo</t>
        </is>
      </c>
      <c r="BC41" s="24" t="inlineStr">
        <is>
          <t>cs2-tiered-elo-v4</t>
        </is>
      </c>
      <c r="BD41" s="24" t="inlineStr">
        <is>
          <t>da5537802607ba1fbdae985f92f1b67c327aaa91913ae14bcd767a484004f207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cs2-tiered-elo-v4</t>
        </is>
      </c>
      <c r="BH41" s="24" t="inlineStr">
        <is>
          <t>2026-07-28T02:00:00.888591Z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f1c4fd97f35b453f</t>
        </is>
      </c>
      <c r="B42" s="24" t="inlineStr">
        <is>
          <t>2026-07-28T02:08:42.519814Z</t>
        </is>
      </c>
      <c r="C42" s="24" t="inlineStr">
        <is>
          <t>2026-07-28T08:00:00Z</t>
        </is>
      </c>
      <c r="D42" s="24" t="inlineStr">
        <is>
          <t>63706</t>
        </is>
      </c>
      <c r="E42" s="24" t="inlineStr">
        <is>
          <t>CS2</t>
        </is>
      </c>
      <c r="F42" s="24" t="inlineStr">
        <is>
          <t>Mai Tai</t>
        </is>
      </c>
      <c r="G42" s="24" t="inlineStr">
        <is>
          <t>Entropy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0.609287</v>
      </c>
      <c r="P42" s="28" t="n"/>
      <c r="Q42" s="28" t="n">
        <v>0.029455</v>
      </c>
      <c r="R42" s="26" t="n">
        <v>35</v>
      </c>
      <c r="S42" s="29" t="n">
        <v>1.5</v>
      </c>
      <c r="T42" s="24" t="inlineStr">
        <is>
          <t>cs2-tiered-elo-v4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0.5800 (market_slug=aec-cs2-ent-mta-2026-07-28).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Mai Tai</t>
        </is>
      </c>
      <c r="AQ42" s="24" t="inlineStr">
        <is>
          <t>Mai Tai</t>
        </is>
      </c>
      <c r="AR42" s="24" t="inlineStr">
        <is>
          <t>Mai Tai</t>
        </is>
      </c>
      <c r="AS42" s="24" t="inlineStr">
        <is>
          <t>Entropy</t>
        </is>
      </c>
      <c r="AT42" s="24" t="inlineStr">
        <is>
          <t>Entropy</t>
        </is>
      </c>
      <c r="AU42" s="24" t="inlineStr">
        <is>
          <t>Entropy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083967481304d1dc27bfb10e14bb394ac08ceeda4b7f4e87080bc0131a2aed37</t>
        </is>
      </c>
      <c r="BB42" s="24" t="inlineStr">
        <is>
          <t>neutral_elo</t>
        </is>
      </c>
      <c r="BC42" s="24" t="inlineStr">
        <is>
          <t>cs2-tiered-elo-v4</t>
        </is>
      </c>
      <c r="BD42" s="24" t="inlineStr">
        <is>
          <t>083967481304d1dc27bfb10e14bb394ac08ceeda4b7f4e87080bc0131a2aed37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cs2-tiered-elo-v4</t>
        </is>
      </c>
      <c r="BH42" s="24" t="inlineStr">
        <is>
          <t>2026-07-28T02:08:19.728443Z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2026-07-28T02:08:42Z</dcterms:created>
  <dcterms:modified xsi:type="dcterms:W3CDTF">2026-07-28T02:08:42Z</dcterms:modified>
</cp:coreProperties>
</file>