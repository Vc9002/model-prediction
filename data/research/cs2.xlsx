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O49" headerRowCount="1">
  <autoFilter ref="A1:CO49"/>
  <tableColumns count="93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COUNTA('Picks'!$A$2:$A$49)</f>
        <v/>
      </c>
      <c r="C4" s="6">
        <f>COUNTIF('Picks'!$U$2:$U$49,"open")</f>
        <v/>
      </c>
      <c r="E4" s="6">
        <f>COUNTIF('Picks'!$U$2:$U$49,"settled")</f>
        <v/>
      </c>
      <c r="G4" s="6">
        <f>IF(COUNTIFS('Picks'!$U$2:$U$49,"settled",'Picks'!$V$2:$V$49,"win")+COUNTIFS('Picks'!$U$2:$U$49,"settled",'Picks'!$V$2:$V$49,"loss")&gt;=$L$2,"Ready","Insufficient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COUNTIF('Picks'!$BX$2:$BX$49,"&gt;0")</f>
        <v/>
      </c>
      <c r="C7" s="6">
        <f>COUNTIFS('Picks'!$BX$2:$BX$49,"&gt;0",'Picks'!$V$2:$V$49,"win")&amp;"-"&amp;COUNTIFS('Picks'!$BX$2:$BX$49,"&gt;0",'Picks'!$V$2:$V$49,"loss")</f>
        <v/>
      </c>
      <c r="E7" s="7">
        <f>IFERROR(COUNTIFS('Picks'!$BX$2:$BX$49,"&gt;0",'Picks'!$V$2:$V$49,"win")/(COUNTIFS('Picks'!$BX$2:$BX$49,"&gt;0",'Picks'!$V$2:$V$49,"win")+COUNTIFS('Picks'!$BX$2:$BX$49,"&gt;0",'Picks'!$V$2:$V$49,"loss")),0)</f>
        <v/>
      </c>
      <c r="G7" s="7">
        <f>IFERROR(SUM('Picks'!$BY$2:$BY$49)/SUM('Picks'!$BX$2:$BX$49),0)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SUM('Picks'!$BY$2:$BY$49)</f>
        <v/>
      </c>
      <c r="C10" s="9">
        <f>IFERROR(AVERAGEIF('Picks'!$AB$2:$AB$49,"&lt;&gt;",'Picks'!$AB$2:$AB$49),0)</f>
        <v/>
      </c>
      <c r="E10" s="6">
        <f>COUNTIFS('Picks'!$AM$2:$AM$49,"QUALIFIED_SHADOW_CALL",'Picks'!$U$2:$U$49,"settled")</f>
        <v/>
      </c>
      <c r="G10" s="8">
        <f>SUMIFS('Picks'!$AC$2:$AC$49,'Picks'!$AM$2:$AM$49,"QUALIFIED_SHADOW_CALL")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COUNTIFS('Picks'!$H$2:$H$49,$A14,'Picks'!$U$2:$U$49,"settled")</f>
        <v/>
      </c>
      <c r="C14" s="13">
        <f>COUNTIFS('Picks'!$H$2:$H$49,$A14,'Picks'!$U$2:$U$49,"settled",'Picks'!$V$2:$V$49,"win")</f>
        <v/>
      </c>
      <c r="D14" s="13">
        <f>COUNTIFS('Picks'!$H$2:$H$49,$A14,'Picks'!$U$2:$U$49,"settled",'Picks'!$V$2:$V$49,"loss")</f>
        <v/>
      </c>
      <c r="E14" s="14">
        <f>IFERROR(C14/(C14+D14),0)</f>
        <v/>
      </c>
      <c r="F14" s="15">
        <f>SUMIFS('Picks'!$BY$2:$BY$49,'Picks'!$H$2:$H$49,$A14)</f>
        <v/>
      </c>
      <c r="G14" s="16">
        <f>IFERROR(AVERAGEIFS('Picks'!$AB$2:$AB$49,'Picks'!$H$2:$H$49,$A14,'Picks'!$U$2:$U$49,"settled"),0)</f>
        <v/>
      </c>
    </row>
    <row r="15">
      <c r="A15" s="17" t="inlineStr">
        <is>
          <t>spread</t>
        </is>
      </c>
      <c r="B15" s="18">
        <f>COUNTIFS('Picks'!$H$2:$H$49,$A15,'Picks'!$U$2:$U$49,"settled")</f>
        <v/>
      </c>
      <c r="C15" s="18">
        <f>COUNTIFS('Picks'!$H$2:$H$49,$A15,'Picks'!$U$2:$U$49,"settled",'Picks'!$V$2:$V$49,"win")</f>
        <v/>
      </c>
      <c r="D15" s="18">
        <f>COUNTIFS('Picks'!$H$2:$H$49,$A15,'Picks'!$U$2:$U$49,"settled",'Picks'!$V$2:$V$49,"loss")</f>
        <v/>
      </c>
      <c r="E15" s="19">
        <f>IFERROR(C15/(C15+D15),0)</f>
        <v/>
      </c>
      <c r="F15" s="20">
        <f>SUMIFS('Picks'!$BY$2:$BY$49,'Picks'!$H$2:$H$49,$A15)</f>
        <v/>
      </c>
      <c r="G15" s="21">
        <f>IFERROR(AVERAGEIFS('Picks'!$AB$2:$AB$49,'Picks'!$H$2:$H$49,$A15,'Picks'!$U$2:$U$49,"settled"),0)</f>
        <v/>
      </c>
    </row>
    <row r="16">
      <c r="A16" s="12" t="inlineStr">
        <is>
          <t>total</t>
        </is>
      </c>
      <c r="B16" s="13">
        <f>COUNTIFS('Picks'!$H$2:$H$49,$A16,'Picks'!$U$2:$U$49,"settled")</f>
        <v/>
      </c>
      <c r="C16" s="13">
        <f>COUNTIFS('Picks'!$H$2:$H$49,$A16,'Picks'!$U$2:$U$49,"settled",'Picks'!$V$2:$V$49,"win")</f>
        <v/>
      </c>
      <c r="D16" s="13">
        <f>COUNTIFS('Picks'!$H$2:$H$49,$A16,'Picks'!$U$2:$U$49,"settled",'Picks'!$V$2:$V$49,"loss")</f>
        <v/>
      </c>
      <c r="E16" s="14">
        <f>IFERROR(C16/(C16+D16),0)</f>
        <v/>
      </c>
      <c r="F16" s="15">
        <f>SUMIFS('Picks'!$BY$2:$BY$49,'Picks'!$H$2:$H$49,$A16)</f>
        <v/>
      </c>
      <c r="G16" s="16">
        <f>IFERROR(AVERAGEIFS('Picks'!$AB$2:$AB$49,'Picks'!$H$2:$H$49,$A16,'Picks'!$U$2:$U$49,"settled"),0)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O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</row>
    <row r="2" ht="36" customHeight="1">
      <c r="A2" s="24" t="inlineStr">
        <is>
          <t>d351727aac9c49ca</t>
        </is>
      </c>
      <c r="B2" s="24" t="inlineStr">
        <is>
          <t>2026-07-31T13:43:54.682985Z</t>
        </is>
      </c>
      <c r="C2" s="24" t="inlineStr">
        <is>
          <t>2026-07-31T14:00:00Z</t>
        </is>
      </c>
      <c r="D2" s="24" t="inlineStr">
        <is>
          <t>66993</t>
        </is>
      </c>
      <c r="E2" s="24" t="inlineStr">
        <is>
          <t>CS2</t>
        </is>
      </c>
      <c r="F2" s="24" t="inlineStr">
        <is>
          <t>Vexar</t>
        </is>
      </c>
      <c r="G2" s="24" t="inlineStr">
        <is>
          <t>ex-RUSTEC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-213</v>
      </c>
      <c r="M2" s="27" t="n">
        <v>1.469484</v>
      </c>
      <c r="N2" s="28" t="n">
        <v>0.680511</v>
      </c>
      <c r="O2" s="28" t="n">
        <v>0.563136</v>
      </c>
      <c r="P2" s="28" t="n"/>
      <c r="Q2" s="28" t="n">
        <v>-0.117375</v>
      </c>
      <c r="R2" s="26" t="n">
        <v>0</v>
      </c>
      <c r="S2" s="29" t="n">
        <v>1</v>
      </c>
      <c r="T2" s="24" t="inlineStr">
        <is>
          <t>cs2-tiered-elo-v5</t>
        </is>
      </c>
      <c r="U2" s="24" t="inlineStr">
        <is>
          <t>settled</t>
        </is>
      </c>
      <c r="V2" s="24" t="inlineStr">
        <is>
          <t>win</t>
        </is>
      </c>
      <c r="W2" s="26" t="n">
        <v>0</v>
      </c>
      <c r="X2" s="26" t="n">
        <v>1</v>
      </c>
      <c r="Y2" s="25" t="n"/>
      <c r="Z2" s="26" t="n">
        <v>-213</v>
      </c>
      <c r="AA2" s="28" t="n">
        <v>0.68</v>
      </c>
      <c r="AB2" s="28" t="n">
        <v>-0.000511</v>
      </c>
      <c r="AC2" s="30" t="n">
        <v>0.4695</v>
      </c>
      <c r="AD2" s="24" t="inlineStr">
        <is>
          <t>2026-07-31T16:44:41.855496Z</t>
        </is>
      </c>
      <c r="AE2" s="31" t="inlineStr">
        <is>
          <t>Neutral Elo baseline; executable ask 0.6800 (market_slug=aec-cs2-erx-vexar-2026-07-31).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research_observation</t>
        </is>
      </c>
      <c r="AL2" s="26" t="n">
        <v>3</v>
      </c>
      <c r="AM2" s="24" t="inlineStr">
        <is>
          <t>RESEARCH_OBSERVATION</t>
        </is>
      </c>
      <c r="AN2" s="24" t="inlineStr">
        <is>
          <t>NO_CALL</t>
        </is>
      </c>
      <c r="AO2" s="24" t="inlineStr">
        <is>
          <t>NO_CALL_LOW_EDGE</t>
        </is>
      </c>
      <c r="AP2" s="24" t="inlineStr">
        <is>
          <t>Vexar</t>
        </is>
      </c>
      <c r="AQ2" s="24" t="inlineStr">
        <is>
          <t>Vexar</t>
        </is>
      </c>
      <c r="AR2" s="24" t="inlineStr">
        <is>
          <t>Vexar</t>
        </is>
      </c>
      <c r="AS2" s="24" t="inlineStr">
        <is>
          <t>ex-RUSTEC</t>
        </is>
      </c>
      <c r="AT2" s="24" t="inlineStr">
        <is>
          <t>ex-RUSTEC</t>
        </is>
      </c>
      <c r="AU2" s="24" t="inlineStr">
        <is>
          <t>ex-RUSTEC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eb7df6eea25aaeb60067809b30135a14d1437167e21d40db8c53fd4c730e8028</t>
        </is>
      </c>
      <c r="BB2" s="24" t="inlineStr">
        <is>
          <t>neutral_elo</t>
        </is>
      </c>
      <c r="BC2" s="24" t="inlineStr">
        <is>
          <t>cs2-tiered-elo-v5</t>
        </is>
      </c>
      <c r="BD2" s="24" t="inlineStr">
        <is>
          <t>eb7df6eea25aaeb60067809b30135a14d1437167e21d40db8c53fd4c730e8028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cs2-tiered-elo-v5</t>
        </is>
      </c>
      <c r="BH2" s="24" t="inlineStr">
        <is>
          <t>2026-07-31T13:43:38.022540Z</t>
        </is>
      </c>
      <c r="BI2" s="24" t="inlineStr">
        <is>
          <t>["same_event","same_team_same_day","same_league_same_day"]</t>
        </is>
      </c>
      <c r="BJ2" s="25" t="n"/>
      <c r="BK2" s="26" t="n">
        <v>-213</v>
      </c>
      <c r="BL2" s="27" t="n">
        <v>1.469484</v>
      </c>
      <c r="BM2" s="28" t="n">
        <v>0.680511</v>
      </c>
      <c r="BN2" s="28" t="n"/>
      <c r="BO2" s="28" t="n"/>
      <c r="BP2" s="25" t="n"/>
      <c r="BQ2" s="27" t="n">
        <v>1.469484</v>
      </c>
      <c r="BR2" s="28" t="n">
        <v>0.68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</row>
    <row r="3" ht="36" customHeight="1">
      <c r="A3" s="24" t="inlineStr">
        <is>
          <t>93fc13f04c214be5</t>
        </is>
      </c>
      <c r="B3" s="24" t="inlineStr">
        <is>
          <t>2026-07-31T13:43:54.682985Z</t>
        </is>
      </c>
      <c r="C3" s="24" t="inlineStr">
        <is>
          <t>2026-07-31T14:00:00Z</t>
        </is>
      </c>
      <c r="D3" s="24" t="inlineStr">
        <is>
          <t>66549</t>
        </is>
      </c>
      <c r="E3" s="24" t="inlineStr">
        <is>
          <t>CS2</t>
        </is>
      </c>
      <c r="F3" s="24" t="inlineStr">
        <is>
          <t>megoshort</t>
        </is>
      </c>
      <c r="G3" s="24" t="inlineStr">
        <is>
          <t>Lavked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108</v>
      </c>
      <c r="M3" s="27" t="n">
        <v>2.08</v>
      </c>
      <c r="N3" s="28" t="n">
        <v>0.480769</v>
      </c>
      <c r="O3" s="28" t="n">
        <v>0.751067</v>
      </c>
      <c r="P3" s="28" t="n"/>
      <c r="Q3" s="28" t="n">
        <v>0.270298</v>
      </c>
      <c r="R3" s="26" t="n">
        <v>100</v>
      </c>
      <c r="S3" s="29" t="n">
        <v>2</v>
      </c>
      <c r="T3" s="24" t="inlineStr">
        <is>
          <t>cs2-tiered-elo-v5</t>
        </is>
      </c>
      <c r="U3" s="24" t="inlineStr">
        <is>
          <t>settled</t>
        </is>
      </c>
      <c r="V3" s="24" t="inlineStr">
        <is>
          <t>loss</t>
        </is>
      </c>
      <c r="W3" s="26" t="n">
        <v>1</v>
      </c>
      <c r="X3" s="26" t="n">
        <v>0</v>
      </c>
      <c r="Y3" s="25" t="n"/>
      <c r="Z3" s="26" t="n">
        <v>104</v>
      </c>
      <c r="AA3" s="28" t="n">
        <v>0.49</v>
      </c>
      <c r="AB3" s="28" t="n">
        <v>0.009231</v>
      </c>
      <c r="AC3" s="30" t="n">
        <v>-2</v>
      </c>
      <c r="AD3" s="24" t="inlineStr">
        <is>
          <t>2026-07-31T19:50:59.449730Z</t>
        </is>
      </c>
      <c r="AE3" s="31" t="inlineStr">
        <is>
          <t>Neutral Elo baseline; executable ask 0.4800 (market_slug=aec-cs2-lav-mego-2026-07-31).</t>
        </is>
      </c>
      <c r="AF3" s="31" t="inlineStr">
        <is>
          <t>Config-promoted esports baseline; gates enforced at log time.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megoshort</t>
        </is>
      </c>
      <c r="AQ3" s="24" t="inlineStr">
        <is>
          <t>megoshort</t>
        </is>
      </c>
      <c r="AR3" s="24" t="inlineStr">
        <is>
          <t>megoshort</t>
        </is>
      </c>
      <c r="AS3" s="24" t="inlineStr">
        <is>
          <t>Lavked</t>
        </is>
      </c>
      <c r="AT3" s="24" t="inlineStr">
        <is>
          <t>Lavked</t>
        </is>
      </c>
      <c r="AU3" s="24" t="inlineStr">
        <is>
          <t>Lavked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eb7df6eea25aaeb60067809b30135a14d1437167e21d40db8c53fd4c730e8028</t>
        </is>
      </c>
      <c r="BB3" s="24" t="inlineStr">
        <is>
          <t>neutral_elo</t>
        </is>
      </c>
      <c r="BC3" s="24" t="inlineStr">
        <is>
          <t>cs2-tiered-elo-v5</t>
        </is>
      </c>
      <c r="BD3" s="24" t="inlineStr">
        <is>
          <t>eb7df6eea25aaeb60067809b30135a14d1437167e21d40db8c53fd4c730e8028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cs2-tiered-elo-v5</t>
        </is>
      </c>
      <c r="BH3" s="24" t="inlineStr">
        <is>
          <t>2026-07-31T13:43:39.001447Z</t>
        </is>
      </c>
      <c r="BI3" s="24" t="inlineStr">
        <is>
          <t>["same_event","same_team_same_day","same_league_same_day"]</t>
        </is>
      </c>
      <c r="BJ3" s="25" t="n"/>
      <c r="BK3" s="26" t="n">
        <v>108</v>
      </c>
      <c r="BL3" s="27" t="n">
        <v>2.08</v>
      </c>
      <c r="BM3" s="28" t="n">
        <v>0.480769</v>
      </c>
      <c r="BN3" s="28" t="n"/>
      <c r="BO3" s="28" t="n"/>
      <c r="BP3" s="25" t="n"/>
      <c r="BQ3" s="27" t="n">
        <v>2.04</v>
      </c>
      <c r="BR3" s="28" t="n">
        <v>0.49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</row>
    <row r="4" ht="36" customHeight="1">
      <c r="A4" s="24" t="inlineStr">
        <is>
          <t>05aaa4cc64c546ee</t>
        </is>
      </c>
      <c r="B4" s="24" t="inlineStr">
        <is>
          <t>2026-07-31T13:43:54.682985Z</t>
        </is>
      </c>
      <c r="C4" s="24" t="inlineStr">
        <is>
          <t>2026-07-31T14:00:00Z</t>
        </is>
      </c>
      <c r="D4" s="24" t="inlineStr">
        <is>
          <t>67300</t>
        </is>
      </c>
      <c r="E4" s="24" t="inlineStr">
        <is>
          <t>CS2</t>
        </is>
      </c>
      <c r="F4" s="24" t="inlineStr">
        <is>
          <t>Inner Circle Academy</t>
        </is>
      </c>
      <c r="G4" s="24" t="inlineStr">
        <is>
          <t>ex-Young Ninjas</t>
        </is>
      </c>
      <c r="H4" s="24" t="inlineStr">
        <is>
          <t>moneyline</t>
        </is>
      </c>
      <c r="I4" s="24" t="inlineStr">
        <is>
          <t>away</t>
        </is>
      </c>
      <c r="J4" s="25" t="n"/>
      <c r="K4" s="24" t="inlineStr">
        <is>
          <t>polymarket_us</t>
        </is>
      </c>
      <c r="L4" s="26" t="n">
        <v>133</v>
      </c>
      <c r="M4" s="27" t="n">
        <v>2.33</v>
      </c>
      <c r="N4" s="28" t="n">
        <v>0.429185</v>
      </c>
      <c r="O4" s="28" t="n">
        <v>0.518172</v>
      </c>
      <c r="P4" s="28" t="n"/>
      <c r="Q4" s="28" t="n">
        <v>0.088987</v>
      </c>
      <c r="R4" s="26" t="n">
        <v>64</v>
      </c>
      <c r="S4" s="29" t="n">
        <v>1</v>
      </c>
      <c r="T4" s="24" t="inlineStr">
        <is>
          <t>cs2-tiered-elo-v5</t>
        </is>
      </c>
      <c r="U4" s="24" t="inlineStr">
        <is>
          <t>settled</t>
        </is>
      </c>
      <c r="V4" s="24" t="inlineStr">
        <is>
          <t>loss</t>
        </is>
      </c>
      <c r="W4" s="26" t="n">
        <v>0</v>
      </c>
      <c r="X4" s="26" t="n">
        <v>1</v>
      </c>
      <c r="Y4" s="25" t="n"/>
      <c r="Z4" s="26" t="n">
        <v>133</v>
      </c>
      <c r="AA4" s="28" t="n">
        <v>0.43</v>
      </c>
      <c r="AB4" s="28" t="n">
        <v>0.000815</v>
      </c>
      <c r="AC4" s="30" t="n">
        <v>-1</v>
      </c>
      <c r="AD4" s="24" t="inlineStr">
        <is>
          <t>2026-07-31T19:51:00.663419Z</t>
        </is>
      </c>
      <c r="AE4" s="31" t="inlineStr">
        <is>
          <t>Neutral Elo baseline; executable ask 0.4300 (market_slug=aec-cs2-eyn-ica-2026-07-31).</t>
        </is>
      </c>
      <c r="AF4" s="31" t="inlineStr">
        <is>
          <t>Config-promoted esports baseline; gates enforced at log time.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RESEARCH_OBSERVATION</t>
        </is>
      </c>
      <c r="AN4" s="24" t="inlineStr">
        <is>
          <t>NO_CALL</t>
        </is>
      </c>
      <c r="AO4" s="24" t="inlineStr">
        <is>
          <t>NO_CALL_LOW_EDGE</t>
        </is>
      </c>
      <c r="AP4" s="24" t="inlineStr">
        <is>
          <t>Inner Circle Academy</t>
        </is>
      </c>
      <c r="AQ4" s="24" t="inlineStr">
        <is>
          <t>Inner Circle Academy</t>
        </is>
      </c>
      <c r="AR4" s="24" t="inlineStr">
        <is>
          <t>Inner Circle Academy</t>
        </is>
      </c>
      <c r="AS4" s="24" t="inlineStr">
        <is>
          <t>ex-Young Ninjas</t>
        </is>
      </c>
      <c r="AT4" s="24" t="inlineStr">
        <is>
          <t>ex-Young Ninjas</t>
        </is>
      </c>
      <c r="AU4" s="24" t="inlineStr">
        <is>
          <t>ex-Young Ninjas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eb7df6eea25aaeb60067809b30135a14d1437167e21d40db8c53fd4c730e8028</t>
        </is>
      </c>
      <c r="BB4" s="24" t="inlineStr">
        <is>
          <t>neutral_elo</t>
        </is>
      </c>
      <c r="BC4" s="24" t="inlineStr">
        <is>
          <t>cs2-tiered-elo-v5</t>
        </is>
      </c>
      <c r="BD4" s="24" t="inlineStr">
        <is>
          <t>eb7df6eea25aaeb60067809b30135a14d1437167e21d40db8c53fd4c730e8028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cs2-tiered-elo-v5</t>
        </is>
      </c>
      <c r="BH4" s="24" t="inlineStr">
        <is>
          <t>2026-07-31T13:43:39.523077Z</t>
        </is>
      </c>
      <c r="BI4" s="24" t="inlineStr">
        <is>
          <t>["same_event","same_team_same_day","same_league_same_day"]</t>
        </is>
      </c>
      <c r="BJ4" s="25" t="n"/>
      <c r="BK4" s="26" t="n">
        <v>133</v>
      </c>
      <c r="BL4" s="27" t="n">
        <v>2.33</v>
      </c>
      <c r="BM4" s="28" t="n">
        <v>0.429185</v>
      </c>
      <c r="BN4" s="28" t="n"/>
      <c r="BO4" s="28" t="n"/>
      <c r="BP4" s="25" t="n"/>
      <c r="BQ4" s="27" t="n">
        <v>2.33</v>
      </c>
      <c r="BR4" s="28" t="n">
        <v>0.43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</row>
    <row r="5" ht="36" customHeight="1">
      <c r="A5" s="24" t="inlineStr">
        <is>
          <t>048b6cebbc674f7f</t>
        </is>
      </c>
      <c r="B5" s="24" t="inlineStr">
        <is>
          <t>2026-07-31T16:50:14.974472Z</t>
        </is>
      </c>
      <c r="C5" s="24" t="inlineStr">
        <is>
          <t>2026-07-31T17:00:00Z</t>
        </is>
      </c>
      <c r="D5" s="24" t="inlineStr">
        <is>
          <t>65110</t>
        </is>
      </c>
      <c r="E5" s="24" t="inlineStr">
        <is>
          <t>CS2</t>
        </is>
      </c>
      <c r="F5" s="24" t="inlineStr">
        <is>
          <t>ROUNDS</t>
        </is>
      </c>
      <c r="G5" s="24" t="inlineStr">
        <is>
          <t>HAVU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150</v>
      </c>
      <c r="M5" s="27" t="n">
        <v>2.5</v>
      </c>
      <c r="N5" s="28" t="n">
        <v>0.4</v>
      </c>
      <c r="O5" s="28" t="n">
        <v>0.621796</v>
      </c>
      <c r="P5" s="28" t="n"/>
      <c r="Q5" s="28" t="n">
        <v>0.221796</v>
      </c>
      <c r="R5" s="26" t="n">
        <v>100</v>
      </c>
      <c r="S5" s="29" t="n">
        <v>1.5</v>
      </c>
      <c r="T5" s="24" t="inlineStr">
        <is>
          <t>cs2-tiered-elo-v5</t>
        </is>
      </c>
      <c r="U5" s="24" t="inlineStr">
        <is>
          <t>settled</t>
        </is>
      </c>
      <c r="V5" s="24" t="inlineStr">
        <is>
          <t>win</t>
        </is>
      </c>
      <c r="W5" s="26" t="n">
        <v>0</v>
      </c>
      <c r="X5" s="26" t="n">
        <v>1</v>
      </c>
      <c r="Y5" s="25" t="n"/>
      <c r="Z5" s="26" t="n">
        <v>-138</v>
      </c>
      <c r="AA5" s="28" t="n">
        <v>0.58</v>
      </c>
      <c r="AB5" s="28" t="n">
        <v>0.18</v>
      </c>
      <c r="AC5" s="30" t="n">
        <v>2.25</v>
      </c>
      <c r="AD5" s="24" t="inlineStr">
        <is>
          <t>2026-07-31T19:51:01.918275Z</t>
        </is>
      </c>
      <c r="AE5" s="31" t="inlineStr">
        <is>
          <t>Neutral Elo baseline; executable ask 0.4000 (market_slug=aec-cs2-havu-rgg-2026-07-31).</t>
        </is>
      </c>
      <c r="AF5" s="31" t="inlineStr">
        <is>
          <t>Config-promoted esports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ROUNDS</t>
        </is>
      </c>
      <c r="AQ5" s="24" t="inlineStr">
        <is>
          <t>ROUNDS</t>
        </is>
      </c>
      <c r="AR5" s="24" t="inlineStr">
        <is>
          <t>ROUNDS</t>
        </is>
      </c>
      <c r="AS5" s="24" t="inlineStr">
        <is>
          <t>HAVU</t>
        </is>
      </c>
      <c r="AT5" s="24" t="inlineStr">
        <is>
          <t>HAVU</t>
        </is>
      </c>
      <c r="AU5" s="24" t="inlineStr">
        <is>
          <t>HAVU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3981a6f1ff351e4f03c636f79be9ecb402557b48007a6dd60f0cf4134cf24ffc</t>
        </is>
      </c>
      <c r="BB5" s="24" t="inlineStr">
        <is>
          <t>neutral_elo</t>
        </is>
      </c>
      <c r="BC5" s="24" t="inlineStr">
        <is>
          <t>cs2-tiered-elo-v5</t>
        </is>
      </c>
      <c r="BD5" s="24" t="inlineStr">
        <is>
          <t>3981a6f1ff351e4f03c636f79be9ecb402557b48007a6dd60f0cf4134cf24ffc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cs2-tiered-elo-v5</t>
        </is>
      </c>
      <c r="BH5" s="24" t="inlineStr">
        <is>
          <t>2026-07-31T16:49:59.297187Z</t>
        </is>
      </c>
      <c r="BI5" s="24" t="inlineStr">
        <is>
          <t>["same_event","same_team_same_day","same_league_same_day"]</t>
        </is>
      </c>
      <c r="BJ5" s="25" t="n"/>
      <c r="BK5" s="26" t="n">
        <v>150</v>
      </c>
      <c r="BL5" s="27" t="n">
        <v>2.5</v>
      </c>
      <c r="BM5" s="28" t="n">
        <v>0.4</v>
      </c>
      <c r="BN5" s="28" t="n"/>
      <c r="BO5" s="28" t="n"/>
      <c r="BP5" s="25" t="n"/>
      <c r="BQ5" s="27" t="n">
        <v>1.724638</v>
      </c>
      <c r="BR5" s="28" t="n">
        <v>0.58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</row>
    <row r="6" ht="36" customHeight="1">
      <c r="A6" s="24" t="inlineStr">
        <is>
          <t>e9b6d7012472467d</t>
        </is>
      </c>
      <c r="B6" s="24" t="inlineStr">
        <is>
          <t>2026-07-31T16:50:14.974472Z</t>
        </is>
      </c>
      <c r="C6" s="24" t="inlineStr">
        <is>
          <t>2026-07-31T17:00:00Z</t>
        </is>
      </c>
      <c r="D6" s="24" t="inlineStr">
        <is>
          <t>67438</t>
        </is>
      </c>
      <c r="E6" s="24" t="inlineStr">
        <is>
          <t>CS2</t>
        </is>
      </c>
      <c r="F6" s="24" t="inlineStr">
        <is>
          <t>JUMBO TEAM</t>
        </is>
      </c>
      <c r="G6" s="24" t="inlineStr">
        <is>
          <t>Fraternity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170</v>
      </c>
      <c r="M6" s="27" t="n">
        <v>2.7</v>
      </c>
      <c r="N6" s="28" t="n">
        <v>0.37037</v>
      </c>
      <c r="O6" s="28" t="n">
        <v>0.65581</v>
      </c>
      <c r="P6" s="28" t="n"/>
      <c r="Q6" s="28" t="n">
        <v>0.28544</v>
      </c>
      <c r="R6" s="26" t="n">
        <v>100</v>
      </c>
      <c r="S6" s="29" t="n">
        <v>1.75</v>
      </c>
      <c r="T6" s="24" t="inlineStr">
        <is>
          <t>cs2-tiered-elo-v5</t>
        </is>
      </c>
      <c r="U6" s="24" t="inlineStr">
        <is>
          <t>settled</t>
        </is>
      </c>
      <c r="V6" s="24" t="inlineStr">
        <is>
          <t>win</t>
        </is>
      </c>
      <c r="W6" s="26" t="n">
        <v>0</v>
      </c>
      <c r="X6" s="26" t="n">
        <v>1</v>
      </c>
      <c r="Y6" s="25" t="n"/>
      <c r="Z6" s="26" t="n">
        <v>170</v>
      </c>
      <c r="AA6" s="28" t="n">
        <v>0.37</v>
      </c>
      <c r="AB6" s="28" t="n">
        <v>-0.00037</v>
      </c>
      <c r="AC6" s="30" t="n">
        <v>2.975</v>
      </c>
      <c r="AD6" s="24" t="inlineStr">
        <is>
          <t>2026-07-31T19:51:03.240857Z</t>
        </is>
      </c>
      <c r="AE6" s="31" t="inlineStr">
        <is>
          <t>Neutral Elo baseline; executable ask 0.3700 (market_slug=aec-cs2-frt-jumbo-2026-07-31).</t>
        </is>
      </c>
      <c r="AF6" s="31" t="inlineStr">
        <is>
          <t>Config-promoted esports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JUMBO TEAM</t>
        </is>
      </c>
      <c r="AQ6" s="24" t="inlineStr">
        <is>
          <t>JUMBO TEAM</t>
        </is>
      </c>
      <c r="AR6" s="24" t="inlineStr">
        <is>
          <t>JUMBO TEAM</t>
        </is>
      </c>
      <c r="AS6" s="24" t="inlineStr">
        <is>
          <t>Fraternity</t>
        </is>
      </c>
      <c r="AT6" s="24" t="inlineStr">
        <is>
          <t>Fraternity</t>
        </is>
      </c>
      <c r="AU6" s="24" t="inlineStr">
        <is>
          <t>Fraternity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3981a6f1ff351e4f03c636f79be9ecb402557b48007a6dd60f0cf4134cf24ffc</t>
        </is>
      </c>
      <c r="BB6" s="24" t="inlineStr">
        <is>
          <t>neutral_elo</t>
        </is>
      </c>
      <c r="BC6" s="24" t="inlineStr">
        <is>
          <t>cs2-tiered-elo-v5</t>
        </is>
      </c>
      <c r="BD6" s="24" t="inlineStr">
        <is>
          <t>3981a6f1ff351e4f03c636f79be9ecb402557b48007a6dd60f0cf4134cf24ffc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cs2-tiered-elo-v5</t>
        </is>
      </c>
      <c r="BH6" s="24" t="inlineStr">
        <is>
          <t>2026-07-31T16:49:59.882471Z</t>
        </is>
      </c>
      <c r="BI6" s="24" t="inlineStr">
        <is>
          <t>["same_event","same_team_same_day","same_league_same_day"]</t>
        </is>
      </c>
      <c r="BJ6" s="25" t="n"/>
      <c r="BK6" s="26" t="n">
        <v>170</v>
      </c>
      <c r="BL6" s="27" t="n">
        <v>2.7</v>
      </c>
      <c r="BM6" s="28" t="n">
        <v>0.37037</v>
      </c>
      <c r="BN6" s="28" t="n"/>
      <c r="BO6" s="28" t="n"/>
      <c r="BP6" s="25" t="n"/>
      <c r="BQ6" s="27" t="n">
        <v>2.7</v>
      </c>
      <c r="BR6" s="28" t="n">
        <v>0.37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</row>
    <row r="7" ht="36" customHeight="1">
      <c r="A7" s="24" t="inlineStr">
        <is>
          <t>998b683c2b7244d0</t>
        </is>
      </c>
      <c r="B7" s="24" t="inlineStr">
        <is>
          <t>2026-07-31T16:50:14.974472Z</t>
        </is>
      </c>
      <c r="C7" s="24" t="inlineStr">
        <is>
          <t>2026-07-31T17:00:00Z</t>
        </is>
      </c>
      <c r="D7" s="24" t="inlineStr">
        <is>
          <t>67439</t>
        </is>
      </c>
      <c r="E7" s="24" t="inlineStr">
        <is>
          <t>CS2</t>
        </is>
      </c>
      <c r="F7" s="24" t="inlineStr">
        <is>
          <t>eSuba</t>
        </is>
      </c>
      <c r="G7" s="24" t="inlineStr">
        <is>
          <t>Dark Moon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-127</v>
      </c>
      <c r="M7" s="27" t="n">
        <v>1.787402</v>
      </c>
      <c r="N7" s="28" t="n">
        <v>0.5594710000000001</v>
      </c>
      <c r="O7" s="28" t="n">
        <v>0.5236150000000001</v>
      </c>
      <c r="P7" s="28" t="n"/>
      <c r="Q7" s="28" t="n">
        <v>-0.035856</v>
      </c>
      <c r="R7" s="26" t="n">
        <v>2</v>
      </c>
      <c r="S7" s="29" t="n">
        <v>1</v>
      </c>
      <c r="T7" s="24" t="inlineStr">
        <is>
          <t>cs2-tiered-elo-v5</t>
        </is>
      </c>
      <c r="U7" s="24" t="inlineStr">
        <is>
          <t>open</t>
        </is>
      </c>
      <c r="V7" s="24" t="n"/>
      <c r="W7" s="26" t="n"/>
      <c r="X7" s="26" t="n"/>
      <c r="Y7" s="25" t="n"/>
      <c r="Z7" s="26" t="n"/>
      <c r="AA7" s="28" t="n"/>
      <c r="AB7" s="28" t="n"/>
      <c r="AC7" s="30" t="n"/>
      <c r="AD7" s="24" t="n"/>
      <c r="AE7" s="31" t="inlineStr">
        <is>
          <t>Neutral Elo baseline; executable ask 0.5600 (market_slug=aec-cs2-dm-esb-2026-07-31).</t>
        </is>
      </c>
      <c r="AF7" s="31" t="inlineStr">
        <is>
          <t>Config-promoted esports baseline; gates enforced at log time.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research_observation</t>
        </is>
      </c>
      <c r="AL7" s="26" t="n">
        <v>3</v>
      </c>
      <c r="AM7" s="24" t="inlineStr">
        <is>
          <t>RESEARCH_OBSERVATION</t>
        </is>
      </c>
      <c r="AN7" s="24" t="inlineStr">
        <is>
          <t>NO_CALL</t>
        </is>
      </c>
      <c r="AO7" s="24" t="inlineStr">
        <is>
          <t>NO_CALL_LOW_EDGE</t>
        </is>
      </c>
      <c r="AP7" s="24" t="inlineStr">
        <is>
          <t>eSuba</t>
        </is>
      </c>
      <c r="AQ7" s="24" t="inlineStr">
        <is>
          <t>eSuba</t>
        </is>
      </c>
      <c r="AR7" s="24" t="inlineStr">
        <is>
          <t>eSuba</t>
        </is>
      </c>
      <c r="AS7" s="24" t="inlineStr">
        <is>
          <t>Dark Moon</t>
        </is>
      </c>
      <c r="AT7" s="24" t="inlineStr">
        <is>
          <t>Dark Moon</t>
        </is>
      </c>
      <c r="AU7" s="24" t="inlineStr">
        <is>
          <t>Dark Moon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3981a6f1ff351e4f03c636f79be9ecb402557b48007a6dd60f0cf4134cf24ffc</t>
        </is>
      </c>
      <c r="BB7" s="24" t="inlineStr">
        <is>
          <t>neutral_elo</t>
        </is>
      </c>
      <c r="BC7" s="24" t="inlineStr">
        <is>
          <t>cs2-tiered-elo-v5</t>
        </is>
      </c>
      <c r="BD7" s="24" t="inlineStr">
        <is>
          <t>3981a6f1ff351e4f03c636f79be9ecb402557b48007a6dd60f0cf4134cf24ffc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cs2-tiered-elo-v5</t>
        </is>
      </c>
      <c r="BH7" s="24" t="inlineStr">
        <is>
          <t>2026-07-31T16:50:00.906532Z</t>
        </is>
      </c>
      <c r="BI7" s="24" t="inlineStr">
        <is>
          <t>["same_event","same_team_same_day","same_league_same_day"]</t>
        </is>
      </c>
      <c r="BJ7" s="25" t="n"/>
      <c r="BK7" s="26" t="n">
        <v>-127</v>
      </c>
      <c r="BL7" s="27" t="n">
        <v>1.787402</v>
      </c>
      <c r="BM7" s="28" t="n">
        <v>0.5594710000000001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</row>
    <row r="8" ht="36" customHeight="1">
      <c r="A8" s="24" t="inlineStr">
        <is>
          <t>21258f47fc2245ed</t>
        </is>
      </c>
      <c r="B8" s="24" t="inlineStr">
        <is>
          <t>2026-07-31T16:50:14.974472Z</t>
        </is>
      </c>
      <c r="C8" s="24" t="inlineStr">
        <is>
          <t>2026-07-31T17:00:00Z</t>
        </is>
      </c>
      <c r="D8" s="24" t="inlineStr">
        <is>
          <t>66536</t>
        </is>
      </c>
      <c r="E8" s="24" t="inlineStr">
        <is>
          <t>CS2</t>
        </is>
      </c>
      <c r="F8" s="24" t="inlineStr">
        <is>
          <t>Black Phoenix</t>
        </is>
      </c>
      <c r="G8" s="24" t="inlineStr">
        <is>
          <t>JiJieHao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-203</v>
      </c>
      <c r="M8" s="27" t="n">
        <v>1.492611</v>
      </c>
      <c r="N8" s="28" t="n">
        <v>0.669967</v>
      </c>
      <c r="O8" s="28" t="n">
        <v>0.772177</v>
      </c>
      <c r="P8" s="28" t="n"/>
      <c r="Q8" s="28" t="n">
        <v>0.10221</v>
      </c>
      <c r="R8" s="26" t="n">
        <v>71</v>
      </c>
      <c r="S8" s="29" t="n">
        <v>2</v>
      </c>
      <c r="T8" s="24" t="inlineStr">
        <is>
          <t>cs2-tiered-elo-v5</t>
        </is>
      </c>
      <c r="U8" s="24" t="inlineStr">
        <is>
          <t>settled</t>
        </is>
      </c>
      <c r="V8" s="24" t="inlineStr">
        <is>
          <t>loss</t>
        </is>
      </c>
      <c r="W8" s="26" t="n">
        <v>1</v>
      </c>
      <c r="X8" s="26" t="n">
        <v>0</v>
      </c>
      <c r="Y8" s="25" t="n"/>
      <c r="Z8" s="26" t="n">
        <v>-203</v>
      </c>
      <c r="AA8" s="28" t="n">
        <v>0.67</v>
      </c>
      <c r="AB8" s="28" t="n">
        <v>3.3e-05</v>
      </c>
      <c r="AC8" s="30" t="n">
        <v>-2</v>
      </c>
      <c r="AD8" s="24" t="inlineStr">
        <is>
          <t>2026-07-31T21:03:24.079210Z</t>
        </is>
      </c>
      <c r="AE8" s="31" t="inlineStr">
        <is>
          <t>Neutral Elo baseline; executable ask 0.6700 (market_slug=aec-cs2-jjh-bpl-2026-07-31).</t>
        </is>
      </c>
      <c r="AF8" s="31" t="inlineStr">
        <is>
          <t>Config-promoted esports baseline; gates enforced at log time.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Black Phoenix</t>
        </is>
      </c>
      <c r="AQ8" s="24" t="inlineStr">
        <is>
          <t>Black Phoenix</t>
        </is>
      </c>
      <c r="AR8" s="24" t="inlineStr">
        <is>
          <t>Black Phoenix</t>
        </is>
      </c>
      <c r="AS8" s="24" t="inlineStr">
        <is>
          <t>JiJieHao</t>
        </is>
      </c>
      <c r="AT8" s="24" t="inlineStr">
        <is>
          <t>JiJieHao</t>
        </is>
      </c>
      <c r="AU8" s="24" t="inlineStr">
        <is>
          <t>JiJieHao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3981a6f1ff351e4f03c636f79be9ecb402557b48007a6dd60f0cf4134cf24ffc</t>
        </is>
      </c>
      <c r="BB8" s="24" t="inlineStr">
        <is>
          <t>neutral_elo</t>
        </is>
      </c>
      <c r="BC8" s="24" t="inlineStr">
        <is>
          <t>cs2-tiered-elo-v5</t>
        </is>
      </c>
      <c r="BD8" s="24" t="inlineStr">
        <is>
          <t>3981a6f1ff351e4f03c636f79be9ecb402557b48007a6dd60f0cf4134cf24ffc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cs2-tiered-elo-v5</t>
        </is>
      </c>
      <c r="BH8" s="24" t="inlineStr">
        <is>
          <t>2026-07-31T16:50:01.394322Z</t>
        </is>
      </c>
      <c r="BI8" s="24" t="inlineStr">
        <is>
          <t>["same_event","same_team_same_day","same_league_same_day"]</t>
        </is>
      </c>
      <c r="BJ8" s="25" t="n"/>
      <c r="BK8" s="26" t="n">
        <v>-203</v>
      </c>
      <c r="BL8" s="27" t="n">
        <v>1.492611</v>
      </c>
      <c r="BM8" s="28" t="n">
        <v>0.669967</v>
      </c>
      <c r="BN8" s="28" t="n"/>
      <c r="BO8" s="28" t="n"/>
      <c r="BP8" s="25" t="n"/>
      <c r="BQ8" s="27" t="n">
        <v>1.492611</v>
      </c>
      <c r="BR8" s="28" t="n">
        <v>0.67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</row>
    <row r="9" ht="36" customHeight="1">
      <c r="A9" s="24" t="inlineStr">
        <is>
          <t>64a09d3b28b94355</t>
        </is>
      </c>
      <c r="B9" s="24" t="inlineStr">
        <is>
          <t>2026-07-31T16:50:14.974472Z</t>
        </is>
      </c>
      <c r="C9" s="24" t="inlineStr">
        <is>
          <t>2026-07-31T18:00:00Z</t>
        </is>
      </c>
      <c r="D9" s="24" t="inlineStr">
        <is>
          <t>67316</t>
        </is>
      </c>
      <c r="E9" s="24" t="inlineStr">
        <is>
          <t>CS2</t>
        </is>
      </c>
      <c r="F9" s="24" t="inlineStr">
        <is>
          <t>Imperial</t>
        </is>
      </c>
      <c r="G9" s="24" t="inlineStr">
        <is>
          <t>Fluxo W7M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-156</v>
      </c>
      <c r="M9" s="27" t="n">
        <v>1.641026</v>
      </c>
      <c r="N9" s="28" t="n">
        <v>0.609375</v>
      </c>
      <c r="O9" s="28" t="n">
        <v>0.546252</v>
      </c>
      <c r="P9" s="28" t="n"/>
      <c r="Q9" s="28" t="n">
        <v>-0.063123</v>
      </c>
      <c r="R9" s="26" t="n">
        <v>0</v>
      </c>
      <c r="S9" s="29" t="n">
        <v>1</v>
      </c>
      <c r="T9" s="24" t="inlineStr">
        <is>
          <t>cs2-tiered-elo-v5</t>
        </is>
      </c>
      <c r="U9" s="24" t="inlineStr">
        <is>
          <t>settled</t>
        </is>
      </c>
      <c r="V9" s="24" t="inlineStr">
        <is>
          <t>loss</t>
        </is>
      </c>
      <c r="W9" s="26" t="n">
        <v>0</v>
      </c>
      <c r="X9" s="26" t="n">
        <v>1</v>
      </c>
      <c r="Y9" s="25" t="n"/>
      <c r="Z9" s="26" t="n">
        <v>-156</v>
      </c>
      <c r="AA9" s="28" t="n">
        <v>0.61</v>
      </c>
      <c r="AB9" s="28" t="n">
        <v>0.000625</v>
      </c>
      <c r="AC9" s="30" t="n">
        <v>-1</v>
      </c>
      <c r="AD9" s="24" t="inlineStr">
        <is>
          <t>2026-07-31T23:28:32.914354Z</t>
        </is>
      </c>
      <c r="AE9" s="31" t="inlineStr">
        <is>
          <t>Neutral Elo baseline; executable ask 0.6100 (market_slug=aec-cs2-fxw7-imp-2026-07-31).</t>
        </is>
      </c>
      <c r="AF9" s="31" t="inlineStr">
        <is>
          <t>Config-promoted esports baseline; gates enforced at log time.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research_observation</t>
        </is>
      </c>
      <c r="AL9" s="26" t="n">
        <v>3</v>
      </c>
      <c r="AM9" s="24" t="inlineStr">
        <is>
          <t>RESEARCH_OBSERVATION</t>
        </is>
      </c>
      <c r="AN9" s="24" t="inlineStr">
        <is>
          <t>NO_CALL</t>
        </is>
      </c>
      <c r="AO9" s="24" t="inlineStr">
        <is>
          <t>NO_CALL_LOW_EDGE</t>
        </is>
      </c>
      <c r="AP9" s="24" t="inlineStr">
        <is>
          <t>Imperial</t>
        </is>
      </c>
      <c r="AQ9" s="24" t="inlineStr">
        <is>
          <t>Imperial</t>
        </is>
      </c>
      <c r="AR9" s="24" t="inlineStr">
        <is>
          <t>Imperial</t>
        </is>
      </c>
      <c r="AS9" s="24" t="inlineStr">
        <is>
          <t>Fluxo W7M</t>
        </is>
      </c>
      <c r="AT9" s="24" t="inlineStr">
        <is>
          <t>Fluxo W7M</t>
        </is>
      </c>
      <c r="AU9" s="24" t="inlineStr">
        <is>
          <t>Fluxo W7M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3981a6f1ff351e4f03c636f79be9ecb402557b48007a6dd60f0cf4134cf24ffc</t>
        </is>
      </c>
      <c r="BB9" s="24" t="inlineStr">
        <is>
          <t>neutral_elo</t>
        </is>
      </c>
      <c r="BC9" s="24" t="inlineStr">
        <is>
          <t>cs2-tiered-elo-v5</t>
        </is>
      </c>
      <c r="BD9" s="24" t="inlineStr">
        <is>
          <t>3981a6f1ff351e4f03c636f79be9ecb402557b48007a6dd60f0cf4134cf24ffc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cs2-tiered-elo-v5</t>
        </is>
      </c>
      <c r="BH9" s="24" t="inlineStr">
        <is>
          <t>2026-07-31T16:50:01.924853Z</t>
        </is>
      </c>
      <c r="BI9" s="24" t="inlineStr">
        <is>
          <t>["same_event","same_team_same_day","same_league_same_day"]</t>
        </is>
      </c>
      <c r="BJ9" s="25" t="n"/>
      <c r="BK9" s="26" t="n">
        <v>-156</v>
      </c>
      <c r="BL9" s="27" t="n">
        <v>1.641026</v>
      </c>
      <c r="BM9" s="28" t="n">
        <v>0.609375</v>
      </c>
      <c r="BN9" s="28" t="n"/>
      <c r="BO9" s="28" t="n"/>
      <c r="BP9" s="25" t="n"/>
      <c r="BQ9" s="27" t="n">
        <v>1.641026</v>
      </c>
      <c r="BR9" s="28" t="n">
        <v>0.61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</row>
    <row r="10" ht="36" customHeight="1">
      <c r="A10" s="24" t="inlineStr">
        <is>
          <t>8e7710e79ca7401a</t>
        </is>
      </c>
      <c r="B10" s="24" t="inlineStr">
        <is>
          <t>2026-07-31T16:50:14.974472Z</t>
        </is>
      </c>
      <c r="C10" s="24" t="inlineStr">
        <is>
          <t>2026-07-31T18:30:00Z</t>
        </is>
      </c>
      <c r="D10" s="24" t="inlineStr">
        <is>
          <t>67276</t>
        </is>
      </c>
      <c r="E10" s="24" t="inlineStr">
        <is>
          <t>CS2</t>
        </is>
      </c>
      <c r="F10" s="24" t="inlineStr">
        <is>
          <t>banda chuya</t>
        </is>
      </c>
      <c r="G10" s="24" t="inlineStr">
        <is>
          <t>mellren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-156</v>
      </c>
      <c r="M10" s="27" t="n">
        <v>1.641026</v>
      </c>
      <c r="N10" s="28" t="n">
        <v>0.609375</v>
      </c>
      <c r="O10" s="28" t="n">
        <v>0.509226</v>
      </c>
      <c r="P10" s="28" t="n"/>
      <c r="Q10" s="28" t="n">
        <v>-0.100149</v>
      </c>
      <c r="R10" s="26" t="n">
        <v>0</v>
      </c>
      <c r="S10" s="29" t="n">
        <v>1</v>
      </c>
      <c r="T10" s="24" t="inlineStr">
        <is>
          <t>cs2-tiered-elo-v5</t>
        </is>
      </c>
      <c r="U10" s="24" t="inlineStr">
        <is>
          <t>settled</t>
        </is>
      </c>
      <c r="V10" s="24" t="inlineStr">
        <is>
          <t>win</t>
        </is>
      </c>
      <c r="W10" s="26" t="n">
        <v>0</v>
      </c>
      <c r="X10" s="26" t="n">
        <v>1</v>
      </c>
      <c r="Y10" s="25" t="n"/>
      <c r="Z10" s="26" t="n">
        <v>-156</v>
      </c>
      <c r="AA10" s="28" t="n">
        <v>0.61</v>
      </c>
      <c r="AB10" s="28" t="n">
        <v>0.000625</v>
      </c>
      <c r="AC10" s="30" t="n">
        <v>0.641</v>
      </c>
      <c r="AD10" s="24" t="inlineStr">
        <is>
          <t>2026-07-31T19:51:07.750625Z</t>
        </is>
      </c>
      <c r="AE10" s="31" t="inlineStr">
        <is>
          <t>Neutral Elo baseline; executable ask 0.6100 (market_slug=aec-cs2-mel-bcan-2026-07-31).</t>
        </is>
      </c>
      <c r="AF10" s="31" t="inlineStr">
        <is>
          <t>Config-promoted esports baseline; gates enforced at log time.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RESEARCH_OBSERVATION</t>
        </is>
      </c>
      <c r="AN10" s="24" t="inlineStr">
        <is>
          <t>NO_CALL</t>
        </is>
      </c>
      <c r="AO10" s="24" t="inlineStr">
        <is>
          <t>NO_CALL_LOW_EDGE</t>
        </is>
      </c>
      <c r="AP10" s="24" t="inlineStr">
        <is>
          <t>banda chuya</t>
        </is>
      </c>
      <c r="AQ10" s="24" t="inlineStr">
        <is>
          <t>banda chuya</t>
        </is>
      </c>
      <c r="AR10" s="24" t="inlineStr">
        <is>
          <t>banda chuya</t>
        </is>
      </c>
      <c r="AS10" s="24" t="inlineStr">
        <is>
          <t>mellren</t>
        </is>
      </c>
      <c r="AT10" s="24" t="inlineStr">
        <is>
          <t>mellren</t>
        </is>
      </c>
      <c r="AU10" s="24" t="inlineStr">
        <is>
          <t>mellren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3981a6f1ff351e4f03c636f79be9ecb402557b48007a6dd60f0cf4134cf24ffc</t>
        </is>
      </c>
      <c r="BB10" s="24" t="inlineStr">
        <is>
          <t>neutral_elo</t>
        </is>
      </c>
      <c r="BC10" s="24" t="inlineStr">
        <is>
          <t>cs2-tiered-elo-v5</t>
        </is>
      </c>
      <c r="BD10" s="24" t="inlineStr">
        <is>
          <t>3981a6f1ff351e4f03c636f79be9ecb402557b48007a6dd60f0cf4134cf24ffc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cs2-tiered-elo-v5</t>
        </is>
      </c>
      <c r="BH10" s="24" t="inlineStr">
        <is>
          <t>2026-07-31T16:50:03.427384Z</t>
        </is>
      </c>
      <c r="BI10" s="24" t="inlineStr">
        <is>
          <t>["same_event","same_team_same_day","same_league_same_day"]</t>
        </is>
      </c>
      <c r="BJ10" s="25" t="n"/>
      <c r="BK10" s="26" t="n">
        <v>-156</v>
      </c>
      <c r="BL10" s="27" t="n">
        <v>1.641026</v>
      </c>
      <c r="BM10" s="28" t="n">
        <v>0.609375</v>
      </c>
      <c r="BN10" s="28" t="n"/>
      <c r="BO10" s="28" t="n"/>
      <c r="BP10" s="25" t="n"/>
      <c r="BQ10" s="27" t="n">
        <v>1.641026</v>
      </c>
      <c r="BR10" s="28" t="n">
        <v>0.61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</row>
    <row r="11" ht="36" customHeight="1">
      <c r="A11" s="24" t="inlineStr">
        <is>
          <t>785ab0b55c29470a</t>
        </is>
      </c>
      <c r="B11" s="24" t="inlineStr">
        <is>
          <t>2026-07-31T19:56:47.548345Z</t>
        </is>
      </c>
      <c r="C11" s="24" t="inlineStr">
        <is>
          <t>2026-07-31T20:30:00Z</t>
        </is>
      </c>
      <c r="D11" s="24" t="inlineStr">
        <is>
          <t>67429</t>
        </is>
      </c>
      <c r="E11" s="24" t="inlineStr">
        <is>
          <t>CS2</t>
        </is>
      </c>
      <c r="F11" s="24" t="inlineStr">
        <is>
          <t>BESTIA</t>
        </is>
      </c>
      <c r="G11" s="24" t="inlineStr">
        <is>
          <t>largadosypelados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-156</v>
      </c>
      <c r="M11" s="27" t="n">
        <v>1.641026</v>
      </c>
      <c r="N11" s="28" t="n">
        <v>0.609375</v>
      </c>
      <c r="O11" s="28" t="n">
        <v>0.780815</v>
      </c>
      <c r="P11" s="28" t="n"/>
      <c r="Q11" s="28" t="n">
        <v>0.17144</v>
      </c>
      <c r="R11" s="26" t="n">
        <v>100</v>
      </c>
      <c r="S11" s="29" t="n">
        <v>2</v>
      </c>
      <c r="T11" s="24" t="inlineStr">
        <is>
          <t>cs2-tiered-elo-v5</t>
        </is>
      </c>
      <c r="U11" s="24" t="inlineStr">
        <is>
          <t>settled</t>
        </is>
      </c>
      <c r="V11" s="24" t="inlineStr">
        <is>
          <t>win</t>
        </is>
      </c>
      <c r="W11" s="26" t="n">
        <v>1</v>
      </c>
      <c r="X11" s="26" t="n">
        <v>0</v>
      </c>
      <c r="Y11" s="25" t="n"/>
      <c r="Z11" s="26" t="n">
        <v>-156</v>
      </c>
      <c r="AA11" s="28" t="n">
        <v>0.61</v>
      </c>
      <c r="AB11" s="28" t="n">
        <v>0.000625</v>
      </c>
      <c r="AC11" s="30" t="n">
        <v>1.2821</v>
      </c>
      <c r="AD11" s="24" t="inlineStr">
        <is>
          <t>2026-08-01T03:00:09.384328Z</t>
        </is>
      </c>
      <c r="AE11" s="31" t="inlineStr">
        <is>
          <t>Neutral Elo baseline; executable ask 0.6100 (market_slug=aec-cs2-ldp-bst-2026-07-31).</t>
        </is>
      </c>
      <c r="AF11" s="31" t="inlineStr">
        <is>
          <t>Config-promoted esports baseline; gates enforced at log time.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research_observation</t>
        </is>
      </c>
      <c r="AL11" s="26" t="n">
        <v>3</v>
      </c>
      <c r="AM11" s="24" t="inlineStr">
        <is>
          <t>RESEARCH_OBSERVATION</t>
        </is>
      </c>
      <c r="AN11" s="24" t="inlineStr">
        <is>
          <t>NO_CALL</t>
        </is>
      </c>
      <c r="AO11" s="24" t="inlineStr">
        <is>
          <t>NO_CALL_MODEL_UNVALIDATED</t>
        </is>
      </c>
      <c r="AP11" s="24" t="inlineStr">
        <is>
          <t>BESTIA</t>
        </is>
      </c>
      <c r="AQ11" s="24" t="inlineStr">
        <is>
          <t>BESTIA</t>
        </is>
      </c>
      <c r="AR11" s="24" t="inlineStr">
        <is>
          <t>BESTIA</t>
        </is>
      </c>
      <c r="AS11" s="24" t="inlineStr">
        <is>
          <t>largadosypelados</t>
        </is>
      </c>
      <c r="AT11" s="24" t="inlineStr">
        <is>
          <t>largadosypelados</t>
        </is>
      </c>
      <c r="AU11" s="24" t="inlineStr">
        <is>
          <t>largadosypelados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663040b5e48e4bd2242de77cd48d040948603a331d322e38bdfee8ce60da6199</t>
        </is>
      </c>
      <c r="BB11" s="24" t="inlineStr">
        <is>
          <t>neutral_elo</t>
        </is>
      </c>
      <c r="BC11" s="24" t="inlineStr">
        <is>
          <t>cs2-tiered-elo-v5</t>
        </is>
      </c>
      <c r="BD11" s="24" t="inlineStr">
        <is>
          <t>663040b5e48e4bd2242de77cd48d040948603a331d322e38bdfee8ce60da6199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cs2-tiered-elo-v5</t>
        </is>
      </c>
      <c r="BH11" s="24" t="inlineStr">
        <is>
          <t>2026-07-31T19:56:34.306047Z</t>
        </is>
      </c>
      <c r="BI11" s="24" t="inlineStr">
        <is>
          <t>["same_event","same_team_same_day","same_league_same_day"]</t>
        </is>
      </c>
      <c r="BJ11" s="25" t="n"/>
      <c r="BK11" s="26" t="n">
        <v>-156</v>
      </c>
      <c r="BL11" s="27" t="n">
        <v>1.641026</v>
      </c>
      <c r="BM11" s="28" t="n">
        <v>0.609375</v>
      </c>
      <c r="BN11" s="28" t="n"/>
      <c r="BO11" s="28" t="n"/>
      <c r="BP11" s="25" t="n"/>
      <c r="BQ11" s="27" t="n">
        <v>1.641026</v>
      </c>
      <c r="BR11" s="28" t="n">
        <v>0.61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</row>
    <row r="12" ht="36" customHeight="1">
      <c r="A12" s="24" t="inlineStr">
        <is>
          <t>e220c08d88b643c2</t>
        </is>
      </c>
      <c r="B12" s="24" t="inlineStr">
        <is>
          <t>2026-07-31T21:09:01.317127Z</t>
        </is>
      </c>
      <c r="C12" s="24" t="inlineStr">
        <is>
          <t>2026-07-31T22:00:00Z</t>
        </is>
      </c>
      <c r="D12" s="24" t="inlineStr">
        <is>
          <t>67387</t>
        </is>
      </c>
      <c r="E12" s="24" t="inlineStr">
        <is>
          <t>CS2</t>
        </is>
      </c>
      <c r="F12" s="24" t="inlineStr">
        <is>
          <t>SportsBetExpert</t>
        </is>
      </c>
      <c r="G12" s="24" t="inlineStr">
        <is>
          <t>LAG Gaming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163</v>
      </c>
      <c r="M12" s="27" t="n">
        <v>2.63</v>
      </c>
      <c r="N12" s="28" t="n">
        <v>0.380228</v>
      </c>
      <c r="O12" s="28" t="n">
        <v>0.5092100000000001</v>
      </c>
      <c r="P12" s="28" t="n"/>
      <c r="Q12" s="28" t="n">
        <v>0.128982</v>
      </c>
      <c r="R12" s="26" t="n">
        <v>84</v>
      </c>
      <c r="S12" s="29" t="n">
        <v>1</v>
      </c>
      <c r="T12" s="24" t="inlineStr">
        <is>
          <t>cs2-tiered-elo-v5</t>
        </is>
      </c>
      <c r="U12" s="24" t="inlineStr">
        <is>
          <t>settled</t>
        </is>
      </c>
      <c r="V12" s="24" t="inlineStr">
        <is>
          <t>loss</t>
        </is>
      </c>
      <c r="W12" s="26" t="n">
        <v>1</v>
      </c>
      <c r="X12" s="26" t="n">
        <v>0</v>
      </c>
      <c r="Y12" s="25" t="n"/>
      <c r="Z12" s="26" t="n">
        <v>163</v>
      </c>
      <c r="AA12" s="28" t="n">
        <v>0.38</v>
      </c>
      <c r="AB12" s="28" t="n">
        <v>-0.000228</v>
      </c>
      <c r="AC12" s="30" t="n">
        <v>-1</v>
      </c>
      <c r="AD12" s="24" t="inlineStr">
        <is>
          <t>2026-08-01T03:00:10.591414Z</t>
        </is>
      </c>
      <c r="AE12" s="31" t="inlineStr">
        <is>
          <t>Neutral Elo baseline; executable ask 0.3800 (market_slug=aec-cs2-lag-spo-2026-07-31).</t>
        </is>
      </c>
      <c r="AF12" s="31" t="inlineStr">
        <is>
          <t>Config-promoted esports baseline; gates enforced at log time.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research_observation</t>
        </is>
      </c>
      <c r="AL12" s="26" t="n">
        <v>3</v>
      </c>
      <c r="AM12" s="24" t="inlineStr">
        <is>
          <t>RESEARCH_OBSERVATION</t>
        </is>
      </c>
      <c r="AN12" s="24" t="inlineStr">
        <is>
          <t>NO_CALL</t>
        </is>
      </c>
      <c r="AO12" s="24" t="inlineStr">
        <is>
          <t>NO_CALL_LOW_EDGE</t>
        </is>
      </c>
      <c r="AP12" s="24" t="inlineStr">
        <is>
          <t>SportsBetExpert</t>
        </is>
      </c>
      <c r="AQ12" s="24" t="inlineStr">
        <is>
          <t>SportsBetExpert</t>
        </is>
      </c>
      <c r="AR12" s="24" t="inlineStr">
        <is>
          <t>SportsBetExpert</t>
        </is>
      </c>
      <c r="AS12" s="24" t="inlineStr">
        <is>
          <t>LAG Gaming</t>
        </is>
      </c>
      <c r="AT12" s="24" t="inlineStr">
        <is>
          <t>LAG Gaming</t>
        </is>
      </c>
      <c r="AU12" s="24" t="inlineStr">
        <is>
          <t>LAG Gaming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c262a54e5303ccc0895202e54991209756a39aa58df3ff0fcd85b0a1f4943427</t>
        </is>
      </c>
      <c r="BB12" s="24" t="inlineStr">
        <is>
          <t>neutral_elo</t>
        </is>
      </c>
      <c r="BC12" s="24" t="inlineStr">
        <is>
          <t>cs2-tiered-elo-v5</t>
        </is>
      </c>
      <c r="BD12" s="24" t="inlineStr">
        <is>
          <t>c262a54e5303ccc0895202e54991209756a39aa58df3ff0fcd85b0a1f4943427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cs2-tiered-elo-v5</t>
        </is>
      </c>
      <c r="BH12" s="24" t="inlineStr">
        <is>
          <t>2026-07-31T21:08:48.113089Z</t>
        </is>
      </c>
      <c r="BI12" s="24" t="inlineStr">
        <is>
          <t>["same_event","same_team_same_day","same_league_same_day"]</t>
        </is>
      </c>
      <c r="BJ12" s="25" t="n"/>
      <c r="BK12" s="26" t="n">
        <v>163</v>
      </c>
      <c r="BL12" s="27" t="n">
        <v>2.63</v>
      </c>
      <c r="BM12" s="28" t="n">
        <v>0.380228</v>
      </c>
      <c r="BN12" s="28" t="n"/>
      <c r="BO12" s="28" t="n"/>
      <c r="BP12" s="25" t="n"/>
      <c r="BQ12" s="27" t="n">
        <v>2.63</v>
      </c>
      <c r="BR12" s="28" t="n">
        <v>0.38</v>
      </c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</row>
    <row r="13" ht="36" customHeight="1">
      <c r="A13" s="24" t="inlineStr">
        <is>
          <t>b4171e84b2c44193</t>
        </is>
      </c>
      <c r="B13" s="24" t="inlineStr">
        <is>
          <t>2026-08-01T06:42:08.952242Z</t>
        </is>
      </c>
      <c r="C13" s="24" t="inlineStr">
        <is>
          <t>2026-08-01T08:00:00Z</t>
        </is>
      </c>
      <c r="D13" s="24" t="inlineStr">
        <is>
          <t>67671</t>
        </is>
      </c>
      <c r="E13" s="24" t="inlineStr">
        <is>
          <t>CS2</t>
        </is>
      </c>
      <c r="F13" s="24" t="inlineStr">
        <is>
          <t>HAVU</t>
        </is>
      </c>
      <c r="G13" s="24" t="inlineStr">
        <is>
          <t>ENCE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-127</v>
      </c>
      <c r="M13" s="27" t="n">
        <v>1.787402</v>
      </c>
      <c r="N13" s="28" t="n">
        <v>0.5594710000000001</v>
      </c>
      <c r="O13" s="28" t="n">
        <v>0.719921</v>
      </c>
      <c r="P13" s="28" t="n"/>
      <c r="Q13" s="28" t="n">
        <v>0.16045</v>
      </c>
      <c r="R13" s="26" t="n">
        <v>100</v>
      </c>
      <c r="S13" s="29" t="n">
        <v>2</v>
      </c>
      <c r="T13" s="24" t="inlineStr">
        <is>
          <t>cs2-tiered-elo-v5</t>
        </is>
      </c>
      <c r="U13" s="24" t="inlineStr">
        <is>
          <t>settled</t>
        </is>
      </c>
      <c r="V13" s="24" t="inlineStr">
        <is>
          <t>win</t>
        </is>
      </c>
      <c r="W13" s="26" t="n">
        <v>0</v>
      </c>
      <c r="X13" s="26" t="n">
        <v>1</v>
      </c>
      <c r="Y13" s="25" t="n"/>
      <c r="Z13" s="26" t="n">
        <v>-127</v>
      </c>
      <c r="AA13" s="28" t="n">
        <v>0.5600000000000001</v>
      </c>
      <c r="AB13" s="28" t="n">
        <v>0.000529</v>
      </c>
      <c r="AC13" s="30" t="n">
        <v>1.5748</v>
      </c>
      <c r="AD13" s="24" t="inlineStr">
        <is>
          <t>2026-08-01T10:15:46.023212Z</t>
        </is>
      </c>
      <c r="AE13" s="31" t="inlineStr">
        <is>
          <t>Neutral Elo baseline; executable ask 0.5600 (market_slug=aec-cs2-ence-havu-2026-08-01).</t>
        </is>
      </c>
      <c r="AF13" s="31" t="inlineStr">
        <is>
          <t>Config-promoted esports baseline; gates enforced at log time.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HAVU</t>
        </is>
      </c>
      <c r="AQ13" s="24" t="inlineStr">
        <is>
          <t>HAVU</t>
        </is>
      </c>
      <c r="AR13" s="24" t="inlineStr">
        <is>
          <t>HAVU</t>
        </is>
      </c>
      <c r="AS13" s="24" t="inlineStr">
        <is>
          <t>ENCE</t>
        </is>
      </c>
      <c r="AT13" s="24" t="inlineStr">
        <is>
          <t>ENCE</t>
        </is>
      </c>
      <c r="AU13" s="24" t="inlineStr">
        <is>
          <t>ENCE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99f60c4478ad78f02b9bb97fae5fb480114a267e349d541594964e1dd7daa69c</t>
        </is>
      </c>
      <c r="BB13" s="24" t="inlineStr">
        <is>
          <t>neutral_elo</t>
        </is>
      </c>
      <c r="BC13" s="24" t="inlineStr">
        <is>
          <t>cs2-tiered-elo-v5</t>
        </is>
      </c>
      <c r="BD13" s="24" t="inlineStr">
        <is>
          <t>99f60c4478ad78f02b9bb97fae5fb480114a267e349d541594964e1dd7daa69c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cs2-tiered-elo-v5</t>
        </is>
      </c>
      <c r="BH13" s="24" t="inlineStr">
        <is>
          <t>2026-08-01T06:41:50.350236Z</t>
        </is>
      </c>
      <c r="BI13" s="24" t="inlineStr">
        <is>
          <t>["same_event","same_team_same_day","same_league_same_day"]</t>
        </is>
      </c>
      <c r="BJ13" s="25" t="n"/>
      <c r="BK13" s="26" t="n">
        <v>-127</v>
      </c>
      <c r="BL13" s="27" t="n">
        <v>1.787402</v>
      </c>
      <c r="BM13" s="28" t="n">
        <v>0.5594710000000001</v>
      </c>
      <c r="BN13" s="28" t="n"/>
      <c r="BO13" s="28" t="n"/>
      <c r="BP13" s="25" t="n"/>
      <c r="BQ13" s="27" t="n">
        <v>1.787402</v>
      </c>
      <c r="BR13" s="28" t="n">
        <v>0.5600000000000001</v>
      </c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</row>
    <row r="14" ht="36" customHeight="1">
      <c r="A14" s="24" t="inlineStr">
        <is>
          <t>d6283e81c140456b</t>
        </is>
      </c>
      <c r="B14" s="24" t="inlineStr">
        <is>
          <t>2026-08-01T06:42:08.952242Z</t>
        </is>
      </c>
      <c r="C14" s="24" t="inlineStr">
        <is>
          <t>2026-08-01T08:00:00Z</t>
        </is>
      </c>
      <c r="D14" s="24" t="inlineStr">
        <is>
          <t>67547</t>
        </is>
      </c>
      <c r="E14" s="24" t="inlineStr">
        <is>
          <t>CS2</t>
        </is>
      </c>
      <c r="F14" s="24" t="inlineStr">
        <is>
          <t>Sinners</t>
        </is>
      </c>
      <c r="G14" s="24" t="inlineStr">
        <is>
          <t>INOX Division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144</v>
      </c>
      <c r="M14" s="27" t="n">
        <v>2.44</v>
      </c>
      <c r="N14" s="28" t="n">
        <v>0.409836</v>
      </c>
      <c r="O14" s="28" t="n">
        <v>0.639934</v>
      </c>
      <c r="P14" s="28" t="n"/>
      <c r="Q14" s="28" t="n">
        <v>0.230098</v>
      </c>
      <c r="R14" s="26" t="n">
        <v>100</v>
      </c>
      <c r="S14" s="29" t="n">
        <v>1.5</v>
      </c>
      <c r="T14" s="24" t="inlineStr">
        <is>
          <t>cs2-tiered-elo-v5</t>
        </is>
      </c>
      <c r="U14" s="24" t="inlineStr">
        <is>
          <t>settled</t>
        </is>
      </c>
      <c r="V14" s="24" t="inlineStr">
        <is>
          <t>loss</t>
        </is>
      </c>
      <c r="W14" s="26" t="n">
        <v>1</v>
      </c>
      <c r="X14" s="26" t="n">
        <v>0</v>
      </c>
      <c r="Y14" s="25" t="n"/>
      <c r="Z14" s="26" t="n">
        <v>144</v>
      </c>
      <c r="AA14" s="28" t="n">
        <v>0.41</v>
      </c>
      <c r="AB14" s="28" t="n">
        <v>0.000164</v>
      </c>
      <c r="AC14" s="30" t="n">
        <v>-1.5</v>
      </c>
      <c r="AD14" s="24" t="inlineStr">
        <is>
          <t>2026-08-01T16:47:52.281933Z</t>
        </is>
      </c>
      <c r="AE14" s="31" t="inlineStr">
        <is>
          <t>Neutral Elo baseline; executable ask 0.4100 (market_slug=aec-cs2-inox-sin-2026-08-01).</t>
        </is>
      </c>
      <c r="AF14" s="31" t="inlineStr">
        <is>
          <t>Config-promoted esports baseline; gates enforced at log time.</t>
        </is>
      </c>
      <c r="AG14" s="24" t="inlineStr">
        <is>
          <t>review_required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Sinners</t>
        </is>
      </c>
      <c r="AQ14" s="24" t="inlineStr">
        <is>
          <t>Sinners</t>
        </is>
      </c>
      <c r="AR14" s="24" t="inlineStr">
        <is>
          <t>Sinners</t>
        </is>
      </c>
      <c r="AS14" s="24" t="inlineStr">
        <is>
          <t>INOX Division</t>
        </is>
      </c>
      <c r="AT14" s="24" t="inlineStr">
        <is>
          <t>INOX Division</t>
        </is>
      </c>
      <c r="AU14" s="24" t="inlineStr">
        <is>
          <t>INOX Division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99f60c4478ad78f02b9bb97fae5fb480114a267e349d541594964e1dd7daa69c</t>
        </is>
      </c>
      <c r="BB14" s="24" t="inlineStr">
        <is>
          <t>neutral_elo</t>
        </is>
      </c>
      <c r="BC14" s="24" t="inlineStr">
        <is>
          <t>cs2-tiered-elo-v5</t>
        </is>
      </c>
      <c r="BD14" s="24" t="inlineStr">
        <is>
          <t>99f60c4478ad78f02b9bb97fae5fb480114a267e349d541594964e1dd7daa69c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cs2-tiered-elo-v5</t>
        </is>
      </c>
      <c r="BH14" s="24" t="inlineStr">
        <is>
          <t>2026-08-01T06:41:50.964355Z</t>
        </is>
      </c>
      <c r="BI14" s="24" t="inlineStr">
        <is>
          <t>["same_event","same_team_same_day","same_league_same_day"]</t>
        </is>
      </c>
      <c r="BJ14" s="25" t="n"/>
      <c r="BK14" s="26" t="n">
        <v>144</v>
      </c>
      <c r="BL14" s="27" t="n">
        <v>2.44</v>
      </c>
      <c r="BM14" s="28" t="n">
        <v>0.409836</v>
      </c>
      <c r="BN14" s="28" t="n"/>
      <c r="BO14" s="28" t="n"/>
      <c r="BP14" s="25" t="n"/>
      <c r="BQ14" s="27" t="n">
        <v>2.44</v>
      </c>
      <c r="BR14" s="28" t="n">
        <v>0.41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</row>
    <row r="15" ht="36" customHeight="1">
      <c r="A15" s="24" t="inlineStr">
        <is>
          <t>3992da77df054f6b</t>
        </is>
      </c>
      <c r="B15" s="24" t="inlineStr">
        <is>
          <t>2026-08-01T06:42:08.952242Z</t>
        </is>
      </c>
      <c r="C15" s="24" t="inlineStr">
        <is>
          <t>2026-08-01T08:00:00Z</t>
        </is>
      </c>
      <c r="D15" s="24" t="inlineStr">
        <is>
          <t>66924</t>
        </is>
      </c>
      <c r="E15" s="24" t="inlineStr">
        <is>
          <t>CS2</t>
        </is>
      </c>
      <c r="F15" s="24" t="inlineStr">
        <is>
          <t>JiJieHao</t>
        </is>
      </c>
      <c r="G15" s="24" t="inlineStr">
        <is>
          <t>GenOne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127</v>
      </c>
      <c r="M15" s="27" t="n">
        <v>2.27</v>
      </c>
      <c r="N15" s="28" t="n">
        <v>0.440529</v>
      </c>
      <c r="O15" s="28" t="n">
        <v>0.550293</v>
      </c>
      <c r="P15" s="28" t="n"/>
      <c r="Q15" s="28" t="n">
        <v>0.109764</v>
      </c>
      <c r="R15" s="26" t="n">
        <v>75</v>
      </c>
      <c r="S15" s="29" t="n">
        <v>1</v>
      </c>
      <c r="T15" s="24" t="inlineStr">
        <is>
          <t>cs2-tiered-elo-v5</t>
        </is>
      </c>
      <c r="U15" s="24" t="inlineStr">
        <is>
          <t>settled</t>
        </is>
      </c>
      <c r="V15" s="24" t="inlineStr">
        <is>
          <t>win</t>
        </is>
      </c>
      <c r="W15" s="26" t="n">
        <v>0</v>
      </c>
      <c r="X15" s="26" t="n">
        <v>1</v>
      </c>
      <c r="Y15" s="25" t="n"/>
      <c r="Z15" s="26" t="n">
        <v>127</v>
      </c>
      <c r="AA15" s="28" t="n">
        <v>0.44</v>
      </c>
      <c r="AB15" s="28" t="n">
        <v>-0.000529</v>
      </c>
      <c r="AC15" s="30" t="n">
        <v>1.27</v>
      </c>
      <c r="AD15" s="24" t="inlineStr">
        <is>
          <t>2026-08-01T16:47:53.526985Z</t>
        </is>
      </c>
      <c r="AE15" s="31" t="inlineStr">
        <is>
          <t>Neutral Elo baseline; executable ask 0.4400 (market_slug=aec-cs2-g1-jjh-2026-08-01).</t>
        </is>
      </c>
      <c r="AF15" s="31" t="inlineStr">
        <is>
          <t>Config-promoted esports baseline; gates enforced at log time.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JiJieHao</t>
        </is>
      </c>
      <c r="AQ15" s="24" t="inlineStr">
        <is>
          <t>JiJieHao</t>
        </is>
      </c>
      <c r="AR15" s="24" t="inlineStr">
        <is>
          <t>JiJieHao</t>
        </is>
      </c>
      <c r="AS15" s="24" t="inlineStr">
        <is>
          <t>GenOne</t>
        </is>
      </c>
      <c r="AT15" s="24" t="inlineStr">
        <is>
          <t>GenOne</t>
        </is>
      </c>
      <c r="AU15" s="24" t="inlineStr">
        <is>
          <t>GenOne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99f60c4478ad78f02b9bb97fae5fb480114a267e349d541594964e1dd7daa69c</t>
        </is>
      </c>
      <c r="BB15" s="24" t="inlineStr">
        <is>
          <t>neutral_elo</t>
        </is>
      </c>
      <c r="BC15" s="24" t="inlineStr">
        <is>
          <t>cs2-tiered-elo-v5</t>
        </is>
      </c>
      <c r="BD15" s="24" t="inlineStr">
        <is>
          <t>99f60c4478ad78f02b9bb97fae5fb480114a267e349d541594964e1dd7daa69c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cs2-tiered-elo-v5</t>
        </is>
      </c>
      <c r="BH15" s="24" t="inlineStr">
        <is>
          <t>2026-08-01T06:41:51.950370Z</t>
        </is>
      </c>
      <c r="BI15" s="24" t="inlineStr">
        <is>
          <t>["same_event","same_team_same_day","same_league_same_day"]</t>
        </is>
      </c>
      <c r="BJ15" s="25" t="n"/>
      <c r="BK15" s="26" t="n">
        <v>127</v>
      </c>
      <c r="BL15" s="27" t="n">
        <v>2.27</v>
      </c>
      <c r="BM15" s="28" t="n">
        <v>0.440529</v>
      </c>
      <c r="BN15" s="28" t="n"/>
      <c r="BO15" s="28" t="n"/>
      <c r="BP15" s="25" t="n"/>
      <c r="BQ15" s="27" t="n">
        <v>2.27</v>
      </c>
      <c r="BR15" s="28" t="n">
        <v>0.44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</row>
    <row r="16" ht="36" customHeight="1">
      <c r="A16" s="24" t="inlineStr">
        <is>
          <t>fe315f0858554b34</t>
        </is>
      </c>
      <c r="B16" s="24" t="inlineStr">
        <is>
          <t>2026-08-01T10:23:03.484230Z</t>
        </is>
      </c>
      <c r="C16" s="24" t="inlineStr">
        <is>
          <t>2026-08-01T11:00:00Z</t>
        </is>
      </c>
      <c r="D16" s="24" t="inlineStr">
        <is>
          <t>67512</t>
        </is>
      </c>
      <c r="E16" s="24" t="inlineStr">
        <is>
          <t>CS2</t>
        </is>
      </c>
      <c r="F16" s="24" t="inlineStr">
        <is>
          <t>SPARTA</t>
        </is>
      </c>
      <c r="G16" s="24" t="inlineStr">
        <is>
          <t>ex-RUSTEC</t>
        </is>
      </c>
      <c r="H16" s="24" t="inlineStr">
        <is>
          <t>moneyline</t>
        </is>
      </c>
      <c r="I16" s="24" t="inlineStr">
        <is>
          <t>away</t>
        </is>
      </c>
      <c r="J16" s="25" t="n"/>
      <c r="K16" s="24" t="inlineStr">
        <is>
          <t>polymarket_us</t>
        </is>
      </c>
      <c r="L16" s="26" t="n">
        <v>-127</v>
      </c>
      <c r="M16" s="27" t="n">
        <v>1.787402</v>
      </c>
      <c r="N16" s="28" t="n">
        <v>0.5594710000000001</v>
      </c>
      <c r="O16" s="28" t="n">
        <v>0.51188</v>
      </c>
      <c r="P16" s="28" t="n"/>
      <c r="Q16" s="28" t="n">
        <v>-0.047591</v>
      </c>
      <c r="R16" s="26" t="n">
        <v>0</v>
      </c>
      <c r="S16" s="29" t="n">
        <v>1</v>
      </c>
      <c r="T16" s="24" t="inlineStr">
        <is>
          <t>cs2-tiered-elo-v5</t>
        </is>
      </c>
      <c r="U16" s="24" t="inlineStr">
        <is>
          <t>settled</t>
        </is>
      </c>
      <c r="V16" s="24" t="inlineStr">
        <is>
          <t>win</t>
        </is>
      </c>
      <c r="W16" s="26" t="n">
        <v>1</v>
      </c>
      <c r="X16" s="26" t="n">
        <v>0</v>
      </c>
      <c r="Y16" s="25" t="n"/>
      <c r="Z16" s="26" t="n">
        <v>-127</v>
      </c>
      <c r="AA16" s="28" t="n">
        <v>0.5600000000000001</v>
      </c>
      <c r="AB16" s="28" t="n">
        <v>0.000529</v>
      </c>
      <c r="AC16" s="30" t="n">
        <v>0.7874</v>
      </c>
      <c r="AD16" s="24" t="inlineStr">
        <is>
          <t>2026-08-01T20:13:08.886759Z</t>
        </is>
      </c>
      <c r="AE16" s="31" t="inlineStr">
        <is>
          <t>Neutral Elo baseline; executable ask 0.5600 (market_slug=aec-cs2-erx-sparta-2026-08-01).</t>
        </is>
      </c>
      <c r="AF16" s="31" t="inlineStr">
        <is>
          <t>Config-promoted esports baseline; gates enforced at log time.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research_observation</t>
        </is>
      </c>
      <c r="AL16" s="26" t="n">
        <v>3</v>
      </c>
      <c r="AM16" s="24" t="inlineStr">
        <is>
          <t>RESEARCH_OBSERVATION</t>
        </is>
      </c>
      <c r="AN16" s="24" t="inlineStr">
        <is>
          <t>NO_CALL</t>
        </is>
      </c>
      <c r="AO16" s="24" t="inlineStr">
        <is>
          <t>NO_CALL_LOW_EDGE</t>
        </is>
      </c>
      <c r="AP16" s="24" t="inlineStr">
        <is>
          <t>SPARTA</t>
        </is>
      </c>
      <c r="AQ16" s="24" t="inlineStr">
        <is>
          <t>SPARTA</t>
        </is>
      </c>
      <c r="AR16" s="24" t="inlineStr">
        <is>
          <t>SPARTA</t>
        </is>
      </c>
      <c r="AS16" s="24" t="inlineStr">
        <is>
          <t>ex-RUSTEC</t>
        </is>
      </c>
      <c r="AT16" s="24" t="inlineStr">
        <is>
          <t>ex-RUSTEC</t>
        </is>
      </c>
      <c r="AU16" s="24" t="inlineStr">
        <is>
          <t>ex-RUSTEC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fef49b57b1ee5bbc20d2625ede0a73868076e3c086b98be116e388993ecdc03b</t>
        </is>
      </c>
      <c r="BB16" s="24" t="inlineStr">
        <is>
          <t>neutral_elo</t>
        </is>
      </c>
      <c r="BC16" s="24" t="inlineStr">
        <is>
          <t>cs2-tiered-elo-v5</t>
        </is>
      </c>
      <c r="BD16" s="24" t="inlineStr">
        <is>
          <t>fef49b57b1ee5bbc20d2625ede0a73868076e3c086b98be116e388993ecdc03b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cs2-tiered-elo-v5</t>
        </is>
      </c>
      <c r="BH16" s="24" t="inlineStr">
        <is>
          <t>2026-08-01T10:22:46.411480Z</t>
        </is>
      </c>
      <c r="BI16" s="24" t="inlineStr">
        <is>
          <t>["same_event","same_team_same_day","same_league_same_day"]</t>
        </is>
      </c>
      <c r="BJ16" s="25" t="n"/>
      <c r="BK16" s="26" t="n">
        <v>-127</v>
      </c>
      <c r="BL16" s="27" t="n">
        <v>1.787402</v>
      </c>
      <c r="BM16" s="28" t="n">
        <v>0.5594710000000001</v>
      </c>
      <c r="BN16" s="28" t="n"/>
      <c r="BO16" s="28" t="n"/>
      <c r="BP16" s="25" t="n"/>
      <c r="BQ16" s="27" t="n">
        <v>1.787402</v>
      </c>
      <c r="BR16" s="28" t="n">
        <v>0.5600000000000001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</row>
    <row r="17" ht="36" customHeight="1">
      <c r="A17" s="24" t="inlineStr">
        <is>
          <t>5ac7695d5519487b</t>
        </is>
      </c>
      <c r="B17" s="24" t="inlineStr">
        <is>
          <t>2026-08-01T10:23:03.484230Z</t>
        </is>
      </c>
      <c r="C17" s="24" t="inlineStr">
        <is>
          <t>2026-08-01T11:00:00Z</t>
        </is>
      </c>
      <c r="D17" s="24" t="inlineStr">
        <is>
          <t>67306</t>
        </is>
      </c>
      <c r="E17" s="24" t="inlineStr">
        <is>
          <t>CS2</t>
        </is>
      </c>
      <c r="F17" s="24" t="inlineStr">
        <is>
          <t>NEW VISION</t>
        </is>
      </c>
      <c r="G17" s="24" t="inlineStr">
        <is>
          <t>los kogutos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-127</v>
      </c>
      <c r="M17" s="27" t="n">
        <v>1.787402</v>
      </c>
      <c r="N17" s="28" t="n">
        <v>0.5594710000000001</v>
      </c>
      <c r="O17" s="28" t="n">
        <v>0.516595</v>
      </c>
      <c r="P17" s="28" t="n"/>
      <c r="Q17" s="28" t="n">
        <v>-0.042876</v>
      </c>
      <c r="R17" s="26" t="n">
        <v>0</v>
      </c>
      <c r="S17" s="29" t="n">
        <v>1</v>
      </c>
      <c r="T17" s="24" t="inlineStr">
        <is>
          <t>cs2-tiered-elo-v5</t>
        </is>
      </c>
      <c r="U17" s="24" t="inlineStr">
        <is>
          <t>settled</t>
        </is>
      </c>
      <c r="V17" s="24" t="inlineStr">
        <is>
          <t>win</t>
        </is>
      </c>
      <c r="W17" s="26" t="n">
        <v>0</v>
      </c>
      <c r="X17" s="26" t="n">
        <v>1</v>
      </c>
      <c r="Y17" s="25" t="n"/>
      <c r="Z17" s="26" t="n">
        <v>-127</v>
      </c>
      <c r="AA17" s="28" t="n">
        <v>0.5600000000000001</v>
      </c>
      <c r="AB17" s="28" t="n">
        <v>0.000529</v>
      </c>
      <c r="AC17" s="30" t="n">
        <v>0.7874</v>
      </c>
      <c r="AD17" s="24" t="inlineStr">
        <is>
          <t>2026-08-01T13:41:03.335644Z</t>
        </is>
      </c>
      <c r="AE17" s="31" t="inlineStr">
        <is>
          <t>Neutral Elo baseline; executable ask 0.5600 (market_slug=aec-cs2-lk-nve-2026-08-01).</t>
        </is>
      </c>
      <c r="AF17" s="31" t="inlineStr">
        <is>
          <t>Config-promoted esports baseline; gates enforced at log time.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research_observation</t>
        </is>
      </c>
      <c r="AL17" s="26" t="n">
        <v>3</v>
      </c>
      <c r="AM17" s="24" t="inlineStr">
        <is>
          <t>RESEARCH_OBSERVATION</t>
        </is>
      </c>
      <c r="AN17" s="24" t="inlineStr">
        <is>
          <t>NO_CALL</t>
        </is>
      </c>
      <c r="AO17" s="24" t="inlineStr">
        <is>
          <t>NO_CALL_LOW_EDGE</t>
        </is>
      </c>
      <c r="AP17" s="24" t="inlineStr">
        <is>
          <t>NEW VISION</t>
        </is>
      </c>
      <c r="AQ17" s="24" t="inlineStr">
        <is>
          <t>NEW VISION</t>
        </is>
      </c>
      <c r="AR17" s="24" t="inlineStr">
        <is>
          <t>NEW VISION</t>
        </is>
      </c>
      <c r="AS17" s="24" t="inlineStr">
        <is>
          <t>los kogutos</t>
        </is>
      </c>
      <c r="AT17" s="24" t="inlineStr">
        <is>
          <t>los kogutos</t>
        </is>
      </c>
      <c r="AU17" s="24" t="inlineStr">
        <is>
          <t>los kogutos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fef49b57b1ee5bbc20d2625ede0a73868076e3c086b98be116e388993ecdc03b</t>
        </is>
      </c>
      <c r="BB17" s="24" t="inlineStr">
        <is>
          <t>neutral_elo</t>
        </is>
      </c>
      <c r="BC17" s="24" t="inlineStr">
        <is>
          <t>cs2-tiered-elo-v5</t>
        </is>
      </c>
      <c r="BD17" s="24" t="inlineStr">
        <is>
          <t>fef49b57b1ee5bbc20d2625ede0a73868076e3c086b98be116e388993ecdc03b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cs2-tiered-elo-v5</t>
        </is>
      </c>
      <c r="BH17" s="24" t="inlineStr">
        <is>
          <t>2026-08-01T10:22:47.489615Z</t>
        </is>
      </c>
      <c r="BI17" s="24" t="inlineStr">
        <is>
          <t>["same_event","same_team_same_day","same_league_same_day"]</t>
        </is>
      </c>
      <c r="BJ17" s="25" t="n"/>
      <c r="BK17" s="26" t="n">
        <v>-127</v>
      </c>
      <c r="BL17" s="27" t="n">
        <v>1.787402</v>
      </c>
      <c r="BM17" s="28" t="n">
        <v>0.5594710000000001</v>
      </c>
      <c r="BN17" s="28" t="n"/>
      <c r="BO17" s="28" t="n"/>
      <c r="BP17" s="25" t="n"/>
      <c r="BQ17" s="27" t="n">
        <v>1.787402</v>
      </c>
      <c r="BR17" s="28" t="n">
        <v>0.5600000000000001</v>
      </c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</row>
    <row r="18" ht="36" customHeight="1">
      <c r="A18" s="24" t="inlineStr">
        <is>
          <t>28840125917e4b8f</t>
        </is>
      </c>
      <c r="B18" s="24" t="inlineStr">
        <is>
          <t>2026-08-01T13:46:43.837828Z</t>
        </is>
      </c>
      <c r="C18" s="24" t="inlineStr">
        <is>
          <t>2026-08-01T14:00:00Z</t>
        </is>
      </c>
      <c r="D18" s="24" t="inlineStr">
        <is>
          <t>67620</t>
        </is>
      </c>
      <c r="E18" s="24" t="inlineStr">
        <is>
          <t>CS2</t>
        </is>
      </c>
      <c r="F18" s="24" t="inlineStr">
        <is>
          <t>Just Players</t>
        </is>
      </c>
      <c r="G18" s="24" t="inlineStr">
        <is>
          <t>Sashi Esport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-170</v>
      </c>
      <c r="M18" s="27" t="n">
        <v>1.588235</v>
      </c>
      <c r="N18" s="28" t="n">
        <v>0.62963</v>
      </c>
      <c r="O18" s="28" t="n">
        <v>0.542045</v>
      </c>
      <c r="P18" s="28" t="n"/>
      <c r="Q18" s="28" t="n">
        <v>-0.087585</v>
      </c>
      <c r="R18" s="26" t="n">
        <v>0</v>
      </c>
      <c r="S18" s="29" t="n">
        <v>1</v>
      </c>
      <c r="T18" s="24" t="inlineStr">
        <is>
          <t>cs2-tiered-elo-v5</t>
        </is>
      </c>
      <c r="U18" s="24" t="inlineStr">
        <is>
          <t>settled</t>
        </is>
      </c>
      <c r="V18" s="24" t="inlineStr">
        <is>
          <t>win</t>
        </is>
      </c>
      <c r="W18" s="26" t="n">
        <v>0</v>
      </c>
      <c r="X18" s="26" t="n">
        <v>1</v>
      </c>
      <c r="Y18" s="25" t="n"/>
      <c r="Z18" s="26" t="n">
        <v>-170</v>
      </c>
      <c r="AA18" s="28" t="n">
        <v>0.63</v>
      </c>
      <c r="AB18" s="28" t="n">
        <v>0.00037</v>
      </c>
      <c r="AC18" s="30" t="n">
        <v>0.5881999999999999</v>
      </c>
      <c r="AD18" s="24" t="inlineStr">
        <is>
          <t>2026-08-01T18:35:15.776742Z</t>
        </is>
      </c>
      <c r="AE18" s="31" t="inlineStr">
        <is>
          <t>Neutral Elo baseline; executable ask 0.6300 (market_slug=aec-cs2-sashi-jpu-2026-08-01).</t>
        </is>
      </c>
      <c r="AF18" s="31" t="inlineStr">
        <is>
          <t>Config-promoted esports baseline; gates enforced at log time.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research_observation</t>
        </is>
      </c>
      <c r="AL18" s="26" t="n">
        <v>3</v>
      </c>
      <c r="AM18" s="24" t="inlineStr">
        <is>
          <t>RESEARCH_OBSERVATION</t>
        </is>
      </c>
      <c r="AN18" s="24" t="inlineStr">
        <is>
          <t>NO_CALL</t>
        </is>
      </c>
      <c r="AO18" s="24" t="inlineStr">
        <is>
          <t>NO_CALL_LOW_EDGE</t>
        </is>
      </c>
      <c r="AP18" s="24" t="inlineStr">
        <is>
          <t>Just Players</t>
        </is>
      </c>
      <c r="AQ18" s="24" t="inlineStr">
        <is>
          <t>Just Players</t>
        </is>
      </c>
      <c r="AR18" s="24" t="inlineStr">
        <is>
          <t>Just Players</t>
        </is>
      </c>
      <c r="AS18" s="24" t="inlineStr">
        <is>
          <t>Sashi Esport</t>
        </is>
      </c>
      <c r="AT18" s="24" t="inlineStr">
        <is>
          <t>Sashi Esport</t>
        </is>
      </c>
      <c r="AU18" s="24" t="inlineStr">
        <is>
          <t>Sashi Esport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76d65080af75e0c3856de1f3b1c11380883507c146c1117ef81f1d19eb30d4f0</t>
        </is>
      </c>
      <c r="BB18" s="24" t="inlineStr">
        <is>
          <t>neutral_elo</t>
        </is>
      </c>
      <c r="BC18" s="24" t="inlineStr">
        <is>
          <t>cs2-tiered-elo-v5</t>
        </is>
      </c>
      <c r="BD18" s="24" t="inlineStr">
        <is>
          <t>76d65080af75e0c3856de1f3b1c11380883507c146c1117ef81f1d19eb30d4f0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cs2-tiered-elo-v5</t>
        </is>
      </c>
      <c r="BH18" s="24" t="inlineStr">
        <is>
          <t>2026-08-01T13:46:29.986495Z</t>
        </is>
      </c>
      <c r="BI18" s="24" t="inlineStr">
        <is>
          <t>["same_event","same_team_same_day","same_league_same_day"]</t>
        </is>
      </c>
      <c r="BJ18" s="25" t="n"/>
      <c r="BK18" s="26" t="n">
        <v>-170</v>
      </c>
      <c r="BL18" s="27" t="n">
        <v>1.588235</v>
      </c>
      <c r="BM18" s="28" t="n">
        <v>0.62963</v>
      </c>
      <c r="BN18" s="28" t="n"/>
      <c r="BO18" s="28" t="n"/>
      <c r="BP18" s="25" t="n"/>
      <c r="BQ18" s="27" t="n">
        <v>1.588235</v>
      </c>
      <c r="BR18" s="28" t="n">
        <v>0.63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</row>
    <row r="19" ht="36" customHeight="1">
      <c r="A19" s="24" t="inlineStr">
        <is>
          <t>b6df8e1c03fc48e6</t>
        </is>
      </c>
      <c r="B19" s="24" t="inlineStr">
        <is>
          <t>2026-08-01T13:46:43.837828Z</t>
        </is>
      </c>
      <c r="C19" s="24" t="inlineStr">
        <is>
          <t>2026-08-01T14:00:00Z</t>
        </is>
      </c>
      <c r="D19" s="24" t="inlineStr">
        <is>
          <t>67303</t>
        </is>
      </c>
      <c r="E19" s="24" t="inlineStr">
        <is>
          <t>CS2</t>
        </is>
      </c>
      <c r="F19" s="24" t="inlineStr">
        <is>
          <t>Rune Eaters</t>
        </is>
      </c>
      <c r="G19" s="24" t="inlineStr">
        <is>
          <t>SPARTA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-138</v>
      </c>
      <c r="M19" s="27" t="n">
        <v>1.724638</v>
      </c>
      <c r="N19" s="28" t="n">
        <v>0.579832</v>
      </c>
      <c r="O19" s="28" t="n">
        <v>0.613873</v>
      </c>
      <c r="P19" s="28" t="n"/>
      <c r="Q19" s="28" t="n">
        <v>0.034041</v>
      </c>
      <c r="R19" s="26" t="n">
        <v>37</v>
      </c>
      <c r="S19" s="29" t="n">
        <v>1.5</v>
      </c>
      <c r="T19" s="24" t="inlineStr">
        <is>
          <t>cs2-tiered-elo-v5</t>
        </is>
      </c>
      <c r="U19" s="24" t="inlineStr">
        <is>
          <t>settled</t>
        </is>
      </c>
      <c r="V19" s="24" t="inlineStr">
        <is>
          <t>loss</t>
        </is>
      </c>
      <c r="W19" s="26" t="n">
        <v>1</v>
      </c>
      <c r="X19" s="26" t="n">
        <v>0</v>
      </c>
      <c r="Y19" s="25" t="n"/>
      <c r="Z19" s="26" t="n">
        <v>-138</v>
      </c>
      <c r="AA19" s="28" t="n">
        <v>0.58</v>
      </c>
      <c r="AB19" s="28" t="n">
        <v>0.000168</v>
      </c>
      <c r="AC19" s="30" t="n">
        <v>-1.5</v>
      </c>
      <c r="AD19" s="24" t="inlineStr">
        <is>
          <t>2026-08-01T18:35:17.095666Z</t>
        </is>
      </c>
      <c r="AE19" s="31" t="inlineStr">
        <is>
          <t>Neutral Elo baseline; executable ask 0.5800 (market_slug=aec-cs2-sparta-re-2026-08-01).</t>
        </is>
      </c>
      <c r="AF19" s="31" t="inlineStr">
        <is>
          <t>Config-promoted esports baseline; gates enforced at log time.</t>
        </is>
      </c>
      <c r="AG19" s="24" t="inlineStr">
        <is>
          <t>review_required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Rune Eaters</t>
        </is>
      </c>
      <c r="AQ19" s="24" t="inlineStr">
        <is>
          <t>Rune Eaters</t>
        </is>
      </c>
      <c r="AR19" s="24" t="inlineStr">
        <is>
          <t>Rune Eaters</t>
        </is>
      </c>
      <c r="AS19" s="24" t="inlineStr">
        <is>
          <t>SPARTA</t>
        </is>
      </c>
      <c r="AT19" s="24" t="inlineStr">
        <is>
          <t>SPARTA</t>
        </is>
      </c>
      <c r="AU19" s="24" t="inlineStr">
        <is>
          <t>SPARTA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76d65080af75e0c3856de1f3b1c11380883507c146c1117ef81f1d19eb30d4f0</t>
        </is>
      </c>
      <c r="BB19" s="24" t="inlineStr">
        <is>
          <t>neutral_elo</t>
        </is>
      </c>
      <c r="BC19" s="24" t="inlineStr">
        <is>
          <t>cs2-tiered-elo-v5</t>
        </is>
      </c>
      <c r="BD19" s="24" t="inlineStr">
        <is>
          <t>76d65080af75e0c3856de1f3b1c11380883507c146c1117ef81f1d19eb30d4f0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cs2-tiered-elo-v5</t>
        </is>
      </c>
      <c r="BH19" s="24" t="inlineStr">
        <is>
          <t>2026-08-01T13:46:30.443267Z</t>
        </is>
      </c>
      <c r="BI19" s="24" t="inlineStr">
        <is>
          <t>["same_event","same_team_same_day","same_league_same_day"]</t>
        </is>
      </c>
      <c r="BJ19" s="25" t="n"/>
      <c r="BK19" s="26" t="n">
        <v>-138</v>
      </c>
      <c r="BL19" s="27" t="n">
        <v>1.724638</v>
      </c>
      <c r="BM19" s="28" t="n">
        <v>0.579832</v>
      </c>
      <c r="BN19" s="28" t="n"/>
      <c r="BO19" s="28" t="n"/>
      <c r="BP19" s="25" t="n"/>
      <c r="BQ19" s="27" t="n">
        <v>1.724638</v>
      </c>
      <c r="BR19" s="28" t="n">
        <v>0.58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</row>
    <row r="20" ht="36" customHeight="1">
      <c r="A20" s="24" t="inlineStr">
        <is>
          <t>50631386dfcd499b</t>
        </is>
      </c>
      <c r="B20" s="24" t="inlineStr">
        <is>
          <t>2026-08-01T13:46:43.837828Z</t>
        </is>
      </c>
      <c r="C20" s="24" t="inlineStr">
        <is>
          <t>2026-08-01T15:30:00Z</t>
        </is>
      </c>
      <c r="D20" s="24" t="inlineStr">
        <is>
          <t>67317</t>
        </is>
      </c>
      <c r="E20" s="24" t="inlineStr">
        <is>
          <t>CS2</t>
        </is>
      </c>
      <c r="F20" s="24" t="inlineStr">
        <is>
          <t>aimclub</t>
        </is>
      </c>
      <c r="G20" s="24" t="inlineStr">
        <is>
          <t>Young TigeRES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186</v>
      </c>
      <c r="M20" s="27" t="n">
        <v>2.86</v>
      </c>
      <c r="N20" s="28" t="n">
        <v>0.34965</v>
      </c>
      <c r="O20" s="28" t="n">
        <v>0.603676</v>
      </c>
      <c r="P20" s="28" t="n"/>
      <c r="Q20" s="28" t="n">
        <v>0.254026</v>
      </c>
      <c r="R20" s="26" t="n">
        <v>100</v>
      </c>
      <c r="S20" s="29" t="n">
        <v>1.25</v>
      </c>
      <c r="T20" s="24" t="inlineStr">
        <is>
          <t>cs2-tiered-elo-v5</t>
        </is>
      </c>
      <c r="U20" s="24" t="inlineStr">
        <is>
          <t>settled</t>
        </is>
      </c>
      <c r="V20" s="24" t="inlineStr">
        <is>
          <t>loss</t>
        </is>
      </c>
      <c r="W20" s="26" t="n">
        <v>1</v>
      </c>
      <c r="X20" s="26" t="n">
        <v>0</v>
      </c>
      <c r="Y20" s="25" t="n"/>
      <c r="Z20" s="26" t="n">
        <v>178</v>
      </c>
      <c r="AA20" s="28" t="n">
        <v>0.36</v>
      </c>
      <c r="AB20" s="28" t="n">
        <v>0.01035</v>
      </c>
      <c r="AC20" s="30" t="n">
        <v>-1.25</v>
      </c>
      <c r="AD20" s="24" t="inlineStr">
        <is>
          <t>2026-08-01T18:35:18.347460Z</t>
        </is>
      </c>
      <c r="AE20" s="31" t="inlineStr">
        <is>
          <t>Neutral Elo baseline; executable ask 0.3500 (market_slug=aec-cs2-ytigeres-aimc-2026-08-01).</t>
        </is>
      </c>
      <c r="AF20" s="31" t="inlineStr">
        <is>
          <t>Config-promoted esports baseline; gates enforced at log time.</t>
        </is>
      </c>
      <c r="AG20" s="24" t="inlineStr">
        <is>
          <t>review_required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3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aimclub</t>
        </is>
      </c>
      <c r="AQ20" s="24" t="inlineStr">
        <is>
          <t>aimclub</t>
        </is>
      </c>
      <c r="AR20" s="24" t="inlineStr">
        <is>
          <t>aimclub</t>
        </is>
      </c>
      <c r="AS20" s="24" t="inlineStr">
        <is>
          <t>Young TigeRES</t>
        </is>
      </c>
      <c r="AT20" s="24" t="inlineStr">
        <is>
          <t>Young TigeRES</t>
        </is>
      </c>
      <c r="AU20" s="24" t="inlineStr">
        <is>
          <t>Young TigeRES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76d65080af75e0c3856de1f3b1c11380883507c146c1117ef81f1d19eb30d4f0</t>
        </is>
      </c>
      <c r="BB20" s="24" t="inlineStr">
        <is>
          <t>neutral_elo</t>
        </is>
      </c>
      <c r="BC20" s="24" t="inlineStr">
        <is>
          <t>cs2-tiered-elo-v5</t>
        </is>
      </c>
      <c r="BD20" s="24" t="inlineStr">
        <is>
          <t>76d65080af75e0c3856de1f3b1c11380883507c146c1117ef81f1d19eb30d4f0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cs2-tiered-elo-v5</t>
        </is>
      </c>
      <c r="BH20" s="24" t="inlineStr">
        <is>
          <t>2026-08-01T13:46:30.967278Z</t>
        </is>
      </c>
      <c r="BI20" s="24" t="inlineStr">
        <is>
          <t>["same_event","same_team_same_day","same_league_same_day"]</t>
        </is>
      </c>
      <c r="BJ20" s="25" t="n"/>
      <c r="BK20" s="26" t="n">
        <v>186</v>
      </c>
      <c r="BL20" s="27" t="n">
        <v>2.86</v>
      </c>
      <c r="BM20" s="28" t="n">
        <v>0.34965</v>
      </c>
      <c r="BN20" s="28" t="n"/>
      <c r="BO20" s="28" t="n"/>
      <c r="BP20" s="25" t="n"/>
      <c r="BQ20" s="27" t="n">
        <v>2.78</v>
      </c>
      <c r="BR20" s="28" t="n">
        <v>0.36</v>
      </c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</row>
    <row r="21" ht="36" customHeight="1">
      <c r="A21" s="24" t="inlineStr">
        <is>
          <t>13df32a950734699</t>
        </is>
      </c>
      <c r="B21" s="24" t="inlineStr">
        <is>
          <t>2026-08-01T13:46:43.837828Z</t>
        </is>
      </c>
      <c r="C21" s="24" t="inlineStr">
        <is>
          <t>2026-08-01T16:30:00Z</t>
        </is>
      </c>
      <c r="D21" s="24" t="inlineStr">
        <is>
          <t>67574</t>
        </is>
      </c>
      <c r="E21" s="24" t="inlineStr">
        <is>
          <t>CS2</t>
        </is>
      </c>
      <c r="F21" s="24" t="inlineStr">
        <is>
          <t>SNAILKICK Club</t>
        </is>
      </c>
      <c r="G21" s="24" t="inlineStr">
        <is>
          <t>shoke Club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-194</v>
      </c>
      <c r="M21" s="27" t="n">
        <v>1.515464</v>
      </c>
      <c r="N21" s="28" t="n">
        <v>0.659864</v>
      </c>
      <c r="O21" s="28" t="n">
        <v>0.5264990000000001</v>
      </c>
      <c r="P21" s="28" t="n"/>
      <c r="Q21" s="28" t="n">
        <v>-0.133365</v>
      </c>
      <c r="R21" s="26" t="n">
        <v>0</v>
      </c>
      <c r="S21" s="29" t="n">
        <v>1</v>
      </c>
      <c r="T21" s="24" t="inlineStr">
        <is>
          <t>cs2-tiered-elo-v5</t>
        </is>
      </c>
      <c r="U21" s="24" t="inlineStr">
        <is>
          <t>settled</t>
        </is>
      </c>
      <c r="V21" s="24" t="inlineStr">
        <is>
          <t>win</t>
        </is>
      </c>
      <c r="W21" s="26" t="n">
        <v>0</v>
      </c>
      <c r="X21" s="26" t="n">
        <v>1</v>
      </c>
      <c r="Y21" s="25" t="n"/>
      <c r="Z21" s="26" t="n">
        <v>-194</v>
      </c>
      <c r="AA21" s="28" t="n">
        <v>0.66</v>
      </c>
      <c r="AB21" s="28" t="n">
        <v>0.000136</v>
      </c>
      <c r="AC21" s="30" t="n">
        <v>0.5155</v>
      </c>
      <c r="AD21" s="24" t="inlineStr">
        <is>
          <t>2026-08-01T20:13:10.214688Z</t>
        </is>
      </c>
      <c r="AE21" s="31" t="inlineStr">
        <is>
          <t>Neutral Elo baseline; executable ask 0.6600 (market_slug=aec-cs2-sch-scn-2026-08-01).</t>
        </is>
      </c>
      <c r="AF21" s="31" t="inlineStr">
        <is>
          <t>Config-promoted esports baseline; gates enforced at log time.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research_observation</t>
        </is>
      </c>
      <c r="AL21" s="26" t="n">
        <v>3</v>
      </c>
      <c r="AM21" s="24" t="inlineStr">
        <is>
          <t>RESEARCH_OBSERVATION</t>
        </is>
      </c>
      <c r="AN21" s="24" t="inlineStr">
        <is>
          <t>NO_CALL</t>
        </is>
      </c>
      <c r="AO21" s="24" t="inlineStr">
        <is>
          <t>NO_CALL_MODEL_UNVALIDATED</t>
        </is>
      </c>
      <c r="AP21" s="24" t="inlineStr">
        <is>
          <t>SNAILKICK Club</t>
        </is>
      </c>
      <c r="AQ21" s="24" t="inlineStr">
        <is>
          <t>SNAILKICK Club</t>
        </is>
      </c>
      <c r="AR21" s="24" t="inlineStr">
        <is>
          <t>SNAILKICK Club</t>
        </is>
      </c>
      <c r="AS21" s="24" t="inlineStr">
        <is>
          <t>shoke Club</t>
        </is>
      </c>
      <c r="AT21" s="24" t="inlineStr">
        <is>
          <t>shoke Club</t>
        </is>
      </c>
      <c r="AU21" s="24" t="inlineStr">
        <is>
          <t>shoke Club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76d65080af75e0c3856de1f3b1c11380883507c146c1117ef81f1d19eb30d4f0</t>
        </is>
      </c>
      <c r="BB21" s="24" t="inlineStr">
        <is>
          <t>neutral_elo</t>
        </is>
      </c>
      <c r="BC21" s="24" t="inlineStr">
        <is>
          <t>cs2-tiered-elo-v5</t>
        </is>
      </c>
      <c r="BD21" s="24" t="inlineStr">
        <is>
          <t>76d65080af75e0c3856de1f3b1c11380883507c146c1117ef81f1d19eb30d4f0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cs2-tiered-elo-v5</t>
        </is>
      </c>
      <c r="BH21" s="24" t="inlineStr">
        <is>
          <t>2026-08-01T13:46:31.492650Z</t>
        </is>
      </c>
      <c r="BI21" s="24" t="inlineStr">
        <is>
          <t>["same_event","same_team_same_day","same_league_same_day"]</t>
        </is>
      </c>
      <c r="BJ21" s="25" t="n"/>
      <c r="BK21" s="26" t="n">
        <v>-194</v>
      </c>
      <c r="BL21" s="27" t="n">
        <v>1.515464</v>
      </c>
      <c r="BM21" s="28" t="n">
        <v>0.659864</v>
      </c>
      <c r="BN21" s="28" t="n"/>
      <c r="BO21" s="28" t="n"/>
      <c r="BP21" s="25" t="n"/>
      <c r="BQ21" s="27" t="n">
        <v>1.515464</v>
      </c>
      <c r="BR21" s="28" t="n">
        <v>0.66</v>
      </c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</row>
    <row r="22" ht="36" customHeight="1">
      <c r="A22" s="24" t="inlineStr">
        <is>
          <t>b09f844596984612</t>
        </is>
      </c>
      <c r="B22" s="24" t="inlineStr">
        <is>
          <t>2026-08-01T16:54:09.601163Z</t>
        </is>
      </c>
      <c r="C22" s="24" t="inlineStr">
        <is>
          <t>2026-08-01T17:00:00Z</t>
        </is>
      </c>
      <c r="D22" s="24" t="inlineStr">
        <is>
          <t>67302</t>
        </is>
      </c>
      <c r="E22" s="24" t="inlineStr">
        <is>
          <t>CS2</t>
        </is>
      </c>
      <c r="F22" s="24" t="inlineStr">
        <is>
          <t>Just Players</t>
        </is>
      </c>
      <c r="G22" s="24" t="inlineStr">
        <is>
          <t>Black Phoenix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-163</v>
      </c>
      <c r="M22" s="27" t="n">
        <v>1.613497</v>
      </c>
      <c r="N22" s="28" t="n">
        <v>0.619772</v>
      </c>
      <c r="O22" s="28" t="n">
        <v>0.583888</v>
      </c>
      <c r="P22" s="28" t="n"/>
      <c r="Q22" s="28" t="n">
        <v>-0.035884</v>
      </c>
      <c r="R22" s="26" t="n">
        <v>2</v>
      </c>
      <c r="S22" s="29" t="n">
        <v>1.25</v>
      </c>
      <c r="T22" s="24" t="inlineStr">
        <is>
          <t>cs2-tiered-elo-v5</t>
        </is>
      </c>
      <c r="U22" s="24" t="inlineStr">
        <is>
          <t>settled</t>
        </is>
      </c>
      <c r="V22" s="24" t="inlineStr">
        <is>
          <t>loss</t>
        </is>
      </c>
      <c r="W22" s="26" t="n">
        <v>0</v>
      </c>
      <c r="X22" s="26" t="n">
        <v>1</v>
      </c>
      <c r="Y22" s="25" t="n"/>
      <c r="Z22" s="26" t="n">
        <v>-163</v>
      </c>
      <c r="AA22" s="28" t="n">
        <v>0.62</v>
      </c>
      <c r="AB22" s="28" t="n">
        <v>0.000228</v>
      </c>
      <c r="AC22" s="30" t="n">
        <v>-1.25</v>
      </c>
      <c r="AD22" s="24" t="inlineStr">
        <is>
          <t>2026-08-01T20:13:11.540051Z</t>
        </is>
      </c>
      <c r="AE22" s="31" t="inlineStr">
        <is>
          <t>Neutral Elo baseline; executable ask 0.6200 (market_slug=aec-cs2-bpl-jpu-2026-08-01).</t>
        </is>
      </c>
      <c r="AF22" s="31" t="inlineStr">
        <is>
          <t>Config-promoted esports baseline; gates enforced at log time.</t>
        </is>
      </c>
      <c r="AG22" s="24" t="inlineStr">
        <is>
          <t>review_required</t>
        </is>
      </c>
      <c r="AH22" s="24" t="n"/>
      <c r="AI22" s="31" t="n"/>
      <c r="AJ22" s="31" t="n"/>
      <c r="AK22" s="24" t="inlineStr">
        <is>
          <t>research_observation</t>
        </is>
      </c>
      <c r="AL22" s="26" t="n">
        <v>3</v>
      </c>
      <c r="AM22" s="24" t="inlineStr">
        <is>
          <t>RESEARCH_OBSERVATION</t>
        </is>
      </c>
      <c r="AN22" s="24" t="inlineStr">
        <is>
          <t>NO_CALL</t>
        </is>
      </c>
      <c r="AO22" s="24" t="inlineStr">
        <is>
          <t>NO_CALL_LOW_EDGE</t>
        </is>
      </c>
      <c r="AP22" s="24" t="inlineStr">
        <is>
          <t>Just Players</t>
        </is>
      </c>
      <c r="AQ22" s="24" t="inlineStr">
        <is>
          <t>Just Players</t>
        </is>
      </c>
      <c r="AR22" s="24" t="inlineStr">
        <is>
          <t>Just Players</t>
        </is>
      </c>
      <c r="AS22" s="24" t="inlineStr">
        <is>
          <t>Black Phoenix</t>
        </is>
      </c>
      <c r="AT22" s="24" t="inlineStr">
        <is>
          <t>Black Phoenix</t>
        </is>
      </c>
      <c r="AU22" s="24" t="inlineStr">
        <is>
          <t>Black Phoenix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60bbbab39d3bb25f6cb747d719929bb4fcbec9eb183993dd2b3acce8db5ad51a</t>
        </is>
      </c>
      <c r="BB22" s="24" t="inlineStr">
        <is>
          <t>neutral_elo</t>
        </is>
      </c>
      <c r="BC22" s="24" t="inlineStr">
        <is>
          <t>cs2-tiered-elo-v5</t>
        </is>
      </c>
      <c r="BD22" s="24" t="inlineStr">
        <is>
          <t>60bbbab39d3bb25f6cb747d719929bb4fcbec9eb183993dd2b3acce8db5ad51a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cs2-tiered-elo-v5</t>
        </is>
      </c>
      <c r="BH22" s="24" t="inlineStr">
        <is>
          <t>2026-08-01T16:53:56.919922Z</t>
        </is>
      </c>
      <c r="BI22" s="24" t="inlineStr">
        <is>
          <t>["same_event","same_team_same_day","same_league_same_day"]</t>
        </is>
      </c>
      <c r="BJ22" s="25" t="n"/>
      <c r="BK22" s="26" t="n">
        <v>-163</v>
      </c>
      <c r="BL22" s="27" t="n">
        <v>1.613497</v>
      </c>
      <c r="BM22" s="28" t="n">
        <v>0.619772</v>
      </c>
      <c r="BN22" s="28" t="n"/>
      <c r="BO22" s="28" t="n"/>
      <c r="BP22" s="25" t="n"/>
      <c r="BQ22" s="27" t="n">
        <v>1.613497</v>
      </c>
      <c r="BR22" s="28" t="n">
        <v>0.62</v>
      </c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</row>
    <row r="23" ht="36" customHeight="1">
      <c r="A23" s="24" t="inlineStr">
        <is>
          <t>252b2c3809b44154</t>
        </is>
      </c>
      <c r="B23" s="24" t="inlineStr">
        <is>
          <t>2026-08-01T16:54:09.601163Z</t>
        </is>
      </c>
      <c r="C23" s="24" t="inlineStr">
        <is>
          <t>2026-08-01T17:00:00Z</t>
        </is>
      </c>
      <c r="D23" s="24" t="inlineStr">
        <is>
          <t>68198</t>
        </is>
      </c>
      <c r="E23" s="24" t="inlineStr">
        <is>
          <t>CS2</t>
        </is>
      </c>
      <c r="F23" s="24" t="inlineStr">
        <is>
          <t>Dark Moon</t>
        </is>
      </c>
      <c r="G23" s="24" t="inlineStr">
        <is>
          <t>Arch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-122</v>
      </c>
      <c r="M23" s="27" t="n">
        <v>1.819672</v>
      </c>
      <c r="N23" s="28" t="n">
        <v>0.54955</v>
      </c>
      <c r="O23" s="28" t="n">
        <v>0.544718</v>
      </c>
      <c r="P23" s="28" t="n"/>
      <c r="Q23" s="28" t="n">
        <v>-0.004832</v>
      </c>
      <c r="R23" s="26" t="n">
        <v>18</v>
      </c>
      <c r="S23" s="29" t="n">
        <v>1</v>
      </c>
      <c r="T23" s="24" t="inlineStr">
        <is>
          <t>cs2-tiered-elo-v5</t>
        </is>
      </c>
      <c r="U23" s="24" t="inlineStr">
        <is>
          <t>open</t>
        </is>
      </c>
      <c r="V23" s="24" t="n"/>
      <c r="W23" s="26" t="n"/>
      <c r="X23" s="26" t="n"/>
      <c r="Y23" s="25" t="n"/>
      <c r="Z23" s="26" t="n"/>
      <c r="AA23" s="28" t="n"/>
      <c r="AB23" s="28" t="n"/>
      <c r="AC23" s="30" t="n"/>
      <c r="AD23" s="24" t="n"/>
      <c r="AE23" s="31" t="inlineStr">
        <is>
          <t>Neutral Elo baseline; executable ask 0.5500 (market_slug=aec-cs2-arch-dm-2026-08-01).</t>
        </is>
      </c>
      <c r="AF23" s="31" t="inlineStr">
        <is>
          <t>Config-promoted esports baseline; gates enforced at log time.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research_observation</t>
        </is>
      </c>
      <c r="AL23" s="26" t="n">
        <v>3</v>
      </c>
      <c r="AM23" s="24" t="inlineStr">
        <is>
          <t>RESEARCH_OBSERVATION</t>
        </is>
      </c>
      <c r="AN23" s="24" t="inlineStr">
        <is>
          <t>NO_CALL</t>
        </is>
      </c>
      <c r="AO23" s="24" t="inlineStr">
        <is>
          <t>NO_CALL_LOW_EDGE</t>
        </is>
      </c>
      <c r="AP23" s="24" t="inlineStr">
        <is>
          <t>Dark Moon</t>
        </is>
      </c>
      <c r="AQ23" s="24" t="inlineStr">
        <is>
          <t>Dark Moon</t>
        </is>
      </c>
      <c r="AR23" s="24" t="inlineStr">
        <is>
          <t>Dark Moon</t>
        </is>
      </c>
      <c r="AS23" s="24" t="inlineStr">
        <is>
          <t>Arch</t>
        </is>
      </c>
      <c r="AT23" s="24" t="inlineStr">
        <is>
          <t>Arch</t>
        </is>
      </c>
      <c r="AU23" s="24" t="inlineStr">
        <is>
          <t>Arch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60bbbab39d3bb25f6cb747d719929bb4fcbec9eb183993dd2b3acce8db5ad51a</t>
        </is>
      </c>
      <c r="BB23" s="24" t="inlineStr">
        <is>
          <t>neutral_elo</t>
        </is>
      </c>
      <c r="BC23" s="24" t="inlineStr">
        <is>
          <t>cs2-tiered-elo-v5</t>
        </is>
      </c>
      <c r="BD23" s="24" t="inlineStr">
        <is>
          <t>60bbbab39d3bb25f6cb747d719929bb4fcbec9eb183993dd2b3acce8db5ad51a</t>
        </is>
      </c>
      <c r="BE23" s="24" t="inlineStr">
        <is>
          <t>1</t>
        </is>
      </c>
      <c r="BF23" s="24" t="inlineStr">
        <is>
          <t>1</t>
        </is>
      </c>
      <c r="BG23" s="24" t="inlineStr">
        <is>
          <t>cs2-tiered-elo-v5</t>
        </is>
      </c>
      <c r="BH23" s="24" t="inlineStr">
        <is>
          <t>2026-08-01T16:53:57.986704Z</t>
        </is>
      </c>
      <c r="BI23" s="24" t="inlineStr">
        <is>
          <t>["same_event","same_team_same_day","same_league_same_day"]</t>
        </is>
      </c>
      <c r="BJ23" s="25" t="n"/>
      <c r="BK23" s="26" t="n">
        <v>-122</v>
      </c>
      <c r="BL23" s="27" t="n">
        <v>1.819672</v>
      </c>
      <c r="BM23" s="28" t="n">
        <v>0.54955</v>
      </c>
      <c r="BN23" s="28" t="n"/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</row>
    <row r="24" ht="36" customHeight="1">
      <c r="A24" s="24" t="inlineStr">
        <is>
          <t>915e270a0ba34d86</t>
        </is>
      </c>
      <c r="B24" s="24" t="inlineStr">
        <is>
          <t>2026-08-01T18:42:01.045837Z</t>
        </is>
      </c>
      <c r="C24" s="24" t="inlineStr">
        <is>
          <t>2026-08-01T19:15:00Z</t>
        </is>
      </c>
      <c r="D24" s="24" t="inlineStr">
        <is>
          <t>67575</t>
        </is>
      </c>
      <c r="E24" s="24" t="inlineStr">
        <is>
          <t>CS2</t>
        </is>
      </c>
      <c r="F24" s="24" t="inlineStr">
        <is>
          <t>Perfecto Club</t>
        </is>
      </c>
      <c r="G24" s="24" t="inlineStr">
        <is>
          <t>mokrivskiy Club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170</v>
      </c>
      <c r="M24" s="27" t="n">
        <v>2.7</v>
      </c>
      <c r="N24" s="28" t="n">
        <v>0.37037</v>
      </c>
      <c r="O24" s="28" t="n">
        <v>0.526684</v>
      </c>
      <c r="P24" s="28" t="n"/>
      <c r="Q24" s="28" t="n">
        <v>0.156314</v>
      </c>
      <c r="R24" s="26" t="n">
        <v>98</v>
      </c>
      <c r="S24" s="29" t="n">
        <v>1</v>
      </c>
      <c r="T24" s="24" t="inlineStr">
        <is>
          <t>cs2-tiered-elo-v5</t>
        </is>
      </c>
      <c r="U24" s="24" t="inlineStr">
        <is>
          <t>settled</t>
        </is>
      </c>
      <c r="V24" s="24" t="inlineStr">
        <is>
          <t>loss</t>
        </is>
      </c>
      <c r="W24" s="26" t="n">
        <v>1</v>
      </c>
      <c r="X24" s="26" t="n">
        <v>0</v>
      </c>
      <c r="Y24" s="25" t="n"/>
      <c r="Z24" s="26" t="n">
        <v>170</v>
      </c>
      <c r="AA24" s="28" t="n">
        <v>0.37</v>
      </c>
      <c r="AB24" s="28" t="n">
        <v>-0.00037</v>
      </c>
      <c r="AC24" s="30" t="n">
        <v>-1</v>
      </c>
      <c r="AD24" s="24" t="inlineStr">
        <is>
          <t>2026-08-01T23:51:04.754069Z</t>
        </is>
      </c>
      <c r="AE24" s="31" t="inlineStr">
        <is>
          <t>Neutral Elo baseline; executable ask 0.3700 (market_slug=aec-cs2-mco-pce-2026-08-01).</t>
        </is>
      </c>
      <c r="AF24" s="31" t="inlineStr">
        <is>
          <t>Config-promoted esports baseline; gates enforced at log time.</t>
        </is>
      </c>
      <c r="AG24" s="24" t="inlineStr">
        <is>
          <t>review_required</t>
        </is>
      </c>
      <c r="AH24" s="24" t="n"/>
      <c r="AI24" s="31" t="n"/>
      <c r="AJ24" s="31" t="n"/>
      <c r="AK24" s="24" t="inlineStr">
        <is>
          <t>research_observation</t>
        </is>
      </c>
      <c r="AL24" s="26" t="n">
        <v>3</v>
      </c>
      <c r="AM24" s="24" t="inlineStr">
        <is>
          <t>RESEARCH_OBSERVATION</t>
        </is>
      </c>
      <c r="AN24" s="24" t="inlineStr">
        <is>
          <t>NO_CALL</t>
        </is>
      </c>
      <c r="AO24" s="24" t="inlineStr">
        <is>
          <t>NO_CALL_MODEL_UNVALIDATED</t>
        </is>
      </c>
      <c r="AP24" s="24" t="inlineStr">
        <is>
          <t>Perfecto Club</t>
        </is>
      </c>
      <c r="AQ24" s="24" t="inlineStr">
        <is>
          <t>Perfecto Club</t>
        </is>
      </c>
      <c r="AR24" s="24" t="inlineStr">
        <is>
          <t>Perfecto Club</t>
        </is>
      </c>
      <c r="AS24" s="24" t="inlineStr">
        <is>
          <t>mokrivskiy Club</t>
        </is>
      </c>
      <c r="AT24" s="24" t="inlineStr">
        <is>
          <t>mokrivskiy Club</t>
        </is>
      </c>
      <c r="AU24" s="24" t="inlineStr">
        <is>
          <t>mokrivskiy Club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1d12631926ae2c4d354b87b0e46e1248f8f5caec864db59906e7e66681791fc9</t>
        </is>
      </c>
      <c r="BB24" s="24" t="inlineStr">
        <is>
          <t>neutral_elo</t>
        </is>
      </c>
      <c r="BC24" s="24" t="inlineStr">
        <is>
          <t>cs2-tiered-elo-v5</t>
        </is>
      </c>
      <c r="BD24" s="24" t="inlineStr">
        <is>
          <t>1d12631926ae2c4d354b87b0e46e1248f8f5caec864db59906e7e66681791fc9</t>
        </is>
      </c>
      <c r="BE24" s="24" t="inlineStr">
        <is>
          <t>1</t>
        </is>
      </c>
      <c r="BF24" s="24" t="inlineStr">
        <is>
          <t>1</t>
        </is>
      </c>
      <c r="BG24" s="24" t="inlineStr">
        <is>
          <t>cs2-tiered-elo-v5</t>
        </is>
      </c>
      <c r="BH24" s="24" t="inlineStr">
        <is>
          <t>2026-08-01T18:41:50.518227Z</t>
        </is>
      </c>
      <c r="BI24" s="24" t="inlineStr">
        <is>
          <t>["same_event","same_team_same_day","same_league_same_day"]</t>
        </is>
      </c>
      <c r="BJ24" s="25" t="n"/>
      <c r="BK24" s="26" t="n">
        <v>170</v>
      </c>
      <c r="BL24" s="27" t="n">
        <v>2.7</v>
      </c>
      <c r="BM24" s="28" t="n">
        <v>0.37037</v>
      </c>
      <c r="BN24" s="28" t="n"/>
      <c r="BO24" s="28" t="n"/>
      <c r="BP24" s="25" t="n"/>
      <c r="BQ24" s="27" t="n">
        <v>2.7</v>
      </c>
      <c r="BR24" s="28" t="n">
        <v>0.37</v>
      </c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</row>
    <row r="25" ht="36" customHeight="1">
      <c r="A25" s="24" t="inlineStr">
        <is>
          <t>d02f83b618ef4488</t>
        </is>
      </c>
      <c r="B25" s="24" t="inlineStr">
        <is>
          <t>2026-08-01T20:18:41.705155Z</t>
        </is>
      </c>
      <c r="C25" s="24" t="inlineStr">
        <is>
          <t>2026-08-01T21:00:00Z</t>
        </is>
      </c>
      <c r="D25" s="24" t="inlineStr">
        <is>
          <t>68107</t>
        </is>
      </c>
      <c r="E25" s="24" t="inlineStr">
        <is>
          <t>CS2</t>
        </is>
      </c>
      <c r="F25" s="24" t="inlineStr">
        <is>
          <t>BESTIA</t>
        </is>
      </c>
      <c r="G25" s="24" t="inlineStr">
        <is>
          <t>Fluxo W7M</t>
        </is>
      </c>
      <c r="H25" s="24" t="inlineStr">
        <is>
          <t>moneyline</t>
        </is>
      </c>
      <c r="I25" s="24" t="inlineStr">
        <is>
          <t>away</t>
        </is>
      </c>
      <c r="J25" s="25" t="n"/>
      <c r="K25" s="24" t="inlineStr">
        <is>
          <t>polymarket_us</t>
        </is>
      </c>
      <c r="L25" s="26" t="n">
        <v>-122</v>
      </c>
      <c r="M25" s="27" t="n">
        <v>1.819672</v>
      </c>
      <c r="N25" s="28" t="n">
        <v>0.54955</v>
      </c>
      <c r="O25" s="28" t="n">
        <v>0.50913</v>
      </c>
      <c r="P25" s="28" t="n"/>
      <c r="Q25" s="28" t="n">
        <v>-0.04042</v>
      </c>
      <c r="R25" s="26" t="n">
        <v>0</v>
      </c>
      <c r="S25" s="29" t="n">
        <v>1</v>
      </c>
      <c r="T25" s="24" t="inlineStr">
        <is>
          <t>cs2-tiered-elo-v5</t>
        </is>
      </c>
      <c r="U25" s="24" t="inlineStr">
        <is>
          <t>settled</t>
        </is>
      </c>
      <c r="V25" s="24" t="inlineStr">
        <is>
          <t>win</t>
        </is>
      </c>
      <c r="W25" s="26" t="n">
        <v>1</v>
      </c>
      <c r="X25" s="26" t="n">
        <v>0</v>
      </c>
      <c r="Y25" s="25" t="n"/>
      <c r="Z25" s="26" t="n">
        <v>-122</v>
      </c>
      <c r="AA25" s="28" t="n">
        <v>0.55</v>
      </c>
      <c r="AB25" s="28" t="n">
        <v>0.00045</v>
      </c>
      <c r="AC25" s="30" t="n">
        <v>0.8197</v>
      </c>
      <c r="AD25" s="24" t="inlineStr">
        <is>
          <t>2026-08-01T23:51:05.985257Z</t>
        </is>
      </c>
      <c r="AE25" s="31" t="inlineStr">
        <is>
          <t>Neutral Elo baseline; executable ask 0.5500 (market_slug=aec-cs2-fxw7-bst-2026-08-01).</t>
        </is>
      </c>
      <c r="AF25" s="31" t="inlineStr">
        <is>
          <t>Config-promoted esports baseline; gates enforced at log time.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research_observation</t>
        </is>
      </c>
      <c r="AL25" s="26" t="n">
        <v>3</v>
      </c>
      <c r="AM25" s="24" t="inlineStr">
        <is>
          <t>RESEARCH_OBSERVATION</t>
        </is>
      </c>
      <c r="AN25" s="24" t="inlineStr">
        <is>
          <t>NO_CALL</t>
        </is>
      </c>
      <c r="AO25" s="24" t="inlineStr">
        <is>
          <t>NO_CALL_LOW_EDGE</t>
        </is>
      </c>
      <c r="AP25" s="24" t="inlineStr">
        <is>
          <t>BESTIA</t>
        </is>
      </c>
      <c r="AQ25" s="24" t="inlineStr">
        <is>
          <t>BESTIA</t>
        </is>
      </c>
      <c r="AR25" s="24" t="inlineStr">
        <is>
          <t>BESTIA</t>
        </is>
      </c>
      <c r="AS25" s="24" t="inlineStr">
        <is>
          <t>Fluxo W7M</t>
        </is>
      </c>
      <c r="AT25" s="24" t="inlineStr">
        <is>
          <t>Fluxo W7M</t>
        </is>
      </c>
      <c r="AU25" s="24" t="inlineStr">
        <is>
          <t>Fluxo W7M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f6d2fa0ca8b81c54d58e3a0dd012b6abf75d85968658b943eac9026c05b0a2bb</t>
        </is>
      </c>
      <c r="BB25" s="24" t="inlineStr">
        <is>
          <t>neutral_elo</t>
        </is>
      </c>
      <c r="BC25" s="24" t="inlineStr">
        <is>
          <t>cs2-tiered-elo-v5</t>
        </is>
      </c>
      <c r="BD25" s="24" t="inlineStr">
        <is>
          <t>f6d2fa0ca8b81c54d58e3a0dd012b6abf75d85968658b943eac9026c05b0a2bb</t>
        </is>
      </c>
      <c r="BE25" s="24" t="inlineStr">
        <is>
          <t>1</t>
        </is>
      </c>
      <c r="BF25" s="24" t="inlineStr">
        <is>
          <t>1</t>
        </is>
      </c>
      <c r="BG25" s="24" t="inlineStr">
        <is>
          <t>cs2-tiered-elo-v5</t>
        </is>
      </c>
      <c r="BH25" s="24" t="inlineStr">
        <is>
          <t>2026-08-01T20:18:30.682999Z</t>
        </is>
      </c>
      <c r="BI25" s="24" t="inlineStr">
        <is>
          <t>["same_event","same_team_same_day","same_league_same_day"]</t>
        </is>
      </c>
      <c r="BJ25" s="25" t="n"/>
      <c r="BK25" s="26" t="n">
        <v>-122</v>
      </c>
      <c r="BL25" s="27" t="n">
        <v>1.819672</v>
      </c>
      <c r="BM25" s="28" t="n">
        <v>0.54955</v>
      </c>
      <c r="BN25" s="28" t="n"/>
      <c r="BO25" s="28" t="n"/>
      <c r="BP25" s="25" t="n"/>
      <c r="BQ25" s="27" t="n">
        <v>1.819672</v>
      </c>
      <c r="BR25" s="28" t="n">
        <v>0.55</v>
      </c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</row>
    <row r="26" ht="36" customHeight="1">
      <c r="A26" s="24" t="inlineStr">
        <is>
          <t>c34108fc34b14497</t>
        </is>
      </c>
      <c r="B26" s="24" t="inlineStr">
        <is>
          <t>2026-08-01T23:54:53.636521Z</t>
        </is>
      </c>
      <c r="C26" s="24" t="inlineStr">
        <is>
          <t>2026-08-02T00:30:00Z</t>
        </is>
      </c>
      <c r="D26" s="24" t="inlineStr">
        <is>
          <t>68172</t>
        </is>
      </c>
      <c r="E26" s="24" t="inlineStr">
        <is>
          <t>CS2</t>
        </is>
      </c>
      <c r="F26" s="24" t="inlineStr">
        <is>
          <t>Marsborne</t>
        </is>
      </c>
      <c r="G26" s="24" t="inlineStr">
        <is>
          <t>SportsBetExpert</t>
        </is>
      </c>
      <c r="H26" s="24" t="inlineStr">
        <is>
          <t>moneyline</t>
        </is>
      </c>
      <c r="I26" s="24" t="inlineStr">
        <is>
          <t>away</t>
        </is>
      </c>
      <c r="J26" s="25" t="n"/>
      <c r="K26" s="24" t="inlineStr">
        <is>
          <t>polymarket_us</t>
        </is>
      </c>
      <c r="L26" s="26" t="n">
        <v>-127</v>
      </c>
      <c r="M26" s="27" t="n">
        <v>1.787402</v>
      </c>
      <c r="N26" s="28" t="n">
        <v>0.5594710000000001</v>
      </c>
      <c r="O26" s="28" t="n">
        <v>0.600127</v>
      </c>
      <c r="P26" s="28" t="n"/>
      <c r="Q26" s="28" t="n">
        <v>0.040656</v>
      </c>
      <c r="R26" s="26" t="n">
        <v>40</v>
      </c>
      <c r="S26" s="29" t="n">
        <v>1.25</v>
      </c>
      <c r="T26" s="24" t="inlineStr">
        <is>
          <t>cs2-tiered-elo-v5</t>
        </is>
      </c>
      <c r="U26" s="24" t="inlineStr">
        <is>
          <t>settled</t>
        </is>
      </c>
      <c r="V26" s="24" t="inlineStr">
        <is>
          <t>loss</t>
        </is>
      </c>
      <c r="W26" s="26" t="n">
        <v>0</v>
      </c>
      <c r="X26" s="26" t="n">
        <v>1</v>
      </c>
      <c r="Y26" s="25" t="n"/>
      <c r="Z26" s="26" t="n">
        <v>-127</v>
      </c>
      <c r="AA26" s="28" t="n">
        <v>0.5600000000000001</v>
      </c>
      <c r="AB26" s="28" t="n">
        <v>0.000529</v>
      </c>
      <c r="AC26" s="30" t="n">
        <v>-1.25</v>
      </c>
      <c r="AD26" s="24" t="inlineStr">
        <is>
          <t>2026-08-02T03:26:10.888583Z</t>
        </is>
      </c>
      <c r="AE26" s="31" t="inlineStr">
        <is>
          <t>Neutral Elo baseline; executable ask 0.5600 (market_slug=aec-cs2-spo-mars-2026-08-02).</t>
        </is>
      </c>
      <c r="AF26" s="31" t="inlineStr">
        <is>
          <t>Config-promoted esports baseline; gates enforced at log time.</t>
        </is>
      </c>
      <c r="AG26" s="24" t="inlineStr">
        <is>
          <t>review_required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3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Marsborne</t>
        </is>
      </c>
      <c r="AQ26" s="24" t="inlineStr">
        <is>
          <t>Marsborne</t>
        </is>
      </c>
      <c r="AR26" s="24" t="inlineStr">
        <is>
          <t>Marsborne</t>
        </is>
      </c>
      <c r="AS26" s="24" t="inlineStr">
        <is>
          <t>SportsBetExpert</t>
        </is>
      </c>
      <c r="AT26" s="24" t="inlineStr">
        <is>
          <t>SportsBetExpert</t>
        </is>
      </c>
      <c r="AU26" s="24" t="inlineStr">
        <is>
          <t>SportsBetExpert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124bb01c66650940a67a9125e9f0677482f15aec343dc7b3e847d2027a63cccc</t>
        </is>
      </c>
      <c r="BB26" s="24" t="inlineStr">
        <is>
          <t>neutral_elo</t>
        </is>
      </c>
      <c r="BC26" s="24" t="inlineStr">
        <is>
          <t>cs2-tiered-elo-v5</t>
        </is>
      </c>
      <c r="BD26" s="24" t="inlineStr">
        <is>
          <t>124bb01c66650940a67a9125e9f0677482f15aec343dc7b3e847d2027a63cccc</t>
        </is>
      </c>
      <c r="BE26" s="24" t="inlineStr">
        <is>
          <t>1</t>
        </is>
      </c>
      <c r="BF26" s="24" t="inlineStr">
        <is>
          <t>1</t>
        </is>
      </c>
      <c r="BG26" s="24" t="inlineStr">
        <is>
          <t>cs2-tiered-elo-v5</t>
        </is>
      </c>
      <c r="BH26" s="24" t="inlineStr">
        <is>
          <t>2026-08-01T23:54:40.651895Z</t>
        </is>
      </c>
      <c r="BI26" s="24" t="inlineStr">
        <is>
          <t>["same_event","same_team_same_day","same_league_same_day"]</t>
        </is>
      </c>
      <c r="BJ26" s="25" t="n"/>
      <c r="BK26" s="26" t="n">
        <v>-127</v>
      </c>
      <c r="BL26" s="27" t="n">
        <v>1.787402</v>
      </c>
      <c r="BM26" s="28" t="n">
        <v>0.5594710000000001</v>
      </c>
      <c r="BN26" s="28" t="n"/>
      <c r="BO26" s="28" t="n"/>
      <c r="BP26" s="25" t="n"/>
      <c r="BQ26" s="27" t="n">
        <v>1.787402</v>
      </c>
      <c r="BR26" s="28" t="n">
        <v>0.5600000000000001</v>
      </c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</row>
    <row r="27" ht="36" customHeight="1">
      <c r="A27" s="24" t="inlineStr">
        <is>
          <t>e76cd04180224da1</t>
        </is>
      </c>
      <c r="B27" s="24" t="inlineStr">
        <is>
          <t>2026-08-02T05:46:09.037156Z</t>
        </is>
      </c>
      <c r="C27" s="24" t="inlineStr">
        <is>
          <t>2026-08-02T06:00:00Z</t>
        </is>
      </c>
      <c r="D27" s="24" t="inlineStr">
        <is>
          <t>69473</t>
        </is>
      </c>
      <c r="E27" s="24" t="inlineStr">
        <is>
          <t>CS2</t>
        </is>
      </c>
      <c r="F27" s="24" t="inlineStr">
        <is>
          <t>Donstu Esports</t>
        </is>
      </c>
      <c r="G27" s="24" t="inlineStr">
        <is>
          <t>Omega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-163</v>
      </c>
      <c r="M27" s="27" t="n">
        <v>1.613497</v>
      </c>
      <c r="N27" s="28" t="n">
        <v>0.619772</v>
      </c>
      <c r="O27" s="28" t="n">
        <v>0.516714</v>
      </c>
      <c r="P27" s="28" t="n"/>
      <c r="Q27" s="28" t="n">
        <v>-0.103058</v>
      </c>
      <c r="R27" s="26" t="n">
        <v>0</v>
      </c>
      <c r="S27" s="29" t="n">
        <v>1</v>
      </c>
      <c r="T27" s="24" t="inlineStr">
        <is>
          <t>cs2-tiered-elo-v5</t>
        </is>
      </c>
      <c r="U27" s="24" t="inlineStr">
        <is>
          <t>settled</t>
        </is>
      </c>
      <c r="V27" s="24" t="inlineStr">
        <is>
          <t>win</t>
        </is>
      </c>
      <c r="W27" s="26" t="n">
        <v>0</v>
      </c>
      <c r="X27" s="26" t="n">
        <v>1</v>
      </c>
      <c r="Y27" s="25" t="n"/>
      <c r="Z27" s="26" t="n">
        <v>-233</v>
      </c>
      <c r="AA27" s="28" t="n">
        <v>0.7</v>
      </c>
      <c r="AB27" s="28" t="n">
        <v>0.08022799999999999</v>
      </c>
      <c r="AC27" s="30" t="n">
        <v>0.6135</v>
      </c>
      <c r="AD27" s="24" t="inlineStr">
        <is>
          <t>2026-08-02T08:20:46.255052Z</t>
        </is>
      </c>
      <c r="AE27" s="31" t="inlineStr">
        <is>
          <t>Neutral Elo baseline; executable ask 0.6200 (market_slug=aec-cs2-omg-dnt-2026-08-02).</t>
        </is>
      </c>
      <c r="AF27" s="31" t="inlineStr">
        <is>
          <t>Config-promoted esports baseline; gates enforced at log time.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research_observation</t>
        </is>
      </c>
      <c r="AL27" s="26" t="n">
        <v>3</v>
      </c>
      <c r="AM27" s="24" t="inlineStr">
        <is>
          <t>RESEARCH_OBSERVATION</t>
        </is>
      </c>
      <c r="AN27" s="24" t="inlineStr">
        <is>
          <t>NO_CALL</t>
        </is>
      </c>
      <c r="AO27" s="24" t="inlineStr">
        <is>
          <t>NO_CALL_LOW_EDGE</t>
        </is>
      </c>
      <c r="AP27" s="24" t="inlineStr">
        <is>
          <t>Donstu Esports</t>
        </is>
      </c>
      <c r="AQ27" s="24" t="inlineStr">
        <is>
          <t>Donstu Esports</t>
        </is>
      </c>
      <c r="AR27" s="24" t="inlineStr">
        <is>
          <t>Donstu Esports</t>
        </is>
      </c>
      <c r="AS27" s="24" t="inlineStr">
        <is>
          <t>Omega</t>
        </is>
      </c>
      <c r="AT27" s="24" t="inlineStr">
        <is>
          <t>Omega</t>
        </is>
      </c>
      <c r="AU27" s="24" t="inlineStr">
        <is>
          <t>Omega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890f1896c7e0d77ff69d9df2bbddadb5ff0c26cc29c26b7bddf0796d0d1f6a99</t>
        </is>
      </c>
      <c r="BB27" s="24" t="inlineStr">
        <is>
          <t>neutral_elo</t>
        </is>
      </c>
      <c r="BC27" s="24" t="inlineStr">
        <is>
          <t>cs2-tiered-elo-v5</t>
        </is>
      </c>
      <c r="BD27" s="24" t="inlineStr">
        <is>
          <t>890f1896c7e0d77ff69d9df2bbddadb5ff0c26cc29c26b7bddf0796d0d1f6a99</t>
        </is>
      </c>
      <c r="BE27" s="24" t="inlineStr">
        <is>
          <t>1</t>
        </is>
      </c>
      <c r="BF27" s="24" t="inlineStr">
        <is>
          <t>1</t>
        </is>
      </c>
      <c r="BG27" s="24" t="inlineStr">
        <is>
          <t>cs2-tiered-elo-v5</t>
        </is>
      </c>
      <c r="BH27" s="24" t="inlineStr">
        <is>
          <t>2026-08-02T05:45:44.454299Z</t>
        </is>
      </c>
      <c r="BI27" s="24" t="inlineStr">
        <is>
          <t>["same_event","same_team_same_day","same_league_same_day"]</t>
        </is>
      </c>
      <c r="BJ27" s="25" t="n"/>
      <c r="BK27" s="26" t="n">
        <v>-163</v>
      </c>
      <c r="BL27" s="27" t="n">
        <v>1.613497</v>
      </c>
      <c r="BM27" s="28" t="n">
        <v>0.619772</v>
      </c>
      <c r="BN27" s="28" t="n"/>
      <c r="BO27" s="28" t="n"/>
      <c r="BP27" s="25" t="n"/>
      <c r="BQ27" s="27" t="n">
        <v>1.429185</v>
      </c>
      <c r="BR27" s="28" t="n">
        <v>0.7</v>
      </c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</row>
    <row r="28" ht="36" customHeight="1">
      <c r="A28" s="24" t="inlineStr">
        <is>
          <t>4acb1571094d423e</t>
        </is>
      </c>
      <c r="B28" s="24" t="inlineStr">
        <is>
          <t>2026-08-02T07:16:24.505191Z</t>
        </is>
      </c>
      <c r="C28" s="24" t="inlineStr">
        <is>
          <t>2026-08-02T08:00:00Z</t>
        </is>
      </c>
      <c r="D28" s="24" t="inlineStr">
        <is>
          <t>66782</t>
        </is>
      </c>
      <c r="E28" s="24" t="inlineStr">
        <is>
          <t>CS2</t>
        </is>
      </c>
      <c r="F28" s="24" t="inlineStr">
        <is>
          <t>Fire Flux Esports</t>
        </is>
      </c>
      <c r="G28" s="24" t="inlineStr">
        <is>
          <t>WRAITH PCIFIC</t>
        </is>
      </c>
      <c r="H28" s="24" t="inlineStr">
        <is>
          <t>moneyline</t>
        </is>
      </c>
      <c r="I28" s="24" t="inlineStr">
        <is>
          <t>home</t>
        </is>
      </c>
      <c r="J28" s="25" t="n"/>
      <c r="K28" s="24" t="inlineStr">
        <is>
          <t>polymarket_us</t>
        </is>
      </c>
      <c r="L28" s="26" t="n">
        <v>133</v>
      </c>
      <c r="M28" s="27" t="n">
        <v>2.33</v>
      </c>
      <c r="N28" s="28" t="n">
        <v>0.429185</v>
      </c>
      <c r="O28" s="28" t="n">
        <v>0.685703</v>
      </c>
      <c r="P28" s="28" t="n"/>
      <c r="Q28" s="28" t="n">
        <v>0.256518</v>
      </c>
      <c r="R28" s="26" t="n">
        <v>100</v>
      </c>
      <c r="S28" s="29" t="n">
        <v>2</v>
      </c>
      <c r="T28" s="24" t="inlineStr">
        <is>
          <t>cs2-tiered-elo-v5</t>
        </is>
      </c>
      <c r="U28" s="24" t="inlineStr">
        <is>
          <t>open</t>
        </is>
      </c>
      <c r="V28" s="24" t="n"/>
      <c r="W28" s="26" t="n"/>
      <c r="X28" s="26" t="n"/>
      <c r="Y28" s="25" t="n"/>
      <c r="Z28" s="26" t="n"/>
      <c r="AA28" s="28" t="n"/>
      <c r="AB28" s="28" t="n"/>
      <c r="AC28" s="30" t="n"/>
      <c r="AD28" s="24" t="n"/>
      <c r="AE28" s="31" t="inlineStr">
        <is>
          <t>Neutral Elo baseline; executable ask 0.4300 (market_slug=aec-cs2-pcific-ff-2026-08-02).</t>
        </is>
      </c>
      <c r="AF28" s="31" t="inlineStr">
        <is>
          <t>Config-promoted esports baseline; gates enforced at log time.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research_observation</t>
        </is>
      </c>
      <c r="AL28" s="26" t="n">
        <v>3</v>
      </c>
      <c r="AM28" s="24" t="inlineStr">
        <is>
          <t>RESEARCH_OBSERVATION</t>
        </is>
      </c>
      <c r="AN28" s="24" t="inlineStr">
        <is>
          <t>NO_CALL</t>
        </is>
      </c>
      <c r="AO28" s="24" t="inlineStr">
        <is>
          <t>NO_CALL_MODEL_UNVALIDATED</t>
        </is>
      </c>
      <c r="AP28" s="24" t="inlineStr">
        <is>
          <t>Fire Flux Esports</t>
        </is>
      </c>
      <c r="AQ28" s="24" t="inlineStr">
        <is>
          <t>Fire Flux Esports</t>
        </is>
      </c>
      <c r="AR28" s="24" t="inlineStr">
        <is>
          <t>Fire Flux Esports</t>
        </is>
      </c>
      <c r="AS28" s="24" t="inlineStr">
        <is>
          <t>WRAITH PCIFIC</t>
        </is>
      </c>
      <c r="AT28" s="24" t="inlineStr">
        <is>
          <t>WRAITH PCIFIC</t>
        </is>
      </c>
      <c r="AU28" s="24" t="inlineStr">
        <is>
          <t>WRAITH PCIFIC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43d985cc5d70edc577b4f1cac09fef882d817938dc77ba88e4cdf7954d2f8c58</t>
        </is>
      </c>
      <c r="BB28" s="24" t="inlineStr">
        <is>
          <t>neutral_elo</t>
        </is>
      </c>
      <c r="BC28" s="24" t="inlineStr">
        <is>
          <t>cs2-tiered-elo-v5</t>
        </is>
      </c>
      <c r="BD28" s="24" t="inlineStr">
        <is>
          <t>43d985cc5d70edc577b4f1cac09fef882d817938dc77ba88e4cdf7954d2f8c58</t>
        </is>
      </c>
      <c r="BE28" s="24" t="inlineStr">
        <is>
          <t>1</t>
        </is>
      </c>
      <c r="BF28" s="24" t="inlineStr">
        <is>
          <t>1</t>
        </is>
      </c>
      <c r="BG28" s="24" t="inlineStr">
        <is>
          <t>cs2-tiered-elo-v5</t>
        </is>
      </c>
      <c r="BH28" s="24" t="inlineStr">
        <is>
          <t>2026-08-02T07:16:00.086133Z</t>
        </is>
      </c>
      <c r="BI28" s="24" t="inlineStr">
        <is>
          <t>["same_event","same_team_same_day","same_league_same_day"]</t>
        </is>
      </c>
      <c r="BJ28" s="25" t="n"/>
      <c r="BK28" s="26" t="n">
        <v>133</v>
      </c>
      <c r="BL28" s="27" t="n">
        <v>2.33</v>
      </c>
      <c r="BM28" s="28" t="n">
        <v>0.429185</v>
      </c>
      <c r="BN28" s="28" t="n"/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</row>
    <row r="29" ht="36" customHeight="1">
      <c r="A29" s="24" t="inlineStr">
        <is>
          <t>0276cc81aadc4f01</t>
        </is>
      </c>
      <c r="B29" s="24" t="inlineStr">
        <is>
          <t>2026-08-02T10:00:04.561525Z</t>
        </is>
      </c>
      <c r="C29" s="24" t="inlineStr">
        <is>
          <t>2026-08-02T10:30:00Z</t>
        </is>
      </c>
      <c r="D29" s="24" t="inlineStr">
        <is>
          <t>66836</t>
        </is>
      </c>
      <c r="E29" s="24" t="inlineStr">
        <is>
          <t>CS2</t>
        </is>
      </c>
      <c r="F29" s="24" t="inlineStr">
        <is>
          <t>Sangal ALTERS</t>
        </is>
      </c>
      <c r="G29" s="24" t="inlineStr">
        <is>
          <t>Teletubisie</t>
        </is>
      </c>
      <c r="H29" s="24" t="inlineStr">
        <is>
          <t>moneyline</t>
        </is>
      </c>
      <c r="I29" s="24" t="inlineStr">
        <is>
          <t>home</t>
        </is>
      </c>
      <c r="J29" s="25" t="n"/>
      <c r="K29" s="24" t="inlineStr">
        <is>
          <t>polymarket_us</t>
        </is>
      </c>
      <c r="L29" s="26" t="n">
        <v>-104</v>
      </c>
      <c r="M29" s="27" t="n">
        <v>1.961538</v>
      </c>
      <c r="N29" s="28" t="n">
        <v>0.509804</v>
      </c>
      <c r="O29" s="28" t="n">
        <v>0.690561</v>
      </c>
      <c r="P29" s="28" t="n"/>
      <c r="Q29" s="28" t="n">
        <v>0.180757</v>
      </c>
      <c r="R29" s="26" t="n">
        <v>100</v>
      </c>
      <c r="S29" s="29" t="n">
        <v>2</v>
      </c>
      <c r="T29" s="24" t="inlineStr">
        <is>
          <t>cs2-tiered-elo-v5</t>
        </is>
      </c>
      <c r="U29" s="24" t="inlineStr">
        <is>
          <t>open</t>
        </is>
      </c>
      <c r="V29" s="24" t="n"/>
      <c r="W29" s="26" t="n"/>
      <c r="X29" s="26" t="n"/>
      <c r="Y29" s="25" t="n"/>
      <c r="Z29" s="26" t="n"/>
      <c r="AA29" s="28" t="n"/>
      <c r="AB29" s="28" t="n"/>
      <c r="AC29" s="30" t="n"/>
      <c r="AD29" s="24" t="n"/>
      <c r="AE29" s="31" t="inlineStr">
        <is>
          <t>Neutral Elo baseline; executable ask 0.5100 (market_slug=aec-cs2-ttbs-sng-2026-08-02).</t>
        </is>
      </c>
      <c r="AF29" s="31" t="inlineStr">
        <is>
          <t>Config-promoted esports baseline; gates enforced at log time.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model_qualified</t>
        </is>
      </c>
      <c r="AL29" s="26" t="n">
        <v>3</v>
      </c>
      <c r="AM29" s="24" t="inlineStr">
        <is>
          <t>QUALIFIED_SHADOW_CALL</t>
        </is>
      </c>
      <c r="AN29" s="24" t="inlineStr">
        <is>
          <t>CALL</t>
        </is>
      </c>
      <c r="AO29" s="24" t="inlineStr">
        <is>
          <t>QUALIFIED</t>
        </is>
      </c>
      <c r="AP29" s="24" t="inlineStr">
        <is>
          <t>Sangal ALTERS</t>
        </is>
      </c>
      <c r="AQ29" s="24" t="inlineStr">
        <is>
          <t>Sangal ALTERS</t>
        </is>
      </c>
      <c r="AR29" s="24" t="inlineStr">
        <is>
          <t>Sangal ALTERS</t>
        </is>
      </c>
      <c r="AS29" s="24" t="inlineStr">
        <is>
          <t>Teletubisie</t>
        </is>
      </c>
      <c r="AT29" s="24" t="inlineStr">
        <is>
          <t>Teletubisie</t>
        </is>
      </c>
      <c r="AU29" s="24" t="inlineStr">
        <is>
          <t>Teletubisie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06138ffc8334cb69044b84c6e2b37aa9a4e0b6bd4f08ef7c62950d9e210f4364</t>
        </is>
      </c>
      <c r="BB29" s="24" t="inlineStr">
        <is>
          <t>neutral_elo</t>
        </is>
      </c>
      <c r="BC29" s="24" t="inlineStr">
        <is>
          <t>cs2-tiered-elo-v5</t>
        </is>
      </c>
      <c r="BD29" s="24" t="inlineStr">
        <is>
          <t>06138ffc8334cb69044b84c6e2b37aa9a4e0b6bd4f08ef7c62950d9e210f4364</t>
        </is>
      </c>
      <c r="BE29" s="24" t="inlineStr">
        <is>
          <t>1</t>
        </is>
      </c>
      <c r="BF29" s="24" t="inlineStr">
        <is>
          <t>1</t>
        </is>
      </c>
      <c r="BG29" s="24" t="inlineStr">
        <is>
          <t>cs2-tiered-elo-v5</t>
        </is>
      </c>
      <c r="BH29" s="24" t="inlineStr">
        <is>
          <t>2026-08-02T09:59:44.064703Z</t>
        </is>
      </c>
      <c r="BI29" s="24" t="inlineStr">
        <is>
          <t>["same_event","same_team_same_day","same_league_same_day"]</t>
        </is>
      </c>
      <c r="BJ29" s="25" t="n"/>
      <c r="BK29" s="26" t="n">
        <v>-104</v>
      </c>
      <c r="BL29" s="27" t="n">
        <v>1.961538</v>
      </c>
      <c r="BM29" s="28" t="n">
        <v>0.509804</v>
      </c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</row>
    <row r="30" ht="36" customHeight="1">
      <c r="A30" s="24" t="inlineStr">
        <is>
          <t>7890942306624702</t>
        </is>
      </c>
      <c r="B30" s="24" t="inlineStr">
        <is>
          <t>2026-08-02T10:00:04.561525Z</t>
        </is>
      </c>
      <c r="C30" s="24" t="inlineStr">
        <is>
          <t>2026-08-02T11:00:00Z</t>
        </is>
      </c>
      <c r="D30" s="24" t="inlineStr">
        <is>
          <t>69252</t>
        </is>
      </c>
      <c r="E30" s="24" t="inlineStr">
        <is>
          <t>CS2</t>
        </is>
      </c>
      <c r="F30" s="24" t="inlineStr">
        <is>
          <t>NEW VISION</t>
        </is>
      </c>
      <c r="G30" s="24" t="inlineStr">
        <is>
          <t>Inner Circle Academy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-133</v>
      </c>
      <c r="M30" s="27" t="n">
        <v>1.75188</v>
      </c>
      <c r="N30" s="28" t="n">
        <v>0.570815</v>
      </c>
      <c r="O30" s="28" t="n">
        <v>0.539324</v>
      </c>
      <c r="P30" s="28" t="n"/>
      <c r="Q30" s="28" t="n">
        <v>-0.031491</v>
      </c>
      <c r="R30" s="26" t="n">
        <v>4</v>
      </c>
      <c r="S30" s="29" t="n">
        <v>1</v>
      </c>
      <c r="T30" s="24" t="inlineStr">
        <is>
          <t>cs2-tiered-elo-v5</t>
        </is>
      </c>
      <c r="U30" s="24" t="inlineStr">
        <is>
          <t>open</t>
        </is>
      </c>
      <c r="V30" s="24" t="n"/>
      <c r="W30" s="26" t="n"/>
      <c r="X30" s="26" t="n"/>
      <c r="Y30" s="25" t="n"/>
      <c r="Z30" s="26" t="n"/>
      <c r="AA30" s="28" t="n"/>
      <c r="AB30" s="28" t="n"/>
      <c r="AC30" s="30" t="n"/>
      <c r="AD30" s="24" t="n"/>
      <c r="AE30" s="31" t="inlineStr">
        <is>
          <t>Neutral Elo baseline; executable ask 0.5700 (market_slug=aec-cs2-ica-nve-2026-08-02).</t>
        </is>
      </c>
      <c r="AF30" s="31" t="inlineStr">
        <is>
          <t>Config-promoted esports baseline; gates enforced at log time.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research_observation</t>
        </is>
      </c>
      <c r="AL30" s="26" t="n">
        <v>3</v>
      </c>
      <c r="AM30" s="24" t="inlineStr">
        <is>
          <t>RESEARCH_OBSERVATION</t>
        </is>
      </c>
      <c r="AN30" s="24" t="inlineStr">
        <is>
          <t>NO_CALL</t>
        </is>
      </c>
      <c r="AO30" s="24" t="inlineStr">
        <is>
          <t>NO_CALL_LOW_EDGE</t>
        </is>
      </c>
      <c r="AP30" s="24" t="inlineStr">
        <is>
          <t>NEW VISION</t>
        </is>
      </c>
      <c r="AQ30" s="24" t="inlineStr">
        <is>
          <t>NEW VISION</t>
        </is>
      </c>
      <c r="AR30" s="24" t="inlineStr">
        <is>
          <t>NEW VISION</t>
        </is>
      </c>
      <c r="AS30" s="24" t="inlineStr">
        <is>
          <t>Inner Circle Academy</t>
        </is>
      </c>
      <c r="AT30" s="24" t="inlineStr">
        <is>
          <t>Inner Circle Academy</t>
        </is>
      </c>
      <c r="AU30" s="24" t="inlineStr">
        <is>
          <t>Inner Circle Academy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06138ffc8334cb69044b84c6e2b37aa9a4e0b6bd4f08ef7c62950d9e210f4364</t>
        </is>
      </c>
      <c r="BB30" s="24" t="inlineStr">
        <is>
          <t>neutral_elo</t>
        </is>
      </c>
      <c r="BC30" s="24" t="inlineStr">
        <is>
          <t>cs2-tiered-elo-v5</t>
        </is>
      </c>
      <c r="BD30" s="24" t="inlineStr">
        <is>
          <t>06138ffc8334cb69044b84c6e2b37aa9a4e0b6bd4f08ef7c62950d9e210f4364</t>
        </is>
      </c>
      <c r="BE30" s="24" t="inlineStr">
        <is>
          <t>1</t>
        </is>
      </c>
      <c r="BF30" s="24" t="inlineStr">
        <is>
          <t>1</t>
        </is>
      </c>
      <c r="BG30" s="24" t="inlineStr">
        <is>
          <t>cs2-tiered-elo-v5</t>
        </is>
      </c>
      <c r="BH30" s="24" t="inlineStr">
        <is>
          <t>2026-08-02T09:59:44.535838Z</t>
        </is>
      </c>
      <c r="BI30" s="24" t="inlineStr">
        <is>
          <t>["same_event","same_team_same_day","same_league_same_day"]</t>
        </is>
      </c>
      <c r="BJ30" s="25" t="n"/>
      <c r="BK30" s="26" t="n">
        <v>-133</v>
      </c>
      <c r="BL30" s="27" t="n">
        <v>1.75188</v>
      </c>
      <c r="BM30" s="28" t="n">
        <v>0.570815</v>
      </c>
      <c r="BN30" s="28" t="n"/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</row>
    <row r="31" ht="36" customHeight="1">
      <c r="A31" s="24" t="inlineStr">
        <is>
          <t>9f280e9d1f384c60</t>
        </is>
      </c>
      <c r="B31" s="24" t="inlineStr">
        <is>
          <t>2026-08-02T10:00:04.561525Z</t>
        </is>
      </c>
      <c r="C31" s="24" t="inlineStr">
        <is>
          <t>2026-08-02T13:00:00Z</t>
        </is>
      </c>
      <c r="D31" s="24" t="inlineStr">
        <is>
          <t>68673</t>
        </is>
      </c>
      <c r="E31" s="24" t="inlineStr">
        <is>
          <t>CS2</t>
        </is>
      </c>
      <c r="F31" s="24" t="inlineStr">
        <is>
          <t>Sashi Esport</t>
        </is>
      </c>
      <c r="G31" s="24" t="inlineStr">
        <is>
          <t>Black Phoenix</t>
        </is>
      </c>
      <c r="H31" s="24" t="inlineStr">
        <is>
          <t>moneyline</t>
        </is>
      </c>
      <c r="I31" s="24" t="inlineStr">
        <is>
          <t>away</t>
        </is>
      </c>
      <c r="J31" s="25" t="n"/>
      <c r="K31" s="24" t="inlineStr">
        <is>
          <t>polymarket_us</t>
        </is>
      </c>
      <c r="L31" s="26" t="n">
        <v>-203</v>
      </c>
      <c r="M31" s="27" t="n">
        <v>1.492611</v>
      </c>
      <c r="N31" s="28" t="n">
        <v>0.669967</v>
      </c>
      <c r="O31" s="28" t="n">
        <v>0.593754</v>
      </c>
      <c r="P31" s="28" t="n"/>
      <c r="Q31" s="28" t="n">
        <v>-0.076213</v>
      </c>
      <c r="R31" s="26" t="n">
        <v>0</v>
      </c>
      <c r="S31" s="29" t="n">
        <v>1.25</v>
      </c>
      <c r="T31" s="24" t="inlineStr">
        <is>
          <t>cs2-tiered-elo-v5</t>
        </is>
      </c>
      <c r="U31" s="24" t="inlineStr">
        <is>
          <t>open</t>
        </is>
      </c>
      <c r="V31" s="24" t="n"/>
      <c r="W31" s="26" t="n"/>
      <c r="X31" s="26" t="n"/>
      <c r="Y31" s="25" t="n"/>
      <c r="Z31" s="26" t="n"/>
      <c r="AA31" s="28" t="n"/>
      <c r="AB31" s="28" t="n"/>
      <c r="AC31" s="30" t="n"/>
      <c r="AD31" s="24" t="n"/>
      <c r="AE31" s="31" t="inlineStr">
        <is>
          <t>Neutral Elo baseline; executable ask 0.6700 (market_slug=aec-cs2-bpl-sashi-2026-08-02).</t>
        </is>
      </c>
      <c r="AF31" s="31" t="inlineStr">
        <is>
          <t>Config-promoted esports baseline; gates enforced at log time.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research_observation</t>
        </is>
      </c>
      <c r="AL31" s="26" t="n">
        <v>3</v>
      </c>
      <c r="AM31" s="24" t="inlineStr">
        <is>
          <t>RESEARCH_OBSERVATION</t>
        </is>
      </c>
      <c r="AN31" s="24" t="inlineStr">
        <is>
          <t>NO_CALL</t>
        </is>
      </c>
      <c r="AO31" s="24" t="inlineStr">
        <is>
          <t>NO_CALL_LOW_EDGE</t>
        </is>
      </c>
      <c r="AP31" s="24" t="inlineStr">
        <is>
          <t>Sashi Esport</t>
        </is>
      </c>
      <c r="AQ31" s="24" t="inlineStr">
        <is>
          <t>Sashi Esport</t>
        </is>
      </c>
      <c r="AR31" s="24" t="inlineStr">
        <is>
          <t>Sashi Esport</t>
        </is>
      </c>
      <c r="AS31" s="24" t="inlineStr">
        <is>
          <t>Black Phoenix</t>
        </is>
      </c>
      <c r="AT31" s="24" t="inlineStr">
        <is>
          <t>Black Phoenix</t>
        </is>
      </c>
      <c r="AU31" s="24" t="inlineStr">
        <is>
          <t>Black Phoenix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06138ffc8334cb69044b84c6e2b37aa9a4e0b6bd4f08ef7c62950d9e210f4364</t>
        </is>
      </c>
      <c r="BB31" s="24" t="inlineStr">
        <is>
          <t>neutral_elo</t>
        </is>
      </c>
      <c r="BC31" s="24" t="inlineStr">
        <is>
          <t>cs2-tiered-elo-v5</t>
        </is>
      </c>
      <c r="BD31" s="24" t="inlineStr">
        <is>
          <t>06138ffc8334cb69044b84c6e2b37aa9a4e0b6bd4f08ef7c62950d9e210f4364</t>
        </is>
      </c>
      <c r="BE31" s="24" t="inlineStr">
        <is>
          <t>1</t>
        </is>
      </c>
      <c r="BF31" s="24" t="inlineStr">
        <is>
          <t>1</t>
        </is>
      </c>
      <c r="BG31" s="24" t="inlineStr">
        <is>
          <t>cs2-tiered-elo-v5</t>
        </is>
      </c>
      <c r="BH31" s="24" t="inlineStr">
        <is>
          <t>2026-08-02T09:59:45.037220Z</t>
        </is>
      </c>
      <c r="BI31" s="24" t="inlineStr">
        <is>
          <t>["same_event","same_team_same_day","same_league_same_day"]</t>
        </is>
      </c>
      <c r="BJ31" s="25" t="n"/>
      <c r="BK31" s="26" t="n">
        <v>-203</v>
      </c>
      <c r="BL31" s="27" t="n">
        <v>1.492611</v>
      </c>
      <c r="BM31" s="28" t="n">
        <v>0.669967</v>
      </c>
      <c r="BN31" s="28" t="n"/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</row>
    <row r="32" ht="36" customHeight="1">
      <c r="A32" s="24" t="inlineStr">
        <is>
          <t>3904a03493c1476b</t>
        </is>
      </c>
      <c r="B32" s="24" t="inlineStr">
        <is>
          <t>2026-08-02T10:00:04.561525Z</t>
        </is>
      </c>
      <c r="C32" s="24" t="inlineStr">
        <is>
          <t>2026-08-02T13:00:00Z</t>
        </is>
      </c>
      <c r="D32" s="24" t="inlineStr">
        <is>
          <t>68255</t>
        </is>
      </c>
      <c r="E32" s="24" t="inlineStr">
        <is>
          <t>CS2</t>
        </is>
      </c>
      <c r="F32" s="24" t="inlineStr">
        <is>
          <t>WBT</t>
        </is>
      </c>
      <c r="G32" s="24" t="inlineStr">
        <is>
          <t>MOUZ NXT</t>
        </is>
      </c>
      <c r="H32" s="24" t="inlineStr">
        <is>
          <t>moneyline</t>
        </is>
      </c>
      <c r="I32" s="24" t="inlineStr">
        <is>
          <t>away</t>
        </is>
      </c>
      <c r="J32" s="25" t="n"/>
      <c r="K32" s="24" t="inlineStr">
        <is>
          <t>polymarket_us</t>
        </is>
      </c>
      <c r="L32" s="26" t="n">
        <v>-133</v>
      </c>
      <c r="M32" s="27" t="n">
        <v>1.75188</v>
      </c>
      <c r="N32" s="28" t="n">
        <v>0.570815</v>
      </c>
      <c r="O32" s="28" t="n">
        <v>0.543392</v>
      </c>
      <c r="P32" s="28" t="n"/>
      <c r="Q32" s="28" t="n">
        <v>-0.027423</v>
      </c>
      <c r="R32" s="26" t="n">
        <v>6</v>
      </c>
      <c r="S32" s="29" t="n">
        <v>1</v>
      </c>
      <c r="T32" s="24" t="inlineStr">
        <is>
          <t>cs2-tiered-elo-v5</t>
        </is>
      </c>
      <c r="U32" s="24" t="inlineStr">
        <is>
          <t>open</t>
        </is>
      </c>
      <c r="V32" s="24" t="n"/>
      <c r="W32" s="26" t="n"/>
      <c r="X32" s="26" t="n"/>
      <c r="Y32" s="25" t="n"/>
      <c r="Z32" s="26" t="n"/>
      <c r="AA32" s="28" t="n"/>
      <c r="AB32" s="28" t="n"/>
      <c r="AC32" s="30" t="n"/>
      <c r="AD32" s="24" t="n"/>
      <c r="AE32" s="31" t="inlineStr">
        <is>
          <t>Neutral Elo baseline; executable ask 0.5700 (market_slug=aec-cs2-mouzn-wba-2026-08-02).</t>
        </is>
      </c>
      <c r="AF32" s="31" t="inlineStr">
        <is>
          <t>Config-promoted esports baseline; gates enforced at log time.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research_observation</t>
        </is>
      </c>
      <c r="AL32" s="26" t="n">
        <v>3</v>
      </c>
      <c r="AM32" s="24" t="inlineStr">
        <is>
          <t>RESEARCH_OBSERVATION</t>
        </is>
      </c>
      <c r="AN32" s="24" t="inlineStr">
        <is>
          <t>NO_CALL</t>
        </is>
      </c>
      <c r="AO32" s="24" t="inlineStr">
        <is>
          <t>NO_CALL_LOW_EDGE</t>
        </is>
      </c>
      <c r="AP32" s="24" t="inlineStr">
        <is>
          <t>WBT</t>
        </is>
      </c>
      <c r="AQ32" s="24" t="inlineStr">
        <is>
          <t>WBT</t>
        </is>
      </c>
      <c r="AR32" s="24" t="inlineStr">
        <is>
          <t>WBT</t>
        </is>
      </c>
      <c r="AS32" s="24" t="inlineStr">
        <is>
          <t>MOUZ NXT</t>
        </is>
      </c>
      <c r="AT32" s="24" t="inlineStr">
        <is>
          <t>MOUZ NXT</t>
        </is>
      </c>
      <c r="AU32" s="24" t="inlineStr">
        <is>
          <t>MOUZ NXT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06138ffc8334cb69044b84c6e2b37aa9a4e0b6bd4f08ef7c62950d9e210f4364</t>
        </is>
      </c>
      <c r="BB32" s="24" t="inlineStr">
        <is>
          <t>neutral_elo</t>
        </is>
      </c>
      <c r="BC32" s="24" t="inlineStr">
        <is>
          <t>cs2-tiered-elo-v5</t>
        </is>
      </c>
      <c r="BD32" s="24" t="inlineStr">
        <is>
          <t>06138ffc8334cb69044b84c6e2b37aa9a4e0b6bd4f08ef7c62950d9e210f4364</t>
        </is>
      </c>
      <c r="BE32" s="24" t="inlineStr">
        <is>
          <t>1</t>
        </is>
      </c>
      <c r="BF32" s="24" t="inlineStr">
        <is>
          <t>1</t>
        </is>
      </c>
      <c r="BG32" s="24" t="inlineStr">
        <is>
          <t>cs2-tiered-elo-v5</t>
        </is>
      </c>
      <c r="BH32" s="24" t="inlineStr">
        <is>
          <t>2026-08-02T09:59:45.600229Z</t>
        </is>
      </c>
      <c r="BI32" s="24" t="inlineStr">
        <is>
          <t>["same_event","same_team_same_day","same_league_same_day"]</t>
        </is>
      </c>
      <c r="BJ32" s="25" t="n"/>
      <c r="BK32" s="26" t="n">
        <v>-133</v>
      </c>
      <c r="BL32" s="27" t="n">
        <v>1.75188</v>
      </c>
      <c r="BM32" s="28" t="n">
        <v>0.570815</v>
      </c>
      <c r="BN32" s="28" t="n"/>
      <c r="BO32" s="28" t="n"/>
      <c r="BP32" s="25" t="n"/>
      <c r="BQ32" s="27" t="n"/>
      <c r="BR32" s="28" t="n"/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</row>
    <row r="33" ht="36" customHeight="1">
      <c r="A33" s="24" t="inlineStr">
        <is>
          <t>02a02b088b82494b</t>
        </is>
      </c>
      <c r="B33" s="24" t="inlineStr">
        <is>
          <t>2026-08-02T10:00:04.561525Z</t>
        </is>
      </c>
      <c r="C33" s="24" t="inlineStr">
        <is>
          <t>2026-08-02T13:00:00Z</t>
        </is>
      </c>
      <c r="D33" s="24" t="inlineStr">
        <is>
          <t>68256</t>
        </is>
      </c>
      <c r="E33" s="24" t="inlineStr">
        <is>
          <t>CS2</t>
        </is>
      </c>
      <c r="F33" s="24" t="inlineStr">
        <is>
          <t>Noir Verse</t>
        </is>
      </c>
      <c r="G33" s="24" t="inlineStr">
        <is>
          <t>los kogutos</t>
        </is>
      </c>
      <c r="H33" s="24" t="inlineStr">
        <is>
          <t>moneyline</t>
        </is>
      </c>
      <c r="I33" s="24" t="inlineStr">
        <is>
          <t>home</t>
        </is>
      </c>
      <c r="J33" s="25" t="n"/>
      <c r="K33" s="24" t="inlineStr">
        <is>
          <t>polymarket_us</t>
        </is>
      </c>
      <c r="L33" s="26" t="n">
        <v>-223</v>
      </c>
      <c r="M33" s="27" t="n">
        <v>1.44843</v>
      </c>
      <c r="N33" s="28" t="n">
        <v>0.690402</v>
      </c>
      <c r="O33" s="28" t="n">
        <v>0.620448</v>
      </c>
      <c r="P33" s="28" t="n"/>
      <c r="Q33" s="28" t="n">
        <v>-0.069954</v>
      </c>
      <c r="R33" s="26" t="n">
        <v>0</v>
      </c>
      <c r="S33" s="29" t="n">
        <v>1.5</v>
      </c>
      <c r="T33" s="24" t="inlineStr">
        <is>
          <t>cs2-tiered-elo-v5</t>
        </is>
      </c>
      <c r="U33" s="24" t="inlineStr">
        <is>
          <t>open</t>
        </is>
      </c>
      <c r="V33" s="24" t="n"/>
      <c r="W33" s="26" t="n"/>
      <c r="X33" s="26" t="n"/>
      <c r="Y33" s="25" t="n"/>
      <c r="Z33" s="26" t="n"/>
      <c r="AA33" s="28" t="n"/>
      <c r="AB33" s="28" t="n"/>
      <c r="AC33" s="30" t="n"/>
      <c r="AD33" s="24" t="n"/>
      <c r="AE33" s="31" t="inlineStr">
        <is>
          <t>Neutral Elo baseline; executable ask 0.6900 (market_slug=aec-cs2-lk-nvo-2026-08-02).</t>
        </is>
      </c>
      <c r="AF33" s="31" t="inlineStr">
        <is>
          <t>Config-promoted esports baseline; gates enforced at log time.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research_observation</t>
        </is>
      </c>
      <c r="AL33" s="26" t="n">
        <v>3</v>
      </c>
      <c r="AM33" s="24" t="inlineStr">
        <is>
          <t>RESEARCH_OBSERVATION</t>
        </is>
      </c>
      <c r="AN33" s="24" t="inlineStr">
        <is>
          <t>NO_CALL</t>
        </is>
      </c>
      <c r="AO33" s="24" t="inlineStr">
        <is>
          <t>NO_CALL_LOW_EDGE</t>
        </is>
      </c>
      <c r="AP33" s="24" t="inlineStr">
        <is>
          <t>Noir Verse</t>
        </is>
      </c>
      <c r="AQ33" s="24" t="inlineStr">
        <is>
          <t>Noir Verse</t>
        </is>
      </c>
      <c r="AR33" s="24" t="inlineStr">
        <is>
          <t>Noir Verse</t>
        </is>
      </c>
      <c r="AS33" s="24" t="inlineStr">
        <is>
          <t>los kogutos</t>
        </is>
      </c>
      <c r="AT33" s="24" t="inlineStr">
        <is>
          <t>los kogutos</t>
        </is>
      </c>
      <c r="AU33" s="24" t="inlineStr">
        <is>
          <t>los kogutos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06138ffc8334cb69044b84c6e2b37aa9a4e0b6bd4f08ef7c62950d9e210f4364</t>
        </is>
      </c>
      <c r="BB33" s="24" t="inlineStr">
        <is>
          <t>neutral_elo</t>
        </is>
      </c>
      <c r="BC33" s="24" t="inlineStr">
        <is>
          <t>cs2-tiered-elo-v5</t>
        </is>
      </c>
      <c r="BD33" s="24" t="inlineStr">
        <is>
          <t>06138ffc8334cb69044b84c6e2b37aa9a4e0b6bd4f08ef7c62950d9e210f4364</t>
        </is>
      </c>
      <c r="BE33" s="24" t="inlineStr">
        <is>
          <t>1</t>
        </is>
      </c>
      <c r="BF33" s="24" t="inlineStr">
        <is>
          <t>1</t>
        </is>
      </c>
      <c r="BG33" s="24" t="inlineStr">
        <is>
          <t>cs2-tiered-elo-v5</t>
        </is>
      </c>
      <c r="BH33" s="24" t="inlineStr">
        <is>
          <t>2026-08-02T09:59:46.158629Z</t>
        </is>
      </c>
      <c r="BI33" s="24" t="inlineStr">
        <is>
          <t>["same_event","same_team_same_day","same_league_same_day"]</t>
        </is>
      </c>
      <c r="BJ33" s="25" t="n"/>
      <c r="BK33" s="26" t="n">
        <v>-223</v>
      </c>
      <c r="BL33" s="27" t="n">
        <v>1.44843</v>
      </c>
      <c r="BM33" s="28" t="n">
        <v>0.690402</v>
      </c>
      <c r="BN33" s="28" t="n"/>
      <c r="BO33" s="28" t="n"/>
      <c r="BP33" s="25" t="n"/>
      <c r="BQ33" s="27" t="n"/>
      <c r="BR33" s="28" t="n"/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</row>
    <row r="34" ht="36" customHeight="1">
      <c r="A34" s="24" t="inlineStr">
        <is>
          <t>61b537b0f1324864</t>
        </is>
      </c>
      <c r="B34" s="24" t="inlineStr">
        <is>
          <t>2026-08-02T10:00:04.561525Z</t>
        </is>
      </c>
      <c r="C34" s="24" t="inlineStr">
        <is>
          <t>2026-08-02T13:00:00Z</t>
        </is>
      </c>
      <c r="D34" s="24" t="inlineStr">
        <is>
          <t>68257</t>
        </is>
      </c>
      <c r="E34" s="24" t="inlineStr">
        <is>
          <t>CS2</t>
        </is>
      </c>
      <c r="F34" s="24" t="inlineStr">
        <is>
          <t>Fortress</t>
        </is>
      </c>
      <c r="G34" s="24" t="inlineStr">
        <is>
          <t>DragonClaw</t>
        </is>
      </c>
      <c r="H34" s="24" t="inlineStr">
        <is>
          <t>moneyline</t>
        </is>
      </c>
      <c r="I34" s="24" t="inlineStr">
        <is>
          <t>home</t>
        </is>
      </c>
      <c r="J34" s="25" t="n"/>
      <c r="K34" s="24" t="inlineStr">
        <is>
          <t>polymarket_us</t>
        </is>
      </c>
      <c r="L34" s="26" t="n">
        <v>-113</v>
      </c>
      <c r="M34" s="27" t="n">
        <v>1.884956</v>
      </c>
      <c r="N34" s="28" t="n">
        <v>0.530516</v>
      </c>
      <c r="O34" s="28" t="n">
        <v>0.676069</v>
      </c>
      <c r="P34" s="28" t="n"/>
      <c r="Q34" s="28" t="n">
        <v>0.145553</v>
      </c>
      <c r="R34" s="26" t="n">
        <v>93</v>
      </c>
      <c r="S34" s="29" t="n">
        <v>1.75</v>
      </c>
      <c r="T34" s="24" t="inlineStr">
        <is>
          <t>cs2-tiered-elo-v5</t>
        </is>
      </c>
      <c r="U34" s="24" t="inlineStr">
        <is>
          <t>open</t>
        </is>
      </c>
      <c r="V34" s="24" t="n"/>
      <c r="W34" s="26" t="n"/>
      <c r="X34" s="26" t="n"/>
      <c r="Y34" s="25" t="n"/>
      <c r="Z34" s="26" t="n"/>
      <c r="AA34" s="28" t="n"/>
      <c r="AB34" s="28" t="n"/>
      <c r="AC34" s="30" t="n"/>
      <c r="AD34" s="24" t="n"/>
      <c r="AE34" s="31" t="inlineStr">
        <is>
          <t>Neutral Elo baseline; executable ask 0.5300 (market_slug=aec-cs2-dc-for-2026-08-02).</t>
        </is>
      </c>
      <c r="AF34" s="31" t="inlineStr">
        <is>
          <t>Config-promoted esports baseline; gates enforced at log time.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model_qualified</t>
        </is>
      </c>
      <c r="AL34" s="26" t="n">
        <v>3</v>
      </c>
      <c r="AM34" s="24" t="inlineStr">
        <is>
          <t>QUALIFIED_SHADOW_CALL</t>
        </is>
      </c>
      <c r="AN34" s="24" t="inlineStr">
        <is>
          <t>CALL</t>
        </is>
      </c>
      <c r="AO34" s="24" t="inlineStr">
        <is>
          <t>QUALIFIED</t>
        </is>
      </c>
      <c r="AP34" s="24" t="inlineStr">
        <is>
          <t>Fortress</t>
        </is>
      </c>
      <c r="AQ34" s="24" t="inlineStr">
        <is>
          <t>Fortress</t>
        </is>
      </c>
      <c r="AR34" s="24" t="inlineStr">
        <is>
          <t>Fortress</t>
        </is>
      </c>
      <c r="AS34" s="24" t="inlineStr">
        <is>
          <t>DragonClaw</t>
        </is>
      </c>
      <c r="AT34" s="24" t="inlineStr">
        <is>
          <t>DragonClaw</t>
        </is>
      </c>
      <c r="AU34" s="24" t="inlineStr">
        <is>
          <t>DragonClaw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06138ffc8334cb69044b84c6e2b37aa9a4e0b6bd4f08ef7c62950d9e210f4364</t>
        </is>
      </c>
      <c r="BB34" s="24" t="inlineStr">
        <is>
          <t>neutral_elo</t>
        </is>
      </c>
      <c r="BC34" s="24" t="inlineStr">
        <is>
          <t>cs2-tiered-elo-v5</t>
        </is>
      </c>
      <c r="BD34" s="24" t="inlineStr">
        <is>
          <t>06138ffc8334cb69044b84c6e2b37aa9a4e0b6bd4f08ef7c62950d9e210f4364</t>
        </is>
      </c>
      <c r="BE34" s="24" t="inlineStr">
        <is>
          <t>1</t>
        </is>
      </c>
      <c r="BF34" s="24" t="inlineStr">
        <is>
          <t>1</t>
        </is>
      </c>
      <c r="BG34" s="24" t="inlineStr">
        <is>
          <t>cs2-tiered-elo-v5</t>
        </is>
      </c>
      <c r="BH34" s="24" t="inlineStr">
        <is>
          <t>2026-08-02T09:59:46.682984Z</t>
        </is>
      </c>
      <c r="BI34" s="24" t="inlineStr">
        <is>
          <t>["same_event","same_team_same_day","same_league_same_day"]</t>
        </is>
      </c>
      <c r="BJ34" s="25" t="n"/>
      <c r="BK34" s="26" t="n">
        <v>-113</v>
      </c>
      <c r="BL34" s="27" t="n">
        <v>1.884956</v>
      </c>
      <c r="BM34" s="28" t="n">
        <v>0.530516</v>
      </c>
      <c r="BN34" s="28" t="n"/>
      <c r="BO34" s="28" t="n"/>
      <c r="BP34" s="25" t="n"/>
      <c r="BQ34" s="27" t="n"/>
      <c r="BR34" s="28" t="n"/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</row>
    <row r="35" ht="36" customHeight="1">
      <c r="A35" s="24" t="inlineStr">
        <is>
          <t>b74b5d38bcc34cfc</t>
        </is>
      </c>
      <c r="B35" s="24" t="inlineStr">
        <is>
          <t>2026-08-02T10:00:04.561525Z</t>
        </is>
      </c>
      <c r="C35" s="24" t="inlineStr">
        <is>
          <t>2026-08-02T13:00:00Z</t>
        </is>
      </c>
      <c r="D35" s="24" t="inlineStr">
        <is>
          <t>68258</t>
        </is>
      </c>
      <c r="E35" s="24" t="inlineStr">
        <is>
          <t>CS2</t>
        </is>
      </c>
      <c r="F35" s="24" t="inlineStr">
        <is>
          <t>ex-MANA eSports</t>
        </is>
      </c>
      <c r="G35" s="24" t="inlineStr">
        <is>
          <t>Inner Circle Academy</t>
        </is>
      </c>
      <c r="H35" s="24" t="inlineStr">
        <is>
          <t>moneyline</t>
        </is>
      </c>
      <c r="I35" s="24" t="inlineStr">
        <is>
          <t>home</t>
        </is>
      </c>
      <c r="J35" s="25" t="n"/>
      <c r="K35" s="24" t="inlineStr">
        <is>
          <t>polymarket_us</t>
        </is>
      </c>
      <c r="L35" s="26" t="n">
        <v>-203</v>
      </c>
      <c r="M35" s="27" t="n">
        <v>1.492611</v>
      </c>
      <c r="N35" s="28" t="n">
        <v>0.669967</v>
      </c>
      <c r="O35" s="28" t="n">
        <v>0.583693</v>
      </c>
      <c r="P35" s="28" t="n"/>
      <c r="Q35" s="28" t="n">
        <v>-0.086274</v>
      </c>
      <c r="R35" s="26" t="n">
        <v>0</v>
      </c>
      <c r="S35" s="29" t="n">
        <v>1.25</v>
      </c>
      <c r="T35" s="24" t="inlineStr">
        <is>
          <t>cs2-tiered-elo-v5</t>
        </is>
      </c>
      <c r="U35" s="24" t="inlineStr">
        <is>
          <t>open</t>
        </is>
      </c>
      <c r="V35" s="24" t="n"/>
      <c r="W35" s="26" t="n"/>
      <c r="X35" s="26" t="n"/>
      <c r="Y35" s="25" t="n"/>
      <c r="Z35" s="26" t="n"/>
      <c r="AA35" s="28" t="n"/>
      <c r="AB35" s="28" t="n"/>
      <c r="AC35" s="30" t="n"/>
      <c r="AD35" s="24" t="n"/>
      <c r="AE35" s="31" t="inlineStr">
        <is>
          <t>Neutral Elo baseline; executable ask 0.6700 (market_slug=aec-cs2-ica-exmana-2026-08-02).</t>
        </is>
      </c>
      <c r="AF35" s="31" t="inlineStr">
        <is>
          <t>Config-promoted esports baseline; gates enforced at log time.</t>
        </is>
      </c>
      <c r="AG35" s="24" t="inlineStr">
        <is>
          <t>not_applicable</t>
        </is>
      </c>
      <c r="AH35" s="24" t="n"/>
      <c r="AI35" s="31" t="n"/>
      <c r="AJ35" s="31" t="n"/>
      <c r="AK35" s="24" t="inlineStr">
        <is>
          <t>research_observation</t>
        </is>
      </c>
      <c r="AL35" s="26" t="n">
        <v>3</v>
      </c>
      <c r="AM35" s="24" t="inlineStr">
        <is>
          <t>RESEARCH_OBSERVATION</t>
        </is>
      </c>
      <c r="AN35" s="24" t="inlineStr">
        <is>
          <t>NO_CALL</t>
        </is>
      </c>
      <c r="AO35" s="24" t="inlineStr">
        <is>
          <t>NO_CALL_LOW_EDGE</t>
        </is>
      </c>
      <c r="AP35" s="24" t="inlineStr">
        <is>
          <t>ex-MANA eSports</t>
        </is>
      </c>
      <c r="AQ35" s="24" t="inlineStr">
        <is>
          <t>ex-MANA eSports</t>
        </is>
      </c>
      <c r="AR35" s="24" t="inlineStr">
        <is>
          <t>ex-MANA eSports</t>
        </is>
      </c>
      <c r="AS35" s="24" t="inlineStr">
        <is>
          <t>Inner Circle Academy</t>
        </is>
      </c>
      <c r="AT35" s="24" t="inlineStr">
        <is>
          <t>Inner Circle Academy</t>
        </is>
      </c>
      <c r="AU35" s="24" t="inlineStr">
        <is>
          <t>Inner Circle Academy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06138ffc8334cb69044b84c6e2b37aa9a4e0b6bd4f08ef7c62950d9e210f4364</t>
        </is>
      </c>
      <c r="BB35" s="24" t="inlineStr">
        <is>
          <t>neutral_elo</t>
        </is>
      </c>
      <c r="BC35" s="24" t="inlineStr">
        <is>
          <t>cs2-tiered-elo-v5</t>
        </is>
      </c>
      <c r="BD35" s="24" t="inlineStr">
        <is>
          <t>06138ffc8334cb69044b84c6e2b37aa9a4e0b6bd4f08ef7c62950d9e210f4364</t>
        </is>
      </c>
      <c r="BE35" s="24" t="inlineStr">
        <is>
          <t>1</t>
        </is>
      </c>
      <c r="BF35" s="24" t="inlineStr">
        <is>
          <t>1</t>
        </is>
      </c>
      <c r="BG35" s="24" t="inlineStr">
        <is>
          <t>cs2-tiered-elo-v5</t>
        </is>
      </c>
      <c r="BH35" s="24" t="inlineStr">
        <is>
          <t>2026-08-02T09:59:47.204216Z</t>
        </is>
      </c>
      <c r="BI35" s="24" t="inlineStr">
        <is>
          <t>["same_event","same_team_same_day","same_league_same_day"]</t>
        </is>
      </c>
      <c r="BJ35" s="25" t="n"/>
      <c r="BK35" s="26" t="n">
        <v>-203</v>
      </c>
      <c r="BL35" s="27" t="n">
        <v>1.492611</v>
      </c>
      <c r="BM35" s="28" t="n">
        <v>0.669967</v>
      </c>
      <c r="BN35" s="28" t="n"/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</row>
    <row r="36" ht="36" customHeight="1">
      <c r="A36" s="24" t="inlineStr">
        <is>
          <t>a71808496ac04951</t>
        </is>
      </c>
      <c r="B36" s="24" t="inlineStr">
        <is>
          <t>2026-08-02T10:00:04.561525Z</t>
        </is>
      </c>
      <c r="C36" s="24" t="inlineStr">
        <is>
          <t>2026-08-02T13:00:00Z</t>
        </is>
      </c>
      <c r="D36" s="24" t="inlineStr">
        <is>
          <t>68259</t>
        </is>
      </c>
      <c r="E36" s="24" t="inlineStr">
        <is>
          <t>CS2</t>
        </is>
      </c>
      <c r="F36" s="24" t="inlineStr">
        <is>
          <t>Vexar</t>
        </is>
      </c>
      <c r="G36" s="24" t="inlineStr">
        <is>
          <t>Leo Team</t>
        </is>
      </c>
      <c r="H36" s="24" t="inlineStr">
        <is>
          <t>moneyline</t>
        </is>
      </c>
      <c r="I36" s="24" t="inlineStr">
        <is>
          <t>away</t>
        </is>
      </c>
      <c r="J36" s="25" t="n"/>
      <c r="K36" s="24" t="inlineStr">
        <is>
          <t>polymarket_us</t>
        </is>
      </c>
      <c r="L36" s="26" t="n">
        <v>138</v>
      </c>
      <c r="M36" s="27" t="n">
        <v>2.38</v>
      </c>
      <c r="N36" s="28" t="n">
        <v>0.420168</v>
      </c>
      <c r="O36" s="28" t="n">
        <v>0.563872</v>
      </c>
      <c r="P36" s="28" t="n"/>
      <c r="Q36" s="28" t="n">
        <v>0.143704</v>
      </c>
      <c r="R36" s="26" t="n">
        <v>92</v>
      </c>
      <c r="S36" s="29" t="n">
        <v>1</v>
      </c>
      <c r="T36" s="24" t="inlineStr">
        <is>
          <t>cs2-tiered-elo-v5</t>
        </is>
      </c>
      <c r="U36" s="24" t="inlineStr">
        <is>
          <t>open</t>
        </is>
      </c>
      <c r="V36" s="24" t="n"/>
      <c r="W36" s="26" t="n"/>
      <c r="X36" s="26" t="n"/>
      <c r="Y36" s="25" t="n"/>
      <c r="Z36" s="26" t="n"/>
      <c r="AA36" s="28" t="n"/>
      <c r="AB36" s="28" t="n"/>
      <c r="AC36" s="30" t="n"/>
      <c r="AD36" s="24" t="n"/>
      <c r="AE36" s="31" t="inlineStr">
        <is>
          <t>Neutral Elo baseline; executable ask 0.4200 (market_slug=aec-cs2-leo-vexar-2026-08-02).</t>
        </is>
      </c>
      <c r="AF36" s="31" t="inlineStr">
        <is>
          <t>Config-promoted esports baseline; gates enforced at log time.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research_observation</t>
        </is>
      </c>
      <c r="AL36" s="26" t="n">
        <v>3</v>
      </c>
      <c r="AM36" s="24" t="inlineStr">
        <is>
          <t>RESEARCH_OBSERVATION</t>
        </is>
      </c>
      <c r="AN36" s="24" t="inlineStr">
        <is>
          <t>NO_CALL</t>
        </is>
      </c>
      <c r="AO36" s="24" t="inlineStr">
        <is>
          <t>NO_CALL_MODEL_UNVALIDATED</t>
        </is>
      </c>
      <c r="AP36" s="24" t="inlineStr">
        <is>
          <t>Vexar</t>
        </is>
      </c>
      <c r="AQ36" s="24" t="inlineStr">
        <is>
          <t>Vexar</t>
        </is>
      </c>
      <c r="AR36" s="24" t="inlineStr">
        <is>
          <t>Vexar</t>
        </is>
      </c>
      <c r="AS36" s="24" t="inlineStr">
        <is>
          <t>Leo Team</t>
        </is>
      </c>
      <c r="AT36" s="24" t="inlineStr">
        <is>
          <t>Leo Team</t>
        </is>
      </c>
      <c r="AU36" s="24" t="inlineStr">
        <is>
          <t>Leo Team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06138ffc8334cb69044b84c6e2b37aa9a4e0b6bd4f08ef7c62950d9e210f4364</t>
        </is>
      </c>
      <c r="BB36" s="24" t="inlineStr">
        <is>
          <t>neutral_elo</t>
        </is>
      </c>
      <c r="BC36" s="24" t="inlineStr">
        <is>
          <t>cs2-tiered-elo-v5</t>
        </is>
      </c>
      <c r="BD36" s="24" t="inlineStr">
        <is>
          <t>06138ffc8334cb69044b84c6e2b37aa9a4e0b6bd4f08ef7c62950d9e210f4364</t>
        </is>
      </c>
      <c r="BE36" s="24" t="inlineStr">
        <is>
          <t>1</t>
        </is>
      </c>
      <c r="BF36" s="24" t="inlineStr">
        <is>
          <t>1</t>
        </is>
      </c>
      <c r="BG36" s="24" t="inlineStr">
        <is>
          <t>cs2-tiered-elo-v5</t>
        </is>
      </c>
      <c r="BH36" s="24" t="inlineStr">
        <is>
          <t>2026-08-02T09:59:47.738958Z</t>
        </is>
      </c>
      <c r="BI36" s="24" t="inlineStr">
        <is>
          <t>["same_event","same_team_same_day","same_league_same_day"]</t>
        </is>
      </c>
      <c r="BJ36" s="25" t="n"/>
      <c r="BK36" s="26" t="n">
        <v>138</v>
      </c>
      <c r="BL36" s="27" t="n">
        <v>2.38</v>
      </c>
      <c r="BM36" s="28" t="n">
        <v>0.420168</v>
      </c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</row>
    <row r="37" ht="36" customHeight="1">
      <c r="A37" s="24" t="inlineStr">
        <is>
          <t>e06a6be4d99e43cd</t>
        </is>
      </c>
      <c r="B37" s="24" t="inlineStr">
        <is>
          <t>2026-08-02T10:00:04.561525Z</t>
        </is>
      </c>
      <c r="C37" s="24" t="inlineStr">
        <is>
          <t>2026-08-02T13:00:00Z</t>
        </is>
      </c>
      <c r="D37" s="24" t="inlineStr">
        <is>
          <t>68261</t>
        </is>
      </c>
      <c r="E37" s="24" t="inlineStr">
        <is>
          <t>CS2</t>
        </is>
      </c>
      <c r="F37" s="24" t="inlineStr">
        <is>
          <t>Fire Flux Esports</t>
        </is>
      </c>
      <c r="G37" s="24" t="inlineStr">
        <is>
          <t>BASEMENT BOYS</t>
        </is>
      </c>
      <c r="H37" s="24" t="inlineStr">
        <is>
          <t>moneyline</t>
        </is>
      </c>
      <c r="I37" s="24" t="inlineStr">
        <is>
          <t>home</t>
        </is>
      </c>
      <c r="J37" s="25" t="n"/>
      <c r="K37" s="24" t="inlineStr">
        <is>
          <t>polymarket_us</t>
        </is>
      </c>
      <c r="L37" s="26" t="n">
        <v>-150</v>
      </c>
      <c r="M37" s="27" t="n">
        <v>1.666667</v>
      </c>
      <c r="N37" s="28" t="n">
        <v>0.6</v>
      </c>
      <c r="O37" s="28" t="n">
        <v>0.6541439999999999</v>
      </c>
      <c r="P37" s="28" t="n"/>
      <c r="Q37" s="28" t="n">
        <v>0.054144</v>
      </c>
      <c r="R37" s="26" t="n">
        <v>47</v>
      </c>
      <c r="S37" s="29" t="n">
        <v>1.75</v>
      </c>
      <c r="T37" s="24" t="inlineStr">
        <is>
          <t>cs2-tiered-elo-v5</t>
        </is>
      </c>
      <c r="U37" s="24" t="inlineStr">
        <is>
          <t>open</t>
        </is>
      </c>
      <c r="V37" s="24" t="n"/>
      <c r="W37" s="26" t="n"/>
      <c r="X37" s="26" t="n"/>
      <c r="Y37" s="25" t="n"/>
      <c r="Z37" s="26" t="n"/>
      <c r="AA37" s="28" t="n"/>
      <c r="AB37" s="28" t="n"/>
      <c r="AC37" s="30" t="n"/>
      <c r="AD37" s="24" t="n"/>
      <c r="AE37" s="31" t="inlineStr">
        <is>
          <t>Neutral Elo baseline; executable ask 0.6000 (market_slug=aec-cs2-bmb-ff-2026-08-02).</t>
        </is>
      </c>
      <c r="AF37" s="31" t="inlineStr">
        <is>
          <t>Config-promoted esports baseline; gates enforced at log time.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research_observation</t>
        </is>
      </c>
      <c r="AL37" s="26" t="n">
        <v>3</v>
      </c>
      <c r="AM37" s="24" t="inlineStr">
        <is>
          <t>RESEARCH_OBSERVATION</t>
        </is>
      </c>
      <c r="AN37" s="24" t="inlineStr">
        <is>
          <t>NO_CALL</t>
        </is>
      </c>
      <c r="AO37" s="24" t="inlineStr">
        <is>
          <t>NO_CALL_MODEL_UNVALIDATED</t>
        </is>
      </c>
      <c r="AP37" s="24" t="inlineStr">
        <is>
          <t>Fire Flux Esports</t>
        </is>
      </c>
      <c r="AQ37" s="24" t="inlineStr">
        <is>
          <t>Fire Flux Esports</t>
        </is>
      </c>
      <c r="AR37" s="24" t="inlineStr">
        <is>
          <t>Fire Flux Esports</t>
        </is>
      </c>
      <c r="AS37" s="24" t="inlineStr">
        <is>
          <t>BASEMENT BOYS</t>
        </is>
      </c>
      <c r="AT37" s="24" t="inlineStr">
        <is>
          <t>BASEMENT BOYS</t>
        </is>
      </c>
      <c r="AU37" s="24" t="inlineStr">
        <is>
          <t>BASEMENT BOYS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06138ffc8334cb69044b84c6e2b37aa9a4e0b6bd4f08ef7c62950d9e210f4364</t>
        </is>
      </c>
      <c r="BB37" s="24" t="inlineStr">
        <is>
          <t>neutral_elo</t>
        </is>
      </c>
      <c r="BC37" s="24" t="inlineStr">
        <is>
          <t>cs2-tiered-elo-v5</t>
        </is>
      </c>
      <c r="BD37" s="24" t="inlineStr">
        <is>
          <t>06138ffc8334cb69044b84c6e2b37aa9a4e0b6bd4f08ef7c62950d9e210f4364</t>
        </is>
      </c>
      <c r="BE37" s="24" t="inlineStr">
        <is>
          <t>1</t>
        </is>
      </c>
      <c r="BF37" s="24" t="inlineStr">
        <is>
          <t>1</t>
        </is>
      </c>
      <c r="BG37" s="24" t="inlineStr">
        <is>
          <t>cs2-tiered-elo-v5</t>
        </is>
      </c>
      <c r="BH37" s="24" t="inlineStr">
        <is>
          <t>2026-08-02T09:59:48.671997Z</t>
        </is>
      </c>
      <c r="BI37" s="24" t="inlineStr">
        <is>
          <t>["same_event","same_team_same_day","same_league_same_day"]</t>
        </is>
      </c>
      <c r="BJ37" s="25" t="n"/>
      <c r="BK37" s="26" t="n">
        <v>-150</v>
      </c>
      <c r="BL37" s="27" t="n">
        <v>1.666667</v>
      </c>
      <c r="BM37" s="28" t="n">
        <v>0.6</v>
      </c>
      <c r="BN37" s="28" t="n"/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</row>
    <row r="38" ht="36" customHeight="1">
      <c r="A38" s="24" t="inlineStr">
        <is>
          <t>fc69b57d435f4ed9</t>
        </is>
      </c>
      <c r="B38" s="24" t="inlineStr">
        <is>
          <t>2026-08-02T10:00:04.561525Z</t>
        </is>
      </c>
      <c r="C38" s="24" t="inlineStr">
        <is>
          <t>2026-08-02T13:00:00Z</t>
        </is>
      </c>
      <c r="D38" s="24" t="inlineStr">
        <is>
          <t>68277</t>
        </is>
      </c>
      <c r="E38" s="24" t="inlineStr">
        <is>
          <t>CS2</t>
        </is>
      </c>
      <c r="F38" s="24" t="inlineStr">
        <is>
          <t>Misa Esports</t>
        </is>
      </c>
      <c r="G38" s="24" t="inlineStr">
        <is>
          <t>Favbet</t>
        </is>
      </c>
      <c r="H38" s="24" t="inlineStr">
        <is>
          <t>moneyline</t>
        </is>
      </c>
      <c r="I38" s="24" t="inlineStr">
        <is>
          <t>home</t>
        </is>
      </c>
      <c r="J38" s="25" t="n"/>
      <c r="K38" s="24" t="inlineStr">
        <is>
          <t>polymarket_us</t>
        </is>
      </c>
      <c r="L38" s="26" t="n">
        <v>-178</v>
      </c>
      <c r="M38" s="27" t="n">
        <v>1.561798</v>
      </c>
      <c r="N38" s="28" t="n">
        <v>0.640288</v>
      </c>
      <c r="O38" s="28" t="n">
        <v>0.747081</v>
      </c>
      <c r="P38" s="28" t="n"/>
      <c r="Q38" s="28" t="n">
        <v>0.106793</v>
      </c>
      <c r="R38" s="26" t="n">
        <v>73</v>
      </c>
      <c r="S38" s="29" t="n">
        <v>2</v>
      </c>
      <c r="T38" s="24" t="inlineStr">
        <is>
          <t>cs2-tiered-elo-v5</t>
        </is>
      </c>
      <c r="U38" s="24" t="inlineStr">
        <is>
          <t>open</t>
        </is>
      </c>
      <c r="V38" s="24" t="n"/>
      <c r="W38" s="26" t="n"/>
      <c r="X38" s="26" t="n"/>
      <c r="Y38" s="25" t="n"/>
      <c r="Z38" s="26" t="n"/>
      <c r="AA38" s="28" t="n"/>
      <c r="AB38" s="28" t="n"/>
      <c r="AC38" s="30" t="n"/>
      <c r="AD38" s="24" t="n"/>
      <c r="AE38" s="31" t="inlineStr">
        <is>
          <t>Neutral Elo baseline; executable ask 0.6400 (market_slug=aec-cs2-fav-misa-2026-08-02).</t>
        </is>
      </c>
      <c r="AF38" s="31" t="inlineStr">
        <is>
          <t>Config-promoted esports baseline; gates enforced at log time.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research_observation</t>
        </is>
      </c>
      <c r="AL38" s="26" t="n">
        <v>3</v>
      </c>
      <c r="AM38" s="24" t="inlineStr">
        <is>
          <t>RESEARCH_OBSERVATION</t>
        </is>
      </c>
      <c r="AN38" s="24" t="inlineStr">
        <is>
          <t>NO_CALL</t>
        </is>
      </c>
      <c r="AO38" s="24" t="inlineStr">
        <is>
          <t>NO_CALL_MODEL_UNVALIDATED</t>
        </is>
      </c>
      <c r="AP38" s="24" t="inlineStr">
        <is>
          <t>Misa Esports</t>
        </is>
      </c>
      <c r="AQ38" s="24" t="inlineStr">
        <is>
          <t>Misa Esports</t>
        </is>
      </c>
      <c r="AR38" s="24" t="inlineStr">
        <is>
          <t>Misa Esports</t>
        </is>
      </c>
      <c r="AS38" s="24" t="inlineStr">
        <is>
          <t>Favbet</t>
        </is>
      </c>
      <c r="AT38" s="24" t="inlineStr">
        <is>
          <t>Favbet</t>
        </is>
      </c>
      <c r="AU38" s="24" t="inlineStr">
        <is>
          <t>Favbet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06138ffc8334cb69044b84c6e2b37aa9a4e0b6bd4f08ef7c62950d9e210f4364</t>
        </is>
      </c>
      <c r="BB38" s="24" t="inlineStr">
        <is>
          <t>neutral_elo</t>
        </is>
      </c>
      <c r="BC38" s="24" t="inlineStr">
        <is>
          <t>cs2-tiered-elo-v5</t>
        </is>
      </c>
      <c r="BD38" s="24" t="inlineStr">
        <is>
          <t>06138ffc8334cb69044b84c6e2b37aa9a4e0b6bd4f08ef7c62950d9e210f4364</t>
        </is>
      </c>
      <c r="BE38" s="24" t="inlineStr">
        <is>
          <t>1</t>
        </is>
      </c>
      <c r="BF38" s="24" t="inlineStr">
        <is>
          <t>1</t>
        </is>
      </c>
      <c r="BG38" s="24" t="inlineStr">
        <is>
          <t>cs2-tiered-elo-v5</t>
        </is>
      </c>
      <c r="BH38" s="24" t="inlineStr">
        <is>
          <t>2026-08-02T09:59:49.257041Z</t>
        </is>
      </c>
      <c r="BI38" s="24" t="inlineStr">
        <is>
          <t>["same_event","same_team_same_day","same_league_same_day"]</t>
        </is>
      </c>
      <c r="BJ38" s="25" t="n"/>
      <c r="BK38" s="26" t="n">
        <v>-178</v>
      </c>
      <c r="BL38" s="27" t="n">
        <v>1.561798</v>
      </c>
      <c r="BM38" s="28" t="n">
        <v>0.640288</v>
      </c>
      <c r="BN38" s="28" t="n"/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</row>
    <row r="39" ht="36" customHeight="1">
      <c r="A39" s="24" t="inlineStr">
        <is>
          <t>0618b43e418b498a</t>
        </is>
      </c>
      <c r="B39" s="24" t="inlineStr">
        <is>
          <t>2026-08-02T10:00:04.561525Z</t>
        </is>
      </c>
      <c r="C39" s="24" t="inlineStr">
        <is>
          <t>2026-08-02T14:00:00Z</t>
        </is>
      </c>
      <c r="D39" s="24" t="inlineStr">
        <is>
          <t>69254</t>
        </is>
      </c>
      <c r="E39" s="24" t="inlineStr">
        <is>
          <t>CS2</t>
        </is>
      </c>
      <c r="F39" s="24" t="inlineStr">
        <is>
          <t>Honvéd</t>
        </is>
      </c>
      <c r="G39" s="24" t="inlineStr">
        <is>
          <t>ex-RUSTEC</t>
        </is>
      </c>
      <c r="H39" s="24" t="inlineStr">
        <is>
          <t>moneyline</t>
        </is>
      </c>
      <c r="I39" s="24" t="inlineStr">
        <is>
          <t>home</t>
        </is>
      </c>
      <c r="J39" s="25" t="n"/>
      <c r="K39" s="24" t="inlineStr">
        <is>
          <t>polymarket_us</t>
        </is>
      </c>
      <c r="L39" s="26" t="n">
        <v>-203</v>
      </c>
      <c r="M39" s="27" t="n">
        <v>1.492611</v>
      </c>
      <c r="N39" s="28" t="n">
        <v>0.669967</v>
      </c>
      <c r="O39" s="28" t="n">
        <v>0.662043</v>
      </c>
      <c r="P39" s="28" t="n"/>
      <c r="Q39" s="28" t="n">
        <v>-0.007924</v>
      </c>
      <c r="R39" s="26" t="n">
        <v>16</v>
      </c>
      <c r="S39" s="29" t="n">
        <v>1.75</v>
      </c>
      <c r="T39" s="24" t="inlineStr">
        <is>
          <t>cs2-tiered-elo-v5</t>
        </is>
      </c>
      <c r="U39" s="24" t="inlineStr">
        <is>
          <t>open</t>
        </is>
      </c>
      <c r="V39" s="24" t="n"/>
      <c r="W39" s="26" t="n"/>
      <c r="X39" s="26" t="n"/>
      <c r="Y39" s="25" t="n"/>
      <c r="Z39" s="26" t="n"/>
      <c r="AA39" s="28" t="n"/>
      <c r="AB39" s="28" t="n"/>
      <c r="AC39" s="30" t="n"/>
      <c r="AD39" s="24" t="n"/>
      <c r="AE39" s="31" t="inlineStr">
        <is>
          <t>Neutral Elo baseline; executable ask 0.6700 (market_slug=aec-cs2-erx-hon-2026-08-02).</t>
        </is>
      </c>
      <c r="AF39" s="31" t="inlineStr">
        <is>
          <t>Config-promoted esports baseline; gates enforced at log time.</t>
        </is>
      </c>
      <c r="AG39" s="24" t="inlineStr">
        <is>
          <t>not_applicable</t>
        </is>
      </c>
      <c r="AH39" s="24" t="n"/>
      <c r="AI39" s="31" t="n"/>
      <c r="AJ39" s="31" t="n"/>
      <c r="AK39" s="24" t="inlineStr">
        <is>
          <t>research_observation</t>
        </is>
      </c>
      <c r="AL39" s="26" t="n">
        <v>3</v>
      </c>
      <c r="AM39" s="24" t="inlineStr">
        <is>
          <t>RESEARCH_OBSERVATION</t>
        </is>
      </c>
      <c r="AN39" s="24" t="inlineStr">
        <is>
          <t>NO_CALL</t>
        </is>
      </c>
      <c r="AO39" s="24" t="inlineStr">
        <is>
          <t>NO_CALL_LOW_EDGE</t>
        </is>
      </c>
      <c r="AP39" s="24" t="inlineStr">
        <is>
          <t>Honvéd</t>
        </is>
      </c>
      <c r="AQ39" s="24" t="inlineStr">
        <is>
          <t>Honvéd</t>
        </is>
      </c>
      <c r="AR39" s="24" t="inlineStr">
        <is>
          <t>Honvéd</t>
        </is>
      </c>
      <c r="AS39" s="24" t="inlineStr">
        <is>
          <t>ex-RUSTEC</t>
        </is>
      </c>
      <c r="AT39" s="24" t="inlineStr">
        <is>
          <t>ex-RUSTEC</t>
        </is>
      </c>
      <c r="AU39" s="24" t="inlineStr">
        <is>
          <t>ex-RUSTEC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06138ffc8334cb69044b84c6e2b37aa9a4e0b6bd4f08ef7c62950d9e210f4364</t>
        </is>
      </c>
      <c r="BB39" s="24" t="inlineStr">
        <is>
          <t>neutral_elo</t>
        </is>
      </c>
      <c r="BC39" s="24" t="inlineStr">
        <is>
          <t>cs2-tiered-elo-v5</t>
        </is>
      </c>
      <c r="BD39" s="24" t="inlineStr">
        <is>
          <t>06138ffc8334cb69044b84c6e2b37aa9a4e0b6bd4f08ef7c62950d9e210f4364</t>
        </is>
      </c>
      <c r="BE39" s="24" t="inlineStr">
        <is>
          <t>1</t>
        </is>
      </c>
      <c r="BF39" s="24" t="inlineStr">
        <is>
          <t>1</t>
        </is>
      </c>
      <c r="BG39" s="24" t="inlineStr">
        <is>
          <t>cs2-tiered-elo-v5</t>
        </is>
      </c>
      <c r="BH39" s="24" t="inlineStr">
        <is>
          <t>2026-08-02T09:59:49.723521Z</t>
        </is>
      </c>
      <c r="BI39" s="24" t="inlineStr">
        <is>
          <t>["same_event","same_team_same_day","same_league_same_day"]</t>
        </is>
      </c>
      <c r="BJ39" s="25" t="n"/>
      <c r="BK39" s="26" t="n">
        <v>-203</v>
      </c>
      <c r="BL39" s="27" t="n">
        <v>1.492611</v>
      </c>
      <c r="BM39" s="28" t="n">
        <v>0.669967</v>
      </c>
      <c r="BN39" s="28" t="n"/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</row>
    <row r="40" ht="36" customHeight="1">
      <c r="A40" s="24" t="inlineStr">
        <is>
          <t>105c3a3a07cd451c</t>
        </is>
      </c>
      <c r="B40" s="24" t="inlineStr">
        <is>
          <t>2026-08-02T10:00:04.561525Z</t>
        </is>
      </c>
      <c r="C40" s="24" t="inlineStr">
        <is>
          <t>2026-08-02T17:00:00Z</t>
        </is>
      </c>
      <c r="D40" s="24" t="inlineStr">
        <is>
          <t>69263</t>
        </is>
      </c>
      <c r="E40" s="24" t="inlineStr">
        <is>
          <t>CS2</t>
        </is>
      </c>
      <c r="F40" s="24" t="inlineStr">
        <is>
          <t>ENJOY</t>
        </is>
      </c>
      <c r="G40" s="24" t="inlineStr">
        <is>
          <t>Mai Tai</t>
        </is>
      </c>
      <c r="H40" s="24" t="inlineStr">
        <is>
          <t>moneyline</t>
        </is>
      </c>
      <c r="I40" s="24" t="inlineStr">
        <is>
          <t>away</t>
        </is>
      </c>
      <c r="J40" s="25" t="n"/>
      <c r="K40" s="24" t="inlineStr">
        <is>
          <t>polymarket_us</t>
        </is>
      </c>
      <c r="L40" s="26" t="n">
        <v>-156</v>
      </c>
      <c r="M40" s="27" t="n">
        <v>1.641026</v>
      </c>
      <c r="N40" s="28" t="n">
        <v>0.609375</v>
      </c>
      <c r="O40" s="28" t="n">
        <v>0.66636</v>
      </c>
      <c r="P40" s="28" t="n"/>
      <c r="Q40" s="28" t="n">
        <v>0.056985</v>
      </c>
      <c r="R40" s="26" t="n">
        <v>48</v>
      </c>
      <c r="S40" s="29" t="n">
        <v>1.75</v>
      </c>
      <c r="T40" s="24" t="inlineStr">
        <is>
          <t>cs2-tiered-elo-v5</t>
        </is>
      </c>
      <c r="U40" s="24" t="inlineStr">
        <is>
          <t>open</t>
        </is>
      </c>
      <c r="V40" s="24" t="n"/>
      <c r="W40" s="26" t="n"/>
      <c r="X40" s="26" t="n"/>
      <c r="Y40" s="25" t="n"/>
      <c r="Z40" s="26" t="n"/>
      <c r="AA40" s="28" t="n"/>
      <c r="AB40" s="28" t="n"/>
      <c r="AC40" s="30" t="n"/>
      <c r="AD40" s="24" t="n"/>
      <c r="AE40" s="31" t="inlineStr">
        <is>
          <t>Neutral Elo baseline; executable ask 0.6100 (market_slug=aec-cs2-mta-enjoy-2026-08-02).</t>
        </is>
      </c>
      <c r="AF40" s="31" t="inlineStr">
        <is>
          <t>Config-promoted esports baseline; gates enforced at log time.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model_qualified</t>
        </is>
      </c>
      <c r="AL40" s="26" t="n">
        <v>3</v>
      </c>
      <c r="AM40" s="24" t="inlineStr">
        <is>
          <t>QUALIFIED_SHADOW_CALL</t>
        </is>
      </c>
      <c r="AN40" s="24" t="inlineStr">
        <is>
          <t>CALL</t>
        </is>
      </c>
      <c r="AO40" s="24" t="inlineStr">
        <is>
          <t>QUALIFIED</t>
        </is>
      </c>
      <c r="AP40" s="24" t="inlineStr">
        <is>
          <t>ENJOY</t>
        </is>
      </c>
      <c r="AQ40" s="24" t="inlineStr">
        <is>
          <t>ENJOY</t>
        </is>
      </c>
      <c r="AR40" s="24" t="inlineStr">
        <is>
          <t>ENJOY</t>
        </is>
      </c>
      <c r="AS40" s="24" t="inlineStr">
        <is>
          <t>Mai Tai</t>
        </is>
      </c>
      <c r="AT40" s="24" t="inlineStr">
        <is>
          <t>Mai Tai</t>
        </is>
      </c>
      <c r="AU40" s="24" t="inlineStr">
        <is>
          <t>Mai Tai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shadow_qualified</t>
        </is>
      </c>
      <c r="BA40" s="24" t="inlineStr">
        <is>
          <t>06138ffc8334cb69044b84c6e2b37aa9a4e0b6bd4f08ef7c62950d9e210f4364</t>
        </is>
      </c>
      <c r="BB40" s="24" t="inlineStr">
        <is>
          <t>neutral_elo</t>
        </is>
      </c>
      <c r="BC40" s="24" t="inlineStr">
        <is>
          <t>cs2-tiered-elo-v5</t>
        </is>
      </c>
      <c r="BD40" s="24" t="inlineStr">
        <is>
          <t>06138ffc8334cb69044b84c6e2b37aa9a4e0b6bd4f08ef7c62950d9e210f4364</t>
        </is>
      </c>
      <c r="BE40" s="24" t="inlineStr">
        <is>
          <t>1</t>
        </is>
      </c>
      <c r="BF40" s="24" t="inlineStr">
        <is>
          <t>1</t>
        </is>
      </c>
      <c r="BG40" s="24" t="inlineStr">
        <is>
          <t>cs2-tiered-elo-v5</t>
        </is>
      </c>
      <c r="BH40" s="24" t="inlineStr">
        <is>
          <t>2026-08-02T09:59:51.297257Z</t>
        </is>
      </c>
      <c r="BI40" s="24" t="inlineStr">
        <is>
          <t>["same_event","same_team_same_day","same_league_same_day"]</t>
        </is>
      </c>
      <c r="BJ40" s="25" t="n"/>
      <c r="BK40" s="26" t="n">
        <v>-156</v>
      </c>
      <c r="BL40" s="27" t="n">
        <v>1.641026</v>
      </c>
      <c r="BM40" s="28" t="n">
        <v>0.609375</v>
      </c>
      <c r="BN40" s="28" t="n"/>
      <c r="BO40" s="28" t="n"/>
      <c r="BP40" s="25" t="n"/>
      <c r="BQ40" s="27" t="n"/>
      <c r="BR40" s="28" t="n"/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</row>
    <row r="41" ht="36" customHeight="1">
      <c r="A41" s="24" t="inlineStr">
        <is>
          <t>a6760f9308b440ac</t>
        </is>
      </c>
      <c r="B41" s="24" t="inlineStr">
        <is>
          <t>2026-08-02T10:00:04.561525Z</t>
        </is>
      </c>
      <c r="C41" s="24" t="inlineStr">
        <is>
          <t>2026-08-02T18:00:00Z</t>
        </is>
      </c>
      <c r="D41" s="24" t="inlineStr">
        <is>
          <t>69289</t>
        </is>
      </c>
      <c r="E41" s="24" t="inlineStr">
        <is>
          <t>CS2</t>
        </is>
      </c>
      <c r="F41" s="24" t="inlineStr">
        <is>
          <t>BESTIA</t>
        </is>
      </c>
      <c r="G41" s="24" t="inlineStr">
        <is>
          <t>ShindeN</t>
        </is>
      </c>
      <c r="H41" s="24" t="inlineStr">
        <is>
          <t>moneyline</t>
        </is>
      </c>
      <c r="I41" s="24" t="inlineStr">
        <is>
          <t>home</t>
        </is>
      </c>
      <c r="J41" s="25" t="n"/>
      <c r="K41" s="24" t="inlineStr">
        <is>
          <t>polymarket_us</t>
        </is>
      </c>
      <c r="L41" s="26" t="n">
        <v>138</v>
      </c>
      <c r="M41" s="27" t="n">
        <v>2.38</v>
      </c>
      <c r="N41" s="28" t="n">
        <v>0.420168</v>
      </c>
      <c r="O41" s="28" t="n">
        <v>0.510543</v>
      </c>
      <c r="P41" s="28" t="n"/>
      <c r="Q41" s="28" t="n">
        <v>0.090375</v>
      </c>
      <c r="R41" s="26" t="n">
        <v>65</v>
      </c>
      <c r="S41" s="29" t="n">
        <v>1</v>
      </c>
      <c r="T41" s="24" t="inlineStr">
        <is>
          <t>cs2-tiered-elo-v5</t>
        </is>
      </c>
      <c r="U41" s="24" t="inlineStr">
        <is>
          <t>open</t>
        </is>
      </c>
      <c r="V41" s="24" t="n"/>
      <c r="W41" s="26" t="n"/>
      <c r="X41" s="26" t="n"/>
      <c r="Y41" s="25" t="n"/>
      <c r="Z41" s="26" t="n"/>
      <c r="AA41" s="28" t="n"/>
      <c r="AB41" s="28" t="n"/>
      <c r="AC41" s="30" t="n"/>
      <c r="AD41" s="24" t="n"/>
      <c r="AE41" s="31" t="inlineStr">
        <is>
          <t>Neutral Elo baseline; executable ask 0.4200 (market_slug=aec-cs2-shin-bst-2026-08-02).</t>
        </is>
      </c>
      <c r="AF41" s="31" t="inlineStr">
        <is>
          <t>Config-promoted esports baseline; gates enforced at log time.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research_observation</t>
        </is>
      </c>
      <c r="AL41" s="26" t="n">
        <v>3</v>
      </c>
      <c r="AM41" s="24" t="inlineStr">
        <is>
          <t>RESEARCH_OBSERVATION</t>
        </is>
      </c>
      <c r="AN41" s="24" t="inlineStr">
        <is>
          <t>NO_CALL</t>
        </is>
      </c>
      <c r="AO41" s="24" t="inlineStr">
        <is>
          <t>NO_CALL_LOW_EDGE</t>
        </is>
      </c>
      <c r="AP41" s="24" t="inlineStr">
        <is>
          <t>BESTIA</t>
        </is>
      </c>
      <c r="AQ41" s="24" t="inlineStr">
        <is>
          <t>BESTIA</t>
        </is>
      </c>
      <c r="AR41" s="24" t="inlineStr">
        <is>
          <t>BESTIA</t>
        </is>
      </c>
      <c r="AS41" s="24" t="inlineStr">
        <is>
          <t>ShindeN</t>
        </is>
      </c>
      <c r="AT41" s="24" t="inlineStr">
        <is>
          <t>ShindeN</t>
        </is>
      </c>
      <c r="AU41" s="24" t="inlineStr">
        <is>
          <t>ShindeN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shadow_qualified</t>
        </is>
      </c>
      <c r="BA41" s="24" t="inlineStr">
        <is>
          <t>06138ffc8334cb69044b84c6e2b37aa9a4e0b6bd4f08ef7c62950d9e210f4364</t>
        </is>
      </c>
      <c r="BB41" s="24" t="inlineStr">
        <is>
          <t>neutral_elo</t>
        </is>
      </c>
      <c r="BC41" s="24" t="inlineStr">
        <is>
          <t>cs2-tiered-elo-v5</t>
        </is>
      </c>
      <c r="BD41" s="24" t="inlineStr">
        <is>
          <t>06138ffc8334cb69044b84c6e2b37aa9a4e0b6bd4f08ef7c62950d9e210f4364</t>
        </is>
      </c>
      <c r="BE41" s="24" t="inlineStr">
        <is>
          <t>1</t>
        </is>
      </c>
      <c r="BF41" s="24" t="inlineStr">
        <is>
          <t>1</t>
        </is>
      </c>
      <c r="BG41" s="24" t="inlineStr">
        <is>
          <t>cs2-tiered-elo-v5</t>
        </is>
      </c>
      <c r="BH41" s="24" t="inlineStr">
        <is>
          <t>2026-08-02T09:59:51.837185Z</t>
        </is>
      </c>
      <c r="BI41" s="24" t="inlineStr">
        <is>
          <t>["same_event","same_team_same_day","same_league_same_day"]</t>
        </is>
      </c>
      <c r="BJ41" s="25" t="n"/>
      <c r="BK41" s="26" t="n">
        <v>138</v>
      </c>
      <c r="BL41" s="27" t="n">
        <v>2.38</v>
      </c>
      <c r="BM41" s="28" t="n">
        <v>0.420168</v>
      </c>
      <c r="BN41" s="28" t="n"/>
      <c r="BO41" s="28" t="n"/>
      <c r="BP41" s="25" t="n"/>
      <c r="BQ41" s="27" t="n"/>
      <c r="BR41" s="28" t="n"/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</row>
    <row r="42" ht="36" customHeight="1">
      <c r="A42" s="24" t="inlineStr">
        <is>
          <t>3460f0ab2ea84c55</t>
        </is>
      </c>
      <c r="B42" s="24" t="inlineStr">
        <is>
          <t>2026-08-02T10:00:04.561525Z</t>
        </is>
      </c>
      <c r="C42" s="24" t="inlineStr">
        <is>
          <t>2026-08-02T19:15:00Z</t>
        </is>
      </c>
      <c r="D42" s="24" t="inlineStr">
        <is>
          <t>67577</t>
        </is>
      </c>
      <c r="E42" s="24" t="inlineStr">
        <is>
          <t>CS2</t>
        </is>
      </c>
      <c r="F42" s="24" t="inlineStr">
        <is>
          <t>SNAILKICK Club</t>
        </is>
      </c>
      <c r="G42" s="24" t="inlineStr">
        <is>
          <t>Lixxx Club</t>
        </is>
      </c>
      <c r="H42" s="24" t="inlineStr">
        <is>
          <t>moneyline</t>
        </is>
      </c>
      <c r="I42" s="24" t="inlineStr">
        <is>
          <t>home</t>
        </is>
      </c>
      <c r="J42" s="25" t="n"/>
      <c r="K42" s="24" t="inlineStr">
        <is>
          <t>polymarket_us</t>
        </is>
      </c>
      <c r="L42" s="26" t="n">
        <v>-150</v>
      </c>
      <c r="M42" s="27" t="n">
        <v>1.666667</v>
      </c>
      <c r="N42" s="28" t="n">
        <v>0.6</v>
      </c>
      <c r="O42" s="28" t="n">
        <v>0.526743</v>
      </c>
      <c r="P42" s="28" t="n"/>
      <c r="Q42" s="28" t="n">
        <v>-0.073257</v>
      </c>
      <c r="R42" s="26" t="n">
        <v>0</v>
      </c>
      <c r="S42" s="29" t="n">
        <v>1</v>
      </c>
      <c r="T42" s="24" t="inlineStr">
        <is>
          <t>cs2-tiered-elo-v5</t>
        </is>
      </c>
      <c r="U42" s="24" t="inlineStr">
        <is>
          <t>open</t>
        </is>
      </c>
      <c r="V42" s="24" t="n"/>
      <c r="W42" s="26" t="n"/>
      <c r="X42" s="26" t="n"/>
      <c r="Y42" s="25" t="n"/>
      <c r="Z42" s="26" t="n"/>
      <c r="AA42" s="28" t="n"/>
      <c r="AB42" s="28" t="n"/>
      <c r="AC42" s="30" t="n"/>
      <c r="AD42" s="24" t="n"/>
      <c r="AE42" s="31" t="inlineStr">
        <is>
          <t>Neutral Elo baseline; executable ask 0.6000 (market_slug=aec-cs2-lci-scn-2026-08-02).</t>
        </is>
      </c>
      <c r="AF42" s="31" t="inlineStr">
        <is>
          <t>Config-promoted esports baseline; gates enforced at log time.</t>
        </is>
      </c>
      <c r="AG42" s="24" t="inlineStr">
        <is>
          <t>not_applicable</t>
        </is>
      </c>
      <c r="AH42" s="24" t="n"/>
      <c r="AI42" s="31" t="n"/>
      <c r="AJ42" s="31" t="n"/>
      <c r="AK42" s="24" t="inlineStr">
        <is>
          <t>research_observation</t>
        </is>
      </c>
      <c r="AL42" s="26" t="n">
        <v>3</v>
      </c>
      <c r="AM42" s="24" t="inlineStr">
        <is>
          <t>RESEARCH_OBSERVATION</t>
        </is>
      </c>
      <c r="AN42" s="24" t="inlineStr">
        <is>
          <t>NO_CALL</t>
        </is>
      </c>
      <c r="AO42" s="24" t="inlineStr">
        <is>
          <t>NO_CALL_MODEL_UNVALIDATED</t>
        </is>
      </c>
      <c r="AP42" s="24" t="inlineStr">
        <is>
          <t>SNAILKICK Club</t>
        </is>
      </c>
      <c r="AQ42" s="24" t="inlineStr">
        <is>
          <t>SNAILKICK Club</t>
        </is>
      </c>
      <c r="AR42" s="24" t="inlineStr">
        <is>
          <t>SNAILKICK Club</t>
        </is>
      </c>
      <c r="AS42" s="24" t="inlineStr">
        <is>
          <t>Lixxx Club</t>
        </is>
      </c>
      <c r="AT42" s="24" t="inlineStr">
        <is>
          <t>Lixxx Club</t>
        </is>
      </c>
      <c r="AU42" s="24" t="inlineStr">
        <is>
          <t>Lixxx Club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06138ffc8334cb69044b84c6e2b37aa9a4e0b6bd4f08ef7c62950d9e210f4364</t>
        </is>
      </c>
      <c r="BB42" s="24" t="inlineStr">
        <is>
          <t>neutral_elo</t>
        </is>
      </c>
      <c r="BC42" s="24" t="inlineStr">
        <is>
          <t>cs2-tiered-elo-v5</t>
        </is>
      </c>
      <c r="BD42" s="24" t="inlineStr">
        <is>
          <t>06138ffc8334cb69044b84c6e2b37aa9a4e0b6bd4f08ef7c62950d9e210f4364</t>
        </is>
      </c>
      <c r="BE42" s="24" t="inlineStr">
        <is>
          <t>1</t>
        </is>
      </c>
      <c r="BF42" s="24" t="inlineStr">
        <is>
          <t>1</t>
        </is>
      </c>
      <c r="BG42" s="24" t="inlineStr">
        <is>
          <t>cs2-tiered-elo-v5</t>
        </is>
      </c>
      <c r="BH42" s="24" t="inlineStr">
        <is>
          <t>2026-08-02T09:59:52.331890Z</t>
        </is>
      </c>
      <c r="BI42" s="24" t="inlineStr">
        <is>
          <t>["same_event","same_team_same_day","same_league_same_day"]</t>
        </is>
      </c>
      <c r="BJ42" s="25" t="n"/>
      <c r="BK42" s="26" t="n">
        <v>-150</v>
      </c>
      <c r="BL42" s="27" t="n">
        <v>1.666667</v>
      </c>
      <c r="BM42" s="28" t="n">
        <v>0.6</v>
      </c>
      <c r="BN42" s="28" t="n"/>
      <c r="BO42" s="28" t="n"/>
      <c r="BP42" s="25" t="n"/>
      <c r="BQ42" s="27" t="n"/>
      <c r="BR42" s="28" t="n"/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</row>
    <row r="43" ht="36" customHeight="1">
      <c r="A43" s="24" t="inlineStr">
        <is>
          <t>d34bac6e45ff4a97</t>
        </is>
      </c>
      <c r="B43" s="24" t="inlineStr">
        <is>
          <t>2026-08-02T10:00:04.561525Z</t>
        </is>
      </c>
      <c r="C43" s="24" t="inlineStr">
        <is>
          <t>2026-08-02T19:15:00Z</t>
        </is>
      </c>
      <c r="D43" s="24" t="inlineStr">
        <is>
          <t>67576</t>
        </is>
      </c>
      <c r="E43" s="24" t="inlineStr">
        <is>
          <t>CS2</t>
        </is>
      </c>
      <c r="F43" s="24" t="inlineStr">
        <is>
          <t>mokrivskiy Club</t>
        </is>
      </c>
      <c r="G43" s="24" t="inlineStr">
        <is>
          <t>Morphilina Club</t>
        </is>
      </c>
      <c r="H43" s="24" t="inlineStr">
        <is>
          <t>moneyline</t>
        </is>
      </c>
      <c r="I43" s="24" t="inlineStr">
        <is>
          <t>home</t>
        </is>
      </c>
      <c r="J43" s="25" t="n"/>
      <c r="K43" s="24" t="inlineStr">
        <is>
          <t>polymarket_us</t>
        </is>
      </c>
      <c r="L43" s="26" t="n">
        <v>156</v>
      </c>
      <c r="M43" s="27" t="n">
        <v>2.56</v>
      </c>
      <c r="N43" s="28" t="n">
        <v>0.390625</v>
      </c>
      <c r="O43" s="28" t="n">
        <v>0.579539</v>
      </c>
      <c r="P43" s="28" t="n"/>
      <c r="Q43" s="28" t="n">
        <v>0.188914</v>
      </c>
      <c r="R43" s="26" t="n">
        <v>100</v>
      </c>
      <c r="S43" s="29" t="n">
        <v>1.25</v>
      </c>
      <c r="T43" s="24" t="inlineStr">
        <is>
          <t>cs2-tiered-elo-v5</t>
        </is>
      </c>
      <c r="U43" s="24" t="inlineStr">
        <is>
          <t>open</t>
        </is>
      </c>
      <c r="V43" s="24" t="n"/>
      <c r="W43" s="26" t="n"/>
      <c r="X43" s="26" t="n"/>
      <c r="Y43" s="25" t="n"/>
      <c r="Z43" s="26" t="n"/>
      <c r="AA43" s="28" t="n"/>
      <c r="AB43" s="28" t="n"/>
      <c r="AC43" s="30" t="n"/>
      <c r="AD43" s="24" t="n"/>
      <c r="AE43" s="31" t="inlineStr">
        <is>
          <t>Neutral Elo baseline; executable ask 0.3900 (market_slug=aec-cs2-mcor-mco-2026-08-02).</t>
        </is>
      </c>
      <c r="AF43" s="31" t="inlineStr">
        <is>
          <t>Config-promoted esports baseline; gates enforced at log time.</t>
        </is>
      </c>
      <c r="AG43" s="24" t="inlineStr">
        <is>
          <t>not_applicable</t>
        </is>
      </c>
      <c r="AH43" s="24" t="n"/>
      <c r="AI43" s="31" t="n"/>
      <c r="AJ43" s="31" t="n"/>
      <c r="AK43" s="24" t="inlineStr">
        <is>
          <t>research_observation</t>
        </is>
      </c>
      <c r="AL43" s="26" t="n">
        <v>3</v>
      </c>
      <c r="AM43" s="24" t="inlineStr">
        <is>
          <t>RESEARCH_OBSERVATION</t>
        </is>
      </c>
      <c r="AN43" s="24" t="inlineStr">
        <is>
          <t>NO_CALL</t>
        </is>
      </c>
      <c r="AO43" s="24" t="inlineStr">
        <is>
          <t>NO_CALL_MODEL_UNVALIDATED</t>
        </is>
      </c>
      <c r="AP43" s="24" t="inlineStr">
        <is>
          <t>mokrivskiy Club</t>
        </is>
      </c>
      <c r="AQ43" s="24" t="inlineStr">
        <is>
          <t>mokrivskiy Club</t>
        </is>
      </c>
      <c r="AR43" s="24" t="inlineStr">
        <is>
          <t>mokrivskiy Club</t>
        </is>
      </c>
      <c r="AS43" s="24" t="inlineStr">
        <is>
          <t>Morphilina Club</t>
        </is>
      </c>
      <c r="AT43" s="24" t="inlineStr">
        <is>
          <t>Morphilina Club</t>
        </is>
      </c>
      <c r="AU43" s="24" t="inlineStr">
        <is>
          <t>Morphilina Club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06138ffc8334cb69044b84c6e2b37aa9a4e0b6bd4f08ef7c62950d9e210f4364</t>
        </is>
      </c>
      <c r="BB43" s="24" t="inlineStr">
        <is>
          <t>neutral_elo</t>
        </is>
      </c>
      <c r="BC43" s="24" t="inlineStr">
        <is>
          <t>cs2-tiered-elo-v5</t>
        </is>
      </c>
      <c r="BD43" s="24" t="inlineStr">
        <is>
          <t>06138ffc8334cb69044b84c6e2b37aa9a4e0b6bd4f08ef7c62950d9e210f4364</t>
        </is>
      </c>
      <c r="BE43" s="24" t="inlineStr">
        <is>
          <t>1</t>
        </is>
      </c>
      <c r="BF43" s="24" t="inlineStr">
        <is>
          <t>1</t>
        </is>
      </c>
      <c r="BG43" s="24" t="inlineStr">
        <is>
          <t>cs2-tiered-elo-v5</t>
        </is>
      </c>
      <c r="BH43" s="24" t="inlineStr">
        <is>
          <t>2026-08-02T09:59:52.846665Z</t>
        </is>
      </c>
      <c r="BI43" s="24" t="inlineStr">
        <is>
          <t>["same_event","same_team_same_day","same_league_same_day"]</t>
        </is>
      </c>
      <c r="BJ43" s="25" t="n"/>
      <c r="BK43" s="26" t="n">
        <v>156</v>
      </c>
      <c r="BL43" s="27" t="n">
        <v>2.56</v>
      </c>
      <c r="BM43" s="28" t="n">
        <v>0.390625</v>
      </c>
      <c r="BN43" s="28" t="n"/>
      <c r="BO43" s="28" t="n"/>
      <c r="BP43" s="25" t="n"/>
      <c r="BQ43" s="27" t="n"/>
      <c r="BR43" s="28" t="n"/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</row>
    <row r="44" ht="36" customHeight="1">
      <c r="A44" s="24" t="inlineStr">
        <is>
          <t>deca0c777f084a7c</t>
        </is>
      </c>
      <c r="B44" s="24" t="inlineStr">
        <is>
          <t>2026-08-02T10:00:04.561525Z</t>
        </is>
      </c>
      <c r="C44" s="24" t="inlineStr">
        <is>
          <t>2026-08-03T08:00:00Z</t>
        </is>
      </c>
      <c r="D44" s="24" t="inlineStr">
        <is>
          <t>67490</t>
        </is>
      </c>
      <c r="E44" s="24" t="inlineStr">
        <is>
          <t>CS2</t>
        </is>
      </c>
      <c r="F44" s="24" t="inlineStr">
        <is>
          <t>VP.Prodigy</t>
        </is>
      </c>
      <c r="G44" s="24" t="inlineStr">
        <is>
          <t>Eternal Fire Academy</t>
        </is>
      </c>
      <c r="H44" s="24" t="inlineStr">
        <is>
          <t>moneyline</t>
        </is>
      </c>
      <c r="I44" s="24" t="inlineStr">
        <is>
          <t>away</t>
        </is>
      </c>
      <c r="J44" s="25" t="n"/>
      <c r="K44" s="24" t="inlineStr">
        <is>
          <t>polymarket_us</t>
        </is>
      </c>
      <c r="L44" s="26" t="n">
        <v>-223</v>
      </c>
      <c r="M44" s="27" t="n">
        <v>1.44843</v>
      </c>
      <c r="N44" s="28" t="n">
        <v>0.690402</v>
      </c>
      <c r="O44" s="28" t="n">
        <v>0.646647</v>
      </c>
      <c r="P44" s="28" t="n"/>
      <c r="Q44" s="28" t="n">
        <v>-0.043755</v>
      </c>
      <c r="R44" s="26" t="n">
        <v>0</v>
      </c>
      <c r="S44" s="29" t="n">
        <v>1.75</v>
      </c>
      <c r="T44" s="24" t="inlineStr">
        <is>
          <t>cs2-tiered-elo-v5</t>
        </is>
      </c>
      <c r="U44" s="24" t="inlineStr">
        <is>
          <t>open</t>
        </is>
      </c>
      <c r="V44" s="24" t="n"/>
      <c r="W44" s="26" t="n"/>
      <c r="X44" s="26" t="n"/>
      <c r="Y44" s="25" t="n"/>
      <c r="Z44" s="26" t="n"/>
      <c r="AA44" s="28" t="n"/>
      <c r="AB44" s="28" t="n"/>
      <c r="AC44" s="30" t="n"/>
      <c r="AD44" s="24" t="n"/>
      <c r="AE44" s="31" t="inlineStr">
        <is>
          <t>Neutral Elo baseline; executable ask 0.6900 (market_slug=aec-cs2-efa-vpp-2026-08-03).</t>
        </is>
      </c>
      <c r="AF44" s="31" t="inlineStr">
        <is>
          <t>Config-promoted esports baseline; gates enforced at log time.</t>
        </is>
      </c>
      <c r="AG44" s="24" t="inlineStr">
        <is>
          <t>not_applicable</t>
        </is>
      </c>
      <c r="AH44" s="24" t="n"/>
      <c r="AI44" s="31" t="n"/>
      <c r="AJ44" s="31" t="n"/>
      <c r="AK44" s="24" t="inlineStr">
        <is>
          <t>research_observation</t>
        </is>
      </c>
      <c r="AL44" s="26" t="n">
        <v>3</v>
      </c>
      <c r="AM44" s="24" t="inlineStr">
        <is>
          <t>RESEARCH_OBSERVATION</t>
        </is>
      </c>
      <c r="AN44" s="24" t="inlineStr">
        <is>
          <t>NO_CALL</t>
        </is>
      </c>
      <c r="AO44" s="24" t="inlineStr">
        <is>
          <t>NO_CALL_LOW_EDGE</t>
        </is>
      </c>
      <c r="AP44" s="24" t="inlineStr">
        <is>
          <t>VP.Prodigy</t>
        </is>
      </c>
      <c r="AQ44" s="24" t="inlineStr">
        <is>
          <t>VP.Prodigy</t>
        </is>
      </c>
      <c r="AR44" s="24" t="inlineStr">
        <is>
          <t>VP.Prodigy</t>
        </is>
      </c>
      <c r="AS44" s="24" t="inlineStr">
        <is>
          <t>Eternal Fire Academy</t>
        </is>
      </c>
      <c r="AT44" s="24" t="inlineStr">
        <is>
          <t>Eternal Fire Academy</t>
        </is>
      </c>
      <c r="AU44" s="24" t="inlineStr">
        <is>
          <t>Eternal Fire Academy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06138ffc8334cb69044b84c6e2b37aa9a4e0b6bd4f08ef7c62950d9e210f4364</t>
        </is>
      </c>
      <c r="BB44" s="24" t="inlineStr">
        <is>
          <t>neutral_elo</t>
        </is>
      </c>
      <c r="BC44" s="24" t="inlineStr">
        <is>
          <t>cs2-tiered-elo-v5</t>
        </is>
      </c>
      <c r="BD44" s="24" t="inlineStr">
        <is>
          <t>06138ffc8334cb69044b84c6e2b37aa9a4e0b6bd4f08ef7c62950d9e210f4364</t>
        </is>
      </c>
      <c r="BE44" s="24" t="inlineStr">
        <is>
          <t>1</t>
        </is>
      </c>
      <c r="BF44" s="24" t="inlineStr">
        <is>
          <t>1</t>
        </is>
      </c>
      <c r="BG44" s="24" t="inlineStr">
        <is>
          <t>cs2-tiered-elo-v5</t>
        </is>
      </c>
      <c r="BH44" s="24" t="inlineStr">
        <is>
          <t>2026-08-02T09:59:53.863040Z</t>
        </is>
      </c>
      <c r="BI44" s="24" t="inlineStr">
        <is>
          <t>["same_event","same_team_same_day","same_league_same_day"]</t>
        </is>
      </c>
      <c r="BJ44" s="25" t="n"/>
      <c r="BK44" s="26" t="n">
        <v>-223</v>
      </c>
      <c r="BL44" s="27" t="n">
        <v>1.44843</v>
      </c>
      <c r="BM44" s="28" t="n">
        <v>0.690402</v>
      </c>
      <c r="BN44" s="28" t="n"/>
      <c r="BO44" s="28" t="n"/>
      <c r="BP44" s="25" t="n"/>
      <c r="BQ44" s="27" t="n"/>
      <c r="BR44" s="28" t="n"/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</row>
    <row r="45" ht="36" customHeight="1">
      <c r="A45" s="24" t="inlineStr">
        <is>
          <t>9bba252f704c4c22</t>
        </is>
      </c>
      <c r="B45" s="24" t="inlineStr">
        <is>
          <t>2026-08-02T10:00:04.561525Z</t>
        </is>
      </c>
      <c r="C45" s="24" t="inlineStr">
        <is>
          <t>2026-08-03T10:00:00Z</t>
        </is>
      </c>
      <c r="D45" s="24" t="inlineStr">
        <is>
          <t>67510</t>
        </is>
      </c>
      <c r="E45" s="24" t="inlineStr">
        <is>
          <t>CS2</t>
        </is>
      </c>
      <c r="F45" s="24" t="inlineStr">
        <is>
          <t>Johnny Speeds</t>
        </is>
      </c>
      <c r="G45" s="24" t="inlineStr">
        <is>
          <t>Metizport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polymarket_us</t>
        </is>
      </c>
      <c r="L45" s="26" t="n">
        <v>-223</v>
      </c>
      <c r="M45" s="27" t="n">
        <v>1.44843</v>
      </c>
      <c r="N45" s="28" t="n">
        <v>0.690402</v>
      </c>
      <c r="O45" s="28" t="n">
        <v>0.563104</v>
      </c>
      <c r="P45" s="28" t="n"/>
      <c r="Q45" s="28" t="n">
        <v>-0.127298</v>
      </c>
      <c r="R45" s="26" t="n">
        <v>0</v>
      </c>
      <c r="S45" s="29" t="n">
        <v>1</v>
      </c>
      <c r="T45" s="24" t="inlineStr">
        <is>
          <t>cs2-tiered-elo-v5</t>
        </is>
      </c>
      <c r="U45" s="24" t="inlineStr">
        <is>
          <t>open</t>
        </is>
      </c>
      <c r="V45" s="24" t="n"/>
      <c r="W45" s="26" t="n"/>
      <c r="X45" s="26" t="n"/>
      <c r="Y45" s="25" t="n"/>
      <c r="Z45" s="26" t="n"/>
      <c r="AA45" s="28" t="n"/>
      <c r="AB45" s="28" t="n"/>
      <c r="AC45" s="30" t="n"/>
      <c r="AD45" s="24" t="n"/>
      <c r="AE45" s="31" t="inlineStr">
        <is>
          <t>Neutral Elo baseline; executable ask 0.6900 (market_slug=aec-cs2-mzp-js-2026-08-03).</t>
        </is>
      </c>
      <c r="AF45" s="31" t="inlineStr">
        <is>
          <t>Config-promoted esports baseline; gates enforced at log time.</t>
        </is>
      </c>
      <c r="AG45" s="24" t="inlineStr">
        <is>
          <t>not_applicable</t>
        </is>
      </c>
      <c r="AH45" s="24" t="n"/>
      <c r="AI45" s="31" t="n"/>
      <c r="AJ45" s="31" t="n"/>
      <c r="AK45" s="24" t="inlineStr">
        <is>
          <t>research_observation</t>
        </is>
      </c>
      <c r="AL45" s="26" t="n">
        <v>3</v>
      </c>
      <c r="AM45" s="24" t="inlineStr">
        <is>
          <t>RESEARCH_OBSERVATION</t>
        </is>
      </c>
      <c r="AN45" s="24" t="inlineStr">
        <is>
          <t>NO_CALL</t>
        </is>
      </c>
      <c r="AO45" s="24" t="inlineStr">
        <is>
          <t>NO_CALL_LOW_EDGE</t>
        </is>
      </c>
      <c r="AP45" s="24" t="inlineStr">
        <is>
          <t>Johnny Speeds</t>
        </is>
      </c>
      <c r="AQ45" s="24" t="inlineStr">
        <is>
          <t>Johnny Speeds</t>
        </is>
      </c>
      <c r="AR45" s="24" t="inlineStr">
        <is>
          <t>Johnny Speeds</t>
        </is>
      </c>
      <c r="AS45" s="24" t="inlineStr">
        <is>
          <t>Metizport</t>
        </is>
      </c>
      <c r="AT45" s="24" t="inlineStr">
        <is>
          <t>Metizport</t>
        </is>
      </c>
      <c r="AU45" s="24" t="inlineStr">
        <is>
          <t>Metizport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shadow_qualified</t>
        </is>
      </c>
      <c r="BA45" s="24" t="inlineStr">
        <is>
          <t>06138ffc8334cb69044b84c6e2b37aa9a4e0b6bd4f08ef7c62950d9e210f4364</t>
        </is>
      </c>
      <c r="BB45" s="24" t="inlineStr">
        <is>
          <t>neutral_elo</t>
        </is>
      </c>
      <c r="BC45" s="24" t="inlineStr">
        <is>
          <t>cs2-tiered-elo-v5</t>
        </is>
      </c>
      <c r="BD45" s="24" t="inlineStr">
        <is>
          <t>06138ffc8334cb69044b84c6e2b37aa9a4e0b6bd4f08ef7c62950d9e210f4364</t>
        </is>
      </c>
      <c r="BE45" s="24" t="inlineStr">
        <is>
          <t>1</t>
        </is>
      </c>
      <c r="BF45" s="24" t="inlineStr">
        <is>
          <t>1</t>
        </is>
      </c>
      <c r="BG45" s="24" t="inlineStr">
        <is>
          <t>cs2-tiered-elo-v5</t>
        </is>
      </c>
      <c r="BH45" s="24" t="inlineStr">
        <is>
          <t>2026-08-02T09:59:55.692466Z</t>
        </is>
      </c>
      <c r="BI45" s="24" t="inlineStr">
        <is>
          <t>["same_event","same_team_same_day","same_league_same_day"]</t>
        </is>
      </c>
      <c r="BJ45" s="25" t="n"/>
      <c r="BK45" s="26" t="n">
        <v>-223</v>
      </c>
      <c r="BL45" s="27" t="n">
        <v>1.44843</v>
      </c>
      <c r="BM45" s="28" t="n">
        <v>0.690402</v>
      </c>
      <c r="BN45" s="28" t="n"/>
      <c r="BO45" s="28" t="n"/>
      <c r="BP45" s="25" t="n"/>
      <c r="BQ45" s="27" t="n"/>
      <c r="BR45" s="28" t="n"/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</row>
    <row r="46" ht="36" customHeight="1">
      <c r="A46" s="24" t="inlineStr">
        <is>
          <t>50cdc781309648ec</t>
        </is>
      </c>
      <c r="B46" s="24" t="inlineStr">
        <is>
          <t>2026-08-02T10:00:04.561525Z</t>
        </is>
      </c>
      <c r="C46" s="24" t="inlineStr">
        <is>
          <t>2026-08-03T10:30:00Z</t>
        </is>
      </c>
      <c r="D46" s="24" t="inlineStr">
        <is>
          <t>67514</t>
        </is>
      </c>
      <c r="E46" s="24" t="inlineStr">
        <is>
          <t>CS2</t>
        </is>
      </c>
      <c r="F46" s="24" t="inlineStr">
        <is>
          <t>Passion Academy</t>
        </is>
      </c>
      <c r="G46" s="24" t="inlineStr">
        <is>
          <t>EAC Rising</t>
        </is>
      </c>
      <c r="H46" s="24" t="inlineStr">
        <is>
          <t>moneyline</t>
        </is>
      </c>
      <c r="I46" s="24" t="inlineStr">
        <is>
          <t>home</t>
        </is>
      </c>
      <c r="J46" s="25" t="n"/>
      <c r="K46" s="24" t="inlineStr">
        <is>
          <t>polymarket_us</t>
        </is>
      </c>
      <c r="L46" s="26" t="n">
        <v>-122</v>
      </c>
      <c r="M46" s="27" t="n">
        <v>1.819672</v>
      </c>
      <c r="N46" s="28" t="n">
        <v>0.54955</v>
      </c>
      <c r="O46" s="28" t="n">
        <v>0.640228</v>
      </c>
      <c r="P46" s="28" t="n"/>
      <c r="Q46" s="28" t="n">
        <v>0.09067799999999999</v>
      </c>
      <c r="R46" s="26" t="n">
        <v>65</v>
      </c>
      <c r="S46" s="29" t="n">
        <v>1.5</v>
      </c>
      <c r="T46" s="24" t="inlineStr">
        <is>
          <t>cs2-tiered-elo-v5</t>
        </is>
      </c>
      <c r="U46" s="24" t="inlineStr">
        <is>
          <t>open</t>
        </is>
      </c>
      <c r="V46" s="24" t="n"/>
      <c r="W46" s="26" t="n"/>
      <c r="X46" s="26" t="n"/>
      <c r="Y46" s="25" t="n"/>
      <c r="Z46" s="26" t="n"/>
      <c r="AA46" s="28" t="n"/>
      <c r="AB46" s="28" t="n"/>
      <c r="AC46" s="30" t="n"/>
      <c r="AD46" s="24" t="n"/>
      <c r="AE46" s="31" t="inlineStr">
        <is>
          <t>Neutral Elo baseline; executable ask 0.5500 (market_slug=aec-cs2-era-psna-2026-08-03).</t>
        </is>
      </c>
      <c r="AF46" s="31" t="inlineStr">
        <is>
          <t>Config-promoted esports baseline; gates enforced at log time.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model_qualified</t>
        </is>
      </c>
      <c r="AL46" s="26" t="n">
        <v>3</v>
      </c>
      <c r="AM46" s="24" t="inlineStr">
        <is>
          <t>QUALIFIED_SHADOW_CALL</t>
        </is>
      </c>
      <c r="AN46" s="24" t="inlineStr">
        <is>
          <t>CALL</t>
        </is>
      </c>
      <c r="AO46" s="24" t="inlineStr">
        <is>
          <t>QUALIFIED</t>
        </is>
      </c>
      <c r="AP46" s="24" t="inlineStr">
        <is>
          <t>Passion Academy</t>
        </is>
      </c>
      <c r="AQ46" s="24" t="inlineStr">
        <is>
          <t>Passion Academy</t>
        </is>
      </c>
      <c r="AR46" s="24" t="inlineStr">
        <is>
          <t>Passion Academy</t>
        </is>
      </c>
      <c r="AS46" s="24" t="inlineStr">
        <is>
          <t>EAC Rising</t>
        </is>
      </c>
      <c r="AT46" s="24" t="inlineStr">
        <is>
          <t>EAC Rising</t>
        </is>
      </c>
      <c r="AU46" s="24" t="inlineStr">
        <is>
          <t>EAC Rising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06138ffc8334cb69044b84c6e2b37aa9a4e0b6bd4f08ef7c62950d9e210f4364</t>
        </is>
      </c>
      <c r="BB46" s="24" t="inlineStr">
        <is>
          <t>neutral_elo</t>
        </is>
      </c>
      <c r="BC46" s="24" t="inlineStr">
        <is>
          <t>cs2-tiered-elo-v5</t>
        </is>
      </c>
      <c r="BD46" s="24" t="inlineStr">
        <is>
          <t>06138ffc8334cb69044b84c6e2b37aa9a4e0b6bd4f08ef7c62950d9e210f4364</t>
        </is>
      </c>
      <c r="BE46" s="24" t="inlineStr">
        <is>
          <t>1</t>
        </is>
      </c>
      <c r="BF46" s="24" t="inlineStr">
        <is>
          <t>1</t>
        </is>
      </c>
      <c r="BG46" s="24" t="inlineStr">
        <is>
          <t>cs2-tiered-elo-v5</t>
        </is>
      </c>
      <c r="BH46" s="24" t="inlineStr">
        <is>
          <t>2026-08-02T09:59:57.251438Z</t>
        </is>
      </c>
      <c r="BI46" s="24" t="inlineStr">
        <is>
          <t>["same_event","same_team_same_day","same_league_same_day"]</t>
        </is>
      </c>
      <c r="BJ46" s="25" t="n"/>
      <c r="BK46" s="26" t="n">
        <v>-122</v>
      </c>
      <c r="BL46" s="27" t="n">
        <v>1.819672</v>
      </c>
      <c r="BM46" s="28" t="n">
        <v>0.54955</v>
      </c>
      <c r="BN46" s="28" t="n"/>
      <c r="BO46" s="28" t="n"/>
      <c r="BP46" s="25" t="n"/>
      <c r="BQ46" s="27" t="n"/>
      <c r="BR46" s="28" t="n"/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</row>
    <row r="47" ht="36" customHeight="1">
      <c r="A47" s="24" t="inlineStr">
        <is>
          <t>d5bc9a8496d6494a</t>
        </is>
      </c>
      <c r="B47" s="24" t="inlineStr">
        <is>
          <t>2026-08-02T10:00:04.561525Z</t>
        </is>
      </c>
      <c r="C47" s="24" t="inlineStr">
        <is>
          <t>2026-08-03T11:00:00Z</t>
        </is>
      </c>
      <c r="D47" s="24" t="inlineStr">
        <is>
          <t>67578</t>
        </is>
      </c>
      <c r="E47" s="24" t="inlineStr">
        <is>
          <t>CS2</t>
        </is>
      </c>
      <c r="F47" s="24" t="inlineStr">
        <is>
          <t>Perfecto Club</t>
        </is>
      </c>
      <c r="G47" s="24" t="inlineStr">
        <is>
          <t>Recrent Club</t>
        </is>
      </c>
      <c r="H47" s="24" t="inlineStr">
        <is>
          <t>moneyline</t>
        </is>
      </c>
      <c r="I47" s="24" t="inlineStr">
        <is>
          <t>home</t>
        </is>
      </c>
      <c r="J47" s="25" t="n"/>
      <c r="K47" s="24" t="inlineStr">
        <is>
          <t>polymarket_us</t>
        </is>
      </c>
      <c r="L47" s="26" t="n">
        <v>-122</v>
      </c>
      <c r="M47" s="27" t="n">
        <v>1.819672</v>
      </c>
      <c r="N47" s="28" t="n">
        <v>0.54955</v>
      </c>
      <c r="O47" s="28" t="n">
        <v>0.526743</v>
      </c>
      <c r="P47" s="28" t="n"/>
      <c r="Q47" s="28" t="n">
        <v>-0.022807</v>
      </c>
      <c r="R47" s="26" t="n">
        <v>9</v>
      </c>
      <c r="S47" s="29" t="n">
        <v>1</v>
      </c>
      <c r="T47" s="24" t="inlineStr">
        <is>
          <t>cs2-tiered-elo-v5</t>
        </is>
      </c>
      <c r="U47" s="24" t="inlineStr">
        <is>
          <t>open</t>
        </is>
      </c>
      <c r="V47" s="24" t="n"/>
      <c r="W47" s="26" t="n"/>
      <c r="X47" s="26" t="n"/>
      <c r="Y47" s="25" t="n"/>
      <c r="Z47" s="26" t="n"/>
      <c r="AA47" s="28" t="n"/>
      <c r="AB47" s="28" t="n"/>
      <c r="AC47" s="30" t="n"/>
      <c r="AD47" s="24" t="n"/>
      <c r="AE47" s="31" t="inlineStr">
        <is>
          <t>Neutral Elo baseline; executable ask 0.5500 (market_slug=aec-cs2-rce-pce-2026-08-03).</t>
        </is>
      </c>
      <c r="AF47" s="31" t="inlineStr">
        <is>
          <t>Config-promoted esports baseline; gates enforced at log time.</t>
        </is>
      </c>
      <c r="AG47" s="24" t="inlineStr">
        <is>
          <t>not_applicable</t>
        </is>
      </c>
      <c r="AH47" s="24" t="n"/>
      <c r="AI47" s="31" t="n"/>
      <c r="AJ47" s="31" t="n"/>
      <c r="AK47" s="24" t="inlineStr">
        <is>
          <t>research_observation</t>
        </is>
      </c>
      <c r="AL47" s="26" t="n">
        <v>3</v>
      </c>
      <c r="AM47" s="24" t="inlineStr">
        <is>
          <t>RESEARCH_OBSERVATION</t>
        </is>
      </c>
      <c r="AN47" s="24" t="inlineStr">
        <is>
          <t>NO_CALL</t>
        </is>
      </c>
      <c r="AO47" s="24" t="inlineStr">
        <is>
          <t>NO_CALL_MODEL_UNVALIDATED</t>
        </is>
      </c>
      <c r="AP47" s="24" t="inlineStr">
        <is>
          <t>Perfecto Club</t>
        </is>
      </c>
      <c r="AQ47" s="24" t="inlineStr">
        <is>
          <t>Perfecto Club</t>
        </is>
      </c>
      <c r="AR47" s="24" t="inlineStr">
        <is>
          <t>Perfecto Club</t>
        </is>
      </c>
      <c r="AS47" s="24" t="inlineStr">
        <is>
          <t>Recrent Club</t>
        </is>
      </c>
      <c r="AT47" s="24" t="inlineStr">
        <is>
          <t>Recrent Club</t>
        </is>
      </c>
      <c r="AU47" s="24" t="inlineStr">
        <is>
          <t>Recrent Club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06138ffc8334cb69044b84c6e2b37aa9a4e0b6bd4f08ef7c62950d9e210f4364</t>
        </is>
      </c>
      <c r="BB47" s="24" t="inlineStr">
        <is>
          <t>neutral_elo</t>
        </is>
      </c>
      <c r="BC47" s="24" t="inlineStr">
        <is>
          <t>cs2-tiered-elo-v5</t>
        </is>
      </c>
      <c r="BD47" s="24" t="inlineStr">
        <is>
          <t>06138ffc8334cb69044b84c6e2b37aa9a4e0b6bd4f08ef7c62950d9e210f4364</t>
        </is>
      </c>
      <c r="BE47" s="24" t="inlineStr">
        <is>
          <t>1</t>
        </is>
      </c>
      <c r="BF47" s="24" t="inlineStr">
        <is>
          <t>1</t>
        </is>
      </c>
      <c r="BG47" s="24" t="inlineStr">
        <is>
          <t>cs2-tiered-elo-v5</t>
        </is>
      </c>
      <c r="BH47" s="24" t="inlineStr">
        <is>
          <t>2026-08-02T09:59:57.770498Z</t>
        </is>
      </c>
      <c r="BI47" s="24" t="inlineStr">
        <is>
          <t>["same_event","same_team_same_day","same_league_same_day"]</t>
        </is>
      </c>
      <c r="BJ47" s="25" t="n"/>
      <c r="BK47" s="26" t="n">
        <v>-122</v>
      </c>
      <c r="BL47" s="27" t="n">
        <v>1.819672</v>
      </c>
      <c r="BM47" s="28" t="n">
        <v>0.54955</v>
      </c>
      <c r="BN47" s="28" t="n"/>
      <c r="BO47" s="28" t="n"/>
      <c r="BP47" s="25" t="n"/>
      <c r="BQ47" s="27" t="n"/>
      <c r="BR47" s="28" t="n"/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</row>
    <row r="48" ht="36" customHeight="1">
      <c r="A48" s="24" t="inlineStr">
        <is>
          <t>0f4a18b629c841c0</t>
        </is>
      </c>
      <c r="B48" s="24" t="inlineStr">
        <is>
          <t>2026-08-02T10:00:04.561525Z</t>
        </is>
      </c>
      <c r="C48" s="24" t="inlineStr">
        <is>
          <t>2026-08-03T13:45:00Z</t>
        </is>
      </c>
      <c r="D48" s="24" t="inlineStr">
        <is>
          <t>67579</t>
        </is>
      </c>
      <c r="E48" s="24" t="inlineStr">
        <is>
          <t>CS2</t>
        </is>
      </c>
      <c r="F48" s="24" t="inlineStr">
        <is>
          <t>Morphilina Club</t>
        </is>
      </c>
      <c r="G48" s="24" t="inlineStr">
        <is>
          <t>Perfecto Club</t>
        </is>
      </c>
      <c r="H48" s="24" t="inlineStr">
        <is>
          <t>moneyline</t>
        </is>
      </c>
      <c r="I48" s="24" t="inlineStr">
        <is>
          <t>away</t>
        </is>
      </c>
      <c r="J48" s="25" t="n"/>
      <c r="K48" s="24" t="inlineStr">
        <is>
          <t>polymarket_us</t>
        </is>
      </c>
      <c r="L48" s="26" t="n">
        <v>203</v>
      </c>
      <c r="M48" s="27" t="n">
        <v>3.03</v>
      </c>
      <c r="N48" s="28" t="n">
        <v>0.330033</v>
      </c>
      <c r="O48" s="28" t="n">
        <v>0.526658</v>
      </c>
      <c r="P48" s="28" t="n"/>
      <c r="Q48" s="28" t="n">
        <v>0.196625</v>
      </c>
      <c r="R48" s="26" t="n">
        <v>100</v>
      </c>
      <c r="S48" s="29" t="n">
        <v>1</v>
      </c>
      <c r="T48" s="24" t="inlineStr">
        <is>
          <t>cs2-tiered-elo-v5</t>
        </is>
      </c>
      <c r="U48" s="24" t="inlineStr">
        <is>
          <t>open</t>
        </is>
      </c>
      <c r="V48" s="24" t="n"/>
      <c r="W48" s="26" t="n"/>
      <c r="X48" s="26" t="n"/>
      <c r="Y48" s="25" t="n"/>
      <c r="Z48" s="26" t="n"/>
      <c r="AA48" s="28" t="n"/>
      <c r="AB48" s="28" t="n"/>
      <c r="AC48" s="30" t="n"/>
      <c r="AD48" s="24" t="n"/>
      <c r="AE48" s="31" t="inlineStr">
        <is>
          <t>Neutral Elo baseline; executable ask 0.3300 (market_slug=aec-cs2-pce-mcor-2026-08-03).</t>
        </is>
      </c>
      <c r="AF48" s="31" t="inlineStr">
        <is>
          <t>Config-promoted esports baseline; gates enforced at log time.</t>
        </is>
      </c>
      <c r="AG48" s="24" t="inlineStr">
        <is>
          <t>not_applicable</t>
        </is>
      </c>
      <c r="AH48" s="24" t="n"/>
      <c r="AI48" s="31" t="n"/>
      <c r="AJ48" s="31" t="n"/>
      <c r="AK48" s="24" t="inlineStr">
        <is>
          <t>research_observation</t>
        </is>
      </c>
      <c r="AL48" s="26" t="n">
        <v>3</v>
      </c>
      <c r="AM48" s="24" t="inlineStr">
        <is>
          <t>RESEARCH_OBSERVATION</t>
        </is>
      </c>
      <c r="AN48" s="24" t="inlineStr">
        <is>
          <t>NO_CALL</t>
        </is>
      </c>
      <c r="AO48" s="24" t="inlineStr">
        <is>
          <t>NO_CALL_MODEL_UNVALIDATED</t>
        </is>
      </c>
      <c r="AP48" s="24" t="inlineStr">
        <is>
          <t>Morphilina Club</t>
        </is>
      </c>
      <c r="AQ48" s="24" t="inlineStr">
        <is>
          <t>Morphilina Club</t>
        </is>
      </c>
      <c r="AR48" s="24" t="inlineStr">
        <is>
          <t>Morphilina Club</t>
        </is>
      </c>
      <c r="AS48" s="24" t="inlineStr">
        <is>
          <t>Perfecto Club</t>
        </is>
      </c>
      <c r="AT48" s="24" t="inlineStr">
        <is>
          <t>Perfecto Club</t>
        </is>
      </c>
      <c r="AU48" s="24" t="inlineStr">
        <is>
          <t>Perfecto Club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06138ffc8334cb69044b84c6e2b37aa9a4e0b6bd4f08ef7c62950d9e210f4364</t>
        </is>
      </c>
      <c r="BB48" s="24" t="inlineStr">
        <is>
          <t>neutral_elo</t>
        </is>
      </c>
      <c r="BC48" s="24" t="inlineStr">
        <is>
          <t>cs2-tiered-elo-v5</t>
        </is>
      </c>
      <c r="BD48" s="24" t="inlineStr">
        <is>
          <t>06138ffc8334cb69044b84c6e2b37aa9a4e0b6bd4f08ef7c62950d9e210f4364</t>
        </is>
      </c>
      <c r="BE48" s="24" t="inlineStr">
        <is>
          <t>1</t>
        </is>
      </c>
      <c r="BF48" s="24" t="inlineStr">
        <is>
          <t>1</t>
        </is>
      </c>
      <c r="BG48" s="24" t="inlineStr">
        <is>
          <t>cs2-tiered-elo-v5</t>
        </is>
      </c>
      <c r="BH48" s="24" t="inlineStr">
        <is>
          <t>2026-08-02T09:59:59.263922Z</t>
        </is>
      </c>
      <c r="BI48" s="24" t="inlineStr">
        <is>
          <t>["same_event","same_team_same_day","same_league_same_day"]</t>
        </is>
      </c>
      <c r="BJ48" s="25" t="n"/>
      <c r="BK48" s="26" t="n">
        <v>203</v>
      </c>
      <c r="BL48" s="27" t="n">
        <v>3.03</v>
      </c>
      <c r="BM48" s="28" t="n">
        <v>0.330033</v>
      </c>
      <c r="BN48" s="28" t="n"/>
      <c r="BO48" s="28" t="n"/>
      <c r="BP48" s="25" t="n"/>
      <c r="BQ48" s="27" t="n"/>
      <c r="BR48" s="28" t="n"/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</row>
    <row r="49" ht="36" customHeight="1">
      <c r="A49" s="24" t="inlineStr">
        <is>
          <t>c821c1721eda4a68</t>
        </is>
      </c>
      <c r="B49" s="24" t="inlineStr">
        <is>
          <t>2026-08-02T10:00:04.561525Z</t>
        </is>
      </c>
      <c r="C49" s="24" t="inlineStr">
        <is>
          <t>2026-08-03T23:00:00Z</t>
        </is>
      </c>
      <c r="D49" s="24" t="inlineStr">
        <is>
          <t>68043</t>
        </is>
      </c>
      <c r="E49" s="24" t="inlineStr">
        <is>
          <t>CS2</t>
        </is>
      </c>
      <c r="F49" s="24" t="inlineStr">
        <is>
          <t>paiN Academy</t>
        </is>
      </c>
      <c r="G49" s="24" t="inlineStr">
        <is>
          <t>Grêmio Esports</t>
        </is>
      </c>
      <c r="H49" s="24" t="inlineStr">
        <is>
          <t>moneyline</t>
        </is>
      </c>
      <c r="I49" s="24" t="inlineStr">
        <is>
          <t>home</t>
        </is>
      </c>
      <c r="J49" s="25" t="n"/>
      <c r="K49" s="24" t="inlineStr">
        <is>
          <t>polymarket_us</t>
        </is>
      </c>
      <c r="L49" s="26" t="n">
        <v>113</v>
      </c>
      <c r="M49" s="27" t="n">
        <v>2.13</v>
      </c>
      <c r="N49" s="28" t="n">
        <v>0.469484</v>
      </c>
      <c r="O49" s="28" t="n">
        <v>0.569576</v>
      </c>
      <c r="P49" s="28" t="n"/>
      <c r="Q49" s="28" t="n">
        <v>0.100092</v>
      </c>
      <c r="R49" s="26" t="n">
        <v>70</v>
      </c>
      <c r="S49" s="29" t="n">
        <v>1.25</v>
      </c>
      <c r="T49" s="24" t="inlineStr">
        <is>
          <t>cs2-tiered-elo-v5</t>
        </is>
      </c>
      <c r="U49" s="24" t="inlineStr">
        <is>
          <t>open</t>
        </is>
      </c>
      <c r="V49" s="24" t="n"/>
      <c r="W49" s="26" t="n"/>
      <c r="X49" s="26" t="n"/>
      <c r="Y49" s="25" t="n"/>
      <c r="Z49" s="26" t="n"/>
      <c r="AA49" s="28" t="n"/>
      <c r="AB49" s="28" t="n"/>
      <c r="AC49" s="30" t="n"/>
      <c r="AD49" s="24" t="n"/>
      <c r="AE49" s="31" t="inlineStr">
        <is>
          <t>Neutral Elo baseline; executable ask 0.4700 (market_slug=aec-cs2-ger-paina-2026-08-03).</t>
        </is>
      </c>
      <c r="AF49" s="31" t="inlineStr">
        <is>
          <t>Config-promoted esports baseline; gates enforced at log time.</t>
        </is>
      </c>
      <c r="AG49" s="24" t="inlineStr">
        <is>
          <t>not_applicable</t>
        </is>
      </c>
      <c r="AH49" s="24" t="n"/>
      <c r="AI49" s="31" t="n"/>
      <c r="AJ49" s="31" t="n"/>
      <c r="AK49" s="24" t="inlineStr">
        <is>
          <t>research_observation</t>
        </is>
      </c>
      <c r="AL49" s="26" t="n">
        <v>3</v>
      </c>
      <c r="AM49" s="24" t="inlineStr">
        <is>
          <t>RESEARCH_OBSERVATION</t>
        </is>
      </c>
      <c r="AN49" s="24" t="inlineStr">
        <is>
          <t>NO_CALL</t>
        </is>
      </c>
      <c r="AO49" s="24" t="inlineStr">
        <is>
          <t>NO_CALL_MODEL_UNVALIDATED</t>
        </is>
      </c>
      <c r="AP49" s="24" t="inlineStr">
        <is>
          <t>paiN Academy</t>
        </is>
      </c>
      <c r="AQ49" s="24" t="inlineStr">
        <is>
          <t>paiN Academy</t>
        </is>
      </c>
      <c r="AR49" s="24" t="inlineStr">
        <is>
          <t>paiN Academy</t>
        </is>
      </c>
      <c r="AS49" s="24" t="inlineStr">
        <is>
          <t>Grêmio Esports</t>
        </is>
      </c>
      <c r="AT49" s="24" t="inlineStr">
        <is>
          <t>Grêmio Esports</t>
        </is>
      </c>
      <c r="AU49" s="24" t="inlineStr">
        <is>
          <t>Grêmio Esports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shadow_qualified</t>
        </is>
      </c>
      <c r="BA49" s="24" t="inlineStr">
        <is>
          <t>06138ffc8334cb69044b84c6e2b37aa9a4e0b6bd4f08ef7c62950d9e210f4364</t>
        </is>
      </c>
      <c r="BB49" s="24" t="inlineStr">
        <is>
          <t>neutral_elo</t>
        </is>
      </c>
      <c r="BC49" s="24" t="inlineStr">
        <is>
          <t>cs2-tiered-elo-v5</t>
        </is>
      </c>
      <c r="BD49" s="24" t="inlineStr">
        <is>
          <t>06138ffc8334cb69044b84c6e2b37aa9a4e0b6bd4f08ef7c62950d9e210f4364</t>
        </is>
      </c>
      <c r="BE49" s="24" t="inlineStr">
        <is>
          <t>1</t>
        </is>
      </c>
      <c r="BF49" s="24" t="inlineStr">
        <is>
          <t>1</t>
        </is>
      </c>
      <c r="BG49" s="24" t="inlineStr">
        <is>
          <t>cs2-tiered-elo-v5</t>
        </is>
      </c>
      <c r="BH49" s="24" t="inlineStr">
        <is>
          <t>2026-08-02T10:00:04.559918Z</t>
        </is>
      </c>
      <c r="BI49" s="24" t="inlineStr">
        <is>
          <t>["same_event","same_team_same_day","same_league_same_day"]</t>
        </is>
      </c>
      <c r="BJ49" s="25" t="n"/>
      <c r="BK49" s="26" t="n">
        <v>113</v>
      </c>
      <c r="BL49" s="27" t="n">
        <v>2.13</v>
      </c>
      <c r="BM49" s="28" t="n">
        <v>0.469484</v>
      </c>
      <c r="BN49" s="28" t="n"/>
      <c r="BO49" s="28" t="n"/>
      <c r="BP49" s="25" t="n"/>
      <c r="BQ49" s="27" t="n"/>
      <c r="BR49" s="28" t="n"/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2026-08-02T10:00:08Z</dcterms:created>
  <dcterms:modified xsi:type="dcterms:W3CDTF">2026-08-02T10:00:08Z</dcterms:modified>
</cp:coreProperties>
</file>