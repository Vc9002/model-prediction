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53" headerRowCount="1">
  <autoFilter ref="A1:CS15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COUNTA('Picks'!$A$2:$A$153)</f>
        <v/>
      </c>
      <c r="C4" s="6">
        <f>COUNTIF('Picks'!$U$2:$U$153,"open")</f>
        <v/>
      </c>
      <c r="E4" s="6">
        <f>COUNTIF('Picks'!$U$2:$U$153,"settled")</f>
        <v/>
      </c>
      <c r="G4" s="6">
        <f>IF(COUNTIFS('Picks'!$U$2:$U$153,"settled",'Picks'!$V$2:$V$153,"win")+COUNTIFS('Picks'!$U$2:$U$153,"settled",'Picks'!$V$2:$V$153,"loss")&gt;=$L$2,"Ready","Insufficient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COUNTIF('Picks'!$BX$2:$BX$153,"&gt;0")</f>
        <v/>
      </c>
      <c r="C7" s="6">
        <f>COUNTIFS('Picks'!$BX$2:$BX$153,"&gt;0",'Picks'!$V$2:$V$153,"win")&amp;"-"&amp;COUNTIFS('Picks'!$BX$2:$BX$153,"&gt;0",'Picks'!$V$2:$V$153,"loss")</f>
        <v/>
      </c>
      <c r="E7" s="7">
        <f>IFERROR(COUNTIFS('Picks'!$BX$2:$BX$153,"&gt;0",'Picks'!$V$2:$V$153,"win")/(COUNTIFS('Picks'!$BX$2:$BX$153,"&gt;0",'Picks'!$V$2:$V$153,"win")+COUNTIFS('Picks'!$BX$2:$BX$153,"&gt;0",'Picks'!$V$2:$V$153,"loss")),0)</f>
        <v/>
      </c>
      <c r="G7" s="7">
        <f>IFERROR(SUM('Picks'!$BY$2:$BY$153)/SUM('Picks'!$BX$2:$BX$153),0)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SUM('Picks'!$BY$2:$BY$153)</f>
        <v/>
      </c>
      <c r="C10" s="9">
        <f>IFERROR(AVERAGEIF('Picks'!$AB$2:$AB$153,"&lt;&gt;",'Picks'!$AB$2:$AB$153),0)</f>
        <v/>
      </c>
      <c r="E10" s="6">
        <f>COUNTIFS('Picks'!$AM$2:$AM$153,"QUALIFIED_SHADOW_CALL",'Picks'!$U$2:$U$153,"settled")</f>
        <v/>
      </c>
      <c r="G10" s="8">
        <f>SUMIFS('Picks'!$AC$2:$AC$153,'Picks'!$AM$2:$AM$153,"QUALIFIED_SHADOW_CALL")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COUNTIFS('Picks'!$H$2:$H$153,$A14,'Picks'!$U$2:$U$153,"settled")</f>
        <v/>
      </c>
      <c r="C14" s="13">
        <f>COUNTIFS('Picks'!$H$2:$H$153,$A14,'Picks'!$U$2:$U$153,"settled",'Picks'!$V$2:$V$153,"win")</f>
        <v/>
      </c>
      <c r="D14" s="13">
        <f>COUNTIFS('Picks'!$H$2:$H$153,$A14,'Picks'!$U$2:$U$153,"settled",'Picks'!$V$2:$V$153,"loss")</f>
        <v/>
      </c>
      <c r="E14" s="14">
        <f>IFERROR(C14/(C14+D14),0)</f>
        <v/>
      </c>
      <c r="F14" s="15">
        <f>SUMIFS('Picks'!$BY$2:$BY$153,'Picks'!$H$2:$H$153,$A14)</f>
        <v/>
      </c>
      <c r="G14" s="16">
        <f>IFERROR(AVERAGEIFS('Picks'!$AB$2:$AB$153,'Picks'!$H$2:$H$153,$A14,'Picks'!$U$2:$U$153,"settled"),0)</f>
        <v/>
      </c>
    </row>
    <row r="15">
      <c r="A15" s="17" t="inlineStr">
        <is>
          <t>spread</t>
        </is>
      </c>
      <c r="B15" s="18">
        <f>COUNTIFS('Picks'!$H$2:$H$153,$A15,'Picks'!$U$2:$U$153,"settled")</f>
        <v/>
      </c>
      <c r="C15" s="18">
        <f>COUNTIFS('Picks'!$H$2:$H$153,$A15,'Picks'!$U$2:$U$153,"settled",'Picks'!$V$2:$V$153,"win")</f>
        <v/>
      </c>
      <c r="D15" s="18">
        <f>COUNTIFS('Picks'!$H$2:$H$153,$A15,'Picks'!$U$2:$U$153,"settled",'Picks'!$V$2:$V$153,"loss")</f>
        <v/>
      </c>
      <c r="E15" s="19">
        <f>IFERROR(C15/(C15+D15),0)</f>
        <v/>
      </c>
      <c r="F15" s="20">
        <f>SUMIFS('Picks'!$BY$2:$BY$153,'Picks'!$H$2:$H$153,$A15)</f>
        <v/>
      </c>
      <c r="G15" s="21">
        <f>IFERROR(AVERAGEIFS('Picks'!$AB$2:$AB$153,'Picks'!$H$2:$H$153,$A15,'Picks'!$U$2:$U$153,"settled"),0)</f>
        <v/>
      </c>
    </row>
    <row r="16">
      <c r="A16" s="12" t="inlineStr">
        <is>
          <t>total</t>
        </is>
      </c>
      <c r="B16" s="13">
        <f>COUNTIFS('Picks'!$H$2:$H$153,$A16,'Picks'!$U$2:$U$153,"settled")</f>
        <v/>
      </c>
      <c r="C16" s="13">
        <f>COUNTIFS('Picks'!$H$2:$H$153,$A16,'Picks'!$U$2:$U$153,"settled",'Picks'!$V$2:$V$153,"win")</f>
        <v/>
      </c>
      <c r="D16" s="13">
        <f>COUNTIFS('Picks'!$H$2:$H$153,$A16,'Picks'!$U$2:$U$153,"settled",'Picks'!$V$2:$V$153,"loss")</f>
        <v/>
      </c>
      <c r="E16" s="14">
        <f>IFERROR(C16/(C16+D16),0)</f>
        <v/>
      </c>
      <c r="F16" s="15">
        <f>SUMIFS('Picks'!$BY$2:$BY$153,'Picks'!$H$2:$H$153,$A16)</f>
        <v/>
      </c>
      <c r="G16" s="16">
        <f>IFERROR(AVERAGEIFS('Picks'!$AB$2:$AB$153,'Picks'!$H$2:$H$153,$A16,'Picks'!$U$2:$U$153,"settled"),0)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2026-08-03T02:34:37.075403Z</t>
        </is>
      </c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settled to a non-binary price (forfeit/postponement per market rules)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2026-08-03T02:34:38.439879Z</t>
        </is>
      </c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1.2821</v>
      </c>
      <c r="AD38" s="24" t="inlineStr">
        <is>
          <t>2026-08-02T23:13:08.840628Z</t>
        </is>
      </c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2026-08-03T02:34:39.833362Z</t>
        </is>
      </c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150</v>
      </c>
      <c r="AA40" s="28" t="n">
        <v>0.4</v>
      </c>
      <c r="AB40" s="28" t="n">
        <v>0</v>
      </c>
      <c r="AC40" s="30" t="n">
        <v>-1</v>
      </c>
      <c r="AD40" s="24" t="inlineStr">
        <is>
          <t>2026-08-02T23:13:11.332419Z</t>
        </is>
      </c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108a0eee881d4892</t>
        </is>
      </c>
      <c r="B41" s="24" t="inlineStr">
        <is>
          <t>2026-08-02T18:50:17.352715Z</t>
        </is>
      </c>
      <c r="C41" s="24" t="inlineStr">
        <is>
          <t>2026-08-02T19:15:00Z</t>
        </is>
      </c>
      <c r="D41" s="24" t="inlineStr">
        <is>
          <t>67577</t>
        </is>
      </c>
      <c r="E41" s="24" t="inlineStr">
        <is>
          <t>CS2</t>
        </is>
      </c>
      <c r="F41" s="24" t="inlineStr">
        <is>
          <t>SNAILKICK Club</t>
        </is>
      </c>
      <c r="G41" s="24" t="inlineStr">
        <is>
          <t>Lixxx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0.527097</v>
      </c>
      <c r="P41" s="28" t="n"/>
      <c r="Q41" s="28" t="n">
        <v>-0.082278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-156</v>
      </c>
      <c r="AA41" s="28" t="n">
        <v>0.61</v>
      </c>
      <c r="AB41" s="28" t="n">
        <v>0.000625</v>
      </c>
      <c r="AC41" s="30" t="n">
        <v>0.641</v>
      </c>
      <c r="AD41" s="24" t="inlineStr">
        <is>
          <t>2026-08-02T23:13:12.727767Z</t>
        </is>
      </c>
      <c r="AE41" s="31" t="inlineStr">
        <is>
          <t>Neutral Elo baseline; executable ask 0.6100 (market_slug=aec-cs2-lci-scn-2026-08-02).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SNAILKICK Club</t>
        </is>
      </c>
      <c r="AQ41" s="24" t="inlineStr">
        <is>
          <t>SNAILKICK Club</t>
        </is>
      </c>
      <c r="AR41" s="24" t="inlineStr">
        <is>
          <t>SNAILKICK Club</t>
        </is>
      </c>
      <c r="AS41" s="24" t="inlineStr">
        <is>
          <t>Lixxx Club</t>
        </is>
      </c>
      <c r="AT41" s="24" t="inlineStr">
        <is>
          <t>Lixxx Club</t>
        </is>
      </c>
      <c r="AU41" s="24" t="inlineStr">
        <is>
          <t>Lixxx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e4232d2f4ef51c47f2dc842e10597bebb70952e9ec25e243147604e0ae4edf92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e4232d2f4ef51c47f2dc842e10597bebb70952e9ec25e243147604e0ae4edf92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2026-08-02T18:50:03.712258Z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>
        <v>1.641026</v>
      </c>
      <c r="BR41" s="28" t="n">
        <v>0.61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48fe4f9d648643a5</t>
        </is>
      </c>
      <c r="B42" s="24" t="inlineStr">
        <is>
          <t>2026-08-02T18:50:17.352715Z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0.579772</v>
      </c>
      <c r="P42" s="28" t="n"/>
      <c r="Q42" s="28" t="n">
        <v>0.139243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127</v>
      </c>
      <c r="AA42" s="28" t="n">
        <v>0.44</v>
      </c>
      <c r="AB42" s="28" t="n">
        <v>-0.000529</v>
      </c>
      <c r="AC42" s="30" t="n">
        <v>-1.25</v>
      </c>
      <c r="AD42" s="24" t="inlineStr">
        <is>
          <t>2026-08-02T23:13:14.056091Z</t>
        </is>
      </c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e4232d2f4ef51c47f2dc842e10597bebb70952e9ec25e243147604e0ae4edf92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e4232d2f4ef51c47f2dc842e10597bebb70952e9ec25e243147604e0ae4edf92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2026-08-02T18:50:04.261778Z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2.27</v>
      </c>
      <c r="BR42" s="28" t="n">
        <v>0.44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b1f733e75f784276</t>
        </is>
      </c>
      <c r="B43" s="24" t="inlineStr">
        <is>
          <t>2026-08-03T06:31:38.644798Z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0.7042119999999999</v>
      </c>
      <c r="P43" s="28" t="n"/>
      <c r="Q43" s="28" t="n">
        <v>0.364076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194</v>
      </c>
      <c r="AA43" s="28" t="n">
        <v>0.34</v>
      </c>
      <c r="AB43" s="28" t="n">
        <v>-0.000136</v>
      </c>
      <c r="AC43" s="30" t="n">
        <v>3.88</v>
      </c>
      <c r="AD43" s="24" t="inlineStr">
        <is>
          <t>2026-08-03T10:45:33.618423Z</t>
        </is>
      </c>
      <c r="AE43" s="31" t="inlineStr">
        <is>
          <t>Neutral Elo baseline; executable ask 0.3400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7d07e567fea5bd3738b3dbc4e35eb295221f9dc89d0247f1cc7d87e37942825c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7d07e567fea5bd3738b3dbc4e35eb295221f9dc89d0247f1cc7d87e37942825c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2026-08-03T06:31:13.030731Z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>
        <v>2.94</v>
      </c>
      <c r="BR43" s="28" t="n">
        <v>0.34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55ad649cd63d458b</t>
        </is>
      </c>
      <c r="B44" s="24" t="inlineStr">
        <is>
          <t>2026-08-03T06:31:38.644798Z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-233</v>
      </c>
      <c r="M44" s="27" t="n">
        <v>1.429185</v>
      </c>
      <c r="N44" s="28" t="n">
        <v>0.6997</v>
      </c>
      <c r="O44" s="28" t="n">
        <v>0.5630579999999999</v>
      </c>
      <c r="P44" s="28" t="n"/>
      <c r="Q44" s="28" t="n">
        <v>-0.136642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-233</v>
      </c>
      <c r="AA44" s="28" t="n">
        <v>0.7</v>
      </c>
      <c r="AB44" s="28" t="n">
        <v>0.0003</v>
      </c>
      <c r="AC44" s="30" t="n">
        <v>0.4292</v>
      </c>
      <c r="AD44" s="24" t="inlineStr">
        <is>
          <t>2026-08-03T13:27:16.155324Z</t>
        </is>
      </c>
      <c r="AE44" s="31" t="inlineStr">
        <is>
          <t>Neutral Elo baseline; executable ask 0.7000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7d07e567fea5bd3738b3dbc4e35eb295221f9dc89d0247f1cc7d87e37942825c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7d07e567fea5bd3738b3dbc4e35eb295221f9dc89d0247f1cc7d87e37942825c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2026-08-03T06:31:14.520566Z</t>
        </is>
      </c>
      <c r="BI44" s="24" t="inlineStr">
        <is>
          <t>["same_event","same_team_same_day","same_league_same_day"]</t>
        </is>
      </c>
      <c r="BJ44" s="25" t="n"/>
      <c r="BK44" s="26" t="n">
        <v>-233</v>
      </c>
      <c r="BL44" s="27" t="n">
        <v>1.429185</v>
      </c>
      <c r="BM44" s="28" t="n">
        <v>0.6997</v>
      </c>
      <c r="BN44" s="28" t="n"/>
      <c r="BO44" s="28" t="n"/>
      <c r="BP44" s="25" t="n"/>
      <c r="BQ44" s="27" t="n">
        <v>1.429185</v>
      </c>
      <c r="BR44" s="28" t="n">
        <v>0.7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5c2d8ed5d51040de</t>
        </is>
      </c>
      <c r="B45" s="24" t="inlineStr">
        <is>
          <t>2026-08-03T06:31:38.644798Z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-178</v>
      </c>
      <c r="M45" s="27" t="n">
        <v>1.561798</v>
      </c>
      <c r="N45" s="28" t="n">
        <v>0.640288</v>
      </c>
      <c r="O45" s="28" t="n">
        <v>0.5991570000000001</v>
      </c>
      <c r="P45" s="28" t="n"/>
      <c r="Q45" s="28" t="n">
        <v>-0.041131</v>
      </c>
      <c r="R45" s="26" t="n">
        <v>0</v>
      </c>
      <c r="S45" s="29" t="n">
        <v>1.25</v>
      </c>
      <c r="T45" s="24" t="inlineStr">
        <is>
          <t>cs2-tiered-elo-v5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-178</v>
      </c>
      <c r="AA45" s="28" t="n">
        <v>0.64</v>
      </c>
      <c r="AB45" s="28" t="n">
        <v>-0.000288</v>
      </c>
      <c r="AC45" s="30" t="n">
        <v>-1.25</v>
      </c>
      <c r="AD45" s="24" t="inlineStr">
        <is>
          <t>2026-08-03T13:27:17.629633Z</t>
        </is>
      </c>
      <c r="AE45" s="31" t="inlineStr">
        <is>
          <t>Neutral Elo baseline; executable ask 0.6400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7d07e567fea5bd3738b3dbc4e35eb295221f9dc89d0247f1cc7d87e37942825c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7d07e567fea5bd3738b3dbc4e35eb295221f9dc89d0247f1cc7d87e37942825c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2026-08-03T06:31:15.055891Z</t>
        </is>
      </c>
      <c r="BI45" s="24" t="inlineStr">
        <is>
          <t>["same_event","same_team_same_day","same_league_same_day"]</t>
        </is>
      </c>
      <c r="BJ45" s="25" t="n"/>
      <c r="BK45" s="26" t="n">
        <v>-178</v>
      </c>
      <c r="BL45" s="27" t="n">
        <v>1.561798</v>
      </c>
      <c r="BM45" s="28" t="n">
        <v>0.640288</v>
      </c>
      <c r="BN45" s="28" t="n"/>
      <c r="BO45" s="28" t="n"/>
      <c r="BP45" s="25" t="n"/>
      <c r="BQ45" s="27" t="n">
        <v>1.561798</v>
      </c>
      <c r="BR45" s="28" t="n">
        <v>0.64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2fff69caf4e34ea1</t>
        </is>
      </c>
      <c r="B46" s="24" t="inlineStr">
        <is>
          <t>2026-08-03T10:14:59.378487Z</t>
        </is>
      </c>
      <c r="C46" s="24" t="inlineStr">
        <is>
          <t>2026-08-03T10:30:00Z</t>
        </is>
      </c>
      <c r="D46" s="24" t="inlineStr">
        <is>
          <t>67514</t>
        </is>
      </c>
      <c r="E46" s="24" t="inlineStr">
        <is>
          <t>CS2</t>
        </is>
      </c>
      <c r="F46" s="24" t="inlineStr">
        <is>
          <t>Passion Academy</t>
        </is>
      </c>
      <c r="G46" s="24" t="inlineStr">
        <is>
          <t>EAC Rising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0.639821</v>
      </c>
      <c r="P46" s="28" t="n"/>
      <c r="Q46" s="28" t="n">
        <v>0.030446</v>
      </c>
      <c r="R46" s="26" t="n">
        <v>35</v>
      </c>
      <c r="S46" s="29" t="n">
        <v>1.5</v>
      </c>
      <c r="T46" s="24" t="inlineStr">
        <is>
          <t>cs2-tiered-elo-v5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-156</v>
      </c>
      <c r="AA46" s="28" t="n">
        <v>0.61</v>
      </c>
      <c r="AB46" s="28" t="n">
        <v>0.000625</v>
      </c>
      <c r="AC46" s="30" t="n">
        <v>0.9615</v>
      </c>
      <c r="AD46" s="24" t="inlineStr">
        <is>
          <t>2026-08-03T13:27:19.000404Z</t>
        </is>
      </c>
      <c r="AE46" s="31" t="inlineStr">
        <is>
          <t>Neutral Elo baseline; executable ask 0.6100 (market_slug=aec-cs2-era-psna-2026-08-03).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Passion Academy</t>
        </is>
      </c>
      <c r="AQ46" s="24" t="inlineStr">
        <is>
          <t>Passion Academy</t>
        </is>
      </c>
      <c r="AR46" s="24" t="inlineStr">
        <is>
          <t>Passion Academy</t>
        </is>
      </c>
      <c r="AS46" s="24" t="inlineStr">
        <is>
          <t>EAC Rising</t>
        </is>
      </c>
      <c r="AT46" s="24" t="inlineStr">
        <is>
          <t>EAC Rising</t>
        </is>
      </c>
      <c r="AU46" s="24" t="inlineStr">
        <is>
          <t>EAC Rising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a67b482e0cc299818c9d6a6183162092d6b3cbeea4f974054606da1c44c3bd99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a67b482e0cc299818c9d6a6183162092d6b3cbeea4f974054606da1c44c3bd99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2026-08-03T10:14:38.370048Z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>
        <v>1.641026</v>
      </c>
      <c r="BR46" s="28" t="n">
        <v>0.61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6ec11e6aa641499e</t>
        </is>
      </c>
      <c r="B47" s="24" t="inlineStr">
        <is>
          <t>2026-08-03T11:00:03.308892Z</t>
        </is>
      </c>
      <c r="C47" s="24" t="inlineStr">
        <is>
          <t>2026-08-03T13:00:00Z</t>
        </is>
      </c>
      <c r="D47" s="24" t="inlineStr">
        <is>
          <t>70299</t>
        </is>
      </c>
      <c r="E47" s="24" t="inlineStr">
        <is>
          <t>CS2</t>
        </is>
      </c>
      <c r="F47" s="24" t="inlineStr">
        <is>
          <t>Inner Circle Academy</t>
        </is>
      </c>
      <c r="G47" s="24" t="inlineStr">
        <is>
          <t>Leo Team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0.519406</v>
      </c>
      <c r="P47" s="28" t="n"/>
      <c r="Q47" s="28" t="n">
        <v>-0.120882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-178</v>
      </c>
      <c r="AA47" s="28" t="n">
        <v>0.64</v>
      </c>
      <c r="AB47" s="28" t="n">
        <v>-0.000288</v>
      </c>
      <c r="AC47" s="30" t="n">
        <v>0.5618</v>
      </c>
      <c r="AD47" s="24" t="inlineStr">
        <is>
          <t>2026-08-03T16:27:28.278736Z</t>
        </is>
      </c>
      <c r="AE47" s="31" t="inlineStr">
        <is>
          <t>Neutral Elo baseline; executable ask 0.6400 (market_slug=aec-cs2-leo-ica-2026-08-03).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Inner Circle Academy</t>
        </is>
      </c>
      <c r="AQ47" s="24" t="inlineStr">
        <is>
          <t>Inner Circle Academy</t>
        </is>
      </c>
      <c r="AR47" s="24" t="inlineStr">
        <is>
          <t>Inner Circle Academy</t>
        </is>
      </c>
      <c r="AS47" s="24" t="inlineStr">
        <is>
          <t>Leo Team</t>
        </is>
      </c>
      <c r="AT47" s="24" t="inlineStr">
        <is>
          <t>Leo Team</t>
        </is>
      </c>
      <c r="AU47" s="24" t="inlineStr">
        <is>
          <t>Leo Team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9788ee890acda4c62d77d79ea2b1f172c9d4d87af2458e9365985663c60a50c8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9788ee890acda4c62d77d79ea2b1f172c9d4d87af2458e9365985663c60a50c8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2026-08-03T10:59:43.688214Z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>
        <v>1.561798</v>
      </c>
      <c r="BR47" s="28" t="n">
        <v>0.64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8bc4bf70445a4ef7</t>
        </is>
      </c>
      <c r="B48" s="24" t="inlineStr">
        <is>
          <t>2026-08-03T11:00:03.308892Z</t>
        </is>
      </c>
      <c r="C48" s="24" t="inlineStr">
        <is>
          <t>2026-08-03T13:00:00Z</t>
        </is>
      </c>
      <c r="D48" s="24" t="inlineStr">
        <is>
          <t>70102</t>
        </is>
      </c>
      <c r="E48" s="24" t="inlineStr">
        <is>
          <t>CS2</t>
        </is>
      </c>
      <c r="F48" s="24" t="inlineStr">
        <is>
          <t>Misa Esports</t>
        </is>
      </c>
      <c r="G48" s="24" t="inlineStr">
        <is>
          <t>MOUZ NXT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0.515204</v>
      </c>
      <c r="P48" s="28" t="n"/>
      <c r="Q48" s="28" t="n">
        <v>0.115204</v>
      </c>
      <c r="R48" s="26" t="n">
        <v>78</v>
      </c>
      <c r="S48" s="29" t="n">
        <v>1</v>
      </c>
      <c r="T48" s="24" t="inlineStr">
        <is>
          <t>cs2-tiered-elo-v5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2026-08-03T16:48:07.078982Z</t>
        </is>
      </c>
      <c r="AE48" s="31" t="inlineStr">
        <is>
          <t>Neutral Elo baseline; executable ask 0.4000 (market_slug=aec-cs2-mouzn-misa-2026-08-03).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Misa Esports</t>
        </is>
      </c>
      <c r="AQ48" s="24" t="inlineStr">
        <is>
          <t>Misa Esports</t>
        </is>
      </c>
      <c r="AR48" s="24" t="inlineStr">
        <is>
          <t>Misa Esports</t>
        </is>
      </c>
      <c r="AS48" s="24" t="inlineStr">
        <is>
          <t>MOUZ NXT</t>
        </is>
      </c>
      <c r="AT48" s="24" t="inlineStr">
        <is>
          <t>MOUZ NXT</t>
        </is>
      </c>
      <c r="AU48" s="24" t="inlineStr">
        <is>
          <t>MOUZ NXT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9788ee890acda4c62d77d79ea2b1f172c9d4d87af2458e9365985663c60a50c8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9788ee890acda4c62d77d79ea2b1f172c9d4d87af2458e9365985663c60a50c8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2026-08-03T10:59:44.688342Z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6afbd1e9f6e2473e</t>
        </is>
      </c>
      <c r="B49" s="24" t="inlineStr">
        <is>
          <t>2026-08-03T11:00:03.308892Z</t>
        </is>
      </c>
      <c r="C49" s="24" t="inlineStr">
        <is>
          <t>2026-08-03T13:00:00Z</t>
        </is>
      </c>
      <c r="D49" s="24" t="inlineStr">
        <is>
          <t>70312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BASEMENT BOYS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0.649848</v>
      </c>
      <c r="P49" s="28" t="n"/>
      <c r="Q49" s="28" t="n">
        <v>0.130617</v>
      </c>
      <c r="R49" s="26" t="n">
        <v>85</v>
      </c>
      <c r="S49" s="29" t="n">
        <v>1.75</v>
      </c>
      <c r="T49" s="24" t="inlineStr">
        <is>
          <t>cs2-tiered-elo-v5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1.6204</v>
      </c>
      <c r="AD49" s="24" t="inlineStr">
        <is>
          <t>2026-08-03T15:52:18.957125Z</t>
        </is>
      </c>
      <c r="AE49" s="31" t="inlineStr">
        <is>
          <t>Neutral Elo baseline; executable ask 0.5200 (market_slug=aec-cs2-bmb-ff-2026-08-03).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BASEMENT BOYS</t>
        </is>
      </c>
      <c r="AT49" s="24" t="inlineStr">
        <is>
          <t>BASEMENT BOYS</t>
        </is>
      </c>
      <c r="AU49" s="24" t="inlineStr">
        <is>
          <t>BASEMENT BOYS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9788ee890acda4c62d77d79ea2b1f172c9d4d87af2458e9365985663c60a50c8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9788ee890acda4c62d77d79ea2b1f172c9d4d87af2458e9365985663c60a50c8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2026-08-03T10:59:45.179308Z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1e39a849456941e6</t>
        </is>
      </c>
      <c r="B50" s="24" t="inlineStr">
        <is>
          <t>2026-08-03T13:30:52.354366Z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0.526025</v>
      </c>
      <c r="P50" s="28" t="n"/>
      <c r="Q50" s="28" t="n">
        <v>0.185889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194</v>
      </c>
      <c r="AA50" s="28" t="n">
        <v>0.34</v>
      </c>
      <c r="AB50" s="28" t="n">
        <v>-0.000136</v>
      </c>
      <c r="AC50" s="30" t="n">
        <v>1.94</v>
      </c>
      <c r="AD50" s="24" t="inlineStr">
        <is>
          <t>2026-08-03T15:52:20.766358Z</t>
        </is>
      </c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f4f3549fbe9f095af12acefc96610fcfd4a51f4257b8523d5f8648d7efb51e9b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f4f3549fbe9f095af12acefc96610fcfd4a51f4257b8523d5f8648d7efb51e9b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2026-08-03T13:30:33.661539Z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>
        <v>2.94</v>
      </c>
      <c r="BR50" s="28" t="n">
        <v>0.34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f0e49af4d6be415b</t>
        </is>
      </c>
      <c r="B51" s="24" t="inlineStr">
        <is>
          <t>2026-08-03T13:30:52.354366Z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0.613967</v>
      </c>
      <c r="P51" s="28" t="n"/>
      <c r="Q51" s="28" t="n">
        <v>-0.015663</v>
      </c>
      <c r="R51" s="26" t="n">
        <v>12</v>
      </c>
      <c r="S51" s="29" t="n">
        <v>1.5</v>
      </c>
      <c r="T51" s="24" t="inlineStr">
        <is>
          <t>cs2-tiered-elo-v5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-1.5</v>
      </c>
      <c r="AD51" s="24" t="inlineStr">
        <is>
          <t>2026-08-03T17:05:46.474137Z</t>
        </is>
      </c>
      <c r="AE51" s="31" t="inlineStr">
        <is>
          <t>Neutral Elo baseline; executable ask 0.6300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f4f3549fbe9f095af12acefc96610fcfd4a51f4257b8523d5f8648d7efb51e9b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f4f3549fbe9f095af12acefc96610fcfd4a51f4257b8523d5f8648d7efb51e9b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2026-08-03T13:30:34.211230Z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4908885950e5411e</t>
        </is>
      </c>
      <c r="B52" s="24" t="inlineStr">
        <is>
          <t>2026-08-03T13:30:52.354366Z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0.662847</v>
      </c>
      <c r="P52" s="28" t="n"/>
      <c r="Q52" s="28" t="n">
        <v>0.002983</v>
      </c>
      <c r="R52" s="26" t="n">
        <v>21</v>
      </c>
      <c r="S52" s="29" t="n">
        <v>1.75</v>
      </c>
      <c r="T52" s="24" t="inlineStr">
        <is>
          <t>cs2-tiered-elo-v5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-194</v>
      </c>
      <c r="AA52" s="28" t="n">
        <v>0.66</v>
      </c>
      <c r="AB52" s="28" t="n">
        <v>0.000136</v>
      </c>
      <c r="AC52" s="30" t="n">
        <v>0.9021</v>
      </c>
      <c r="AD52" s="24" t="inlineStr">
        <is>
          <t>2026-08-03T16:27:31.953712Z</t>
        </is>
      </c>
      <c r="AE52" s="31" t="inlineStr">
        <is>
          <t>Neutral Elo baseline; executable ask 0.6600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f4f3549fbe9f095af12acefc96610fcfd4a51f4257b8523d5f8648d7efb51e9b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f4f3549fbe9f095af12acefc96610fcfd4a51f4257b8523d5f8648d7efb51e9b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2026-08-03T13:30:35.269193Z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1.515464</v>
      </c>
      <c r="BR52" s="28" t="n">
        <v>0.66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c1cae09d4a35473c</t>
        </is>
      </c>
      <c r="B53" s="24" t="inlineStr">
        <is>
          <t>2026-08-03T16:51:25.969362Z</t>
        </is>
      </c>
      <c r="C53" s="24" t="inlineStr">
        <is>
          <t>2026-08-03T17:00:00Z</t>
        </is>
      </c>
      <c r="D53" s="24" t="inlineStr">
        <is>
          <t>68293</t>
        </is>
      </c>
      <c r="E53" s="24" t="inlineStr">
        <is>
          <t>CS2</t>
        </is>
      </c>
      <c r="F53" s="24" t="inlineStr">
        <is>
          <t>ex-RUSTEC</t>
        </is>
      </c>
      <c r="G53" s="24" t="inlineStr">
        <is>
          <t>Walczaki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0.6180909999999999</v>
      </c>
      <c r="P53" s="28" t="n"/>
      <c r="Q53" s="28" t="n">
        <v>0.008716</v>
      </c>
      <c r="R53" s="26" t="n">
        <v>24</v>
      </c>
      <c r="S53" s="29" t="n">
        <v>1.5</v>
      </c>
      <c r="T53" s="24" t="inlineStr">
        <is>
          <t>cs2-tiered-elo-v5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-150</v>
      </c>
      <c r="AA53" s="28" t="n">
        <v>0.6</v>
      </c>
      <c r="AB53" s="28" t="n">
        <v>-0.009375</v>
      </c>
      <c r="AC53" s="30" t="n">
        <v>-1.5</v>
      </c>
      <c r="AD53" s="24" t="inlineStr">
        <is>
          <t>2026-08-03T19:51:55.501664Z</t>
        </is>
      </c>
      <c r="AE53" s="31" t="inlineStr">
        <is>
          <t>Neutral Elo baseline; executable ask 0.6100 (market_slug=aec-cs2-wal-erx-2026-08-03).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ex-RUSTEC</t>
        </is>
      </c>
      <c r="AQ53" s="24" t="inlineStr">
        <is>
          <t>ex-RUSTEC</t>
        </is>
      </c>
      <c r="AR53" s="24" t="inlineStr">
        <is>
          <t>ex-RUSTEC</t>
        </is>
      </c>
      <c r="AS53" s="24" t="inlineStr">
        <is>
          <t>Walczaki</t>
        </is>
      </c>
      <c r="AT53" s="24" t="inlineStr">
        <is>
          <t>Walczaki</t>
        </is>
      </c>
      <c r="AU53" s="24" t="inlineStr">
        <is>
          <t>Walczaki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ac6ceef0c5562ec6cc6578a41665f813f640606150062d7159d6470d651252c3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ac6ceef0c5562ec6cc6578a41665f813f640606150062d7159d6470d651252c3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2026-08-03T16:51:11.769258Z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>
        <v>1.666667</v>
      </c>
      <c r="BR53" s="28" t="n">
        <v>0.6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77513d463ec944e1</t>
        </is>
      </c>
      <c r="B54" s="24" t="inlineStr">
        <is>
          <t>2026-08-03T16:51:25.969362Z</t>
        </is>
      </c>
      <c r="C54" s="24" t="inlineStr">
        <is>
          <t>2026-08-03T17:00:00Z</t>
        </is>
      </c>
      <c r="D54" s="24" t="inlineStr">
        <is>
          <t>70377</t>
        </is>
      </c>
      <c r="E54" s="24" t="inlineStr">
        <is>
          <t>CS2</t>
        </is>
      </c>
      <c r="F54" s="24" t="inlineStr">
        <is>
          <t>Spirit Academy Green</t>
        </is>
      </c>
      <c r="G54" s="24" t="inlineStr">
        <is>
          <t>LPH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0.5260550000000001</v>
      </c>
      <c r="P54" s="28" t="n"/>
      <c r="Q54" s="28" t="n">
        <v>-0.033416</v>
      </c>
      <c r="R54" s="26" t="n">
        <v>3</v>
      </c>
      <c r="S54" s="29" t="n">
        <v>1</v>
      </c>
      <c r="T54" s="24" t="inlineStr">
        <is>
          <t>cs2-tiered-elo-v5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-127</v>
      </c>
      <c r="AA54" s="28" t="n">
        <v>0.5600000000000001</v>
      </c>
      <c r="AB54" s="28" t="n">
        <v>0.000529</v>
      </c>
      <c r="AC54" s="30" t="n">
        <v>0.7874</v>
      </c>
      <c r="AD54" s="24" t="inlineStr">
        <is>
          <t>2026-08-03T19:51:57.058700Z</t>
        </is>
      </c>
      <c r="AE54" s="31" t="inlineStr">
        <is>
          <t>Neutral Elo baseline; executable ask 0.5600 (market_slug=aec-cs2-lph-sag-2026-08-03).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Spirit Academy Green</t>
        </is>
      </c>
      <c r="AQ54" s="24" t="inlineStr">
        <is>
          <t>Spirit Academy Green</t>
        </is>
      </c>
      <c r="AR54" s="24" t="inlineStr">
        <is>
          <t>Spirit Academy Green</t>
        </is>
      </c>
      <c r="AS54" s="24" t="inlineStr">
        <is>
          <t>LPH Gaming</t>
        </is>
      </c>
      <c r="AT54" s="24" t="inlineStr">
        <is>
          <t>LPH Gaming</t>
        </is>
      </c>
      <c r="AU54" s="24" t="inlineStr">
        <is>
          <t>LPH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ac6ceef0c5562ec6cc6578a41665f813f640606150062d7159d6470d651252c3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ac6ceef0c5562ec6cc6578a41665f813f640606150062d7159d6470d651252c3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2026-08-03T16:51:12.274224Z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>
        <v>1.787402</v>
      </c>
      <c r="BR54" s="28" t="n">
        <v>0.5600000000000001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</row>
    <row r="55" ht="36" customHeight="1">
      <c r="A55" s="24" t="inlineStr">
        <is>
          <t>cac106ec46a04510</t>
        </is>
      </c>
      <c r="B55" s="24" t="inlineStr">
        <is>
          <t>2026-08-03T17:08:54.943979Z</t>
        </is>
      </c>
      <c r="C55" s="24" t="inlineStr">
        <is>
          <t>2026-08-03T19:15:00Z</t>
        </is>
      </c>
      <c r="D55" s="24" t="inlineStr">
        <is>
          <t>67682</t>
        </is>
      </c>
      <c r="E55" s="24" t="inlineStr">
        <is>
          <t>CS2</t>
        </is>
      </c>
      <c r="F55" s="24" t="inlineStr">
        <is>
          <t>WorldEdit Club</t>
        </is>
      </c>
      <c r="G55" s="24" t="inlineStr">
        <is>
          <t>Lixxx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0.5273679999999999</v>
      </c>
      <c r="P55" s="28" t="n"/>
      <c r="Q55" s="28" t="n">
        <v>0.066539</v>
      </c>
      <c r="R55" s="26" t="n">
        <v>53</v>
      </c>
      <c r="S55" s="29" t="n">
        <v>1</v>
      </c>
      <c r="T55" s="24" t="inlineStr">
        <is>
          <t>cs2-tiered-elo-v5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117</v>
      </c>
      <c r="AA55" s="28" t="n">
        <v>0.46</v>
      </c>
      <c r="AB55" s="28" t="n">
        <v>-0.000829</v>
      </c>
      <c r="AC55" s="30" t="n">
        <v>-1</v>
      </c>
      <c r="AD55" s="24" t="inlineStr">
        <is>
          <t>2026-08-03T22:55:30.403877Z</t>
        </is>
      </c>
      <c r="AE55" s="31" t="inlineStr">
        <is>
          <t>Neutral Elo baseline; executable ask 0.4600 (market_slug=aec-cs2-lci-wco-2026-08-03).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WorldEdit Club</t>
        </is>
      </c>
      <c r="AQ55" s="24" t="inlineStr">
        <is>
          <t>WorldEdit Club</t>
        </is>
      </c>
      <c r="AR55" s="24" t="inlineStr">
        <is>
          <t>WorldEdit Club</t>
        </is>
      </c>
      <c r="AS55" s="24" t="inlineStr">
        <is>
          <t>Lixxx Club</t>
        </is>
      </c>
      <c r="AT55" s="24" t="inlineStr">
        <is>
          <t>Lixxx Club</t>
        </is>
      </c>
      <c r="AU55" s="24" t="inlineStr">
        <is>
          <t>Lixxx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c35f4cde86576db9aef02f14800a622a7aeabf3f364ac4b428aed69c2c8f4d15</t>
        </is>
      </c>
      <c r="BB55" s="24" t="inlineStr">
        <is>
          <t>neutral_elo</t>
        </is>
      </c>
      <c r="BC55" s="24" t="inlineStr">
        <is>
          <t>cs2-tiered-elo-v5</t>
        </is>
      </c>
      <c r="BD55" s="24" t="inlineStr">
        <is>
          <t>c35f4cde86576db9aef02f14800a622a7aeabf3f364ac4b428aed69c2c8f4d15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cs2-tiered-elo-v5</t>
        </is>
      </c>
      <c r="BH55" s="24" t="inlineStr">
        <is>
          <t>2026-08-03T17:08:42.736665Z</t>
        </is>
      </c>
      <c r="BI55" s="24" t="inlineStr">
        <is>
          <t>["same_event","same_team_same_day","same_league_same_day"]</t>
        </is>
      </c>
      <c r="BJ55" s="25" t="n"/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>
        <v>2.17</v>
      </c>
      <c r="BR55" s="28" t="n">
        <v>0.46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b0676fb7c7714e9f</t>
        </is>
      </c>
      <c r="B56" s="24" t="inlineStr">
        <is>
          <t>2026-08-03T19:54:57.645683Z</t>
        </is>
      </c>
      <c r="C56" s="24" t="inlineStr">
        <is>
          <t>2026-08-03T21:00:00Z</t>
        </is>
      </c>
      <c r="D56" s="24" t="inlineStr">
        <is>
          <t>70532</t>
        </is>
      </c>
      <c r="E56" s="24" t="inlineStr">
        <is>
          <t>CS2</t>
        </is>
      </c>
      <c r="F56" s="24" t="inlineStr">
        <is>
          <t>RED Canids Academy</t>
        </is>
      </c>
      <c r="G56" s="24" t="inlineStr">
        <is>
          <t>ODDIK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0.6304380000000001</v>
      </c>
      <c r="P56" s="28" t="n"/>
      <c r="Q56" s="28" t="n">
        <v>0.030438</v>
      </c>
      <c r="R56" s="26" t="n">
        <v>35</v>
      </c>
      <c r="S56" s="29" t="n">
        <v>1.5</v>
      </c>
      <c r="T56" s="24" t="inlineStr">
        <is>
          <t>cs2-tiered-elo-v5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-150</v>
      </c>
      <c r="AA56" s="28" t="n">
        <v>0.6</v>
      </c>
      <c r="AB56" s="28" t="n">
        <v>0</v>
      </c>
      <c r="AC56" s="30" t="n">
        <v>1</v>
      </c>
      <c r="AD56" s="24" t="inlineStr">
        <is>
          <t>2026-08-05T01:05:49.683001Z</t>
        </is>
      </c>
      <c r="AE56" s="31" t="inlineStr">
        <is>
          <t>Neutral Elo baseline; executable ask 0.6000 (market_slug=aec-cs2-odk-reda-2026-08-03).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RED Canids Academy</t>
        </is>
      </c>
      <c r="AQ56" s="24" t="inlineStr">
        <is>
          <t>RED Canids Academy</t>
        </is>
      </c>
      <c r="AR56" s="24" t="inlineStr">
        <is>
          <t>RED Canids Academy</t>
        </is>
      </c>
      <c r="AS56" s="24" t="inlineStr">
        <is>
          <t>ODDIK</t>
        </is>
      </c>
      <c r="AT56" s="24" t="inlineStr">
        <is>
          <t>ODDIK</t>
        </is>
      </c>
      <c r="AU56" s="24" t="inlineStr">
        <is>
          <t>ODDIK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49e72bc47e8b746259057b18a0727b3402ae02f53069edfae5b6532757438c2c</t>
        </is>
      </c>
      <c r="BB56" s="24" t="inlineStr">
        <is>
          <t>neutral_elo</t>
        </is>
      </c>
      <c r="BC56" s="24" t="inlineStr">
        <is>
          <t>cs2-tiered-elo-v5</t>
        </is>
      </c>
      <c r="BD56" s="24" t="inlineStr">
        <is>
          <t>49e72bc47e8b746259057b18a0727b3402ae02f53069edfae5b6532757438c2c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cs2-tiered-elo-v5</t>
        </is>
      </c>
      <c r="BH56" s="24" t="inlineStr">
        <is>
          <t>2026-08-03T19:54:46.268393Z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>
        <v>1.666667</v>
      </c>
      <c r="BR56" s="28" t="n">
        <v>0.6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824dd35618ef4ec9</t>
        </is>
      </c>
      <c r="B57" s="24" t="inlineStr">
        <is>
          <t>2026-08-03T22:58:11.099295Z</t>
        </is>
      </c>
      <c r="C57" s="24" t="inlineStr">
        <is>
          <t>2026-08-03T23:00:00Z</t>
        </is>
      </c>
      <c r="D57" s="24" t="inlineStr">
        <is>
          <t>68043</t>
        </is>
      </c>
      <c r="E57" s="24" t="inlineStr">
        <is>
          <t>CS2</t>
        </is>
      </c>
      <c r="F57" s="24" t="inlineStr">
        <is>
          <t>paiN Academy</t>
        </is>
      </c>
      <c r="G57" s="24" t="inlineStr">
        <is>
          <t>Grêmio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178</v>
      </c>
      <c r="M57" s="27" t="n">
        <v>2.78</v>
      </c>
      <c r="N57" s="28" t="n">
        <v>0.359712</v>
      </c>
      <c r="O57" s="28" t="n">
        <v>0.569493</v>
      </c>
      <c r="P57" s="28" t="n"/>
      <c r="Q57" s="28" t="n">
        <v>0.209781</v>
      </c>
      <c r="R57" s="26" t="n">
        <v>100</v>
      </c>
      <c r="S57" s="29" t="n">
        <v>1.25</v>
      </c>
      <c r="T57" s="24" t="inlineStr">
        <is>
          <t>cs2-tiered-elo-v5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178</v>
      </c>
      <c r="AA57" s="28" t="n">
        <v>0.36</v>
      </c>
      <c r="AB57" s="28" t="n">
        <v>0.000288</v>
      </c>
      <c r="AC57" s="30" t="n">
        <v>2.225</v>
      </c>
      <c r="AD57" s="24" t="inlineStr">
        <is>
          <t>2026-08-04T03:58:12.882980Z</t>
        </is>
      </c>
      <c r="AE57" s="31" t="inlineStr">
        <is>
          <t>Neutral Elo baseline; executable ask 0.3600 (market_slug=aec-cs2-ger-paina-2026-08-03).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paiN Academy</t>
        </is>
      </c>
      <c r="AQ57" s="24" t="inlineStr">
        <is>
          <t>paiN Academy</t>
        </is>
      </c>
      <c r="AR57" s="24" t="inlineStr">
        <is>
          <t>paiN Academy</t>
        </is>
      </c>
      <c r="AS57" s="24" t="inlineStr">
        <is>
          <t>Grêmio Esports</t>
        </is>
      </c>
      <c r="AT57" s="24" t="inlineStr">
        <is>
          <t>Grêmio Esports</t>
        </is>
      </c>
      <c r="AU57" s="24" t="inlineStr">
        <is>
          <t>Grêmio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2395c0bc2d118cb68697847c5524bbbcdf615284bfa6589bd672b76fe7c39141</t>
        </is>
      </c>
      <c r="BB57" s="24" t="inlineStr">
        <is>
          <t>neutral_elo</t>
        </is>
      </c>
      <c r="BC57" s="24" t="inlineStr">
        <is>
          <t>cs2-tiered-elo-v5</t>
        </is>
      </c>
      <c r="BD57" s="24" t="inlineStr">
        <is>
          <t>2395c0bc2d118cb68697847c5524bbbcdf615284bfa6589bd672b76fe7c39141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cs2-tiered-elo-v5</t>
        </is>
      </c>
      <c r="BH57" s="24" t="inlineStr">
        <is>
          <t>2026-08-03T22:57:48.744487Z</t>
        </is>
      </c>
      <c r="BI57" s="24" t="inlineStr">
        <is>
          <t>["same_event","same_team_same_day","same_league_same_day"]</t>
        </is>
      </c>
      <c r="BJ57" s="25" t="n"/>
      <c r="BK57" s="26" t="n">
        <v>178</v>
      </c>
      <c r="BL57" s="27" t="n">
        <v>2.78</v>
      </c>
      <c r="BM57" s="28" t="n">
        <v>0.359712</v>
      </c>
      <c r="BN57" s="28" t="n"/>
      <c r="BO57" s="28" t="n"/>
      <c r="BP57" s="25" t="n"/>
      <c r="BQ57" s="27" t="n">
        <v>2.78</v>
      </c>
      <c r="BR57" s="28" t="n">
        <v>0.36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bfe75fb7f86545b1</t>
        </is>
      </c>
      <c r="B58" s="24" t="inlineStr">
        <is>
          <t>2026-08-04T05:18:53.002097Z</t>
        </is>
      </c>
      <c r="C58" s="24" t="inlineStr">
        <is>
          <t>2026-08-04T08:00:00Z</t>
        </is>
      </c>
      <c r="D58" s="24" t="inlineStr">
        <is>
          <t>71316</t>
        </is>
      </c>
      <c r="E58" s="24" t="inlineStr">
        <is>
          <t>CS2</t>
        </is>
      </c>
      <c r="F58" s="24" t="inlineStr">
        <is>
          <t>Johnny Speeds</t>
        </is>
      </c>
      <c r="G58" s="24" t="inlineStr">
        <is>
          <t>G2 Ares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0.5273600000000001</v>
      </c>
      <c r="P58" s="28" t="n"/>
      <c r="Q58" s="28" t="n">
        <v>-0.02219</v>
      </c>
      <c r="R58" s="26" t="n">
        <v>9</v>
      </c>
      <c r="S58" s="29" t="n">
        <v>1</v>
      </c>
      <c r="T58" s="24" t="inlineStr">
        <is>
          <t>cs2-tiered-elo-v5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-122</v>
      </c>
      <c r="AA58" s="28" t="n">
        <v>0.55</v>
      </c>
      <c r="AB58" s="28" t="n">
        <v>0.00045</v>
      </c>
      <c r="AC58" s="30" t="n">
        <v>0.8197</v>
      </c>
      <c r="AD58" s="24" t="inlineStr">
        <is>
          <t>2026-08-04T11:57:38.643502Z</t>
        </is>
      </c>
      <c r="AE58" s="31" t="inlineStr">
        <is>
          <t>Neutral Elo baseline; executable ask 0.5500 (market_slug=aec-cs2-g2a-js-2026-08-04).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Johnny Speeds</t>
        </is>
      </c>
      <c r="AQ58" s="24" t="inlineStr">
        <is>
          <t>Johnny Speeds</t>
        </is>
      </c>
      <c r="AR58" s="24" t="inlineStr">
        <is>
          <t>Johnny Speeds</t>
        </is>
      </c>
      <c r="AS58" s="24" t="inlineStr">
        <is>
          <t>G2 Ares</t>
        </is>
      </c>
      <c r="AT58" s="24" t="inlineStr">
        <is>
          <t>G2 Ares</t>
        </is>
      </c>
      <c r="AU58" s="24" t="inlineStr">
        <is>
          <t>G2 Ares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83e1528a9bd51ea902d7704e0b3d24b0db02596c08a56e20e38f9385c7964710</t>
        </is>
      </c>
      <c r="BB58" s="24" t="inlineStr">
        <is>
          <t>neutral_elo</t>
        </is>
      </c>
      <c r="BC58" s="24" t="inlineStr">
        <is>
          <t>cs2-tiered-elo-v5</t>
        </is>
      </c>
      <c r="BD58" s="24" t="inlineStr">
        <is>
          <t>83e1528a9bd51ea902d7704e0b3d24b0db02596c08a56e20e38f9385c7964710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cs2-tiered-elo-v5</t>
        </is>
      </c>
      <c r="BH58" s="24" t="inlineStr">
        <is>
          <t>2026-08-04T05:18:19.586314Z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/>
      <c r="BO58" s="28" t="n"/>
      <c r="BP58" s="25" t="n"/>
      <c r="BQ58" s="27" t="n">
        <v>1.819672</v>
      </c>
      <c r="BR58" s="28" t="n">
        <v>0.55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63db88fad55c495a</t>
        </is>
      </c>
      <c r="B59" s="24" t="inlineStr">
        <is>
          <t>2026-08-04T05:18:53.002097Z</t>
        </is>
      </c>
      <c r="C59" s="24" t="inlineStr">
        <is>
          <t>2026-08-04T08:00:00Z</t>
        </is>
      </c>
      <c r="D59" s="24" t="inlineStr">
        <is>
          <t>68471</t>
        </is>
      </c>
      <c r="E59" s="24" t="inlineStr">
        <is>
          <t>CS2</t>
        </is>
      </c>
      <c r="F59" s="24" t="inlineStr">
        <is>
          <t>STATE</t>
        </is>
      </c>
      <c r="G59" s="24" t="inlineStr">
        <is>
          <t>INFURITY Gaming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-223</v>
      </c>
      <c r="M59" s="27" t="n">
        <v>1.44843</v>
      </c>
      <c r="N59" s="28" t="n">
        <v>0.690402</v>
      </c>
      <c r="O59" s="28" t="n">
        <v>0.571054</v>
      </c>
      <c r="P59" s="28" t="n"/>
      <c r="Q59" s="28" t="n">
        <v>-0.119348</v>
      </c>
      <c r="R59" s="26" t="n">
        <v>0</v>
      </c>
      <c r="S59" s="29" t="n">
        <v>1.25</v>
      </c>
      <c r="T59" s="24" t="inlineStr">
        <is>
          <t>cs2-tiered-elo-v5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-223</v>
      </c>
      <c r="AA59" s="28" t="n">
        <v>0.6899999999999999</v>
      </c>
      <c r="AB59" s="28" t="n">
        <v>-0.000402</v>
      </c>
      <c r="AC59" s="30" t="n">
        <v>-1.25</v>
      </c>
      <c r="AD59" s="24" t="inlineStr">
        <is>
          <t>2026-08-04T11:57:40.271226Z</t>
        </is>
      </c>
      <c r="AE59" s="31" t="inlineStr">
        <is>
          <t>Neutral Elo baseline; executable ask 0.6900 (market_slug=aec-cs2-ign-sta-2026-08-04).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STATE</t>
        </is>
      </c>
      <c r="AQ59" s="24" t="inlineStr">
        <is>
          <t>STATE</t>
        </is>
      </c>
      <c r="AR59" s="24" t="inlineStr">
        <is>
          <t>STATE</t>
        </is>
      </c>
      <c r="AS59" s="24" t="inlineStr">
        <is>
          <t>INFURITY Gaming</t>
        </is>
      </c>
      <c r="AT59" s="24" t="inlineStr">
        <is>
          <t>INFURITY Gaming</t>
        </is>
      </c>
      <c r="AU59" s="24" t="inlineStr">
        <is>
          <t>INFURITY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83e1528a9bd51ea902d7704e0b3d24b0db02596c08a56e20e38f9385c7964710</t>
        </is>
      </c>
      <c r="BB59" s="24" t="inlineStr">
        <is>
          <t>neutral_elo</t>
        </is>
      </c>
      <c r="BC59" s="24" t="inlineStr">
        <is>
          <t>cs2-tiered-elo-v5</t>
        </is>
      </c>
      <c r="BD59" s="24" t="inlineStr">
        <is>
          <t>83e1528a9bd51ea902d7704e0b3d24b0db02596c08a56e20e38f9385c7964710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cs2-tiered-elo-v5</t>
        </is>
      </c>
      <c r="BH59" s="24" t="inlineStr">
        <is>
          <t>2026-08-04T05:18:20.827862Z</t>
        </is>
      </c>
      <c r="BI59" s="24" t="inlineStr">
        <is>
          <t>["same_event","same_team_same_day","same_league_same_day"]</t>
        </is>
      </c>
      <c r="BJ59" s="25" t="n"/>
      <c r="BK59" s="26" t="n">
        <v>-223</v>
      </c>
      <c r="BL59" s="27" t="n">
        <v>1.44843</v>
      </c>
      <c r="BM59" s="28" t="n">
        <v>0.690402</v>
      </c>
      <c r="BN59" s="28" t="n"/>
      <c r="BO59" s="28" t="n"/>
      <c r="BP59" s="25" t="n"/>
      <c r="BQ59" s="27" t="n">
        <v>1.44843</v>
      </c>
      <c r="BR59" s="28" t="n">
        <v>0.6899999999999999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2a5ef31ba3d7448c</t>
        </is>
      </c>
      <c r="B60" s="24" t="inlineStr">
        <is>
          <t>2026-08-04T08:56:55.041466Z</t>
        </is>
      </c>
      <c r="C60" s="24" t="inlineStr">
        <is>
          <t>2026-08-04T10:30:00Z</t>
        </is>
      </c>
      <c r="D60" s="24" t="inlineStr">
        <is>
          <t>68472</t>
        </is>
      </c>
      <c r="E60" s="24" t="inlineStr">
        <is>
          <t>CS2</t>
        </is>
      </c>
      <c r="F60" s="24" t="inlineStr">
        <is>
          <t>Inner Circle Prospect</t>
        </is>
      </c>
      <c r="G60" s="24" t="inlineStr">
        <is>
          <t>ENCE Prospects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0.513199</v>
      </c>
      <c r="P60" s="28" t="n"/>
      <c r="Q60" s="28" t="n">
        <v>-0.046272</v>
      </c>
      <c r="R60" s="26" t="n">
        <v>0</v>
      </c>
      <c r="S60" s="29" t="n">
        <v>1</v>
      </c>
      <c r="T60" s="24" t="inlineStr">
        <is>
          <t>cs2-tiered-elo-v5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-127</v>
      </c>
      <c r="AA60" s="28" t="n">
        <v>0.5600000000000001</v>
      </c>
      <c r="AB60" s="28" t="n">
        <v>0.000529</v>
      </c>
      <c r="AC60" s="30" t="n">
        <v>0.7874</v>
      </c>
      <c r="AD60" s="24" t="inlineStr">
        <is>
          <t>2026-08-04T14:03:06.444544Z</t>
        </is>
      </c>
      <c r="AE60" s="31" t="inlineStr">
        <is>
          <t>Neutral Elo baseline; executable ask 0.5600 (market_slug=aec-cs2-encep-icp-2026-08-04).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Inner Circle Prospect</t>
        </is>
      </c>
      <c r="AQ60" s="24" t="inlineStr">
        <is>
          <t>Inner Circle Prospect</t>
        </is>
      </c>
      <c r="AR60" s="24" t="inlineStr">
        <is>
          <t>Inner Circle Prospect</t>
        </is>
      </c>
      <c r="AS60" s="24" t="inlineStr">
        <is>
          <t>ENCE Prospects</t>
        </is>
      </c>
      <c r="AT60" s="24" t="inlineStr">
        <is>
          <t>ENCE Prospects</t>
        </is>
      </c>
      <c r="AU60" s="24" t="inlineStr">
        <is>
          <t>ENCE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2e5d465a17379306940528ff103c7508aad908ecb9a4879bb8031bb88a86443c</t>
        </is>
      </c>
      <c r="BB60" s="24" t="inlineStr">
        <is>
          <t>neutral_elo</t>
        </is>
      </c>
      <c r="BC60" s="24" t="inlineStr">
        <is>
          <t>cs2-tiered-elo-v5</t>
        </is>
      </c>
      <c r="BD60" s="24" t="inlineStr">
        <is>
          <t>2e5d465a17379306940528ff103c7508aad908ecb9a4879bb8031bb88a86443c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cs2-tiered-elo-v5</t>
        </is>
      </c>
      <c r="BH60" s="24" t="inlineStr">
        <is>
          <t>2026-08-04T08:56:24.175897Z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>
        <v>1.787402</v>
      </c>
      <c r="BR60" s="28" t="n">
        <v>0.5600000000000001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</row>
    <row r="61" ht="36" customHeight="1">
      <c r="A61" s="24" t="inlineStr">
        <is>
          <t>5a02f7db72834d1f</t>
        </is>
      </c>
      <c r="B61" s="24" t="inlineStr">
        <is>
          <t>2026-08-04T08:56:55.041466Z</t>
        </is>
      </c>
      <c r="C61" s="24" t="inlineStr">
        <is>
          <t>2026-08-04T11:00:00Z</t>
        </is>
      </c>
      <c r="D61" s="24" t="inlineStr">
        <is>
          <t>68302</t>
        </is>
      </c>
      <c r="E61" s="24" t="inlineStr">
        <is>
          <t>CS2</t>
        </is>
      </c>
      <c r="F61" s="24" t="inlineStr">
        <is>
          <t>Phantom</t>
        </is>
      </c>
      <c r="G61" s="24" t="inlineStr">
        <is>
          <t>Sashi Esport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0.551011</v>
      </c>
      <c r="P61" s="28" t="n"/>
      <c r="Q61" s="28" t="n">
        <v>0.060815</v>
      </c>
      <c r="R61" s="26" t="n">
        <v>50</v>
      </c>
      <c r="S61" s="29" t="n">
        <v>1</v>
      </c>
      <c r="T61" s="24" t="inlineStr">
        <is>
          <t>cs2-tiered-elo-v5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104</v>
      </c>
      <c r="AA61" s="28" t="n">
        <v>0.49</v>
      </c>
      <c r="AB61" s="28" t="n">
        <v>-0.000196</v>
      </c>
      <c r="AC61" s="30" t="n">
        <v>1.04</v>
      </c>
      <c r="AD61" s="24" t="inlineStr">
        <is>
          <t>2026-08-04T14:03:08.153056Z</t>
        </is>
      </c>
      <c r="AE61" s="31" t="inlineStr">
        <is>
          <t>Neutral Elo baseline; executable ask 0.4900 (market_slug=aec-cs2-sashi-pha-2026-08-04).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Phantom</t>
        </is>
      </c>
      <c r="AQ61" s="24" t="inlineStr">
        <is>
          <t>Phantom</t>
        </is>
      </c>
      <c r="AR61" s="24" t="inlineStr">
        <is>
          <t>Phantom</t>
        </is>
      </c>
      <c r="AS61" s="24" t="inlineStr">
        <is>
          <t>Sashi Esport</t>
        </is>
      </c>
      <c r="AT61" s="24" t="inlineStr">
        <is>
          <t>Sashi Esport</t>
        </is>
      </c>
      <c r="AU61" s="24" t="inlineStr">
        <is>
          <t>Sashi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2e5d465a17379306940528ff103c7508aad908ecb9a4879bb8031bb88a86443c</t>
        </is>
      </c>
      <c r="BB61" s="24" t="inlineStr">
        <is>
          <t>neutral_elo</t>
        </is>
      </c>
      <c r="BC61" s="24" t="inlineStr">
        <is>
          <t>cs2-tiered-elo-v5</t>
        </is>
      </c>
      <c r="BD61" s="24" t="inlineStr">
        <is>
          <t>2e5d465a17379306940528ff103c7508aad908ecb9a4879bb8031bb88a86443c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cs2-tiered-elo-v5</t>
        </is>
      </c>
      <c r="BH61" s="24" t="inlineStr">
        <is>
          <t>2026-08-04T08:56:24.737438Z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>
        <v>2.04</v>
      </c>
      <c r="BR61" s="28" t="n">
        <v>0.49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cb7f1fae514b4028</t>
        </is>
      </c>
      <c r="B62" s="24" t="inlineStr">
        <is>
          <t>2026-08-04T08:56:55.041466Z</t>
        </is>
      </c>
      <c r="C62" s="24" t="inlineStr">
        <is>
          <t>2026-08-04T11:00:00Z</t>
        </is>
      </c>
      <c r="D62" s="24" t="inlineStr">
        <is>
          <t>68301</t>
        </is>
      </c>
      <c r="E62" s="24" t="inlineStr">
        <is>
          <t>CS2</t>
        </is>
      </c>
      <c r="F62" s="24" t="inlineStr">
        <is>
          <t>SNAILKICK Club</t>
        </is>
      </c>
      <c r="G62" s="24" t="inlineStr">
        <is>
          <t>PCH3LK1N Club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0.527057</v>
      </c>
      <c r="P62" s="28" t="n"/>
      <c r="Q62" s="28" t="n">
        <v>-0.003459</v>
      </c>
      <c r="R62" s="26" t="n">
        <v>18</v>
      </c>
      <c r="S62" s="29" t="n">
        <v>1</v>
      </c>
      <c r="T62" s="24" t="inlineStr">
        <is>
          <t>cs2-tiered-elo-v5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-1</v>
      </c>
      <c r="AD62" s="24" t="inlineStr">
        <is>
          <t>2026-08-04T14:03:09.721402Z</t>
        </is>
      </c>
      <c r="AE62" s="31" t="inlineStr">
        <is>
          <t>Neutral Elo baseline; executable ask 0.5300 (market_slug=aec-cs2-plnc-scn-2026-08-04).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SNAILKICK Club</t>
        </is>
      </c>
      <c r="AQ62" s="24" t="inlineStr">
        <is>
          <t>SNAILKICK Club</t>
        </is>
      </c>
      <c r="AR62" s="24" t="inlineStr">
        <is>
          <t>SNAILKICK Club</t>
        </is>
      </c>
      <c r="AS62" s="24" t="inlineStr">
        <is>
          <t>PCH3LK1N Club</t>
        </is>
      </c>
      <c r="AT62" s="24" t="inlineStr">
        <is>
          <t>PCH3LK1N Club</t>
        </is>
      </c>
      <c r="AU62" s="24" t="inlineStr">
        <is>
          <t>PCH3LK1N Club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2e5d465a17379306940528ff103c7508aad908ecb9a4879bb8031bb88a86443c</t>
        </is>
      </c>
      <c r="BB62" s="24" t="inlineStr">
        <is>
          <t>neutral_elo</t>
        </is>
      </c>
      <c r="BC62" s="24" t="inlineStr">
        <is>
          <t>cs2-tiered-elo-v5</t>
        </is>
      </c>
      <c r="BD62" s="24" t="inlineStr">
        <is>
          <t>2e5d465a17379306940528ff103c7508aad908ecb9a4879bb8031bb88a86443c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cs2-tiered-elo-v5</t>
        </is>
      </c>
      <c r="BH62" s="24" t="inlineStr">
        <is>
          <t>2026-08-04T08:56:25.426369Z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fe5f1ab4ae674f3c</t>
        </is>
      </c>
      <c r="B63" s="24" t="inlineStr">
        <is>
          <t>2026-08-04T08:56:55.041466Z</t>
        </is>
      </c>
      <c r="C63" s="24" t="inlineStr">
        <is>
          <t>2026-08-04T11:00:00Z</t>
        </is>
      </c>
      <c r="D63" s="24" t="inlineStr">
        <is>
          <t>71501</t>
        </is>
      </c>
      <c r="E63" s="24" t="inlineStr">
        <is>
          <t>CS2</t>
        </is>
      </c>
      <c r="F63" s="24" t="inlineStr">
        <is>
          <t>Betclic Apogee Esports</t>
        </is>
      </c>
      <c r="G63" s="24" t="inlineStr">
        <is>
          <t>Acend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0.691594</v>
      </c>
      <c r="P63" s="28" t="n"/>
      <c r="Q63" s="28" t="n">
        <v>0.111762</v>
      </c>
      <c r="R63" s="26" t="n">
        <v>76</v>
      </c>
      <c r="S63" s="29" t="n">
        <v>2</v>
      </c>
      <c r="T63" s="24" t="inlineStr">
        <is>
          <t>cs2-tiered-elo-v5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-138</v>
      </c>
      <c r="AA63" s="28" t="n">
        <v>0.58</v>
      </c>
      <c r="AB63" s="28" t="n">
        <v>0.000168</v>
      </c>
      <c r="AC63" s="30" t="n">
        <v>-2</v>
      </c>
      <c r="AD63" s="24" t="inlineStr">
        <is>
          <t>2026-08-04T14:03:11.366824Z</t>
        </is>
      </c>
      <c r="AE63" s="31" t="inlineStr">
        <is>
          <t>Neutral Elo baseline; executable ask 0.5800 (market_slug=aec-cs2-ace-bca-2026-08-04).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Betclic Apogee Esports</t>
        </is>
      </c>
      <c r="AQ63" s="24" t="inlineStr">
        <is>
          <t>Betclic Apogee Esports</t>
        </is>
      </c>
      <c r="AR63" s="24" t="inlineStr">
        <is>
          <t>Betclic Apogee Esports</t>
        </is>
      </c>
      <c r="AS63" s="24" t="inlineStr">
        <is>
          <t>Acend</t>
        </is>
      </c>
      <c r="AT63" s="24" t="inlineStr">
        <is>
          <t>Acend</t>
        </is>
      </c>
      <c r="AU63" s="24" t="inlineStr">
        <is>
          <t>Acend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2e5d465a17379306940528ff103c7508aad908ecb9a4879bb8031bb88a86443c</t>
        </is>
      </c>
      <c r="BB63" s="24" t="inlineStr">
        <is>
          <t>neutral_elo</t>
        </is>
      </c>
      <c r="BC63" s="24" t="inlineStr">
        <is>
          <t>cs2-tiered-elo-v5</t>
        </is>
      </c>
      <c r="BD63" s="24" t="inlineStr">
        <is>
          <t>2e5d465a17379306940528ff103c7508aad908ecb9a4879bb8031bb88a86443c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cs2-tiered-elo-v5</t>
        </is>
      </c>
      <c r="BH63" s="24" t="inlineStr">
        <is>
          <t>2026-08-04T08:56:25.971824Z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>
        <v>1.724638</v>
      </c>
      <c r="BR63" s="28" t="n">
        <v>0.58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71253e3d5d7f47e2</t>
        </is>
      </c>
      <c r="B64" s="24" t="inlineStr">
        <is>
          <t>2026-08-04T12:02:30.114508Z</t>
        </is>
      </c>
      <c r="C64" s="24" t="inlineStr">
        <is>
          <t>2026-08-04T13:00:00Z</t>
        </is>
      </c>
      <c r="D64" s="24" t="inlineStr">
        <is>
          <t>71280</t>
        </is>
      </c>
      <c r="E64" s="24" t="inlineStr">
        <is>
          <t>CS2</t>
        </is>
      </c>
      <c r="F64" s="24" t="inlineStr">
        <is>
          <t>ex-MANA eSports</t>
        </is>
      </c>
      <c r="G64" s="24" t="inlineStr">
        <is>
          <t>BASEMENT BOYS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-203</v>
      </c>
      <c r="M64" s="27" t="n">
        <v>1.492611</v>
      </c>
      <c r="N64" s="28" t="n">
        <v>0.669967</v>
      </c>
      <c r="O64" s="28" t="n">
        <v>0.640787</v>
      </c>
      <c r="P64" s="28" t="n"/>
      <c r="Q64" s="28" t="n">
        <v>-0.02918</v>
      </c>
      <c r="R64" s="26" t="n">
        <v>5</v>
      </c>
      <c r="S64" s="29" t="n">
        <v>1.5</v>
      </c>
      <c r="T64" s="24" t="inlineStr">
        <is>
          <t>cs2-tiered-elo-v5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-203</v>
      </c>
      <c r="AA64" s="28" t="n">
        <v>0.67</v>
      </c>
      <c r="AB64" s="28" t="n">
        <v>3.3e-05</v>
      </c>
      <c r="AC64" s="30" t="n">
        <v>-1.5</v>
      </c>
      <c r="AD64" s="24" t="inlineStr">
        <is>
          <t>2026-08-04T16:48:44.982139Z</t>
        </is>
      </c>
      <c r="AE64" s="31" t="inlineStr">
        <is>
          <t>Neutral Elo baseline; executable ask 0.6700 (market_slug=aec-cs2-bmb-exmana-2026-08-04).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ex-MANA eSports</t>
        </is>
      </c>
      <c r="AQ64" s="24" t="inlineStr">
        <is>
          <t>ex-MANA eSports</t>
        </is>
      </c>
      <c r="AR64" s="24" t="inlineStr">
        <is>
          <t>ex-MANA eSports</t>
        </is>
      </c>
      <c r="AS64" s="24" t="inlineStr">
        <is>
          <t>BASEMENT BOYS</t>
        </is>
      </c>
      <c r="AT64" s="24" t="inlineStr">
        <is>
          <t>BASEMENT BOYS</t>
        </is>
      </c>
      <c r="AU64" s="24" t="inlineStr">
        <is>
          <t>BASEMENT BOYS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c721353818b949592e0d9143f94caccefc04915eac71c58a5983a137fbf32d77</t>
        </is>
      </c>
      <c r="BB64" s="24" t="inlineStr">
        <is>
          <t>neutral_elo</t>
        </is>
      </c>
      <c r="BC64" s="24" t="inlineStr">
        <is>
          <t>cs2-tiered-elo-v5</t>
        </is>
      </c>
      <c r="BD64" s="24" t="inlineStr">
        <is>
          <t>c721353818b949592e0d9143f94caccefc04915eac71c58a5983a137fbf32d77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cs2-tiered-elo-v5</t>
        </is>
      </c>
      <c r="BH64" s="24" t="inlineStr">
        <is>
          <t>2026-08-04T12:01:37.143655Z</t>
        </is>
      </c>
      <c r="BI64" s="24" t="inlineStr">
        <is>
          <t>["same_event","same_team_same_day","same_league_same_day"]</t>
        </is>
      </c>
      <c r="BJ64" s="25" t="n"/>
      <c r="BK64" s="26" t="n">
        <v>-203</v>
      </c>
      <c r="BL64" s="27" t="n">
        <v>1.492611</v>
      </c>
      <c r="BM64" s="28" t="n">
        <v>0.669967</v>
      </c>
      <c r="BN64" s="28" t="n"/>
      <c r="BO64" s="28" t="n"/>
      <c r="BP64" s="25" t="n"/>
      <c r="BQ64" s="27" t="n">
        <v>1.492611</v>
      </c>
      <c r="BR64" s="28" t="n">
        <v>0.67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04bf6223d1074ca1</t>
        </is>
      </c>
      <c r="B65" s="24" t="inlineStr">
        <is>
          <t>2026-08-04T12:02:30.114508Z</t>
        </is>
      </c>
      <c r="C65" s="24" t="inlineStr">
        <is>
          <t>2026-08-04T13:00:00Z</t>
        </is>
      </c>
      <c r="D65" s="24" t="inlineStr">
        <is>
          <t>71213</t>
        </is>
      </c>
      <c r="E65" s="24" t="inlineStr">
        <is>
          <t>CS2</t>
        </is>
      </c>
      <c r="F65" s="24" t="inlineStr">
        <is>
          <t>Leo Team</t>
        </is>
      </c>
      <c r="G65" s="24" t="inlineStr">
        <is>
          <t>Bushido Wildcats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0.719395</v>
      </c>
      <c r="P65" s="28" t="n"/>
      <c r="Q65" s="28" t="n">
        <v>0.209591</v>
      </c>
      <c r="R65" s="26" t="n">
        <v>100</v>
      </c>
      <c r="S65" s="29" t="n">
        <v>2</v>
      </c>
      <c r="T65" s="24" t="inlineStr">
        <is>
          <t>cs2-tiered-elo-v5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1.9231</v>
      </c>
      <c r="AD65" s="24" t="inlineStr">
        <is>
          <t>2026-08-04T16:48:47.151832Z</t>
        </is>
      </c>
      <c r="AE65" s="31" t="inlineStr">
        <is>
          <t>Neutral Elo baseline; executable ask 0.5100 (market_slug=aec-cs2-bw-leo-2026-08-04).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Leo Team</t>
        </is>
      </c>
      <c r="AQ65" s="24" t="inlineStr">
        <is>
          <t>Leo Team</t>
        </is>
      </c>
      <c r="AR65" s="24" t="inlineStr">
        <is>
          <t>Leo Team</t>
        </is>
      </c>
      <c r="AS65" s="24" t="inlineStr">
        <is>
          <t>Bushido Wildcats</t>
        </is>
      </c>
      <c r="AT65" s="24" t="inlineStr">
        <is>
          <t>Bushido Wildcats</t>
        </is>
      </c>
      <c r="AU65" s="24" t="inlineStr">
        <is>
          <t>Bushido Wildcats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c721353818b949592e0d9143f94caccefc04915eac71c58a5983a137fbf32d77</t>
        </is>
      </c>
      <c r="BB65" s="24" t="inlineStr">
        <is>
          <t>neutral_elo</t>
        </is>
      </c>
      <c r="BC65" s="24" t="inlineStr">
        <is>
          <t>cs2-tiered-elo-v5</t>
        </is>
      </c>
      <c r="BD65" s="24" t="inlineStr">
        <is>
          <t>c721353818b949592e0d9143f94caccefc04915eac71c58a5983a137fbf32d77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cs2-tiered-elo-v5</t>
        </is>
      </c>
      <c r="BH65" s="24" t="inlineStr">
        <is>
          <t>2026-08-04T12:01:38.137077Z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/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8bb216674c4240bc</t>
        </is>
      </c>
      <c r="B66" s="24" t="inlineStr">
        <is>
          <t>2026-08-04T12:02:30.114508Z</t>
        </is>
      </c>
      <c r="C66" s="24" t="inlineStr">
        <is>
          <t>2026-08-04T13:45:00Z</t>
        </is>
      </c>
      <c r="D66" s="24" t="inlineStr">
        <is>
          <t>68435</t>
        </is>
      </c>
      <c r="E66" s="24" t="inlineStr">
        <is>
          <t>CS2</t>
        </is>
      </c>
      <c r="F66" s="24" t="inlineStr">
        <is>
          <t>WorldEdit Club</t>
        </is>
      </c>
      <c r="G66" s="24" t="inlineStr">
        <is>
          <t>PCH3LK1N Club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163</v>
      </c>
      <c r="M66" s="27" t="n">
        <v>2.63</v>
      </c>
      <c r="N66" s="28" t="n">
        <v>0.380228</v>
      </c>
      <c r="O66" s="28" t="n">
        <v>0.526874</v>
      </c>
      <c r="P66" s="28" t="n"/>
      <c r="Q66" s="28" t="n">
        <v>0.146646</v>
      </c>
      <c r="R66" s="26" t="n">
        <v>93</v>
      </c>
      <c r="S66" s="29" t="n">
        <v>1</v>
      </c>
      <c r="T66" s="24" t="inlineStr">
        <is>
          <t>cs2-tiered-elo-v5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163</v>
      </c>
      <c r="AA66" s="28" t="n">
        <v>0.38</v>
      </c>
      <c r="AB66" s="28" t="n">
        <v>-0.000228</v>
      </c>
      <c r="AC66" s="30" t="n">
        <v>-1</v>
      </c>
      <c r="AD66" s="24" t="inlineStr">
        <is>
          <t>2026-08-04T18:03:29.026778Z</t>
        </is>
      </c>
      <c r="AE66" s="31" t="inlineStr">
        <is>
          <t>Neutral Elo baseline; executable ask 0.3800 (market_slug=aec-cs2-plnc-wco-2026-08-04).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WorldEdit Club</t>
        </is>
      </c>
      <c r="AQ66" s="24" t="inlineStr">
        <is>
          <t>WorldEdit Club</t>
        </is>
      </c>
      <c r="AR66" s="24" t="inlineStr">
        <is>
          <t>WorldEdit Club</t>
        </is>
      </c>
      <c r="AS66" s="24" t="inlineStr">
        <is>
          <t>PCH3LK1N Club</t>
        </is>
      </c>
      <c r="AT66" s="24" t="inlineStr">
        <is>
          <t>PCH3LK1N Club</t>
        </is>
      </c>
      <c r="AU66" s="24" t="inlineStr">
        <is>
          <t>PCH3LK1N Club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c721353818b949592e0d9143f94caccefc04915eac71c58a5983a137fbf32d77</t>
        </is>
      </c>
      <c r="BB66" s="24" t="inlineStr">
        <is>
          <t>neutral_elo</t>
        </is>
      </c>
      <c r="BC66" s="24" t="inlineStr">
        <is>
          <t>cs2-tiered-elo-v5</t>
        </is>
      </c>
      <c r="BD66" s="24" t="inlineStr">
        <is>
          <t>c721353818b949592e0d9143f94caccefc04915eac71c58a5983a137fbf32d77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cs2-tiered-elo-v5</t>
        </is>
      </c>
      <c r="BH66" s="24" t="inlineStr">
        <is>
          <t>2026-08-04T12:01:39.296037Z</t>
        </is>
      </c>
      <c r="BI66" s="24" t="inlineStr">
        <is>
          <t>["same_event","same_team_same_day","same_league_same_day"]</t>
        </is>
      </c>
      <c r="BJ66" s="25" t="n"/>
      <c r="BK66" s="26" t="n">
        <v>163</v>
      </c>
      <c r="BL66" s="27" t="n">
        <v>2.63</v>
      </c>
      <c r="BM66" s="28" t="n">
        <v>0.380228</v>
      </c>
      <c r="BN66" s="28" t="n"/>
      <c r="BO66" s="28" t="n"/>
      <c r="BP66" s="25" t="n"/>
      <c r="BQ66" s="27" t="n">
        <v>2.63</v>
      </c>
      <c r="BR66" s="28" t="n">
        <v>0.38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96126276e7a74d7e</t>
        </is>
      </c>
      <c r="B67" s="24" t="inlineStr">
        <is>
          <t>2026-08-04T12:02:30.114508Z</t>
        </is>
      </c>
      <c r="C67" s="24" t="inlineStr">
        <is>
          <t>2026-08-04T14:00:00Z</t>
        </is>
      </c>
      <c r="D67" s="24" t="inlineStr">
        <is>
          <t>68437</t>
        </is>
      </c>
      <c r="E67" s="24" t="inlineStr">
        <is>
          <t>CS2</t>
        </is>
      </c>
      <c r="F67" s="24" t="inlineStr">
        <is>
          <t>GenOne</t>
        </is>
      </c>
      <c r="G67" s="24" t="inlineStr">
        <is>
          <t>Nemiga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0.5179</v>
      </c>
      <c r="P67" s="28" t="n"/>
      <c r="Q67" s="28" t="n">
        <v>-0.101872</v>
      </c>
      <c r="R67" s="26" t="n">
        <v>0</v>
      </c>
      <c r="S67" s="29" t="n">
        <v>1</v>
      </c>
      <c r="T67" s="24" t="inlineStr">
        <is>
          <t>cs2-tiered-elo-v5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-163</v>
      </c>
      <c r="AA67" s="28" t="n">
        <v>0.62</v>
      </c>
      <c r="AB67" s="28" t="n">
        <v>0.000228</v>
      </c>
      <c r="AC67" s="30" t="n">
        <v>-1</v>
      </c>
      <c r="AD67" s="24" t="inlineStr">
        <is>
          <t>2026-08-04T16:48:50.341509Z</t>
        </is>
      </c>
      <c r="AE67" s="31" t="inlineStr">
        <is>
          <t>Neutral Elo baseline; executable ask 0.6200 (market_slug=aec-cs2-nemi-g1-2026-08-04).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GenOne</t>
        </is>
      </c>
      <c r="AQ67" s="24" t="inlineStr">
        <is>
          <t>GenOne</t>
        </is>
      </c>
      <c r="AR67" s="24" t="inlineStr">
        <is>
          <t>GenOne</t>
        </is>
      </c>
      <c r="AS67" s="24" t="inlineStr">
        <is>
          <t>Nemiga</t>
        </is>
      </c>
      <c r="AT67" s="24" t="inlineStr">
        <is>
          <t>Nemiga</t>
        </is>
      </c>
      <c r="AU67" s="24" t="inlineStr">
        <is>
          <t>Nemiga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c721353818b949592e0d9143f94caccefc04915eac71c58a5983a137fbf32d77</t>
        </is>
      </c>
      <c r="BB67" s="24" t="inlineStr">
        <is>
          <t>neutral_elo</t>
        </is>
      </c>
      <c r="BC67" s="24" t="inlineStr">
        <is>
          <t>cs2-tiered-elo-v5</t>
        </is>
      </c>
      <c r="BD67" s="24" t="inlineStr">
        <is>
          <t>c721353818b949592e0d9143f94caccefc04915eac71c58a5983a137fbf32d77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cs2-tiered-elo-v5</t>
        </is>
      </c>
      <c r="BH67" s="24" t="inlineStr">
        <is>
          <t>2026-08-04T12:01:41.460173Z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>
        <v>1.613497</v>
      </c>
      <c r="BR67" s="28" t="n">
        <v>0.62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66b3a1ade0a04bd3</t>
        </is>
      </c>
      <c r="B68" s="24" t="inlineStr">
        <is>
          <t>2026-08-04T12:02:30.114508Z</t>
        </is>
      </c>
      <c r="C68" s="24" t="inlineStr">
        <is>
          <t>2026-08-04T14:00:00Z</t>
        </is>
      </c>
      <c r="D68" s="24" t="inlineStr">
        <is>
          <t>71319</t>
        </is>
      </c>
      <c r="E68" s="24" t="inlineStr">
        <is>
          <t>CS2</t>
        </is>
      </c>
      <c r="F68" s="24" t="inlineStr">
        <is>
          <t>ENJOY</t>
        </is>
      </c>
      <c r="G68" s="24" t="inlineStr">
        <is>
          <t>Just Players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163</v>
      </c>
      <c r="M68" s="27" t="n">
        <v>2.63</v>
      </c>
      <c r="N68" s="28" t="n">
        <v>0.380228</v>
      </c>
      <c r="O68" s="28" t="n">
        <v>0.509432</v>
      </c>
      <c r="P68" s="28" t="n"/>
      <c r="Q68" s="28" t="n">
        <v>0.129204</v>
      </c>
      <c r="R68" s="26" t="n">
        <v>85</v>
      </c>
      <c r="S68" s="29" t="n">
        <v>1</v>
      </c>
      <c r="T68" s="24" t="inlineStr">
        <is>
          <t>cs2-tiered-elo-v5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163</v>
      </c>
      <c r="AA68" s="28" t="n">
        <v>0.38</v>
      </c>
      <c r="AB68" s="28" t="n">
        <v>-0.000228</v>
      </c>
      <c r="AC68" s="30" t="n">
        <v>-1</v>
      </c>
      <c r="AD68" s="24" t="inlineStr">
        <is>
          <t>2026-08-04T16:48:52.484593Z</t>
        </is>
      </c>
      <c r="AE68" s="31" t="inlineStr">
        <is>
          <t>Neutral Elo baseline; executable ask 0.3800 (market_slug=aec-cs2-jpu-enjoy-2026-08-04).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ENJOY</t>
        </is>
      </c>
      <c r="AQ68" s="24" t="inlineStr">
        <is>
          <t>ENJOY</t>
        </is>
      </c>
      <c r="AR68" s="24" t="inlineStr">
        <is>
          <t>ENJOY</t>
        </is>
      </c>
      <c r="AS68" s="24" t="inlineStr">
        <is>
          <t>Just Players</t>
        </is>
      </c>
      <c r="AT68" s="24" t="inlineStr">
        <is>
          <t>Just Players</t>
        </is>
      </c>
      <c r="AU68" s="24" t="inlineStr">
        <is>
          <t>Just Players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c721353818b949592e0d9143f94caccefc04915eac71c58a5983a137fbf32d77</t>
        </is>
      </c>
      <c r="BB68" s="24" t="inlineStr">
        <is>
          <t>neutral_elo</t>
        </is>
      </c>
      <c r="BC68" s="24" t="inlineStr">
        <is>
          <t>cs2-tiered-elo-v5</t>
        </is>
      </c>
      <c r="BD68" s="24" t="inlineStr">
        <is>
          <t>c721353818b949592e0d9143f94caccefc04915eac71c58a5983a137fbf32d77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cs2-tiered-elo-v5</t>
        </is>
      </c>
      <c r="BH68" s="24" t="inlineStr">
        <is>
          <t>2026-08-04T12:01:42.547114Z</t>
        </is>
      </c>
      <c r="BI68" s="24" t="inlineStr">
        <is>
          <t>["same_event","same_team_same_day","same_league_same_day"]</t>
        </is>
      </c>
      <c r="BJ68" s="25" t="n"/>
      <c r="BK68" s="26" t="n">
        <v>163</v>
      </c>
      <c r="BL68" s="27" t="n">
        <v>2.63</v>
      </c>
      <c r="BM68" s="28" t="n">
        <v>0.380228</v>
      </c>
      <c r="BN68" s="28" t="n"/>
      <c r="BO68" s="28" t="n"/>
      <c r="BP68" s="25" t="n"/>
      <c r="BQ68" s="27" t="n">
        <v>2.63</v>
      </c>
      <c r="BR68" s="28" t="n">
        <v>0.38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6d604382a0a344f2</t>
        </is>
      </c>
      <c r="B69" s="24" t="inlineStr">
        <is>
          <t>2026-08-04T12:02:30.114508Z</t>
        </is>
      </c>
      <c r="C69" s="24" t="inlineStr">
        <is>
          <t>2026-08-04T14:00:00Z</t>
        </is>
      </c>
      <c r="D69" s="24" t="inlineStr">
        <is>
          <t>71318</t>
        </is>
      </c>
      <c r="E69" s="24" t="inlineStr">
        <is>
          <t>CS2</t>
        </is>
      </c>
      <c r="F69" s="24" t="inlineStr">
        <is>
          <t>9INE</t>
        </is>
      </c>
      <c r="G69" s="24" t="inlineStr">
        <is>
          <t>Liquid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-233</v>
      </c>
      <c r="M69" s="27" t="n">
        <v>1.429185</v>
      </c>
      <c r="N69" s="28" t="n">
        <v>0.6997</v>
      </c>
      <c r="O69" s="28" t="n">
        <v>0.689352</v>
      </c>
      <c r="P69" s="28" t="n"/>
      <c r="Q69" s="28" t="n">
        <v>-0.010348</v>
      </c>
      <c r="R69" s="26" t="n">
        <v>15</v>
      </c>
      <c r="S69" s="29" t="n">
        <v>2</v>
      </c>
      <c r="T69" s="24" t="inlineStr">
        <is>
          <t>cs2-tiered-elo-v5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-233</v>
      </c>
      <c r="AA69" s="28" t="n">
        <v>0.7</v>
      </c>
      <c r="AB69" s="28" t="n">
        <v>0.0003</v>
      </c>
      <c r="AC69" s="30" t="n">
        <v>0.8584000000000001</v>
      </c>
      <c r="AD69" s="24" t="inlineStr">
        <is>
          <t>2026-08-04T16:48:54.777298Z</t>
        </is>
      </c>
      <c r="AE69" s="31" t="inlineStr">
        <is>
          <t>Neutral Elo baseline; executable ask 0.7000 (market_slug=aec-cs2-tl-9ine-2026-08-04).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9INE</t>
        </is>
      </c>
      <c r="AQ69" s="24" t="inlineStr">
        <is>
          <t>9INE</t>
        </is>
      </c>
      <c r="AR69" s="24" t="inlineStr">
        <is>
          <t>9INE</t>
        </is>
      </c>
      <c r="AS69" s="24" t="inlineStr">
        <is>
          <t>Liquid</t>
        </is>
      </c>
      <c r="AT69" s="24" t="inlineStr">
        <is>
          <t>Liquid</t>
        </is>
      </c>
      <c r="AU69" s="24" t="inlineStr">
        <is>
          <t>Liquid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c721353818b949592e0d9143f94caccefc04915eac71c58a5983a137fbf32d77</t>
        </is>
      </c>
      <c r="BB69" s="24" t="inlineStr">
        <is>
          <t>neutral_elo</t>
        </is>
      </c>
      <c r="BC69" s="24" t="inlineStr">
        <is>
          <t>cs2-tiered-elo-v5</t>
        </is>
      </c>
      <c r="BD69" s="24" t="inlineStr">
        <is>
          <t>c721353818b949592e0d9143f94caccefc04915eac71c58a5983a137fbf32d77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cs2-tiered-elo-v5</t>
        </is>
      </c>
      <c r="BH69" s="24" t="inlineStr">
        <is>
          <t>2026-08-04T12:01:43.680044Z</t>
        </is>
      </c>
      <c r="BI69" s="24" t="inlineStr">
        <is>
          <t>["same_event","same_team_same_day","same_league_same_day"]</t>
        </is>
      </c>
      <c r="BJ69" s="25" t="n"/>
      <c r="BK69" s="26" t="n">
        <v>-233</v>
      </c>
      <c r="BL69" s="27" t="n">
        <v>1.429185</v>
      </c>
      <c r="BM69" s="28" t="n">
        <v>0.6997</v>
      </c>
      <c r="BN69" s="28" t="n"/>
      <c r="BO69" s="28" t="n"/>
      <c r="BP69" s="25" t="n"/>
      <c r="BQ69" s="27" t="n">
        <v>1.429185</v>
      </c>
      <c r="BR69" s="28" t="n">
        <v>0.7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4b897465742b45d6</t>
        </is>
      </c>
      <c r="B70" s="24" t="inlineStr">
        <is>
          <t>2026-08-04T15:04:43.651004Z</t>
        </is>
      </c>
      <c r="C70" s="24" t="inlineStr">
        <is>
          <t>2026-08-04T16:30:00Z</t>
        </is>
      </c>
      <c r="D70" s="24" t="inlineStr">
        <is>
          <t>68563</t>
        </is>
      </c>
      <c r="E70" s="24" t="inlineStr">
        <is>
          <t>CS2</t>
        </is>
      </c>
      <c r="F70" s="24" t="inlineStr">
        <is>
          <t>Recrent Club</t>
        </is>
      </c>
      <c r="G70" s="24" t="inlineStr">
        <is>
          <t>Buster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-133</v>
      </c>
      <c r="M70" s="27" t="n">
        <v>1.75188</v>
      </c>
      <c r="N70" s="28" t="n">
        <v>0.570815</v>
      </c>
      <c r="O70" s="28" t="n">
        <v>0.5267269999999999</v>
      </c>
      <c r="P70" s="28" t="n"/>
      <c r="Q70" s="28" t="n">
        <v>-0.044088</v>
      </c>
      <c r="R70" s="26" t="n">
        <v>0</v>
      </c>
      <c r="S70" s="29" t="n">
        <v>1</v>
      </c>
      <c r="T70" s="24" t="inlineStr">
        <is>
          <t>cs2-tiered-elo-v5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-133</v>
      </c>
      <c r="AA70" s="28" t="n">
        <v>0.57</v>
      </c>
      <c r="AB70" s="28" t="n">
        <v>-0.000815</v>
      </c>
      <c r="AC70" s="30" t="n">
        <v>0.7519</v>
      </c>
      <c r="AD70" s="24" t="inlineStr">
        <is>
          <t>2026-08-04T18:03:30.717665Z</t>
        </is>
      </c>
      <c r="AE70" s="31" t="inlineStr">
        <is>
          <t>Neutral Elo baseline; executable ask 0.5700 (market_slug=aec-cs2-bcu-rce-2026-08-04).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Recrent Club</t>
        </is>
      </c>
      <c r="AQ70" s="24" t="inlineStr">
        <is>
          <t>Recrent Club</t>
        </is>
      </c>
      <c r="AR70" s="24" t="inlineStr">
        <is>
          <t>Recrent Club</t>
        </is>
      </c>
      <c r="AS70" s="24" t="inlineStr">
        <is>
          <t>Buster Club</t>
        </is>
      </c>
      <c r="AT70" s="24" t="inlineStr">
        <is>
          <t>Buster Club</t>
        </is>
      </c>
      <c r="AU70" s="24" t="inlineStr">
        <is>
          <t>Buster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9cd22a347ddd07dcb14d465784988076b2f99aac119d8a8534a3e5b7ebfc248f</t>
        </is>
      </c>
      <c r="BB70" s="24" t="inlineStr">
        <is>
          <t>neutral_elo</t>
        </is>
      </c>
      <c r="BC70" s="24" t="inlineStr">
        <is>
          <t>cs2-tiered-elo-v5</t>
        </is>
      </c>
      <c r="BD70" s="24" t="inlineStr">
        <is>
          <t>9cd22a347ddd07dcb14d465784988076b2f99aac119d8a8534a3e5b7ebfc248f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cs2-tiered-elo-v5</t>
        </is>
      </c>
      <c r="BH70" s="24" t="inlineStr">
        <is>
          <t>2026-08-04T15:04:18.275261Z</t>
        </is>
      </c>
      <c r="BI70" s="24" t="inlineStr">
        <is>
          <t>["same_event","same_team_same_day","same_league_same_day"]</t>
        </is>
      </c>
      <c r="BJ70" s="25" t="n"/>
      <c r="BK70" s="26" t="n">
        <v>-133</v>
      </c>
      <c r="BL70" s="27" t="n">
        <v>1.75188</v>
      </c>
      <c r="BM70" s="28" t="n">
        <v>0.570815</v>
      </c>
      <c r="BN70" s="28" t="n"/>
      <c r="BO70" s="28" t="n"/>
      <c r="BP70" s="25" t="n"/>
      <c r="BQ70" s="27" t="n">
        <v>1.75188</v>
      </c>
      <c r="BR70" s="28" t="n">
        <v>0.57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2c3c38e1f7174d22</t>
        </is>
      </c>
      <c r="B71" s="24" t="inlineStr">
        <is>
          <t>2026-08-04T15:04:43.651004Z</t>
        </is>
      </c>
      <c r="C71" s="24" t="inlineStr">
        <is>
          <t>2026-08-04T16:30:00Z</t>
        </is>
      </c>
      <c r="D71" s="24" t="inlineStr">
        <is>
          <t>68562</t>
        </is>
      </c>
      <c r="E71" s="24" t="inlineStr">
        <is>
          <t>CS2</t>
        </is>
      </c>
      <c r="F71" s="24" t="inlineStr">
        <is>
          <t>WorldEdit Club</t>
        </is>
      </c>
      <c r="G71" s="24" t="inlineStr">
        <is>
          <t>shoke Club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0.5267269999999999</v>
      </c>
      <c r="P71" s="28" t="n"/>
      <c r="Q71" s="28" t="n">
        <v>-0.102903</v>
      </c>
      <c r="R71" s="26" t="n">
        <v>0</v>
      </c>
      <c r="S71" s="29" t="n">
        <v>1</v>
      </c>
      <c r="T71" s="24" t="inlineStr">
        <is>
          <t>cs2-tiered-elo-v5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-1</v>
      </c>
      <c r="AD71" s="24" t="inlineStr">
        <is>
          <t>2026-08-04T21:59:11.430591Z</t>
        </is>
      </c>
      <c r="AE71" s="31" t="inlineStr">
        <is>
          <t>Neutral Elo baseline; executable ask 0.6300 (market_slug=aec-cs2-sch-wco-2026-08-04).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WorldEdit Club</t>
        </is>
      </c>
      <c r="AQ71" s="24" t="inlineStr">
        <is>
          <t>WorldEdit Club</t>
        </is>
      </c>
      <c r="AR71" s="24" t="inlineStr">
        <is>
          <t>WorldEdit Club</t>
        </is>
      </c>
      <c r="AS71" s="24" t="inlineStr">
        <is>
          <t>shoke Club</t>
        </is>
      </c>
      <c r="AT71" s="24" t="inlineStr">
        <is>
          <t>shoke Club</t>
        </is>
      </c>
      <c r="AU71" s="24" t="inlineStr">
        <is>
          <t>shoke Club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9cd22a347ddd07dcb14d465784988076b2f99aac119d8a8534a3e5b7ebfc248f</t>
        </is>
      </c>
      <c r="BB71" s="24" t="inlineStr">
        <is>
          <t>neutral_elo</t>
        </is>
      </c>
      <c r="BC71" s="24" t="inlineStr">
        <is>
          <t>cs2-tiered-elo-v5</t>
        </is>
      </c>
      <c r="BD71" s="24" t="inlineStr">
        <is>
          <t>9cd22a347ddd07dcb14d465784988076b2f99aac119d8a8534a3e5b7ebfc248f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cs2-tiered-elo-v5</t>
        </is>
      </c>
      <c r="BH71" s="24" t="inlineStr">
        <is>
          <t>2026-08-04T15:04:18.898041Z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</row>
    <row r="72" ht="36" customHeight="1">
      <c r="A72" s="24" t="inlineStr">
        <is>
          <t>a0b6032aac0c414d</t>
        </is>
      </c>
      <c r="B72" s="24" t="inlineStr">
        <is>
          <t>2026-08-04T16:54:42.280324Z</t>
        </is>
      </c>
      <c r="C72" s="24" t="inlineStr">
        <is>
          <t>2026-08-04T17:00:00Z</t>
        </is>
      </c>
      <c r="D72" s="24" t="inlineStr">
        <is>
          <t>71337</t>
        </is>
      </c>
      <c r="E72" s="24" t="inlineStr">
        <is>
          <t>CS2</t>
        </is>
      </c>
      <c r="F72" s="24" t="inlineStr">
        <is>
          <t>A Great Chaos</t>
        </is>
      </c>
      <c r="G72" s="24" t="inlineStr">
        <is>
          <t>Fortress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-127</v>
      </c>
      <c r="M72" s="27" t="n">
        <v>1.787402</v>
      </c>
      <c r="N72" s="28" t="n">
        <v>0.5594710000000001</v>
      </c>
      <c r="O72" s="28" t="n">
        <v>0.580391</v>
      </c>
      <c r="P72" s="28" t="n"/>
      <c r="Q72" s="28" t="n">
        <v>0.02092</v>
      </c>
      <c r="R72" s="26" t="n">
        <v>30</v>
      </c>
      <c r="S72" s="29" t="n">
        <v>1.25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-127</v>
      </c>
      <c r="AA72" s="28" t="n">
        <v>0.5600000000000001</v>
      </c>
      <c r="AB72" s="28" t="n">
        <v>0.000529</v>
      </c>
      <c r="AC72" s="30" t="n">
        <v>0.9843</v>
      </c>
      <c r="AD72" s="24" t="inlineStr">
        <is>
          <t>2026-08-04T18:03:37.491780Z</t>
        </is>
      </c>
      <c r="AE72" s="31" t="inlineStr">
        <is>
          <t>Neutral Elo baseline; executable ask 0.5600 (market_slug=aec-cs2-for-agc-2026-08-04).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A Great Chaos</t>
        </is>
      </c>
      <c r="AQ72" s="24" t="inlineStr">
        <is>
          <t>A Great Chaos</t>
        </is>
      </c>
      <c r="AR72" s="24" t="inlineStr">
        <is>
          <t>A Great Chaos</t>
        </is>
      </c>
      <c r="AS72" s="24" t="inlineStr">
        <is>
          <t>Fortress</t>
        </is>
      </c>
      <c r="AT72" s="24" t="inlineStr">
        <is>
          <t>Fortress</t>
        </is>
      </c>
      <c r="AU72" s="24" t="inlineStr">
        <is>
          <t>Fortress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87e73f3e8c33751dbc7005b4404d0ee0ac9b9f8c3869a8f2e7fbc367004c2f64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87e73f3e8c33751dbc7005b4404d0ee0ac9b9f8c3869a8f2e7fbc367004c2f64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2026-08-04T16:54:14.340644Z</t>
        </is>
      </c>
      <c r="BI72" s="24" t="inlineStr">
        <is>
          <t>["same_event","same_team_same_day","same_league_same_day"]</t>
        </is>
      </c>
      <c r="BJ72" s="25" t="n"/>
      <c r="BK72" s="26" t="n">
        <v>-127</v>
      </c>
      <c r="BL72" s="27" t="n">
        <v>1.787402</v>
      </c>
      <c r="BM72" s="28" t="n">
        <v>0.5594710000000001</v>
      </c>
      <c r="BN72" s="28" t="n"/>
      <c r="BO72" s="28" t="n"/>
      <c r="BP72" s="25" t="n"/>
      <c r="BQ72" s="27" t="n">
        <v>1.787402</v>
      </c>
      <c r="BR72" s="28" t="n">
        <v>0.5600000000000001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fa321ee4546f45ee</t>
        </is>
      </c>
      <c r="B73" s="24" t="inlineStr">
        <is>
          <t>2026-08-04T16:54:42.280324Z</t>
        </is>
      </c>
      <c r="C73" s="24" t="inlineStr">
        <is>
          <t>2026-08-04T17:00:00Z</t>
        </is>
      </c>
      <c r="D73" s="24" t="inlineStr">
        <is>
          <t>68567</t>
        </is>
      </c>
      <c r="E73" s="24" t="inlineStr">
        <is>
          <t>CS2</t>
        </is>
      </c>
      <c r="F73" s="24" t="inlineStr">
        <is>
          <t>INOX Division</t>
        </is>
      </c>
      <c r="G73" s="24" t="inlineStr">
        <is>
          <t>Eternal Fire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0.507786</v>
      </c>
      <c r="P73" s="28" t="n"/>
      <c r="Q73" s="28" t="n">
        <v>-0.072046</v>
      </c>
      <c r="R73" s="26" t="n">
        <v>0</v>
      </c>
      <c r="S73" s="29" t="n">
        <v>1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-1</v>
      </c>
      <c r="AD73" s="24" t="inlineStr">
        <is>
          <t>2026-08-04T21:59:13.108354Z</t>
        </is>
      </c>
      <c r="AE73" s="31" t="inlineStr">
        <is>
          <t>Neutral Elo baseline; executable ask 0.5800 (market_slug=aec-cs2-ef-inox-2026-08-04).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INOX Division</t>
        </is>
      </c>
      <c r="AQ73" s="24" t="inlineStr">
        <is>
          <t>INOX Division</t>
        </is>
      </c>
      <c r="AR73" s="24" t="inlineStr">
        <is>
          <t>INOX Division</t>
        </is>
      </c>
      <c r="AS73" s="24" t="inlineStr">
        <is>
          <t>Eternal Fire</t>
        </is>
      </c>
      <c r="AT73" s="24" t="inlineStr">
        <is>
          <t>Eternal Fire</t>
        </is>
      </c>
      <c r="AU73" s="24" t="inlineStr">
        <is>
          <t>Eternal Fire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87e73f3e8c33751dbc7005b4404d0ee0ac9b9f8c3869a8f2e7fbc367004c2f64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87e73f3e8c33751dbc7005b4404d0ee0ac9b9f8c3869a8f2e7fbc367004c2f64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2026-08-04T16:54:14.852628Z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</row>
    <row r="74" ht="36" customHeight="1">
      <c r="A74" s="24" t="inlineStr">
        <is>
          <t>528ccc28a02b428d</t>
        </is>
      </c>
      <c r="B74" s="24" t="inlineStr">
        <is>
          <t>2026-08-04T16:54:42.280324Z</t>
        </is>
      </c>
      <c r="C74" s="24" t="inlineStr">
        <is>
          <t>2026-08-04T17:00:00Z</t>
        </is>
      </c>
      <c r="D74" s="24" t="inlineStr">
        <is>
          <t>68565</t>
        </is>
      </c>
      <c r="E74" s="24" t="inlineStr">
        <is>
          <t>CS2</t>
        </is>
      </c>
      <c r="F74" s="24" t="inlineStr">
        <is>
          <t>ALKA GAMING</t>
        </is>
      </c>
      <c r="G74" s="24" t="inlineStr">
        <is>
          <t>UNO MILLE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0.576068</v>
      </c>
      <c r="P74" s="28" t="n"/>
      <c r="Q74" s="28" t="n">
        <v>-0.104443</v>
      </c>
      <c r="R74" s="26" t="n">
        <v>0</v>
      </c>
      <c r="S74" s="29" t="n">
        <v>1.25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-213</v>
      </c>
      <c r="AA74" s="28" t="n">
        <v>0.68</v>
      </c>
      <c r="AB74" s="28" t="n">
        <v>-0.000511</v>
      </c>
      <c r="AC74" s="30" t="n">
        <v>-1.25</v>
      </c>
      <c r="AD74" s="24" t="inlineStr">
        <is>
          <t>2026-08-04T21:59:14.754042Z</t>
        </is>
      </c>
      <c r="AE74" s="31" t="inlineStr">
        <is>
          <t>Neutral Elo baseline; executable ask 0.6800 (market_slug=aec-cs2-uno-alka-2026-08-04).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ALKA GAMING</t>
        </is>
      </c>
      <c r="AQ74" s="24" t="inlineStr">
        <is>
          <t>ALKA GAMING</t>
        </is>
      </c>
      <c r="AR74" s="24" t="inlineStr">
        <is>
          <t>ALKA GAMING</t>
        </is>
      </c>
      <c r="AS74" s="24" t="inlineStr">
        <is>
          <t>UNO MILLE</t>
        </is>
      </c>
      <c r="AT74" s="24" t="inlineStr">
        <is>
          <t>UNO MILLE</t>
        </is>
      </c>
      <c r="AU74" s="24" t="inlineStr">
        <is>
          <t>UNO MILLE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87e73f3e8c33751dbc7005b4404d0ee0ac9b9f8c3869a8f2e7fbc367004c2f64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87e73f3e8c33751dbc7005b4404d0ee0ac9b9f8c3869a8f2e7fbc367004c2f64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2026-08-04T16:54:15.572827Z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>
        <v>1.469484</v>
      </c>
      <c r="BR74" s="28" t="n">
        <v>0.68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</row>
    <row r="75" ht="36" customHeight="1">
      <c r="A75" s="24" t="inlineStr">
        <is>
          <t>6837fadd84c14557</t>
        </is>
      </c>
      <c r="B75" s="24" t="inlineStr">
        <is>
          <t>2026-08-04T16:54:42.280324Z</t>
        </is>
      </c>
      <c r="C75" s="24" t="inlineStr">
        <is>
          <t>2026-08-04T17:00:00Z</t>
        </is>
      </c>
      <c r="D75" s="24" t="inlineStr">
        <is>
          <t>71321</t>
        </is>
      </c>
      <c r="E75" s="24" t="inlineStr">
        <is>
          <t>CS2</t>
        </is>
      </c>
      <c r="F75" s="24" t="inlineStr">
        <is>
          <t>ex-Young Ninjas</t>
        </is>
      </c>
      <c r="G75" s="24" t="inlineStr">
        <is>
          <t>UNiTY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0.5041060000000001</v>
      </c>
      <c r="P75" s="28" t="n"/>
      <c r="Q75" s="28" t="n">
        <v>0.004106</v>
      </c>
      <c r="R75" s="26" t="n">
        <v>22</v>
      </c>
      <c r="S75" s="29" t="n">
        <v>1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>
        <v>100</v>
      </c>
      <c r="AA75" s="28" t="n">
        <v>0.5</v>
      </c>
      <c r="AB75" s="28" t="n">
        <v>0</v>
      </c>
      <c r="AC75" s="30" t="n">
        <v>-1</v>
      </c>
      <c r="AD75" s="24" t="inlineStr">
        <is>
          <t>2026-08-04T21:59:16.356884Z</t>
        </is>
      </c>
      <c r="AE75" s="31" t="inlineStr">
        <is>
          <t>Neutral Elo baseline; executable ask 0.5000 (market_slug=aec-cs2-unity-eyn-2026-08-04).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ex-Young Ninjas</t>
        </is>
      </c>
      <c r="AQ75" s="24" t="inlineStr">
        <is>
          <t>ex-Young Ninjas</t>
        </is>
      </c>
      <c r="AR75" s="24" t="inlineStr">
        <is>
          <t>ex-Young Ninjas</t>
        </is>
      </c>
      <c r="AS75" s="24" t="inlineStr">
        <is>
          <t>UNiTY esports</t>
        </is>
      </c>
      <c r="AT75" s="24" t="inlineStr">
        <is>
          <t>UNiTY esports</t>
        </is>
      </c>
      <c r="AU75" s="24" t="inlineStr">
        <is>
          <t>UNiTY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87e73f3e8c33751dbc7005b4404d0ee0ac9b9f8c3869a8f2e7fbc367004c2f64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87e73f3e8c33751dbc7005b4404d0ee0ac9b9f8c3869a8f2e7fbc367004c2f64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2026-08-04T16:54:18.104504Z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>
        <v>2</v>
      </c>
      <c r="BR75" s="28" t="n">
        <v>0.5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c3931abfbab2458e</t>
        </is>
      </c>
      <c r="B76" s="24" t="inlineStr">
        <is>
          <t>2026-08-04T16:54:42.280324Z</t>
        </is>
      </c>
      <c r="C76" s="24" t="inlineStr">
        <is>
          <t>2026-08-04T17:15:00Z</t>
        </is>
      </c>
      <c r="D76" s="24" t="inlineStr">
        <is>
          <t>71339</t>
        </is>
      </c>
      <c r="E76" s="24" t="inlineStr">
        <is>
          <t>CS2</t>
        </is>
      </c>
      <c r="F76" s="24" t="inlineStr">
        <is>
          <t>OLDBOYS PL</t>
        </is>
      </c>
      <c r="G76" s="24" t="inlineStr">
        <is>
          <t>XI Esport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0.6610549999999999</v>
      </c>
      <c r="P76" s="28" t="n"/>
      <c r="Q76" s="28" t="n">
        <v>-0.008912</v>
      </c>
      <c r="R76" s="26" t="n">
        <v>16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0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0.8621</v>
      </c>
      <c r="AD76" s="24" t="inlineStr">
        <is>
          <t>2026-08-04T21:59:17.977068Z</t>
        </is>
      </c>
      <c r="AE76" s="31" t="inlineStr">
        <is>
          <t>Neutral Elo baseline; executable ask 0.6700 (market_slug=aec-cs2-xi-oldboyspl-2026-08-04).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OLDBOYS PL</t>
        </is>
      </c>
      <c r="AQ76" s="24" t="inlineStr">
        <is>
          <t>OLDBOYS PL</t>
        </is>
      </c>
      <c r="AR76" s="24" t="inlineStr">
        <is>
          <t>OLDBOYS PL</t>
        </is>
      </c>
      <c r="AS76" s="24" t="inlineStr">
        <is>
          <t>XI Esport</t>
        </is>
      </c>
      <c r="AT76" s="24" t="inlineStr">
        <is>
          <t>XI Esport</t>
        </is>
      </c>
      <c r="AU76" s="24" t="inlineStr">
        <is>
          <t>XI 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87e73f3e8c33751dbc7005b4404d0ee0ac9b9f8c3869a8f2e7fbc367004c2f64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87e73f3e8c33751dbc7005b4404d0ee0ac9b9f8c3869a8f2e7fbc367004c2f64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2026-08-04T16:54:18.673032Z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</row>
    <row r="77" ht="36" customHeight="1">
      <c r="A77" s="24" t="inlineStr">
        <is>
          <t>391552ba11844f69</t>
        </is>
      </c>
      <c r="B77" s="24" t="inlineStr">
        <is>
          <t>2026-08-04T18:08:37.067138Z</t>
        </is>
      </c>
      <c r="C77" s="24" t="inlineStr">
        <is>
          <t>2026-08-04T18:30:00Z</t>
        </is>
      </c>
      <c r="D77" s="24" t="inlineStr">
        <is>
          <t>71341</t>
        </is>
      </c>
      <c r="E77" s="24" t="inlineStr">
        <is>
          <t>CS2</t>
        </is>
      </c>
      <c r="F77" s="24" t="inlineStr">
        <is>
          <t>mellren</t>
        </is>
      </c>
      <c r="G77" s="24" t="inlineStr">
        <is>
          <t>uust _esports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100</v>
      </c>
      <c r="M77" s="27" t="n">
        <v>2</v>
      </c>
      <c r="N77" s="28" t="n">
        <v>0.5</v>
      </c>
      <c r="O77" s="28" t="n">
        <v>0.501063</v>
      </c>
      <c r="P77" s="28" t="n"/>
      <c r="Q77" s="28" t="n">
        <v>0.001063</v>
      </c>
      <c r="R77" s="26" t="n">
        <v>21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100</v>
      </c>
      <c r="AA77" s="28" t="n">
        <v>0.5</v>
      </c>
      <c r="AB77" s="28" t="n">
        <v>0</v>
      </c>
      <c r="AC77" s="30" t="n">
        <v>1</v>
      </c>
      <c r="AD77" s="24" t="inlineStr">
        <is>
          <t>2026-08-05T01:05:52.538542Z</t>
        </is>
      </c>
      <c r="AE77" s="31" t="inlineStr">
        <is>
          <t>Neutral Elo baseline; executable ask 0.5000 (market_slug=aec-cs2-uust-mel-2026-08-04).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mellren</t>
        </is>
      </c>
      <c r="AQ77" s="24" t="inlineStr">
        <is>
          <t>mellren</t>
        </is>
      </c>
      <c r="AR77" s="24" t="inlineStr">
        <is>
          <t>mellren</t>
        </is>
      </c>
      <c r="AS77" s="24" t="inlineStr">
        <is>
          <t>uust _esports</t>
        </is>
      </c>
      <c r="AT77" s="24" t="inlineStr">
        <is>
          <t>uust _esports</t>
        </is>
      </c>
      <c r="AU77" s="24" t="inlineStr">
        <is>
          <t>uust _esports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3d3dc6a4f0641cb9aa015aaf4ccd2f260230dfea2e1b613f3ccdb860b2230f3e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3d3dc6a4f0641cb9aa015aaf4ccd2f260230dfea2e1b613f3ccdb860b2230f3e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2026-08-04T18:08:10.725061Z</t>
        </is>
      </c>
      <c r="BI77" s="24" t="inlineStr">
        <is>
          <t>["same_event","same_team_same_day","same_league_same_day"]</t>
        </is>
      </c>
      <c r="BJ77" s="25" t="n"/>
      <c r="BK77" s="26" t="n">
        <v>100</v>
      </c>
      <c r="BL77" s="27" t="n">
        <v>2</v>
      </c>
      <c r="BM77" s="28" t="n">
        <v>0.5</v>
      </c>
      <c r="BN77" s="28" t="n"/>
      <c r="BO77" s="28" t="n"/>
      <c r="BP77" s="25" t="n"/>
      <c r="BQ77" s="27" t="n">
        <v>2</v>
      </c>
      <c r="BR77" s="28" t="n">
        <v>0.5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8dbd912020ee4c2d</t>
        </is>
      </c>
      <c r="B78" s="24" t="inlineStr">
        <is>
          <t>2026-08-04T18:08:37.067138Z</t>
        </is>
      </c>
      <c r="C78" s="24" t="inlineStr">
        <is>
          <t>2026-08-04T18:30:00Z</t>
        </is>
      </c>
      <c r="D78" s="24" t="inlineStr">
        <is>
          <t>70533</t>
        </is>
      </c>
      <c r="E78" s="24" t="inlineStr">
        <is>
          <t>CS2</t>
        </is>
      </c>
      <c r="F78" s="24" t="inlineStr">
        <is>
          <t>Rush</t>
        </is>
      </c>
      <c r="G78" s="24" t="inlineStr">
        <is>
          <t>Grêmio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-178</v>
      </c>
      <c r="M78" s="27" t="n">
        <v>1.561798</v>
      </c>
      <c r="N78" s="28" t="n">
        <v>0.640288</v>
      </c>
      <c r="O78" s="28" t="n">
        <v>0.50231</v>
      </c>
      <c r="P78" s="28" t="n"/>
      <c r="Q78" s="28" t="n">
        <v>-0.137978</v>
      </c>
      <c r="R78" s="26" t="n">
        <v>0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-178</v>
      </c>
      <c r="AA78" s="28" t="n">
        <v>0.64</v>
      </c>
      <c r="AB78" s="28" t="n">
        <v>-0.000288</v>
      </c>
      <c r="AC78" s="30" t="n">
        <v>0.5618</v>
      </c>
      <c r="AD78" s="24" t="inlineStr">
        <is>
          <t>2026-08-04T21:59:20.625187Z</t>
        </is>
      </c>
      <c r="AE78" s="31" t="inlineStr">
        <is>
          <t>Neutral Elo baseline; executable ask 0.6400 (market_slug=aec-cs2-ger-rush-2026-08-04).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Rush</t>
        </is>
      </c>
      <c r="AQ78" s="24" t="inlineStr">
        <is>
          <t>Rush</t>
        </is>
      </c>
      <c r="AR78" s="24" t="inlineStr">
        <is>
          <t>Rush</t>
        </is>
      </c>
      <c r="AS78" s="24" t="inlineStr">
        <is>
          <t>Grêmio Esports</t>
        </is>
      </c>
      <c r="AT78" s="24" t="inlineStr">
        <is>
          <t>Grêmio Esports</t>
        </is>
      </c>
      <c r="AU78" s="24" t="inlineStr">
        <is>
          <t>Grêmio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3d3dc6a4f0641cb9aa015aaf4ccd2f260230dfea2e1b613f3ccdb860b2230f3e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3d3dc6a4f0641cb9aa015aaf4ccd2f260230dfea2e1b613f3ccdb860b2230f3e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2026-08-04T18:08:11.509479Z</t>
        </is>
      </c>
      <c r="BI78" s="24" t="inlineStr">
        <is>
          <t>["same_event","same_team_same_day","same_league_same_day"]</t>
        </is>
      </c>
      <c r="BJ78" s="25" t="n"/>
      <c r="BK78" s="26" t="n">
        <v>-178</v>
      </c>
      <c r="BL78" s="27" t="n">
        <v>1.561798</v>
      </c>
      <c r="BM78" s="28" t="n">
        <v>0.640288</v>
      </c>
      <c r="BN78" s="28" t="n"/>
      <c r="BO78" s="28" t="n"/>
      <c r="BP78" s="25" t="n"/>
      <c r="BQ78" s="27" t="n">
        <v>1.561798</v>
      </c>
      <c r="BR78" s="28" t="n">
        <v>0.64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ea16728e5d3b451a</t>
        </is>
      </c>
      <c r="B79" s="24" t="inlineStr">
        <is>
          <t>2026-08-04T18:08:37.067138Z</t>
        </is>
      </c>
      <c r="C79" s="24" t="inlineStr">
        <is>
          <t>2026-08-04T18:30:00Z</t>
        </is>
      </c>
      <c r="D79" s="24" t="inlineStr">
        <is>
          <t>71391</t>
        </is>
      </c>
      <c r="E79" s="24" t="inlineStr">
        <is>
          <t>CS2</t>
        </is>
      </c>
      <c r="F79" s="24" t="inlineStr">
        <is>
          <t>A Great Chaos</t>
        </is>
      </c>
      <c r="G79" s="24" t="inlineStr">
        <is>
          <t>FAST LAYNERS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-127</v>
      </c>
      <c r="M79" s="27" t="n">
        <v>1.787402</v>
      </c>
      <c r="N79" s="28" t="n">
        <v>0.5594710000000001</v>
      </c>
      <c r="O79" s="28" t="n">
        <v>0.633669</v>
      </c>
      <c r="P79" s="28" t="n"/>
      <c r="Q79" s="28" t="n">
        <v>0.074198</v>
      </c>
      <c r="R79" s="26" t="n">
        <v>57</v>
      </c>
      <c r="S79" s="29" t="n">
        <v>1.5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-127</v>
      </c>
      <c r="AA79" s="28" t="n">
        <v>0.5600000000000001</v>
      </c>
      <c r="AB79" s="28" t="n">
        <v>0.000529</v>
      </c>
      <c r="AC79" s="30" t="n">
        <v>-1.5</v>
      </c>
      <c r="AD79" s="24" t="inlineStr">
        <is>
          <t>2026-08-04T21:59:22.259337Z</t>
        </is>
      </c>
      <c r="AE79" s="31" t="inlineStr">
        <is>
          <t>Neutral Elo baseline; executable ask 0.5600 (market_slug=aec-cs2-fla-agc-2026-08-04).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A Great Chaos</t>
        </is>
      </c>
      <c r="AQ79" s="24" t="inlineStr">
        <is>
          <t>A Great Chaos</t>
        </is>
      </c>
      <c r="AR79" s="24" t="inlineStr">
        <is>
          <t>A Great Chaos</t>
        </is>
      </c>
      <c r="AS79" s="24" t="inlineStr">
        <is>
          <t>FAST LAYNERS</t>
        </is>
      </c>
      <c r="AT79" s="24" t="inlineStr">
        <is>
          <t>FAST LAYNERS</t>
        </is>
      </c>
      <c r="AU79" s="24" t="inlineStr">
        <is>
          <t>FAST LAYNERS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3d3dc6a4f0641cb9aa015aaf4ccd2f260230dfea2e1b613f3ccdb860b2230f3e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3d3dc6a4f0641cb9aa015aaf4ccd2f260230dfea2e1b613f3ccdb860b2230f3e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2026-08-04T18:08:12.712388Z</t>
        </is>
      </c>
      <c r="BI79" s="24" t="inlineStr">
        <is>
          <t>["same_event","same_team_same_day","same_league_same_day"]</t>
        </is>
      </c>
      <c r="BJ79" s="25" t="n"/>
      <c r="BK79" s="26" t="n">
        <v>-127</v>
      </c>
      <c r="BL79" s="27" t="n">
        <v>1.787402</v>
      </c>
      <c r="BM79" s="28" t="n">
        <v>0.5594710000000001</v>
      </c>
      <c r="BN79" s="28" t="n"/>
      <c r="BO79" s="28" t="n"/>
      <c r="BP79" s="25" t="n"/>
      <c r="BQ79" s="27" t="n">
        <v>1.787402</v>
      </c>
      <c r="BR79" s="28" t="n">
        <v>0.5600000000000001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6e8452c1f14141a4</t>
        </is>
      </c>
      <c r="B80" s="24" t="inlineStr">
        <is>
          <t>2026-08-04T18:08:37.067138Z</t>
        </is>
      </c>
      <c r="C80" s="24" t="inlineStr">
        <is>
          <t>2026-08-04T18:30:00Z</t>
        </is>
      </c>
      <c r="D80" s="24" t="inlineStr">
        <is>
          <t>71390</t>
        </is>
      </c>
      <c r="E80" s="24" t="inlineStr">
        <is>
          <t>CS2</t>
        </is>
      </c>
      <c r="F80" s="24" t="inlineStr">
        <is>
          <t>Subtop De France</t>
        </is>
      </c>
      <c r="G80" s="24" t="inlineStr">
        <is>
          <t>Glitchtech Esports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-156</v>
      </c>
      <c r="M80" s="27" t="n">
        <v>1.641026</v>
      </c>
      <c r="N80" s="28" t="n">
        <v>0.609375</v>
      </c>
      <c r="O80" s="28" t="n">
        <v>0.6049600000000001</v>
      </c>
      <c r="P80" s="28" t="n"/>
      <c r="Q80" s="28" t="n">
        <v>-0.004415</v>
      </c>
      <c r="R80" s="26" t="n">
        <v>18</v>
      </c>
      <c r="S80" s="29" t="n">
        <v>1.25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-156</v>
      </c>
      <c r="AA80" s="28" t="n">
        <v>0.61</v>
      </c>
      <c r="AB80" s="28" t="n">
        <v>0.000625</v>
      </c>
      <c r="AC80" s="30" t="n">
        <v>0.8013</v>
      </c>
      <c r="AD80" s="24" t="inlineStr">
        <is>
          <t>2026-08-06T18:54:22.566929Z</t>
        </is>
      </c>
      <c r="AE80" s="31" t="inlineStr">
        <is>
          <t>Neutral Elo baseline; executable ask 0.6100 (market_slug=aec-cs2-gel-sdf-2026-08-04).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Subtop De France</t>
        </is>
      </c>
      <c r="AQ80" s="24" t="inlineStr">
        <is>
          <t>Subtop De France</t>
        </is>
      </c>
      <c r="AR80" s="24" t="inlineStr">
        <is>
          <t>Subtop De France</t>
        </is>
      </c>
      <c r="AS80" s="24" t="inlineStr">
        <is>
          <t>Glitchtech Esports</t>
        </is>
      </c>
      <c r="AT80" s="24" t="inlineStr">
        <is>
          <t>Glitchtech Esports</t>
        </is>
      </c>
      <c r="AU80" s="24" t="inlineStr">
        <is>
          <t>Glitchtech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3d3dc6a4f0641cb9aa015aaf4ccd2f260230dfea2e1b613f3ccdb860b2230f3e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3d3dc6a4f0641cb9aa015aaf4ccd2f260230dfea2e1b613f3ccdb860b2230f3e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2026-08-04T18:08:13.464831Z</t>
        </is>
      </c>
      <c r="BI80" s="24" t="inlineStr">
        <is>
          <t>["same_event","same_team_same_day","same_league_same_day"]</t>
        </is>
      </c>
      <c r="BJ80" s="25" t="n"/>
      <c r="BK80" s="26" t="n">
        <v>-156</v>
      </c>
      <c r="BL80" s="27" t="n">
        <v>1.641026</v>
      </c>
      <c r="BM80" s="28" t="n">
        <v>0.609375</v>
      </c>
      <c r="BN80" s="28" t="n"/>
      <c r="BO80" s="28" t="n"/>
      <c r="BP80" s="25" t="n"/>
      <c r="BQ80" s="27" t="n">
        <v>1.641026</v>
      </c>
      <c r="BR80" s="28" t="n">
        <v>0.61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10ccf018a82d4dee</t>
        </is>
      </c>
      <c r="B81" s="24" t="inlineStr">
        <is>
          <t>2026-08-04T18:08:37.067138Z</t>
        </is>
      </c>
      <c r="C81" s="24" t="inlineStr">
        <is>
          <t>2026-08-04T18:30:00Z</t>
        </is>
      </c>
      <c r="D81" s="24" t="inlineStr">
        <is>
          <t>71389</t>
        </is>
      </c>
      <c r="E81" s="24" t="inlineStr">
        <is>
          <t>CS2</t>
        </is>
      </c>
      <c r="F81" s="24" t="inlineStr">
        <is>
          <t>Banger Gang</t>
        </is>
      </c>
      <c r="G81" s="24" t="inlineStr">
        <is>
          <t>Arch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-104</v>
      </c>
      <c r="M81" s="27" t="n">
        <v>1.961538</v>
      </c>
      <c r="N81" s="28" t="n">
        <v>0.509804</v>
      </c>
      <c r="O81" s="28" t="n">
        <v>0.684275</v>
      </c>
      <c r="P81" s="28" t="n"/>
      <c r="Q81" s="28" t="n">
        <v>0.174471</v>
      </c>
      <c r="R81" s="26" t="n">
        <v>100</v>
      </c>
      <c r="S81" s="29" t="n">
        <v>2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>
        <v>-104</v>
      </c>
      <c r="AA81" s="28" t="n">
        <v>0.51</v>
      </c>
      <c r="AB81" s="28" t="n">
        <v>0.000196</v>
      </c>
      <c r="AC81" s="30" t="n">
        <v>-2</v>
      </c>
      <c r="AD81" s="24" t="inlineStr">
        <is>
          <t>2026-08-05T01:05:56.928096Z</t>
        </is>
      </c>
      <c r="AE81" s="31" t="inlineStr">
        <is>
          <t>Neutral Elo baseline; executable ask 0.5100 (market_slug=aec-cs2-arch-bg-2026-08-04).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Banger Gang</t>
        </is>
      </c>
      <c r="AQ81" s="24" t="inlineStr">
        <is>
          <t>Banger Gang</t>
        </is>
      </c>
      <c r="AR81" s="24" t="inlineStr">
        <is>
          <t>Banger Gang</t>
        </is>
      </c>
      <c r="AS81" s="24" t="inlineStr">
        <is>
          <t>Arch</t>
        </is>
      </c>
      <c r="AT81" s="24" t="inlineStr">
        <is>
          <t>Arch</t>
        </is>
      </c>
      <c r="AU81" s="24" t="inlineStr">
        <is>
          <t>Arch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3d3dc6a4f0641cb9aa015aaf4ccd2f260230dfea2e1b613f3ccdb860b2230f3e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3d3dc6a4f0641cb9aa015aaf4ccd2f260230dfea2e1b613f3ccdb860b2230f3e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2026-08-04T18:08:14.227023Z</t>
        </is>
      </c>
      <c r="BI81" s="24" t="inlineStr">
        <is>
          <t>["same_event","same_team_same_day","same_league_same_day"]</t>
        </is>
      </c>
      <c r="BJ81" s="25" t="n"/>
      <c r="BK81" s="26" t="n">
        <v>-104</v>
      </c>
      <c r="BL81" s="27" t="n">
        <v>1.961538</v>
      </c>
      <c r="BM81" s="28" t="n">
        <v>0.509804</v>
      </c>
      <c r="BN81" s="28" t="n"/>
      <c r="BO81" s="28" t="n"/>
      <c r="BP81" s="25" t="n"/>
      <c r="BQ81" s="27" t="n">
        <v>1.961538</v>
      </c>
      <c r="BR81" s="28" t="n">
        <v>0.51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8e98fbabec744558</t>
        </is>
      </c>
      <c r="B82" s="24" t="inlineStr">
        <is>
          <t>2026-08-04T18:08:37.067138Z</t>
        </is>
      </c>
      <c r="C82" s="24" t="inlineStr">
        <is>
          <t>2026-08-04T18:30:00Z</t>
        </is>
      </c>
      <c r="D82" s="24" t="inlineStr">
        <is>
          <t>71388</t>
        </is>
      </c>
      <c r="E82" s="24" t="inlineStr">
        <is>
          <t>CS2</t>
        </is>
      </c>
      <c r="F82" s="24" t="inlineStr">
        <is>
          <t>Fraternity</t>
        </is>
      </c>
      <c r="G82" s="24" t="inlineStr">
        <is>
          <t>PURE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-113</v>
      </c>
      <c r="M82" s="27" t="n">
        <v>1.884956</v>
      </c>
      <c r="N82" s="28" t="n">
        <v>0.530516</v>
      </c>
      <c r="O82" s="28" t="n">
        <v>0.556272</v>
      </c>
      <c r="P82" s="28" t="n"/>
      <c r="Q82" s="28" t="n">
        <v>0.025756</v>
      </c>
      <c r="R82" s="26" t="n">
        <v>33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-113</v>
      </c>
      <c r="AA82" s="28" t="n">
        <v>0.53</v>
      </c>
      <c r="AB82" s="28" t="n">
        <v>-0.000516</v>
      </c>
      <c r="AC82" s="30" t="n">
        <v>0.885</v>
      </c>
      <c r="AD82" s="24" t="inlineStr">
        <is>
          <t>2026-08-04T21:59:26.104976Z</t>
        </is>
      </c>
      <c r="AE82" s="31" t="inlineStr">
        <is>
          <t>Neutral Elo baseline; executable ask 0.5300 (market_slug=aec-cs2-pure-frt-2026-08-04).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Fraternity</t>
        </is>
      </c>
      <c r="AQ82" s="24" t="inlineStr">
        <is>
          <t>Fraternity</t>
        </is>
      </c>
      <c r="AR82" s="24" t="inlineStr">
        <is>
          <t>Fraternity</t>
        </is>
      </c>
      <c r="AS82" s="24" t="inlineStr">
        <is>
          <t>PURE</t>
        </is>
      </c>
      <c r="AT82" s="24" t="inlineStr">
        <is>
          <t>PURE</t>
        </is>
      </c>
      <c r="AU82" s="24" t="inlineStr">
        <is>
          <t>PURE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3d3dc6a4f0641cb9aa015aaf4ccd2f260230dfea2e1b613f3ccdb860b2230f3e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3d3dc6a4f0641cb9aa015aaf4ccd2f260230dfea2e1b613f3ccdb860b2230f3e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2026-08-04T18:08:15.431614Z</t>
        </is>
      </c>
      <c r="BI82" s="24" t="inlineStr">
        <is>
          <t>["same_event","same_team_same_day","same_league_same_day"]</t>
        </is>
      </c>
      <c r="BJ82" s="25" t="n"/>
      <c r="BK82" s="26" t="n">
        <v>-113</v>
      </c>
      <c r="BL82" s="27" t="n">
        <v>1.884956</v>
      </c>
      <c r="BM82" s="28" t="n">
        <v>0.530516</v>
      </c>
      <c r="BN82" s="28" t="n"/>
      <c r="BO82" s="28" t="n"/>
      <c r="BP82" s="25" t="n"/>
      <c r="BQ82" s="27" t="n">
        <v>1.884956</v>
      </c>
      <c r="BR82" s="28" t="n">
        <v>0.53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4d9df78b0b5a402d</t>
        </is>
      </c>
      <c r="B83" s="24" t="inlineStr">
        <is>
          <t>2026-08-04T18:08:37.067138Z</t>
        </is>
      </c>
      <c r="C83" s="24" t="inlineStr">
        <is>
          <t>2026-08-04T18:30:00Z</t>
        </is>
      </c>
      <c r="D83" s="24" t="inlineStr">
        <is>
          <t>71387</t>
        </is>
      </c>
      <c r="E83" s="24" t="inlineStr">
        <is>
          <t>CS2</t>
        </is>
      </c>
      <c r="F83" s="24" t="inlineStr">
        <is>
          <t>OLDBOYS PL</t>
        </is>
      </c>
      <c r="G83" s="24" t="inlineStr">
        <is>
          <t>eSuba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-138</v>
      </c>
      <c r="M83" s="27" t="n">
        <v>1.724638</v>
      </c>
      <c r="N83" s="28" t="n">
        <v>0.579832</v>
      </c>
      <c r="O83" s="28" t="n">
        <v>0.595428</v>
      </c>
      <c r="P83" s="28" t="n"/>
      <c r="Q83" s="28" t="n">
        <v>0.015596</v>
      </c>
      <c r="R83" s="26" t="n">
        <v>28</v>
      </c>
      <c r="S83" s="29" t="n">
        <v>1.25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-138</v>
      </c>
      <c r="AA83" s="28" t="n">
        <v>0.58</v>
      </c>
      <c r="AB83" s="28" t="n">
        <v>0.000168</v>
      </c>
      <c r="AC83" s="30" t="n">
        <v>0.9058</v>
      </c>
      <c r="AD83" s="24" t="inlineStr">
        <is>
          <t>2026-08-06T18:54:25.191426Z</t>
        </is>
      </c>
      <c r="AE83" s="31" t="inlineStr">
        <is>
          <t>Neutral Elo baseline; executable ask 0.5800 (market_slug=aec-cs2-esb-oldboyspl-2026-08-04).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OLDBOYS PL</t>
        </is>
      </c>
      <c r="AQ83" s="24" t="inlineStr">
        <is>
          <t>OLDBOYS PL</t>
        </is>
      </c>
      <c r="AR83" s="24" t="inlineStr">
        <is>
          <t>OLDBOYS PL</t>
        </is>
      </c>
      <c r="AS83" s="24" t="inlineStr">
        <is>
          <t>eSuba</t>
        </is>
      </c>
      <c r="AT83" s="24" t="inlineStr">
        <is>
          <t>eSuba</t>
        </is>
      </c>
      <c r="AU83" s="24" t="inlineStr">
        <is>
          <t>eSuba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3d3dc6a4f0641cb9aa015aaf4ccd2f260230dfea2e1b613f3ccdb860b2230f3e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3d3dc6a4f0641cb9aa015aaf4ccd2f260230dfea2e1b613f3ccdb860b2230f3e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2026-08-04T18:08:16.175127Z</t>
        </is>
      </c>
      <c r="BI83" s="24" t="inlineStr">
        <is>
          <t>["same_event","same_team_same_day","same_league_same_day"]</t>
        </is>
      </c>
      <c r="BJ83" s="25" t="n"/>
      <c r="BK83" s="26" t="n">
        <v>-138</v>
      </c>
      <c r="BL83" s="27" t="n">
        <v>1.724638</v>
      </c>
      <c r="BM83" s="28" t="n">
        <v>0.579832</v>
      </c>
      <c r="BN83" s="28" t="n"/>
      <c r="BO83" s="28" t="n"/>
      <c r="BP83" s="25" t="n"/>
      <c r="BQ83" s="27" t="n">
        <v>1.724638</v>
      </c>
      <c r="BR83" s="28" t="n">
        <v>0.58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73d32b6a9f1d44f4</t>
        </is>
      </c>
      <c r="B84" s="24" t="inlineStr">
        <is>
          <t>2026-08-04T18:08:37.067138Z</t>
        </is>
      </c>
      <c r="C84" s="24" t="inlineStr">
        <is>
          <t>2026-08-04T18:30:00Z</t>
        </is>
      </c>
      <c r="D84" s="24" t="inlineStr">
        <is>
          <t>71386</t>
        </is>
      </c>
      <c r="E84" s="24" t="inlineStr">
        <is>
          <t>CS2</t>
        </is>
      </c>
      <c r="F84" s="24" t="inlineStr">
        <is>
          <t>VP.Prodigy</t>
        </is>
      </c>
      <c r="G84" s="24" t="inlineStr">
        <is>
          <t>Diamant Esports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-203</v>
      </c>
      <c r="M84" s="27" t="n">
        <v>1.492611</v>
      </c>
      <c r="N84" s="28" t="n">
        <v>0.669967</v>
      </c>
      <c r="O84" s="28" t="n">
        <v>0.555195</v>
      </c>
      <c r="P84" s="28" t="n"/>
      <c r="Q84" s="28" t="n">
        <v>-0.114772</v>
      </c>
      <c r="R84" s="26" t="n">
        <v>0</v>
      </c>
      <c r="S84" s="29" t="n">
        <v>1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-203</v>
      </c>
      <c r="AA84" s="28" t="n">
        <v>0.67</v>
      </c>
      <c r="AB84" s="28" t="n">
        <v>3.3e-05</v>
      </c>
      <c r="AC84" s="30" t="n">
        <v>0.4926</v>
      </c>
      <c r="AD84" s="24" t="inlineStr">
        <is>
          <t>2026-08-04T21:59:28.748789Z</t>
        </is>
      </c>
      <c r="AE84" s="31" t="inlineStr">
        <is>
          <t>Neutral Elo baseline; executable ask 0.6700 (market_slug=aec-cs2-dei-vpp-2026-08-04).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VP.Prodigy</t>
        </is>
      </c>
      <c r="AQ84" s="24" t="inlineStr">
        <is>
          <t>VP.Prodigy</t>
        </is>
      </c>
      <c r="AR84" s="24" t="inlineStr">
        <is>
          <t>VP.Prodigy</t>
        </is>
      </c>
      <c r="AS84" s="24" t="inlineStr">
        <is>
          <t>Diamant Esports</t>
        </is>
      </c>
      <c r="AT84" s="24" t="inlineStr">
        <is>
          <t>Diamant Esports</t>
        </is>
      </c>
      <c r="AU84" s="24" t="inlineStr">
        <is>
          <t>Diamant Esports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3d3dc6a4f0641cb9aa015aaf4ccd2f260230dfea2e1b613f3ccdb860b2230f3e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3d3dc6a4f0641cb9aa015aaf4ccd2f260230dfea2e1b613f3ccdb860b2230f3e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2026-08-04T18:08:16.945508Z</t>
        </is>
      </c>
      <c r="BI84" s="24" t="inlineStr">
        <is>
          <t>["same_event","same_team_same_day","same_league_same_day"]</t>
        </is>
      </c>
      <c r="BJ84" s="25" t="n"/>
      <c r="BK84" s="26" t="n">
        <v>-203</v>
      </c>
      <c r="BL84" s="27" t="n">
        <v>1.492611</v>
      </c>
      <c r="BM84" s="28" t="n">
        <v>0.669967</v>
      </c>
      <c r="BN84" s="28" t="n"/>
      <c r="BO84" s="28" t="n"/>
      <c r="BP84" s="25" t="n"/>
      <c r="BQ84" s="27" t="n">
        <v>1.492611</v>
      </c>
      <c r="BR84" s="28" t="n">
        <v>0.67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da4b1226aabc441f</t>
        </is>
      </c>
      <c r="B85" s="24" t="inlineStr">
        <is>
          <t>2026-08-04T18:08:37.067138Z</t>
        </is>
      </c>
      <c r="C85" s="24" t="inlineStr">
        <is>
          <t>2026-08-04T18:30:00Z</t>
        </is>
      </c>
      <c r="D85" s="24" t="inlineStr">
        <is>
          <t>71385</t>
        </is>
      </c>
      <c r="E85" s="24" t="inlineStr">
        <is>
          <t>CS2</t>
        </is>
      </c>
      <c r="F85" s="24" t="inlineStr">
        <is>
          <t>Drama eSports</t>
        </is>
      </c>
      <c r="G85" s="24" t="inlineStr">
        <is>
          <t>KUUSAMO.gg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-108</v>
      </c>
      <c r="M85" s="27" t="n">
        <v>1.925926</v>
      </c>
      <c r="N85" s="28" t="n">
        <v>0.519231</v>
      </c>
      <c r="O85" s="28" t="n">
        <v>0.529003</v>
      </c>
      <c r="P85" s="28" t="n"/>
      <c r="Q85" s="28" t="n">
        <v>0.009771999999999999</v>
      </c>
      <c r="R85" s="26" t="n">
        <v>25</v>
      </c>
      <c r="S85" s="29" t="n">
        <v>1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-108</v>
      </c>
      <c r="AA85" s="28" t="n">
        <v>0.52</v>
      </c>
      <c r="AB85" s="28" t="n">
        <v>0.000769</v>
      </c>
      <c r="AC85" s="30" t="n">
        <v>-1</v>
      </c>
      <c r="AD85" s="24" t="inlineStr">
        <is>
          <t>2026-08-04T21:59:30.384904Z</t>
        </is>
      </c>
      <c r="AE85" s="31" t="inlineStr">
        <is>
          <t>Neutral Elo baseline; executable ask 0.5200 (market_slug=aec-cs2-ksm-drama-2026-08-04).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Drama eSports</t>
        </is>
      </c>
      <c r="AQ85" s="24" t="inlineStr">
        <is>
          <t>Drama eSports</t>
        </is>
      </c>
      <c r="AR85" s="24" t="inlineStr">
        <is>
          <t>Drama eSports</t>
        </is>
      </c>
      <c r="AS85" s="24" t="inlineStr">
        <is>
          <t>KUUSAMO.gg</t>
        </is>
      </c>
      <c r="AT85" s="24" t="inlineStr">
        <is>
          <t>KUUSAMO.gg</t>
        </is>
      </c>
      <c r="AU85" s="24" t="inlineStr">
        <is>
          <t>KUUSAMO.gg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3d3dc6a4f0641cb9aa015aaf4ccd2f260230dfea2e1b613f3ccdb860b2230f3e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3d3dc6a4f0641cb9aa015aaf4ccd2f260230dfea2e1b613f3ccdb860b2230f3e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2026-08-04T18:08:17.703838Z</t>
        </is>
      </c>
      <c r="BI85" s="24" t="inlineStr">
        <is>
          <t>["same_event","same_team_same_day","same_league_same_day"]</t>
        </is>
      </c>
      <c r="BJ85" s="25" t="n"/>
      <c r="BK85" s="26" t="n">
        <v>-108</v>
      </c>
      <c r="BL85" s="27" t="n">
        <v>1.925926</v>
      </c>
      <c r="BM85" s="28" t="n">
        <v>0.519231</v>
      </c>
      <c r="BN85" s="28" t="n"/>
      <c r="BO85" s="28" t="n"/>
      <c r="BP85" s="25" t="n"/>
      <c r="BQ85" s="27" t="n">
        <v>1.925926</v>
      </c>
      <c r="BR85" s="28" t="n">
        <v>0.52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0e018b9c231b4e26</t>
        </is>
      </c>
      <c r="B86" s="24" t="inlineStr">
        <is>
          <t>2026-08-04T18:08:37.067138Z</t>
        </is>
      </c>
      <c r="C86" s="24" t="inlineStr">
        <is>
          <t>2026-08-04T18:30:00Z</t>
        </is>
      </c>
      <c r="D86" s="24" t="inlineStr">
        <is>
          <t>71382</t>
        </is>
      </c>
      <c r="E86" s="24" t="inlineStr">
        <is>
          <t>CS2</t>
        </is>
      </c>
      <c r="F86" s="24" t="inlineStr">
        <is>
          <t>JUMBO TEAM</t>
        </is>
      </c>
      <c r="G86" s="24" t="inlineStr">
        <is>
          <t>Benched gods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0.674864</v>
      </c>
      <c r="P86" s="28" t="n"/>
      <c r="Q86" s="28" t="n">
        <v>0.214035</v>
      </c>
      <c r="R86" s="26" t="n">
        <v>100</v>
      </c>
      <c r="S86" s="29" t="n">
        <v>1.75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1</v>
      </c>
      <c r="X86" s="26" t="n">
        <v>0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-1.75</v>
      </c>
      <c r="AD86" s="24" t="inlineStr">
        <is>
          <t>2026-08-04T21:59:31.980177Z</t>
        </is>
      </c>
      <c r="AE86" s="31" t="inlineStr">
        <is>
          <t>Neutral Elo baseline; executable ask 0.4600 (market_slug=aec-cs2-bge-jumbo-2026-08-04).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JUMBO TEAM</t>
        </is>
      </c>
      <c r="AQ86" s="24" t="inlineStr">
        <is>
          <t>JUMBO TEAM</t>
        </is>
      </c>
      <c r="AR86" s="24" t="inlineStr">
        <is>
          <t>JUMBO TEAM</t>
        </is>
      </c>
      <c r="AS86" s="24" t="inlineStr">
        <is>
          <t>Benched gods</t>
        </is>
      </c>
      <c r="AT86" s="24" t="inlineStr">
        <is>
          <t>Benched gods</t>
        </is>
      </c>
      <c r="AU86" s="24" t="inlineStr">
        <is>
          <t>Benched gods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3d3dc6a4f0641cb9aa015aaf4ccd2f260230dfea2e1b613f3ccdb860b2230f3e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3d3dc6a4f0641cb9aa015aaf4ccd2f260230dfea2e1b613f3ccdb860b2230f3e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2026-08-04T18:08:19.220614Z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5301926b4dc04605</t>
        </is>
      </c>
      <c r="B87" s="24" t="inlineStr">
        <is>
          <t>2026-08-05T04:39:04.512717Z</t>
        </is>
      </c>
      <c r="C87" s="24" t="inlineStr">
        <is>
          <t>2026-08-05T08:00:00Z</t>
        </is>
      </c>
      <c r="D87" s="24" t="inlineStr">
        <is>
          <t>71727</t>
        </is>
      </c>
      <c r="E87" s="24" t="inlineStr">
        <is>
          <t>CS2</t>
        </is>
      </c>
      <c r="F87" s="24" t="inlineStr">
        <is>
          <t>CYBERSHOKE Prospects</t>
        </is>
      </c>
      <c r="G87" s="24" t="inlineStr">
        <is>
          <t>Nuclear TigeRES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0.661077</v>
      </c>
      <c r="P87" s="28" t="n"/>
      <c r="Q87" s="28" t="n">
        <v>-0.038623</v>
      </c>
      <c r="R87" s="26" t="n">
        <v>1</v>
      </c>
      <c r="S87" s="29" t="n">
        <v>1.75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-233</v>
      </c>
      <c r="AA87" s="28" t="n">
        <v>0.7</v>
      </c>
      <c r="AB87" s="28" t="n">
        <v>0.0003</v>
      </c>
      <c r="AC87" s="30" t="n">
        <v>0.7511</v>
      </c>
      <c r="AD87" s="24" t="inlineStr">
        <is>
          <t>2026-08-05T20:58:35.152368Z</t>
        </is>
      </c>
      <c r="AE87" s="31" t="inlineStr">
        <is>
          <t>Neutral Elo baseline; executable ask 0.7000 (market_slug=aec-cs2-ntr-cshp-2026-08-05).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CYBERSHOKE Prospects</t>
        </is>
      </c>
      <c r="AQ87" s="24" t="inlineStr">
        <is>
          <t>CYBERSHOKE Prospects</t>
        </is>
      </c>
      <c r="AR87" s="24" t="inlineStr">
        <is>
          <t>CYBERSHOKE Prospects</t>
        </is>
      </c>
      <c r="AS87" s="24" t="inlineStr">
        <is>
          <t>Nuclear TigeRES</t>
        </is>
      </c>
      <c r="AT87" s="24" t="inlineStr">
        <is>
          <t>Nuclear TigeRES</t>
        </is>
      </c>
      <c r="AU87" s="24" t="inlineStr">
        <is>
          <t>Nuclear TigeRES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79b38f494ba89a56e3ba1ee48b9a2a5937958160c434a13516c1eb8ec97a91aa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79b38f494ba89a56e3ba1ee48b9a2a5937958160c434a13516c1eb8ec97a91aa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2026-08-05T04:38:10.339234Z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/>
      <c r="BO87" s="28" t="n"/>
      <c r="BP87" s="25" t="n"/>
      <c r="BQ87" s="27" t="n">
        <v>1.429185</v>
      </c>
      <c r="BR87" s="28" t="n">
        <v>0.7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74065a10b79c4246</t>
        </is>
      </c>
      <c r="B88" s="24" t="inlineStr">
        <is>
          <t>2026-08-05T04:39:04.512717Z</t>
        </is>
      </c>
      <c r="C88" s="24" t="inlineStr">
        <is>
          <t>2026-08-05T08:00:00Z</t>
        </is>
      </c>
      <c r="D88" s="24" t="inlineStr">
        <is>
          <t>72482</t>
        </is>
      </c>
      <c r="E88" s="24" t="inlineStr">
        <is>
          <t>CS2</t>
        </is>
      </c>
      <c r="F88" s="24" t="inlineStr">
        <is>
          <t>Just Players</t>
        </is>
      </c>
      <c r="G88" s="24" t="inlineStr">
        <is>
          <t>ARCRED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0.5382670000000001</v>
      </c>
      <c r="P88" s="28" t="n"/>
      <c r="Q88" s="28" t="n">
        <v>0.007751</v>
      </c>
      <c r="R88" s="26" t="n">
        <v>24</v>
      </c>
      <c r="S88" s="29" t="n">
        <v>1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-113</v>
      </c>
      <c r="AA88" s="28" t="n">
        <v>0.53</v>
      </c>
      <c r="AB88" s="28" t="n">
        <v>-0.000516</v>
      </c>
      <c r="AC88" s="30" t="n">
        <v>-1</v>
      </c>
      <c r="AD88" s="24" t="inlineStr">
        <is>
          <t>2026-08-05T13:50:23.582749Z</t>
        </is>
      </c>
      <c r="AE88" s="31" t="inlineStr">
        <is>
          <t>Neutral Elo baseline; executable ask 0.5300 (market_slug=aec-cs2-arc-jpu-2026-08-05).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Just Players</t>
        </is>
      </c>
      <c r="AQ88" s="24" t="inlineStr">
        <is>
          <t>Just Players</t>
        </is>
      </c>
      <c r="AR88" s="24" t="inlineStr">
        <is>
          <t>Just Players</t>
        </is>
      </c>
      <c r="AS88" s="24" t="inlineStr">
        <is>
          <t>ARCRED</t>
        </is>
      </c>
      <c r="AT88" s="24" t="inlineStr">
        <is>
          <t>ARCRED</t>
        </is>
      </c>
      <c r="AU88" s="24" t="inlineStr">
        <is>
          <t>ARCRED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79b38f494ba89a56e3ba1ee48b9a2a5937958160c434a13516c1eb8ec97a91aa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79b38f494ba89a56e3ba1ee48b9a2a5937958160c434a13516c1eb8ec97a91aa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2026-08-05T04:38:12.834040Z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>
        <v>1.884956</v>
      </c>
      <c r="BR88" s="28" t="n">
        <v>0.53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b2c2e4213ed14fe3</t>
        </is>
      </c>
      <c r="B89" s="24" t="inlineStr">
        <is>
          <t>2026-08-05T04:39:04.512717Z</t>
        </is>
      </c>
      <c r="C89" s="24" t="inlineStr">
        <is>
          <t>2026-08-05T10:00:00Z</t>
        </is>
      </c>
      <c r="D89" s="24" t="inlineStr">
        <is>
          <t>69537</t>
        </is>
      </c>
      <c r="E89" s="24" t="inlineStr">
        <is>
          <t>CS2</t>
        </is>
      </c>
      <c r="F89" s="24" t="inlineStr">
        <is>
          <t>Abyssal</t>
        </is>
      </c>
      <c r="G89" s="24" t="inlineStr">
        <is>
          <t>Arcade Esports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133</v>
      </c>
      <c r="M89" s="27" t="n">
        <v>2.33</v>
      </c>
      <c r="N89" s="28" t="n">
        <v>0.429185</v>
      </c>
      <c r="O89" s="28" t="n">
        <v>0.5199589999999999</v>
      </c>
      <c r="P89" s="28" t="n"/>
      <c r="Q89" s="28" t="n">
        <v>0.09077399999999999</v>
      </c>
      <c r="R89" s="26" t="n">
        <v>65</v>
      </c>
      <c r="S89" s="29" t="n">
        <v>1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133</v>
      </c>
      <c r="AA89" s="28" t="n">
        <v>0.43</v>
      </c>
      <c r="AB89" s="28" t="n">
        <v>0.000815</v>
      </c>
      <c r="AC89" s="30" t="n">
        <v>-1</v>
      </c>
      <c r="AD89" s="24" t="inlineStr">
        <is>
          <t>2026-08-05T13:50:25.982959Z</t>
        </is>
      </c>
      <c r="AE89" s="31" t="inlineStr">
        <is>
          <t>Neutral Elo baseline; executable ask 0.4300 (market_slug=aec-cs2-aer-aby-2026-08-05).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Abyssal</t>
        </is>
      </c>
      <c r="AQ89" s="24" t="inlineStr">
        <is>
          <t>Abyssal</t>
        </is>
      </c>
      <c r="AR89" s="24" t="inlineStr">
        <is>
          <t>Abyssal</t>
        </is>
      </c>
      <c r="AS89" s="24" t="inlineStr">
        <is>
          <t>Arcade Esports</t>
        </is>
      </c>
      <c r="AT89" s="24" t="inlineStr">
        <is>
          <t>Arcade Esports</t>
        </is>
      </c>
      <c r="AU89" s="24" t="inlineStr">
        <is>
          <t>Arcade Esports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79b38f494ba89a56e3ba1ee48b9a2a5937958160c434a13516c1eb8ec97a91aa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79b38f494ba89a56e3ba1ee48b9a2a5937958160c434a13516c1eb8ec97a91aa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2026-08-05T04:38:13.898810Z</t>
        </is>
      </c>
      <c r="BI89" s="24" t="inlineStr">
        <is>
          <t>["same_event","same_team_same_day","same_league_same_day"]</t>
        </is>
      </c>
      <c r="BJ89" s="25" t="n"/>
      <c r="BK89" s="26" t="n">
        <v>133</v>
      </c>
      <c r="BL89" s="27" t="n">
        <v>2.33</v>
      </c>
      <c r="BM89" s="28" t="n">
        <v>0.429185</v>
      </c>
      <c r="BN89" s="28" t="n"/>
      <c r="BO89" s="28" t="n"/>
      <c r="BP89" s="25" t="n"/>
      <c r="BQ89" s="27" t="n">
        <v>2.33</v>
      </c>
      <c r="BR89" s="28" t="n">
        <v>0.43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</row>
    <row r="90" ht="36" customHeight="1">
      <c r="A90" s="24" t="inlineStr">
        <is>
          <t>73052229bd684de6</t>
        </is>
      </c>
      <c r="B90" s="24" t="inlineStr">
        <is>
          <t>2026-08-05T04:39:04.512717Z</t>
        </is>
      </c>
      <c r="C90" s="24" t="inlineStr">
        <is>
          <t>2026-08-05T10:00:00Z</t>
        </is>
      </c>
      <c r="D90" s="24" t="inlineStr">
        <is>
          <t>71795</t>
        </is>
      </c>
      <c r="E90" s="24" t="inlineStr">
        <is>
          <t>CS2</t>
        </is>
      </c>
      <c r="F90" s="24" t="inlineStr">
        <is>
          <t>Betclic Apogee Esports</t>
        </is>
      </c>
      <c r="G90" s="24" t="inlineStr">
        <is>
          <t>Johnny Speeds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156</v>
      </c>
      <c r="M90" s="27" t="n">
        <v>2.56</v>
      </c>
      <c r="N90" s="28" t="n">
        <v>0.390625</v>
      </c>
      <c r="O90" s="28" t="n">
        <v>0.5349</v>
      </c>
      <c r="P90" s="28" t="n"/>
      <c r="Q90" s="28" t="n">
        <v>0.144275</v>
      </c>
      <c r="R90" s="26" t="n">
        <v>92</v>
      </c>
      <c r="S90" s="29" t="n">
        <v>1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156</v>
      </c>
      <c r="AA90" s="28" t="n">
        <v>0.39</v>
      </c>
      <c r="AB90" s="28" t="n">
        <v>-0.000625</v>
      </c>
      <c r="AC90" s="30" t="n">
        <v>-1</v>
      </c>
      <c r="AD90" s="24" t="inlineStr">
        <is>
          <t>2026-08-05T13:50:28.406737Z</t>
        </is>
      </c>
      <c r="AE90" s="31" t="inlineStr">
        <is>
          <t>Neutral Elo baseline; executable ask 0.3900 (market_slug=aec-cs2-js-bca-2026-08-05).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Betclic Apogee Esports</t>
        </is>
      </c>
      <c r="AQ90" s="24" t="inlineStr">
        <is>
          <t>Betclic Apogee Esports</t>
        </is>
      </c>
      <c r="AR90" s="24" t="inlineStr">
        <is>
          <t>Betclic Apogee Esports</t>
        </is>
      </c>
      <c r="AS90" s="24" t="inlineStr">
        <is>
          <t>Johnny Speeds</t>
        </is>
      </c>
      <c r="AT90" s="24" t="inlineStr">
        <is>
          <t>Johnny Speeds</t>
        </is>
      </c>
      <c r="AU90" s="24" t="inlineStr">
        <is>
          <t>Johnny Speeds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79b38f494ba89a56e3ba1ee48b9a2a5937958160c434a13516c1eb8ec97a91aa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79b38f494ba89a56e3ba1ee48b9a2a5937958160c434a13516c1eb8ec97a91aa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2026-08-05T04:38:15.635268Z</t>
        </is>
      </c>
      <c r="BI90" s="24" t="inlineStr">
        <is>
          <t>["same_event","same_team_same_day","same_league_same_day"]</t>
        </is>
      </c>
      <c r="BJ90" s="25" t="n"/>
      <c r="BK90" s="26" t="n">
        <v>156</v>
      </c>
      <c r="BL90" s="27" t="n">
        <v>2.56</v>
      </c>
      <c r="BM90" s="28" t="n">
        <v>0.390625</v>
      </c>
      <c r="BN90" s="28" t="n"/>
      <c r="BO90" s="28" t="n"/>
      <c r="BP90" s="25" t="n"/>
      <c r="BQ90" s="27" t="n">
        <v>2.56</v>
      </c>
      <c r="BR90" s="28" t="n">
        <v>0.39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a1c5f3dbc207489d</t>
        </is>
      </c>
      <c r="B91" s="24" t="inlineStr">
        <is>
          <t>2026-08-05T10:47:03.473375Z</t>
        </is>
      </c>
      <c r="C91" s="24" t="inlineStr">
        <is>
          <t>2026-08-05T11:00:00Z</t>
        </is>
      </c>
      <c r="D91" s="24" t="inlineStr">
        <is>
          <t>69554</t>
        </is>
      </c>
      <c r="E91" s="24" t="inlineStr">
        <is>
          <t>CS2</t>
        </is>
      </c>
      <c r="F91" s="24" t="inlineStr">
        <is>
          <t>eSuba</t>
        </is>
      </c>
      <c r="G91" s="24" t="inlineStr">
        <is>
          <t>GamersLab Esports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-170</v>
      </c>
      <c r="M91" s="27" t="n">
        <v>1.588235</v>
      </c>
      <c r="N91" s="28" t="n">
        <v>0.62963</v>
      </c>
      <c r="O91" s="28" t="n">
        <v>0.601544</v>
      </c>
      <c r="P91" s="28" t="n"/>
      <c r="Q91" s="28" t="n">
        <v>-0.028086</v>
      </c>
      <c r="R91" s="26" t="n">
        <v>6</v>
      </c>
      <c r="S91" s="29" t="n">
        <v>1.25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-170</v>
      </c>
      <c r="AA91" s="28" t="n">
        <v>0.63</v>
      </c>
      <c r="AB91" s="28" t="n">
        <v>0.00037</v>
      </c>
      <c r="AC91" s="30" t="n">
        <v>0.7353</v>
      </c>
      <c r="AD91" s="24" t="inlineStr">
        <is>
          <t>2026-08-05T16:59:51.149134Z</t>
        </is>
      </c>
      <c r="AE91" s="31" t="inlineStr">
        <is>
          <t>Neutral Elo baseline; executable ask 0.6300 (market_slug=aec-cs2-gea-esb-2026-08-05).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NO_CALL_LOW_EDGE</t>
        </is>
      </c>
      <c r="AP91" s="24" t="inlineStr">
        <is>
          <t>eSuba</t>
        </is>
      </c>
      <c r="AQ91" s="24" t="inlineStr">
        <is>
          <t>eSuba</t>
        </is>
      </c>
      <c r="AR91" s="24" t="inlineStr">
        <is>
          <t>eSuba</t>
        </is>
      </c>
      <c r="AS91" s="24" t="inlineStr">
        <is>
          <t>GamersLab Esports</t>
        </is>
      </c>
      <c r="AT91" s="24" t="inlineStr">
        <is>
          <t>GamersLab Esports</t>
        </is>
      </c>
      <c r="AU91" s="24" t="inlineStr">
        <is>
          <t>GamersLab Esports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5ed7c189c90211b472ec0214d2b7901a8b9cb103b2be3f5519c68e215b46057f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5ed7c189c90211b472ec0214d2b7901a8b9cb103b2be3f5519c68e215b46057f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2026-08-05T10:46:28.177264Z</t>
        </is>
      </c>
      <c r="BI91" s="24" t="inlineStr">
        <is>
          <t>["same_event","same_team_same_day","same_league_same_day"]</t>
        </is>
      </c>
      <c r="BJ91" s="25" t="n"/>
      <c r="BK91" s="26" t="n">
        <v>-170</v>
      </c>
      <c r="BL91" s="27" t="n">
        <v>1.588235</v>
      </c>
      <c r="BM91" s="28" t="n">
        <v>0.62963</v>
      </c>
      <c r="BN91" s="28" t="n"/>
      <c r="BO91" s="28" t="n"/>
      <c r="BP91" s="25" t="n"/>
      <c r="BQ91" s="27" t="n">
        <v>1.588235</v>
      </c>
      <c r="BR91" s="28" t="n">
        <v>0.63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322751de9d4447e1</t>
        </is>
      </c>
      <c r="B92" s="24" t="inlineStr">
        <is>
          <t>2026-08-05T10:47:03.473375Z</t>
        </is>
      </c>
      <c r="C92" s="24" t="inlineStr">
        <is>
          <t>2026-08-05T11:00:00Z</t>
        </is>
      </c>
      <c r="D92" s="24" t="inlineStr">
        <is>
          <t>72486</t>
        </is>
      </c>
      <c r="E92" s="24" t="inlineStr">
        <is>
          <t>CS2</t>
        </is>
      </c>
      <c r="F92" s="24" t="inlineStr">
        <is>
          <t>Rune Eaters</t>
        </is>
      </c>
      <c r="G92" s="24" t="inlineStr">
        <is>
          <t>Butterfly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0.545533</v>
      </c>
      <c r="P92" s="28" t="n"/>
      <c r="Q92" s="28" t="n">
        <v>-0.034299</v>
      </c>
      <c r="R92" s="26" t="n">
        <v>3</v>
      </c>
      <c r="S92" s="29" t="n">
        <v>1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-138</v>
      </c>
      <c r="AA92" s="28" t="n">
        <v>0.58</v>
      </c>
      <c r="AB92" s="28" t="n">
        <v>0.000168</v>
      </c>
      <c r="AC92" s="30" t="n">
        <v>0.7246</v>
      </c>
      <c r="AD92" s="24" t="inlineStr">
        <is>
          <t>2026-08-05T13:50:31.884244Z</t>
        </is>
      </c>
      <c r="AE92" s="31" t="inlineStr">
        <is>
          <t>Neutral Elo baseline; executable ask 0.5800 (market_slug=aec-cs2-btf-re-2026-08-05).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NO_CALL_LOW_EDGE</t>
        </is>
      </c>
      <c r="AP92" s="24" t="inlineStr">
        <is>
          <t>Rune Eaters</t>
        </is>
      </c>
      <c r="AQ92" s="24" t="inlineStr">
        <is>
          <t>Rune Eaters</t>
        </is>
      </c>
      <c r="AR92" s="24" t="inlineStr">
        <is>
          <t>Rune Eaters</t>
        </is>
      </c>
      <c r="AS92" s="24" t="inlineStr">
        <is>
          <t>Butterfly</t>
        </is>
      </c>
      <c r="AT92" s="24" t="inlineStr">
        <is>
          <t>Butterfly</t>
        </is>
      </c>
      <c r="AU92" s="24" t="inlineStr">
        <is>
          <t>Butterfly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5ed7c189c90211b472ec0214d2b7901a8b9cb103b2be3f5519c68e215b46057f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5ed7c189c90211b472ec0214d2b7901a8b9cb103b2be3f5519c68e215b46057f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2026-08-05T10:46:28.788366Z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>
        <v>1.724638</v>
      </c>
      <c r="BR92" s="28" t="n">
        <v>0.58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</row>
    <row r="93" ht="36" customHeight="1">
      <c r="A93" s="24" t="inlineStr">
        <is>
          <t>e881091349344cd7</t>
        </is>
      </c>
      <c r="B93" s="24" t="inlineStr">
        <is>
          <t>2026-08-05T10:47:03.473375Z</t>
        </is>
      </c>
      <c r="C93" s="24" t="inlineStr">
        <is>
          <t>2026-08-05T11:00:00Z</t>
        </is>
      </c>
      <c r="D93" s="24" t="inlineStr">
        <is>
          <t>71199</t>
        </is>
      </c>
      <c r="E93" s="24" t="inlineStr">
        <is>
          <t>CS2</t>
        </is>
      </c>
      <c r="F93" s="24" t="inlineStr">
        <is>
          <t>ex-RUSTEC</t>
        </is>
      </c>
      <c r="G93" s="24" t="inlineStr">
        <is>
          <t>Butterfly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122</v>
      </c>
      <c r="M93" s="27" t="n">
        <v>2.22</v>
      </c>
      <c r="N93" s="28" t="n">
        <v>0.45045</v>
      </c>
      <c r="O93" s="28" t="n">
        <v>0.521475</v>
      </c>
      <c r="P93" s="28" t="n"/>
      <c r="Q93" s="28" t="n">
        <v>0.071025</v>
      </c>
      <c r="R93" s="26" t="n">
        <v>56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0</v>
      </c>
      <c r="X93" s="26" t="n">
        <v>1</v>
      </c>
      <c r="Y93" s="25" t="n"/>
      <c r="Z93" s="26" t="n">
        <v>122</v>
      </c>
      <c r="AA93" s="28" t="n">
        <v>0.45</v>
      </c>
      <c r="AB93" s="28" t="n">
        <v>-0.00045</v>
      </c>
      <c r="AC93" s="30" t="n">
        <v>-1</v>
      </c>
      <c r="AD93" s="24" t="inlineStr">
        <is>
          <t>2026-08-06T00:20:54.582403Z</t>
        </is>
      </c>
      <c r="AE93" s="31" t="inlineStr">
        <is>
          <t>Neutral Elo baseline; executable ask 0.4500 (market_slug=aec-cs2-btf-erx-2026-08-05).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NO_CALL_LOW_EDGE</t>
        </is>
      </c>
      <c r="AP93" s="24" t="inlineStr">
        <is>
          <t>ex-RUSTEC</t>
        </is>
      </c>
      <c r="AQ93" s="24" t="inlineStr">
        <is>
          <t>ex-RUSTEC</t>
        </is>
      </c>
      <c r="AR93" s="24" t="inlineStr">
        <is>
          <t>ex-RUSTEC</t>
        </is>
      </c>
      <c r="AS93" s="24" t="inlineStr">
        <is>
          <t>Butterfly</t>
        </is>
      </c>
      <c r="AT93" s="24" t="inlineStr">
        <is>
          <t>Butterfly</t>
        </is>
      </c>
      <c r="AU93" s="24" t="inlineStr">
        <is>
          <t>Butterfly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5ed7c189c90211b472ec0214d2b7901a8b9cb103b2be3f5519c68e215b46057f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5ed7c189c90211b472ec0214d2b7901a8b9cb103b2be3f5519c68e215b46057f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2026-08-05T10:46:29.302001Z</t>
        </is>
      </c>
      <c r="BI93" s="24" t="inlineStr">
        <is>
          <t>["same_event","same_team_same_day","same_league_same_day"]</t>
        </is>
      </c>
      <c r="BJ93" s="25" t="n"/>
      <c r="BK93" s="26" t="n">
        <v>122</v>
      </c>
      <c r="BL93" s="27" t="n">
        <v>2.22</v>
      </c>
      <c r="BM93" s="28" t="n">
        <v>0.45045</v>
      </c>
      <c r="BN93" s="28" t="n"/>
      <c r="BO93" s="28" t="n"/>
      <c r="BP93" s="25" t="n"/>
      <c r="BQ93" s="27" t="n">
        <v>2.22</v>
      </c>
      <c r="BR93" s="28" t="n">
        <v>0.45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193c1e08ce064b05</t>
        </is>
      </c>
      <c r="B94" s="24" t="inlineStr">
        <is>
          <t>2026-08-05T10:47:03.473375Z</t>
        </is>
      </c>
      <c r="C94" s="24" t="inlineStr">
        <is>
          <t>2026-08-05T11:00:00Z</t>
        </is>
      </c>
      <c r="D94" s="24" t="inlineStr">
        <is>
          <t>71975</t>
        </is>
      </c>
      <c r="E94" s="24" t="inlineStr">
        <is>
          <t>CS2</t>
        </is>
      </c>
      <c r="F94" s="24" t="inlineStr">
        <is>
          <t>GenOne</t>
        </is>
      </c>
      <c r="G94" s="24" t="inlineStr">
        <is>
          <t>Sashi Esport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0.529077</v>
      </c>
      <c r="P94" s="28" t="n"/>
      <c r="Q94" s="28" t="n">
        <v>0.188941</v>
      </c>
      <c r="R94" s="26" t="n">
        <v>100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>
        <v>-104</v>
      </c>
      <c r="AA94" s="28" t="n">
        <v>0.51</v>
      </c>
      <c r="AB94" s="28" t="n">
        <v>0.169864</v>
      </c>
      <c r="AC94" s="30" t="n">
        <v>-1</v>
      </c>
      <c r="AD94" s="24" t="inlineStr">
        <is>
          <t>2026-08-05T13:50:35.412528Z</t>
        </is>
      </c>
      <c r="AE94" s="31" t="inlineStr">
        <is>
          <t>Neutral Elo baseline; executable ask 0.3400 (market_slug=aec-cs2-sashi-g1-2026-08-05).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NO_CALL_LOW_EDGE</t>
        </is>
      </c>
      <c r="AP94" s="24" t="inlineStr">
        <is>
          <t>GenOne</t>
        </is>
      </c>
      <c r="AQ94" s="24" t="inlineStr">
        <is>
          <t>GenOne</t>
        </is>
      </c>
      <c r="AR94" s="24" t="inlineStr">
        <is>
          <t>GenOne</t>
        </is>
      </c>
      <c r="AS94" s="24" t="inlineStr">
        <is>
          <t>Sashi Esport</t>
        </is>
      </c>
      <c r="AT94" s="24" t="inlineStr">
        <is>
          <t>Sashi Esport</t>
        </is>
      </c>
      <c r="AU94" s="24" t="inlineStr">
        <is>
          <t>Sashi Esport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5ed7c189c90211b472ec0214d2b7901a8b9cb103b2be3f5519c68e215b46057f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5ed7c189c90211b472ec0214d2b7901a8b9cb103b2be3f5519c68e215b46057f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2026-08-05T10:46:30.502188Z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1.961538</v>
      </c>
      <c r="BR94" s="28" t="n">
        <v>0.51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8c0b7af9667a48e5</t>
        </is>
      </c>
      <c r="B95" s="24" t="inlineStr">
        <is>
          <t>2026-08-05T10:47:03.473375Z</t>
        </is>
      </c>
      <c r="C95" s="24" t="inlineStr">
        <is>
          <t>2026-08-05T11:00:00Z</t>
        </is>
      </c>
      <c r="D95" s="24" t="inlineStr">
        <is>
          <t>69555</t>
        </is>
      </c>
      <c r="E95" s="24" t="inlineStr">
        <is>
          <t>CS2</t>
        </is>
      </c>
      <c r="F95" s="24" t="inlineStr">
        <is>
          <t>PCH3LK1N Club</t>
        </is>
      </c>
      <c r="G95" s="24" t="inlineStr">
        <is>
          <t>Lixxx Club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-163</v>
      </c>
      <c r="M95" s="27" t="n">
        <v>1.613497</v>
      </c>
      <c r="N95" s="28" t="n">
        <v>0.619772</v>
      </c>
      <c r="O95" s="28" t="n">
        <v>0.515116</v>
      </c>
      <c r="P95" s="28" t="n"/>
      <c r="Q95" s="28" t="n">
        <v>-0.104656</v>
      </c>
      <c r="R95" s="26" t="n">
        <v>0</v>
      </c>
      <c r="S95" s="29" t="n">
        <v>1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-163</v>
      </c>
      <c r="AA95" s="28" t="n">
        <v>0.62</v>
      </c>
      <c r="AB95" s="28" t="n">
        <v>0.000228</v>
      </c>
      <c r="AC95" s="30" t="n">
        <v>0.6135</v>
      </c>
      <c r="AD95" s="24" t="inlineStr">
        <is>
          <t>2026-08-05T13:50:37.712767Z</t>
        </is>
      </c>
      <c r="AE95" s="31" t="inlineStr">
        <is>
          <t>Neutral Elo baseline; executable ask 0.6200 (market_slug=aec-cs2-lci-plnc-2026-08-05).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PCH3LK1N Club</t>
        </is>
      </c>
      <c r="AQ95" s="24" t="inlineStr">
        <is>
          <t>PCH3LK1N Club</t>
        </is>
      </c>
      <c r="AR95" s="24" t="inlineStr">
        <is>
          <t>PCH3LK1N Club</t>
        </is>
      </c>
      <c r="AS95" s="24" t="inlineStr">
        <is>
          <t>Lixxx Club</t>
        </is>
      </c>
      <c r="AT95" s="24" t="inlineStr">
        <is>
          <t>Lixxx Club</t>
        </is>
      </c>
      <c r="AU95" s="24" t="inlineStr">
        <is>
          <t>Lixxx Club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5ed7c189c90211b472ec0214d2b7901a8b9cb103b2be3f5519c68e215b46057f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5ed7c189c90211b472ec0214d2b7901a8b9cb103b2be3f5519c68e215b46057f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2026-08-05T10:46:31.991229Z</t>
        </is>
      </c>
      <c r="BI95" s="24" t="inlineStr">
        <is>
          <t>["same_event","same_team_same_day","same_league_same_day"]</t>
        </is>
      </c>
      <c r="BJ95" s="25" t="n"/>
      <c r="BK95" s="26" t="n">
        <v>-163</v>
      </c>
      <c r="BL95" s="27" t="n">
        <v>1.613497</v>
      </c>
      <c r="BM95" s="28" t="n">
        <v>0.619772</v>
      </c>
      <c r="BN95" s="28" t="n"/>
      <c r="BO95" s="28" t="n"/>
      <c r="BP95" s="25" t="n"/>
      <c r="BQ95" s="27" t="n">
        <v>1.613497</v>
      </c>
      <c r="BR95" s="28" t="n">
        <v>0.62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</row>
    <row r="96" ht="36" customHeight="1">
      <c r="A96" s="24" t="inlineStr">
        <is>
          <t>765eac422c0740c0</t>
        </is>
      </c>
      <c r="B96" s="24" t="inlineStr">
        <is>
          <t>2026-08-05T10:47:03.473375Z</t>
        </is>
      </c>
      <c r="C96" s="24" t="inlineStr">
        <is>
          <t>2026-08-05T13:00:00Z</t>
        </is>
      </c>
      <c r="D96" s="24" t="inlineStr">
        <is>
          <t>72334</t>
        </is>
      </c>
      <c r="E96" s="24" t="inlineStr">
        <is>
          <t>CS2</t>
        </is>
      </c>
      <c r="F96" s="24" t="inlineStr">
        <is>
          <t>fnatic</t>
        </is>
      </c>
      <c r="G96" s="24" t="inlineStr">
        <is>
          <t>Liquid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-194</v>
      </c>
      <c r="M96" s="27" t="n">
        <v>1.515464</v>
      </c>
      <c r="N96" s="28" t="n">
        <v>0.659864</v>
      </c>
      <c r="O96" s="28" t="n">
        <v>0.552515</v>
      </c>
      <c r="P96" s="28" t="n"/>
      <c r="Q96" s="28" t="n">
        <v>-0.107349</v>
      </c>
      <c r="R96" s="26" t="n">
        <v>0</v>
      </c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-194</v>
      </c>
      <c r="AA96" s="28" t="n">
        <v>0.66</v>
      </c>
      <c r="AB96" s="28" t="n">
        <v>0.000136</v>
      </c>
      <c r="AC96" s="30" t="n">
        <v>0.5155</v>
      </c>
      <c r="AD96" s="24" t="inlineStr">
        <is>
          <t>2026-08-05T16:59:54.042841Z</t>
        </is>
      </c>
      <c r="AE96" s="31" t="inlineStr">
        <is>
          <t>Neutral Elo baseline; executable ask 0.6600 (market_slug=aec-cs2-tl-fnc-2026-08-05).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fnatic</t>
        </is>
      </c>
      <c r="AQ96" s="24" t="inlineStr">
        <is>
          <t>fnatic</t>
        </is>
      </c>
      <c r="AR96" s="24" t="inlineStr">
        <is>
          <t>fnatic</t>
        </is>
      </c>
      <c r="AS96" s="24" t="inlineStr">
        <is>
          <t>Liquid</t>
        </is>
      </c>
      <c r="AT96" s="24" t="inlineStr">
        <is>
          <t>Liquid</t>
        </is>
      </c>
      <c r="AU96" s="24" t="inlineStr">
        <is>
          <t>Liquid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5ed7c189c90211b472ec0214d2b7901a8b9cb103b2be3f5519c68e215b46057f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5ed7c189c90211b472ec0214d2b7901a8b9cb103b2be3f5519c68e215b46057f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2026-08-05T10:46:32.599387Z</t>
        </is>
      </c>
      <c r="BI96" s="24" t="inlineStr">
        <is>
          <t>["same_event","same_team_same_day","same_league_same_day"]</t>
        </is>
      </c>
      <c r="BJ96" s="25" t="n"/>
      <c r="BK96" s="26" t="n">
        <v>-194</v>
      </c>
      <c r="BL96" s="27" t="n">
        <v>1.515464</v>
      </c>
      <c r="BM96" s="28" t="n">
        <v>0.659864</v>
      </c>
      <c r="BN96" s="28" t="n"/>
      <c r="BO96" s="28" t="n"/>
      <c r="BP96" s="25" t="n"/>
      <c r="BQ96" s="27" t="n">
        <v>1.515464</v>
      </c>
      <c r="BR96" s="28" t="n">
        <v>0.66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</row>
    <row r="97" ht="36" customHeight="1">
      <c r="A97" s="24" t="inlineStr">
        <is>
          <t>38edc39025d94d15</t>
        </is>
      </c>
      <c r="B97" s="24" t="inlineStr">
        <is>
          <t>2026-08-05T10:47:03.473375Z</t>
        </is>
      </c>
      <c r="C97" s="24" t="inlineStr">
        <is>
          <t>2026-08-05T13:45:00Z</t>
        </is>
      </c>
      <c r="D97" s="24" t="inlineStr">
        <is>
          <t>69615</t>
        </is>
      </c>
      <c r="E97" s="24" t="inlineStr">
        <is>
          <t>CS2</t>
        </is>
      </c>
      <c r="F97" s="24" t="inlineStr">
        <is>
          <t>shoke Club</t>
        </is>
      </c>
      <c r="G97" s="24" t="inlineStr">
        <is>
          <t>Lixxx Club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138</v>
      </c>
      <c r="M97" s="27" t="n">
        <v>2.38</v>
      </c>
      <c r="N97" s="28" t="n">
        <v>0.420168</v>
      </c>
      <c r="O97" s="28" t="n">
        <v>0.515116</v>
      </c>
      <c r="P97" s="28" t="n"/>
      <c r="Q97" s="28" t="n">
        <v>0.094948</v>
      </c>
      <c r="R97" s="26" t="n">
        <v>67</v>
      </c>
      <c r="S97" s="29" t="n">
        <v>1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138</v>
      </c>
      <c r="AA97" s="28" t="n">
        <v>0.42</v>
      </c>
      <c r="AB97" s="28" t="n">
        <v>-0.000168</v>
      </c>
      <c r="AC97" s="30" t="n">
        <v>-1</v>
      </c>
      <c r="AD97" s="24" t="inlineStr">
        <is>
          <t>2026-08-05T16:59:55.863506Z</t>
        </is>
      </c>
      <c r="AE97" s="31" t="inlineStr">
        <is>
          <t>Neutral Elo baseline; executable ask 0.4200 (market_slug=aec-cs2-lci-sch-2026-08-05).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shoke Club</t>
        </is>
      </c>
      <c r="AQ97" s="24" t="inlineStr">
        <is>
          <t>shoke Club</t>
        </is>
      </c>
      <c r="AR97" s="24" t="inlineStr">
        <is>
          <t>shoke Club</t>
        </is>
      </c>
      <c r="AS97" s="24" t="inlineStr">
        <is>
          <t>Lixxx Club</t>
        </is>
      </c>
      <c r="AT97" s="24" t="inlineStr">
        <is>
          <t>Lixxx Club</t>
        </is>
      </c>
      <c r="AU97" s="24" t="inlineStr">
        <is>
          <t>Lixxx Club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5ed7c189c90211b472ec0214d2b7901a8b9cb103b2be3f5519c68e215b46057f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5ed7c189c90211b472ec0214d2b7901a8b9cb103b2be3f5519c68e215b46057f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2026-08-05T10:46:33.195221Z</t>
        </is>
      </c>
      <c r="BI97" s="24" t="inlineStr">
        <is>
          <t>["same_event","same_team_same_day","same_league_same_day"]</t>
        </is>
      </c>
      <c r="BJ97" s="25" t="n"/>
      <c r="BK97" s="26" t="n">
        <v>138</v>
      </c>
      <c r="BL97" s="27" t="n">
        <v>2.38</v>
      </c>
      <c r="BM97" s="28" t="n">
        <v>0.420168</v>
      </c>
      <c r="BN97" s="28" t="n"/>
      <c r="BO97" s="28" t="n"/>
      <c r="BP97" s="25" t="n"/>
      <c r="BQ97" s="27" t="n">
        <v>2.38</v>
      </c>
      <c r="BR97" s="28" t="n">
        <v>0.42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</row>
    <row r="98" ht="36" customHeight="1">
      <c r="A98" s="24" t="inlineStr">
        <is>
          <t>7af625b93ed44c22</t>
        </is>
      </c>
      <c r="B98" s="24" t="inlineStr">
        <is>
          <t>2026-08-05T10:47:03.473375Z</t>
        </is>
      </c>
      <c r="C98" s="24" t="inlineStr">
        <is>
          <t>2026-08-05T13:45:00Z</t>
        </is>
      </c>
      <c r="D98" s="24" t="inlineStr">
        <is>
          <t>69614</t>
        </is>
      </c>
      <c r="E98" s="24" t="inlineStr">
        <is>
          <t>CS2</t>
        </is>
      </c>
      <c r="F98" s="24" t="inlineStr">
        <is>
          <t>WorldEdit Club</t>
        </is>
      </c>
      <c r="G98" s="24" t="inlineStr">
        <is>
          <t>SNAILKICK Club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203</v>
      </c>
      <c r="M98" s="27" t="n">
        <v>3.03</v>
      </c>
      <c r="N98" s="28" t="n">
        <v>0.330033</v>
      </c>
      <c r="O98" s="28" t="n">
        <v>0.515116</v>
      </c>
      <c r="P98" s="28" t="n"/>
      <c r="Q98" s="28" t="n">
        <v>0.185083</v>
      </c>
      <c r="R98" s="26" t="n">
        <v>100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203</v>
      </c>
      <c r="AA98" s="28" t="n">
        <v>0.33</v>
      </c>
      <c r="AB98" s="28" t="n">
        <v>-3.3e-05</v>
      </c>
      <c r="AC98" s="30" t="n">
        <v>2.03</v>
      </c>
      <c r="AD98" s="24" t="inlineStr">
        <is>
          <t>2026-08-06T18:54:27.910276Z</t>
        </is>
      </c>
      <c r="AE98" s="31" t="inlineStr">
        <is>
          <t>Neutral Elo baseline; executable ask 0.3300 (market_slug=aec-cs2-scn-wco-2026-08-05).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WorldEdit Club</t>
        </is>
      </c>
      <c r="AQ98" s="24" t="inlineStr">
        <is>
          <t>WorldEdit Club</t>
        </is>
      </c>
      <c r="AR98" s="24" t="inlineStr">
        <is>
          <t>WorldEdit Club</t>
        </is>
      </c>
      <c r="AS98" s="24" t="inlineStr">
        <is>
          <t>SNAILKICK Club</t>
        </is>
      </c>
      <c r="AT98" s="24" t="inlineStr">
        <is>
          <t>SNAILKICK Club</t>
        </is>
      </c>
      <c r="AU98" s="24" t="inlineStr">
        <is>
          <t>SNAILKICK Club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5ed7c189c90211b472ec0214d2b7901a8b9cb103b2be3f5519c68e215b46057f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5ed7c189c90211b472ec0214d2b7901a8b9cb103b2be3f5519c68e215b46057f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2026-08-05T10:46:33.954307Z</t>
        </is>
      </c>
      <c r="BI98" s="24" t="inlineStr">
        <is>
          <t>["same_event","same_team_same_day","same_league_same_day"]</t>
        </is>
      </c>
      <c r="BJ98" s="25" t="n"/>
      <c r="BK98" s="26" t="n">
        <v>203</v>
      </c>
      <c r="BL98" s="27" t="n">
        <v>3.03</v>
      </c>
      <c r="BM98" s="28" t="n">
        <v>0.330033</v>
      </c>
      <c r="BN98" s="28" t="n"/>
      <c r="BO98" s="28" t="n"/>
      <c r="BP98" s="25" t="n"/>
      <c r="BQ98" s="27" t="n">
        <v>3.03</v>
      </c>
      <c r="BR98" s="28" t="n">
        <v>0.33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341ba464029848c6</t>
        </is>
      </c>
      <c r="B99" s="24" t="inlineStr">
        <is>
          <t>2026-08-05T13:56:36.539226Z</t>
        </is>
      </c>
      <c r="C99" s="24" t="inlineStr">
        <is>
          <t>2026-08-05T14:00:00Z</t>
        </is>
      </c>
      <c r="D99" s="24" t="inlineStr">
        <is>
          <t>69616</t>
        </is>
      </c>
      <c r="E99" s="24" t="inlineStr">
        <is>
          <t>CS2</t>
        </is>
      </c>
      <c r="F99" s="24" t="inlineStr">
        <is>
          <t>eSuba</t>
        </is>
      </c>
      <c r="G99" s="24" t="inlineStr">
        <is>
          <t>JAM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178</v>
      </c>
      <c r="M99" s="27" t="n">
        <v>2.78</v>
      </c>
      <c r="N99" s="28" t="n">
        <v>0.359712</v>
      </c>
      <c r="O99" s="28" t="n">
        <v>0.522299</v>
      </c>
      <c r="P99" s="28" t="n"/>
      <c r="Q99" s="28" t="n">
        <v>0.162587</v>
      </c>
      <c r="R99" s="26" t="n">
        <v>100</v>
      </c>
      <c r="S99" s="29" t="n">
        <v>1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0</v>
      </c>
      <c r="X99" s="26" t="n">
        <v>1</v>
      </c>
      <c r="Y99" s="25" t="n"/>
      <c r="Z99" s="26" t="n">
        <v>178</v>
      </c>
      <c r="AA99" s="28" t="n">
        <v>0.36</v>
      </c>
      <c r="AB99" s="28" t="n">
        <v>0.000288</v>
      </c>
      <c r="AC99" s="30" t="n">
        <v>-1</v>
      </c>
      <c r="AD99" s="24" t="inlineStr">
        <is>
          <t>2026-08-05T16:59:58.766587Z</t>
        </is>
      </c>
      <c r="AE99" s="31" t="inlineStr">
        <is>
          <t>Neutral Elo baseline; executable ask 0.3600 (market_slug=aec-cs2-jam-esb-2026-08-05).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eSuba</t>
        </is>
      </c>
      <c r="AQ99" s="24" t="inlineStr">
        <is>
          <t>eSuba</t>
        </is>
      </c>
      <c r="AR99" s="24" t="inlineStr">
        <is>
          <t>eSuba</t>
        </is>
      </c>
      <c r="AS99" s="24" t="inlineStr">
        <is>
          <t>JAM</t>
        </is>
      </c>
      <c r="AT99" s="24" t="inlineStr">
        <is>
          <t>JAM</t>
        </is>
      </c>
      <c r="AU99" s="24" t="inlineStr">
        <is>
          <t>JAM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95ef3685860928d3c12125a00cdf074ac4e628138aac112a58082f0ead77ffde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95ef3685860928d3c12125a00cdf074ac4e628138aac112a58082f0ead77ffde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2026-08-05T13:56:10.001216Z</t>
        </is>
      </c>
      <c r="BI99" s="24" t="inlineStr">
        <is>
          <t>["same_event","same_team_same_day","same_league_same_day"]</t>
        </is>
      </c>
      <c r="BJ99" s="25" t="n"/>
      <c r="BK99" s="26" t="n">
        <v>178</v>
      </c>
      <c r="BL99" s="27" t="n">
        <v>2.78</v>
      </c>
      <c r="BM99" s="28" t="n">
        <v>0.359712</v>
      </c>
      <c r="BN99" s="28" t="n"/>
      <c r="BO99" s="28" t="n"/>
      <c r="BP99" s="25" t="n"/>
      <c r="BQ99" s="27" t="n">
        <v>2.78</v>
      </c>
      <c r="BR99" s="28" t="n">
        <v>0.36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e72b5a0d4d164dd0</t>
        </is>
      </c>
      <c r="B100" s="24" t="inlineStr">
        <is>
          <t>2026-08-05T13:56:36.539226Z</t>
        </is>
      </c>
      <c r="C100" s="24" t="inlineStr">
        <is>
          <t>2026-08-05T14:00:00Z</t>
        </is>
      </c>
      <c r="D100" s="24" t="inlineStr">
        <is>
          <t>72488</t>
        </is>
      </c>
      <c r="E100" s="24" t="inlineStr">
        <is>
          <t>CS2</t>
        </is>
      </c>
      <c r="F100" s="24" t="inlineStr">
        <is>
          <t>GenOne</t>
        </is>
      </c>
      <c r="G100" s="24" t="inlineStr">
        <is>
          <t xml:space="preserve">Nordic Partners Gaming 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0.687182</v>
      </c>
      <c r="P100" s="28" t="n"/>
      <c r="Q100" s="28" t="n">
        <v>-0.012518</v>
      </c>
      <c r="R100" s="26" t="n">
        <v>14</v>
      </c>
      <c r="S100" s="29" t="n">
        <v>2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0</v>
      </c>
      <c r="Y100" s="25" t="n"/>
      <c r="Z100" s="26" t="n">
        <v>-233</v>
      </c>
      <c r="AA100" s="28" t="n">
        <v>0.7</v>
      </c>
      <c r="AB100" s="28" t="n">
        <v>0.0003</v>
      </c>
      <c r="AC100" s="30" t="n">
        <v>0.8584000000000001</v>
      </c>
      <c r="AD100" s="24" t="inlineStr">
        <is>
          <t>2026-08-05T17:00:00.574473Z</t>
        </is>
      </c>
      <c r="AE100" s="31" t="inlineStr">
        <is>
          <t>Neutral Elo baseline; executable ask 0.7000 (market_slug=aec-cs2-npg-g1-2026-08-05).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NO_CALL_LOW_EDGE</t>
        </is>
      </c>
      <c r="AP100" s="24" t="inlineStr">
        <is>
          <t>GenOne</t>
        </is>
      </c>
      <c r="AQ100" s="24" t="inlineStr">
        <is>
          <t>GenOne</t>
        </is>
      </c>
      <c r="AR100" s="24" t="inlineStr">
        <is>
          <t>GenOne</t>
        </is>
      </c>
      <c r="AS100" s="24" t="inlineStr">
        <is>
          <t xml:space="preserve">Nordic Partners Gaming </t>
        </is>
      </c>
      <c r="AT100" s="24" t="inlineStr">
        <is>
          <t xml:space="preserve">Nordic Partners Gaming </t>
        </is>
      </c>
      <c r="AU100" s="24" t="inlineStr">
        <is>
          <t xml:space="preserve">Nordic Partners Gaming 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95ef3685860928d3c12125a00cdf074ac4e628138aac112a58082f0ead77ffde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95ef3685860928d3c12125a00cdf074ac4e628138aac112a58082f0ead77ffde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2026-08-05T13:56:10.543011Z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>
        <v>1.429185</v>
      </c>
      <c r="BR100" s="28" t="n">
        <v>0.7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b05fe7e3baa24e9b</t>
        </is>
      </c>
      <c r="B101" s="24" t="inlineStr">
        <is>
          <t>2026-08-05T13:56:36.539226Z</t>
        </is>
      </c>
      <c r="C101" s="24" t="inlineStr">
        <is>
          <t>2026-08-05T16:30:00Z</t>
        </is>
      </c>
      <c r="D101" s="24" t="inlineStr">
        <is>
          <t>72533</t>
        </is>
      </c>
      <c r="E101" s="24" t="inlineStr">
        <is>
          <t>CS2</t>
        </is>
      </c>
      <c r="F101" s="24" t="inlineStr">
        <is>
          <t>XI Esport</t>
        </is>
      </c>
      <c r="G101" s="24" t="inlineStr">
        <is>
          <t>Esport BERG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138</v>
      </c>
      <c r="M101" s="27" t="n">
        <v>2.38</v>
      </c>
      <c r="N101" s="28" t="n">
        <v>0.420168</v>
      </c>
      <c r="O101" s="28" t="n">
        <v>0.633758</v>
      </c>
      <c r="P101" s="28" t="n"/>
      <c r="Q101" s="28" t="n">
        <v>0.21359</v>
      </c>
      <c r="R101" s="26" t="n">
        <v>100</v>
      </c>
      <c r="S101" s="29" t="n">
        <v>1.5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>
        <v>138</v>
      </c>
      <c r="AA101" s="28" t="n">
        <v>0.42</v>
      </c>
      <c r="AB101" s="28" t="n">
        <v>-0.000168</v>
      </c>
      <c r="AC101" s="30" t="n">
        <v>2.07</v>
      </c>
      <c r="AD101" s="24" t="inlineStr">
        <is>
          <t>2026-08-05T20:58:39.035298Z</t>
        </is>
      </c>
      <c r="AE101" s="31" t="inlineStr">
        <is>
          <t>Neutral Elo baseline; executable ask 0.4200 (market_slug=aec-cs2-berg-xi-2026-08-05).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XI Esport</t>
        </is>
      </c>
      <c r="AQ101" s="24" t="inlineStr">
        <is>
          <t>XI Esport</t>
        </is>
      </c>
      <c r="AR101" s="24" t="inlineStr">
        <is>
          <t>XI Esport</t>
        </is>
      </c>
      <c r="AS101" s="24" t="inlineStr">
        <is>
          <t>Esport BERG</t>
        </is>
      </c>
      <c r="AT101" s="24" t="inlineStr">
        <is>
          <t>Esport BERG</t>
        </is>
      </c>
      <c r="AU101" s="24" t="inlineStr">
        <is>
          <t>Esport BERG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95ef3685860928d3c12125a00cdf074ac4e628138aac112a58082f0ead77ffde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95ef3685860928d3c12125a00cdf074ac4e628138aac112a58082f0ead77ffde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2026-08-05T13:56:11.868130Z</t>
        </is>
      </c>
      <c r="BI101" s="24" t="inlineStr">
        <is>
          <t>["same_event","same_team_same_day","same_league_same_day"]</t>
        </is>
      </c>
      <c r="BJ101" s="25" t="n"/>
      <c r="BK101" s="26" t="n">
        <v>138</v>
      </c>
      <c r="BL101" s="27" t="n">
        <v>2.38</v>
      </c>
      <c r="BM101" s="28" t="n">
        <v>0.420168</v>
      </c>
      <c r="BN101" s="28" t="n"/>
      <c r="BO101" s="28" t="n"/>
      <c r="BP101" s="25" t="n"/>
      <c r="BQ101" s="27" t="n">
        <v>2.38</v>
      </c>
      <c r="BR101" s="28" t="n">
        <v>0.42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1a27664be694457f</t>
        </is>
      </c>
      <c r="B102" s="24" t="inlineStr">
        <is>
          <t>2026-08-05T13:56:36.539226Z</t>
        </is>
      </c>
      <c r="C102" s="24" t="inlineStr">
        <is>
          <t>2026-08-05T16:30:00Z</t>
        </is>
      </c>
      <c r="D102" s="24" t="inlineStr">
        <is>
          <t>69845</t>
        </is>
      </c>
      <c r="E102" s="24" t="inlineStr">
        <is>
          <t>CS2</t>
        </is>
      </c>
      <c r="F102" s="24" t="inlineStr">
        <is>
          <t>mokrivskiy Club</t>
        </is>
      </c>
      <c r="G102" s="24" t="inlineStr">
        <is>
          <t>Recrent Club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127</v>
      </c>
      <c r="M102" s="27" t="n">
        <v>2.27</v>
      </c>
      <c r="N102" s="28" t="n">
        <v>0.440529</v>
      </c>
      <c r="O102" s="28" t="n">
        <v>0.514946</v>
      </c>
      <c r="P102" s="28" t="n"/>
      <c r="Q102" s="28" t="n">
        <v>0.074417</v>
      </c>
      <c r="R102" s="26" t="n">
        <v>57</v>
      </c>
      <c r="S102" s="29" t="n">
        <v>1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127</v>
      </c>
      <c r="AA102" s="28" t="n">
        <v>0.44</v>
      </c>
      <c r="AB102" s="28" t="n">
        <v>-0.000529</v>
      </c>
      <c r="AC102" s="30" t="n">
        <v>-1</v>
      </c>
      <c r="AD102" s="24" t="inlineStr">
        <is>
          <t>2026-08-05T20:58:40.870283Z</t>
        </is>
      </c>
      <c r="AE102" s="31" t="inlineStr">
        <is>
          <t>Neutral Elo baseline; executable ask 0.4400 (market_slug=aec-cs2-rce-mco-2026-08-05).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mokrivskiy Club</t>
        </is>
      </c>
      <c r="AQ102" s="24" t="inlineStr">
        <is>
          <t>mokrivskiy Club</t>
        </is>
      </c>
      <c r="AR102" s="24" t="inlineStr">
        <is>
          <t>mokrivskiy Club</t>
        </is>
      </c>
      <c r="AS102" s="24" t="inlineStr">
        <is>
          <t>Recrent Club</t>
        </is>
      </c>
      <c r="AT102" s="24" t="inlineStr">
        <is>
          <t>Recrent Club</t>
        </is>
      </c>
      <c r="AU102" s="24" t="inlineStr">
        <is>
          <t>Recrent Club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95ef3685860928d3c12125a00cdf074ac4e628138aac112a58082f0ead77ffde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95ef3685860928d3c12125a00cdf074ac4e628138aac112a58082f0ead77ffde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2026-08-05T13:56:12.373406Z</t>
        </is>
      </c>
      <c r="BI102" s="24" t="inlineStr">
        <is>
          <t>["same_event","same_team_same_day","same_league_same_day"]</t>
        </is>
      </c>
      <c r="BJ102" s="25" t="n"/>
      <c r="BK102" s="26" t="n">
        <v>127</v>
      </c>
      <c r="BL102" s="27" t="n">
        <v>2.27</v>
      </c>
      <c r="BM102" s="28" t="n">
        <v>0.440529</v>
      </c>
      <c r="BN102" s="28" t="n"/>
      <c r="BO102" s="28" t="n"/>
      <c r="BP102" s="25" t="n"/>
      <c r="BQ102" s="27" t="n">
        <v>2.27</v>
      </c>
      <c r="BR102" s="28" t="n">
        <v>0.44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db62ed66dd9f410a</t>
        </is>
      </c>
      <c r="B103" s="24" t="inlineStr">
        <is>
          <t>2026-08-05T13:56:36.539226Z</t>
        </is>
      </c>
      <c r="C103" s="24" t="inlineStr">
        <is>
          <t>2026-08-05T17:00:00Z</t>
        </is>
      </c>
      <c r="D103" s="24" t="inlineStr">
        <is>
          <t>72534</t>
        </is>
      </c>
      <c r="E103" s="24" t="inlineStr">
        <is>
          <t>CS2</t>
        </is>
      </c>
      <c r="F103" s="24" t="inlineStr">
        <is>
          <t>Spirit Academy Green</t>
        </is>
      </c>
      <c r="G103" s="24" t="inlineStr">
        <is>
          <t>Falcons Force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-170</v>
      </c>
      <c r="M103" s="27" t="n">
        <v>1.588235</v>
      </c>
      <c r="N103" s="28" t="n">
        <v>0.62963</v>
      </c>
      <c r="O103" s="28" t="n">
        <v>0.647084</v>
      </c>
      <c r="P103" s="28" t="n"/>
      <c r="Q103" s="28" t="n">
        <v>0.017454</v>
      </c>
      <c r="R103" s="26" t="n">
        <v>29</v>
      </c>
      <c r="S103" s="29" t="n">
        <v>1.75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-170</v>
      </c>
      <c r="AA103" s="28" t="n">
        <v>0.63</v>
      </c>
      <c r="AB103" s="28" t="n">
        <v>0.00037</v>
      </c>
      <c r="AC103" s="30" t="n">
        <v>1.0294</v>
      </c>
      <c r="AD103" s="24" t="inlineStr">
        <is>
          <t>2026-08-05T20:58:42.701895Z</t>
        </is>
      </c>
      <c r="AE103" s="31" t="inlineStr">
        <is>
          <t>Neutral Elo baseline; executable ask 0.6300 (market_slug=aec-cs2-falf-sag-2026-08-05).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Spirit Academy Green</t>
        </is>
      </c>
      <c r="AQ103" s="24" t="inlineStr">
        <is>
          <t>Spirit Academy Green</t>
        </is>
      </c>
      <c r="AR103" s="24" t="inlineStr">
        <is>
          <t>Spirit Academy Green</t>
        </is>
      </c>
      <c r="AS103" s="24" t="inlineStr">
        <is>
          <t>Falcons Force</t>
        </is>
      </c>
      <c r="AT103" s="24" t="inlineStr">
        <is>
          <t>Falcons Force</t>
        </is>
      </c>
      <c r="AU103" s="24" t="inlineStr">
        <is>
          <t>Falcons Force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95ef3685860928d3c12125a00cdf074ac4e628138aac112a58082f0ead77ffde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95ef3685860928d3c12125a00cdf074ac4e628138aac112a58082f0ead77ffde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2026-08-05T13:56:13.589736Z</t>
        </is>
      </c>
      <c r="BI103" s="24" t="inlineStr">
        <is>
          <t>["same_event","same_team_same_day","same_league_same_day"]</t>
        </is>
      </c>
      <c r="BJ103" s="25" t="n"/>
      <c r="BK103" s="26" t="n">
        <v>-170</v>
      </c>
      <c r="BL103" s="27" t="n">
        <v>1.588235</v>
      </c>
      <c r="BM103" s="28" t="n">
        <v>0.62963</v>
      </c>
      <c r="BN103" s="28" t="n"/>
      <c r="BO103" s="28" t="n"/>
      <c r="BP103" s="25" t="n"/>
      <c r="BQ103" s="27" t="n">
        <v>1.588235</v>
      </c>
      <c r="BR103" s="28" t="n">
        <v>0.63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</row>
    <row r="104" ht="36" customHeight="1">
      <c r="A104" s="24" t="inlineStr">
        <is>
          <t>57d992b149ba4ba2</t>
        </is>
      </c>
      <c r="B104" s="24" t="inlineStr">
        <is>
          <t>2026-08-05T13:56:36.539226Z</t>
        </is>
      </c>
      <c r="C104" s="24" t="inlineStr">
        <is>
          <t>2026-08-05T17:00:00Z</t>
        </is>
      </c>
      <c r="D104" s="24" t="inlineStr">
        <is>
          <t>69868</t>
        </is>
      </c>
      <c r="E104" s="24" t="inlineStr">
        <is>
          <t>CS2</t>
        </is>
      </c>
      <c r="F104" s="24" t="inlineStr">
        <is>
          <t>eSuba</t>
        </is>
      </c>
      <c r="G104" s="24" t="inlineStr">
        <is>
          <t>maybe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0.565101</v>
      </c>
      <c r="P104" s="28" t="n"/>
      <c r="Q104" s="28" t="n">
        <v>-0.014731</v>
      </c>
      <c r="R104" s="26" t="n">
        <v>13</v>
      </c>
      <c r="S104" s="29" t="n">
        <v>1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-138</v>
      </c>
      <c r="AA104" s="28" t="n">
        <v>0.58</v>
      </c>
      <c r="AB104" s="28" t="n">
        <v>0.000168</v>
      </c>
      <c r="AC104" s="30" t="n">
        <v>-1</v>
      </c>
      <c r="AD104" s="24" t="inlineStr">
        <is>
          <t>2026-08-05T20:58:44.581561Z</t>
        </is>
      </c>
      <c r="AE104" s="31" t="inlineStr">
        <is>
          <t>Neutral Elo baseline; executable ask 0.5800 (market_slug=aec-cs2-maybe-esb-2026-08-05).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eSuba</t>
        </is>
      </c>
      <c r="AQ104" s="24" t="inlineStr">
        <is>
          <t>eSuba</t>
        </is>
      </c>
      <c r="AR104" s="24" t="inlineStr">
        <is>
          <t>eSuba</t>
        </is>
      </c>
      <c r="AS104" s="24" t="inlineStr">
        <is>
          <t>maybe</t>
        </is>
      </c>
      <c r="AT104" s="24" t="inlineStr">
        <is>
          <t>maybe</t>
        </is>
      </c>
      <c r="AU104" s="24" t="inlineStr">
        <is>
          <t>maybe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95ef3685860928d3c12125a00cdf074ac4e628138aac112a58082f0ead77ffde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95ef3685860928d3c12125a00cdf074ac4e628138aac112a58082f0ead77ffde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2026-08-05T13:56:15.700409Z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>
        <v>1.724638</v>
      </c>
      <c r="BR104" s="28" t="n">
        <v>0.58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84e9848b09a0407e</t>
        </is>
      </c>
      <c r="B105" s="24" t="inlineStr">
        <is>
          <t>2026-08-05T17:05:00.161606Z</t>
        </is>
      </c>
      <c r="C105" s="24" t="inlineStr">
        <is>
          <t>2026-08-05T18:00:00Z</t>
        </is>
      </c>
      <c r="D105" s="24" t="inlineStr">
        <is>
          <t>72536</t>
        </is>
      </c>
      <c r="E105" s="24" t="inlineStr">
        <is>
          <t>CS2</t>
        </is>
      </c>
      <c r="F105" s="24" t="inlineStr">
        <is>
          <t>FAST LAYNERS</t>
        </is>
      </c>
      <c r="G105" s="24" t="inlineStr">
        <is>
          <t>TEAM_COPH9K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0.553017</v>
      </c>
      <c r="P105" s="28" t="n"/>
      <c r="Q105" s="28" t="n">
        <v>-0.026815</v>
      </c>
      <c r="R105" s="26" t="n">
        <v>7</v>
      </c>
      <c r="S105" s="29" t="n">
        <v>0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push</t>
        </is>
      </c>
      <c r="W105" s="26" t="n"/>
      <c r="X105" s="26" t="n"/>
      <c r="Y105" s="25" t="n"/>
      <c r="Z105" s="26" t="n"/>
      <c r="AA105" s="28" t="n"/>
      <c r="AB105" s="28" t="n"/>
      <c r="AC105" s="30" t="n">
        <v>0</v>
      </c>
      <c r="AD105" s="24" t="inlineStr">
        <is>
          <t>2026-08-05T20:58:46.322014Z</t>
        </is>
      </c>
      <c r="AE105" s="31" t="inlineStr">
        <is>
          <t>Neutral Elo baseline; executable ask 0.5800 (market_slug=aec-cs2-tck-fla-2026-08-05).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NO_CALL_WINNER_OVERVALUED</t>
        </is>
      </c>
      <c r="AP105" s="24" t="inlineStr">
        <is>
          <t>FAST LAYNERS</t>
        </is>
      </c>
      <c r="AQ105" s="24" t="inlineStr">
        <is>
          <t>FAST LAYNERS</t>
        </is>
      </c>
      <c r="AR105" s="24" t="inlineStr">
        <is>
          <t>FAST LAYNERS</t>
        </is>
      </c>
      <c r="AS105" s="24" t="inlineStr">
        <is>
          <t>TEAM_COPH9K</t>
        </is>
      </c>
      <c r="AT105" s="24" t="inlineStr">
        <is>
          <t>TEAM_COPH9K</t>
        </is>
      </c>
      <c r="AU105" s="24" t="inlineStr">
        <is>
          <t>TEAM_COPH9K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19e41252784d7f0fb30ba60bf91a0e18dad6024caa2bc77a8c0649a56dcc9142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19e41252784d7f0fb30ba60bf91a0e18dad6024caa2bc77a8c0649a56dcc9142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2026-08-05T17:04:41.422389Z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inlineStr">
        <is>
          <t>esports market settled to a non-binary price (forfeit/postponement per market rules)</t>
        </is>
      </c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</row>
    <row r="106" ht="36" customHeight="1">
      <c r="A106" s="24" t="inlineStr">
        <is>
          <t>de376275ea8b4f90</t>
        </is>
      </c>
      <c r="B106" s="24" t="inlineStr">
        <is>
          <t>2026-08-05T17:05:00.161606Z</t>
        </is>
      </c>
      <c r="C106" s="24" t="inlineStr">
        <is>
          <t>2026-08-05T18:00:00Z</t>
        </is>
      </c>
      <c r="D106" s="24" t="inlineStr">
        <is>
          <t>72535</t>
        </is>
      </c>
      <c r="E106" s="24" t="inlineStr">
        <is>
          <t>CS2</t>
        </is>
      </c>
      <c r="F106" s="24" t="inlineStr">
        <is>
          <t>Falcons Force</t>
        </is>
      </c>
      <c r="G106" s="24" t="inlineStr">
        <is>
          <t>Privateer Gaming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-233</v>
      </c>
      <c r="M106" s="27" t="n">
        <v>1.429185</v>
      </c>
      <c r="N106" s="28" t="n">
        <v>0.6997</v>
      </c>
      <c r="O106" s="28" t="n">
        <v>0.513164</v>
      </c>
      <c r="P106" s="28" t="n"/>
      <c r="Q106" s="28" t="n">
        <v>-0.186536</v>
      </c>
      <c r="R106" s="26" t="n">
        <v>0</v>
      </c>
      <c r="S106" s="29" t="n">
        <v>0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-233</v>
      </c>
      <c r="AA106" s="28" t="n">
        <v>0.7</v>
      </c>
      <c r="AB106" s="28" t="n">
        <v>0.0003</v>
      </c>
      <c r="AC106" s="30" t="n">
        <v>0</v>
      </c>
      <c r="AD106" s="24" t="inlineStr">
        <is>
          <t>2026-08-05T20:58:47.818217Z</t>
        </is>
      </c>
      <c r="AE106" s="31" t="inlineStr">
        <is>
          <t>Neutral Elo baseline; executable ask 0.7000 (market_slug=aec-cs2-pg-falf-2026-08-05).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NO_CALL_WINNER_OVERVALUED</t>
        </is>
      </c>
      <c r="AP106" s="24" t="inlineStr">
        <is>
          <t>Falcons Force</t>
        </is>
      </c>
      <c r="AQ106" s="24" t="inlineStr">
        <is>
          <t>Falcons Force</t>
        </is>
      </c>
      <c r="AR106" s="24" t="inlineStr">
        <is>
          <t>Falcons Force</t>
        </is>
      </c>
      <c r="AS106" s="24" t="inlineStr">
        <is>
          <t>Privateer Gaming</t>
        </is>
      </c>
      <c r="AT106" s="24" t="inlineStr">
        <is>
          <t>Privateer Gaming</t>
        </is>
      </c>
      <c r="AU106" s="24" t="inlineStr">
        <is>
          <t>Privateer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19e41252784d7f0fb30ba60bf91a0e18dad6024caa2bc77a8c0649a56dcc9142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19e41252784d7f0fb30ba60bf91a0e18dad6024caa2bc77a8c0649a56dcc9142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2026-08-05T17:04:42.203967Z</t>
        </is>
      </c>
      <c r="BI106" s="24" t="inlineStr">
        <is>
          <t>["same_event","same_team_same_day","same_league_same_day"]</t>
        </is>
      </c>
      <c r="BJ106" s="25" t="n"/>
      <c r="BK106" s="26" t="n">
        <v>-233</v>
      </c>
      <c r="BL106" s="27" t="n">
        <v>1.429185</v>
      </c>
      <c r="BM106" s="28" t="n">
        <v>0.6997</v>
      </c>
      <c r="BN106" s="28" t="n"/>
      <c r="BO106" s="28" t="n"/>
      <c r="BP106" s="25" t="n"/>
      <c r="BQ106" s="27" t="n">
        <v>1.429185</v>
      </c>
      <c r="BR106" s="28" t="n">
        <v>0.7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13a5093b726240cd</t>
        </is>
      </c>
      <c r="B107" s="24" t="inlineStr">
        <is>
          <t>2026-08-05T17:05:00.161606Z</t>
        </is>
      </c>
      <c r="C107" s="24" t="inlineStr">
        <is>
          <t>2026-08-05T18:30:00Z</t>
        </is>
      </c>
      <c r="D107" s="24" t="inlineStr">
        <is>
          <t>72538</t>
        </is>
      </c>
      <c r="E107" s="24" t="inlineStr">
        <is>
          <t>CS2</t>
        </is>
      </c>
      <c r="F107" s="24" t="inlineStr">
        <is>
          <t>Diamant Esports</t>
        </is>
      </c>
      <c r="G107" s="24" t="inlineStr">
        <is>
          <t>ZOTIX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127</v>
      </c>
      <c r="M107" s="27" t="n">
        <v>2.27</v>
      </c>
      <c r="N107" s="28" t="n">
        <v>0.440529</v>
      </c>
      <c r="O107" s="28" t="n">
        <v>0.547304</v>
      </c>
      <c r="P107" s="28" t="n"/>
      <c r="Q107" s="28" t="n">
        <v>0.106775</v>
      </c>
      <c r="R107" s="26" t="n">
        <v>73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127</v>
      </c>
      <c r="AA107" s="28" t="n">
        <v>0.44</v>
      </c>
      <c r="AB107" s="28" t="n">
        <v>-0.000529</v>
      </c>
      <c r="AC107" s="30" t="n">
        <v>-1</v>
      </c>
      <c r="AD107" s="24" t="inlineStr">
        <is>
          <t>2026-08-05T20:58:49.631149Z</t>
        </is>
      </c>
      <c r="AE107" s="31" t="inlineStr">
        <is>
          <t>Neutral Elo baseline; executable ask 0.4400 (market_slug=aec-cs2-zotix-dei-2026-08-05).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Diamant Esports</t>
        </is>
      </c>
      <c r="AQ107" s="24" t="inlineStr">
        <is>
          <t>Diamant Esports</t>
        </is>
      </c>
      <c r="AR107" s="24" t="inlineStr">
        <is>
          <t>Diamant Esports</t>
        </is>
      </c>
      <c r="AS107" s="24" t="inlineStr">
        <is>
          <t>ZOTIX</t>
        </is>
      </c>
      <c r="AT107" s="24" t="inlineStr">
        <is>
          <t>ZOTIX</t>
        </is>
      </c>
      <c r="AU107" s="24" t="inlineStr">
        <is>
          <t>ZOTIX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19e41252784d7f0fb30ba60bf91a0e18dad6024caa2bc77a8c0649a56dcc9142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19e41252784d7f0fb30ba60bf91a0e18dad6024caa2bc77a8c0649a56dcc9142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2026-08-05T17:04:42.734106Z</t>
        </is>
      </c>
      <c r="BI107" s="24" t="inlineStr">
        <is>
          <t>["same_event","same_team_same_day","same_league_same_day"]</t>
        </is>
      </c>
      <c r="BJ107" s="25" t="n"/>
      <c r="BK107" s="26" t="n">
        <v>127</v>
      </c>
      <c r="BL107" s="27" t="n">
        <v>2.27</v>
      </c>
      <c r="BM107" s="28" t="n">
        <v>0.440529</v>
      </c>
      <c r="BN107" s="28" t="n"/>
      <c r="BO107" s="28" t="n"/>
      <c r="BP107" s="25" t="n"/>
      <c r="BQ107" s="27" t="n">
        <v>2.27</v>
      </c>
      <c r="BR107" s="28" t="n">
        <v>0.44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56975ed559724c13</t>
        </is>
      </c>
      <c r="B108" s="24" t="inlineStr">
        <is>
          <t>2026-08-05T17:05:00.161606Z</t>
        </is>
      </c>
      <c r="C108" s="24" t="inlineStr">
        <is>
          <t>2026-08-05T18:30:00Z</t>
        </is>
      </c>
      <c r="D108" s="24" t="inlineStr">
        <is>
          <t>72537</t>
        </is>
      </c>
      <c r="E108" s="24" t="inlineStr">
        <is>
          <t>CS2</t>
        </is>
      </c>
      <c r="F108" s="24" t="inlineStr">
        <is>
          <t>Drama eSports</t>
        </is>
      </c>
      <c r="G108" s="24" t="inlineStr">
        <is>
          <t>PURE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-133</v>
      </c>
      <c r="M108" s="27" t="n">
        <v>1.75188</v>
      </c>
      <c r="N108" s="28" t="n">
        <v>0.570815</v>
      </c>
      <c r="O108" s="28" t="n">
        <v>0.74863</v>
      </c>
      <c r="P108" s="28" t="n"/>
      <c r="Q108" s="28" t="n">
        <v>0.177815</v>
      </c>
      <c r="R108" s="26" t="n">
        <v>100</v>
      </c>
      <c r="S108" s="29" t="n">
        <v>2</v>
      </c>
      <c r="T108" s="24" t="inlineStr">
        <is>
          <t>cs2-tiered-elo-v6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0.5700 (market_slug=aec-cs2-pure-drama-2026-08-05).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Drama eSports</t>
        </is>
      </c>
      <c r="AQ108" s="24" t="inlineStr">
        <is>
          <t>Drama eSports</t>
        </is>
      </c>
      <c r="AR108" s="24" t="inlineStr">
        <is>
          <t>Drama eSports</t>
        </is>
      </c>
      <c r="AS108" s="24" t="inlineStr">
        <is>
          <t>PURE</t>
        </is>
      </c>
      <c r="AT108" s="24" t="inlineStr">
        <is>
          <t>PURE</t>
        </is>
      </c>
      <c r="AU108" s="24" t="inlineStr">
        <is>
          <t>PURE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19e41252784d7f0fb30ba60bf91a0e18dad6024caa2bc77a8c0649a56dcc9142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19e41252784d7f0fb30ba60bf91a0e18dad6024caa2bc77a8c0649a56dcc9142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2026-08-05T17:04:43.266243Z</t>
        </is>
      </c>
      <c r="BI108" s="24" t="inlineStr">
        <is>
          <t>["same_event","same_team_same_day","same_league_same_day"]</t>
        </is>
      </c>
      <c r="BJ108" s="25" t="n"/>
      <c r="BK108" s="26" t="n">
        <v>-133</v>
      </c>
      <c r="BL108" s="27" t="n">
        <v>1.75188</v>
      </c>
      <c r="BM108" s="28" t="n">
        <v>0.570815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f108ad07d793471d</t>
        </is>
      </c>
      <c r="B109" s="24" t="inlineStr">
        <is>
          <t>2026-08-05T17:05:00.161606Z</t>
        </is>
      </c>
      <c r="C109" s="24" t="inlineStr">
        <is>
          <t>2026-08-05T18:30:00Z</t>
        </is>
      </c>
      <c r="D109" s="24" t="inlineStr">
        <is>
          <t>72539</t>
        </is>
      </c>
      <c r="E109" s="24" t="inlineStr">
        <is>
          <t>CS2</t>
        </is>
      </c>
      <c r="F109" s="24" t="inlineStr">
        <is>
          <t>Esport BERG</t>
        </is>
      </c>
      <c r="G109" s="24" t="inlineStr">
        <is>
          <t>Fire Flux Esports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108</v>
      </c>
      <c r="M109" s="27" t="n">
        <v>2.08</v>
      </c>
      <c r="N109" s="28" t="n">
        <v>0.480769</v>
      </c>
      <c r="O109" s="28" t="n">
        <v>0.532428</v>
      </c>
      <c r="P109" s="28" t="n"/>
      <c r="Q109" s="28" t="n">
        <v>0.051659</v>
      </c>
      <c r="R109" s="26" t="n">
        <v>46</v>
      </c>
      <c r="S109" s="29" t="n">
        <v>0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108</v>
      </c>
      <c r="AA109" s="28" t="n">
        <v>0.48</v>
      </c>
      <c r="AB109" s="28" t="n">
        <v>-0.000769</v>
      </c>
      <c r="AC109" s="30" t="n">
        <v>0</v>
      </c>
      <c r="AD109" s="24" t="inlineStr">
        <is>
          <t>2026-08-05T20:58:52.508125Z</t>
        </is>
      </c>
      <c r="AE109" s="31" t="inlineStr">
        <is>
          <t>Neutral Elo baseline; executable ask 0.4800 (market_slug=aec-cs2-ff-berg-2026-08-05).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NO_CALL_WINNER_OVERVALUED</t>
        </is>
      </c>
      <c r="AP109" s="24" t="inlineStr">
        <is>
          <t>Esport BERG</t>
        </is>
      </c>
      <c r="AQ109" s="24" t="inlineStr">
        <is>
          <t>Esport BERG</t>
        </is>
      </c>
      <c r="AR109" s="24" t="inlineStr">
        <is>
          <t>Esport BERG</t>
        </is>
      </c>
      <c r="AS109" s="24" t="inlineStr">
        <is>
          <t>Fire Flux Esports</t>
        </is>
      </c>
      <c r="AT109" s="24" t="inlineStr">
        <is>
          <t>Fire Flux Esports</t>
        </is>
      </c>
      <c r="AU109" s="24" t="inlineStr">
        <is>
          <t>Fire Flux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19e41252784d7f0fb30ba60bf91a0e18dad6024caa2bc77a8c0649a56dcc9142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19e41252784d7f0fb30ba60bf91a0e18dad6024caa2bc77a8c0649a56dcc9142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2026-08-05T17:04:43.830874Z</t>
        </is>
      </c>
      <c r="BI109" s="24" t="inlineStr">
        <is>
          <t>["same_event","same_team_same_day","same_league_same_day"]</t>
        </is>
      </c>
      <c r="BJ109" s="25" t="n"/>
      <c r="BK109" s="26" t="n">
        <v>108</v>
      </c>
      <c r="BL109" s="27" t="n">
        <v>2.08</v>
      </c>
      <c r="BM109" s="28" t="n">
        <v>0.480769</v>
      </c>
      <c r="BN109" s="28" t="n"/>
      <c r="BO109" s="28" t="n"/>
      <c r="BP109" s="25" t="n"/>
      <c r="BQ109" s="27" t="n">
        <v>2.08</v>
      </c>
      <c r="BR109" s="28" t="n">
        <v>0.48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684485c93cde40d0</t>
        </is>
      </c>
      <c r="B110" s="24" t="inlineStr">
        <is>
          <t>2026-08-05T17:05:00.161606Z</t>
        </is>
      </c>
      <c r="C110" s="24" t="inlineStr">
        <is>
          <t>2026-08-05T19:15:00Z</t>
        </is>
      </c>
      <c r="D110" s="24" t="inlineStr">
        <is>
          <t>70104</t>
        </is>
      </c>
      <c r="E110" s="24" t="inlineStr">
        <is>
          <t>CS2</t>
        </is>
      </c>
      <c r="F110" s="24" t="inlineStr">
        <is>
          <t>Morphilina Club</t>
        </is>
      </c>
      <c r="G110" s="24" t="inlineStr">
        <is>
          <t>Recrent Club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127</v>
      </c>
      <c r="M110" s="27" t="n">
        <v>2.27</v>
      </c>
      <c r="N110" s="28" t="n">
        <v>0.440529</v>
      </c>
      <c r="O110" s="28" t="n">
        <v>0.502652</v>
      </c>
      <c r="P110" s="28" t="n"/>
      <c r="Q110" s="28" t="n">
        <v>0.062123</v>
      </c>
      <c r="R110" s="26" t="n">
        <v>51</v>
      </c>
      <c r="S110" s="29" t="n">
        <v>0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127</v>
      </c>
      <c r="AA110" s="28" t="n">
        <v>0.44</v>
      </c>
      <c r="AB110" s="28" t="n">
        <v>-0.000529</v>
      </c>
      <c r="AC110" s="30" t="n">
        <v>0</v>
      </c>
      <c r="AD110" s="24" t="inlineStr">
        <is>
          <t>2026-08-06T00:20:58.529895Z</t>
        </is>
      </c>
      <c r="AE110" s="31" t="inlineStr">
        <is>
          <t>Neutral Elo baseline; executable ask 0.4400 (market_slug=aec-cs2-rce-mcor-2026-08-05).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NO_CALL_WINNER_OVERVALUED</t>
        </is>
      </c>
      <c r="AP110" s="24" t="inlineStr">
        <is>
          <t>Morphilina Club</t>
        </is>
      </c>
      <c r="AQ110" s="24" t="inlineStr">
        <is>
          <t>Morphilina Club</t>
        </is>
      </c>
      <c r="AR110" s="24" t="inlineStr">
        <is>
          <t>Morphilina Club</t>
        </is>
      </c>
      <c r="AS110" s="24" t="inlineStr">
        <is>
          <t>Recrent Club</t>
        </is>
      </c>
      <c r="AT110" s="24" t="inlineStr">
        <is>
          <t>Recrent Club</t>
        </is>
      </c>
      <c r="AU110" s="24" t="inlineStr">
        <is>
          <t>Recrent Club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19e41252784d7f0fb30ba60bf91a0e18dad6024caa2bc77a8c0649a56dcc9142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19e41252784d7f0fb30ba60bf91a0e18dad6024caa2bc77a8c0649a56dcc9142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2026-08-05T17:04:45.033261Z</t>
        </is>
      </c>
      <c r="BI110" s="24" t="inlineStr">
        <is>
          <t>["same_event","same_team_same_day","same_league_same_day"]</t>
        </is>
      </c>
      <c r="BJ110" s="25" t="n"/>
      <c r="BK110" s="26" t="n">
        <v>127</v>
      </c>
      <c r="BL110" s="27" t="n">
        <v>2.27</v>
      </c>
      <c r="BM110" s="28" t="n">
        <v>0.440529</v>
      </c>
      <c r="BN110" s="28" t="n"/>
      <c r="BO110" s="28" t="n"/>
      <c r="BP110" s="25" t="n"/>
      <c r="BQ110" s="27" t="n">
        <v>2.27</v>
      </c>
      <c r="BR110" s="28" t="n">
        <v>0.44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f317e85b57754117</t>
        </is>
      </c>
      <c r="B111" s="24" t="inlineStr">
        <is>
          <t>2026-08-05T17:05:00.161606Z</t>
        </is>
      </c>
      <c r="C111" s="24" t="inlineStr">
        <is>
          <t>2026-08-05T21:00:00Z</t>
        </is>
      </c>
      <c r="D111" s="24" t="inlineStr">
        <is>
          <t>72423</t>
        </is>
      </c>
      <c r="E111" s="24" t="inlineStr">
        <is>
          <t>CS2</t>
        </is>
      </c>
      <c r="F111" s="24" t="inlineStr">
        <is>
          <t>Grêmio Esports</t>
        </is>
      </c>
      <c r="G111" s="24" t="inlineStr">
        <is>
          <t>ALKA GAMING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-170</v>
      </c>
      <c r="M111" s="27" t="n">
        <v>1.588235</v>
      </c>
      <c r="N111" s="28" t="n">
        <v>0.62963</v>
      </c>
      <c r="O111" s="28" t="n">
        <v>0.598397</v>
      </c>
      <c r="P111" s="28" t="n"/>
      <c r="Q111" s="28" t="n">
        <v>-0.031233</v>
      </c>
      <c r="R111" s="26" t="n">
        <v>4</v>
      </c>
      <c r="S111" s="29" t="n">
        <v>0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>
        <v>-170</v>
      </c>
      <c r="AA111" s="28" t="n">
        <v>0.63</v>
      </c>
      <c r="AB111" s="28" t="n">
        <v>0.00037</v>
      </c>
      <c r="AC111" s="30" t="n">
        <v>0</v>
      </c>
      <c r="AD111" s="24" t="inlineStr">
        <is>
          <t>2026-08-06T00:21:00.349015Z</t>
        </is>
      </c>
      <c r="AE111" s="31" t="inlineStr">
        <is>
          <t>Neutral Elo baseline; executable ask 0.6300 (market_slug=aec-cs2-alka-ger-2026-08-05).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NO_CALL_WINNER_OVERVALUED</t>
        </is>
      </c>
      <c r="AP111" s="24" t="inlineStr">
        <is>
          <t>Grêmio Esports</t>
        </is>
      </c>
      <c r="AQ111" s="24" t="inlineStr">
        <is>
          <t>Grêmio Esports</t>
        </is>
      </c>
      <c r="AR111" s="24" t="inlineStr">
        <is>
          <t>Grêmio Esports</t>
        </is>
      </c>
      <c r="AS111" s="24" t="inlineStr">
        <is>
          <t>ALKA GAMING</t>
        </is>
      </c>
      <c r="AT111" s="24" t="inlineStr">
        <is>
          <t>ALKA GAMING</t>
        </is>
      </c>
      <c r="AU111" s="24" t="inlineStr">
        <is>
          <t>ALKA GAMING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19e41252784d7f0fb30ba60bf91a0e18dad6024caa2bc77a8c0649a56dcc9142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19e41252784d7f0fb30ba60bf91a0e18dad6024caa2bc77a8c0649a56dcc9142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2026-08-05T17:04:46.164462Z</t>
        </is>
      </c>
      <c r="BI111" s="24" t="inlineStr">
        <is>
          <t>["same_event","same_team_same_day","same_league_same_day"]</t>
        </is>
      </c>
      <c r="BJ111" s="25" t="n"/>
      <c r="BK111" s="26" t="n">
        <v>-170</v>
      </c>
      <c r="BL111" s="27" t="n">
        <v>1.588235</v>
      </c>
      <c r="BM111" s="28" t="n">
        <v>0.62963</v>
      </c>
      <c r="BN111" s="28" t="n"/>
      <c r="BO111" s="28" t="n"/>
      <c r="BP111" s="25" t="n"/>
      <c r="BQ111" s="27" t="n">
        <v>1.588235</v>
      </c>
      <c r="BR111" s="28" t="n">
        <v>0.63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7461e387c41b41c2</t>
        </is>
      </c>
      <c r="B112" s="24" t="inlineStr">
        <is>
          <t>2026-08-06T00:24:54.248921Z</t>
        </is>
      </c>
      <c r="C112" s="24" t="inlineStr">
        <is>
          <t>2026-08-06T08:00:00Z</t>
        </is>
      </c>
      <c r="D112" s="24" t="inlineStr">
        <is>
          <t>71896</t>
        </is>
      </c>
      <c r="E112" s="24" t="inlineStr">
        <is>
          <t>CS2</t>
        </is>
      </c>
      <c r="F112" s="24" t="inlineStr">
        <is>
          <t>EAC Rising</t>
        </is>
      </c>
      <c r="G112" s="24" t="inlineStr">
        <is>
          <t>Eternal Fire Academy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-127</v>
      </c>
      <c r="M112" s="27" t="n">
        <v>1.787402</v>
      </c>
      <c r="N112" s="28" t="n">
        <v>0.5594710000000001</v>
      </c>
      <c r="O112" s="28" t="n">
        <v>0.549195</v>
      </c>
      <c r="P112" s="28" t="n"/>
      <c r="Q112" s="28" t="n">
        <v>-0.010276</v>
      </c>
      <c r="R112" s="26" t="n">
        <v>15</v>
      </c>
      <c r="S112" s="29" t="n">
        <v>0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</v>
      </c>
      <c r="AD112" s="24" t="inlineStr">
        <is>
          <t>2026-08-06T18:54:32.160574Z</t>
        </is>
      </c>
      <c r="AE112" s="31" t="inlineStr">
        <is>
          <t>Neutral Elo baseline; executable ask 0.5600 (market_slug=aec-cs2-efa-era-2026-08-06).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NO_CALL_WINNER_OVERVALUED</t>
        </is>
      </c>
      <c r="AP112" s="24" t="inlineStr">
        <is>
          <t>EAC Rising</t>
        </is>
      </c>
      <c r="AQ112" s="24" t="inlineStr">
        <is>
          <t>EAC Rising</t>
        </is>
      </c>
      <c r="AR112" s="24" t="inlineStr">
        <is>
          <t>EAC Rising</t>
        </is>
      </c>
      <c r="AS112" s="24" t="inlineStr">
        <is>
          <t>Eternal Fire Academy</t>
        </is>
      </c>
      <c r="AT112" s="24" t="inlineStr">
        <is>
          <t>Eternal Fire Academy</t>
        </is>
      </c>
      <c r="AU112" s="24" t="inlineStr">
        <is>
          <t>Eternal Fire Academy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95c0b03a7dffafd85c27ca9ed669e331e7385a1d064329e5a50c6fe806eb56d1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95c0b03a7dffafd85c27ca9ed669e331e7385a1d064329e5a50c6fe806eb56d1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2026-08-06T00:24:35.783532Z</t>
        </is>
      </c>
      <c r="BI112" s="24" t="inlineStr">
        <is>
          <t>["same_event","same_team_same_day","same_league_same_day"]</t>
        </is>
      </c>
      <c r="BJ112" s="25" t="n"/>
      <c r="BK112" s="26" t="n">
        <v>-127</v>
      </c>
      <c r="BL112" s="27" t="n">
        <v>1.787402</v>
      </c>
      <c r="BM112" s="28" t="n">
        <v>0.5594710000000001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0568c5e490d04117</t>
        </is>
      </c>
      <c r="B113" s="24" t="inlineStr">
        <is>
          <t>2026-08-06T00:24:54.248921Z</t>
        </is>
      </c>
      <c r="C113" s="24" t="inlineStr">
        <is>
          <t>2026-08-06T08:00:00Z</t>
        </is>
      </c>
      <c r="D113" s="24" t="inlineStr">
        <is>
          <t>73083</t>
        </is>
      </c>
      <c r="E113" s="24" t="inlineStr">
        <is>
          <t>CS2</t>
        </is>
      </c>
      <c r="F113" s="24" t="inlineStr">
        <is>
          <t>Sashi Esport</t>
        </is>
      </c>
      <c r="G113" s="24" t="inlineStr">
        <is>
          <t>Nuclear TigeRES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-108</v>
      </c>
      <c r="M113" s="27" t="n">
        <v>1.925926</v>
      </c>
      <c r="N113" s="28" t="n">
        <v>0.519231</v>
      </c>
      <c r="O113" s="28" t="n">
        <v>0.546035</v>
      </c>
      <c r="P113" s="28" t="n"/>
      <c r="Q113" s="28" t="n">
        <v>0.026804</v>
      </c>
      <c r="R113" s="26" t="n">
        <v>33</v>
      </c>
      <c r="S113" s="29" t="n">
        <v>0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/>
      <c r="AA113" s="28" t="n"/>
      <c r="AB113" s="28" t="n"/>
      <c r="AC113" s="30" t="n">
        <v>0</v>
      </c>
      <c r="AD113" s="24" t="inlineStr">
        <is>
          <t>2026-08-06T18:54:34.923654Z</t>
        </is>
      </c>
      <c r="AE113" s="31" t="inlineStr">
        <is>
          <t>Neutral Elo baseline; executable ask 0.5200 (market_slug=aec-cs2-ntr-sashi-2026-08-06).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NO_CALL_WINNER_OVERVALUED</t>
        </is>
      </c>
      <c r="AP113" s="24" t="inlineStr">
        <is>
          <t>Sashi Esport</t>
        </is>
      </c>
      <c r="AQ113" s="24" t="inlineStr">
        <is>
          <t>Sashi Esport</t>
        </is>
      </c>
      <c r="AR113" s="24" t="inlineStr">
        <is>
          <t>Sashi Esport</t>
        </is>
      </c>
      <c r="AS113" s="24" t="inlineStr">
        <is>
          <t>Nuclear TigeRES</t>
        </is>
      </c>
      <c r="AT113" s="24" t="inlineStr">
        <is>
          <t>Nuclear TigeRES</t>
        </is>
      </c>
      <c r="AU113" s="24" t="inlineStr">
        <is>
          <t>Nuclear TigeRES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95c0b03a7dffafd85c27ca9ed669e331e7385a1d064329e5a50c6fe806eb56d1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95c0b03a7dffafd85c27ca9ed669e331e7385a1d064329e5a50c6fe806eb56d1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2026-08-06T00:24:36.248119Z</t>
        </is>
      </c>
      <c r="BI113" s="24" t="inlineStr">
        <is>
          <t>["same_event","same_team_same_day","same_league_same_day"]</t>
        </is>
      </c>
      <c r="BJ113" s="25" t="n"/>
      <c r="BK113" s="26" t="n">
        <v>-108</v>
      </c>
      <c r="BL113" s="27" t="n">
        <v>1.925926</v>
      </c>
      <c r="BM113" s="28" t="n">
        <v>0.519231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017f232e63124a01</t>
        </is>
      </c>
      <c r="B114" s="24" t="inlineStr">
        <is>
          <t>2026-08-06T00:24:54.248921Z</t>
        </is>
      </c>
      <c r="C114" s="24" t="inlineStr">
        <is>
          <t>2026-08-06T08:00:00Z</t>
        </is>
      </c>
      <c r="D114" s="24" t="inlineStr">
        <is>
          <t>70562</t>
        </is>
      </c>
      <c r="E114" s="24" t="inlineStr">
        <is>
          <t>CS2</t>
        </is>
      </c>
      <c r="F114" s="24" t="inlineStr">
        <is>
          <t>Teletubisie</t>
        </is>
      </c>
      <c r="G114" s="24" t="inlineStr">
        <is>
          <t>WRAITH PCIFIC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0.605841</v>
      </c>
      <c r="P114" s="28" t="n"/>
      <c r="Q114" s="28" t="n">
        <v>0.145012</v>
      </c>
      <c r="R114" s="26" t="n">
        <v>93</v>
      </c>
      <c r="S114" s="29" t="n">
        <v>1.25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/>
      <c r="AA114" s="28" t="n"/>
      <c r="AB114" s="28" t="n"/>
      <c r="AC114" s="30" t="n">
        <v>-1.25</v>
      </c>
      <c r="AD114" s="24" t="inlineStr">
        <is>
          <t>2026-08-06T18:54:37.735160Z</t>
        </is>
      </c>
      <c r="AE114" s="31" t="inlineStr">
        <is>
          <t>Neutral Elo baseline; executable ask 0.4600 (market_slug=aec-cs2-pcific-ttbs-2026-08-06).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Teletubisie</t>
        </is>
      </c>
      <c r="AQ114" s="24" t="inlineStr">
        <is>
          <t>Teletubisie</t>
        </is>
      </c>
      <c r="AR114" s="24" t="inlineStr">
        <is>
          <t>Teletubisie</t>
        </is>
      </c>
      <c r="AS114" s="24" t="inlineStr">
        <is>
          <t>WRAITH PCIFIC</t>
        </is>
      </c>
      <c r="AT114" s="24" t="inlineStr">
        <is>
          <t>WRAITH PCIFIC</t>
        </is>
      </c>
      <c r="AU114" s="24" t="inlineStr">
        <is>
          <t>WRAITH PCIFIC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95c0b03a7dffafd85c27ca9ed669e331e7385a1d064329e5a50c6fe806eb56d1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95c0b03a7dffafd85c27ca9ed669e331e7385a1d064329e5a50c6fe806eb56d1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2026-08-06T00:24:37.231379Z</t>
        </is>
      </c>
      <c r="BI114" s="24" t="inlineStr">
        <is>
          <t>["same_event","same_team_same_day","same_league_same_day"]</t>
        </is>
      </c>
      <c r="BJ114" s="25" t="n"/>
      <c r="BK114" s="26" t="n">
        <v>117</v>
      </c>
      <c r="BL114" s="27" t="n">
        <v>2.17</v>
      </c>
      <c r="BM114" s="28" t="n">
        <v>0.460829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</row>
    <row r="115" ht="36" customHeight="1">
      <c r="A115" s="24" t="inlineStr">
        <is>
          <t>164c7450f4d443a0</t>
        </is>
      </c>
      <c r="B115" s="24" t="inlineStr">
        <is>
          <t>2026-08-06T00:24:54.248921Z</t>
        </is>
      </c>
      <c r="C115" s="24" t="inlineStr">
        <is>
          <t>2026-08-06T08:00:00Z</t>
        </is>
      </c>
      <c r="D115" s="24" t="inlineStr">
        <is>
          <t>72490</t>
        </is>
      </c>
      <c r="E115" s="24" t="inlineStr">
        <is>
          <t>CS2</t>
        </is>
      </c>
      <c r="F115" s="24" t="inlineStr">
        <is>
          <t>Black Phoenix</t>
        </is>
      </c>
      <c r="G115" s="24" t="inlineStr">
        <is>
          <t>Lavked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138</v>
      </c>
      <c r="M115" s="27" t="n">
        <v>2.38</v>
      </c>
      <c r="N115" s="28" t="n">
        <v>0.420168</v>
      </c>
      <c r="O115" s="28" t="n">
        <v>0.5310550000000001</v>
      </c>
      <c r="P115" s="28" t="n"/>
      <c r="Q115" s="28" t="n">
        <v>0.110887</v>
      </c>
      <c r="R115" s="26" t="n">
        <v>75</v>
      </c>
      <c r="S115" s="29" t="n">
        <v>1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2026-08-06T18:54:40.451165Z</t>
        </is>
      </c>
      <c r="AE115" s="31" t="inlineStr">
        <is>
          <t>Neutral Elo baseline; executable ask 0.4200 (market_slug=aec-cs2-lav-bpl-2026-08-06).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Black Phoenix</t>
        </is>
      </c>
      <c r="AQ115" s="24" t="inlineStr">
        <is>
          <t>Black Phoenix</t>
        </is>
      </c>
      <c r="AR115" s="24" t="inlineStr">
        <is>
          <t>Black Phoenix</t>
        </is>
      </c>
      <c r="AS115" s="24" t="inlineStr">
        <is>
          <t>Lavked</t>
        </is>
      </c>
      <c r="AT115" s="24" t="inlineStr">
        <is>
          <t>Lavked</t>
        </is>
      </c>
      <c r="AU115" s="24" t="inlineStr">
        <is>
          <t>Lavked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95c0b03a7dffafd85c27ca9ed669e331e7385a1d064329e5a50c6fe806eb56d1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95c0b03a7dffafd85c27ca9ed669e331e7385a1d064329e5a50c6fe806eb56d1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2026-08-06T00:24:37.738828Z</t>
        </is>
      </c>
      <c r="BI115" s="24" t="inlineStr">
        <is>
          <t>["same_event","same_team_same_day","same_league_same_day"]</t>
        </is>
      </c>
      <c r="BJ115" s="25" t="n"/>
      <c r="BK115" s="26" t="n">
        <v>138</v>
      </c>
      <c r="BL115" s="27" t="n">
        <v>2.38</v>
      </c>
      <c r="BM115" s="28" t="n">
        <v>0.420168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</row>
    <row r="116" ht="36" customHeight="1">
      <c r="A116" s="24" t="inlineStr">
        <is>
          <t>5d38dce6c3454b8b</t>
        </is>
      </c>
      <c r="B116" s="24" t="inlineStr">
        <is>
          <t>2026-08-06T00:24:54.248921Z</t>
        </is>
      </c>
      <c r="C116" s="24" t="inlineStr">
        <is>
          <t>2026-08-06T10:00:00Z</t>
        </is>
      </c>
      <c r="D116" s="24" t="inlineStr">
        <is>
          <t>72793</t>
        </is>
      </c>
      <c r="E116" s="24" t="inlineStr">
        <is>
          <t>CS2</t>
        </is>
      </c>
      <c r="F116" s="24" t="inlineStr">
        <is>
          <t>Arcade Esports</t>
        </is>
      </c>
      <c r="G116" s="24" t="inlineStr">
        <is>
          <t>Time Waves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-223</v>
      </c>
      <c r="M116" s="27" t="n">
        <v>1.44843</v>
      </c>
      <c r="N116" s="28" t="n">
        <v>0.690402</v>
      </c>
      <c r="O116" s="28" t="n">
        <v>0.59418</v>
      </c>
      <c r="P116" s="28" t="n"/>
      <c r="Q116" s="28" t="n">
        <v>-0.096222</v>
      </c>
      <c r="R116" s="26" t="n">
        <v>0</v>
      </c>
      <c r="S116" s="29" t="n">
        <v>0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1</v>
      </c>
      <c r="X116" s="26" t="n">
        <v>0</v>
      </c>
      <c r="Y116" s="25" t="n"/>
      <c r="Z116" s="26" t="n"/>
      <c r="AA116" s="28" t="n"/>
      <c r="AB116" s="28" t="n"/>
      <c r="AC116" s="30" t="n">
        <v>0</v>
      </c>
      <c r="AD116" s="24" t="inlineStr">
        <is>
          <t>2026-08-06T18:54:43.171198Z</t>
        </is>
      </c>
      <c r="AE116" s="31" t="inlineStr">
        <is>
          <t>Neutral Elo baseline; executable ask 0.6900 (market_slug=aec-cs2-tw-aer-2026-08-06).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NO_CALL_WINNER_OVERVALUED</t>
        </is>
      </c>
      <c r="AP116" s="24" t="inlineStr">
        <is>
          <t>Arcade Esports</t>
        </is>
      </c>
      <c r="AQ116" s="24" t="inlineStr">
        <is>
          <t>Arcade Esports</t>
        </is>
      </c>
      <c r="AR116" s="24" t="inlineStr">
        <is>
          <t>Arcade Esports</t>
        </is>
      </c>
      <c r="AS116" s="24" t="inlineStr">
        <is>
          <t>Time Waves</t>
        </is>
      </c>
      <c r="AT116" s="24" t="inlineStr">
        <is>
          <t>Time Waves</t>
        </is>
      </c>
      <c r="AU116" s="24" t="inlineStr">
        <is>
          <t>Time Waves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95c0b03a7dffafd85c27ca9ed669e331e7385a1d064329e5a50c6fe806eb56d1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95c0b03a7dffafd85c27ca9ed669e331e7385a1d064329e5a50c6fe806eb56d1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2026-08-06T00:24:38.760502Z</t>
        </is>
      </c>
      <c r="BI116" s="24" t="inlineStr">
        <is>
          <t>["same_event","same_team_same_day","same_league_same_day"]</t>
        </is>
      </c>
      <c r="BJ116" s="25" t="n"/>
      <c r="BK116" s="26" t="n">
        <v>-223</v>
      </c>
      <c r="BL116" s="27" t="n">
        <v>1.44843</v>
      </c>
      <c r="BM116" s="28" t="n">
        <v>0.690402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671c5cf4932049de</t>
        </is>
      </c>
      <c r="B117" s="24" t="inlineStr">
        <is>
          <t>2026-08-06T00:24:54.248921Z</t>
        </is>
      </c>
      <c r="C117" s="24" t="inlineStr">
        <is>
          <t>2026-08-06T10:30:00Z</t>
        </is>
      </c>
      <c r="D117" s="24" t="inlineStr">
        <is>
          <t>70787</t>
        </is>
      </c>
      <c r="E117" s="24" t="inlineStr">
        <is>
          <t>CS2</t>
        </is>
      </c>
      <c r="F117" s="24" t="inlineStr">
        <is>
          <t>Eternal Fire Academy</t>
        </is>
      </c>
      <c r="G117" s="24" t="inlineStr">
        <is>
          <t>EAC Rising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-133</v>
      </c>
      <c r="M117" s="27" t="n">
        <v>1.75188</v>
      </c>
      <c r="N117" s="28" t="n">
        <v>0.570815</v>
      </c>
      <c r="O117" s="28" t="n">
        <v>0.607413</v>
      </c>
      <c r="P117" s="28" t="n"/>
      <c r="Q117" s="28" t="n">
        <v>0.036598</v>
      </c>
      <c r="R117" s="26" t="n">
        <v>38</v>
      </c>
      <c r="S117" s="29" t="n">
        <v>0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push</t>
        </is>
      </c>
      <c r="W117" s="26" t="n"/>
      <c r="X117" s="26" t="n"/>
      <c r="Y117" s="25" t="n"/>
      <c r="Z117" s="26" t="n"/>
      <c r="AA117" s="28" t="n"/>
      <c r="AB117" s="28" t="n"/>
      <c r="AC117" s="30" t="n">
        <v>0</v>
      </c>
      <c r="AD117" s="24" t="inlineStr">
        <is>
          <t>2026-08-06T18:54:45.934204Z</t>
        </is>
      </c>
      <c r="AE117" s="31" t="inlineStr">
        <is>
          <t>Neutral Elo baseline; executable ask 0.5700 (market_slug=aec-cs2-era-efa-2026-08-06).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NO_CALL_WINNER_OVERVALUED</t>
        </is>
      </c>
      <c r="AP117" s="24" t="inlineStr">
        <is>
          <t>Eternal Fire Academy</t>
        </is>
      </c>
      <c r="AQ117" s="24" t="inlineStr">
        <is>
          <t>Eternal Fire Academy</t>
        </is>
      </c>
      <c r="AR117" s="24" t="inlineStr">
        <is>
          <t>Eternal Fire Academy</t>
        </is>
      </c>
      <c r="AS117" s="24" t="inlineStr">
        <is>
          <t>EAC Rising</t>
        </is>
      </c>
      <c r="AT117" s="24" t="inlineStr">
        <is>
          <t>EAC Rising</t>
        </is>
      </c>
      <c r="AU117" s="24" t="inlineStr">
        <is>
          <t>EAC Rising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95c0b03a7dffafd85c27ca9ed669e331e7385a1d064329e5a50c6fe806eb56d1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95c0b03a7dffafd85c27ca9ed669e331e7385a1d064329e5a50c6fe806eb56d1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2026-08-06T00:24:39.833682Z</t>
        </is>
      </c>
      <c r="BI117" s="24" t="inlineStr">
        <is>
          <t>["same_event","same_team_same_day","same_league_same_day"]</t>
        </is>
      </c>
      <c r="BJ117" s="25" t="n"/>
      <c r="BK117" s="26" t="n">
        <v>-133</v>
      </c>
      <c r="BL117" s="27" t="n">
        <v>1.75188</v>
      </c>
      <c r="BM117" s="28" t="n">
        <v>0.570815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inlineStr">
        <is>
          <t>esports market settled to a non-binary price (forfeit/postponement per market rules)</t>
        </is>
      </c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</row>
    <row r="118" ht="36" customHeight="1">
      <c r="A118" s="24" t="inlineStr">
        <is>
          <t>6027b6ded4ef45e0</t>
        </is>
      </c>
      <c r="B118" s="24" t="inlineStr">
        <is>
          <t>2026-08-06T00:24:54.248921Z</t>
        </is>
      </c>
      <c r="C118" s="24" t="inlineStr">
        <is>
          <t>2026-08-06T11:00:00Z</t>
        </is>
      </c>
      <c r="D118" s="24" t="inlineStr">
        <is>
          <t>72492</t>
        </is>
      </c>
      <c r="E118" s="24" t="inlineStr">
        <is>
          <t>CS2</t>
        </is>
      </c>
      <c r="F118" s="24" t="inlineStr">
        <is>
          <t>SPARTA</t>
        </is>
      </c>
      <c r="G118" s="24" t="inlineStr">
        <is>
          <t>BET-M 33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-186</v>
      </c>
      <c r="M118" s="27" t="n">
        <v>1.537634</v>
      </c>
      <c r="N118" s="28" t="n">
        <v>0.65035</v>
      </c>
      <c r="O118" s="28" t="n">
        <v>0.551668</v>
      </c>
      <c r="P118" s="28" t="n"/>
      <c r="Q118" s="28" t="n">
        <v>-0.09868200000000001</v>
      </c>
      <c r="R118" s="26" t="n">
        <v>0</v>
      </c>
      <c r="S118" s="29" t="n">
        <v>0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0</v>
      </c>
      <c r="X118" s="26" t="n">
        <v>1</v>
      </c>
      <c r="Y118" s="25" t="n"/>
      <c r="Z118" s="26" t="n"/>
      <c r="AA118" s="28" t="n"/>
      <c r="AB118" s="28" t="n"/>
      <c r="AC118" s="30" t="n">
        <v>0</v>
      </c>
      <c r="AD118" s="24" t="inlineStr">
        <is>
          <t>2026-08-06T18:54:48.069664Z</t>
        </is>
      </c>
      <c r="AE118" s="31" t="inlineStr">
        <is>
          <t>Neutral Elo baseline; executable ask 0.6500 (market_slug=aec-cs2-33-sparta-2026-08-06).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NO_CALL_WINNER_OVERVALUED</t>
        </is>
      </c>
      <c r="AP118" s="24" t="inlineStr">
        <is>
          <t>SPARTA</t>
        </is>
      </c>
      <c r="AQ118" s="24" t="inlineStr">
        <is>
          <t>SPARTA</t>
        </is>
      </c>
      <c r="AR118" s="24" t="inlineStr">
        <is>
          <t>SPARTA</t>
        </is>
      </c>
      <c r="AS118" s="24" t="inlineStr">
        <is>
          <t>BET-M 33</t>
        </is>
      </c>
      <c r="AT118" s="24" t="inlineStr">
        <is>
          <t>BET-M 33</t>
        </is>
      </c>
      <c r="AU118" s="24" t="inlineStr">
        <is>
          <t>BET-M 33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95c0b03a7dffafd85c27ca9ed669e331e7385a1d064329e5a50c6fe806eb56d1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95c0b03a7dffafd85c27ca9ed669e331e7385a1d064329e5a50c6fe806eb56d1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2026-08-06T00:24:40.312261Z</t>
        </is>
      </c>
      <c r="BI118" s="24" t="inlineStr">
        <is>
          <t>["same_event","same_team_same_day","same_league_same_day"]</t>
        </is>
      </c>
      <c r="BJ118" s="25" t="n"/>
      <c r="BK118" s="26" t="n">
        <v>-186</v>
      </c>
      <c r="BL118" s="27" t="n">
        <v>1.537634</v>
      </c>
      <c r="BM118" s="28" t="n">
        <v>0.65035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</row>
    <row r="119" ht="36" customHeight="1">
      <c r="A119" s="24" t="inlineStr">
        <is>
          <t>822be2f4603240f5</t>
        </is>
      </c>
      <c r="B119" s="24" t="inlineStr">
        <is>
          <t>2026-08-06T00:24:54.248921Z</t>
        </is>
      </c>
      <c r="C119" s="24" t="inlineStr">
        <is>
          <t>2026-08-06T11:00:00Z</t>
        </is>
      </c>
      <c r="D119" s="24" t="inlineStr">
        <is>
          <t>70599</t>
        </is>
      </c>
      <c r="E119" s="24" t="inlineStr">
        <is>
          <t>CS2</t>
        </is>
      </c>
      <c r="F119" s="24" t="inlineStr">
        <is>
          <t>NAVI Junior</t>
        </is>
      </c>
      <c r="G119" s="24" t="inlineStr">
        <is>
          <t>eSuba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-144</v>
      </c>
      <c r="M119" s="27" t="n">
        <v>1.694444</v>
      </c>
      <c r="N119" s="28" t="n">
        <v>0.590164</v>
      </c>
      <c r="O119" s="28" t="n">
        <v>0.530687</v>
      </c>
      <c r="P119" s="28" t="n"/>
      <c r="Q119" s="28" t="n">
        <v>-0.059477</v>
      </c>
      <c r="R119" s="26" t="n">
        <v>0</v>
      </c>
      <c r="S119" s="29" t="n">
        <v>0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/>
      <c r="AA119" s="28" t="n"/>
      <c r="AB119" s="28" t="n"/>
      <c r="AC119" s="30" t="n">
        <v>0</v>
      </c>
      <c r="AD119" s="24" t="inlineStr">
        <is>
          <t>2026-08-06T18:54:50.841960Z</t>
        </is>
      </c>
      <c r="AE119" s="31" t="inlineStr">
        <is>
          <t>Neutral Elo baseline; executable ask 0.5900 (market_slug=aec-cs2-esb-navij-2026-08-06).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NO_CALL_WINNER_OVERVALUED</t>
        </is>
      </c>
      <c r="AP119" s="24" t="inlineStr">
        <is>
          <t>NAVI Junior</t>
        </is>
      </c>
      <c r="AQ119" s="24" t="inlineStr">
        <is>
          <t>NAVI Junior</t>
        </is>
      </c>
      <c r="AR119" s="24" t="inlineStr">
        <is>
          <t>NAVI Junior</t>
        </is>
      </c>
      <c r="AS119" s="24" t="inlineStr">
        <is>
          <t>eSuba</t>
        </is>
      </c>
      <c r="AT119" s="24" t="inlineStr">
        <is>
          <t>eSuba</t>
        </is>
      </c>
      <c r="AU119" s="24" t="inlineStr">
        <is>
          <t>eSuba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95c0b03a7dffafd85c27ca9ed669e331e7385a1d064329e5a50c6fe806eb56d1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95c0b03a7dffafd85c27ca9ed669e331e7385a1d064329e5a50c6fe806eb56d1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2026-08-06T00:24:40.958250Z</t>
        </is>
      </c>
      <c r="BI119" s="24" t="inlineStr">
        <is>
          <t>["same_event","same_team_same_day","same_league_same_day"]</t>
        </is>
      </c>
      <c r="BJ119" s="25" t="n"/>
      <c r="BK119" s="26" t="n">
        <v>-144</v>
      </c>
      <c r="BL119" s="27" t="n">
        <v>1.694444</v>
      </c>
      <c r="BM119" s="28" t="n">
        <v>0.590164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139cf1bea82f42c9</t>
        </is>
      </c>
      <c r="B120" s="24" t="inlineStr">
        <is>
          <t>2026-08-06T00:24:54.248921Z</t>
        </is>
      </c>
      <c r="C120" s="24" t="inlineStr">
        <is>
          <t>2026-08-06T12:00:00Z</t>
        </is>
      </c>
      <c r="D120" s="24" t="inlineStr">
        <is>
          <t>73434</t>
        </is>
      </c>
      <c r="E120" s="24" t="inlineStr">
        <is>
          <t>CS2</t>
        </is>
      </c>
      <c r="F120" s="24" t="inlineStr">
        <is>
          <t>1WIN</t>
        </is>
      </c>
      <c r="G120" s="24" t="inlineStr">
        <is>
          <t>Butterfly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-223</v>
      </c>
      <c r="M120" s="27" t="n">
        <v>1.44843</v>
      </c>
      <c r="N120" s="28" t="n">
        <v>0.690402</v>
      </c>
      <c r="O120" s="28" t="n">
        <v>0.641221</v>
      </c>
      <c r="P120" s="28" t="n"/>
      <c r="Q120" s="28" t="n">
        <v>-0.049181</v>
      </c>
      <c r="R120" s="26" t="n">
        <v>0</v>
      </c>
      <c r="S120" s="29" t="n">
        <v>0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0</v>
      </c>
      <c r="X120" s="26" t="n">
        <v>1</v>
      </c>
      <c r="Y120" s="25" t="n"/>
      <c r="Z120" s="26" t="n"/>
      <c r="AA120" s="28" t="n"/>
      <c r="AB120" s="28" t="n"/>
      <c r="AC120" s="30" t="n">
        <v>0</v>
      </c>
      <c r="AD120" s="24" t="inlineStr">
        <is>
          <t>2026-08-06T18:54:53.579174Z</t>
        </is>
      </c>
      <c r="AE120" s="31" t="inlineStr">
        <is>
          <t>Neutral Elo baseline; executable ask 0.6900 (market_slug=aec-cs2-btf-1win-2026-08-06).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NO_CALL_WINNER_OVERVALUED</t>
        </is>
      </c>
      <c r="AP120" s="24" t="inlineStr">
        <is>
          <t>1WIN</t>
        </is>
      </c>
      <c r="AQ120" s="24" t="inlineStr">
        <is>
          <t>1WIN</t>
        </is>
      </c>
      <c r="AR120" s="24" t="inlineStr">
        <is>
          <t>1WIN</t>
        </is>
      </c>
      <c r="AS120" s="24" t="inlineStr">
        <is>
          <t>Butterfly</t>
        </is>
      </c>
      <c r="AT120" s="24" t="inlineStr">
        <is>
          <t>Butterfly</t>
        </is>
      </c>
      <c r="AU120" s="24" t="inlineStr">
        <is>
          <t>Butterfly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95c0b03a7dffafd85c27ca9ed669e331e7385a1d064329e5a50c6fe806eb56d1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95c0b03a7dffafd85c27ca9ed669e331e7385a1d064329e5a50c6fe806eb56d1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2026-08-06T00:24:42.538668Z</t>
        </is>
      </c>
      <c r="BI120" s="24" t="inlineStr">
        <is>
          <t>["same_event","same_team_same_day","same_league_same_day"]</t>
        </is>
      </c>
      <c r="BJ120" s="25" t="n"/>
      <c r="BK120" s="26" t="n">
        <v>-223</v>
      </c>
      <c r="BL120" s="27" t="n">
        <v>1.44843</v>
      </c>
      <c r="BM120" s="28" t="n">
        <v>0.690402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</row>
    <row r="121" ht="36" customHeight="1">
      <c r="A121" s="24" t="inlineStr">
        <is>
          <t>5450f0099cc8455a</t>
        </is>
      </c>
      <c r="B121" s="24" t="inlineStr">
        <is>
          <t>2026-08-06T00:24:54.248921Z</t>
        </is>
      </c>
      <c r="C121" s="24" t="inlineStr">
        <is>
          <t>2026-08-06T14:00:00Z</t>
        </is>
      </c>
      <c r="D121" s="24" t="inlineStr">
        <is>
          <t>72650</t>
        </is>
      </c>
      <c r="E121" s="24" t="inlineStr">
        <is>
          <t>CS2</t>
        </is>
      </c>
      <c r="F121" s="24" t="inlineStr">
        <is>
          <t>MEIA NOITE</t>
        </is>
      </c>
      <c r="G121" s="24" t="inlineStr">
        <is>
          <t>paiN Academy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-233</v>
      </c>
      <c r="M121" s="27" t="n">
        <v>1.429185</v>
      </c>
      <c r="N121" s="28" t="n">
        <v>0.6997</v>
      </c>
      <c r="O121" s="28" t="n">
        <v>0.512843</v>
      </c>
      <c r="P121" s="28" t="n"/>
      <c r="Q121" s="28" t="n">
        <v>-0.186857</v>
      </c>
      <c r="R121" s="26" t="n">
        <v>0</v>
      </c>
      <c r="S121" s="29" t="n">
        <v>0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/>
      <c r="AA121" s="28" t="n"/>
      <c r="AB121" s="28" t="n"/>
      <c r="AC121" s="30" t="n">
        <v>0</v>
      </c>
      <c r="AD121" s="24" t="inlineStr">
        <is>
          <t>2026-08-06T18:54:56.190365Z</t>
        </is>
      </c>
      <c r="AE121" s="31" t="inlineStr">
        <is>
          <t>Neutral Elo baseline; executable ask 0.7000 (market_slug=aec-cs2-paina-mne-2026-08-06).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NO_CALL_WINNER_OVERVALUED</t>
        </is>
      </c>
      <c r="AP121" s="24" t="inlineStr">
        <is>
          <t>MEIA NOITE</t>
        </is>
      </c>
      <c r="AQ121" s="24" t="inlineStr">
        <is>
          <t>MEIA NOITE</t>
        </is>
      </c>
      <c r="AR121" s="24" t="inlineStr">
        <is>
          <t>MEIA NOITE</t>
        </is>
      </c>
      <c r="AS121" s="24" t="inlineStr">
        <is>
          <t>paiN Academy</t>
        </is>
      </c>
      <c r="AT121" s="24" t="inlineStr">
        <is>
          <t>paiN Academy</t>
        </is>
      </c>
      <c r="AU121" s="24" t="inlineStr">
        <is>
          <t>paiN Academy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95c0b03a7dffafd85c27ca9ed669e331e7385a1d064329e5a50c6fe806eb56d1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95c0b03a7dffafd85c27ca9ed669e331e7385a1d064329e5a50c6fe806eb56d1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2026-08-06T00:24:43.039228Z</t>
        </is>
      </c>
      <c r="BI121" s="24" t="inlineStr">
        <is>
          <t>["same_event","same_team_same_day","same_league_same_day"]</t>
        </is>
      </c>
      <c r="BJ121" s="25" t="n"/>
      <c r="BK121" s="26" t="n">
        <v>-233</v>
      </c>
      <c r="BL121" s="27" t="n">
        <v>1.429185</v>
      </c>
      <c r="BM121" s="28" t="n">
        <v>0.6997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2075bdb5d4a34156</t>
        </is>
      </c>
      <c r="B122" s="24" t="inlineStr">
        <is>
          <t>2026-08-06T00:24:54.248921Z</t>
        </is>
      </c>
      <c r="C122" s="24" t="inlineStr">
        <is>
          <t>2026-08-06T14:00:00Z</t>
        </is>
      </c>
      <c r="D122" s="24" t="inlineStr">
        <is>
          <t>70694</t>
        </is>
      </c>
      <c r="E122" s="24" t="inlineStr">
        <is>
          <t>CS2</t>
        </is>
      </c>
      <c r="F122" s="24" t="inlineStr">
        <is>
          <t>maybe</t>
        </is>
      </c>
      <c r="G122" s="24" t="inlineStr">
        <is>
          <t>GamersLab Esports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-203</v>
      </c>
      <c r="M122" s="27" t="n">
        <v>1.492611</v>
      </c>
      <c r="N122" s="28" t="n">
        <v>0.669967</v>
      </c>
      <c r="O122" s="28" t="n">
        <v>0.52347</v>
      </c>
      <c r="P122" s="28" t="n"/>
      <c r="Q122" s="28" t="n">
        <v>-0.146497</v>
      </c>
      <c r="R122" s="26" t="n">
        <v>0</v>
      </c>
      <c r="S122" s="29" t="n">
        <v>0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/>
      <c r="AA122" s="28" t="n"/>
      <c r="AB122" s="28" t="n"/>
      <c r="AC122" s="30" t="n">
        <v>0</v>
      </c>
      <c r="AD122" s="24" t="inlineStr">
        <is>
          <t>2026-08-06T18:54:58.845872Z</t>
        </is>
      </c>
      <c r="AE122" s="31" t="inlineStr">
        <is>
          <t>Neutral Elo baseline; executable ask 0.6700 (market_slug=aec-cs2-gea-maybe-2026-08-06).</t>
        </is>
      </c>
      <c r="AF122" s="31" t="inlineStr">
        <is>
          <t>Config-promoted esports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NO_CALL_WINNER_OVERVALUED</t>
        </is>
      </c>
      <c r="AP122" s="24" t="inlineStr">
        <is>
          <t>maybe</t>
        </is>
      </c>
      <c r="AQ122" s="24" t="inlineStr">
        <is>
          <t>maybe</t>
        </is>
      </c>
      <c r="AR122" s="24" t="inlineStr">
        <is>
          <t>maybe</t>
        </is>
      </c>
      <c r="AS122" s="24" t="inlineStr">
        <is>
          <t>GamersLab Esports</t>
        </is>
      </c>
      <c r="AT122" s="24" t="inlineStr">
        <is>
          <t>GamersLab Esports</t>
        </is>
      </c>
      <c r="AU122" s="24" t="inlineStr">
        <is>
          <t>GamersLab Esports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95c0b03a7dffafd85c27ca9ed669e331e7385a1d064329e5a50c6fe806eb56d1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95c0b03a7dffafd85c27ca9ed669e331e7385a1d064329e5a50c6fe806eb56d1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2026-08-06T00:24:43.516726Z</t>
        </is>
      </c>
      <c r="BI122" s="24" t="inlineStr">
        <is>
          <t>["same_event","same_team_same_day","same_league_same_day"]</t>
        </is>
      </c>
      <c r="BJ122" s="25" t="n"/>
      <c r="BK122" s="26" t="n">
        <v>-203</v>
      </c>
      <c r="BL122" s="27" t="n">
        <v>1.492611</v>
      </c>
      <c r="BM122" s="28" t="n">
        <v>0.669967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</row>
    <row r="123" ht="36" customHeight="1">
      <c r="A123" s="24" t="inlineStr">
        <is>
          <t>615890d988fc4433</t>
        </is>
      </c>
      <c r="B123" s="24" t="inlineStr">
        <is>
          <t>2026-08-06T00:24:54.248921Z</t>
        </is>
      </c>
      <c r="C123" s="24" t="inlineStr">
        <is>
          <t>2026-08-06T14:00:00Z</t>
        </is>
      </c>
      <c r="D123" s="24" t="inlineStr">
        <is>
          <t>70695</t>
        </is>
      </c>
      <c r="E123" s="24" t="inlineStr">
        <is>
          <t>CS2</t>
        </is>
      </c>
      <c r="F123" s="24" t="inlineStr">
        <is>
          <t>JAM</t>
        </is>
      </c>
      <c r="G123" s="24" t="inlineStr">
        <is>
          <t>NAVI Junior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117</v>
      </c>
      <c r="M123" s="27" t="n">
        <v>2.17</v>
      </c>
      <c r="N123" s="28" t="n">
        <v>0.460829</v>
      </c>
      <c r="O123" s="28" t="n">
        <v>0.531855</v>
      </c>
      <c r="P123" s="28" t="n"/>
      <c r="Q123" s="28" t="n">
        <v>0.07102600000000001</v>
      </c>
      <c r="R123" s="26" t="n">
        <v>56</v>
      </c>
      <c r="S123" s="29" t="n">
        <v>0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/>
      <c r="AA123" s="28" t="n"/>
      <c r="AB123" s="28" t="n"/>
      <c r="AC123" s="30" t="n">
        <v>0</v>
      </c>
      <c r="AD123" s="24" t="inlineStr">
        <is>
          <t>2026-08-06T18:55:01.621189Z</t>
        </is>
      </c>
      <c r="AE123" s="31" t="inlineStr">
        <is>
          <t>Neutral Elo baseline; executable ask 0.4600 (market_slug=aec-cs2-navij-jam-2026-08-06).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NO_CALL_WINNER_OVERVALUED</t>
        </is>
      </c>
      <c r="AP123" s="24" t="inlineStr">
        <is>
          <t>JAM</t>
        </is>
      </c>
      <c r="AQ123" s="24" t="inlineStr">
        <is>
          <t>JAM</t>
        </is>
      </c>
      <c r="AR123" s="24" t="inlineStr">
        <is>
          <t>JAM</t>
        </is>
      </c>
      <c r="AS123" s="24" t="inlineStr">
        <is>
          <t>NAVI Junior</t>
        </is>
      </c>
      <c r="AT123" s="24" t="inlineStr">
        <is>
          <t>NAVI Junior</t>
        </is>
      </c>
      <c r="AU123" s="24" t="inlineStr">
        <is>
          <t>NAVI Junior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95c0b03a7dffafd85c27ca9ed669e331e7385a1d064329e5a50c6fe806eb56d1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95c0b03a7dffafd85c27ca9ed669e331e7385a1d064329e5a50c6fe806eb56d1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2026-08-06T00:24:44.034404Z</t>
        </is>
      </c>
      <c r="BI123" s="24" t="inlineStr">
        <is>
          <t>["same_event","same_team_same_day","same_league_same_day"]</t>
        </is>
      </c>
      <c r="BJ123" s="25" t="n"/>
      <c r="BK123" s="26" t="n">
        <v>117</v>
      </c>
      <c r="BL123" s="27" t="n">
        <v>2.17</v>
      </c>
      <c r="BM123" s="28" t="n">
        <v>0.460829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068ea51cc876425d</t>
        </is>
      </c>
      <c r="B124" s="24" t="inlineStr">
        <is>
          <t>2026-08-06T00:24:54.248921Z</t>
        </is>
      </c>
      <c r="C124" s="24" t="inlineStr">
        <is>
          <t>2026-08-06T14:00:00Z</t>
        </is>
      </c>
      <c r="D124" s="24" t="inlineStr">
        <is>
          <t>72496</t>
        </is>
      </c>
      <c r="E124" s="24" t="inlineStr">
        <is>
          <t>CS2</t>
        </is>
      </c>
      <c r="F124" s="24" t="inlineStr">
        <is>
          <t>UNiTY esports</t>
        </is>
      </c>
      <c r="G124" s="24" t="inlineStr">
        <is>
          <t>Walczaki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-194</v>
      </c>
      <c r="M124" s="27" t="n">
        <v>1.515464</v>
      </c>
      <c r="N124" s="28" t="n">
        <v>0.659864</v>
      </c>
      <c r="O124" s="28" t="n">
        <v>0.6187049999999999</v>
      </c>
      <c r="P124" s="28" t="n"/>
      <c r="Q124" s="28" t="n">
        <v>-0.041159</v>
      </c>
      <c r="R124" s="26" t="n">
        <v>0</v>
      </c>
      <c r="S124" s="29" t="n">
        <v>0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0</v>
      </c>
      <c r="X124" s="26" t="n">
        <v>1</v>
      </c>
      <c r="Y124" s="25" t="n"/>
      <c r="Z124" s="26" t="n"/>
      <c r="AA124" s="28" t="n"/>
      <c r="AB124" s="28" t="n"/>
      <c r="AC124" s="30" t="n">
        <v>0</v>
      </c>
      <c r="AD124" s="24" t="inlineStr">
        <is>
          <t>2026-08-06T18:55:04.286551Z</t>
        </is>
      </c>
      <c r="AE124" s="31" t="inlineStr">
        <is>
          <t>Neutral Elo baseline; executable ask 0.6600 (market_slug=aec-cs2-wal-unity-2026-08-06).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NO_CALL_WINNER_OVERVALUED</t>
        </is>
      </c>
      <c r="AP124" s="24" t="inlineStr">
        <is>
          <t>UNiTY esports</t>
        </is>
      </c>
      <c r="AQ124" s="24" t="inlineStr">
        <is>
          <t>UNiTY esports</t>
        </is>
      </c>
      <c r="AR124" s="24" t="inlineStr">
        <is>
          <t>UNiTY esports</t>
        </is>
      </c>
      <c r="AS124" s="24" t="inlineStr">
        <is>
          <t>Walczaki</t>
        </is>
      </c>
      <c r="AT124" s="24" t="inlineStr">
        <is>
          <t>Walczaki</t>
        </is>
      </c>
      <c r="AU124" s="24" t="inlineStr">
        <is>
          <t>Walczaki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95c0b03a7dffafd85c27ca9ed669e331e7385a1d064329e5a50c6fe806eb56d1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95c0b03a7dffafd85c27ca9ed669e331e7385a1d064329e5a50c6fe806eb56d1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2026-08-06T00:24:44.602889Z</t>
        </is>
      </c>
      <c r="BI124" s="24" t="inlineStr">
        <is>
          <t>["same_event","same_team_same_day","same_league_same_day"]</t>
        </is>
      </c>
      <c r="BJ124" s="25" t="n"/>
      <c r="BK124" s="26" t="n">
        <v>-194</v>
      </c>
      <c r="BL124" s="27" t="n">
        <v>1.515464</v>
      </c>
      <c r="BM124" s="28" t="n">
        <v>0.659864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6f61c88ff9ba4d43</t>
        </is>
      </c>
      <c r="B125" s="24" t="inlineStr">
        <is>
          <t>2026-08-06T00:24:54.248921Z</t>
        </is>
      </c>
      <c r="C125" s="24" t="inlineStr">
        <is>
          <t>2026-08-06T17:00:00Z</t>
        </is>
      </c>
      <c r="D125" s="24" t="inlineStr">
        <is>
          <t>72651</t>
        </is>
      </c>
      <c r="E125" s="24" t="inlineStr">
        <is>
          <t>CS2</t>
        </is>
      </c>
      <c r="F125" s="24" t="inlineStr">
        <is>
          <t>Yawara Esports</t>
        </is>
      </c>
      <c r="G125" s="24" t="inlineStr">
        <is>
          <t>Isurus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-133</v>
      </c>
      <c r="M125" s="27" t="n">
        <v>1.75188</v>
      </c>
      <c r="N125" s="28" t="n">
        <v>0.570815</v>
      </c>
      <c r="O125" s="28" t="n">
        <v>0.745356</v>
      </c>
      <c r="P125" s="28" t="n"/>
      <c r="Q125" s="28" t="n">
        <v>0.174541</v>
      </c>
      <c r="R125" s="26" t="n">
        <v>100</v>
      </c>
      <c r="S125" s="29" t="n">
        <v>2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/>
      <c r="AA125" s="28" t="n"/>
      <c r="AB125" s="28" t="n"/>
      <c r="AC125" s="30" t="n">
        <v>-2</v>
      </c>
      <c r="AD125" s="24" t="inlineStr">
        <is>
          <t>2026-08-07T06:00:27.589573Z</t>
        </is>
      </c>
      <c r="AE125" s="31" t="inlineStr">
        <is>
          <t>Neutral Elo baseline; executable ask 0.5700 (market_slug=aec-cs2-isg-yaw-2026-08-06).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Yawara Esports</t>
        </is>
      </c>
      <c r="AQ125" s="24" t="inlineStr">
        <is>
          <t>Yawara Esports</t>
        </is>
      </c>
      <c r="AR125" s="24" t="inlineStr">
        <is>
          <t>Yawara Esports</t>
        </is>
      </c>
      <c r="AS125" s="24" t="inlineStr">
        <is>
          <t>Isurus</t>
        </is>
      </c>
      <c r="AT125" s="24" t="inlineStr">
        <is>
          <t>Isurus</t>
        </is>
      </c>
      <c r="AU125" s="24" t="inlineStr">
        <is>
          <t>Isurus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95c0b03a7dffafd85c27ca9ed669e331e7385a1d064329e5a50c6fe806eb56d1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95c0b03a7dffafd85c27ca9ed669e331e7385a1d064329e5a50c6fe806eb56d1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2026-08-06T00:24:47.216028Z</t>
        </is>
      </c>
      <c r="BI125" s="24" t="inlineStr">
        <is>
          <t>["same_event","same_team_same_day","same_league_same_day"]</t>
        </is>
      </c>
      <c r="BJ125" s="25" t="n"/>
      <c r="BK125" s="26" t="n">
        <v>-133</v>
      </c>
      <c r="BL125" s="27" t="n">
        <v>1.75188</v>
      </c>
      <c r="BM125" s="28" t="n">
        <v>0.570815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7dd968f07cc04505</t>
        </is>
      </c>
      <c r="B126" s="24" t="inlineStr">
        <is>
          <t>2026-08-06T00:24:54.248921Z</t>
        </is>
      </c>
      <c r="C126" s="24" t="inlineStr">
        <is>
          <t>2026-08-06T17:00:00Z</t>
        </is>
      </c>
      <c r="D126" s="24" t="inlineStr">
        <is>
          <t>72500</t>
        </is>
      </c>
      <c r="E126" s="24" t="inlineStr">
        <is>
          <t>CS2</t>
        </is>
      </c>
      <c r="F126" s="24" t="inlineStr">
        <is>
          <t>ex-RUSTEC</t>
        </is>
      </c>
      <c r="G126" s="24" t="inlineStr">
        <is>
          <t>WW Team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144</v>
      </c>
      <c r="M126" s="27" t="n">
        <v>2.44</v>
      </c>
      <c r="N126" s="28" t="n">
        <v>0.409836</v>
      </c>
      <c r="O126" s="28" t="n">
        <v>0.592759</v>
      </c>
      <c r="P126" s="28" t="n"/>
      <c r="Q126" s="28" t="n">
        <v>0.182923</v>
      </c>
      <c r="R126" s="26" t="n">
        <v>100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/>
      <c r="AA126" s="28" t="n"/>
      <c r="AB126" s="28" t="n"/>
      <c r="AC126" s="30" t="n">
        <v>1.8</v>
      </c>
      <c r="AD126" s="24" t="inlineStr">
        <is>
          <t>2026-08-07T06:00:29.622524Z</t>
        </is>
      </c>
      <c r="AE126" s="31" t="inlineStr">
        <is>
          <t>Neutral Elo baseline; executable ask 0.4100 (market_slug=aec-cs2-ww-erx-2026-08-06).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ex-RUSTEC</t>
        </is>
      </c>
      <c r="AQ126" s="24" t="inlineStr">
        <is>
          <t>ex-RUSTEC</t>
        </is>
      </c>
      <c r="AR126" s="24" t="inlineStr">
        <is>
          <t>ex-RUSTEC</t>
        </is>
      </c>
      <c r="AS126" s="24" t="inlineStr">
        <is>
          <t>WW Team</t>
        </is>
      </c>
      <c r="AT126" s="24" t="inlineStr">
        <is>
          <t>WW Team</t>
        </is>
      </c>
      <c r="AU126" s="24" t="inlineStr">
        <is>
          <t>WW Team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95c0b03a7dffafd85c27ca9ed669e331e7385a1d064329e5a50c6fe806eb56d1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95c0b03a7dffafd85c27ca9ed669e331e7385a1d064329e5a50c6fe806eb56d1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2026-08-06T00:24:47.696661Z</t>
        </is>
      </c>
      <c r="BI126" s="24" t="inlineStr">
        <is>
          <t>["same_event","same_team_same_day","same_league_same_day"]</t>
        </is>
      </c>
      <c r="BJ126" s="25" t="n"/>
      <c r="BK126" s="26" t="n">
        <v>144</v>
      </c>
      <c r="BL126" s="27" t="n">
        <v>2.44</v>
      </c>
      <c r="BM126" s="28" t="n">
        <v>0.409836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a30214ade1114ffb</t>
        </is>
      </c>
      <c r="B127" s="24" t="inlineStr">
        <is>
          <t>2026-08-06T03:30:48.016807Z</t>
        </is>
      </c>
      <c r="C127" s="24" t="inlineStr">
        <is>
          <t>2026-08-06T08:00:00Z</t>
        </is>
      </c>
      <c r="D127" s="24" t="inlineStr">
        <is>
          <t>70561</t>
        </is>
      </c>
      <c r="E127" s="24" t="inlineStr">
        <is>
          <t>CS2</t>
        </is>
      </c>
      <c r="F127" s="24" t="inlineStr">
        <is>
          <t>Esport Academy Copenhagen</t>
        </is>
      </c>
      <c r="G127" s="24" t="inlineStr">
        <is>
          <t>Eternal Fire Academy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-138</v>
      </c>
      <c r="M127" s="27" t="n">
        <v>1.724638</v>
      </c>
      <c r="N127" s="28" t="n">
        <v>0.579832</v>
      </c>
      <c r="O127" s="28" t="n">
        <v>0.672341</v>
      </c>
      <c r="P127" s="28" t="n"/>
      <c r="Q127" s="28" t="n">
        <v>0.09250899999999999</v>
      </c>
      <c r="R127" s="26" t="n">
        <v>66</v>
      </c>
      <c r="S127" s="29" t="n">
        <v>1.75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0</v>
      </c>
      <c r="X127" s="26" t="n">
        <v>1</v>
      </c>
      <c r="Y127" s="25" t="n"/>
      <c r="Z127" s="26" t="n"/>
      <c r="AA127" s="28" t="n"/>
      <c r="AB127" s="28" t="n"/>
      <c r="AC127" s="30" t="n">
        <v>-1.75</v>
      </c>
      <c r="AD127" s="24" t="inlineStr">
        <is>
          <t>2026-08-06T18:55:09.337616Z</t>
        </is>
      </c>
      <c r="AE127" s="31" t="inlineStr">
        <is>
          <t>Neutral Elo baseline; executable ask 0.5800 (market_slug=aec-cs2-efa-eac-2026-08-06).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Esport Academy Copenhagen</t>
        </is>
      </c>
      <c r="AQ127" s="24" t="inlineStr">
        <is>
          <t>Esport Academy Copenhagen</t>
        </is>
      </c>
      <c r="AR127" s="24" t="inlineStr">
        <is>
          <t>Esport Academy Copenhagen</t>
        </is>
      </c>
      <c r="AS127" s="24" t="inlineStr">
        <is>
          <t>Eternal Fire Academy</t>
        </is>
      </c>
      <c r="AT127" s="24" t="inlineStr">
        <is>
          <t>Eternal Fire Academy</t>
        </is>
      </c>
      <c r="AU127" s="24" t="inlineStr">
        <is>
          <t>Eternal Fire Academy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fe03335fd93db1544dba21d90e64b614b66d4504f6b07bd760b4633bb3785ef9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fe03335fd93db1544dba21d90e64b614b66d4504f6b07bd760b4633bb3785ef9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2026-08-06T03:30:28.428004Z</t>
        </is>
      </c>
      <c r="BI127" s="24" t="inlineStr">
        <is>
          <t>["same_event","same_team_same_day","same_league_same_day"]</t>
        </is>
      </c>
      <c r="BJ127" s="25" t="n"/>
      <c r="BK127" s="26" t="n">
        <v>-138</v>
      </c>
      <c r="BL127" s="27" t="n">
        <v>1.724638</v>
      </c>
      <c r="BM127" s="28" t="n">
        <v>0.579832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fa7a3265b8344f1c</t>
        </is>
      </c>
      <c r="B128" s="24" t="inlineStr">
        <is>
          <t>2026-08-06T03:30:48.016807Z</t>
        </is>
      </c>
      <c r="C128" s="24" t="inlineStr">
        <is>
          <t>2026-08-06T14:45:00Z</t>
        </is>
      </c>
      <c r="D128" s="24" t="inlineStr">
        <is>
          <t>70715</t>
        </is>
      </c>
      <c r="E128" s="24" t="inlineStr">
        <is>
          <t>CS2</t>
        </is>
      </c>
      <c r="F128" s="24" t="inlineStr">
        <is>
          <t>Perfecto Club</t>
        </is>
      </c>
      <c r="G128" s="24" t="inlineStr">
        <is>
          <t>Buster Club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-150</v>
      </c>
      <c r="M128" s="27" t="n">
        <v>1.666667</v>
      </c>
      <c r="N128" s="28" t="n">
        <v>0.6</v>
      </c>
      <c r="O128" s="28" t="n">
        <v>0.51489</v>
      </c>
      <c r="P128" s="28" t="n"/>
      <c r="Q128" s="28" t="n">
        <v>-0.08511000000000001</v>
      </c>
      <c r="R128" s="26" t="n">
        <v>0</v>
      </c>
      <c r="S128" s="29" t="n">
        <v>0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/>
      <c r="AA128" s="28" t="n"/>
      <c r="AB128" s="28" t="n"/>
      <c r="AC128" s="30" t="n">
        <v>0</v>
      </c>
      <c r="AD128" s="24" t="inlineStr">
        <is>
          <t>2026-08-06T18:55:11.902480Z</t>
        </is>
      </c>
      <c r="AE128" s="31" t="inlineStr">
        <is>
          <t>Neutral Elo baseline; executable ask 0.6000 (market_slug=aec-cs2-bcu-pce-2026-08-06).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NO_CALL_WINNER_OVERVALUED</t>
        </is>
      </c>
      <c r="AP128" s="24" t="inlineStr">
        <is>
          <t>Perfecto Club</t>
        </is>
      </c>
      <c r="AQ128" s="24" t="inlineStr">
        <is>
          <t>Perfecto Club</t>
        </is>
      </c>
      <c r="AR128" s="24" t="inlineStr">
        <is>
          <t>Perfecto Club</t>
        </is>
      </c>
      <c r="AS128" s="24" t="inlineStr">
        <is>
          <t>Buster Club</t>
        </is>
      </c>
      <c r="AT128" s="24" t="inlineStr">
        <is>
          <t>Buster Club</t>
        </is>
      </c>
      <c r="AU128" s="24" t="inlineStr">
        <is>
          <t>Buster Club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fe03335fd93db1544dba21d90e64b614b66d4504f6b07bd760b4633bb3785ef9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fe03335fd93db1544dba21d90e64b614b66d4504f6b07bd760b4633bb3785ef9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2026-08-06T03:30:38.112733Z</t>
        </is>
      </c>
      <c r="BI128" s="24" t="inlineStr">
        <is>
          <t>["same_event","same_team_same_day","same_league_same_day"]</t>
        </is>
      </c>
      <c r="BJ128" s="25" t="n"/>
      <c r="BK128" s="26" t="n">
        <v>-150</v>
      </c>
      <c r="BL128" s="27" t="n">
        <v>1.666667</v>
      </c>
      <c r="BM128" s="28" t="n">
        <v>0.6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56fda51ec6644713</t>
        </is>
      </c>
      <c r="B129" s="24" t="inlineStr">
        <is>
          <t>2026-08-06T03:30:48.016807Z</t>
        </is>
      </c>
      <c r="C129" s="24" t="inlineStr">
        <is>
          <t>2026-08-06T18:30:00Z</t>
        </is>
      </c>
      <c r="D129" s="24" t="inlineStr">
        <is>
          <t>73443</t>
        </is>
      </c>
      <c r="E129" s="24" t="inlineStr">
        <is>
          <t>CS2</t>
        </is>
      </c>
      <c r="F129" s="24" t="inlineStr">
        <is>
          <t>Donstu Esports</t>
        </is>
      </c>
      <c r="G129" s="24" t="inlineStr">
        <is>
          <t>NEW VISION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138</v>
      </c>
      <c r="M129" s="27" t="n">
        <v>2.38</v>
      </c>
      <c r="N129" s="28" t="n">
        <v>0.420168</v>
      </c>
      <c r="O129" s="28" t="n">
        <v>0.5122910000000001</v>
      </c>
      <c r="P129" s="28" t="n"/>
      <c r="Q129" s="28" t="n">
        <v>0.092123</v>
      </c>
      <c r="R129" s="26" t="n">
        <v>66</v>
      </c>
      <c r="S129" s="29" t="n">
        <v>1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/>
      <c r="AA129" s="28" t="n"/>
      <c r="AB129" s="28" t="n"/>
      <c r="AC129" s="30" t="n">
        <v>1.38</v>
      </c>
      <c r="AD129" s="24" t="inlineStr">
        <is>
          <t>2026-08-07T06:00:31.677595Z</t>
        </is>
      </c>
      <c r="AE129" s="31" t="inlineStr">
        <is>
          <t>Neutral Elo baseline; executable ask 0.4200 (market_slug=aec-cs2-nve-dnt-2026-08-06).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Donstu Esports</t>
        </is>
      </c>
      <c r="AQ129" s="24" t="inlineStr">
        <is>
          <t>Donstu Esports</t>
        </is>
      </c>
      <c r="AR129" s="24" t="inlineStr">
        <is>
          <t>Donstu Esports</t>
        </is>
      </c>
      <c r="AS129" s="24" t="inlineStr">
        <is>
          <t>NEW VISION</t>
        </is>
      </c>
      <c r="AT129" s="24" t="inlineStr">
        <is>
          <t>NEW VISION</t>
        </is>
      </c>
      <c r="AU129" s="24" t="inlineStr">
        <is>
          <t>NEW VISION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fe03335fd93db1544dba21d90e64b614b66d4504f6b07bd760b4633bb3785ef9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fe03335fd93db1544dba21d90e64b614b66d4504f6b07bd760b4633bb3785ef9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2026-08-06T03:30:43.111721Z</t>
        </is>
      </c>
      <c r="BI129" s="24" t="inlineStr">
        <is>
          <t>["same_event","same_team_same_day","same_league_same_day"]</t>
        </is>
      </c>
      <c r="BJ129" s="25" t="n"/>
      <c r="BK129" s="26" t="n">
        <v>138</v>
      </c>
      <c r="BL129" s="27" t="n">
        <v>2.38</v>
      </c>
      <c r="BM129" s="28" t="n">
        <v>0.420168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</row>
    <row r="130" ht="36" customHeight="1">
      <c r="A130" s="24" t="inlineStr">
        <is>
          <t>5ed538e7f4a544f3</t>
        </is>
      </c>
      <c r="B130" s="24" t="inlineStr">
        <is>
          <t>2026-08-06T03:30:48.016807Z</t>
        </is>
      </c>
      <c r="C130" s="24" t="inlineStr">
        <is>
          <t>2026-08-06T18:30:00Z</t>
        </is>
      </c>
      <c r="D130" s="24" t="inlineStr">
        <is>
          <t>73445</t>
        </is>
      </c>
      <c r="E130" s="24" t="inlineStr">
        <is>
          <t>CS2</t>
        </is>
      </c>
      <c r="F130" s="24" t="inlineStr">
        <is>
          <t>XI Esport</t>
        </is>
      </c>
      <c r="G130" s="24" t="inlineStr">
        <is>
          <t>GoldRashers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156</v>
      </c>
      <c r="M130" s="27" t="n">
        <v>2.56</v>
      </c>
      <c r="N130" s="28" t="n">
        <v>0.390625</v>
      </c>
      <c r="O130" s="28" t="n">
        <v>0.514895</v>
      </c>
      <c r="P130" s="28" t="n"/>
      <c r="Q130" s="28" t="n">
        <v>0.12427</v>
      </c>
      <c r="R130" s="26" t="n">
        <v>82</v>
      </c>
      <c r="S130" s="29" t="n">
        <v>1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/>
      <c r="AA130" s="28" t="n"/>
      <c r="AB130" s="28" t="n"/>
      <c r="AC130" s="30" t="n">
        <v>-1</v>
      </c>
      <c r="AD130" s="24" t="inlineStr">
        <is>
          <t>2026-08-07T06:00:33.842910Z</t>
        </is>
      </c>
      <c r="AE130" s="31" t="inlineStr">
        <is>
          <t>Neutral Elo baseline; executable ask 0.3900 (market_slug=aec-cs2-gol-xi-2026-08-06).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XI Esport</t>
        </is>
      </c>
      <c r="AQ130" s="24" t="inlineStr">
        <is>
          <t>XI Esport</t>
        </is>
      </c>
      <c r="AR130" s="24" t="inlineStr">
        <is>
          <t>XI Esport</t>
        </is>
      </c>
      <c r="AS130" s="24" t="inlineStr">
        <is>
          <t>GoldRashers</t>
        </is>
      </c>
      <c r="AT130" s="24" t="inlineStr">
        <is>
          <t>GoldRashers</t>
        </is>
      </c>
      <c r="AU130" s="24" t="inlineStr">
        <is>
          <t>GoldRashers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fe03335fd93db1544dba21d90e64b614b66d4504f6b07bd760b4633bb3785ef9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fe03335fd93db1544dba21d90e64b614b66d4504f6b07bd760b4633bb3785ef9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2026-08-06T03:30:44.230857Z</t>
        </is>
      </c>
      <c r="BI130" s="24" t="inlineStr">
        <is>
          <t>["same_event","same_team_same_day","same_league_same_day"]</t>
        </is>
      </c>
      <c r="BJ130" s="25" t="n"/>
      <c r="BK130" s="26" t="n">
        <v>156</v>
      </c>
      <c r="BL130" s="27" t="n">
        <v>2.56</v>
      </c>
      <c r="BM130" s="28" t="n">
        <v>0.390625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</row>
    <row r="131" ht="36" customHeight="1">
      <c r="A131" s="24" t="inlineStr">
        <is>
          <t>4a3204911683462b</t>
        </is>
      </c>
      <c r="B131" s="24" t="inlineStr">
        <is>
          <t>2026-08-06T19:00:44.109783Z</t>
        </is>
      </c>
      <c r="C131" s="24" t="inlineStr">
        <is>
          <t>2026-08-06T20:00:00Z</t>
        </is>
      </c>
      <c r="D131" s="24" t="inlineStr">
        <is>
          <t>72652</t>
        </is>
      </c>
      <c r="E131" s="24" t="inlineStr">
        <is>
          <t>CS2</t>
        </is>
      </c>
      <c r="F131" s="24" t="inlineStr">
        <is>
          <t>Procyon Gaming</t>
        </is>
      </c>
      <c r="G131" s="24" t="inlineStr">
        <is>
          <t>METANOIA WOLVES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144</v>
      </c>
      <c r="M131" s="27" t="n">
        <v>2.44</v>
      </c>
      <c r="N131" s="28" t="n">
        <v>0.409836</v>
      </c>
      <c r="O131" s="28" t="n">
        <v>0.542916</v>
      </c>
      <c r="P131" s="28" t="n"/>
      <c r="Q131" s="28" t="n">
        <v>0.13308</v>
      </c>
      <c r="R131" s="26" t="n">
        <v>87</v>
      </c>
      <c r="S131" s="29" t="n">
        <v>1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144</v>
      </c>
      <c r="AA131" s="28" t="n">
        <v>0.41</v>
      </c>
      <c r="AB131" s="28" t="n">
        <v>0.000164</v>
      </c>
      <c r="AC131" s="30" t="n">
        <v>1.44</v>
      </c>
      <c r="AD131" s="24" t="inlineStr">
        <is>
          <t>2026-08-07T06:00:35.814668Z</t>
        </is>
      </c>
      <c r="AE131" s="31" t="inlineStr">
        <is>
          <t>Neutral Elo baseline; executable ask 0.4100 (market_slug=aec-cs2-mw-pcy-2026-08-06).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Procyon Gaming</t>
        </is>
      </c>
      <c r="AQ131" s="24" t="inlineStr">
        <is>
          <t>Procyon Gaming</t>
        </is>
      </c>
      <c r="AR131" s="24" t="inlineStr">
        <is>
          <t>Procyon Gaming</t>
        </is>
      </c>
      <c r="AS131" s="24" t="inlineStr">
        <is>
          <t>METANOIA WOLVES</t>
        </is>
      </c>
      <c r="AT131" s="24" t="inlineStr">
        <is>
          <t>METANOIA WOLVES</t>
        </is>
      </c>
      <c r="AU131" s="24" t="inlineStr">
        <is>
          <t>METANOIA WOLVES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ba62d4174c52c7a2934bcbd8b028649e6d31b496f5b9eab70ce8b6a17fb58aa6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ba62d4174c52c7a2934bcbd8b028649e6d31b496f5b9eab70ce8b6a17fb58aa6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2026-08-06T19:00:13.521189Z</t>
        </is>
      </c>
      <c r="BI131" s="24" t="inlineStr">
        <is>
          <t>["same_event","same_team_same_day","same_league_same_day"]</t>
        </is>
      </c>
      <c r="BJ131" s="25" t="n"/>
      <c r="BK131" s="26" t="n">
        <v>144</v>
      </c>
      <c r="BL131" s="27" t="n">
        <v>2.44</v>
      </c>
      <c r="BM131" s="28" t="n">
        <v>0.409836</v>
      </c>
      <c r="BN131" s="28" t="n"/>
      <c r="BO131" s="28" t="n"/>
      <c r="BP131" s="25" t="n"/>
      <c r="BQ131" s="27" t="n">
        <v>2.44</v>
      </c>
      <c r="BR131" s="28" t="n">
        <v>0.41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72978a16e01c4e2f</t>
        </is>
      </c>
      <c r="B132" s="24" t="inlineStr">
        <is>
          <t>2026-08-07T06:06:07.441108Z</t>
        </is>
      </c>
      <c r="C132" s="24" t="inlineStr">
        <is>
          <t>2026-08-07T08:00:00Z</t>
        </is>
      </c>
      <c r="D132" s="24" t="inlineStr">
        <is>
          <t>72803</t>
        </is>
      </c>
      <c r="E132" s="24" t="inlineStr">
        <is>
          <t>CS2</t>
        </is>
      </c>
      <c r="F132" s="24" t="inlineStr">
        <is>
          <t>Butterfly</t>
        </is>
      </c>
      <c r="G132" s="24" t="inlineStr">
        <is>
          <t>Just Players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-163</v>
      </c>
      <c r="M132" s="27" t="n">
        <v>1.613497</v>
      </c>
      <c r="N132" s="28" t="n">
        <v>0.619772</v>
      </c>
      <c r="O132" s="28" t="n">
        <v>0.541913</v>
      </c>
      <c r="P132" s="28" t="n"/>
      <c r="Q132" s="28" t="n">
        <v>-0.077859</v>
      </c>
      <c r="R132" s="26" t="n">
        <v>0</v>
      </c>
      <c r="S132" s="29" t="n">
        <v>0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/>
      <c r="Z132" s="26" t="n">
        <v>-163</v>
      </c>
      <c r="AA132" s="28" t="n">
        <v>0.62</v>
      </c>
      <c r="AB132" s="28" t="n">
        <v>0.000228</v>
      </c>
      <c r="AC132" s="30" t="n">
        <v>0</v>
      </c>
      <c r="AD132" s="24" t="inlineStr">
        <is>
          <t>2026-08-07T12:12:50.585885Z</t>
        </is>
      </c>
      <c r="AE132" s="31" t="inlineStr">
        <is>
          <t>Neutral Elo baseline; executable ask 0.6200 (market_slug=aec-cs2-jpu-btf-2026-08-07).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NO_CALL_WINNER_OVERVALUED</t>
        </is>
      </c>
      <c r="AP132" s="24" t="inlineStr">
        <is>
          <t>Butterfly</t>
        </is>
      </c>
      <c r="AQ132" s="24" t="inlineStr">
        <is>
          <t>Butterfly</t>
        </is>
      </c>
      <c r="AR132" s="24" t="inlineStr">
        <is>
          <t>Butterfly</t>
        </is>
      </c>
      <c r="AS132" s="24" t="inlineStr">
        <is>
          <t>Just Players</t>
        </is>
      </c>
      <c r="AT132" s="24" t="inlineStr">
        <is>
          <t>Just Players</t>
        </is>
      </c>
      <c r="AU132" s="24" t="inlineStr">
        <is>
          <t>Just Players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cfb18a4c5dd9cd86deb9f3f8da3e6c309d1fba85e6dd2af9e67ce04ac966ad26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cfb18a4c5dd9cd86deb9f3f8da3e6c309d1fba85e6dd2af9e67ce04ac966ad26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2026-08-07T06:05:13.000252Z</t>
        </is>
      </c>
      <c r="BI132" s="24" t="inlineStr">
        <is>
          <t>["same_event","same_team_same_day","same_league_same_day"]</t>
        </is>
      </c>
      <c r="BJ132" s="25" t="n"/>
      <c r="BK132" s="26" t="n">
        <v>-163</v>
      </c>
      <c r="BL132" s="27" t="n">
        <v>1.613497</v>
      </c>
      <c r="BM132" s="28" t="n">
        <v>0.619772</v>
      </c>
      <c r="BN132" s="28" t="n"/>
      <c r="BO132" s="28" t="n"/>
      <c r="BP132" s="25" t="n"/>
      <c r="BQ132" s="27" t="n">
        <v>1.613497</v>
      </c>
      <c r="BR132" s="28" t="n">
        <v>0.62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</row>
    <row r="133" ht="36" customHeight="1">
      <c r="A133" s="24" t="inlineStr">
        <is>
          <t>a3ec9baa1c614603</t>
        </is>
      </c>
      <c r="B133" s="24" t="inlineStr">
        <is>
          <t>2026-08-07T06:06:07.441108Z</t>
        </is>
      </c>
      <c r="C133" s="24" t="inlineStr">
        <is>
          <t>2026-08-07T09:00:00Z</t>
        </is>
      </c>
      <c r="D133" s="24" t="inlineStr">
        <is>
          <t>73755</t>
        </is>
      </c>
      <c r="E133" s="24" t="inlineStr">
        <is>
          <t>CS2</t>
        </is>
      </c>
      <c r="F133" s="24" t="inlineStr">
        <is>
          <t>SNAILKICK Club</t>
        </is>
      </c>
      <c r="G133" s="24" t="inlineStr">
        <is>
          <t>Lixxx Club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-150</v>
      </c>
      <c r="M133" s="27" t="n">
        <v>1.666667</v>
      </c>
      <c r="N133" s="28" t="n">
        <v>0.6</v>
      </c>
      <c r="O133" s="28" t="n">
        <v>0.514947</v>
      </c>
      <c r="P133" s="28" t="n"/>
      <c r="Q133" s="28" t="n">
        <v>-0.085053</v>
      </c>
      <c r="R133" s="26" t="n">
        <v>0</v>
      </c>
      <c r="S133" s="29" t="n">
        <v>0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-150</v>
      </c>
      <c r="AA133" s="28" t="n">
        <v>0.6</v>
      </c>
      <c r="AB133" s="28" t="n">
        <v>0</v>
      </c>
      <c r="AC133" s="30" t="n">
        <v>0</v>
      </c>
      <c r="AD133" s="24" t="inlineStr">
        <is>
          <t>2026-08-07T12:12:52.523617Z</t>
        </is>
      </c>
      <c r="AE133" s="31" t="inlineStr">
        <is>
          <t>Neutral Elo baseline; executable ask 0.6000 (market_slug=aec-cs2-lci-scn-2026-08-07).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NO_CALL_WINNER_OVERVALUED</t>
        </is>
      </c>
      <c r="AP133" s="24" t="inlineStr">
        <is>
          <t>SNAILKICK Club</t>
        </is>
      </c>
      <c r="AQ133" s="24" t="inlineStr">
        <is>
          <t>SNAILKICK Club</t>
        </is>
      </c>
      <c r="AR133" s="24" t="inlineStr">
        <is>
          <t>SNAILKICK Club</t>
        </is>
      </c>
      <c r="AS133" s="24" t="inlineStr">
        <is>
          <t>Lixxx Club</t>
        </is>
      </c>
      <c r="AT133" s="24" t="inlineStr">
        <is>
          <t>Lixxx Club</t>
        </is>
      </c>
      <c r="AU133" s="24" t="inlineStr">
        <is>
          <t>Lixxx Club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cfb18a4c5dd9cd86deb9f3f8da3e6c309d1fba85e6dd2af9e67ce04ac966ad26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cfb18a4c5dd9cd86deb9f3f8da3e6c309d1fba85e6dd2af9e67ce04ac966ad26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2026-08-07T06:05:35.796866Z</t>
        </is>
      </c>
      <c r="BI133" s="24" t="inlineStr">
        <is>
          <t>["same_event","same_team_same_day","same_league_same_day"]</t>
        </is>
      </c>
      <c r="BJ133" s="25" t="n"/>
      <c r="BK133" s="26" t="n">
        <v>-150</v>
      </c>
      <c r="BL133" s="27" t="n">
        <v>1.666667</v>
      </c>
      <c r="BM133" s="28" t="n">
        <v>0.6</v>
      </c>
      <c r="BN133" s="28" t="n"/>
      <c r="BO133" s="28" t="n"/>
      <c r="BP133" s="25" t="n"/>
      <c r="BQ133" s="27" t="n">
        <v>1.666667</v>
      </c>
      <c r="BR133" s="28" t="n">
        <v>0.6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92f989621fd24bb6</t>
        </is>
      </c>
      <c r="B134" s="24" t="inlineStr">
        <is>
          <t>2026-08-07T09:11:47.142508Z</t>
        </is>
      </c>
      <c r="C134" s="24" t="inlineStr">
        <is>
          <t>2026-08-07T10:00:00Z</t>
        </is>
      </c>
      <c r="D134" s="24" t="inlineStr">
        <is>
          <t>73740</t>
        </is>
      </c>
      <c r="E134" s="24" t="inlineStr">
        <is>
          <t>CS2</t>
        </is>
      </c>
      <c r="F134" s="24" t="inlineStr">
        <is>
          <t>Arcade Esports</t>
        </is>
      </c>
      <c r="G134" s="24" t="inlineStr">
        <is>
          <t>Abyssal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-170</v>
      </c>
      <c r="M134" s="27" t="n">
        <v>1.588235</v>
      </c>
      <c r="N134" s="28" t="n">
        <v>0.62963</v>
      </c>
      <c r="O134" s="28" t="n">
        <v>0.513289</v>
      </c>
      <c r="P134" s="28" t="n"/>
      <c r="Q134" s="28" t="n">
        <v>-0.116341</v>
      </c>
      <c r="R134" s="26" t="n">
        <v>0</v>
      </c>
      <c r="S134" s="29" t="n">
        <v>0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0</v>
      </c>
      <c r="X134" s="26" t="n">
        <v>1</v>
      </c>
      <c r="Y134" s="25" t="n"/>
      <c r="Z134" s="26" t="n">
        <v>-170</v>
      </c>
      <c r="AA134" s="28" t="n">
        <v>0.63</v>
      </c>
      <c r="AB134" s="28" t="n">
        <v>0.00037</v>
      </c>
      <c r="AC134" s="30" t="n">
        <v>0</v>
      </c>
      <c r="AD134" s="24" t="inlineStr">
        <is>
          <t>2026-08-07T12:12:54.468423Z</t>
        </is>
      </c>
      <c r="AE134" s="31" t="inlineStr">
        <is>
          <t>Neutral Elo baseline; executable ask 0.6300 (market_slug=aec-cs2-aby-aer-2026-08-07).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NO_CALL_WINNER_OVERVALUED</t>
        </is>
      </c>
      <c r="AP134" s="24" t="inlineStr">
        <is>
          <t>Arcade Esports</t>
        </is>
      </c>
      <c r="AQ134" s="24" t="inlineStr">
        <is>
          <t>Arcade Esports</t>
        </is>
      </c>
      <c r="AR134" s="24" t="inlineStr">
        <is>
          <t>Arcade Esports</t>
        </is>
      </c>
      <c r="AS134" s="24" t="inlineStr">
        <is>
          <t>Abyssal</t>
        </is>
      </c>
      <c r="AT134" s="24" t="inlineStr">
        <is>
          <t>Abyssal</t>
        </is>
      </c>
      <c r="AU134" s="24" t="inlineStr">
        <is>
          <t>Abyssal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358d57aa29e758f0c458ee789089118096199f59cf8b88918d9c205e9f5bc5fb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358d57aa29e758f0c458ee789089118096199f59cf8b88918d9c205e9f5bc5fb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2026-08-07T09:11:20.844085Z</t>
        </is>
      </c>
      <c r="BI134" s="24" t="inlineStr">
        <is>
          <t>["same_event","same_team_same_day","same_league_same_day"]</t>
        </is>
      </c>
      <c r="BJ134" s="25" t="n"/>
      <c r="BK134" s="26" t="n">
        <v>-170</v>
      </c>
      <c r="BL134" s="27" t="n">
        <v>1.588235</v>
      </c>
      <c r="BM134" s="28" t="n">
        <v>0.62963</v>
      </c>
      <c r="BN134" s="28" t="n"/>
      <c r="BO134" s="28" t="n"/>
      <c r="BP134" s="25" t="n"/>
      <c r="BQ134" s="27" t="n">
        <v>1.588235</v>
      </c>
      <c r="BR134" s="28" t="n">
        <v>0.63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80c92fc0c9ae409d</t>
        </is>
      </c>
      <c r="B135" s="24" t="inlineStr">
        <is>
          <t>2026-08-07T09:11:47.142508Z</t>
        </is>
      </c>
      <c r="C135" s="24" t="inlineStr">
        <is>
          <t>2026-08-07T10:00:00Z</t>
        </is>
      </c>
      <c r="D135" s="24" t="inlineStr">
        <is>
          <t>71823</t>
        </is>
      </c>
      <c r="E135" s="24" t="inlineStr">
        <is>
          <t>CS2</t>
        </is>
      </c>
      <c r="F135" s="24" t="inlineStr">
        <is>
          <t>Mindfreak</t>
        </is>
      </c>
      <c r="G135" s="24" t="inlineStr">
        <is>
          <t>FURY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-144</v>
      </c>
      <c r="M135" s="27" t="n">
        <v>1.694444</v>
      </c>
      <c r="N135" s="28" t="n">
        <v>0.590164</v>
      </c>
      <c r="O135" s="28" t="n">
        <v>0.5171</v>
      </c>
      <c r="P135" s="28" t="n"/>
      <c r="Q135" s="28" t="n">
        <v>-0.073064</v>
      </c>
      <c r="R135" s="26" t="n">
        <v>0</v>
      </c>
      <c r="S135" s="29" t="n">
        <v>0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win</t>
        </is>
      </c>
      <c r="W135" s="26" t="n">
        <v>1</v>
      </c>
      <c r="X135" s="26" t="n">
        <v>0</v>
      </c>
      <c r="Y135" s="25" t="n"/>
      <c r="Z135" s="26" t="n">
        <v>-144</v>
      </c>
      <c r="AA135" s="28" t="n">
        <v>0.59</v>
      </c>
      <c r="AB135" s="28" t="n">
        <v>-0.000164</v>
      </c>
      <c r="AC135" s="30" t="n">
        <v>0</v>
      </c>
      <c r="AD135" s="24" t="inlineStr">
        <is>
          <t>2026-08-07T12:12:56.460066Z</t>
        </is>
      </c>
      <c r="AE135" s="31" t="inlineStr">
        <is>
          <t>Neutral Elo baseline; executable ask 0.5900 (market_slug=aec-cs2-fury-mf-2026-08-07).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NO_CALL_WINNER_OVERVALUED</t>
        </is>
      </c>
      <c r="AP135" s="24" t="inlineStr">
        <is>
          <t>Mindfreak</t>
        </is>
      </c>
      <c r="AQ135" s="24" t="inlineStr">
        <is>
          <t>Mindfreak</t>
        </is>
      </c>
      <c r="AR135" s="24" t="inlineStr">
        <is>
          <t>Mindfreak</t>
        </is>
      </c>
      <c r="AS135" s="24" t="inlineStr">
        <is>
          <t>FURY</t>
        </is>
      </c>
      <c r="AT135" s="24" t="inlineStr">
        <is>
          <t>FURY</t>
        </is>
      </c>
      <c r="AU135" s="24" t="inlineStr">
        <is>
          <t>FURY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358d57aa29e758f0c458ee789089118096199f59cf8b88918d9c205e9f5bc5fb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358d57aa29e758f0c458ee789089118096199f59cf8b88918d9c205e9f5bc5fb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2026-08-07T09:11:21.515774Z</t>
        </is>
      </c>
      <c r="BI135" s="24" t="inlineStr">
        <is>
          <t>["same_event","same_team_same_day","same_league_same_day"]</t>
        </is>
      </c>
      <c r="BJ135" s="25" t="n"/>
      <c r="BK135" s="26" t="n">
        <v>-144</v>
      </c>
      <c r="BL135" s="27" t="n">
        <v>1.694444</v>
      </c>
      <c r="BM135" s="28" t="n">
        <v>0.590164</v>
      </c>
      <c r="BN135" s="28" t="n"/>
      <c r="BO135" s="28" t="n"/>
      <c r="BP135" s="25" t="n"/>
      <c r="BQ135" s="27" t="n">
        <v>1.694444</v>
      </c>
      <c r="BR135" s="28" t="n">
        <v>0.59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</row>
    <row r="136" ht="36" customHeight="1">
      <c r="A136" s="24" t="inlineStr">
        <is>
          <t>40413f9fb3c84a03</t>
        </is>
      </c>
      <c r="B136" s="24" t="inlineStr">
        <is>
          <t>2026-08-07T09:11:47.142508Z</t>
        </is>
      </c>
      <c r="C136" s="24" t="inlineStr">
        <is>
          <t>2026-08-07T10:30:00Z</t>
        </is>
      </c>
      <c r="D136" s="24" t="inlineStr">
        <is>
          <t>72033</t>
        </is>
      </c>
      <c r="E136" s="24" t="inlineStr">
        <is>
          <t>CS2</t>
        </is>
      </c>
      <c r="F136" s="24" t="inlineStr">
        <is>
          <t>STATE</t>
        </is>
      </c>
      <c r="G136" s="24" t="inlineStr">
        <is>
          <t>FaZe Up Next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-203</v>
      </c>
      <c r="M136" s="27" t="n">
        <v>1.492611</v>
      </c>
      <c r="N136" s="28" t="n">
        <v>0.669967</v>
      </c>
      <c r="O136" s="28" t="n">
        <v>0.608959</v>
      </c>
      <c r="P136" s="28" t="n"/>
      <c r="Q136" s="28" t="n">
        <v>-0.061008</v>
      </c>
      <c r="R136" s="26" t="n">
        <v>0</v>
      </c>
      <c r="S136" s="29" t="n">
        <v>0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-203</v>
      </c>
      <c r="AA136" s="28" t="n">
        <v>0.67</v>
      </c>
      <c r="AB136" s="28" t="n">
        <v>3.3e-05</v>
      </c>
      <c r="AC136" s="30" t="n">
        <v>0</v>
      </c>
      <c r="AD136" s="24" t="inlineStr">
        <is>
          <t>2026-08-07T15:18:31.574508Z</t>
        </is>
      </c>
      <c r="AE136" s="31" t="inlineStr">
        <is>
          <t>Neutral Elo baseline; executable ask 0.6700 (market_slug=aec-cs2-fazeun-sta-2026-08-07).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NO_CALL_WINNER_OVERVALUED</t>
        </is>
      </c>
      <c r="AP136" s="24" t="inlineStr">
        <is>
          <t>STATE</t>
        </is>
      </c>
      <c r="AQ136" s="24" t="inlineStr">
        <is>
          <t>STATE</t>
        </is>
      </c>
      <c r="AR136" s="24" t="inlineStr">
        <is>
          <t>STATE</t>
        </is>
      </c>
      <c r="AS136" s="24" t="inlineStr">
        <is>
          <t>FaZe Up Next</t>
        </is>
      </c>
      <c r="AT136" s="24" t="inlineStr">
        <is>
          <t>FaZe Up Next</t>
        </is>
      </c>
      <c r="AU136" s="24" t="inlineStr">
        <is>
          <t>FaZe Up Next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358d57aa29e758f0c458ee789089118096199f59cf8b88918d9c205e9f5bc5fb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358d57aa29e758f0c458ee789089118096199f59cf8b88918d9c205e9f5bc5fb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2026-08-07T09:11:22.782829Z</t>
        </is>
      </c>
      <c r="BI136" s="24" t="inlineStr">
        <is>
          <t>["same_event","same_team_same_day","same_league_same_day"]</t>
        </is>
      </c>
      <c r="BJ136" s="25" t="n"/>
      <c r="BK136" s="26" t="n">
        <v>-203</v>
      </c>
      <c r="BL136" s="27" t="n">
        <v>1.492611</v>
      </c>
      <c r="BM136" s="28" t="n">
        <v>0.669967</v>
      </c>
      <c r="BN136" s="28" t="n"/>
      <c r="BO136" s="28" t="n"/>
      <c r="BP136" s="25" t="n"/>
      <c r="BQ136" s="27" t="n">
        <v>1.492611</v>
      </c>
      <c r="BR136" s="28" t="n">
        <v>0.67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341e31f474624173</t>
        </is>
      </c>
      <c r="B137" s="24" t="inlineStr">
        <is>
          <t>2026-08-07T09:11:47.142508Z</t>
        </is>
      </c>
      <c r="C137" s="24" t="inlineStr">
        <is>
          <t>2026-08-07T11:00:00Z</t>
        </is>
      </c>
      <c r="D137" s="24" t="inlineStr">
        <is>
          <t>73363</t>
        </is>
      </c>
      <c r="E137" s="24" t="inlineStr">
        <is>
          <t>CS2</t>
        </is>
      </c>
      <c r="F137" s="24" t="inlineStr">
        <is>
          <t>CYBERSHOKE Esports</t>
        </is>
      </c>
      <c r="G137" s="24" t="inlineStr">
        <is>
          <t>GenOne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108</v>
      </c>
      <c r="M137" s="27" t="n">
        <v>2.08</v>
      </c>
      <c r="N137" s="28" t="n">
        <v>0.480769</v>
      </c>
      <c r="O137" s="28" t="n">
        <v>0.683059</v>
      </c>
      <c r="P137" s="28" t="n"/>
      <c r="Q137" s="28" t="n">
        <v>0.20229</v>
      </c>
      <c r="R137" s="26" t="n">
        <v>100</v>
      </c>
      <c r="S137" s="29" t="n">
        <v>2</v>
      </c>
      <c r="T137" s="24" t="inlineStr">
        <is>
          <t>cs2-tiered-elo-v6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0.4800 (market_slug=aec-cs2-g1-cs-2026-08-07).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CYBERSHOKE Esports</t>
        </is>
      </c>
      <c r="AQ137" s="24" t="inlineStr">
        <is>
          <t>CYBERSHOKE Esports</t>
        </is>
      </c>
      <c r="AR137" s="24" t="inlineStr">
        <is>
          <t>CYBERSHOKE Esports</t>
        </is>
      </c>
      <c r="AS137" s="24" t="inlineStr">
        <is>
          <t>GenOne</t>
        </is>
      </c>
      <c r="AT137" s="24" t="inlineStr">
        <is>
          <t>GenOne</t>
        </is>
      </c>
      <c r="AU137" s="24" t="inlineStr">
        <is>
          <t>GenOne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358d57aa29e758f0c458ee789089118096199f59cf8b88918d9c205e9f5bc5fb</t>
        </is>
      </c>
      <c r="BB137" s="24" t="inlineStr">
        <is>
          <t>neutral_elo</t>
        </is>
      </c>
      <c r="BC137" s="24" t="inlineStr">
        <is>
          <t>cs2-tiered-elo-v6</t>
        </is>
      </c>
      <c r="BD137" s="24" t="inlineStr">
        <is>
          <t>358d57aa29e758f0c458ee789089118096199f59cf8b88918d9c205e9f5bc5fb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cs2-tiered-elo-v6</t>
        </is>
      </c>
      <c r="BH137" s="24" t="inlineStr">
        <is>
          <t>2026-08-07T09:11:23.391833Z</t>
        </is>
      </c>
      <c r="BI137" s="24" t="inlineStr">
        <is>
          <t>["same_event","same_team_same_day","same_league_same_day"]</t>
        </is>
      </c>
      <c r="BJ137" s="25" t="n"/>
      <c r="BK137" s="26" t="n">
        <v>108</v>
      </c>
      <c r="BL137" s="27" t="n">
        <v>2.08</v>
      </c>
      <c r="BM137" s="28" t="n">
        <v>0.480769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defc45aceefb4da2</t>
        </is>
      </c>
      <c r="B138" s="24" t="inlineStr">
        <is>
          <t>2026-08-07T09:11:47.142508Z</t>
        </is>
      </c>
      <c r="C138" s="24" t="inlineStr">
        <is>
          <t>2026-08-07T11:00:00Z</t>
        </is>
      </c>
      <c r="D138" s="24" t="inlineStr">
        <is>
          <t>73860</t>
        </is>
      </c>
      <c r="E138" s="24" t="inlineStr">
        <is>
          <t>CS2</t>
        </is>
      </c>
      <c r="F138" s="24" t="inlineStr">
        <is>
          <t>shoke Club</t>
        </is>
      </c>
      <c r="G138" s="24" t="inlineStr">
        <is>
          <t>Buster Club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-122</v>
      </c>
      <c r="M138" s="27" t="n">
        <v>1.819672</v>
      </c>
      <c r="N138" s="28" t="n">
        <v>0.54955</v>
      </c>
      <c r="O138" s="28" t="n">
        <v>0.514947</v>
      </c>
      <c r="P138" s="28" t="n"/>
      <c r="Q138" s="28" t="n">
        <v>-0.034603</v>
      </c>
      <c r="R138" s="26" t="n">
        <v>3</v>
      </c>
      <c r="S138" s="29" t="n">
        <v>0</v>
      </c>
      <c r="T138" s="24" t="inlineStr">
        <is>
          <t>cs2-tiered-elo-v6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0.5500 (market_slug=aec-cs2-bcu-sch-2026-08-07).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NO_CALL_WINNER_OVERVALUED</t>
        </is>
      </c>
      <c r="AP138" s="24" t="inlineStr">
        <is>
          <t>shoke Club</t>
        </is>
      </c>
      <c r="AQ138" s="24" t="inlineStr">
        <is>
          <t>shoke Club</t>
        </is>
      </c>
      <c r="AR138" s="24" t="inlineStr">
        <is>
          <t>shoke Club</t>
        </is>
      </c>
      <c r="AS138" s="24" t="inlineStr">
        <is>
          <t>Buster Club</t>
        </is>
      </c>
      <c r="AT138" s="24" t="inlineStr">
        <is>
          <t>Buster Club</t>
        </is>
      </c>
      <c r="AU138" s="24" t="inlineStr">
        <is>
          <t>Buster Club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358d57aa29e758f0c458ee789089118096199f59cf8b88918d9c205e9f5bc5fb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358d57aa29e758f0c458ee789089118096199f59cf8b88918d9c205e9f5bc5fb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2026-08-07T09:11:23.941748Z</t>
        </is>
      </c>
      <c r="BI138" s="24" t="inlineStr">
        <is>
          <t>["same_event","same_team_same_day","same_league_same_day"]</t>
        </is>
      </c>
      <c r="BJ138" s="25" t="n"/>
      <c r="BK138" s="26" t="n">
        <v>-122</v>
      </c>
      <c r="BL138" s="27" t="n">
        <v>1.819672</v>
      </c>
      <c r="BM138" s="28" t="n">
        <v>0.54955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</row>
    <row r="139" ht="36" customHeight="1">
      <c r="A139" s="24" t="inlineStr">
        <is>
          <t>a2235c00f0c648bf</t>
        </is>
      </c>
      <c r="B139" s="24" t="inlineStr">
        <is>
          <t>2026-08-07T09:11:47.142508Z</t>
        </is>
      </c>
      <c r="C139" s="24" t="inlineStr">
        <is>
          <t>2026-08-07T11:00:00Z</t>
        </is>
      </c>
      <c r="D139" s="24" t="inlineStr">
        <is>
          <t>74296</t>
        </is>
      </c>
      <c r="E139" s="24" t="inlineStr">
        <is>
          <t>CS2</t>
        </is>
      </c>
      <c r="F139" s="24" t="inlineStr">
        <is>
          <t>Black Phoenix</t>
        </is>
      </c>
      <c r="G139" s="24" t="inlineStr">
        <is>
          <t>Walczaki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-186</v>
      </c>
      <c r="M139" s="27" t="n">
        <v>1.537634</v>
      </c>
      <c r="N139" s="28" t="n">
        <v>0.65035</v>
      </c>
      <c r="O139" s="28" t="n">
        <v>0.558724</v>
      </c>
      <c r="P139" s="28" t="n"/>
      <c r="Q139" s="28" t="n">
        <v>-0.091626</v>
      </c>
      <c r="R139" s="26" t="n">
        <v>0</v>
      </c>
      <c r="S139" s="29" t="n">
        <v>0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loss</t>
        </is>
      </c>
      <c r="W139" s="26" t="n">
        <v>1</v>
      </c>
      <c r="X139" s="26" t="n">
        <v>0</v>
      </c>
      <c r="Y139" s="25" t="n"/>
      <c r="Z139" s="26" t="n">
        <v>-186</v>
      </c>
      <c r="AA139" s="28" t="n">
        <v>0.65</v>
      </c>
      <c r="AB139" s="28" t="n">
        <v>-0.00035</v>
      </c>
      <c r="AC139" s="30" t="n">
        <v>0</v>
      </c>
      <c r="AD139" s="24" t="inlineStr">
        <is>
          <t>2026-08-07T15:18:36.994734Z</t>
        </is>
      </c>
      <c r="AE139" s="31" t="inlineStr">
        <is>
          <t>Neutral Elo baseline; executable ask 0.6500 (market_slug=aec-cs2-wal-bpl-2026-08-07).</t>
        </is>
      </c>
      <c r="AF139" s="31" t="inlineStr">
        <is>
          <t>Config-promoted esports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NO_CALL_WINNER_OVERVALUED</t>
        </is>
      </c>
      <c r="AP139" s="24" t="inlineStr">
        <is>
          <t>Black Phoenix</t>
        </is>
      </c>
      <c r="AQ139" s="24" t="inlineStr">
        <is>
          <t>Black Phoenix</t>
        </is>
      </c>
      <c r="AR139" s="24" t="inlineStr">
        <is>
          <t>Black Phoenix</t>
        </is>
      </c>
      <c r="AS139" s="24" t="inlineStr">
        <is>
          <t>Walczaki</t>
        </is>
      </c>
      <c r="AT139" s="24" t="inlineStr">
        <is>
          <t>Walczaki</t>
        </is>
      </c>
      <c r="AU139" s="24" t="inlineStr">
        <is>
          <t>Walczaki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358d57aa29e758f0c458ee789089118096199f59cf8b88918d9c205e9f5bc5fb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358d57aa29e758f0c458ee789089118096199f59cf8b88918d9c205e9f5bc5fb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2026-08-07T09:11:25.748364Z</t>
        </is>
      </c>
      <c r="BI139" s="24" t="inlineStr">
        <is>
          <t>["same_event","same_team_same_day","same_league_same_day"]</t>
        </is>
      </c>
      <c r="BJ139" s="25" t="n"/>
      <c r="BK139" s="26" t="n">
        <v>-186</v>
      </c>
      <c r="BL139" s="27" t="n">
        <v>1.537634</v>
      </c>
      <c r="BM139" s="28" t="n">
        <v>0.65035</v>
      </c>
      <c r="BN139" s="28" t="n"/>
      <c r="BO139" s="28" t="n"/>
      <c r="BP139" s="25" t="n"/>
      <c r="BQ139" s="27" t="n">
        <v>1.537634</v>
      </c>
      <c r="BR139" s="28" t="n">
        <v>0.65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feab3c81f4ba4769</t>
        </is>
      </c>
      <c r="B140" s="24" t="inlineStr">
        <is>
          <t>2026-08-07T12:17:30.564131Z</t>
        </is>
      </c>
      <c r="C140" s="24" t="inlineStr">
        <is>
          <t>2026-08-07T13:30:00Z</t>
        </is>
      </c>
      <c r="D140" s="24" t="inlineStr">
        <is>
          <t>73861</t>
        </is>
      </c>
      <c r="E140" s="24" t="inlineStr">
        <is>
          <t>CS2</t>
        </is>
      </c>
      <c r="F140" s="24" t="inlineStr">
        <is>
          <t>WorldEdit Club</t>
        </is>
      </c>
      <c r="G140" s="24" t="inlineStr">
        <is>
          <t>mokrivskiy Club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-113</v>
      </c>
      <c r="M140" s="27" t="n">
        <v>1.884956</v>
      </c>
      <c r="N140" s="28" t="n">
        <v>0.530516</v>
      </c>
      <c r="O140" s="28" t="n">
        <v>0.514781</v>
      </c>
      <c r="P140" s="28" t="n"/>
      <c r="Q140" s="28" t="n">
        <v>-0.015735</v>
      </c>
      <c r="R140" s="26" t="n">
        <v>12</v>
      </c>
      <c r="S140" s="29" t="n">
        <v>0</v>
      </c>
      <c r="T140" s="24" t="inlineStr">
        <is>
          <t>cs2-tiered-elo-v6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Neutral Elo baseline; executable ask 0.5300 (market_slug=aec-cs2-mco-wco-2026-08-07).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NO_CALL_WINNER_OVERVALUED</t>
        </is>
      </c>
      <c r="AP140" s="24" t="inlineStr">
        <is>
          <t>WorldEdit Club</t>
        </is>
      </c>
      <c r="AQ140" s="24" t="inlineStr">
        <is>
          <t>WorldEdit Club</t>
        </is>
      </c>
      <c r="AR140" s="24" t="inlineStr">
        <is>
          <t>WorldEdit Club</t>
        </is>
      </c>
      <c r="AS140" s="24" t="inlineStr">
        <is>
          <t>mokrivskiy Club</t>
        </is>
      </c>
      <c r="AT140" s="24" t="inlineStr">
        <is>
          <t>mokrivskiy Club</t>
        </is>
      </c>
      <c r="AU140" s="24" t="inlineStr">
        <is>
          <t>mokrivskiy Club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f1c53c1821e5cd5120b099293c21ae8eca632261cab4ffd9dd67a853e3ea640b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f1c53c1821e5cd5120b099293c21ae8eca632261cab4ffd9dd67a853e3ea640b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2026-08-07T12:17:10.776543Z</t>
        </is>
      </c>
      <c r="BI140" s="24" t="inlineStr">
        <is>
          <t>["same_event","same_team_same_day","same_league_same_day"]</t>
        </is>
      </c>
      <c r="BJ140" s="25" t="n"/>
      <c r="BK140" s="26" t="n">
        <v>-113</v>
      </c>
      <c r="BL140" s="27" t="n">
        <v>1.884956</v>
      </c>
      <c r="BM140" s="28" t="n">
        <v>0.530516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</row>
    <row r="141" ht="36" customHeight="1">
      <c r="A141" s="24" t="inlineStr">
        <is>
          <t>bc5c5b735f18408e</t>
        </is>
      </c>
      <c r="B141" s="24" t="inlineStr">
        <is>
          <t>2026-08-07T12:17:30.564131Z</t>
        </is>
      </c>
      <c r="C141" s="24" t="inlineStr">
        <is>
          <t>2026-08-07T14:00:00Z</t>
        </is>
      </c>
      <c r="D141" s="24" t="inlineStr">
        <is>
          <t>74119</t>
        </is>
      </c>
      <c r="E141" s="24" t="inlineStr">
        <is>
          <t>CS2</t>
        </is>
      </c>
      <c r="F141" s="24" t="inlineStr">
        <is>
          <t>eSuba</t>
        </is>
      </c>
      <c r="G141" s="24" t="inlineStr">
        <is>
          <t>UNiTY esports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212</v>
      </c>
      <c r="M141" s="27" t="n">
        <v>3.12</v>
      </c>
      <c r="N141" s="28" t="n">
        <v>0.320513</v>
      </c>
      <c r="O141" s="28" t="n">
        <v>0.516934</v>
      </c>
      <c r="P141" s="28" t="n"/>
      <c r="Q141" s="28" t="n">
        <v>0.196421</v>
      </c>
      <c r="R141" s="26" t="n">
        <v>100</v>
      </c>
      <c r="S141" s="29" t="n">
        <v>1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0</v>
      </c>
      <c r="X141" s="26" t="n">
        <v>1</v>
      </c>
      <c r="Y141" s="25" t="n"/>
      <c r="Z141" s="26" t="n">
        <v>212</v>
      </c>
      <c r="AA141" s="28" t="n">
        <v>0.32</v>
      </c>
      <c r="AB141" s="28" t="n">
        <v>-0.000513</v>
      </c>
      <c r="AC141" s="30" t="n">
        <v>-1</v>
      </c>
      <c r="AD141" s="24" t="inlineStr">
        <is>
          <t>2026-08-07T15:18:41.527385Z</t>
        </is>
      </c>
      <c r="AE141" s="31" t="inlineStr">
        <is>
          <t>Neutral Elo baseline; executable ask 0.3200 (market_slug=aec-cs2-unity-esb-2026-08-07).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eSuba</t>
        </is>
      </c>
      <c r="AQ141" s="24" t="inlineStr">
        <is>
          <t>eSuba</t>
        </is>
      </c>
      <c r="AR141" s="24" t="inlineStr">
        <is>
          <t>eSuba</t>
        </is>
      </c>
      <c r="AS141" s="24" t="inlineStr">
        <is>
          <t>UNiTY esports</t>
        </is>
      </c>
      <c r="AT141" s="24" t="inlineStr">
        <is>
          <t>UNiTY esports</t>
        </is>
      </c>
      <c r="AU141" s="24" t="inlineStr">
        <is>
          <t>UNiTY esports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f1c53c1821e5cd5120b099293c21ae8eca632261cab4ffd9dd67a853e3ea640b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f1c53c1821e5cd5120b099293c21ae8eca632261cab4ffd9dd67a853e3ea640b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2026-08-07T12:17:11.433456Z</t>
        </is>
      </c>
      <c r="BI141" s="24" t="inlineStr">
        <is>
          <t>["same_event","same_team_same_day","same_league_same_day"]</t>
        </is>
      </c>
      <c r="BJ141" s="25" t="n"/>
      <c r="BK141" s="26" t="n">
        <v>212</v>
      </c>
      <c r="BL141" s="27" t="n">
        <v>3.12</v>
      </c>
      <c r="BM141" s="28" t="n">
        <v>0.320513</v>
      </c>
      <c r="BN141" s="28" t="n"/>
      <c r="BO141" s="28" t="n"/>
      <c r="BP141" s="25" t="n"/>
      <c r="BQ141" s="27" t="n">
        <v>3.12</v>
      </c>
      <c r="BR141" s="28" t="n">
        <v>0.32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1031f3a518bf4673</t>
        </is>
      </c>
      <c r="B142" s="24" t="inlineStr">
        <is>
          <t>2026-08-07T12:17:30.564131Z</t>
        </is>
      </c>
      <c r="C142" s="24" t="inlineStr">
        <is>
          <t>2026-08-07T14:00:00Z</t>
        </is>
      </c>
      <c r="D142" s="24" t="inlineStr">
        <is>
          <t>74295</t>
        </is>
      </c>
      <c r="E142" s="24" t="inlineStr">
        <is>
          <t>CS2</t>
        </is>
      </c>
      <c r="F142" s="24" t="inlineStr">
        <is>
          <t>BET-M 33</t>
        </is>
      </c>
      <c r="G142" s="24" t="inlineStr">
        <is>
          <t>ex-RUSTEC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-138</v>
      </c>
      <c r="M142" s="27" t="n">
        <v>1.724638</v>
      </c>
      <c r="N142" s="28" t="n">
        <v>0.579832</v>
      </c>
      <c r="O142" s="28" t="n">
        <v>0.591297</v>
      </c>
      <c r="P142" s="28" t="n"/>
      <c r="Q142" s="28" t="n">
        <v>0.011465</v>
      </c>
      <c r="R142" s="26" t="n">
        <v>26</v>
      </c>
      <c r="S142" s="29" t="n">
        <v>0</v>
      </c>
      <c r="T142" s="24" t="inlineStr">
        <is>
          <t>cs2-tiered-elo-v6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Neutral Elo baseline; executable ask 0.5800 (market_slug=aec-cs2-erx-33-2026-08-07).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NO_CALL_WINNER_OVERVALUED</t>
        </is>
      </c>
      <c r="AP142" s="24" t="inlineStr">
        <is>
          <t>BET-M 33</t>
        </is>
      </c>
      <c r="AQ142" s="24" t="inlineStr">
        <is>
          <t>BET-M 33</t>
        </is>
      </c>
      <c r="AR142" s="24" t="inlineStr">
        <is>
          <t>BET-M 33</t>
        </is>
      </c>
      <c r="AS142" s="24" t="inlineStr">
        <is>
          <t>ex-RUSTEC</t>
        </is>
      </c>
      <c r="AT142" s="24" t="inlineStr">
        <is>
          <t>ex-RUSTEC</t>
        </is>
      </c>
      <c r="AU142" s="24" t="inlineStr">
        <is>
          <t>ex-RUSTEC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f1c53c1821e5cd5120b099293c21ae8eca632261cab4ffd9dd67a853e3ea640b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f1c53c1821e5cd5120b099293c21ae8eca632261cab4ffd9dd67a853e3ea640b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2026-08-07T12:17:12.740119Z</t>
        </is>
      </c>
      <c r="BI142" s="24" t="inlineStr">
        <is>
          <t>["same_event","same_team_same_day","same_league_same_day"]</t>
        </is>
      </c>
      <c r="BJ142" s="25" t="n"/>
      <c r="BK142" s="26" t="n">
        <v>-138</v>
      </c>
      <c r="BL142" s="27" t="n">
        <v>1.724638</v>
      </c>
      <c r="BM142" s="28" t="n">
        <v>0.579832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9e42a42e9af84716</t>
        </is>
      </c>
      <c r="B143" s="24" t="inlineStr">
        <is>
          <t>2026-08-07T15:24:16.691798Z</t>
        </is>
      </c>
      <c r="C143" s="24" t="inlineStr">
        <is>
          <t>2026-08-07T16:00:00Z</t>
        </is>
      </c>
      <c r="D143" s="24" t="inlineStr">
        <is>
          <t>72556</t>
        </is>
      </c>
      <c r="E143" s="24" t="inlineStr">
        <is>
          <t>CS2</t>
        </is>
      </c>
      <c r="F143" s="24" t="inlineStr">
        <is>
          <t>Sangal</t>
        </is>
      </c>
      <c r="G143" s="24" t="inlineStr">
        <is>
          <t>Virtus.pro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-223</v>
      </c>
      <c r="M143" s="27" t="n">
        <v>1.44843</v>
      </c>
      <c r="N143" s="28" t="n">
        <v>0.690402</v>
      </c>
      <c r="O143" s="28" t="n">
        <v>0.702323</v>
      </c>
      <c r="P143" s="28" t="n"/>
      <c r="Q143" s="28" t="n">
        <v>0.011921</v>
      </c>
      <c r="R143" s="26" t="n">
        <v>26</v>
      </c>
      <c r="S143" s="29" t="n">
        <v>0</v>
      </c>
      <c r="T143" s="24" t="inlineStr">
        <is>
          <t>cs2-tiered-elo-v6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Neutral Elo baseline; executable ask 0.6900 (market_slug=aec-cs2-vp-sang-2026-08-07).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NO_CALL_WINNER_OVERVALUED</t>
        </is>
      </c>
      <c r="AP143" s="24" t="inlineStr">
        <is>
          <t>Sangal</t>
        </is>
      </c>
      <c r="AQ143" s="24" t="inlineStr">
        <is>
          <t>Sangal</t>
        </is>
      </c>
      <c r="AR143" s="24" t="inlineStr">
        <is>
          <t>Sangal</t>
        </is>
      </c>
      <c r="AS143" s="24" t="inlineStr">
        <is>
          <t>Virtus.pro</t>
        </is>
      </c>
      <c r="AT143" s="24" t="inlineStr">
        <is>
          <t>Virtus.pro</t>
        </is>
      </c>
      <c r="AU143" s="24" t="inlineStr">
        <is>
          <t>Virtus.pro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b8dea04ff55d1b5077c8587b9b9ed16ddeb7be47d75c96d6954498aa5ae37cd0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b8dea04ff55d1b5077c8587b9b9ed16ddeb7be47d75c96d6954498aa5ae37cd0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2026-08-07T15:23:59.442246Z</t>
        </is>
      </c>
      <c r="BI143" s="24" t="inlineStr">
        <is>
          <t>["same_event","same_team_same_day","same_league_same_day"]</t>
        </is>
      </c>
      <c r="BJ143" s="25" t="n"/>
      <c r="BK143" s="26" t="n">
        <v>-223</v>
      </c>
      <c r="BL143" s="27" t="n">
        <v>1.44843</v>
      </c>
      <c r="BM143" s="28" t="n">
        <v>0.690402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5f930a50097d485c</t>
        </is>
      </c>
      <c r="B144" s="24" t="inlineStr">
        <is>
          <t>2026-08-07T15:24:16.691798Z</t>
        </is>
      </c>
      <c r="C144" s="24" t="inlineStr">
        <is>
          <t>2026-08-07T17:00:00Z</t>
        </is>
      </c>
      <c r="D144" s="24" t="inlineStr">
        <is>
          <t>74382</t>
        </is>
      </c>
      <c r="E144" s="24" t="inlineStr">
        <is>
          <t>CS2</t>
        </is>
      </c>
      <c r="F144" s="24" t="inlineStr">
        <is>
          <t>JAM</t>
        </is>
      </c>
      <c r="G144" s="24" t="inlineStr">
        <is>
          <t>Nexus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-133</v>
      </c>
      <c r="M144" s="27" t="n">
        <v>1.75188</v>
      </c>
      <c r="N144" s="28" t="n">
        <v>0.570815</v>
      </c>
      <c r="O144" s="28" t="n">
        <v>0.542228</v>
      </c>
      <c r="P144" s="28" t="n"/>
      <c r="Q144" s="28" t="n">
        <v>-0.028587</v>
      </c>
      <c r="R144" s="26" t="n">
        <v>6</v>
      </c>
      <c r="S144" s="29" t="n">
        <v>0</v>
      </c>
      <c r="T144" s="24" t="inlineStr">
        <is>
          <t>cs2-tiered-elo-v6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Neutral Elo baseline; executable ask 0.5700 (market_slug=aec-cs2-nxs-jam-2026-08-07).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NO_CALL_WINNER_OVERVALUED</t>
        </is>
      </c>
      <c r="AP144" s="24" t="inlineStr">
        <is>
          <t>JAM</t>
        </is>
      </c>
      <c r="AQ144" s="24" t="inlineStr">
        <is>
          <t>JAM</t>
        </is>
      </c>
      <c r="AR144" s="24" t="inlineStr">
        <is>
          <t>JAM</t>
        </is>
      </c>
      <c r="AS144" s="24" t="inlineStr">
        <is>
          <t>Nexus</t>
        </is>
      </c>
      <c r="AT144" s="24" t="inlineStr">
        <is>
          <t>Nexus</t>
        </is>
      </c>
      <c r="AU144" s="24" t="inlineStr">
        <is>
          <t>Nexus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b8dea04ff55d1b5077c8587b9b9ed16ddeb7be47d75c96d6954498aa5ae37cd0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b8dea04ff55d1b5077c8587b9b9ed16ddeb7be47d75c96d6954498aa5ae37cd0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2026-08-07T15:24:04.262843Z</t>
        </is>
      </c>
      <c r="BI144" s="24" t="inlineStr">
        <is>
          <t>["same_event","same_team_same_day","same_league_same_day"]</t>
        </is>
      </c>
      <c r="BJ144" s="25" t="n"/>
      <c r="BK144" s="26" t="n">
        <v>-133</v>
      </c>
      <c r="BL144" s="27" t="n">
        <v>1.75188</v>
      </c>
      <c r="BM144" s="28" t="n">
        <v>0.570815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6d79261d22dc442f</t>
        </is>
      </c>
      <c r="B145" s="24" t="inlineStr">
        <is>
          <t>2026-08-07T15:24:16.691798Z</t>
        </is>
      </c>
      <c r="C145" s="24" t="inlineStr">
        <is>
          <t>2026-08-07T17:00:00Z</t>
        </is>
      </c>
      <c r="D145" s="24" t="inlineStr">
        <is>
          <t>74184</t>
        </is>
      </c>
      <c r="E145" s="24" t="inlineStr">
        <is>
          <t>CS2</t>
        </is>
      </c>
      <c r="F145" s="24" t="inlineStr">
        <is>
          <t>ENRAGE</t>
        </is>
      </c>
      <c r="G145" s="24" t="inlineStr">
        <is>
          <t>PURE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104</v>
      </c>
      <c r="M145" s="27" t="n">
        <v>2.04</v>
      </c>
      <c r="N145" s="28" t="n">
        <v>0.490196</v>
      </c>
      <c r="O145" s="28" t="n">
        <v>0.651856</v>
      </c>
      <c r="P145" s="28" t="n"/>
      <c r="Q145" s="28" t="n">
        <v>0.16166</v>
      </c>
      <c r="R145" s="26" t="n">
        <v>100</v>
      </c>
      <c r="S145" s="29" t="n">
        <v>1.75</v>
      </c>
      <c r="T145" s="24" t="inlineStr">
        <is>
          <t>cs2-tiered-elo-v6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Neutral Elo baseline; executable ask 0.4900 (market_slug=aec-cs2-pure-enr-2026-08-07).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ENRAGE</t>
        </is>
      </c>
      <c r="AQ145" s="24" t="inlineStr">
        <is>
          <t>ENRAGE</t>
        </is>
      </c>
      <c r="AR145" s="24" t="inlineStr">
        <is>
          <t>ENRAGE</t>
        </is>
      </c>
      <c r="AS145" s="24" t="inlineStr">
        <is>
          <t>PURE</t>
        </is>
      </c>
      <c r="AT145" s="24" t="inlineStr">
        <is>
          <t>PURE</t>
        </is>
      </c>
      <c r="AU145" s="24" t="inlineStr">
        <is>
          <t>PURE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b8dea04ff55d1b5077c8587b9b9ed16ddeb7be47d75c96d6954498aa5ae37cd0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b8dea04ff55d1b5077c8587b9b9ed16ddeb7be47d75c96d6954498aa5ae37cd0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2026-08-07T15:24:04.782971Z</t>
        </is>
      </c>
      <c r="BI145" s="24" t="inlineStr">
        <is>
          <t>["same_event","same_team_same_day","same_league_same_day"]</t>
        </is>
      </c>
      <c r="BJ145" s="25" t="n"/>
      <c r="BK145" s="26" t="n">
        <v>104</v>
      </c>
      <c r="BL145" s="27" t="n">
        <v>2.04</v>
      </c>
      <c r="BM145" s="28" t="n">
        <v>0.490196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70d4611de2564b9d</t>
        </is>
      </c>
      <c r="B146" s="24" t="inlineStr">
        <is>
          <t>2026-08-07T15:24:16.691798Z</t>
        </is>
      </c>
      <c r="C146" s="24" t="inlineStr">
        <is>
          <t>2026-08-07T17:00:00Z</t>
        </is>
      </c>
      <c r="D146" s="24" t="inlineStr">
        <is>
          <t>74185</t>
        </is>
      </c>
      <c r="E146" s="24" t="inlineStr">
        <is>
          <t>CS2</t>
        </is>
      </c>
      <c r="F146" s="24" t="inlineStr">
        <is>
          <t>NEW VISION</t>
        </is>
      </c>
      <c r="G146" s="24" t="inlineStr">
        <is>
          <t>Drama eSports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-178</v>
      </c>
      <c r="M146" s="27" t="n">
        <v>1.561798</v>
      </c>
      <c r="N146" s="28" t="n">
        <v>0.640288</v>
      </c>
      <c r="O146" s="28" t="n">
        <v>0.651427</v>
      </c>
      <c r="P146" s="28" t="n"/>
      <c r="Q146" s="28" t="n">
        <v>0.011139</v>
      </c>
      <c r="R146" s="26" t="n">
        <v>26</v>
      </c>
      <c r="S146" s="29" t="n">
        <v>0</v>
      </c>
      <c r="T146" s="24" t="inlineStr">
        <is>
          <t>cs2-tiered-elo-v6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Neutral Elo baseline; executable ask 0.6400 (market_slug=aec-cs2-drama-nve-2026-08-07).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NO_CALL_WINNER_OVERVALUED</t>
        </is>
      </c>
      <c r="AP146" s="24" t="inlineStr">
        <is>
          <t>NEW VISION</t>
        </is>
      </c>
      <c r="AQ146" s="24" t="inlineStr">
        <is>
          <t>NEW VISION</t>
        </is>
      </c>
      <c r="AR146" s="24" t="inlineStr">
        <is>
          <t>NEW VISION</t>
        </is>
      </c>
      <c r="AS146" s="24" t="inlineStr">
        <is>
          <t>Drama eSports</t>
        </is>
      </c>
      <c r="AT146" s="24" t="inlineStr">
        <is>
          <t>Drama eSports</t>
        </is>
      </c>
      <c r="AU146" s="24" t="inlineStr">
        <is>
          <t>Drama eSports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b8dea04ff55d1b5077c8587b9b9ed16ddeb7be47d75c96d6954498aa5ae37cd0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b8dea04ff55d1b5077c8587b9b9ed16ddeb7be47d75c96d6954498aa5ae37cd0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2026-08-07T15:24:05.304857Z</t>
        </is>
      </c>
      <c r="BI146" s="24" t="inlineStr">
        <is>
          <t>["same_event","same_team_same_day","same_league_same_day"]</t>
        </is>
      </c>
      <c r="BJ146" s="25" t="n"/>
      <c r="BK146" s="26" t="n">
        <v>-178</v>
      </c>
      <c r="BL146" s="27" t="n">
        <v>1.561798</v>
      </c>
      <c r="BM146" s="28" t="n">
        <v>0.640288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647302bcd0c94029</t>
        </is>
      </c>
      <c r="B147" s="24" t="inlineStr">
        <is>
          <t>2026-08-07T15:24:16.691798Z</t>
        </is>
      </c>
      <c r="C147" s="24" t="inlineStr">
        <is>
          <t>2026-08-07T18:30:00Z</t>
        </is>
      </c>
      <c r="D147" s="24" t="inlineStr">
        <is>
          <t>74186</t>
        </is>
      </c>
      <c r="E147" s="24" t="inlineStr">
        <is>
          <t>CS2</t>
        </is>
      </c>
      <c r="F147" s="24" t="inlineStr">
        <is>
          <t>PENSIONERS</t>
        </is>
      </c>
      <c r="G147" s="24" t="inlineStr">
        <is>
          <t>Basement Bobs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-138</v>
      </c>
      <c r="M147" s="27" t="n">
        <v>1.724638</v>
      </c>
      <c r="N147" s="28" t="n">
        <v>0.579832</v>
      </c>
      <c r="O147" s="28" t="n">
        <v>0.583399</v>
      </c>
      <c r="P147" s="28" t="n"/>
      <c r="Q147" s="28" t="n">
        <v>0.003567</v>
      </c>
      <c r="R147" s="26" t="n">
        <v>22</v>
      </c>
      <c r="S147" s="29" t="n">
        <v>0</v>
      </c>
      <c r="T147" s="24" t="inlineStr">
        <is>
          <t>cs2-tiered-elo-v6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Neutral Elo baseline; executable ask 0.5800 (market_slug=aec-cs2-bba-pen-2026-08-07).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NO_CALL_WINNER_OVERVALUED</t>
        </is>
      </c>
      <c r="AP147" s="24" t="inlineStr">
        <is>
          <t>PENSIONERS</t>
        </is>
      </c>
      <c r="AQ147" s="24" t="inlineStr">
        <is>
          <t>PENSIONERS</t>
        </is>
      </c>
      <c r="AR147" s="24" t="inlineStr">
        <is>
          <t>PENSIONERS</t>
        </is>
      </c>
      <c r="AS147" s="24" t="inlineStr">
        <is>
          <t>Basement Bobs</t>
        </is>
      </c>
      <c r="AT147" s="24" t="inlineStr">
        <is>
          <t>Basement Bobs</t>
        </is>
      </c>
      <c r="AU147" s="24" t="inlineStr">
        <is>
          <t>Basement Bobs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b8dea04ff55d1b5077c8587b9b9ed16ddeb7be47d75c96d6954498aa5ae37cd0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b8dea04ff55d1b5077c8587b9b9ed16ddeb7be47d75c96d6954498aa5ae37cd0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2026-08-07T15:24:05.797988Z</t>
        </is>
      </c>
      <c r="BI147" s="24" t="inlineStr">
        <is>
          <t>["same_event","same_team_same_day","same_league_same_day"]</t>
        </is>
      </c>
      <c r="BJ147" s="25" t="n"/>
      <c r="BK147" s="26" t="n">
        <v>-138</v>
      </c>
      <c r="BL147" s="27" t="n">
        <v>1.724638</v>
      </c>
      <c r="BM147" s="28" t="n">
        <v>0.579832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0fef15bbbe4f4bd0</t>
        </is>
      </c>
      <c r="B148" s="24" t="inlineStr">
        <is>
          <t>2026-08-07T15:24:16.691798Z</t>
        </is>
      </c>
      <c r="C148" s="24" t="inlineStr">
        <is>
          <t>2026-08-07T18:30:00Z</t>
        </is>
      </c>
      <c r="D148" s="24" t="inlineStr">
        <is>
          <t>74187</t>
        </is>
      </c>
      <c r="E148" s="24" t="inlineStr">
        <is>
          <t>CS2</t>
        </is>
      </c>
      <c r="F148" s="24" t="inlineStr">
        <is>
          <t>Fortress</t>
        </is>
      </c>
      <c r="G148" s="24" t="inlineStr">
        <is>
          <t>ENRAGE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150</v>
      </c>
      <c r="M148" s="27" t="n">
        <v>2.5</v>
      </c>
      <c r="N148" s="28" t="n">
        <v>0.4</v>
      </c>
      <c r="O148" s="28" t="n">
        <v>0.584786</v>
      </c>
      <c r="P148" s="28" t="n"/>
      <c r="Q148" s="28" t="n">
        <v>0.184786</v>
      </c>
      <c r="R148" s="26" t="n">
        <v>100</v>
      </c>
      <c r="S148" s="29" t="n">
        <v>1.25</v>
      </c>
      <c r="T148" s="24" t="inlineStr">
        <is>
          <t>cs2-tiered-elo-v6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Neutral Elo baseline; executable ask 0.4000 (market_slug=aec-cs2-enr-for-2026-08-07).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Fortress</t>
        </is>
      </c>
      <c r="AQ148" s="24" t="inlineStr">
        <is>
          <t>Fortress</t>
        </is>
      </c>
      <c r="AR148" s="24" t="inlineStr">
        <is>
          <t>Fortress</t>
        </is>
      </c>
      <c r="AS148" s="24" t="inlineStr">
        <is>
          <t>ENRAGE</t>
        </is>
      </c>
      <c r="AT148" s="24" t="inlineStr">
        <is>
          <t>ENRAGE</t>
        </is>
      </c>
      <c r="AU148" s="24" t="inlineStr">
        <is>
          <t>ENRAGE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b8dea04ff55d1b5077c8587b9b9ed16ddeb7be47d75c96d6954498aa5ae37cd0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b8dea04ff55d1b5077c8587b9b9ed16ddeb7be47d75c96d6954498aa5ae37cd0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2026-08-07T15:24:06.305684Z</t>
        </is>
      </c>
      <c r="BI148" s="24" t="inlineStr">
        <is>
          <t>["same_event","same_team_same_day","same_league_same_day"]</t>
        </is>
      </c>
      <c r="BJ148" s="25" t="n"/>
      <c r="BK148" s="26" t="n">
        <v>150</v>
      </c>
      <c r="BL148" s="27" t="n">
        <v>2.5</v>
      </c>
      <c r="BM148" s="28" t="n">
        <v>0.4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</row>
    <row r="149" ht="36" customHeight="1">
      <c r="A149" s="24" t="inlineStr">
        <is>
          <t>ebcc1250e84b44c2</t>
        </is>
      </c>
      <c r="B149" s="24" t="inlineStr">
        <is>
          <t>2026-08-07T15:24:16.691798Z</t>
        </is>
      </c>
      <c r="C149" s="24" t="inlineStr">
        <is>
          <t>2026-08-08T08:00:00Z</t>
        </is>
      </c>
      <c r="D149" s="24" t="inlineStr">
        <is>
          <t>72721</t>
        </is>
      </c>
      <c r="E149" s="24" t="inlineStr">
        <is>
          <t>CS2</t>
        </is>
      </c>
      <c r="F149" s="24" t="inlineStr">
        <is>
          <t>SINQU Rehti</t>
        </is>
      </c>
      <c r="G149" s="24" t="inlineStr">
        <is>
          <t>Passion Academy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117</v>
      </c>
      <c r="M149" s="27" t="n">
        <v>2.17</v>
      </c>
      <c r="N149" s="28" t="n">
        <v>0.460829</v>
      </c>
      <c r="O149" s="28" t="n">
        <v>0.584222</v>
      </c>
      <c r="P149" s="28" t="n"/>
      <c r="Q149" s="28" t="n">
        <v>0.123393</v>
      </c>
      <c r="R149" s="26" t="n">
        <v>82</v>
      </c>
      <c r="S149" s="29" t="n">
        <v>1.25</v>
      </c>
      <c r="T149" s="24" t="inlineStr">
        <is>
          <t>cs2-tiered-elo-v6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Neutral Elo baseline; executable ask 0.4600 (market_slug=aec-cs2-psna-sri-2026-08-08).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SINQU Rehti</t>
        </is>
      </c>
      <c r="AQ149" s="24" t="inlineStr">
        <is>
          <t>SINQU Rehti</t>
        </is>
      </c>
      <c r="AR149" s="24" t="inlineStr">
        <is>
          <t>SINQU Rehti</t>
        </is>
      </c>
      <c r="AS149" s="24" t="inlineStr">
        <is>
          <t>Passion Academy</t>
        </is>
      </c>
      <c r="AT149" s="24" t="inlineStr">
        <is>
          <t>Passion Academy</t>
        </is>
      </c>
      <c r="AU149" s="24" t="inlineStr">
        <is>
          <t>Passion Academy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b8dea04ff55d1b5077c8587b9b9ed16ddeb7be47d75c96d6954498aa5ae37cd0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b8dea04ff55d1b5077c8587b9b9ed16ddeb7be47d75c96d6954498aa5ae37cd0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2026-08-07T15:24:08.265612Z</t>
        </is>
      </c>
      <c r="BI149" s="24" t="inlineStr">
        <is>
          <t>["same_event","same_team_same_day","same_league_same_day"]</t>
        </is>
      </c>
      <c r="BJ149" s="25" t="n"/>
      <c r="BK149" s="26" t="n">
        <v>117</v>
      </c>
      <c r="BL149" s="27" t="n">
        <v>2.17</v>
      </c>
      <c r="BM149" s="28" t="n">
        <v>0.460829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9191c735e5414b8a</t>
        </is>
      </c>
      <c r="B150" s="24" t="inlineStr">
        <is>
          <t>2026-08-07T15:24:16.691798Z</t>
        </is>
      </c>
      <c r="C150" s="24" t="inlineStr">
        <is>
          <t>2026-08-08T10:30:00Z</t>
        </is>
      </c>
      <c r="D150" s="24" t="inlineStr">
        <is>
          <t>72750</t>
        </is>
      </c>
      <c r="E150" s="24" t="inlineStr">
        <is>
          <t>CS2</t>
        </is>
      </c>
      <c r="F150" s="24" t="inlineStr">
        <is>
          <t>VP.Prodigy</t>
        </is>
      </c>
      <c r="G150" s="24" t="inlineStr">
        <is>
          <t xml:space="preserve"> Phantom Academy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117</v>
      </c>
      <c r="M150" s="27" t="n">
        <v>2.17</v>
      </c>
      <c r="N150" s="28" t="n">
        <v>0.460829</v>
      </c>
      <c r="O150" s="28" t="n">
        <v>0.518968</v>
      </c>
      <c r="P150" s="28" t="n"/>
      <c r="Q150" s="28" t="n">
        <v>0.058139</v>
      </c>
      <c r="R150" s="26" t="n">
        <v>49</v>
      </c>
      <c r="S150" s="29" t="n">
        <v>0</v>
      </c>
      <c r="T150" s="24" t="inlineStr">
        <is>
          <t>cs2-tiered-elo-v6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Neutral Elo baseline; executable ask 0.4600 (market_slug=aec-cs2-phtmac-vpp-2026-08-08).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NO_CALL_WINNER_OVERVALUED</t>
        </is>
      </c>
      <c r="AP150" s="24" t="inlineStr">
        <is>
          <t>VP.Prodigy</t>
        </is>
      </c>
      <c r="AQ150" s="24" t="inlineStr">
        <is>
          <t>VP.Prodigy</t>
        </is>
      </c>
      <c r="AR150" s="24" t="inlineStr">
        <is>
          <t>VP.Prodigy</t>
        </is>
      </c>
      <c r="AS150" s="24" t="inlineStr">
        <is>
          <t xml:space="preserve"> Phantom Academy</t>
        </is>
      </c>
      <c r="AT150" s="24" t="inlineStr">
        <is>
          <t xml:space="preserve"> Phantom Academy</t>
        </is>
      </c>
      <c r="AU150" s="24" t="inlineStr">
        <is>
          <t xml:space="preserve"> Phantom Academy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b8dea04ff55d1b5077c8587b9b9ed16ddeb7be47d75c96d6954498aa5ae37cd0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b8dea04ff55d1b5077c8587b9b9ed16ddeb7be47d75c96d6954498aa5ae37cd0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2026-08-07T15:24:08.860550Z</t>
        </is>
      </c>
      <c r="BI150" s="24" t="inlineStr">
        <is>
          <t>["same_event","same_team_same_day","same_league_same_day"]</t>
        </is>
      </c>
      <c r="BJ150" s="25" t="n"/>
      <c r="BK150" s="26" t="n">
        <v>117</v>
      </c>
      <c r="BL150" s="27" t="n">
        <v>2.17</v>
      </c>
      <c r="BM150" s="28" t="n">
        <v>0.460829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</row>
    <row r="151" ht="36" customHeight="1">
      <c r="A151" s="24" t="inlineStr">
        <is>
          <t>138eacc6aa2a4cc7</t>
        </is>
      </c>
      <c r="B151" s="24" t="inlineStr">
        <is>
          <t>2026-08-07T15:24:16.691798Z</t>
        </is>
      </c>
      <c r="C151" s="24" t="inlineStr">
        <is>
          <t>2026-08-08T14:00:00Z</t>
        </is>
      </c>
      <c r="D151" s="24" t="inlineStr">
        <is>
          <t>74247</t>
        </is>
      </c>
      <c r="E151" s="24" t="inlineStr">
        <is>
          <t>CS2</t>
        </is>
      </c>
      <c r="F151" s="24" t="inlineStr">
        <is>
          <t>ODDIK Academy</t>
        </is>
      </c>
      <c r="G151" s="24" t="inlineStr">
        <is>
          <t>Procyon Gaming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-117</v>
      </c>
      <c r="M151" s="27" t="n">
        <v>1.854701</v>
      </c>
      <c r="N151" s="28" t="n">
        <v>0.539171</v>
      </c>
      <c r="O151" s="28" t="n">
        <v>0.5592549999999999</v>
      </c>
      <c r="P151" s="28" t="n"/>
      <c r="Q151" s="28" t="n">
        <v>0.020084</v>
      </c>
      <c r="R151" s="26" t="n">
        <v>30</v>
      </c>
      <c r="S151" s="29" t="n">
        <v>0</v>
      </c>
      <c r="T151" s="24" t="inlineStr">
        <is>
          <t>cs2-tiered-elo-v6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Neutral Elo baseline; executable ask 0.5400 (market_slug=aec-cs2-pcy-odka-2026-08-08).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NO_CALL_WINNER_OVERVALUED</t>
        </is>
      </c>
      <c r="AP151" s="24" t="inlineStr">
        <is>
          <t>ODDIK Academy</t>
        </is>
      </c>
      <c r="AQ151" s="24" t="inlineStr">
        <is>
          <t>ODDIK Academy</t>
        </is>
      </c>
      <c r="AR151" s="24" t="inlineStr">
        <is>
          <t>ODDIK Academy</t>
        </is>
      </c>
      <c r="AS151" s="24" t="inlineStr">
        <is>
          <t>Procyon Gaming</t>
        </is>
      </c>
      <c r="AT151" s="24" t="inlineStr">
        <is>
          <t>Procyon Gaming</t>
        </is>
      </c>
      <c r="AU151" s="24" t="inlineStr">
        <is>
          <t>Procyon Gaming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b8dea04ff55d1b5077c8587b9b9ed16ddeb7be47d75c96d6954498aa5ae37cd0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b8dea04ff55d1b5077c8587b9b9ed16ddeb7be47d75c96d6954498aa5ae37cd0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2026-08-07T15:24:10.214275Z</t>
        </is>
      </c>
      <c r="BI151" s="24" t="inlineStr">
        <is>
          <t>["same_event","same_team_same_day","same_league_same_day"]</t>
        </is>
      </c>
      <c r="BJ151" s="25" t="n"/>
      <c r="BK151" s="26" t="n">
        <v>-117</v>
      </c>
      <c r="BL151" s="27" t="n">
        <v>1.854701</v>
      </c>
      <c r="BM151" s="28" t="n">
        <v>0.539171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</row>
    <row r="152" ht="36" customHeight="1">
      <c r="A152" s="24" t="inlineStr">
        <is>
          <t>75195d80ff9640da</t>
        </is>
      </c>
      <c r="B152" s="24" t="inlineStr">
        <is>
          <t>2026-08-07T15:24:16.691798Z</t>
        </is>
      </c>
      <c r="C152" s="24" t="inlineStr">
        <is>
          <t>2026-08-08T17:00:00Z</t>
        </is>
      </c>
      <c r="D152" s="24" t="inlineStr">
        <is>
          <t>74248</t>
        </is>
      </c>
      <c r="E152" s="24" t="inlineStr">
        <is>
          <t>CS2</t>
        </is>
      </c>
      <c r="F152" s="24" t="inlineStr">
        <is>
          <t>UNO MILLE</t>
        </is>
      </c>
      <c r="G152" s="24" t="inlineStr">
        <is>
          <t>BORRACHEIROS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-203</v>
      </c>
      <c r="M152" s="27" t="n">
        <v>1.492611</v>
      </c>
      <c r="N152" s="28" t="n">
        <v>0.669967</v>
      </c>
      <c r="O152" s="28" t="n">
        <v>0.6052380000000001</v>
      </c>
      <c r="P152" s="28" t="n"/>
      <c r="Q152" s="28" t="n">
        <v>-0.06472899999999999</v>
      </c>
      <c r="R152" s="26" t="n">
        <v>0</v>
      </c>
      <c r="S152" s="29" t="n">
        <v>0</v>
      </c>
      <c r="T152" s="24" t="inlineStr">
        <is>
          <t>cs2-tiered-elo-v6</t>
        </is>
      </c>
      <c r="U152" s="24" t="inlineStr">
        <is>
          <t>open</t>
        </is>
      </c>
      <c r="V152" s="24" t="n"/>
      <c r="W152" s="26" t="n"/>
      <c r="X152" s="26" t="n"/>
      <c r="Y152" s="25" t="n"/>
      <c r="Z152" s="26" t="n"/>
      <c r="AA152" s="28" t="n"/>
      <c r="AB152" s="28" t="n"/>
      <c r="AC152" s="30" t="n"/>
      <c r="AD152" s="24" t="n"/>
      <c r="AE152" s="31" t="inlineStr">
        <is>
          <t>Neutral Elo baseline; executable ask 0.6700 (market_slug=aec-cs2-chama-uno-2026-08-08).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NO_CALL_WINNER_OVERVALUED</t>
        </is>
      </c>
      <c r="AP152" s="24" t="inlineStr">
        <is>
          <t>UNO MILLE</t>
        </is>
      </c>
      <c r="AQ152" s="24" t="inlineStr">
        <is>
          <t>UNO MILLE</t>
        </is>
      </c>
      <c r="AR152" s="24" t="inlineStr">
        <is>
          <t>UNO MILLE</t>
        </is>
      </c>
      <c r="AS152" s="24" t="inlineStr">
        <is>
          <t>BORRACHEIROS</t>
        </is>
      </c>
      <c r="AT152" s="24" t="inlineStr">
        <is>
          <t>BORRACHEIROS</t>
        </is>
      </c>
      <c r="AU152" s="24" t="inlineStr">
        <is>
          <t>BORRACHEIROS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b8dea04ff55d1b5077c8587b9b9ed16ddeb7be47d75c96d6954498aa5ae37cd0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b8dea04ff55d1b5077c8587b9b9ed16ddeb7be47d75c96d6954498aa5ae37cd0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2026-08-07T15:24:15.073329Z</t>
        </is>
      </c>
      <c r="BI152" s="24" t="inlineStr">
        <is>
          <t>["same_event","same_team_same_day","same_league_same_day"]</t>
        </is>
      </c>
      <c r="BJ152" s="25" t="n"/>
      <c r="BK152" s="26" t="n">
        <v>-203</v>
      </c>
      <c r="BL152" s="27" t="n">
        <v>1.492611</v>
      </c>
      <c r="BM152" s="28" t="n">
        <v>0.669967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9bcaddc4129c4b18</t>
        </is>
      </c>
      <c r="B153" s="24" t="inlineStr">
        <is>
          <t>2026-08-07T15:24:16.691798Z</t>
        </is>
      </c>
      <c r="C153" s="24" t="inlineStr">
        <is>
          <t>2026-08-08T20:00:00Z</t>
        </is>
      </c>
      <c r="D153" s="24" t="inlineStr">
        <is>
          <t>74249</t>
        </is>
      </c>
      <c r="E153" s="24" t="inlineStr">
        <is>
          <t>CS2</t>
        </is>
      </c>
      <c r="F153" s="24" t="inlineStr">
        <is>
          <t>paiN Academy</t>
        </is>
      </c>
      <c r="G153" s="24" t="inlineStr">
        <is>
          <t>ALKA GAMING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-213</v>
      </c>
      <c r="M153" s="27" t="n">
        <v>1.469484</v>
      </c>
      <c r="N153" s="28" t="n">
        <v>0.680511</v>
      </c>
      <c r="O153" s="28" t="n">
        <v>0.675345</v>
      </c>
      <c r="P153" s="28" t="n"/>
      <c r="Q153" s="28" t="n">
        <v>-0.005166</v>
      </c>
      <c r="R153" s="26" t="n">
        <v>17</v>
      </c>
      <c r="S153" s="29" t="n">
        <v>0</v>
      </c>
      <c r="T153" s="24" t="inlineStr">
        <is>
          <t>cs2-tiered-elo-v6</t>
        </is>
      </c>
      <c r="U153" s="24" t="inlineStr">
        <is>
          <t>open</t>
        </is>
      </c>
      <c r="V153" s="24" t="n"/>
      <c r="W153" s="26" t="n"/>
      <c r="X153" s="26" t="n"/>
      <c r="Y153" s="25" t="n"/>
      <c r="Z153" s="26" t="n"/>
      <c r="AA153" s="28" t="n"/>
      <c r="AB153" s="28" t="n"/>
      <c r="AC153" s="30" t="n"/>
      <c r="AD153" s="24" t="n"/>
      <c r="AE153" s="31" t="inlineStr">
        <is>
          <t>Neutral Elo baseline; executable ask 0.6800 (market_slug=aec-cs2-alka-paina-2026-08-08).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NO_CALL_WINNER_OVERVALUED</t>
        </is>
      </c>
      <c r="AP153" s="24" t="inlineStr">
        <is>
          <t>paiN Academy</t>
        </is>
      </c>
      <c r="AQ153" s="24" t="inlineStr">
        <is>
          <t>paiN Academy</t>
        </is>
      </c>
      <c r="AR153" s="24" t="inlineStr">
        <is>
          <t>paiN Academy</t>
        </is>
      </c>
      <c r="AS153" s="24" t="inlineStr">
        <is>
          <t>ALKA GAMING</t>
        </is>
      </c>
      <c r="AT153" s="24" t="inlineStr">
        <is>
          <t>ALKA GAMING</t>
        </is>
      </c>
      <c r="AU153" s="24" t="inlineStr">
        <is>
          <t>ALKA GAMING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b8dea04ff55d1b5077c8587b9b9ed16ddeb7be47d75c96d6954498aa5ae37cd0</t>
        </is>
      </c>
      <c r="BB153" s="24" t="inlineStr">
        <is>
          <t>neutral_elo</t>
        </is>
      </c>
      <c r="BC153" s="24" t="inlineStr">
        <is>
          <t>cs2-tiered-elo-v6</t>
        </is>
      </c>
      <c r="BD153" s="24" t="inlineStr">
        <is>
          <t>b8dea04ff55d1b5077c8587b9b9ed16ddeb7be47d75c96d6954498aa5ae37cd0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cs2-tiered-elo-v6</t>
        </is>
      </c>
      <c r="BH153" s="24" t="inlineStr">
        <is>
          <t>2026-08-07T15:24:15.672725Z</t>
        </is>
      </c>
      <c r="BI153" s="24" t="inlineStr">
        <is>
          <t>["same_event","same_team_same_day","same_league_same_day"]</t>
        </is>
      </c>
      <c r="BJ153" s="25" t="n"/>
      <c r="BK153" s="26" t="n">
        <v>-213</v>
      </c>
      <c r="BL153" s="27" t="n">
        <v>1.469484</v>
      </c>
      <c r="BM153" s="28" t="n">
        <v>0.680511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2026-08-07T15:25:15Z</dcterms:created>
  <dcterms:modified xmlns:dcterms="http://purl.org/dc/terms/" xmlns:xsi="http://www.w3.org/2001/XMLSchema-instance" xsi:type="dcterms:W3CDTF">2026-08-07T15:25:15Z</dcterms:modified>
</cp:coreProperties>
</file>