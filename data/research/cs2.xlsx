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18" headerRowCount="1">
  <autoFilter ref="A1:CS21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COUNTA('Picks'!$A$2:$A$218)</f>
        <v/>
      </c>
      <c r="C4" s="6">
        <f>COUNTIF('Picks'!$U$2:$U$218,"open")</f>
        <v/>
      </c>
      <c r="E4" s="6">
        <f>COUNTIF('Picks'!$U$2:$U$218,"settled")</f>
        <v/>
      </c>
      <c r="G4" s="6">
        <f>IF(COUNTIFS('Picks'!$U$2:$U$218,"settled",'Picks'!$V$2:$V$218,"win")+COUNTIFS('Picks'!$U$2:$U$218,"settled",'Picks'!$V$2:$V$218,"loss")&gt;=$L$2,"Ready","Insufficient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COUNTIF('Picks'!$BX$2:$BX$218,"&gt;0")</f>
        <v/>
      </c>
      <c r="C7" s="6">
        <f>COUNTIFS('Picks'!$BX$2:$BX$218,"&gt;0",'Picks'!$V$2:$V$218,"win")&amp;"-"&amp;COUNTIFS('Picks'!$BX$2:$BX$218,"&gt;0",'Picks'!$V$2:$V$218,"loss")</f>
        <v/>
      </c>
      <c r="E7" s="7">
        <f>IFERROR(COUNTIFS('Picks'!$BX$2:$BX$218,"&gt;0",'Picks'!$V$2:$V$218,"win")/(COUNTIFS('Picks'!$BX$2:$BX$218,"&gt;0",'Picks'!$V$2:$V$218,"win")+COUNTIFS('Picks'!$BX$2:$BX$218,"&gt;0",'Picks'!$V$2:$V$218,"loss")),0)</f>
        <v/>
      </c>
      <c r="G7" s="7">
        <f>IFERROR(SUM('Picks'!$BY$2:$BY$218)/SUM('Picks'!$BX$2:$BX$218),0)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SUM('Picks'!$BY$2:$BY$218)</f>
        <v/>
      </c>
      <c r="C10" s="9">
        <f>IFERROR(AVERAGEIF('Picks'!$AB$2:$AB$218,"&lt;&gt;",'Picks'!$AB$2:$AB$218),0)</f>
        <v/>
      </c>
      <c r="E10" s="6">
        <f>COUNTIFS('Picks'!$AM$2:$AM$218,"QUALIFIED_SHADOW_CALL",'Picks'!$U$2:$U$218,"settled")</f>
        <v/>
      </c>
      <c r="G10" s="8">
        <f>SUMIFS('Picks'!$AC$2:$AC$218,'Picks'!$AM$2:$AM$218,"QUALIFIED_SHADOW_CALL")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COUNTIFS('Picks'!$H$2:$H$218,$A14,'Picks'!$U$2:$U$218,"settled")</f>
        <v/>
      </c>
      <c r="C14" s="13">
        <f>COUNTIFS('Picks'!$H$2:$H$218,$A14,'Picks'!$U$2:$U$218,"settled",'Picks'!$V$2:$V$218,"win")</f>
        <v/>
      </c>
      <c r="D14" s="13">
        <f>COUNTIFS('Picks'!$H$2:$H$218,$A14,'Picks'!$U$2:$U$218,"settled",'Picks'!$V$2:$V$218,"loss")</f>
        <v/>
      </c>
      <c r="E14" s="14">
        <f>IFERROR(C14/(C14+D14),0)</f>
        <v/>
      </c>
      <c r="F14" s="15">
        <f>SUMIFS('Picks'!$BY$2:$BY$218,'Picks'!$H$2:$H$218,$A14)</f>
        <v/>
      </c>
      <c r="G14" s="16">
        <f>IFERROR(AVERAGEIFS('Picks'!$AB$2:$AB$218,'Picks'!$H$2:$H$218,$A14,'Picks'!$U$2:$U$218,"settled"),0)</f>
        <v/>
      </c>
    </row>
    <row r="15">
      <c r="A15" s="17" t="inlineStr">
        <is>
          <t>spread</t>
        </is>
      </c>
      <c r="B15" s="18">
        <f>COUNTIFS('Picks'!$H$2:$H$218,$A15,'Picks'!$U$2:$U$218,"settled")</f>
        <v/>
      </c>
      <c r="C15" s="18">
        <f>COUNTIFS('Picks'!$H$2:$H$218,$A15,'Picks'!$U$2:$U$218,"settled",'Picks'!$V$2:$V$218,"win")</f>
        <v/>
      </c>
      <c r="D15" s="18">
        <f>COUNTIFS('Picks'!$H$2:$H$218,$A15,'Picks'!$U$2:$U$218,"settled",'Picks'!$V$2:$V$218,"loss")</f>
        <v/>
      </c>
      <c r="E15" s="19">
        <f>IFERROR(C15/(C15+D15),0)</f>
        <v/>
      </c>
      <c r="F15" s="20">
        <f>SUMIFS('Picks'!$BY$2:$BY$218,'Picks'!$H$2:$H$218,$A15)</f>
        <v/>
      </c>
      <c r="G15" s="21">
        <f>IFERROR(AVERAGEIFS('Picks'!$AB$2:$AB$218,'Picks'!$H$2:$H$218,$A15,'Picks'!$U$2:$U$218,"settled"),0)</f>
        <v/>
      </c>
    </row>
    <row r="16">
      <c r="A16" s="12" t="inlineStr">
        <is>
          <t>total</t>
        </is>
      </c>
      <c r="B16" s="13">
        <f>COUNTIFS('Picks'!$H$2:$H$218,$A16,'Picks'!$U$2:$U$218,"settled")</f>
        <v/>
      </c>
      <c r="C16" s="13">
        <f>COUNTIFS('Picks'!$H$2:$H$218,$A16,'Picks'!$U$2:$U$218,"settled",'Picks'!$V$2:$V$218,"win")</f>
        <v/>
      </c>
      <c r="D16" s="13">
        <f>COUNTIFS('Picks'!$H$2:$H$218,$A16,'Picks'!$U$2:$U$218,"settled",'Picks'!$V$2:$V$218,"loss")</f>
        <v/>
      </c>
      <c r="E16" s="14">
        <f>IFERROR(C16/(C16+D16),0)</f>
        <v/>
      </c>
      <c r="F16" s="15">
        <f>SUMIFS('Picks'!$BY$2:$BY$218,'Picks'!$H$2:$H$218,$A16)</f>
        <v/>
      </c>
      <c r="G16" s="16">
        <f>IFERROR(AVERAGEIFS('Picks'!$AB$2:$AB$218,'Picks'!$H$2:$H$218,$A16,'Picks'!$U$2:$U$218,"settled"),0)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252b2c3809b44154</t>
        </is>
      </c>
      <c r="B2" s="24" t="inlineStr">
        <is>
          <t>2026-08-01T16:54:09.601163Z</t>
        </is>
      </c>
      <c r="C2" s="24" t="inlineStr">
        <is>
          <t>2026-08-01T17:00:00Z</t>
        </is>
      </c>
      <c r="D2" s="24" t="inlineStr">
        <is>
          <t>68198</t>
        </is>
      </c>
      <c r="E2" s="24" t="inlineStr">
        <is>
          <t>CS2</t>
        </is>
      </c>
      <c r="F2" s="24" t="inlineStr">
        <is>
          <t>Dark Moon</t>
        </is>
      </c>
      <c r="G2" s="24" t="inlineStr">
        <is>
          <t>Arch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0.544718</v>
      </c>
      <c r="P2" s="28" t="n"/>
      <c r="Q2" s="28" t="n">
        <v>-0.004832</v>
      </c>
      <c r="R2" s="26" t="n">
        <v>18</v>
      </c>
      <c r="S2" s="29" t="n">
        <v>1</v>
      </c>
      <c r="T2" s="24" t="inlineStr">
        <is>
          <t>cs2-tiered-elo-v5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Neutral Elo baseline; executable ask 0.5500 (market_slug=aec-cs2-arch-dm-2026-08-01).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Dark Moon</t>
        </is>
      </c>
      <c r="AQ2" s="24" t="inlineStr">
        <is>
          <t>Dark Moon</t>
        </is>
      </c>
      <c r="AR2" s="24" t="inlineStr">
        <is>
          <t>Dark Moon</t>
        </is>
      </c>
      <c r="AS2" s="24" t="inlineStr">
        <is>
          <t>Arch</t>
        </is>
      </c>
      <c r="AT2" s="24" t="inlineStr">
        <is>
          <t>Arch</t>
        </is>
      </c>
      <c r="AU2" s="24" t="inlineStr">
        <is>
          <t>Arch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60bbbab39d3bb25f6cb747d719929bb4fcbec9eb183993dd2b3acce8db5ad51a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60bbbab39d3bb25f6cb747d719929bb4fcbec9eb183993dd2b3acce8db5ad51a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2026-08-01T16:53:57.986704Z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a0b6032aac0c414d</t>
        </is>
      </c>
      <c r="B3" s="24" t="inlineStr">
        <is>
          <t>2026-08-04T16:54:42.280324Z</t>
        </is>
      </c>
      <c r="C3" s="24" t="inlineStr">
        <is>
          <t>2026-08-04T17:00:00Z</t>
        </is>
      </c>
      <c r="D3" s="24" t="inlineStr">
        <is>
          <t>71337</t>
        </is>
      </c>
      <c r="E3" s="24" t="inlineStr">
        <is>
          <t>CS2</t>
        </is>
      </c>
      <c r="F3" s="24" t="inlineStr">
        <is>
          <t>A Great Chaos</t>
        </is>
      </c>
      <c r="G3" s="24" t="inlineStr">
        <is>
          <t>Fortress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0.580391</v>
      </c>
      <c r="P3" s="28" t="n"/>
      <c r="Q3" s="28" t="n">
        <v>0.02092</v>
      </c>
      <c r="R3" s="26" t="n">
        <v>30</v>
      </c>
      <c r="S3" s="29" t="n">
        <v>1.25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2026-08-04T18:03:37.491780Z</t>
        </is>
      </c>
      <c r="AE3" s="31" t="inlineStr">
        <is>
          <t>Neutral Elo baseline; executable ask 0.5600 (market_slug=aec-cs2-for-agc-2026-08-04).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A Great Chaos</t>
        </is>
      </c>
      <c r="AQ3" s="24" t="inlineStr">
        <is>
          <t>A Great Chaos</t>
        </is>
      </c>
      <c r="AR3" s="24" t="inlineStr">
        <is>
          <t>A Great Chaos</t>
        </is>
      </c>
      <c r="AS3" s="24" t="inlineStr">
        <is>
          <t>Fortress</t>
        </is>
      </c>
      <c r="AT3" s="24" t="inlineStr">
        <is>
          <t>Fortress</t>
        </is>
      </c>
      <c r="AU3" s="24" t="inlineStr">
        <is>
          <t>Fortress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87e73f3e8c33751dbc7005b4404d0ee0ac9b9f8c3869a8f2e7fbc367004c2f64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87e73f3e8c33751dbc7005b4404d0ee0ac9b9f8c3869a8f2e7fbc367004c2f64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2026-08-04T16:54:14.340644Z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fa321ee4546f45ee</t>
        </is>
      </c>
      <c r="B4" s="24" t="inlineStr">
        <is>
          <t>2026-08-04T16:54:42.280324Z</t>
        </is>
      </c>
      <c r="C4" s="24" t="inlineStr">
        <is>
          <t>2026-08-04T17:00:00Z</t>
        </is>
      </c>
      <c r="D4" s="24" t="inlineStr">
        <is>
          <t>68567</t>
        </is>
      </c>
      <c r="E4" s="24" t="inlineStr">
        <is>
          <t>CS2</t>
        </is>
      </c>
      <c r="F4" s="24" t="inlineStr">
        <is>
          <t>INOX Division</t>
        </is>
      </c>
      <c r="G4" s="24" t="inlineStr">
        <is>
          <t>Eternal Fire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0.507786</v>
      </c>
      <c r="P4" s="28" t="n"/>
      <c r="Q4" s="28" t="n">
        <v>-0.072046</v>
      </c>
      <c r="R4" s="26" t="n">
        <v>0</v>
      </c>
      <c r="S4" s="29" t="n">
        <v>1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</v>
      </c>
      <c r="AD4" s="24" t="inlineStr">
        <is>
          <t>2026-08-04T21:59:13.108354Z</t>
        </is>
      </c>
      <c r="AE4" s="31" t="inlineStr">
        <is>
          <t>Neutral Elo baseline; executable ask 0.5800 (market_slug=aec-cs2-ef-inox-2026-08-04).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INOX Division</t>
        </is>
      </c>
      <c r="AQ4" s="24" t="inlineStr">
        <is>
          <t>INOX Division</t>
        </is>
      </c>
      <c r="AR4" s="24" t="inlineStr">
        <is>
          <t>INOX Division</t>
        </is>
      </c>
      <c r="AS4" s="24" t="inlineStr">
        <is>
          <t>Eternal Fire</t>
        </is>
      </c>
      <c r="AT4" s="24" t="inlineStr">
        <is>
          <t>Eternal Fire</t>
        </is>
      </c>
      <c r="AU4" s="24" t="inlineStr">
        <is>
          <t>Eternal Fire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87e73f3e8c33751dbc7005b4404d0ee0ac9b9f8c3869a8f2e7fbc367004c2f64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87e73f3e8c33751dbc7005b4404d0ee0ac9b9f8c3869a8f2e7fbc367004c2f64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2026-08-04T16:54:14.852628Z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</row>
    <row r="5" ht="36" customHeight="1">
      <c r="A5" s="24" t="inlineStr">
        <is>
          <t>528ccc28a02b428d</t>
        </is>
      </c>
      <c r="B5" s="24" t="inlineStr">
        <is>
          <t>2026-08-04T16:54:42.280324Z</t>
        </is>
      </c>
      <c r="C5" s="24" t="inlineStr">
        <is>
          <t>2026-08-04T17:00:00Z</t>
        </is>
      </c>
      <c r="D5" s="24" t="inlineStr">
        <is>
          <t>68565</t>
        </is>
      </c>
      <c r="E5" s="24" t="inlineStr">
        <is>
          <t>CS2</t>
        </is>
      </c>
      <c r="F5" s="24" t="inlineStr">
        <is>
          <t>ALKA GAMING</t>
        </is>
      </c>
      <c r="G5" s="24" t="inlineStr">
        <is>
          <t>UNO MILLE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-213</v>
      </c>
      <c r="M5" s="27" t="n">
        <v>1.469484</v>
      </c>
      <c r="N5" s="28" t="n">
        <v>0.680511</v>
      </c>
      <c r="O5" s="28" t="n">
        <v>0.576068</v>
      </c>
      <c r="P5" s="28" t="n"/>
      <c r="Q5" s="28" t="n">
        <v>-0.104443</v>
      </c>
      <c r="R5" s="26" t="n">
        <v>0</v>
      </c>
      <c r="S5" s="29" t="n">
        <v>1.25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-213</v>
      </c>
      <c r="AA5" s="28" t="n">
        <v>0.68</v>
      </c>
      <c r="AB5" s="28" t="n">
        <v>-0.000511</v>
      </c>
      <c r="AC5" s="30" t="n">
        <v>-1.25</v>
      </c>
      <c r="AD5" s="24" t="inlineStr">
        <is>
          <t>2026-08-04T21:59:14.754042Z</t>
        </is>
      </c>
      <c r="AE5" s="31" t="inlineStr">
        <is>
          <t>Neutral Elo baseline; executable ask 0.6800 (market_slug=aec-cs2-uno-alka-2026-08-04).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ALKA GAMING</t>
        </is>
      </c>
      <c r="AQ5" s="24" t="inlineStr">
        <is>
          <t>ALKA GAMING</t>
        </is>
      </c>
      <c r="AR5" s="24" t="inlineStr">
        <is>
          <t>ALKA GAMING</t>
        </is>
      </c>
      <c r="AS5" s="24" t="inlineStr">
        <is>
          <t>UNO MILLE</t>
        </is>
      </c>
      <c r="AT5" s="24" t="inlineStr">
        <is>
          <t>UNO MILLE</t>
        </is>
      </c>
      <c r="AU5" s="24" t="inlineStr">
        <is>
          <t>UNO MILLE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87e73f3e8c33751dbc7005b4404d0ee0ac9b9f8c3869a8f2e7fbc367004c2f64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87e73f3e8c33751dbc7005b4404d0ee0ac9b9f8c3869a8f2e7fbc367004c2f64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2026-08-04T16:54:15.572827Z</t>
        </is>
      </c>
      <c r="BI5" s="24" t="inlineStr">
        <is>
          <t>["same_event","same_team_same_day","same_league_same_day"]</t>
        </is>
      </c>
      <c r="BJ5" s="25" t="n"/>
      <c r="BK5" s="26" t="n">
        <v>-213</v>
      </c>
      <c r="BL5" s="27" t="n">
        <v>1.469484</v>
      </c>
      <c r="BM5" s="28" t="n">
        <v>0.680511</v>
      </c>
      <c r="BN5" s="28" t="n"/>
      <c r="BO5" s="28" t="n"/>
      <c r="BP5" s="25" t="n"/>
      <c r="BQ5" s="27" t="n">
        <v>1.469484</v>
      </c>
      <c r="BR5" s="28" t="n">
        <v>0.68</v>
      </c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6837fadd84c14557</t>
        </is>
      </c>
      <c r="B6" s="24" t="inlineStr">
        <is>
          <t>2026-08-04T16:54:42.280324Z</t>
        </is>
      </c>
      <c r="C6" s="24" t="inlineStr">
        <is>
          <t>2026-08-04T17:00:00Z</t>
        </is>
      </c>
      <c r="D6" s="24" t="inlineStr">
        <is>
          <t>71321</t>
        </is>
      </c>
      <c r="E6" s="24" t="inlineStr">
        <is>
          <t>CS2</t>
        </is>
      </c>
      <c r="F6" s="24" t="inlineStr">
        <is>
          <t>ex-Young Ninjas</t>
        </is>
      </c>
      <c r="G6" s="24" t="inlineStr">
        <is>
          <t>UNiTY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0.5041060000000001</v>
      </c>
      <c r="P6" s="28" t="n"/>
      <c r="Q6" s="28" t="n">
        <v>0.004106</v>
      </c>
      <c r="R6" s="26" t="n">
        <v>22</v>
      </c>
      <c r="S6" s="29" t="n">
        <v>1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100</v>
      </c>
      <c r="AA6" s="28" t="n">
        <v>0.5</v>
      </c>
      <c r="AB6" s="28" t="n">
        <v>0</v>
      </c>
      <c r="AC6" s="30" t="n">
        <v>-1</v>
      </c>
      <c r="AD6" s="24" t="inlineStr">
        <is>
          <t>2026-08-04T21:59:16.356884Z</t>
        </is>
      </c>
      <c r="AE6" s="31" t="inlineStr">
        <is>
          <t>Neutral Elo baseline; executable ask 0.5000 (market_slug=aec-cs2-unity-eyn-2026-08-04).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ex-Young Ninjas</t>
        </is>
      </c>
      <c r="AQ6" s="24" t="inlineStr">
        <is>
          <t>ex-Young Ninjas</t>
        </is>
      </c>
      <c r="AR6" s="24" t="inlineStr">
        <is>
          <t>ex-Young Ninjas</t>
        </is>
      </c>
      <c r="AS6" s="24" t="inlineStr">
        <is>
          <t>UNiTY esports</t>
        </is>
      </c>
      <c r="AT6" s="24" t="inlineStr">
        <is>
          <t>UNiTY esports</t>
        </is>
      </c>
      <c r="AU6" s="24" t="inlineStr">
        <is>
          <t>UNiTY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87e73f3e8c33751dbc7005b4404d0ee0ac9b9f8c3869a8f2e7fbc367004c2f64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87e73f3e8c33751dbc7005b4404d0ee0ac9b9f8c3869a8f2e7fbc367004c2f64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2026-08-04T16:54:18.104504Z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c3931abfbab2458e</t>
        </is>
      </c>
      <c r="B7" s="24" t="inlineStr">
        <is>
          <t>2026-08-04T16:54:42.280324Z</t>
        </is>
      </c>
      <c r="C7" s="24" t="inlineStr">
        <is>
          <t>2026-08-04T17:15:00Z</t>
        </is>
      </c>
      <c r="D7" s="24" t="inlineStr">
        <is>
          <t>71339</t>
        </is>
      </c>
      <c r="E7" s="24" t="inlineStr">
        <is>
          <t>CS2</t>
        </is>
      </c>
      <c r="F7" s="24" t="inlineStr">
        <is>
          <t>OLDBOYS PL</t>
        </is>
      </c>
      <c r="G7" s="24" t="inlineStr">
        <is>
          <t>XI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-203</v>
      </c>
      <c r="M7" s="27" t="n">
        <v>1.492611</v>
      </c>
      <c r="N7" s="28" t="n">
        <v>0.669967</v>
      </c>
      <c r="O7" s="28" t="n">
        <v>0.6610549999999999</v>
      </c>
      <c r="P7" s="28" t="n"/>
      <c r="Q7" s="28" t="n">
        <v>-0.008912</v>
      </c>
      <c r="R7" s="26" t="n">
        <v>16</v>
      </c>
      <c r="S7" s="29" t="n">
        <v>1.75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-203</v>
      </c>
      <c r="AA7" s="28" t="n">
        <v>0.67</v>
      </c>
      <c r="AB7" s="28" t="n">
        <v>3.3e-05</v>
      </c>
      <c r="AC7" s="30" t="n">
        <v>0.8621</v>
      </c>
      <c r="AD7" s="24" t="inlineStr">
        <is>
          <t>2026-08-04T21:59:17.977068Z</t>
        </is>
      </c>
      <c r="AE7" s="31" t="inlineStr">
        <is>
          <t>Neutral Elo baseline; executable ask 0.6700 (market_slug=aec-cs2-xi-oldboyspl-2026-08-04).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OLDBOYS PL</t>
        </is>
      </c>
      <c r="AQ7" s="24" t="inlineStr">
        <is>
          <t>OLDBOYS PL</t>
        </is>
      </c>
      <c r="AR7" s="24" t="inlineStr">
        <is>
          <t>OLDBOYS PL</t>
        </is>
      </c>
      <c r="AS7" s="24" t="inlineStr">
        <is>
          <t>XI Esport</t>
        </is>
      </c>
      <c r="AT7" s="24" t="inlineStr">
        <is>
          <t>XI Esport</t>
        </is>
      </c>
      <c r="AU7" s="24" t="inlineStr">
        <is>
          <t>XI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87e73f3e8c33751dbc7005b4404d0ee0ac9b9f8c3869a8f2e7fbc367004c2f64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87e73f3e8c33751dbc7005b4404d0ee0ac9b9f8c3869a8f2e7fbc367004c2f64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2026-08-04T16:54:18.673032Z</t>
        </is>
      </c>
      <c r="BI7" s="24" t="inlineStr">
        <is>
          <t>["same_event","same_team_same_day","same_league_same_day"]</t>
        </is>
      </c>
      <c r="BJ7" s="25" t="n"/>
      <c r="BK7" s="26" t="n">
        <v>-203</v>
      </c>
      <c r="BL7" s="27" t="n">
        <v>1.492611</v>
      </c>
      <c r="BM7" s="28" t="n">
        <v>0.669967</v>
      </c>
      <c r="BN7" s="28" t="n"/>
      <c r="BO7" s="28" t="n"/>
      <c r="BP7" s="25" t="n"/>
      <c r="BQ7" s="27" t="n">
        <v>1.492611</v>
      </c>
      <c r="BR7" s="28" t="n">
        <v>0.67</v>
      </c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391552ba11844f69</t>
        </is>
      </c>
      <c r="B8" s="24" t="inlineStr">
        <is>
          <t>2026-08-04T18:08:37.067138Z</t>
        </is>
      </c>
      <c r="C8" s="24" t="inlineStr">
        <is>
          <t>2026-08-04T18:30:00Z</t>
        </is>
      </c>
      <c r="D8" s="24" t="inlineStr">
        <is>
          <t>71341</t>
        </is>
      </c>
      <c r="E8" s="24" t="inlineStr">
        <is>
          <t>CS2</t>
        </is>
      </c>
      <c r="F8" s="24" t="inlineStr">
        <is>
          <t>mellren</t>
        </is>
      </c>
      <c r="G8" s="24" t="inlineStr">
        <is>
          <t>uust _esports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0.501063</v>
      </c>
      <c r="P8" s="28" t="n"/>
      <c r="Q8" s="28" t="n">
        <v>0.001063</v>
      </c>
      <c r="R8" s="26" t="n">
        <v>21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100</v>
      </c>
      <c r="AA8" s="28" t="n">
        <v>0.5</v>
      </c>
      <c r="AB8" s="28" t="n">
        <v>0</v>
      </c>
      <c r="AC8" s="30" t="n">
        <v>1</v>
      </c>
      <c r="AD8" s="24" t="inlineStr">
        <is>
          <t>2026-08-05T01:05:52.538542Z</t>
        </is>
      </c>
      <c r="AE8" s="31" t="inlineStr">
        <is>
          <t>Neutral Elo baseline; executable ask 0.5000 (market_slug=aec-cs2-uust-mel-2026-08-04).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mellren</t>
        </is>
      </c>
      <c r="AQ8" s="24" t="inlineStr">
        <is>
          <t>mellren</t>
        </is>
      </c>
      <c r="AR8" s="24" t="inlineStr">
        <is>
          <t>mellren</t>
        </is>
      </c>
      <c r="AS8" s="24" t="inlineStr">
        <is>
          <t>uust _esports</t>
        </is>
      </c>
      <c r="AT8" s="24" t="inlineStr">
        <is>
          <t>uust _esports</t>
        </is>
      </c>
      <c r="AU8" s="24" t="inlineStr">
        <is>
          <t>uust _esports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3d3dc6a4f0641cb9aa015aaf4ccd2f260230dfea2e1b613f3ccdb860b2230f3e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3d3dc6a4f0641cb9aa015aaf4ccd2f260230dfea2e1b613f3ccdb860b2230f3e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2026-08-04T18:08:10.725061Z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>
        <v>2</v>
      </c>
      <c r="BR8" s="28" t="n">
        <v>0.5</v>
      </c>
      <c r="BS8" s="28" t="n"/>
      <c r="BT8" s="28" t="n"/>
      <c r="BU8" s="25" t="n"/>
      <c r="BV8" s="29" t="n"/>
      <c r="BW8" s="24" t="n"/>
      <c r="BX8" s="30" t="n">
        <v>1</v>
      </c>
      <c r="BY8" s="27" t="n">
        <v>0.91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8dbd912020ee4c2d</t>
        </is>
      </c>
      <c r="B9" s="24" t="inlineStr">
        <is>
          <t>2026-08-04T18:08:37.067138Z</t>
        </is>
      </c>
      <c r="C9" s="24" t="inlineStr">
        <is>
          <t>2026-08-04T18:30:00Z</t>
        </is>
      </c>
      <c r="D9" s="24" t="inlineStr">
        <is>
          <t>70533</t>
        </is>
      </c>
      <c r="E9" s="24" t="inlineStr">
        <is>
          <t>CS2</t>
        </is>
      </c>
      <c r="F9" s="24" t="inlineStr">
        <is>
          <t>Rush</t>
        </is>
      </c>
      <c r="G9" s="24" t="inlineStr">
        <is>
          <t>Grêmio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0.50231</v>
      </c>
      <c r="P9" s="28" t="n"/>
      <c r="Q9" s="28" t="n">
        <v>-0.137978</v>
      </c>
      <c r="R9" s="26" t="n">
        <v>0</v>
      </c>
      <c r="S9" s="29" t="n">
        <v>1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0.5618</v>
      </c>
      <c r="AD9" s="24" t="inlineStr">
        <is>
          <t>2026-08-04T21:59:20.625187Z</t>
        </is>
      </c>
      <c r="AE9" s="31" t="inlineStr">
        <is>
          <t>Neutral Elo baseline; executable ask 0.6400 (market_slug=aec-cs2-ger-rush-2026-08-04).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Rush</t>
        </is>
      </c>
      <c r="AQ9" s="24" t="inlineStr">
        <is>
          <t>Rush</t>
        </is>
      </c>
      <c r="AR9" s="24" t="inlineStr">
        <is>
          <t>Rush</t>
        </is>
      </c>
      <c r="AS9" s="24" t="inlineStr">
        <is>
          <t>Grêmio Esports</t>
        </is>
      </c>
      <c r="AT9" s="24" t="inlineStr">
        <is>
          <t>Grêmio Esports</t>
        </is>
      </c>
      <c r="AU9" s="24" t="inlineStr">
        <is>
          <t>Grêmio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3d3dc6a4f0641cb9aa015aaf4ccd2f260230dfea2e1b613f3ccdb860b2230f3e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3d3dc6a4f0641cb9aa015aaf4ccd2f260230dfea2e1b613f3ccdb860b2230f3e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2026-08-04T18:08:11.509479Z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>
        <v>1</v>
      </c>
      <c r="BY9" s="27" t="n">
        <v>0.91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</row>
    <row r="10" ht="36" customHeight="1">
      <c r="A10" s="24" t="inlineStr">
        <is>
          <t>ea16728e5d3b451a</t>
        </is>
      </c>
      <c r="B10" s="24" t="inlineStr">
        <is>
          <t>2026-08-04T18:08:37.067138Z</t>
        </is>
      </c>
      <c r="C10" s="24" t="inlineStr">
        <is>
          <t>2026-08-04T18:30:00Z</t>
        </is>
      </c>
      <c r="D10" s="24" t="inlineStr">
        <is>
          <t>71391</t>
        </is>
      </c>
      <c r="E10" s="24" t="inlineStr">
        <is>
          <t>CS2</t>
        </is>
      </c>
      <c r="F10" s="24" t="inlineStr">
        <is>
          <t>A Great Chaos</t>
        </is>
      </c>
      <c r="G10" s="24" t="inlineStr">
        <is>
          <t>FAST LAYNERS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0.633669</v>
      </c>
      <c r="P10" s="28" t="n"/>
      <c r="Q10" s="28" t="n">
        <v>0.074198</v>
      </c>
      <c r="R10" s="26" t="n">
        <v>57</v>
      </c>
      <c r="S10" s="29" t="n">
        <v>1.5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-1.5</v>
      </c>
      <c r="AD10" s="24" t="inlineStr">
        <is>
          <t>2026-08-04T21:59:22.259337Z</t>
        </is>
      </c>
      <c r="AE10" s="31" t="inlineStr">
        <is>
          <t>Neutral Elo baseline; executable ask 0.5600 (market_slug=aec-cs2-fla-agc-2026-08-04).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 Great Chaos</t>
        </is>
      </c>
      <c r="AQ10" s="24" t="inlineStr">
        <is>
          <t>A Great Chaos</t>
        </is>
      </c>
      <c r="AR10" s="24" t="inlineStr">
        <is>
          <t>A Great Chaos</t>
        </is>
      </c>
      <c r="AS10" s="24" t="inlineStr">
        <is>
          <t>FAST LAYNERS</t>
        </is>
      </c>
      <c r="AT10" s="24" t="inlineStr">
        <is>
          <t>FAST LAYNERS</t>
        </is>
      </c>
      <c r="AU10" s="24" t="inlineStr">
        <is>
          <t>FAST LAYNERS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3d3dc6a4f0641cb9aa015aaf4ccd2f260230dfea2e1b613f3ccdb860b2230f3e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3d3dc6a4f0641cb9aa015aaf4ccd2f260230dfea2e1b613f3ccdb860b2230f3e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2026-08-04T18:08:12.712388Z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6e8452c1f14141a4</t>
        </is>
      </c>
      <c r="B11" s="24" t="inlineStr">
        <is>
          <t>2026-08-04T18:08:37.067138Z</t>
        </is>
      </c>
      <c r="C11" s="24" t="inlineStr">
        <is>
          <t>2026-08-04T18:30:00Z</t>
        </is>
      </c>
      <c r="D11" s="24" t="inlineStr">
        <is>
          <t>71390</t>
        </is>
      </c>
      <c r="E11" s="24" t="inlineStr">
        <is>
          <t>CS2</t>
        </is>
      </c>
      <c r="F11" s="24" t="inlineStr">
        <is>
          <t>Subtop De France</t>
        </is>
      </c>
      <c r="G11" s="24" t="inlineStr">
        <is>
          <t>Glitchtech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0.6049600000000001</v>
      </c>
      <c r="P11" s="28" t="n"/>
      <c r="Q11" s="28" t="n">
        <v>-0.004415</v>
      </c>
      <c r="R11" s="26" t="n">
        <v>18</v>
      </c>
      <c r="S11" s="29" t="n">
        <v>1.25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0.8013</v>
      </c>
      <c r="AD11" s="24" t="inlineStr">
        <is>
          <t>2026-08-06T18:54:22.566929Z</t>
        </is>
      </c>
      <c r="AE11" s="31" t="inlineStr">
        <is>
          <t>Neutral Elo baseline; executable ask 0.6100 (market_slug=aec-cs2-gel-sdf-2026-08-04).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Subtop De France</t>
        </is>
      </c>
      <c r="AQ11" s="24" t="inlineStr">
        <is>
          <t>Subtop De France</t>
        </is>
      </c>
      <c r="AR11" s="24" t="inlineStr">
        <is>
          <t>Subtop De France</t>
        </is>
      </c>
      <c r="AS11" s="24" t="inlineStr">
        <is>
          <t>Glitchtech Esports</t>
        </is>
      </c>
      <c r="AT11" s="24" t="inlineStr">
        <is>
          <t>Glitchtech Esports</t>
        </is>
      </c>
      <c r="AU11" s="24" t="inlineStr">
        <is>
          <t>Glitchtech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3d3dc6a4f0641cb9aa015aaf4ccd2f260230dfea2e1b613f3ccdb860b2230f3e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3d3dc6a4f0641cb9aa015aaf4ccd2f260230dfea2e1b613f3ccdb860b2230f3e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2026-08-04T18:08:13.464831Z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</row>
    <row r="12" ht="36" customHeight="1">
      <c r="A12" s="24" t="inlineStr">
        <is>
          <t>10ccf018a82d4dee</t>
        </is>
      </c>
      <c r="B12" s="24" t="inlineStr">
        <is>
          <t>2026-08-04T18:08:37.067138Z</t>
        </is>
      </c>
      <c r="C12" s="24" t="inlineStr">
        <is>
          <t>2026-08-04T18:30:00Z</t>
        </is>
      </c>
      <c r="D12" s="24" t="inlineStr">
        <is>
          <t>71389</t>
        </is>
      </c>
      <c r="E12" s="24" t="inlineStr">
        <is>
          <t>CS2</t>
        </is>
      </c>
      <c r="F12" s="24" t="inlineStr">
        <is>
          <t>Banger Gang</t>
        </is>
      </c>
      <c r="G12" s="24" t="inlineStr">
        <is>
          <t>Arch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0.684275</v>
      </c>
      <c r="P12" s="28" t="n"/>
      <c r="Q12" s="28" t="n">
        <v>0.174471</v>
      </c>
      <c r="R12" s="26" t="n">
        <v>100</v>
      </c>
      <c r="S12" s="29" t="n">
        <v>2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-104</v>
      </c>
      <c r="AA12" s="28" t="n">
        <v>0.51</v>
      </c>
      <c r="AB12" s="28" t="n">
        <v>0.000196</v>
      </c>
      <c r="AC12" s="30" t="n">
        <v>-2</v>
      </c>
      <c r="AD12" s="24" t="inlineStr">
        <is>
          <t>2026-08-05T01:05:56.928096Z</t>
        </is>
      </c>
      <c r="AE12" s="31" t="inlineStr">
        <is>
          <t>Neutral Elo baseline; executable ask 0.5100 (market_slug=aec-cs2-arch-bg-2026-08-04).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Banger Gang</t>
        </is>
      </c>
      <c r="AQ12" s="24" t="inlineStr">
        <is>
          <t>Banger Gang</t>
        </is>
      </c>
      <c r="AR12" s="24" t="inlineStr">
        <is>
          <t>Banger Gang</t>
        </is>
      </c>
      <c r="AS12" s="24" t="inlineStr">
        <is>
          <t>Arch</t>
        </is>
      </c>
      <c r="AT12" s="24" t="inlineStr">
        <is>
          <t>Arch</t>
        </is>
      </c>
      <c r="AU12" s="24" t="inlineStr">
        <is>
          <t>Arch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3d3dc6a4f0641cb9aa015aaf4ccd2f260230dfea2e1b613f3ccdb860b2230f3e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3d3dc6a4f0641cb9aa015aaf4ccd2f260230dfea2e1b613f3ccdb860b2230f3e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2026-08-04T18:08:14.227023Z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8e98fbabec744558</t>
        </is>
      </c>
      <c r="B13" s="24" t="inlineStr">
        <is>
          <t>2026-08-04T18:08:37.067138Z</t>
        </is>
      </c>
      <c r="C13" s="24" t="inlineStr">
        <is>
          <t>2026-08-04T18:30:00Z</t>
        </is>
      </c>
      <c r="D13" s="24" t="inlineStr">
        <is>
          <t>71388</t>
        </is>
      </c>
      <c r="E13" s="24" t="inlineStr">
        <is>
          <t>CS2</t>
        </is>
      </c>
      <c r="F13" s="24" t="inlineStr">
        <is>
          <t>Fraternity</t>
        </is>
      </c>
      <c r="G13" s="24" t="inlineStr">
        <is>
          <t>PURE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0.556272</v>
      </c>
      <c r="P13" s="28" t="n"/>
      <c r="Q13" s="28" t="n">
        <v>0.025756</v>
      </c>
      <c r="R13" s="26" t="n">
        <v>33</v>
      </c>
      <c r="S13" s="29" t="n">
        <v>1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-113</v>
      </c>
      <c r="AA13" s="28" t="n">
        <v>0.53</v>
      </c>
      <c r="AB13" s="28" t="n">
        <v>-0.000516</v>
      </c>
      <c r="AC13" s="30" t="n">
        <v>0.885</v>
      </c>
      <c r="AD13" s="24" t="inlineStr">
        <is>
          <t>2026-08-04T21:59:26.104976Z</t>
        </is>
      </c>
      <c r="AE13" s="31" t="inlineStr">
        <is>
          <t>Neutral Elo baseline; executable ask 0.5300 (market_slug=aec-cs2-pure-frt-2026-08-04).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Fraternity</t>
        </is>
      </c>
      <c r="AQ13" s="24" t="inlineStr">
        <is>
          <t>Fraternity</t>
        </is>
      </c>
      <c r="AR13" s="24" t="inlineStr">
        <is>
          <t>Fraternity</t>
        </is>
      </c>
      <c r="AS13" s="24" t="inlineStr">
        <is>
          <t>PURE</t>
        </is>
      </c>
      <c r="AT13" s="24" t="inlineStr">
        <is>
          <t>PURE</t>
        </is>
      </c>
      <c r="AU13" s="24" t="inlineStr">
        <is>
          <t>PURE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3d3dc6a4f0641cb9aa015aaf4ccd2f260230dfea2e1b613f3ccdb860b2230f3e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3d3dc6a4f0641cb9aa015aaf4ccd2f260230dfea2e1b613f3ccdb860b2230f3e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2026-08-04T18:08:15.431614Z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>
        <v>1.884956</v>
      </c>
      <c r="BR13" s="28" t="n">
        <v>0.53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4d9df78b0b5a402d</t>
        </is>
      </c>
      <c r="B14" s="24" t="inlineStr">
        <is>
          <t>2026-08-04T18:08:37.067138Z</t>
        </is>
      </c>
      <c r="C14" s="24" t="inlineStr">
        <is>
          <t>2026-08-04T18:30:00Z</t>
        </is>
      </c>
      <c r="D14" s="24" t="inlineStr">
        <is>
          <t>71387</t>
        </is>
      </c>
      <c r="E14" s="24" t="inlineStr">
        <is>
          <t>CS2</t>
        </is>
      </c>
      <c r="F14" s="24" t="inlineStr">
        <is>
          <t>OLDBOYS PL</t>
        </is>
      </c>
      <c r="G14" s="24" t="inlineStr">
        <is>
          <t>eSuba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0.595428</v>
      </c>
      <c r="P14" s="28" t="n"/>
      <c r="Q14" s="28" t="n">
        <v>0.015596</v>
      </c>
      <c r="R14" s="26" t="n">
        <v>28</v>
      </c>
      <c r="S14" s="29" t="n">
        <v>1.25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-138</v>
      </c>
      <c r="AA14" s="28" t="n">
        <v>0.58</v>
      </c>
      <c r="AB14" s="28" t="n">
        <v>0.000168</v>
      </c>
      <c r="AC14" s="30" t="n">
        <v>0.9058</v>
      </c>
      <c r="AD14" s="24" t="inlineStr">
        <is>
          <t>2026-08-06T18:54:25.191426Z</t>
        </is>
      </c>
      <c r="AE14" s="31" t="inlineStr">
        <is>
          <t>Neutral Elo baseline; executable ask 0.5800 (market_slug=aec-cs2-esb-oldboyspl-2026-08-04).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OLDBOYS PL</t>
        </is>
      </c>
      <c r="AQ14" s="24" t="inlineStr">
        <is>
          <t>OLDBOYS PL</t>
        </is>
      </c>
      <c r="AR14" s="24" t="inlineStr">
        <is>
          <t>OLDBOYS PL</t>
        </is>
      </c>
      <c r="AS14" s="24" t="inlineStr">
        <is>
          <t>eSuba</t>
        </is>
      </c>
      <c r="AT14" s="24" t="inlineStr">
        <is>
          <t>eSuba</t>
        </is>
      </c>
      <c r="AU14" s="24" t="inlineStr">
        <is>
          <t>eSuba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3d3dc6a4f0641cb9aa015aaf4ccd2f260230dfea2e1b613f3ccdb860b2230f3e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3d3dc6a4f0641cb9aa015aaf4ccd2f260230dfea2e1b613f3ccdb860b2230f3e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2026-08-04T18:08:16.175127Z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>
        <v>1.724638</v>
      </c>
      <c r="BR14" s="28" t="n">
        <v>0.58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73d32b6a9f1d44f4</t>
        </is>
      </c>
      <c r="B15" s="24" t="inlineStr">
        <is>
          <t>2026-08-04T18:08:37.067138Z</t>
        </is>
      </c>
      <c r="C15" s="24" t="inlineStr">
        <is>
          <t>2026-08-04T18:30:00Z</t>
        </is>
      </c>
      <c r="D15" s="24" t="inlineStr">
        <is>
          <t>71386</t>
        </is>
      </c>
      <c r="E15" s="24" t="inlineStr">
        <is>
          <t>CS2</t>
        </is>
      </c>
      <c r="F15" s="24" t="inlineStr">
        <is>
          <t>VP.Prodigy</t>
        </is>
      </c>
      <c r="G15" s="24" t="inlineStr">
        <is>
          <t>Diamant Esports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-203</v>
      </c>
      <c r="M15" s="27" t="n">
        <v>1.492611</v>
      </c>
      <c r="N15" s="28" t="n">
        <v>0.669967</v>
      </c>
      <c r="O15" s="28" t="n">
        <v>0.555195</v>
      </c>
      <c r="P15" s="28" t="n"/>
      <c r="Q15" s="28" t="n">
        <v>-0.114772</v>
      </c>
      <c r="R15" s="26" t="n">
        <v>0</v>
      </c>
      <c r="S15" s="29" t="n">
        <v>1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-203</v>
      </c>
      <c r="AA15" s="28" t="n">
        <v>0.67</v>
      </c>
      <c r="AB15" s="28" t="n">
        <v>3.3e-05</v>
      </c>
      <c r="AC15" s="30" t="n">
        <v>0.4926</v>
      </c>
      <c r="AD15" s="24" t="inlineStr">
        <is>
          <t>2026-08-04T21:59:28.748789Z</t>
        </is>
      </c>
      <c r="AE15" s="31" t="inlineStr">
        <is>
          <t>Neutral Elo baseline; executable ask 0.6700 (market_slug=aec-cs2-dei-vpp-2026-08-04).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VP.Prodigy</t>
        </is>
      </c>
      <c r="AQ15" s="24" t="inlineStr">
        <is>
          <t>VP.Prodigy</t>
        </is>
      </c>
      <c r="AR15" s="24" t="inlineStr">
        <is>
          <t>VP.Prodigy</t>
        </is>
      </c>
      <c r="AS15" s="24" t="inlineStr">
        <is>
          <t>Diamant Esports</t>
        </is>
      </c>
      <c r="AT15" s="24" t="inlineStr">
        <is>
          <t>Diamant Esports</t>
        </is>
      </c>
      <c r="AU15" s="24" t="inlineStr">
        <is>
          <t>Diamant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3d3dc6a4f0641cb9aa015aaf4ccd2f260230dfea2e1b613f3ccdb860b2230f3e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3d3dc6a4f0641cb9aa015aaf4ccd2f260230dfea2e1b613f3ccdb860b2230f3e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2026-08-04T18:08:16.945508Z</t>
        </is>
      </c>
      <c r="BI15" s="24" t="inlineStr">
        <is>
          <t>["same_event","same_team_same_day","same_league_same_day"]</t>
        </is>
      </c>
      <c r="BJ15" s="25" t="n"/>
      <c r="BK15" s="26" t="n">
        <v>-203</v>
      </c>
      <c r="BL15" s="27" t="n">
        <v>1.492611</v>
      </c>
      <c r="BM15" s="28" t="n">
        <v>0.669967</v>
      </c>
      <c r="BN15" s="28" t="n"/>
      <c r="BO15" s="28" t="n"/>
      <c r="BP15" s="25" t="n"/>
      <c r="BQ15" s="27" t="n">
        <v>1.492611</v>
      </c>
      <c r="BR15" s="28" t="n">
        <v>0.67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</row>
    <row r="16" ht="36" customHeight="1">
      <c r="A16" s="24" t="inlineStr">
        <is>
          <t>da4b1226aabc441f</t>
        </is>
      </c>
      <c r="B16" s="24" t="inlineStr">
        <is>
          <t>2026-08-04T18:08:37.067138Z</t>
        </is>
      </c>
      <c r="C16" s="24" t="inlineStr">
        <is>
          <t>2026-08-04T18:30:00Z</t>
        </is>
      </c>
      <c r="D16" s="24" t="inlineStr">
        <is>
          <t>71385</t>
        </is>
      </c>
      <c r="E16" s="24" t="inlineStr">
        <is>
          <t>CS2</t>
        </is>
      </c>
      <c r="F16" s="24" t="inlineStr">
        <is>
          <t>Drama eSports</t>
        </is>
      </c>
      <c r="G16" s="24" t="inlineStr">
        <is>
          <t>KUUSAMO.gg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0.529003</v>
      </c>
      <c r="P16" s="28" t="n"/>
      <c r="Q16" s="28" t="n">
        <v>0.009771999999999999</v>
      </c>
      <c r="R16" s="26" t="n">
        <v>25</v>
      </c>
      <c r="S16" s="29" t="n">
        <v>1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-108</v>
      </c>
      <c r="AA16" s="28" t="n">
        <v>0.52</v>
      </c>
      <c r="AB16" s="28" t="n">
        <v>0.000769</v>
      </c>
      <c r="AC16" s="30" t="n">
        <v>-1</v>
      </c>
      <c r="AD16" s="24" t="inlineStr">
        <is>
          <t>2026-08-04T21:59:30.384904Z</t>
        </is>
      </c>
      <c r="AE16" s="31" t="inlineStr">
        <is>
          <t>Neutral Elo baseline; executable ask 0.5200 (market_slug=aec-cs2-ksm-drama-2026-08-04).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Drama eSports</t>
        </is>
      </c>
      <c r="AQ16" s="24" t="inlineStr">
        <is>
          <t>Drama eSports</t>
        </is>
      </c>
      <c r="AR16" s="24" t="inlineStr">
        <is>
          <t>Drama eSports</t>
        </is>
      </c>
      <c r="AS16" s="24" t="inlineStr">
        <is>
          <t>KUUSAMO.gg</t>
        </is>
      </c>
      <c r="AT16" s="24" t="inlineStr">
        <is>
          <t>KUUSAMO.gg</t>
        </is>
      </c>
      <c r="AU16" s="24" t="inlineStr">
        <is>
          <t>KUUSAMO.gg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3d3dc6a4f0641cb9aa015aaf4ccd2f260230dfea2e1b613f3ccdb860b2230f3e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3d3dc6a4f0641cb9aa015aaf4ccd2f260230dfea2e1b613f3ccdb860b2230f3e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2026-08-04T18:08:17.703838Z</t>
        </is>
      </c>
      <c r="BI16" s="24" t="inlineStr">
        <is>
          <t>["same_event","same_team_same_day","same_league_same_day"]</t>
        </is>
      </c>
      <c r="BJ16" s="25" t="n"/>
      <c r="BK16" s="26" t="n">
        <v>-108</v>
      </c>
      <c r="BL16" s="27" t="n">
        <v>1.925926</v>
      </c>
      <c r="BM16" s="28" t="n">
        <v>0.519231</v>
      </c>
      <c r="BN16" s="28" t="n"/>
      <c r="BO16" s="28" t="n"/>
      <c r="BP16" s="25" t="n"/>
      <c r="BQ16" s="27" t="n">
        <v>1.925926</v>
      </c>
      <c r="BR16" s="28" t="n">
        <v>0.52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0e018b9c231b4e26</t>
        </is>
      </c>
      <c r="B17" s="24" t="inlineStr">
        <is>
          <t>2026-08-04T18:08:37.067138Z</t>
        </is>
      </c>
      <c r="C17" s="24" t="inlineStr">
        <is>
          <t>2026-08-04T18:30:00Z</t>
        </is>
      </c>
      <c r="D17" s="24" t="inlineStr">
        <is>
          <t>71382</t>
        </is>
      </c>
      <c r="E17" s="24" t="inlineStr">
        <is>
          <t>CS2</t>
        </is>
      </c>
      <c r="F17" s="24" t="inlineStr">
        <is>
          <t>JUMBO TEAM</t>
        </is>
      </c>
      <c r="G17" s="24" t="inlineStr">
        <is>
          <t>Benched gods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117</v>
      </c>
      <c r="M17" s="27" t="n">
        <v>2.17</v>
      </c>
      <c r="N17" s="28" t="n">
        <v>0.460829</v>
      </c>
      <c r="O17" s="28" t="n">
        <v>0.674864</v>
      </c>
      <c r="P17" s="28" t="n"/>
      <c r="Q17" s="28" t="n">
        <v>0.214035</v>
      </c>
      <c r="R17" s="26" t="n">
        <v>100</v>
      </c>
      <c r="S17" s="29" t="n">
        <v>1.75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117</v>
      </c>
      <c r="AA17" s="28" t="n">
        <v>0.46</v>
      </c>
      <c r="AB17" s="28" t="n">
        <v>-0.000829</v>
      </c>
      <c r="AC17" s="30" t="n">
        <v>-1.75</v>
      </c>
      <c r="AD17" s="24" t="inlineStr">
        <is>
          <t>2026-08-04T21:59:31.980177Z</t>
        </is>
      </c>
      <c r="AE17" s="31" t="inlineStr">
        <is>
          <t>Neutral Elo baseline; executable ask 0.4600 (market_slug=aec-cs2-bge-jumbo-2026-08-04).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JUMBO TEAM</t>
        </is>
      </c>
      <c r="AQ17" s="24" t="inlineStr">
        <is>
          <t>JUMBO TEAM</t>
        </is>
      </c>
      <c r="AR17" s="24" t="inlineStr">
        <is>
          <t>JUMBO TEAM</t>
        </is>
      </c>
      <c r="AS17" s="24" t="inlineStr">
        <is>
          <t>Benched gods</t>
        </is>
      </c>
      <c r="AT17" s="24" t="inlineStr">
        <is>
          <t>Benched gods</t>
        </is>
      </c>
      <c r="AU17" s="24" t="inlineStr">
        <is>
          <t>Benched gods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3d3dc6a4f0641cb9aa015aaf4ccd2f260230dfea2e1b613f3ccdb860b2230f3e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3d3dc6a4f0641cb9aa015aaf4ccd2f260230dfea2e1b613f3ccdb860b2230f3e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2026-08-04T18:08:19.220614Z</t>
        </is>
      </c>
      <c r="BI17" s="24" t="inlineStr">
        <is>
          <t>["same_event","same_team_same_day","same_league_same_day"]</t>
        </is>
      </c>
      <c r="BJ17" s="25" t="n"/>
      <c r="BK17" s="26" t="n">
        <v>117</v>
      </c>
      <c r="BL17" s="27" t="n">
        <v>2.17</v>
      </c>
      <c r="BM17" s="28" t="n">
        <v>0.460829</v>
      </c>
      <c r="BN17" s="28" t="n"/>
      <c r="BO17" s="28" t="n"/>
      <c r="BP17" s="25" t="n"/>
      <c r="BQ17" s="27" t="n">
        <v>2.17</v>
      </c>
      <c r="BR17" s="28" t="n">
        <v>0.46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5301926b4dc04605</t>
        </is>
      </c>
      <c r="B18" s="24" t="inlineStr">
        <is>
          <t>2026-08-05T04:39:04.512717Z</t>
        </is>
      </c>
      <c r="C18" s="24" t="inlineStr">
        <is>
          <t>2026-08-05T08:00:00Z</t>
        </is>
      </c>
      <c r="D18" s="24" t="inlineStr">
        <is>
          <t>71727</t>
        </is>
      </c>
      <c r="E18" s="24" t="inlineStr">
        <is>
          <t>CS2</t>
        </is>
      </c>
      <c r="F18" s="24" t="inlineStr">
        <is>
          <t>CYBERSHOKE Prospects</t>
        </is>
      </c>
      <c r="G18" s="24" t="inlineStr">
        <is>
          <t>Nuclear TigeRES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0.661077</v>
      </c>
      <c r="P18" s="28" t="n"/>
      <c r="Q18" s="28" t="n">
        <v>-0.038623</v>
      </c>
      <c r="R18" s="26" t="n">
        <v>1</v>
      </c>
      <c r="S18" s="29" t="n">
        <v>1.75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-233</v>
      </c>
      <c r="AA18" s="28" t="n">
        <v>0.7</v>
      </c>
      <c r="AB18" s="28" t="n">
        <v>0.0003</v>
      </c>
      <c r="AC18" s="30" t="n">
        <v>0.7511</v>
      </c>
      <c r="AD18" s="24" t="inlineStr">
        <is>
          <t>2026-08-05T20:58:35.152368Z</t>
        </is>
      </c>
      <c r="AE18" s="31" t="inlineStr">
        <is>
          <t>Neutral Elo baseline; executable ask 0.7000 (market_slug=aec-cs2-ntr-cshp-2026-08-05).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CYBERSHOKE Prospects</t>
        </is>
      </c>
      <c r="AQ18" s="24" t="inlineStr">
        <is>
          <t>CYBERSHOKE Prospects</t>
        </is>
      </c>
      <c r="AR18" s="24" t="inlineStr">
        <is>
          <t>CYBERSHOKE Prospects</t>
        </is>
      </c>
      <c r="AS18" s="24" t="inlineStr">
        <is>
          <t>Nuclear TigeRES</t>
        </is>
      </c>
      <c r="AT18" s="24" t="inlineStr">
        <is>
          <t>Nuclear TigeRES</t>
        </is>
      </c>
      <c r="AU18" s="24" t="inlineStr">
        <is>
          <t>Nuclear TigeRES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79b38f494ba89a56e3ba1ee48b9a2a5937958160c434a13516c1eb8ec97a91aa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79b38f494ba89a56e3ba1ee48b9a2a5937958160c434a13516c1eb8ec97a91aa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2026-08-05T04:38:10.339234Z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>
        <v>1.429185</v>
      </c>
      <c r="BR18" s="28" t="n">
        <v>0.7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74065a10b79c4246</t>
        </is>
      </c>
      <c r="B19" s="24" t="inlineStr">
        <is>
          <t>2026-08-05T04:39:04.512717Z</t>
        </is>
      </c>
      <c r="C19" s="24" t="inlineStr">
        <is>
          <t>2026-08-05T08:00:00Z</t>
        </is>
      </c>
      <c r="D19" s="24" t="inlineStr">
        <is>
          <t>72482</t>
        </is>
      </c>
      <c r="E19" s="24" t="inlineStr">
        <is>
          <t>CS2</t>
        </is>
      </c>
      <c r="F19" s="24" t="inlineStr">
        <is>
          <t>Just Players</t>
        </is>
      </c>
      <c r="G19" s="24" t="inlineStr">
        <is>
          <t>ARCRED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-113</v>
      </c>
      <c r="M19" s="27" t="n">
        <v>1.884956</v>
      </c>
      <c r="N19" s="28" t="n">
        <v>0.530516</v>
      </c>
      <c r="O19" s="28" t="n">
        <v>0.5382670000000001</v>
      </c>
      <c r="P19" s="28" t="n"/>
      <c r="Q19" s="28" t="n">
        <v>0.007751</v>
      </c>
      <c r="R19" s="26" t="n">
        <v>24</v>
      </c>
      <c r="S19" s="29" t="n">
        <v>1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-113</v>
      </c>
      <c r="AA19" s="28" t="n">
        <v>0.53</v>
      </c>
      <c r="AB19" s="28" t="n">
        <v>-0.000516</v>
      </c>
      <c r="AC19" s="30" t="n">
        <v>-1</v>
      </c>
      <c r="AD19" s="24" t="inlineStr">
        <is>
          <t>2026-08-05T13:50:23.582749Z</t>
        </is>
      </c>
      <c r="AE19" s="31" t="inlineStr">
        <is>
          <t>Neutral Elo baseline; executable ask 0.5300 (market_slug=aec-cs2-arc-jpu-2026-08-05).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Just Players</t>
        </is>
      </c>
      <c r="AQ19" s="24" t="inlineStr">
        <is>
          <t>Just Players</t>
        </is>
      </c>
      <c r="AR19" s="24" t="inlineStr">
        <is>
          <t>Just Players</t>
        </is>
      </c>
      <c r="AS19" s="24" t="inlineStr">
        <is>
          <t>ARCRED</t>
        </is>
      </c>
      <c r="AT19" s="24" t="inlineStr">
        <is>
          <t>ARCRED</t>
        </is>
      </c>
      <c r="AU19" s="24" t="inlineStr">
        <is>
          <t>ARCRED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79b38f494ba89a56e3ba1ee48b9a2a5937958160c434a13516c1eb8ec97a91aa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79b38f494ba89a56e3ba1ee48b9a2a5937958160c434a13516c1eb8ec97a91aa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2026-08-05T04:38:12.834040Z</t>
        </is>
      </c>
      <c r="BI19" s="24" t="inlineStr">
        <is>
          <t>["same_event","same_team_same_day","same_league_same_day"]</t>
        </is>
      </c>
      <c r="BJ19" s="25" t="n"/>
      <c r="BK19" s="26" t="n">
        <v>-113</v>
      </c>
      <c r="BL19" s="27" t="n">
        <v>1.884956</v>
      </c>
      <c r="BM19" s="28" t="n">
        <v>0.530516</v>
      </c>
      <c r="BN19" s="28" t="n"/>
      <c r="BO19" s="28" t="n"/>
      <c r="BP19" s="25" t="n"/>
      <c r="BQ19" s="27" t="n">
        <v>1.884956</v>
      </c>
      <c r="BR19" s="28" t="n">
        <v>0.53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b2c2e4213ed14fe3</t>
        </is>
      </c>
      <c r="B20" s="24" t="inlineStr">
        <is>
          <t>2026-08-05T04:39:04.512717Z</t>
        </is>
      </c>
      <c r="C20" s="24" t="inlineStr">
        <is>
          <t>2026-08-05T10:00:00Z</t>
        </is>
      </c>
      <c r="D20" s="24" t="inlineStr">
        <is>
          <t>69537</t>
        </is>
      </c>
      <c r="E20" s="24" t="inlineStr">
        <is>
          <t>CS2</t>
        </is>
      </c>
      <c r="F20" s="24" t="inlineStr">
        <is>
          <t>Abyssal</t>
        </is>
      </c>
      <c r="G20" s="24" t="inlineStr">
        <is>
          <t>Arcade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133</v>
      </c>
      <c r="M20" s="27" t="n">
        <v>2.33</v>
      </c>
      <c r="N20" s="28" t="n">
        <v>0.429185</v>
      </c>
      <c r="O20" s="28" t="n">
        <v>0.5199589999999999</v>
      </c>
      <c r="P20" s="28" t="n"/>
      <c r="Q20" s="28" t="n">
        <v>0.09077399999999999</v>
      </c>
      <c r="R20" s="26" t="n">
        <v>65</v>
      </c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133</v>
      </c>
      <c r="AA20" s="28" t="n">
        <v>0.43</v>
      </c>
      <c r="AB20" s="28" t="n">
        <v>0.000815</v>
      </c>
      <c r="AC20" s="30" t="n">
        <v>-1</v>
      </c>
      <c r="AD20" s="24" t="inlineStr">
        <is>
          <t>2026-08-05T13:50:25.982959Z</t>
        </is>
      </c>
      <c r="AE20" s="31" t="inlineStr">
        <is>
          <t>Neutral Elo baseline; executable ask 0.4300 (market_slug=aec-cs2-aer-aby-2026-08-05).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Abyssal</t>
        </is>
      </c>
      <c r="AQ20" s="24" t="inlineStr">
        <is>
          <t>Abyssal</t>
        </is>
      </c>
      <c r="AR20" s="24" t="inlineStr">
        <is>
          <t>Abyssal</t>
        </is>
      </c>
      <c r="AS20" s="24" t="inlineStr">
        <is>
          <t>Arcade Esports</t>
        </is>
      </c>
      <c r="AT20" s="24" t="inlineStr">
        <is>
          <t>Arcade Esports</t>
        </is>
      </c>
      <c r="AU20" s="24" t="inlineStr">
        <is>
          <t>Arcade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79b38f494ba89a56e3ba1ee48b9a2a5937958160c434a13516c1eb8ec97a91aa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79b38f494ba89a56e3ba1ee48b9a2a5937958160c434a13516c1eb8ec97a91aa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2026-08-05T04:38:13.898810Z</t>
        </is>
      </c>
      <c r="BI20" s="24" t="inlineStr">
        <is>
          <t>["same_event","same_team_same_day","same_league_same_day"]</t>
        </is>
      </c>
      <c r="BJ20" s="25" t="n"/>
      <c r="BK20" s="26" t="n">
        <v>133</v>
      </c>
      <c r="BL20" s="27" t="n">
        <v>2.33</v>
      </c>
      <c r="BM20" s="28" t="n">
        <v>0.429185</v>
      </c>
      <c r="BN20" s="28" t="n"/>
      <c r="BO20" s="28" t="n"/>
      <c r="BP20" s="25" t="n"/>
      <c r="BQ20" s="27" t="n">
        <v>2.33</v>
      </c>
      <c r="BR20" s="28" t="n">
        <v>0.43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73052229bd684de6</t>
        </is>
      </c>
      <c r="B21" s="24" t="inlineStr">
        <is>
          <t>2026-08-05T04:39:04.512717Z</t>
        </is>
      </c>
      <c r="C21" s="24" t="inlineStr">
        <is>
          <t>2026-08-05T10:00:00Z</t>
        </is>
      </c>
      <c r="D21" s="24" t="inlineStr">
        <is>
          <t>71795</t>
        </is>
      </c>
      <c r="E21" s="24" t="inlineStr">
        <is>
          <t>CS2</t>
        </is>
      </c>
      <c r="F21" s="24" t="inlineStr">
        <is>
          <t>Betclic Apogee Esports</t>
        </is>
      </c>
      <c r="G21" s="24" t="inlineStr">
        <is>
          <t>Johnny Speeds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156</v>
      </c>
      <c r="M21" s="27" t="n">
        <v>2.56</v>
      </c>
      <c r="N21" s="28" t="n">
        <v>0.390625</v>
      </c>
      <c r="O21" s="28" t="n">
        <v>0.5349</v>
      </c>
      <c r="P21" s="28" t="n"/>
      <c r="Q21" s="28" t="n">
        <v>0.144275</v>
      </c>
      <c r="R21" s="26" t="n">
        <v>92</v>
      </c>
      <c r="S21" s="29" t="n">
        <v>1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156</v>
      </c>
      <c r="AA21" s="28" t="n">
        <v>0.39</v>
      </c>
      <c r="AB21" s="28" t="n">
        <v>-0.000625</v>
      </c>
      <c r="AC21" s="30" t="n">
        <v>-1</v>
      </c>
      <c r="AD21" s="24" t="inlineStr">
        <is>
          <t>2026-08-05T13:50:28.406737Z</t>
        </is>
      </c>
      <c r="AE21" s="31" t="inlineStr">
        <is>
          <t>Neutral Elo baseline; executable ask 0.3900 (market_slug=aec-cs2-js-bca-2026-08-05).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Betclic Apogee Esports</t>
        </is>
      </c>
      <c r="AQ21" s="24" t="inlineStr">
        <is>
          <t>Betclic Apogee Esports</t>
        </is>
      </c>
      <c r="AR21" s="24" t="inlineStr">
        <is>
          <t>Betclic Apogee Esports</t>
        </is>
      </c>
      <c r="AS21" s="24" t="inlineStr">
        <is>
          <t>Johnny Speeds</t>
        </is>
      </c>
      <c r="AT21" s="24" t="inlineStr">
        <is>
          <t>Johnny Speeds</t>
        </is>
      </c>
      <c r="AU21" s="24" t="inlineStr">
        <is>
          <t>Johnny Speeds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79b38f494ba89a56e3ba1ee48b9a2a5937958160c434a13516c1eb8ec97a91aa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79b38f494ba89a56e3ba1ee48b9a2a5937958160c434a13516c1eb8ec97a91aa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2026-08-05T04:38:15.635268Z</t>
        </is>
      </c>
      <c r="BI21" s="24" t="inlineStr">
        <is>
          <t>["same_event","same_team_same_day","same_league_same_day"]</t>
        </is>
      </c>
      <c r="BJ21" s="25" t="n"/>
      <c r="BK21" s="26" t="n">
        <v>156</v>
      </c>
      <c r="BL21" s="27" t="n">
        <v>2.56</v>
      </c>
      <c r="BM21" s="28" t="n">
        <v>0.390625</v>
      </c>
      <c r="BN21" s="28" t="n"/>
      <c r="BO21" s="28" t="n"/>
      <c r="BP21" s="25" t="n"/>
      <c r="BQ21" s="27" t="n">
        <v>2.56</v>
      </c>
      <c r="BR21" s="28" t="n">
        <v>0.39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-1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a1c5f3dbc207489d</t>
        </is>
      </c>
      <c r="B22" s="24" t="inlineStr">
        <is>
          <t>2026-08-05T10:47:03.473375Z</t>
        </is>
      </c>
      <c r="C22" s="24" t="inlineStr">
        <is>
          <t>2026-08-05T11:00:00Z</t>
        </is>
      </c>
      <c r="D22" s="24" t="inlineStr">
        <is>
          <t>69554</t>
        </is>
      </c>
      <c r="E22" s="24" t="inlineStr">
        <is>
          <t>CS2</t>
        </is>
      </c>
      <c r="F22" s="24" t="inlineStr">
        <is>
          <t>eSuba</t>
        </is>
      </c>
      <c r="G22" s="24" t="inlineStr">
        <is>
          <t>GamersLab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0.601544</v>
      </c>
      <c r="P22" s="28" t="n"/>
      <c r="Q22" s="28" t="n">
        <v>-0.028086</v>
      </c>
      <c r="R22" s="26" t="n">
        <v>6</v>
      </c>
      <c r="S22" s="29" t="n">
        <v>1.25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-170</v>
      </c>
      <c r="AA22" s="28" t="n">
        <v>0.63</v>
      </c>
      <c r="AB22" s="28" t="n">
        <v>0.00037</v>
      </c>
      <c r="AC22" s="30" t="n">
        <v>0.7353</v>
      </c>
      <c r="AD22" s="24" t="inlineStr">
        <is>
          <t>2026-08-05T16:59:51.149134Z</t>
        </is>
      </c>
      <c r="AE22" s="31" t="inlineStr">
        <is>
          <t>Neutral Elo baseline; executable ask 0.6300 (market_slug=aec-cs2-gea-esb-2026-08-05).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eSuba</t>
        </is>
      </c>
      <c r="AQ22" s="24" t="inlineStr">
        <is>
          <t>eSuba</t>
        </is>
      </c>
      <c r="AR22" s="24" t="inlineStr">
        <is>
          <t>eSuba</t>
        </is>
      </c>
      <c r="AS22" s="24" t="inlineStr">
        <is>
          <t>GamersLab Esports</t>
        </is>
      </c>
      <c r="AT22" s="24" t="inlineStr">
        <is>
          <t>GamersLab Esports</t>
        </is>
      </c>
      <c r="AU22" s="24" t="inlineStr">
        <is>
          <t>GamersLab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5ed7c189c90211b472ec0214d2b7901a8b9cb103b2be3f5519c68e215b46057f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5ed7c189c90211b472ec0214d2b7901a8b9cb103b2be3f5519c68e215b46057f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2026-08-05T10:46:28.177264Z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>
        <v>1.588235</v>
      </c>
      <c r="BR22" s="28" t="n">
        <v>0.63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</row>
    <row r="23" ht="36" customHeight="1">
      <c r="A23" s="24" t="inlineStr">
        <is>
          <t>322751de9d4447e1</t>
        </is>
      </c>
      <c r="B23" s="24" t="inlineStr">
        <is>
          <t>2026-08-05T10:47:03.473375Z</t>
        </is>
      </c>
      <c r="C23" s="24" t="inlineStr">
        <is>
          <t>2026-08-05T11:00:00Z</t>
        </is>
      </c>
      <c r="D23" s="24" t="inlineStr">
        <is>
          <t>72486</t>
        </is>
      </c>
      <c r="E23" s="24" t="inlineStr">
        <is>
          <t>CS2</t>
        </is>
      </c>
      <c r="F23" s="24" t="inlineStr">
        <is>
          <t>Rune Eaters</t>
        </is>
      </c>
      <c r="G23" s="24" t="inlineStr">
        <is>
          <t>Butterfly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0.545533</v>
      </c>
      <c r="P23" s="28" t="n"/>
      <c r="Q23" s="28" t="n">
        <v>-0.034299</v>
      </c>
      <c r="R23" s="26" t="n">
        <v>3</v>
      </c>
      <c r="S23" s="29" t="n">
        <v>1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0.7246</v>
      </c>
      <c r="AD23" s="24" t="inlineStr">
        <is>
          <t>2026-08-05T13:50:31.884244Z</t>
        </is>
      </c>
      <c r="AE23" s="31" t="inlineStr">
        <is>
          <t>Neutral Elo baseline; executable ask 0.5800 (market_slug=aec-cs2-btf-re-2026-08-05).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Rune Eaters</t>
        </is>
      </c>
      <c r="AQ23" s="24" t="inlineStr">
        <is>
          <t>Rune Eaters</t>
        </is>
      </c>
      <c r="AR23" s="24" t="inlineStr">
        <is>
          <t>Rune Eaters</t>
        </is>
      </c>
      <c r="AS23" s="24" t="inlineStr">
        <is>
          <t>Butterfly</t>
        </is>
      </c>
      <c r="AT23" s="24" t="inlineStr">
        <is>
          <t>Butterfly</t>
        </is>
      </c>
      <c r="AU23" s="24" t="inlineStr">
        <is>
          <t>Butterfly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5ed7c189c90211b472ec0214d2b7901a8b9cb103b2be3f5519c68e215b46057f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5ed7c189c90211b472ec0214d2b7901a8b9cb103b2be3f5519c68e215b46057f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2026-08-05T10:46:28.788366Z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0.91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</row>
    <row r="24" ht="36" customHeight="1">
      <c r="A24" s="24" t="inlineStr">
        <is>
          <t>e881091349344cd7</t>
        </is>
      </c>
      <c r="B24" s="24" t="inlineStr">
        <is>
          <t>2026-08-05T10:47:03.473375Z</t>
        </is>
      </c>
      <c r="C24" s="24" t="inlineStr">
        <is>
          <t>2026-08-05T11:00:00Z</t>
        </is>
      </c>
      <c r="D24" s="24" t="inlineStr">
        <is>
          <t>71199</t>
        </is>
      </c>
      <c r="E24" s="24" t="inlineStr">
        <is>
          <t>CS2</t>
        </is>
      </c>
      <c r="F24" s="24" t="inlineStr">
        <is>
          <t>ex-RUSTEC</t>
        </is>
      </c>
      <c r="G24" s="24" t="inlineStr">
        <is>
          <t>Butterfly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122</v>
      </c>
      <c r="M24" s="27" t="n">
        <v>2.22</v>
      </c>
      <c r="N24" s="28" t="n">
        <v>0.45045</v>
      </c>
      <c r="O24" s="28" t="n">
        <v>0.521475</v>
      </c>
      <c r="P24" s="28" t="n"/>
      <c r="Q24" s="28" t="n">
        <v>0.071025</v>
      </c>
      <c r="R24" s="26" t="n">
        <v>56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122</v>
      </c>
      <c r="AA24" s="28" t="n">
        <v>0.45</v>
      </c>
      <c r="AB24" s="28" t="n">
        <v>-0.00045</v>
      </c>
      <c r="AC24" s="30" t="n">
        <v>-1</v>
      </c>
      <c r="AD24" s="24" t="inlineStr">
        <is>
          <t>2026-08-06T00:20:54.582403Z</t>
        </is>
      </c>
      <c r="AE24" s="31" t="inlineStr">
        <is>
          <t>Neutral Elo baseline; executable ask 0.4500 (market_slug=aec-cs2-btf-erx-2026-08-05).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ex-RUSTEC</t>
        </is>
      </c>
      <c r="AQ24" s="24" t="inlineStr">
        <is>
          <t>ex-RUSTEC</t>
        </is>
      </c>
      <c r="AR24" s="24" t="inlineStr">
        <is>
          <t>ex-RUSTEC</t>
        </is>
      </c>
      <c r="AS24" s="24" t="inlineStr">
        <is>
          <t>Butterfly</t>
        </is>
      </c>
      <c r="AT24" s="24" t="inlineStr">
        <is>
          <t>Butterfly</t>
        </is>
      </c>
      <c r="AU24" s="24" t="inlineStr">
        <is>
          <t>Butterfly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5ed7c189c90211b472ec0214d2b7901a8b9cb103b2be3f5519c68e215b46057f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5ed7c189c90211b472ec0214d2b7901a8b9cb103b2be3f5519c68e215b46057f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2026-08-05T10:46:29.302001Z</t>
        </is>
      </c>
      <c r="BI24" s="24" t="inlineStr">
        <is>
          <t>["same_event","same_team_same_day","same_league_same_day"]</t>
        </is>
      </c>
      <c r="BJ24" s="25" t="n"/>
      <c r="BK24" s="26" t="n">
        <v>122</v>
      </c>
      <c r="BL24" s="27" t="n">
        <v>2.22</v>
      </c>
      <c r="BM24" s="28" t="n">
        <v>0.45045</v>
      </c>
      <c r="BN24" s="28" t="n"/>
      <c r="BO24" s="28" t="n"/>
      <c r="BP24" s="25" t="n"/>
      <c r="BQ24" s="27" t="n">
        <v>2.22</v>
      </c>
      <c r="BR24" s="28" t="n">
        <v>0.45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193c1e08ce064b05</t>
        </is>
      </c>
      <c r="B25" s="24" t="inlineStr">
        <is>
          <t>2026-08-05T10:47:03.473375Z</t>
        </is>
      </c>
      <c r="C25" s="24" t="inlineStr">
        <is>
          <t>2026-08-05T11:00:00Z</t>
        </is>
      </c>
      <c r="D25" s="24" t="inlineStr">
        <is>
          <t>71975</t>
        </is>
      </c>
      <c r="E25" s="24" t="inlineStr">
        <is>
          <t>CS2</t>
        </is>
      </c>
      <c r="F25" s="24" t="inlineStr">
        <is>
          <t>GenOne</t>
        </is>
      </c>
      <c r="G25" s="24" t="inlineStr">
        <is>
          <t>Sashi Esport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194</v>
      </c>
      <c r="M25" s="27" t="n">
        <v>2.94</v>
      </c>
      <c r="N25" s="28" t="n">
        <v>0.340136</v>
      </c>
      <c r="O25" s="28" t="n">
        <v>0.529077</v>
      </c>
      <c r="P25" s="28" t="n"/>
      <c r="Q25" s="28" t="n">
        <v>0.188941</v>
      </c>
      <c r="R25" s="26" t="n">
        <v>100</v>
      </c>
      <c r="S25" s="29" t="n">
        <v>1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-104</v>
      </c>
      <c r="AA25" s="28" t="n">
        <v>0.51</v>
      </c>
      <c r="AB25" s="28" t="n">
        <v>0.169864</v>
      </c>
      <c r="AC25" s="30" t="n">
        <v>-1</v>
      </c>
      <c r="AD25" s="24" t="inlineStr">
        <is>
          <t>2026-08-05T13:50:35.412528Z</t>
        </is>
      </c>
      <c r="AE25" s="31" t="inlineStr">
        <is>
          <t>Neutral Elo baseline; executable ask 0.3400 (market_slug=aec-cs2-sashi-g1-2026-08-05).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GenOne</t>
        </is>
      </c>
      <c r="AQ25" s="24" t="inlineStr">
        <is>
          <t>GenOne</t>
        </is>
      </c>
      <c r="AR25" s="24" t="inlineStr">
        <is>
          <t>GenOne</t>
        </is>
      </c>
      <c r="AS25" s="24" t="inlineStr">
        <is>
          <t>Sashi Esport</t>
        </is>
      </c>
      <c r="AT25" s="24" t="inlineStr">
        <is>
          <t>Sashi Esport</t>
        </is>
      </c>
      <c r="AU25" s="24" t="inlineStr">
        <is>
          <t>Sashi Esport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5ed7c189c90211b472ec0214d2b7901a8b9cb103b2be3f5519c68e215b46057f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5ed7c189c90211b472ec0214d2b7901a8b9cb103b2be3f5519c68e215b46057f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2026-08-05T10:46:30.502188Z</t>
        </is>
      </c>
      <c r="BI25" s="24" t="inlineStr">
        <is>
          <t>["same_event","same_team_same_day","same_league_same_day"]</t>
        </is>
      </c>
      <c r="BJ25" s="25" t="n"/>
      <c r="BK25" s="26" t="n">
        <v>194</v>
      </c>
      <c r="BL25" s="27" t="n">
        <v>2.94</v>
      </c>
      <c r="BM25" s="28" t="n">
        <v>0.340136</v>
      </c>
      <c r="BN25" s="28" t="n"/>
      <c r="BO25" s="28" t="n"/>
      <c r="BP25" s="25" t="n"/>
      <c r="BQ25" s="27" t="n">
        <v>1.961538</v>
      </c>
      <c r="BR25" s="28" t="n">
        <v>0.51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-1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8c0b7af9667a48e5</t>
        </is>
      </c>
      <c r="B26" s="24" t="inlineStr">
        <is>
          <t>2026-08-05T10:47:03.473375Z</t>
        </is>
      </c>
      <c r="C26" s="24" t="inlineStr">
        <is>
          <t>2026-08-05T11:00:00Z</t>
        </is>
      </c>
      <c r="D26" s="24" t="inlineStr">
        <is>
          <t>69555</t>
        </is>
      </c>
      <c r="E26" s="24" t="inlineStr">
        <is>
          <t>CS2</t>
        </is>
      </c>
      <c r="F26" s="24" t="inlineStr">
        <is>
          <t>PCH3LK1N Club</t>
        </is>
      </c>
      <c r="G26" s="24" t="inlineStr">
        <is>
          <t>Lixxx Club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0.515116</v>
      </c>
      <c r="P26" s="28" t="n"/>
      <c r="Q26" s="28" t="n">
        <v>-0.104656</v>
      </c>
      <c r="R26" s="26" t="n">
        <v>0</v>
      </c>
      <c r="S26" s="29" t="n">
        <v>1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-163</v>
      </c>
      <c r="AA26" s="28" t="n">
        <v>0.62</v>
      </c>
      <c r="AB26" s="28" t="n">
        <v>0.000228</v>
      </c>
      <c r="AC26" s="30" t="n">
        <v>0.6135</v>
      </c>
      <c r="AD26" s="24" t="inlineStr">
        <is>
          <t>2026-08-05T13:50:37.712767Z</t>
        </is>
      </c>
      <c r="AE26" s="31" t="inlineStr">
        <is>
          <t>Neutral Elo baseline; executable ask 0.6200 (market_slug=aec-cs2-lci-plnc-2026-08-05).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PCH3LK1N Club</t>
        </is>
      </c>
      <c r="AQ26" s="24" t="inlineStr">
        <is>
          <t>PCH3LK1N Club</t>
        </is>
      </c>
      <c r="AR26" s="24" t="inlineStr">
        <is>
          <t>PCH3LK1N Club</t>
        </is>
      </c>
      <c r="AS26" s="24" t="inlineStr">
        <is>
          <t>Lixxx Club</t>
        </is>
      </c>
      <c r="AT26" s="24" t="inlineStr">
        <is>
          <t>Lixxx Club</t>
        </is>
      </c>
      <c r="AU26" s="24" t="inlineStr">
        <is>
          <t>Lixxx Club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5ed7c189c90211b472ec0214d2b7901a8b9cb103b2be3f5519c68e215b46057f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5ed7c189c90211b472ec0214d2b7901a8b9cb103b2be3f5519c68e215b46057f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2026-08-05T10:46:31.991229Z</t>
        </is>
      </c>
      <c r="BI26" s="24" t="inlineStr">
        <is>
          <t>["same_event","same_team_same_day","same_league_same_day"]</t>
        </is>
      </c>
      <c r="BJ26" s="25" t="n"/>
      <c r="BK26" s="26" t="n">
        <v>-163</v>
      </c>
      <c r="BL26" s="27" t="n">
        <v>1.613497</v>
      </c>
      <c r="BM26" s="28" t="n">
        <v>0.619772</v>
      </c>
      <c r="BN26" s="28" t="n"/>
      <c r="BO26" s="28" t="n"/>
      <c r="BP26" s="25" t="n"/>
      <c r="BQ26" s="27" t="n">
        <v>1.613497</v>
      </c>
      <c r="BR26" s="28" t="n">
        <v>0.62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765eac422c0740c0</t>
        </is>
      </c>
      <c r="B27" s="24" t="inlineStr">
        <is>
          <t>2026-08-05T10:47:03.473375Z</t>
        </is>
      </c>
      <c r="C27" s="24" t="inlineStr">
        <is>
          <t>2026-08-05T13:00:00Z</t>
        </is>
      </c>
      <c r="D27" s="24" t="inlineStr">
        <is>
          <t>72334</t>
        </is>
      </c>
      <c r="E27" s="24" t="inlineStr">
        <is>
          <t>CS2</t>
        </is>
      </c>
      <c r="F27" s="24" t="inlineStr">
        <is>
          <t>fnatic</t>
        </is>
      </c>
      <c r="G27" s="24" t="inlineStr">
        <is>
          <t>Liquid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-194</v>
      </c>
      <c r="M27" s="27" t="n">
        <v>1.515464</v>
      </c>
      <c r="N27" s="28" t="n">
        <v>0.659864</v>
      </c>
      <c r="O27" s="28" t="n">
        <v>0.552515</v>
      </c>
      <c r="P27" s="28" t="n"/>
      <c r="Q27" s="28" t="n">
        <v>-0.107349</v>
      </c>
      <c r="R27" s="26" t="n">
        <v>0</v>
      </c>
      <c r="S27" s="29" t="n">
        <v>1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-194</v>
      </c>
      <c r="AA27" s="28" t="n">
        <v>0.66</v>
      </c>
      <c r="AB27" s="28" t="n">
        <v>0.000136</v>
      </c>
      <c r="AC27" s="30" t="n">
        <v>0.5155</v>
      </c>
      <c r="AD27" s="24" t="inlineStr">
        <is>
          <t>2026-08-05T16:59:54.042841Z</t>
        </is>
      </c>
      <c r="AE27" s="31" t="inlineStr">
        <is>
          <t>Neutral Elo baseline; executable ask 0.6600 (market_slug=aec-cs2-tl-fnc-2026-08-05).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fnatic</t>
        </is>
      </c>
      <c r="AQ27" s="24" t="inlineStr">
        <is>
          <t>fnatic</t>
        </is>
      </c>
      <c r="AR27" s="24" t="inlineStr">
        <is>
          <t>fnatic</t>
        </is>
      </c>
      <c r="AS27" s="24" t="inlineStr">
        <is>
          <t>Liquid</t>
        </is>
      </c>
      <c r="AT27" s="24" t="inlineStr">
        <is>
          <t>Liquid</t>
        </is>
      </c>
      <c r="AU27" s="24" t="inlineStr">
        <is>
          <t>Liquid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5ed7c189c90211b472ec0214d2b7901a8b9cb103b2be3f5519c68e215b46057f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5ed7c189c90211b472ec0214d2b7901a8b9cb103b2be3f5519c68e215b46057f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2026-08-05T10:46:32.599387Z</t>
        </is>
      </c>
      <c r="BI27" s="24" t="inlineStr">
        <is>
          <t>["same_event","same_team_same_day","same_league_same_day"]</t>
        </is>
      </c>
      <c r="BJ27" s="25" t="n"/>
      <c r="BK27" s="26" t="n">
        <v>-194</v>
      </c>
      <c r="BL27" s="27" t="n">
        <v>1.515464</v>
      </c>
      <c r="BM27" s="28" t="n">
        <v>0.659864</v>
      </c>
      <c r="BN27" s="28" t="n"/>
      <c r="BO27" s="28" t="n"/>
      <c r="BP27" s="25" t="n"/>
      <c r="BQ27" s="27" t="n">
        <v>1.515464</v>
      </c>
      <c r="BR27" s="28" t="n">
        <v>0.66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0.91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38edc39025d94d15</t>
        </is>
      </c>
      <c r="B28" s="24" t="inlineStr">
        <is>
          <t>2026-08-05T10:47:03.473375Z</t>
        </is>
      </c>
      <c r="C28" s="24" t="inlineStr">
        <is>
          <t>2026-08-05T13:45:00Z</t>
        </is>
      </c>
      <c r="D28" s="24" t="inlineStr">
        <is>
          <t>69615</t>
        </is>
      </c>
      <c r="E28" s="24" t="inlineStr">
        <is>
          <t>CS2</t>
        </is>
      </c>
      <c r="F28" s="24" t="inlineStr">
        <is>
          <t>shoke Club</t>
        </is>
      </c>
      <c r="G28" s="24" t="inlineStr">
        <is>
          <t>Lixxx Club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138</v>
      </c>
      <c r="M28" s="27" t="n">
        <v>2.38</v>
      </c>
      <c r="N28" s="28" t="n">
        <v>0.420168</v>
      </c>
      <c r="O28" s="28" t="n">
        <v>0.515116</v>
      </c>
      <c r="P28" s="28" t="n"/>
      <c r="Q28" s="28" t="n">
        <v>0.094948</v>
      </c>
      <c r="R28" s="26" t="n">
        <v>67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138</v>
      </c>
      <c r="AA28" s="28" t="n">
        <v>0.42</v>
      </c>
      <c r="AB28" s="28" t="n">
        <v>-0.000168</v>
      </c>
      <c r="AC28" s="30" t="n">
        <v>-1</v>
      </c>
      <c r="AD28" s="24" t="inlineStr">
        <is>
          <t>2026-08-05T16:59:55.863506Z</t>
        </is>
      </c>
      <c r="AE28" s="31" t="inlineStr">
        <is>
          <t>Neutral Elo baseline; executable ask 0.4200 (market_slug=aec-cs2-lci-sch-2026-08-05).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shoke Club</t>
        </is>
      </c>
      <c r="AQ28" s="24" t="inlineStr">
        <is>
          <t>shoke Club</t>
        </is>
      </c>
      <c r="AR28" s="24" t="inlineStr">
        <is>
          <t>shoke Club</t>
        </is>
      </c>
      <c r="AS28" s="24" t="inlineStr">
        <is>
          <t>Lixxx Club</t>
        </is>
      </c>
      <c r="AT28" s="24" t="inlineStr">
        <is>
          <t>Lixxx Club</t>
        </is>
      </c>
      <c r="AU28" s="24" t="inlineStr">
        <is>
          <t>Lixxx Club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5ed7c189c90211b472ec0214d2b7901a8b9cb103b2be3f5519c68e215b46057f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5ed7c189c90211b472ec0214d2b7901a8b9cb103b2be3f5519c68e215b46057f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2026-08-05T10:46:33.195221Z</t>
        </is>
      </c>
      <c r="BI28" s="24" t="inlineStr">
        <is>
          <t>["same_event","same_team_same_day","same_league_same_day"]</t>
        </is>
      </c>
      <c r="BJ28" s="25" t="n"/>
      <c r="BK28" s="26" t="n">
        <v>138</v>
      </c>
      <c r="BL28" s="27" t="n">
        <v>2.38</v>
      </c>
      <c r="BM28" s="28" t="n">
        <v>0.420168</v>
      </c>
      <c r="BN28" s="28" t="n"/>
      <c r="BO28" s="28" t="n"/>
      <c r="BP28" s="25" t="n"/>
      <c r="BQ28" s="27" t="n">
        <v>2.38</v>
      </c>
      <c r="BR28" s="28" t="n">
        <v>0.42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-1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7af625b93ed44c22</t>
        </is>
      </c>
      <c r="B29" s="24" t="inlineStr">
        <is>
          <t>2026-08-05T10:47:03.473375Z</t>
        </is>
      </c>
      <c r="C29" s="24" t="inlineStr">
        <is>
          <t>2026-08-05T13:45:00Z</t>
        </is>
      </c>
      <c r="D29" s="24" t="inlineStr">
        <is>
          <t>69614</t>
        </is>
      </c>
      <c r="E29" s="24" t="inlineStr">
        <is>
          <t>CS2</t>
        </is>
      </c>
      <c r="F29" s="24" t="inlineStr">
        <is>
          <t>WorldEdit Club</t>
        </is>
      </c>
      <c r="G29" s="24" t="inlineStr">
        <is>
          <t>SNAILKICK Club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203</v>
      </c>
      <c r="M29" s="27" t="n">
        <v>3.03</v>
      </c>
      <c r="N29" s="28" t="n">
        <v>0.330033</v>
      </c>
      <c r="O29" s="28" t="n">
        <v>0.515116</v>
      </c>
      <c r="P29" s="28" t="n"/>
      <c r="Q29" s="28" t="n">
        <v>0.185083</v>
      </c>
      <c r="R29" s="26" t="n">
        <v>100</v>
      </c>
      <c r="S29" s="29" t="n">
        <v>1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203</v>
      </c>
      <c r="AA29" s="28" t="n">
        <v>0.33</v>
      </c>
      <c r="AB29" s="28" t="n">
        <v>-3.3e-05</v>
      </c>
      <c r="AC29" s="30" t="n">
        <v>2.03</v>
      </c>
      <c r="AD29" s="24" t="inlineStr">
        <is>
          <t>2026-08-06T18:54:27.910276Z</t>
        </is>
      </c>
      <c r="AE29" s="31" t="inlineStr">
        <is>
          <t>Neutral Elo baseline; executable ask 0.3300 (market_slug=aec-cs2-scn-wco-2026-08-05).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WorldEdit Club</t>
        </is>
      </c>
      <c r="AQ29" s="24" t="inlineStr">
        <is>
          <t>WorldEdit Club</t>
        </is>
      </c>
      <c r="AR29" s="24" t="inlineStr">
        <is>
          <t>WorldEdit Club</t>
        </is>
      </c>
      <c r="AS29" s="24" t="inlineStr">
        <is>
          <t>SNAILKICK Club</t>
        </is>
      </c>
      <c r="AT29" s="24" t="inlineStr">
        <is>
          <t>SNAILKICK Club</t>
        </is>
      </c>
      <c r="AU29" s="24" t="inlineStr">
        <is>
          <t>SNAILKICK Club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5ed7c189c90211b472ec0214d2b7901a8b9cb103b2be3f5519c68e215b46057f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5ed7c189c90211b472ec0214d2b7901a8b9cb103b2be3f5519c68e215b46057f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2026-08-05T10:46:33.954307Z</t>
        </is>
      </c>
      <c r="BI29" s="24" t="inlineStr">
        <is>
          <t>["same_event","same_team_same_day","same_league_same_day"]</t>
        </is>
      </c>
      <c r="BJ29" s="25" t="n"/>
      <c r="BK29" s="26" t="n">
        <v>203</v>
      </c>
      <c r="BL29" s="27" t="n">
        <v>3.03</v>
      </c>
      <c r="BM29" s="28" t="n">
        <v>0.330033</v>
      </c>
      <c r="BN29" s="28" t="n"/>
      <c r="BO29" s="28" t="n"/>
      <c r="BP29" s="25" t="n"/>
      <c r="BQ29" s="27" t="n">
        <v>3.03</v>
      </c>
      <c r="BR29" s="28" t="n">
        <v>0.33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341ba464029848c6</t>
        </is>
      </c>
      <c r="B30" s="24" t="inlineStr">
        <is>
          <t>2026-08-05T13:56:36.539226Z</t>
        </is>
      </c>
      <c r="C30" s="24" t="inlineStr">
        <is>
          <t>2026-08-05T14:00:00Z</t>
        </is>
      </c>
      <c r="D30" s="24" t="inlineStr">
        <is>
          <t>69616</t>
        </is>
      </c>
      <c r="E30" s="24" t="inlineStr">
        <is>
          <t>CS2</t>
        </is>
      </c>
      <c r="F30" s="24" t="inlineStr">
        <is>
          <t>eSuba</t>
        </is>
      </c>
      <c r="G30" s="24" t="inlineStr">
        <is>
          <t>JAM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178</v>
      </c>
      <c r="M30" s="27" t="n">
        <v>2.78</v>
      </c>
      <c r="N30" s="28" t="n">
        <v>0.359712</v>
      </c>
      <c r="O30" s="28" t="n">
        <v>0.522299</v>
      </c>
      <c r="P30" s="28" t="n"/>
      <c r="Q30" s="28" t="n">
        <v>0.162587</v>
      </c>
      <c r="R30" s="26" t="n">
        <v>100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>
        <v>178</v>
      </c>
      <c r="AA30" s="28" t="n">
        <v>0.36</v>
      </c>
      <c r="AB30" s="28" t="n">
        <v>0.000288</v>
      </c>
      <c r="AC30" s="30" t="n">
        <v>-1</v>
      </c>
      <c r="AD30" s="24" t="inlineStr">
        <is>
          <t>2026-08-05T16:59:58.766587Z</t>
        </is>
      </c>
      <c r="AE30" s="31" t="inlineStr">
        <is>
          <t>Neutral Elo baseline; executable ask 0.3600 (market_slug=aec-cs2-jam-esb-2026-08-05).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eSuba</t>
        </is>
      </c>
      <c r="AQ30" s="24" t="inlineStr">
        <is>
          <t>eSuba</t>
        </is>
      </c>
      <c r="AR30" s="24" t="inlineStr">
        <is>
          <t>eSuba</t>
        </is>
      </c>
      <c r="AS30" s="24" t="inlineStr">
        <is>
          <t>JAM</t>
        </is>
      </c>
      <c r="AT30" s="24" t="inlineStr">
        <is>
          <t>JAM</t>
        </is>
      </c>
      <c r="AU30" s="24" t="inlineStr">
        <is>
          <t>JAM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95ef3685860928d3c12125a00cdf074ac4e628138aac112a58082f0ead77ffde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95ef3685860928d3c12125a00cdf074ac4e628138aac112a58082f0ead77ffde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2026-08-05T13:56:10.001216Z</t>
        </is>
      </c>
      <c r="BI30" s="24" t="inlineStr">
        <is>
          <t>["same_event","same_team_same_day","same_league_same_day"]</t>
        </is>
      </c>
      <c r="BJ30" s="25" t="n"/>
      <c r="BK30" s="26" t="n">
        <v>178</v>
      </c>
      <c r="BL30" s="27" t="n">
        <v>2.78</v>
      </c>
      <c r="BM30" s="28" t="n">
        <v>0.359712</v>
      </c>
      <c r="BN30" s="28" t="n"/>
      <c r="BO30" s="28" t="n"/>
      <c r="BP30" s="25" t="n"/>
      <c r="BQ30" s="27" t="n">
        <v>2.78</v>
      </c>
      <c r="BR30" s="28" t="n">
        <v>0.36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-1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e72b5a0d4d164dd0</t>
        </is>
      </c>
      <c r="B31" s="24" t="inlineStr">
        <is>
          <t>2026-08-05T13:56:36.539226Z</t>
        </is>
      </c>
      <c r="C31" s="24" t="inlineStr">
        <is>
          <t>2026-08-05T14:00:00Z</t>
        </is>
      </c>
      <c r="D31" s="24" t="inlineStr">
        <is>
          <t>72488</t>
        </is>
      </c>
      <c r="E31" s="24" t="inlineStr">
        <is>
          <t>CS2</t>
        </is>
      </c>
      <c r="F31" s="24" t="inlineStr">
        <is>
          <t>GenOne</t>
        </is>
      </c>
      <c r="G31" s="24" t="inlineStr">
        <is>
          <t xml:space="preserve">Nordic Partners Gaming 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-233</v>
      </c>
      <c r="M31" s="27" t="n">
        <v>1.429185</v>
      </c>
      <c r="N31" s="28" t="n">
        <v>0.6997</v>
      </c>
      <c r="O31" s="28" t="n">
        <v>0.687182</v>
      </c>
      <c r="P31" s="28" t="n"/>
      <c r="Q31" s="28" t="n">
        <v>-0.012518</v>
      </c>
      <c r="R31" s="26" t="n">
        <v>14</v>
      </c>
      <c r="S31" s="29" t="n">
        <v>2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-233</v>
      </c>
      <c r="AA31" s="28" t="n">
        <v>0.7</v>
      </c>
      <c r="AB31" s="28" t="n">
        <v>0.0003</v>
      </c>
      <c r="AC31" s="30" t="n">
        <v>0.8584000000000001</v>
      </c>
      <c r="AD31" s="24" t="inlineStr">
        <is>
          <t>2026-08-05T17:00:00.574473Z</t>
        </is>
      </c>
      <c r="AE31" s="31" t="inlineStr">
        <is>
          <t>Neutral Elo baseline; executable ask 0.7000 (market_slug=aec-cs2-npg-g1-2026-08-05).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GenOne</t>
        </is>
      </c>
      <c r="AQ31" s="24" t="inlineStr">
        <is>
          <t>GenOne</t>
        </is>
      </c>
      <c r="AR31" s="24" t="inlineStr">
        <is>
          <t>GenOne</t>
        </is>
      </c>
      <c r="AS31" s="24" t="inlineStr">
        <is>
          <t xml:space="preserve">Nordic Partners Gaming </t>
        </is>
      </c>
      <c r="AT31" s="24" t="inlineStr">
        <is>
          <t xml:space="preserve">Nordic Partners Gaming </t>
        </is>
      </c>
      <c r="AU31" s="24" t="inlineStr">
        <is>
          <t xml:space="preserve">Nordic Partners Gaming 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95ef3685860928d3c12125a00cdf074ac4e628138aac112a58082f0ead77ffde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95ef3685860928d3c12125a00cdf074ac4e628138aac112a58082f0ead77ffde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2026-08-05T13:56:10.543011Z</t>
        </is>
      </c>
      <c r="BI31" s="24" t="inlineStr">
        <is>
          <t>["same_event","same_team_same_day","same_league_same_day"]</t>
        </is>
      </c>
      <c r="BJ31" s="25" t="n"/>
      <c r="BK31" s="26" t="n">
        <v>-233</v>
      </c>
      <c r="BL31" s="27" t="n">
        <v>1.429185</v>
      </c>
      <c r="BM31" s="28" t="n">
        <v>0.6997</v>
      </c>
      <c r="BN31" s="28" t="n"/>
      <c r="BO31" s="28" t="n"/>
      <c r="BP31" s="25" t="n"/>
      <c r="BQ31" s="27" t="n">
        <v>1.429185</v>
      </c>
      <c r="BR31" s="28" t="n">
        <v>0.7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b05fe7e3baa24e9b</t>
        </is>
      </c>
      <c r="B32" s="24" t="inlineStr">
        <is>
          <t>2026-08-05T13:56:36.539226Z</t>
        </is>
      </c>
      <c r="C32" s="24" t="inlineStr">
        <is>
          <t>2026-08-05T16:30:00Z</t>
        </is>
      </c>
      <c r="D32" s="24" t="inlineStr">
        <is>
          <t>72533</t>
        </is>
      </c>
      <c r="E32" s="24" t="inlineStr">
        <is>
          <t>CS2</t>
        </is>
      </c>
      <c r="F32" s="24" t="inlineStr">
        <is>
          <t>XI Esport</t>
        </is>
      </c>
      <c r="G32" s="24" t="inlineStr">
        <is>
          <t>Esport BERG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138</v>
      </c>
      <c r="M32" s="27" t="n">
        <v>2.38</v>
      </c>
      <c r="N32" s="28" t="n">
        <v>0.420168</v>
      </c>
      <c r="O32" s="28" t="n">
        <v>0.633758</v>
      </c>
      <c r="P32" s="28" t="n"/>
      <c r="Q32" s="28" t="n">
        <v>0.21359</v>
      </c>
      <c r="R32" s="26" t="n">
        <v>100</v>
      </c>
      <c r="S32" s="29" t="n">
        <v>1.5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138</v>
      </c>
      <c r="AA32" s="28" t="n">
        <v>0.42</v>
      </c>
      <c r="AB32" s="28" t="n">
        <v>-0.000168</v>
      </c>
      <c r="AC32" s="30" t="n">
        <v>2.07</v>
      </c>
      <c r="AD32" s="24" t="inlineStr">
        <is>
          <t>2026-08-05T20:58:39.035298Z</t>
        </is>
      </c>
      <c r="AE32" s="31" t="inlineStr">
        <is>
          <t>Neutral Elo baseline; executable ask 0.4200 (market_slug=aec-cs2-berg-xi-2026-08-05).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XI Esport</t>
        </is>
      </c>
      <c r="AQ32" s="24" t="inlineStr">
        <is>
          <t>XI Esport</t>
        </is>
      </c>
      <c r="AR32" s="24" t="inlineStr">
        <is>
          <t>XI Esport</t>
        </is>
      </c>
      <c r="AS32" s="24" t="inlineStr">
        <is>
          <t>Esport BERG</t>
        </is>
      </c>
      <c r="AT32" s="24" t="inlineStr">
        <is>
          <t>Esport BERG</t>
        </is>
      </c>
      <c r="AU32" s="24" t="inlineStr">
        <is>
          <t>Esport BERG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95ef3685860928d3c12125a00cdf074ac4e628138aac112a58082f0ead77ffde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95ef3685860928d3c12125a00cdf074ac4e628138aac112a58082f0ead77ffde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2026-08-05T13:56:11.868130Z</t>
        </is>
      </c>
      <c r="BI32" s="24" t="inlineStr">
        <is>
          <t>["same_event","same_team_same_day","same_league_same_day"]</t>
        </is>
      </c>
      <c r="BJ32" s="25" t="n"/>
      <c r="BK32" s="26" t="n">
        <v>138</v>
      </c>
      <c r="BL32" s="27" t="n">
        <v>2.38</v>
      </c>
      <c r="BM32" s="28" t="n">
        <v>0.420168</v>
      </c>
      <c r="BN32" s="28" t="n"/>
      <c r="BO32" s="28" t="n"/>
      <c r="BP32" s="25" t="n"/>
      <c r="BQ32" s="27" t="n">
        <v>2.38</v>
      </c>
      <c r="BR32" s="28" t="n">
        <v>0.42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1a27664be694457f</t>
        </is>
      </c>
      <c r="B33" s="24" t="inlineStr">
        <is>
          <t>2026-08-05T13:56:36.539226Z</t>
        </is>
      </c>
      <c r="C33" s="24" t="inlineStr">
        <is>
          <t>2026-08-05T16:30:00Z</t>
        </is>
      </c>
      <c r="D33" s="24" t="inlineStr">
        <is>
          <t>69845</t>
        </is>
      </c>
      <c r="E33" s="24" t="inlineStr">
        <is>
          <t>CS2</t>
        </is>
      </c>
      <c r="F33" s="24" t="inlineStr">
        <is>
          <t>mokrivskiy Club</t>
        </is>
      </c>
      <c r="G33" s="24" t="inlineStr">
        <is>
          <t>Recrent Club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127</v>
      </c>
      <c r="M33" s="27" t="n">
        <v>2.27</v>
      </c>
      <c r="N33" s="28" t="n">
        <v>0.440529</v>
      </c>
      <c r="O33" s="28" t="n">
        <v>0.514946</v>
      </c>
      <c r="P33" s="28" t="n"/>
      <c r="Q33" s="28" t="n">
        <v>0.074417</v>
      </c>
      <c r="R33" s="26" t="n">
        <v>57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127</v>
      </c>
      <c r="AA33" s="28" t="n">
        <v>0.44</v>
      </c>
      <c r="AB33" s="28" t="n">
        <v>-0.000529</v>
      </c>
      <c r="AC33" s="30" t="n">
        <v>-1</v>
      </c>
      <c r="AD33" s="24" t="inlineStr">
        <is>
          <t>2026-08-05T20:58:40.870283Z</t>
        </is>
      </c>
      <c r="AE33" s="31" t="inlineStr">
        <is>
          <t>Neutral Elo baseline; executable ask 0.4400 (market_slug=aec-cs2-rce-mco-2026-08-05).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mokrivskiy Club</t>
        </is>
      </c>
      <c r="AQ33" s="24" t="inlineStr">
        <is>
          <t>mokrivskiy Club</t>
        </is>
      </c>
      <c r="AR33" s="24" t="inlineStr">
        <is>
          <t>mokrivskiy Club</t>
        </is>
      </c>
      <c r="AS33" s="24" t="inlineStr">
        <is>
          <t>Recrent Club</t>
        </is>
      </c>
      <c r="AT33" s="24" t="inlineStr">
        <is>
          <t>Recrent Club</t>
        </is>
      </c>
      <c r="AU33" s="24" t="inlineStr">
        <is>
          <t>Recrent Club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95ef3685860928d3c12125a00cdf074ac4e628138aac112a58082f0ead77ffde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95ef3685860928d3c12125a00cdf074ac4e628138aac112a58082f0ead77ffde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2026-08-05T13:56:12.373406Z</t>
        </is>
      </c>
      <c r="BI33" s="24" t="inlineStr">
        <is>
          <t>["same_event","same_team_same_day","same_league_same_day"]</t>
        </is>
      </c>
      <c r="BJ33" s="25" t="n"/>
      <c r="BK33" s="26" t="n">
        <v>127</v>
      </c>
      <c r="BL33" s="27" t="n">
        <v>2.27</v>
      </c>
      <c r="BM33" s="28" t="n">
        <v>0.440529</v>
      </c>
      <c r="BN33" s="28" t="n"/>
      <c r="BO33" s="28" t="n"/>
      <c r="BP33" s="25" t="n"/>
      <c r="BQ33" s="27" t="n">
        <v>2.27</v>
      </c>
      <c r="BR33" s="28" t="n">
        <v>0.44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-1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db62ed66dd9f410a</t>
        </is>
      </c>
      <c r="B34" s="24" t="inlineStr">
        <is>
          <t>2026-08-05T13:56:36.539226Z</t>
        </is>
      </c>
      <c r="C34" s="24" t="inlineStr">
        <is>
          <t>2026-08-05T17:00:00Z</t>
        </is>
      </c>
      <c r="D34" s="24" t="inlineStr">
        <is>
          <t>72534</t>
        </is>
      </c>
      <c r="E34" s="24" t="inlineStr">
        <is>
          <t>CS2</t>
        </is>
      </c>
      <c r="F34" s="24" t="inlineStr">
        <is>
          <t>Spirit Academy Green</t>
        </is>
      </c>
      <c r="G34" s="24" t="inlineStr">
        <is>
          <t>Falcons Force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-170</v>
      </c>
      <c r="M34" s="27" t="n">
        <v>1.588235</v>
      </c>
      <c r="N34" s="28" t="n">
        <v>0.62963</v>
      </c>
      <c r="O34" s="28" t="n">
        <v>0.647084</v>
      </c>
      <c r="P34" s="28" t="n"/>
      <c r="Q34" s="28" t="n">
        <v>0.017454</v>
      </c>
      <c r="R34" s="26" t="n">
        <v>29</v>
      </c>
      <c r="S34" s="29" t="n">
        <v>1.75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-170</v>
      </c>
      <c r="AA34" s="28" t="n">
        <v>0.63</v>
      </c>
      <c r="AB34" s="28" t="n">
        <v>0.00037</v>
      </c>
      <c r="AC34" s="30" t="n">
        <v>1.0294</v>
      </c>
      <c r="AD34" s="24" t="inlineStr">
        <is>
          <t>2026-08-05T20:58:42.701895Z</t>
        </is>
      </c>
      <c r="AE34" s="31" t="inlineStr">
        <is>
          <t>Neutral Elo baseline; executable ask 0.6300 (market_slug=aec-cs2-falf-sag-2026-08-05).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Spirit Academy Green</t>
        </is>
      </c>
      <c r="AQ34" s="24" t="inlineStr">
        <is>
          <t>Spirit Academy Green</t>
        </is>
      </c>
      <c r="AR34" s="24" t="inlineStr">
        <is>
          <t>Spirit Academy Green</t>
        </is>
      </c>
      <c r="AS34" s="24" t="inlineStr">
        <is>
          <t>Falcons Force</t>
        </is>
      </c>
      <c r="AT34" s="24" t="inlineStr">
        <is>
          <t>Falcons Force</t>
        </is>
      </c>
      <c r="AU34" s="24" t="inlineStr">
        <is>
          <t>Falcons Force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95ef3685860928d3c12125a00cdf074ac4e628138aac112a58082f0ead77ffde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95ef3685860928d3c12125a00cdf074ac4e628138aac112a58082f0ead77ffde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2026-08-05T13:56:13.589736Z</t>
        </is>
      </c>
      <c r="BI34" s="24" t="inlineStr">
        <is>
          <t>["same_event","same_team_same_day","same_league_same_day"]</t>
        </is>
      </c>
      <c r="BJ34" s="25" t="n"/>
      <c r="BK34" s="26" t="n">
        <v>-170</v>
      </c>
      <c r="BL34" s="27" t="n">
        <v>1.588235</v>
      </c>
      <c r="BM34" s="28" t="n">
        <v>0.62963</v>
      </c>
      <c r="BN34" s="28" t="n"/>
      <c r="BO34" s="28" t="n"/>
      <c r="BP34" s="25" t="n"/>
      <c r="BQ34" s="27" t="n">
        <v>1.588235</v>
      </c>
      <c r="BR34" s="28" t="n">
        <v>0.63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0.91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57d992b149ba4ba2</t>
        </is>
      </c>
      <c r="B35" s="24" t="inlineStr">
        <is>
          <t>2026-08-05T13:56:36.539226Z</t>
        </is>
      </c>
      <c r="C35" s="24" t="inlineStr">
        <is>
          <t>2026-08-05T17:00:00Z</t>
        </is>
      </c>
      <c r="D35" s="24" t="inlineStr">
        <is>
          <t>69868</t>
        </is>
      </c>
      <c r="E35" s="24" t="inlineStr">
        <is>
          <t>CS2</t>
        </is>
      </c>
      <c r="F35" s="24" t="inlineStr">
        <is>
          <t>eSuba</t>
        </is>
      </c>
      <c r="G35" s="24" t="inlineStr">
        <is>
          <t>maybe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0.565101</v>
      </c>
      <c r="P35" s="28" t="n"/>
      <c r="Q35" s="28" t="n">
        <v>-0.014731</v>
      </c>
      <c r="R35" s="26" t="n">
        <v>13</v>
      </c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>
        <v>-138</v>
      </c>
      <c r="AA35" s="28" t="n">
        <v>0.58</v>
      </c>
      <c r="AB35" s="28" t="n">
        <v>0.000168</v>
      </c>
      <c r="AC35" s="30" t="n">
        <v>-1</v>
      </c>
      <c r="AD35" s="24" t="inlineStr">
        <is>
          <t>2026-08-05T20:58:44.581561Z</t>
        </is>
      </c>
      <c r="AE35" s="31" t="inlineStr">
        <is>
          <t>Neutral Elo baseline; executable ask 0.5800 (market_slug=aec-cs2-maybe-esb-2026-08-05).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eSuba</t>
        </is>
      </c>
      <c r="AQ35" s="24" t="inlineStr">
        <is>
          <t>eSuba</t>
        </is>
      </c>
      <c r="AR35" s="24" t="inlineStr">
        <is>
          <t>eSuba</t>
        </is>
      </c>
      <c r="AS35" s="24" t="inlineStr">
        <is>
          <t>maybe</t>
        </is>
      </c>
      <c r="AT35" s="24" t="inlineStr">
        <is>
          <t>maybe</t>
        </is>
      </c>
      <c r="AU35" s="24" t="inlineStr">
        <is>
          <t>maybe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95ef3685860928d3c12125a00cdf074ac4e628138aac112a58082f0ead77ffde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95ef3685860928d3c12125a00cdf074ac4e628138aac112a58082f0ead77ffde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2026-08-05T13:56:15.700409Z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>
        <v>1.724638</v>
      </c>
      <c r="BR35" s="28" t="n">
        <v>0.58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-1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84e9848b09a0407e</t>
        </is>
      </c>
      <c r="B36" s="24" t="inlineStr">
        <is>
          <t>2026-08-05T17:05:00.161606Z</t>
        </is>
      </c>
      <c r="C36" s="24" t="inlineStr">
        <is>
          <t>2026-08-05T18:00:00Z</t>
        </is>
      </c>
      <c r="D36" s="24" t="inlineStr">
        <is>
          <t>72536</t>
        </is>
      </c>
      <c r="E36" s="24" t="inlineStr">
        <is>
          <t>CS2</t>
        </is>
      </c>
      <c r="F36" s="24" t="inlineStr">
        <is>
          <t>FAST LAYNERS</t>
        </is>
      </c>
      <c r="G36" s="24" t="inlineStr">
        <is>
          <t>TEAM_COPH9K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0.553017</v>
      </c>
      <c r="P36" s="28" t="n"/>
      <c r="Q36" s="28" t="n">
        <v>-0.026815</v>
      </c>
      <c r="R36" s="26" t="n">
        <v>7</v>
      </c>
      <c r="S36" s="29" t="n">
        <v>1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push</t>
        </is>
      </c>
      <c r="W36" s="26" t="n"/>
      <c r="X36" s="26" t="n"/>
      <c r="Y36" s="25" t="n"/>
      <c r="Z36" s="26" t="n"/>
      <c r="AA36" s="28" t="n"/>
      <c r="AB36" s="28" t="n"/>
      <c r="AC36" s="30" t="n">
        <v>0</v>
      </c>
      <c r="AD36" s="24" t="inlineStr">
        <is>
          <t>2026-08-05T20:58:46.322014Z</t>
        </is>
      </c>
      <c r="AE36" s="31" t="inlineStr">
        <is>
          <t>Neutral Elo baseline; executable ask 0.5800 (market_slug=aec-cs2-tck-fla-2026-08-05).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NO_CALL_WINNER_OVERVALUED</t>
        </is>
      </c>
      <c r="AP36" s="24" t="inlineStr">
        <is>
          <t>FAST LAYNERS</t>
        </is>
      </c>
      <c r="AQ36" s="24" t="inlineStr">
        <is>
          <t>FAST LAYNERS</t>
        </is>
      </c>
      <c r="AR36" s="24" t="inlineStr">
        <is>
          <t>FAST LAYNERS</t>
        </is>
      </c>
      <c r="AS36" s="24" t="inlineStr">
        <is>
          <t>TEAM_COPH9K</t>
        </is>
      </c>
      <c r="AT36" s="24" t="inlineStr">
        <is>
          <t>TEAM_COPH9K</t>
        </is>
      </c>
      <c r="AU36" s="24" t="inlineStr">
        <is>
          <t>TEAM_COPH9K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19e41252784d7f0fb30ba60bf91a0e18dad6024caa2bc77a8c0649a56dcc9142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19e41252784d7f0fb30ba60bf91a0e18dad6024caa2bc77a8c0649a56dcc9142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2026-08-05T17:04:41.422389Z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inlineStr">
        <is>
          <t>esports market settled to a non-binary price (forfeit/postponement per market rules)</t>
        </is>
      </c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de376275ea8b4f90</t>
        </is>
      </c>
      <c r="B37" s="24" t="inlineStr">
        <is>
          <t>2026-08-05T17:05:00.161606Z</t>
        </is>
      </c>
      <c r="C37" s="24" t="inlineStr">
        <is>
          <t>2026-08-05T18:00:00Z</t>
        </is>
      </c>
      <c r="D37" s="24" t="inlineStr">
        <is>
          <t>72535</t>
        </is>
      </c>
      <c r="E37" s="24" t="inlineStr">
        <is>
          <t>CS2</t>
        </is>
      </c>
      <c r="F37" s="24" t="inlineStr">
        <is>
          <t>Falcons Force</t>
        </is>
      </c>
      <c r="G37" s="24" t="inlineStr">
        <is>
          <t>Privateer Gaming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-233</v>
      </c>
      <c r="M37" s="27" t="n">
        <v>1.429185</v>
      </c>
      <c r="N37" s="28" t="n">
        <v>0.6997</v>
      </c>
      <c r="O37" s="28" t="n">
        <v>0.513164</v>
      </c>
      <c r="P37" s="28" t="n"/>
      <c r="Q37" s="28" t="n">
        <v>-0.186536</v>
      </c>
      <c r="R37" s="26" t="n">
        <v>0</v>
      </c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-233</v>
      </c>
      <c r="AA37" s="28" t="n">
        <v>0.7</v>
      </c>
      <c r="AB37" s="28" t="n">
        <v>0.0003</v>
      </c>
      <c r="AC37" s="30" t="n">
        <v>0.4292</v>
      </c>
      <c r="AD37" s="24" t="inlineStr">
        <is>
          <t>2026-08-05T20:58:47.818217Z</t>
        </is>
      </c>
      <c r="AE37" s="31" t="inlineStr">
        <is>
          <t>Neutral Elo baseline; executable ask 0.7000 (market_slug=aec-cs2-pg-falf-2026-08-05).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NO_CALL_WINNER_OVERVALUED</t>
        </is>
      </c>
      <c r="AP37" s="24" t="inlineStr">
        <is>
          <t>Falcons Force</t>
        </is>
      </c>
      <c r="AQ37" s="24" t="inlineStr">
        <is>
          <t>Falcons Force</t>
        </is>
      </c>
      <c r="AR37" s="24" t="inlineStr">
        <is>
          <t>Falcons Force</t>
        </is>
      </c>
      <c r="AS37" s="24" t="inlineStr">
        <is>
          <t>Privateer Gaming</t>
        </is>
      </c>
      <c r="AT37" s="24" t="inlineStr">
        <is>
          <t>Privateer Gaming</t>
        </is>
      </c>
      <c r="AU37" s="24" t="inlineStr">
        <is>
          <t>Privateer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19e41252784d7f0fb30ba60bf91a0e18dad6024caa2bc77a8c0649a56dcc9142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19e41252784d7f0fb30ba60bf91a0e18dad6024caa2bc77a8c0649a56dcc9142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2026-08-05T17:04:42.203967Z</t>
        </is>
      </c>
      <c r="BI37" s="24" t="inlineStr">
        <is>
          <t>["same_event","same_team_same_day","same_league_same_day"]</t>
        </is>
      </c>
      <c r="BJ37" s="25" t="n"/>
      <c r="BK37" s="26" t="n">
        <v>-233</v>
      </c>
      <c r="BL37" s="27" t="n">
        <v>1.429185</v>
      </c>
      <c r="BM37" s="28" t="n">
        <v>0.6997</v>
      </c>
      <c r="BN37" s="28" t="n"/>
      <c r="BO37" s="28" t="n"/>
      <c r="BP37" s="25" t="n"/>
      <c r="BQ37" s="27" t="n">
        <v>1.429185</v>
      </c>
      <c r="BR37" s="28" t="n">
        <v>0.7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0.91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13a5093b726240cd</t>
        </is>
      </c>
      <c r="B38" s="24" t="inlineStr">
        <is>
          <t>2026-08-05T17:05:00.161606Z</t>
        </is>
      </c>
      <c r="C38" s="24" t="inlineStr">
        <is>
          <t>2026-08-05T18:30:00Z</t>
        </is>
      </c>
      <c r="D38" s="24" t="inlineStr">
        <is>
          <t>72538</t>
        </is>
      </c>
      <c r="E38" s="24" t="inlineStr">
        <is>
          <t>CS2</t>
        </is>
      </c>
      <c r="F38" s="24" t="inlineStr">
        <is>
          <t>Diamant Esports</t>
        </is>
      </c>
      <c r="G38" s="24" t="inlineStr">
        <is>
          <t>ZOTIX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127</v>
      </c>
      <c r="M38" s="27" t="n">
        <v>2.27</v>
      </c>
      <c r="N38" s="28" t="n">
        <v>0.440529</v>
      </c>
      <c r="O38" s="28" t="n">
        <v>0.547304</v>
      </c>
      <c r="P38" s="28" t="n"/>
      <c r="Q38" s="28" t="n">
        <v>0.106775</v>
      </c>
      <c r="R38" s="26" t="n">
        <v>73</v>
      </c>
      <c r="S38" s="29" t="n">
        <v>1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</v>
      </c>
      <c r="Y38" s="25" t="n"/>
      <c r="Z38" s="26" t="n">
        <v>127</v>
      </c>
      <c r="AA38" s="28" t="n">
        <v>0.44</v>
      </c>
      <c r="AB38" s="28" t="n">
        <v>-0.000529</v>
      </c>
      <c r="AC38" s="30" t="n">
        <v>-1</v>
      </c>
      <c r="AD38" s="24" t="inlineStr">
        <is>
          <t>2026-08-05T20:58:49.631149Z</t>
        </is>
      </c>
      <c r="AE38" s="31" t="inlineStr">
        <is>
          <t>Neutral Elo baseline; executable ask 0.4400 (market_slug=aec-cs2-zotix-dei-2026-08-05).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Diamant Esports</t>
        </is>
      </c>
      <c r="AQ38" s="24" t="inlineStr">
        <is>
          <t>Diamant Esports</t>
        </is>
      </c>
      <c r="AR38" s="24" t="inlineStr">
        <is>
          <t>Diamant Esports</t>
        </is>
      </c>
      <c r="AS38" s="24" t="inlineStr">
        <is>
          <t>ZOTIX</t>
        </is>
      </c>
      <c r="AT38" s="24" t="inlineStr">
        <is>
          <t>ZOTIX</t>
        </is>
      </c>
      <c r="AU38" s="24" t="inlineStr">
        <is>
          <t>ZOTIX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19e41252784d7f0fb30ba60bf91a0e18dad6024caa2bc77a8c0649a56dcc9142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19e41252784d7f0fb30ba60bf91a0e18dad6024caa2bc77a8c0649a56dcc9142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2026-08-05T17:04:42.734106Z</t>
        </is>
      </c>
      <c r="BI38" s="24" t="inlineStr">
        <is>
          <t>["same_event","same_team_same_day","same_league_same_day"]</t>
        </is>
      </c>
      <c r="BJ38" s="25" t="n"/>
      <c r="BK38" s="26" t="n">
        <v>127</v>
      </c>
      <c r="BL38" s="27" t="n">
        <v>2.27</v>
      </c>
      <c r="BM38" s="28" t="n">
        <v>0.440529</v>
      </c>
      <c r="BN38" s="28" t="n"/>
      <c r="BO38" s="28" t="n"/>
      <c r="BP38" s="25" t="n"/>
      <c r="BQ38" s="27" t="n">
        <v>2.27</v>
      </c>
      <c r="BR38" s="28" t="n">
        <v>0.44</v>
      </c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56975ed559724c13</t>
        </is>
      </c>
      <c r="B39" s="24" t="inlineStr">
        <is>
          <t>2026-08-05T17:05:00.161606Z</t>
        </is>
      </c>
      <c r="C39" s="24" t="inlineStr">
        <is>
          <t>2026-08-05T18:30:00Z</t>
        </is>
      </c>
      <c r="D39" s="24" t="inlineStr">
        <is>
          <t>72537</t>
        </is>
      </c>
      <c r="E39" s="24" t="inlineStr">
        <is>
          <t>CS2</t>
        </is>
      </c>
      <c r="F39" s="24" t="inlineStr">
        <is>
          <t>Drama eSports</t>
        </is>
      </c>
      <c r="G39" s="24" t="inlineStr">
        <is>
          <t>PURE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-133</v>
      </c>
      <c r="M39" s="27" t="n">
        <v>1.75188</v>
      </c>
      <c r="N39" s="28" t="n">
        <v>0.570815</v>
      </c>
      <c r="O39" s="28" t="n">
        <v>0.74863</v>
      </c>
      <c r="P39" s="28" t="n"/>
      <c r="Q39" s="28" t="n">
        <v>0.177815</v>
      </c>
      <c r="R39" s="26" t="n">
        <v>100</v>
      </c>
      <c r="S39" s="29" t="n">
        <v>2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-133</v>
      </c>
      <c r="AA39" s="28" t="n">
        <v>0.57</v>
      </c>
      <c r="AB39" s="28" t="n">
        <v>-0.000815</v>
      </c>
      <c r="AC39" s="30" t="n">
        <v>-2</v>
      </c>
      <c r="AD39" s="24" t="inlineStr">
        <is>
          <t>2026-08-12T21:14:27.296813Z</t>
        </is>
      </c>
      <c r="AE39" s="31" t="inlineStr">
        <is>
          <t>Neutral Elo baseline; executable ask 0.5700 (market_slug=aec-cs2-pure-drama-2026-08-05).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Drama eSports</t>
        </is>
      </c>
      <c r="AQ39" s="24" t="inlineStr">
        <is>
          <t>Drama eSports</t>
        </is>
      </c>
      <c r="AR39" s="24" t="inlineStr">
        <is>
          <t>Drama eSports</t>
        </is>
      </c>
      <c r="AS39" s="24" t="inlineStr">
        <is>
          <t>PURE</t>
        </is>
      </c>
      <c r="AT39" s="24" t="inlineStr">
        <is>
          <t>PURE</t>
        </is>
      </c>
      <c r="AU39" s="24" t="inlineStr">
        <is>
          <t>PURE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19e41252784d7f0fb30ba60bf91a0e18dad6024caa2bc77a8c0649a56dcc9142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19e41252784d7f0fb30ba60bf91a0e18dad6024caa2bc77a8c0649a56dcc9142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2026-08-05T17:04:43.266243Z</t>
        </is>
      </c>
      <c r="BI39" s="24" t="inlineStr">
        <is>
          <t>["same_event","same_team_same_day","same_league_same_day"]</t>
        </is>
      </c>
      <c r="BJ39" s="25" t="n"/>
      <c r="BK39" s="26" t="n">
        <v>-133</v>
      </c>
      <c r="BL39" s="27" t="n">
        <v>1.75188</v>
      </c>
      <c r="BM39" s="28" t="n">
        <v>0.570815</v>
      </c>
      <c r="BN39" s="28" t="n"/>
      <c r="BO39" s="28" t="n"/>
      <c r="BP39" s="25" t="n"/>
      <c r="BQ39" s="27" t="n">
        <v>1.75188</v>
      </c>
      <c r="BR39" s="28" t="n">
        <v>0.57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f108ad07d793471d</t>
        </is>
      </c>
      <c r="B40" s="24" t="inlineStr">
        <is>
          <t>2026-08-05T17:05:00.161606Z</t>
        </is>
      </c>
      <c r="C40" s="24" t="inlineStr">
        <is>
          <t>2026-08-05T18:30:00Z</t>
        </is>
      </c>
      <c r="D40" s="24" t="inlineStr">
        <is>
          <t>72539</t>
        </is>
      </c>
      <c r="E40" s="24" t="inlineStr">
        <is>
          <t>CS2</t>
        </is>
      </c>
      <c r="F40" s="24" t="inlineStr">
        <is>
          <t>Esport BERG</t>
        </is>
      </c>
      <c r="G40" s="24" t="inlineStr">
        <is>
          <t>Fire Flux Esports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108</v>
      </c>
      <c r="M40" s="27" t="n">
        <v>2.08</v>
      </c>
      <c r="N40" s="28" t="n">
        <v>0.480769</v>
      </c>
      <c r="O40" s="28" t="n">
        <v>0.532428</v>
      </c>
      <c r="P40" s="28" t="n"/>
      <c r="Q40" s="28" t="n">
        <v>0.051659</v>
      </c>
      <c r="R40" s="26" t="n">
        <v>46</v>
      </c>
      <c r="S40" s="29" t="n">
        <v>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108</v>
      </c>
      <c r="AA40" s="28" t="n">
        <v>0.48</v>
      </c>
      <c r="AB40" s="28" t="n">
        <v>-0.000769</v>
      </c>
      <c r="AC40" s="30" t="n">
        <v>-1</v>
      </c>
      <c r="AD40" s="24" t="inlineStr">
        <is>
          <t>2026-08-05T20:58:52.508125Z</t>
        </is>
      </c>
      <c r="AE40" s="31" t="inlineStr">
        <is>
          <t>Neutral Elo baseline; executable ask 0.4800 (market_slug=aec-cs2-ff-berg-2026-08-05).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NO_CALL_WINNER_OVERVALUED</t>
        </is>
      </c>
      <c r="AP40" s="24" t="inlineStr">
        <is>
          <t>Esport BERG</t>
        </is>
      </c>
      <c r="AQ40" s="24" t="inlineStr">
        <is>
          <t>Esport BERG</t>
        </is>
      </c>
      <c r="AR40" s="24" t="inlineStr">
        <is>
          <t>Esport BERG</t>
        </is>
      </c>
      <c r="AS40" s="24" t="inlineStr">
        <is>
          <t>Fire Flux Esports</t>
        </is>
      </c>
      <c r="AT40" s="24" t="inlineStr">
        <is>
          <t>Fire Flux Esports</t>
        </is>
      </c>
      <c r="AU40" s="24" t="inlineStr">
        <is>
          <t>Fire Flux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19e41252784d7f0fb30ba60bf91a0e18dad6024caa2bc77a8c0649a56dcc9142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19e41252784d7f0fb30ba60bf91a0e18dad6024caa2bc77a8c0649a56dcc9142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2026-08-05T17:04:43.830874Z</t>
        </is>
      </c>
      <c r="BI40" s="24" t="inlineStr">
        <is>
          <t>["same_event","same_team_same_day","same_league_same_day"]</t>
        </is>
      </c>
      <c r="BJ40" s="25" t="n"/>
      <c r="BK40" s="26" t="n">
        <v>108</v>
      </c>
      <c r="BL40" s="27" t="n">
        <v>2.08</v>
      </c>
      <c r="BM40" s="28" t="n">
        <v>0.480769</v>
      </c>
      <c r="BN40" s="28" t="n"/>
      <c r="BO40" s="28" t="n"/>
      <c r="BP40" s="25" t="n"/>
      <c r="BQ40" s="27" t="n">
        <v>2.08</v>
      </c>
      <c r="BR40" s="28" t="n">
        <v>0.48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-1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684485c93cde40d0</t>
        </is>
      </c>
      <c r="B41" s="24" t="inlineStr">
        <is>
          <t>2026-08-05T17:05:00.161606Z</t>
        </is>
      </c>
      <c r="C41" s="24" t="inlineStr">
        <is>
          <t>2026-08-05T19:15:00Z</t>
        </is>
      </c>
      <c r="D41" s="24" t="inlineStr">
        <is>
          <t>70104</t>
        </is>
      </c>
      <c r="E41" s="24" t="inlineStr">
        <is>
          <t>CS2</t>
        </is>
      </c>
      <c r="F41" s="24" t="inlineStr">
        <is>
          <t>Morphilina Club</t>
        </is>
      </c>
      <c r="G41" s="24" t="inlineStr">
        <is>
          <t>Recrent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0.502652</v>
      </c>
      <c r="P41" s="28" t="n"/>
      <c r="Q41" s="28" t="n">
        <v>0.062123</v>
      </c>
      <c r="R41" s="26" t="n">
        <v>51</v>
      </c>
      <c r="S41" s="29" t="n">
        <v>1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127</v>
      </c>
      <c r="AA41" s="28" t="n">
        <v>0.44</v>
      </c>
      <c r="AB41" s="28" t="n">
        <v>-0.000529</v>
      </c>
      <c r="AC41" s="30" t="n">
        <v>1.27</v>
      </c>
      <c r="AD41" s="24" t="inlineStr">
        <is>
          <t>2026-08-06T00:20:58.529895Z</t>
        </is>
      </c>
      <c r="AE41" s="31" t="inlineStr">
        <is>
          <t>Neutral Elo baseline; executable ask 0.4400 (market_slug=aec-cs2-rce-mcor-2026-08-05).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NO_CALL_WINNER_OVERVALUED</t>
        </is>
      </c>
      <c r="AP41" s="24" t="inlineStr">
        <is>
          <t>Morphilina Club</t>
        </is>
      </c>
      <c r="AQ41" s="24" t="inlineStr">
        <is>
          <t>Morphilina Club</t>
        </is>
      </c>
      <c r="AR41" s="24" t="inlineStr">
        <is>
          <t>Morphilina Club</t>
        </is>
      </c>
      <c r="AS41" s="24" t="inlineStr">
        <is>
          <t>Recrent Club</t>
        </is>
      </c>
      <c r="AT41" s="24" t="inlineStr">
        <is>
          <t>Recrent Club</t>
        </is>
      </c>
      <c r="AU41" s="24" t="inlineStr">
        <is>
          <t>Recrent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19e41252784d7f0fb30ba60bf91a0e18dad6024caa2bc77a8c0649a56dcc9142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19e41252784d7f0fb30ba60bf91a0e18dad6024caa2bc77a8c0649a56dcc9142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2026-08-05T17:04:45.033261Z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>
        <v>2.27</v>
      </c>
      <c r="BR41" s="28" t="n">
        <v>0.44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f317e85b57754117</t>
        </is>
      </c>
      <c r="B42" s="24" t="inlineStr">
        <is>
          <t>2026-08-05T17:05:00.161606Z</t>
        </is>
      </c>
      <c r="C42" s="24" t="inlineStr">
        <is>
          <t>2026-08-05T21:00:00Z</t>
        </is>
      </c>
      <c r="D42" s="24" t="inlineStr">
        <is>
          <t>72423</t>
        </is>
      </c>
      <c r="E42" s="24" t="inlineStr">
        <is>
          <t>CS2</t>
        </is>
      </c>
      <c r="F42" s="24" t="inlineStr">
        <is>
          <t>Grêmio Esports</t>
        </is>
      </c>
      <c r="G42" s="24" t="inlineStr">
        <is>
          <t>ALKA GAMING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-170</v>
      </c>
      <c r="M42" s="27" t="n">
        <v>1.588235</v>
      </c>
      <c r="N42" s="28" t="n">
        <v>0.62963</v>
      </c>
      <c r="O42" s="28" t="n">
        <v>0.598397</v>
      </c>
      <c r="P42" s="28" t="n"/>
      <c r="Q42" s="28" t="n">
        <v>-0.031233</v>
      </c>
      <c r="R42" s="26" t="n">
        <v>4</v>
      </c>
      <c r="S42" s="29" t="n">
        <v>1.25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-170</v>
      </c>
      <c r="AA42" s="28" t="n">
        <v>0.63</v>
      </c>
      <c r="AB42" s="28" t="n">
        <v>0.00037</v>
      </c>
      <c r="AC42" s="30" t="n">
        <v>-1.25</v>
      </c>
      <c r="AD42" s="24" t="inlineStr">
        <is>
          <t>2026-08-06T00:21:00.349015Z</t>
        </is>
      </c>
      <c r="AE42" s="31" t="inlineStr">
        <is>
          <t>Neutral Elo baseline; executable ask 0.6300 (market_slug=aec-cs2-alka-ger-2026-08-05).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NO_CALL_WINNER_OVERVALUED</t>
        </is>
      </c>
      <c r="AP42" s="24" t="inlineStr">
        <is>
          <t>Grêmio Esports</t>
        </is>
      </c>
      <c r="AQ42" s="24" t="inlineStr">
        <is>
          <t>Grêmio Esports</t>
        </is>
      </c>
      <c r="AR42" s="24" t="inlineStr">
        <is>
          <t>Grêmio Esports</t>
        </is>
      </c>
      <c r="AS42" s="24" t="inlineStr">
        <is>
          <t>ALKA GAMING</t>
        </is>
      </c>
      <c r="AT42" s="24" t="inlineStr">
        <is>
          <t>ALKA GAMING</t>
        </is>
      </c>
      <c r="AU42" s="24" t="inlineStr">
        <is>
          <t>ALKA GAMING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19e41252784d7f0fb30ba60bf91a0e18dad6024caa2bc77a8c0649a56dcc9142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19e41252784d7f0fb30ba60bf91a0e18dad6024caa2bc77a8c0649a56dcc9142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2026-08-05T17:04:46.164462Z</t>
        </is>
      </c>
      <c r="BI42" s="24" t="inlineStr">
        <is>
          <t>["same_event","same_team_same_day","same_league_same_day"]</t>
        </is>
      </c>
      <c r="BJ42" s="25" t="n"/>
      <c r="BK42" s="26" t="n">
        <v>-170</v>
      </c>
      <c r="BL42" s="27" t="n">
        <v>1.588235</v>
      </c>
      <c r="BM42" s="28" t="n">
        <v>0.62963</v>
      </c>
      <c r="BN42" s="28" t="n"/>
      <c r="BO42" s="28" t="n"/>
      <c r="BP42" s="25" t="n"/>
      <c r="BQ42" s="27" t="n">
        <v>1.588235</v>
      </c>
      <c r="BR42" s="28" t="n">
        <v>0.63</v>
      </c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</row>
    <row r="43" ht="36" customHeight="1">
      <c r="A43" s="24" t="inlineStr">
        <is>
          <t>7461e387c41b41c2</t>
        </is>
      </c>
      <c r="B43" s="24" t="inlineStr">
        <is>
          <t>2026-08-06T00:24:54.248921Z</t>
        </is>
      </c>
      <c r="C43" s="24" t="inlineStr">
        <is>
          <t>2026-08-06T08:00:00Z</t>
        </is>
      </c>
      <c r="D43" s="24" t="inlineStr">
        <is>
          <t>71896</t>
        </is>
      </c>
      <c r="E43" s="24" t="inlineStr">
        <is>
          <t>CS2</t>
        </is>
      </c>
      <c r="F43" s="24" t="inlineStr">
        <is>
          <t>EAC Rising</t>
        </is>
      </c>
      <c r="G43" s="24" t="inlineStr">
        <is>
          <t>Eternal Fire Academy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0.549195</v>
      </c>
      <c r="P43" s="28" t="n"/>
      <c r="Q43" s="28" t="n">
        <v>-0.010276</v>
      </c>
      <c r="R43" s="26" t="n">
        <v>15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-1</v>
      </c>
      <c r="AD43" s="24" t="inlineStr">
        <is>
          <t>2026-08-06T18:54:32.160574Z</t>
        </is>
      </c>
      <c r="AE43" s="31" t="inlineStr">
        <is>
          <t>Neutral Elo baseline; executable ask 0.5600 (market_slug=aec-cs2-efa-era-2026-08-06).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NO_CALL_WINNER_OVERVALUED</t>
        </is>
      </c>
      <c r="AP43" s="24" t="inlineStr">
        <is>
          <t>EAC Rising</t>
        </is>
      </c>
      <c r="AQ43" s="24" t="inlineStr">
        <is>
          <t>EAC Rising</t>
        </is>
      </c>
      <c r="AR43" s="24" t="inlineStr">
        <is>
          <t>EAC Rising</t>
        </is>
      </c>
      <c r="AS43" s="24" t="inlineStr">
        <is>
          <t>Eternal Fire Academy</t>
        </is>
      </c>
      <c r="AT43" s="24" t="inlineStr">
        <is>
          <t>Eternal Fire Academy</t>
        </is>
      </c>
      <c r="AU43" s="24" t="inlineStr">
        <is>
          <t>Eternal Fire Academy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95c0b03a7dffafd85c27ca9ed669e331e7385a1d064329e5a50c6fe806eb56d1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95c0b03a7dffafd85c27ca9ed669e331e7385a1d064329e5a50c6fe806eb56d1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2026-08-06T00:24:35.783532Z</t>
        </is>
      </c>
      <c r="BI43" s="24" t="inlineStr">
        <is>
          <t>["same_event","same_team_same_day","same_league_same_day"]</t>
        </is>
      </c>
      <c r="BJ43" s="25" t="n"/>
      <c r="BK43" s="26" t="n">
        <v>-127</v>
      </c>
      <c r="BL43" s="27" t="n">
        <v>1.787402</v>
      </c>
      <c r="BM43" s="28" t="n">
        <v>0.5594710000000001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-1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</row>
    <row r="44" ht="36" customHeight="1">
      <c r="A44" s="24" t="inlineStr">
        <is>
          <t>0568c5e490d04117</t>
        </is>
      </c>
      <c r="B44" s="24" t="inlineStr">
        <is>
          <t>2026-08-06T00:24:54.248921Z</t>
        </is>
      </c>
      <c r="C44" s="24" t="inlineStr">
        <is>
          <t>2026-08-06T08:00:00Z</t>
        </is>
      </c>
      <c r="D44" s="24" t="inlineStr">
        <is>
          <t>73083</t>
        </is>
      </c>
      <c r="E44" s="24" t="inlineStr">
        <is>
          <t>CS2</t>
        </is>
      </c>
      <c r="F44" s="24" t="inlineStr">
        <is>
          <t>Sashi Esport</t>
        </is>
      </c>
      <c r="G44" s="24" t="inlineStr">
        <is>
          <t>Nuclear TigeRES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-108</v>
      </c>
      <c r="M44" s="27" t="n">
        <v>1.925926</v>
      </c>
      <c r="N44" s="28" t="n">
        <v>0.519231</v>
      </c>
      <c r="O44" s="28" t="n">
        <v>0.546035</v>
      </c>
      <c r="P44" s="28" t="n"/>
      <c r="Q44" s="28" t="n">
        <v>0.026804</v>
      </c>
      <c r="R44" s="26" t="n">
        <v>33</v>
      </c>
      <c r="S44" s="29" t="n">
        <v>1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0.9258999999999999</v>
      </c>
      <c r="AD44" s="24" t="inlineStr">
        <is>
          <t>2026-08-06T18:54:34.923654Z</t>
        </is>
      </c>
      <c r="AE44" s="31" t="inlineStr">
        <is>
          <t>Neutral Elo baseline; executable ask 0.5200 (market_slug=aec-cs2-ntr-sashi-2026-08-06).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NO_CALL_WINNER_OVERVALUED</t>
        </is>
      </c>
      <c r="AP44" s="24" t="inlineStr">
        <is>
          <t>Sashi Esport</t>
        </is>
      </c>
      <c r="AQ44" s="24" t="inlineStr">
        <is>
          <t>Sashi Esport</t>
        </is>
      </c>
      <c r="AR44" s="24" t="inlineStr">
        <is>
          <t>Sashi Esport</t>
        </is>
      </c>
      <c r="AS44" s="24" t="inlineStr">
        <is>
          <t>Nuclear TigeRES</t>
        </is>
      </c>
      <c r="AT44" s="24" t="inlineStr">
        <is>
          <t>Nuclear TigeRES</t>
        </is>
      </c>
      <c r="AU44" s="24" t="inlineStr">
        <is>
          <t>Nuclear TigeRES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95c0b03a7dffafd85c27ca9ed669e331e7385a1d064329e5a50c6fe806eb56d1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95c0b03a7dffafd85c27ca9ed669e331e7385a1d064329e5a50c6fe806eb56d1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2026-08-06T00:24:36.248119Z</t>
        </is>
      </c>
      <c r="BI44" s="24" t="inlineStr">
        <is>
          <t>["same_event","same_team_same_day","same_league_same_day"]</t>
        </is>
      </c>
      <c r="BJ44" s="25" t="n"/>
      <c r="BK44" s="26" t="n">
        <v>-108</v>
      </c>
      <c r="BL44" s="27" t="n">
        <v>1.925926</v>
      </c>
      <c r="BM44" s="28" t="n">
        <v>0.519231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0.91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017f232e63124a01</t>
        </is>
      </c>
      <c r="B45" s="24" t="inlineStr">
        <is>
          <t>2026-08-06T00:24:54.248921Z</t>
        </is>
      </c>
      <c r="C45" s="24" t="inlineStr">
        <is>
          <t>2026-08-06T08:00:00Z</t>
        </is>
      </c>
      <c r="D45" s="24" t="inlineStr">
        <is>
          <t>70562</t>
        </is>
      </c>
      <c r="E45" s="24" t="inlineStr">
        <is>
          <t>CS2</t>
        </is>
      </c>
      <c r="F45" s="24" t="inlineStr">
        <is>
          <t>Teletubisie</t>
        </is>
      </c>
      <c r="G45" s="24" t="inlineStr">
        <is>
          <t>WRAITH PCIFIC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0.605841</v>
      </c>
      <c r="P45" s="28" t="n"/>
      <c r="Q45" s="28" t="n">
        <v>0.145012</v>
      </c>
      <c r="R45" s="26" t="n">
        <v>93</v>
      </c>
      <c r="S45" s="29" t="n">
        <v>1.25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-1.25</v>
      </c>
      <c r="AD45" s="24" t="inlineStr">
        <is>
          <t>2026-08-06T18:54:37.735160Z</t>
        </is>
      </c>
      <c r="AE45" s="31" t="inlineStr">
        <is>
          <t>Neutral Elo baseline; executable ask 0.4600 (market_slug=aec-cs2-pcific-ttbs-2026-08-06).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Teletubisie</t>
        </is>
      </c>
      <c r="AQ45" s="24" t="inlineStr">
        <is>
          <t>Teletubisie</t>
        </is>
      </c>
      <c r="AR45" s="24" t="inlineStr">
        <is>
          <t>Teletubisie</t>
        </is>
      </c>
      <c r="AS45" s="24" t="inlineStr">
        <is>
          <t>WRAITH PCIFIC</t>
        </is>
      </c>
      <c r="AT45" s="24" t="inlineStr">
        <is>
          <t>WRAITH PCIFIC</t>
        </is>
      </c>
      <c r="AU45" s="24" t="inlineStr">
        <is>
          <t>WRAITH PCIFIC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95c0b03a7dffafd85c27ca9ed669e331e7385a1d064329e5a50c6fe806eb56d1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95c0b03a7dffafd85c27ca9ed669e331e7385a1d064329e5a50c6fe806eb56d1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2026-08-06T00:24:37.231379Z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164c7450f4d443a0</t>
        </is>
      </c>
      <c r="B46" s="24" t="inlineStr">
        <is>
          <t>2026-08-06T00:24:54.248921Z</t>
        </is>
      </c>
      <c r="C46" s="24" t="inlineStr">
        <is>
          <t>2026-08-06T08:00:00Z</t>
        </is>
      </c>
      <c r="D46" s="24" t="inlineStr">
        <is>
          <t>72490</t>
        </is>
      </c>
      <c r="E46" s="24" t="inlineStr">
        <is>
          <t>CS2</t>
        </is>
      </c>
      <c r="F46" s="24" t="inlineStr">
        <is>
          <t>Black Phoenix</t>
        </is>
      </c>
      <c r="G46" s="24" t="inlineStr">
        <is>
          <t>Lavked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138</v>
      </c>
      <c r="M46" s="27" t="n">
        <v>2.38</v>
      </c>
      <c r="N46" s="28" t="n">
        <v>0.420168</v>
      </c>
      <c r="O46" s="28" t="n">
        <v>0.5310550000000001</v>
      </c>
      <c r="P46" s="28" t="n"/>
      <c r="Q46" s="28" t="n">
        <v>0.110887</v>
      </c>
      <c r="R46" s="26" t="n">
        <v>75</v>
      </c>
      <c r="S46" s="29" t="n">
        <v>1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-1</v>
      </c>
      <c r="AD46" s="24" t="inlineStr">
        <is>
          <t>2026-08-06T18:54:40.451165Z</t>
        </is>
      </c>
      <c r="AE46" s="31" t="inlineStr">
        <is>
          <t>Neutral Elo baseline; executable ask 0.4200 (market_slug=aec-cs2-lav-bpl-2026-08-06).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Black Phoenix</t>
        </is>
      </c>
      <c r="AQ46" s="24" t="inlineStr">
        <is>
          <t>Black Phoenix</t>
        </is>
      </c>
      <c r="AR46" s="24" t="inlineStr">
        <is>
          <t>Black Phoenix</t>
        </is>
      </c>
      <c r="AS46" s="24" t="inlineStr">
        <is>
          <t>Lavked</t>
        </is>
      </c>
      <c r="AT46" s="24" t="inlineStr">
        <is>
          <t>Lavked</t>
        </is>
      </c>
      <c r="AU46" s="24" t="inlineStr">
        <is>
          <t>Lavked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95c0b03a7dffafd85c27ca9ed669e331e7385a1d064329e5a50c6fe806eb56d1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95c0b03a7dffafd85c27ca9ed669e331e7385a1d064329e5a50c6fe806eb56d1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2026-08-06T00:24:37.738828Z</t>
        </is>
      </c>
      <c r="BI46" s="24" t="inlineStr">
        <is>
          <t>["same_event","same_team_same_day","same_league_same_day"]</t>
        </is>
      </c>
      <c r="BJ46" s="25" t="n"/>
      <c r="BK46" s="26" t="n">
        <v>138</v>
      </c>
      <c r="BL46" s="27" t="n">
        <v>2.38</v>
      </c>
      <c r="BM46" s="28" t="n">
        <v>0.420168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-1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5d38dce6c3454b8b</t>
        </is>
      </c>
      <c r="B47" s="24" t="inlineStr">
        <is>
          <t>2026-08-06T00:24:54.248921Z</t>
        </is>
      </c>
      <c r="C47" s="24" t="inlineStr">
        <is>
          <t>2026-08-06T10:00:00Z</t>
        </is>
      </c>
      <c r="D47" s="24" t="inlineStr">
        <is>
          <t>72793</t>
        </is>
      </c>
      <c r="E47" s="24" t="inlineStr">
        <is>
          <t>CS2</t>
        </is>
      </c>
      <c r="F47" s="24" t="inlineStr">
        <is>
          <t>Arcade Esports</t>
        </is>
      </c>
      <c r="G47" s="24" t="inlineStr">
        <is>
          <t>Time Waves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0.59418</v>
      </c>
      <c r="P47" s="28" t="n"/>
      <c r="Q47" s="28" t="n">
        <v>-0.096222</v>
      </c>
      <c r="R47" s="26" t="n">
        <v>0</v>
      </c>
      <c r="S47" s="29" t="n">
        <v>1.25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0.5605</v>
      </c>
      <c r="AD47" s="24" t="inlineStr">
        <is>
          <t>2026-08-06T18:54:43.171198Z</t>
        </is>
      </c>
      <c r="AE47" s="31" t="inlineStr">
        <is>
          <t>Neutral Elo baseline; executable ask 0.6900 (market_slug=aec-cs2-tw-aer-2026-08-06).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NO_CALL_WINNER_OVERVALUED</t>
        </is>
      </c>
      <c r="AP47" s="24" t="inlineStr">
        <is>
          <t>Arcade Esports</t>
        </is>
      </c>
      <c r="AQ47" s="24" t="inlineStr">
        <is>
          <t>Arcade Esports</t>
        </is>
      </c>
      <c r="AR47" s="24" t="inlineStr">
        <is>
          <t>Arcade Esports</t>
        </is>
      </c>
      <c r="AS47" s="24" t="inlineStr">
        <is>
          <t>Time Waves</t>
        </is>
      </c>
      <c r="AT47" s="24" t="inlineStr">
        <is>
          <t>Time Waves</t>
        </is>
      </c>
      <c r="AU47" s="24" t="inlineStr">
        <is>
          <t>Time Waves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95c0b03a7dffafd85c27ca9ed669e331e7385a1d064329e5a50c6fe806eb56d1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95c0b03a7dffafd85c27ca9ed669e331e7385a1d064329e5a50c6fe806eb56d1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2026-08-06T00:24:38.760502Z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671c5cf4932049de</t>
        </is>
      </c>
      <c r="B48" s="24" t="inlineStr">
        <is>
          <t>2026-08-06T00:24:54.248921Z</t>
        </is>
      </c>
      <c r="C48" s="24" t="inlineStr">
        <is>
          <t>2026-08-06T10:30:00Z</t>
        </is>
      </c>
      <c r="D48" s="24" t="inlineStr">
        <is>
          <t>70787</t>
        </is>
      </c>
      <c r="E48" s="24" t="inlineStr">
        <is>
          <t>CS2</t>
        </is>
      </c>
      <c r="F48" s="24" t="inlineStr">
        <is>
          <t>Eternal Fire Academy</t>
        </is>
      </c>
      <c r="G48" s="24" t="inlineStr">
        <is>
          <t>EAC Rising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-133</v>
      </c>
      <c r="M48" s="27" t="n">
        <v>1.75188</v>
      </c>
      <c r="N48" s="28" t="n">
        <v>0.570815</v>
      </c>
      <c r="O48" s="28" t="n">
        <v>0.607413</v>
      </c>
      <c r="P48" s="28" t="n"/>
      <c r="Q48" s="28" t="n">
        <v>0.036598</v>
      </c>
      <c r="R48" s="26" t="n">
        <v>38</v>
      </c>
      <c r="S48" s="29" t="n">
        <v>1.5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push</t>
        </is>
      </c>
      <c r="W48" s="26" t="n"/>
      <c r="X48" s="26" t="n"/>
      <c r="Y48" s="25" t="n"/>
      <c r="Z48" s="26" t="n"/>
      <c r="AA48" s="28" t="n"/>
      <c r="AB48" s="28" t="n"/>
      <c r="AC48" s="30" t="n">
        <v>0</v>
      </c>
      <c r="AD48" s="24" t="inlineStr">
        <is>
          <t>2026-08-06T18:54:45.934204Z</t>
        </is>
      </c>
      <c r="AE48" s="31" t="inlineStr">
        <is>
          <t>Neutral Elo baseline; executable ask 0.5700 (market_slug=aec-cs2-era-efa-2026-08-06).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NO_CALL_WINNER_OVERVALUED</t>
        </is>
      </c>
      <c r="AP48" s="24" t="inlineStr">
        <is>
          <t>Eternal Fire Academy</t>
        </is>
      </c>
      <c r="AQ48" s="24" t="inlineStr">
        <is>
          <t>Eternal Fire Academy</t>
        </is>
      </c>
      <c r="AR48" s="24" t="inlineStr">
        <is>
          <t>Eternal Fire Academy</t>
        </is>
      </c>
      <c r="AS48" s="24" t="inlineStr">
        <is>
          <t>EAC Rising</t>
        </is>
      </c>
      <c r="AT48" s="24" t="inlineStr">
        <is>
          <t>EAC Rising</t>
        </is>
      </c>
      <c r="AU48" s="24" t="inlineStr">
        <is>
          <t>EAC Rising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95c0b03a7dffafd85c27ca9ed669e331e7385a1d064329e5a50c6fe806eb56d1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95c0b03a7dffafd85c27ca9ed669e331e7385a1d064329e5a50c6fe806eb56d1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2026-08-06T00:24:39.833682Z</t>
        </is>
      </c>
      <c r="BI48" s="24" t="inlineStr">
        <is>
          <t>["same_event","same_team_same_day","same_league_same_day"]</t>
        </is>
      </c>
      <c r="BJ48" s="25" t="n"/>
      <c r="BK48" s="26" t="n">
        <v>-133</v>
      </c>
      <c r="BL48" s="27" t="n">
        <v>1.75188</v>
      </c>
      <c r="BM48" s="28" t="n">
        <v>0.570815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inlineStr">
        <is>
          <t>esports market settled to a non-binary price (forfeit/postponement per market rules)</t>
        </is>
      </c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6027b6ded4ef45e0</t>
        </is>
      </c>
      <c r="B49" s="24" t="inlineStr">
        <is>
          <t>2026-08-06T00:24:54.248921Z</t>
        </is>
      </c>
      <c r="C49" s="24" t="inlineStr">
        <is>
          <t>2026-08-06T11:00:00Z</t>
        </is>
      </c>
      <c r="D49" s="24" t="inlineStr">
        <is>
          <t>72492</t>
        </is>
      </c>
      <c r="E49" s="24" t="inlineStr">
        <is>
          <t>CS2</t>
        </is>
      </c>
      <c r="F49" s="24" t="inlineStr">
        <is>
          <t>SPARTA</t>
        </is>
      </c>
      <c r="G49" s="24" t="inlineStr">
        <is>
          <t>BET-M 33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-186</v>
      </c>
      <c r="M49" s="27" t="n">
        <v>1.537634</v>
      </c>
      <c r="N49" s="28" t="n">
        <v>0.65035</v>
      </c>
      <c r="O49" s="28" t="n">
        <v>0.551668</v>
      </c>
      <c r="P49" s="28" t="n"/>
      <c r="Q49" s="28" t="n">
        <v>-0.09868200000000001</v>
      </c>
      <c r="R49" s="26" t="n">
        <v>0</v>
      </c>
      <c r="S49" s="29" t="n">
        <v>1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2026-08-06T18:54:48.069664Z</t>
        </is>
      </c>
      <c r="AE49" s="31" t="inlineStr">
        <is>
          <t>Neutral Elo baseline; executable ask 0.6500 (market_slug=aec-cs2-33-sparta-2026-08-06).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NO_CALL_WINNER_OVERVALUED</t>
        </is>
      </c>
      <c r="AP49" s="24" t="inlineStr">
        <is>
          <t>SPARTA</t>
        </is>
      </c>
      <c r="AQ49" s="24" t="inlineStr">
        <is>
          <t>SPARTA</t>
        </is>
      </c>
      <c r="AR49" s="24" t="inlineStr">
        <is>
          <t>SPARTA</t>
        </is>
      </c>
      <c r="AS49" s="24" t="inlineStr">
        <is>
          <t>BET-M 33</t>
        </is>
      </c>
      <c r="AT49" s="24" t="inlineStr">
        <is>
          <t>BET-M 33</t>
        </is>
      </c>
      <c r="AU49" s="24" t="inlineStr">
        <is>
          <t>BET-M 33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95c0b03a7dffafd85c27ca9ed669e331e7385a1d064329e5a50c6fe806eb56d1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95c0b03a7dffafd85c27ca9ed669e331e7385a1d064329e5a50c6fe806eb56d1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2026-08-06T00:24:40.312261Z</t>
        </is>
      </c>
      <c r="BI49" s="24" t="inlineStr">
        <is>
          <t>["same_event","same_team_same_day","same_league_same_day"]</t>
        </is>
      </c>
      <c r="BJ49" s="25" t="n"/>
      <c r="BK49" s="26" t="n">
        <v>-186</v>
      </c>
      <c r="BL49" s="27" t="n">
        <v>1.537634</v>
      </c>
      <c r="BM49" s="28" t="n">
        <v>0.65035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</row>
    <row r="50" ht="36" customHeight="1">
      <c r="A50" s="24" t="inlineStr">
        <is>
          <t>822be2f4603240f5</t>
        </is>
      </c>
      <c r="B50" s="24" t="inlineStr">
        <is>
          <t>2026-08-06T00:24:54.248921Z</t>
        </is>
      </c>
      <c r="C50" s="24" t="inlineStr">
        <is>
          <t>2026-08-06T11:00:00Z</t>
        </is>
      </c>
      <c r="D50" s="24" t="inlineStr">
        <is>
          <t>70599</t>
        </is>
      </c>
      <c r="E50" s="24" t="inlineStr">
        <is>
          <t>CS2</t>
        </is>
      </c>
      <c r="F50" s="24" t="inlineStr">
        <is>
          <t>NAVI Junior</t>
        </is>
      </c>
      <c r="G50" s="24" t="inlineStr">
        <is>
          <t>eSuba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-144</v>
      </c>
      <c r="M50" s="27" t="n">
        <v>1.694444</v>
      </c>
      <c r="N50" s="28" t="n">
        <v>0.590164</v>
      </c>
      <c r="O50" s="28" t="n">
        <v>0.530687</v>
      </c>
      <c r="P50" s="28" t="n"/>
      <c r="Q50" s="28" t="n">
        <v>-0.059477</v>
      </c>
      <c r="R50" s="26" t="n">
        <v>0</v>
      </c>
      <c r="S50" s="29" t="n">
        <v>1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-1</v>
      </c>
      <c r="AD50" s="24" t="inlineStr">
        <is>
          <t>2026-08-06T18:54:50.841960Z</t>
        </is>
      </c>
      <c r="AE50" s="31" t="inlineStr">
        <is>
          <t>Neutral Elo baseline; executable ask 0.5900 (market_slug=aec-cs2-esb-navij-2026-08-06).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NO_CALL_WINNER_OVERVALUED</t>
        </is>
      </c>
      <c r="AP50" s="24" t="inlineStr">
        <is>
          <t>NAVI Junior</t>
        </is>
      </c>
      <c r="AQ50" s="24" t="inlineStr">
        <is>
          <t>NAVI Junior</t>
        </is>
      </c>
      <c r="AR50" s="24" t="inlineStr">
        <is>
          <t>NAVI Junior</t>
        </is>
      </c>
      <c r="AS50" s="24" t="inlineStr">
        <is>
          <t>eSuba</t>
        </is>
      </c>
      <c r="AT50" s="24" t="inlineStr">
        <is>
          <t>eSuba</t>
        </is>
      </c>
      <c r="AU50" s="24" t="inlineStr">
        <is>
          <t>eSuba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95c0b03a7dffafd85c27ca9ed669e331e7385a1d064329e5a50c6fe806eb56d1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95c0b03a7dffafd85c27ca9ed669e331e7385a1d064329e5a50c6fe806eb56d1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2026-08-06T00:24:40.958250Z</t>
        </is>
      </c>
      <c r="BI50" s="24" t="inlineStr">
        <is>
          <t>["same_event","same_team_same_day","same_league_same_day"]</t>
        </is>
      </c>
      <c r="BJ50" s="25" t="n"/>
      <c r="BK50" s="26" t="n">
        <v>-144</v>
      </c>
      <c r="BL50" s="27" t="n">
        <v>1.694444</v>
      </c>
      <c r="BM50" s="28" t="n">
        <v>0.590164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-1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</row>
    <row r="51" ht="36" customHeight="1">
      <c r="A51" s="24" t="inlineStr">
        <is>
          <t>139cf1bea82f42c9</t>
        </is>
      </c>
      <c r="B51" s="24" t="inlineStr">
        <is>
          <t>2026-08-06T00:24:54.248921Z</t>
        </is>
      </c>
      <c r="C51" s="24" t="inlineStr">
        <is>
          <t>2026-08-06T12:00:00Z</t>
        </is>
      </c>
      <c r="D51" s="24" t="inlineStr">
        <is>
          <t>73434</t>
        </is>
      </c>
      <c r="E51" s="24" t="inlineStr">
        <is>
          <t>CS2</t>
        </is>
      </c>
      <c r="F51" s="24" t="inlineStr">
        <is>
          <t>1WIN</t>
        </is>
      </c>
      <c r="G51" s="24" t="inlineStr">
        <is>
          <t>Butterfly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-223</v>
      </c>
      <c r="M51" s="27" t="n">
        <v>1.44843</v>
      </c>
      <c r="N51" s="28" t="n">
        <v>0.690402</v>
      </c>
      <c r="O51" s="28" t="n">
        <v>0.641221</v>
      </c>
      <c r="P51" s="28" t="n"/>
      <c r="Q51" s="28" t="n">
        <v>-0.049181</v>
      </c>
      <c r="R51" s="26" t="n">
        <v>0</v>
      </c>
      <c r="S51" s="29" t="n">
        <v>1.5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-1.5</v>
      </c>
      <c r="AD51" s="24" t="inlineStr">
        <is>
          <t>2026-08-06T18:54:53.579174Z</t>
        </is>
      </c>
      <c r="AE51" s="31" t="inlineStr">
        <is>
          <t>Neutral Elo baseline; executable ask 0.6900 (market_slug=aec-cs2-btf-1win-2026-08-06).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NO_CALL_WINNER_OVERVALUED</t>
        </is>
      </c>
      <c r="AP51" s="24" t="inlineStr">
        <is>
          <t>1WIN</t>
        </is>
      </c>
      <c r="AQ51" s="24" t="inlineStr">
        <is>
          <t>1WIN</t>
        </is>
      </c>
      <c r="AR51" s="24" t="inlineStr">
        <is>
          <t>1WIN</t>
        </is>
      </c>
      <c r="AS51" s="24" t="inlineStr">
        <is>
          <t>Butterfly</t>
        </is>
      </c>
      <c r="AT51" s="24" t="inlineStr">
        <is>
          <t>Butterfly</t>
        </is>
      </c>
      <c r="AU51" s="24" t="inlineStr">
        <is>
          <t>Butterfly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95c0b03a7dffafd85c27ca9ed669e331e7385a1d064329e5a50c6fe806eb56d1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95c0b03a7dffafd85c27ca9ed669e331e7385a1d064329e5a50c6fe806eb56d1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2026-08-06T00:24:42.538668Z</t>
        </is>
      </c>
      <c r="BI51" s="24" t="inlineStr">
        <is>
          <t>["same_event","same_team_same_day","same_league_same_day"]</t>
        </is>
      </c>
      <c r="BJ51" s="25" t="n"/>
      <c r="BK51" s="26" t="n">
        <v>-223</v>
      </c>
      <c r="BL51" s="27" t="n">
        <v>1.44843</v>
      </c>
      <c r="BM51" s="28" t="n">
        <v>0.690402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5450f0099cc8455a</t>
        </is>
      </c>
      <c r="B52" s="24" t="inlineStr">
        <is>
          <t>2026-08-06T00:24:54.248921Z</t>
        </is>
      </c>
      <c r="C52" s="24" t="inlineStr">
        <is>
          <t>2026-08-06T14:00:00Z</t>
        </is>
      </c>
      <c r="D52" s="24" t="inlineStr">
        <is>
          <t>72650</t>
        </is>
      </c>
      <c r="E52" s="24" t="inlineStr">
        <is>
          <t>CS2</t>
        </is>
      </c>
      <c r="F52" s="24" t="inlineStr">
        <is>
          <t>MEIA NOITE</t>
        </is>
      </c>
      <c r="G52" s="24" t="inlineStr">
        <is>
          <t>paiN Academy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-233</v>
      </c>
      <c r="M52" s="27" t="n">
        <v>1.429185</v>
      </c>
      <c r="N52" s="28" t="n">
        <v>0.6997</v>
      </c>
      <c r="O52" s="28" t="n">
        <v>0.512843</v>
      </c>
      <c r="P52" s="28" t="n"/>
      <c r="Q52" s="28" t="n">
        <v>-0.186857</v>
      </c>
      <c r="R52" s="26" t="n">
        <v>0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-1</v>
      </c>
      <c r="AD52" s="24" t="inlineStr">
        <is>
          <t>2026-08-06T18:54:56.190365Z</t>
        </is>
      </c>
      <c r="AE52" s="31" t="inlineStr">
        <is>
          <t>Neutral Elo baseline; executable ask 0.7000 (market_slug=aec-cs2-paina-mne-2026-08-06).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NO_CALL_WINNER_OVERVALUED</t>
        </is>
      </c>
      <c r="AP52" s="24" t="inlineStr">
        <is>
          <t>MEIA NOITE</t>
        </is>
      </c>
      <c r="AQ52" s="24" t="inlineStr">
        <is>
          <t>MEIA NOITE</t>
        </is>
      </c>
      <c r="AR52" s="24" t="inlineStr">
        <is>
          <t>MEIA NOITE</t>
        </is>
      </c>
      <c r="AS52" s="24" t="inlineStr">
        <is>
          <t>paiN Academy</t>
        </is>
      </c>
      <c r="AT52" s="24" t="inlineStr">
        <is>
          <t>paiN Academy</t>
        </is>
      </c>
      <c r="AU52" s="24" t="inlineStr">
        <is>
          <t>paiN Academy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95c0b03a7dffafd85c27ca9ed669e331e7385a1d064329e5a50c6fe806eb56d1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95c0b03a7dffafd85c27ca9ed669e331e7385a1d064329e5a50c6fe806eb56d1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2026-08-06T00:24:43.039228Z</t>
        </is>
      </c>
      <c r="BI52" s="24" t="inlineStr">
        <is>
          <t>["same_event","same_team_same_day","same_league_same_day"]</t>
        </is>
      </c>
      <c r="BJ52" s="25" t="n"/>
      <c r="BK52" s="26" t="n">
        <v>-233</v>
      </c>
      <c r="BL52" s="27" t="n">
        <v>1.429185</v>
      </c>
      <c r="BM52" s="28" t="n">
        <v>0.6997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>
        <v>1</v>
      </c>
      <c r="BY52" s="27" t="n">
        <v>-1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</row>
    <row r="53" ht="36" customHeight="1">
      <c r="A53" s="24" t="inlineStr">
        <is>
          <t>2075bdb5d4a34156</t>
        </is>
      </c>
      <c r="B53" s="24" t="inlineStr">
        <is>
          <t>2026-08-06T00:24:54.248921Z</t>
        </is>
      </c>
      <c r="C53" s="24" t="inlineStr">
        <is>
          <t>2026-08-06T14:00:00Z</t>
        </is>
      </c>
      <c r="D53" s="24" t="inlineStr">
        <is>
          <t>70694</t>
        </is>
      </c>
      <c r="E53" s="24" t="inlineStr">
        <is>
          <t>CS2</t>
        </is>
      </c>
      <c r="F53" s="24" t="inlineStr">
        <is>
          <t>maybe</t>
        </is>
      </c>
      <c r="G53" s="24" t="inlineStr">
        <is>
          <t>GamersLab Esports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-203</v>
      </c>
      <c r="M53" s="27" t="n">
        <v>1.492611</v>
      </c>
      <c r="N53" s="28" t="n">
        <v>0.669967</v>
      </c>
      <c r="O53" s="28" t="n">
        <v>0.52347</v>
      </c>
      <c r="P53" s="28" t="n"/>
      <c r="Q53" s="28" t="n">
        <v>-0.146497</v>
      </c>
      <c r="R53" s="26" t="n">
        <v>0</v>
      </c>
      <c r="S53" s="29" t="n">
        <v>1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-1</v>
      </c>
      <c r="AD53" s="24" t="inlineStr">
        <is>
          <t>2026-08-06T18:54:58.845872Z</t>
        </is>
      </c>
      <c r="AE53" s="31" t="inlineStr">
        <is>
          <t>Neutral Elo baseline; executable ask 0.6700 (market_slug=aec-cs2-gea-maybe-2026-08-06).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NO_CALL_WINNER_OVERVALUED</t>
        </is>
      </c>
      <c r="AP53" s="24" t="inlineStr">
        <is>
          <t>maybe</t>
        </is>
      </c>
      <c r="AQ53" s="24" t="inlineStr">
        <is>
          <t>maybe</t>
        </is>
      </c>
      <c r="AR53" s="24" t="inlineStr">
        <is>
          <t>maybe</t>
        </is>
      </c>
      <c r="AS53" s="24" t="inlineStr">
        <is>
          <t>GamersLab Esports</t>
        </is>
      </c>
      <c r="AT53" s="24" t="inlineStr">
        <is>
          <t>GamersLab Esports</t>
        </is>
      </c>
      <c r="AU53" s="24" t="inlineStr">
        <is>
          <t>GamersLab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95c0b03a7dffafd85c27ca9ed669e331e7385a1d064329e5a50c6fe806eb56d1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95c0b03a7dffafd85c27ca9ed669e331e7385a1d064329e5a50c6fe806eb56d1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2026-08-06T00:24:43.516726Z</t>
        </is>
      </c>
      <c r="BI53" s="24" t="inlineStr">
        <is>
          <t>["same_event","same_team_same_day","same_league_same_day"]</t>
        </is>
      </c>
      <c r="BJ53" s="25" t="n"/>
      <c r="BK53" s="26" t="n">
        <v>-203</v>
      </c>
      <c r="BL53" s="27" t="n">
        <v>1.492611</v>
      </c>
      <c r="BM53" s="28" t="n">
        <v>0.669967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>
        <v>1</v>
      </c>
      <c r="BY53" s="27" t="n">
        <v>-1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</row>
    <row r="54" ht="36" customHeight="1">
      <c r="A54" s="24" t="inlineStr">
        <is>
          <t>615890d988fc4433</t>
        </is>
      </c>
      <c r="B54" s="24" t="inlineStr">
        <is>
          <t>2026-08-06T00:24:54.248921Z</t>
        </is>
      </c>
      <c r="C54" s="24" t="inlineStr">
        <is>
          <t>2026-08-06T14:00:00Z</t>
        </is>
      </c>
      <c r="D54" s="24" t="inlineStr">
        <is>
          <t>70695</t>
        </is>
      </c>
      <c r="E54" s="24" t="inlineStr">
        <is>
          <t>CS2</t>
        </is>
      </c>
      <c r="F54" s="24" t="inlineStr">
        <is>
          <t>JAM</t>
        </is>
      </c>
      <c r="G54" s="24" t="inlineStr">
        <is>
          <t>NAVI Junior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117</v>
      </c>
      <c r="M54" s="27" t="n">
        <v>2.17</v>
      </c>
      <c r="N54" s="28" t="n">
        <v>0.460829</v>
      </c>
      <c r="O54" s="28" t="n">
        <v>0.531855</v>
      </c>
      <c r="P54" s="28" t="n"/>
      <c r="Q54" s="28" t="n">
        <v>0.07102600000000001</v>
      </c>
      <c r="R54" s="26" t="n">
        <v>56</v>
      </c>
      <c r="S54" s="29" t="n">
        <v>1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2026-08-06T18:55:01.621189Z</t>
        </is>
      </c>
      <c r="AE54" s="31" t="inlineStr">
        <is>
          <t>Neutral Elo baseline; executable ask 0.4600 (market_slug=aec-cs2-navij-jam-2026-08-06).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NO_CALL_WINNER_OVERVALUED</t>
        </is>
      </c>
      <c r="AP54" s="24" t="inlineStr">
        <is>
          <t>JAM</t>
        </is>
      </c>
      <c r="AQ54" s="24" t="inlineStr">
        <is>
          <t>JAM</t>
        </is>
      </c>
      <c r="AR54" s="24" t="inlineStr">
        <is>
          <t>JAM</t>
        </is>
      </c>
      <c r="AS54" s="24" t="inlineStr">
        <is>
          <t>NAVI Junior</t>
        </is>
      </c>
      <c r="AT54" s="24" t="inlineStr">
        <is>
          <t>NAVI Junior</t>
        </is>
      </c>
      <c r="AU54" s="24" t="inlineStr">
        <is>
          <t>NAVI Junior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95c0b03a7dffafd85c27ca9ed669e331e7385a1d064329e5a50c6fe806eb56d1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95c0b03a7dffafd85c27ca9ed669e331e7385a1d064329e5a50c6fe806eb56d1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2026-08-06T00:24:44.034404Z</t>
        </is>
      </c>
      <c r="BI54" s="24" t="inlineStr">
        <is>
          <t>["same_event","same_team_same_day","same_league_same_day"]</t>
        </is>
      </c>
      <c r="BJ54" s="25" t="n"/>
      <c r="BK54" s="26" t="n">
        <v>117</v>
      </c>
      <c r="BL54" s="27" t="n">
        <v>2.17</v>
      </c>
      <c r="BM54" s="28" t="n">
        <v>0.460829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>
        <v>1</v>
      </c>
      <c r="BY54" s="27" t="n">
        <v>-1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068ea51cc876425d</t>
        </is>
      </c>
      <c r="B55" s="24" t="inlineStr">
        <is>
          <t>2026-08-06T00:24:54.248921Z</t>
        </is>
      </c>
      <c r="C55" s="24" t="inlineStr">
        <is>
          <t>2026-08-06T14:00:00Z</t>
        </is>
      </c>
      <c r="D55" s="24" t="inlineStr">
        <is>
          <t>72496</t>
        </is>
      </c>
      <c r="E55" s="24" t="inlineStr">
        <is>
          <t>CS2</t>
        </is>
      </c>
      <c r="F55" s="24" t="inlineStr">
        <is>
          <t>UNiTY esports</t>
        </is>
      </c>
      <c r="G55" s="24" t="inlineStr">
        <is>
          <t>Walczaki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-194</v>
      </c>
      <c r="M55" s="27" t="n">
        <v>1.515464</v>
      </c>
      <c r="N55" s="28" t="n">
        <v>0.659864</v>
      </c>
      <c r="O55" s="28" t="n">
        <v>0.6187049999999999</v>
      </c>
      <c r="P55" s="28" t="n"/>
      <c r="Q55" s="28" t="n">
        <v>-0.041159</v>
      </c>
      <c r="R55" s="26" t="n">
        <v>0</v>
      </c>
      <c r="S55" s="29" t="n">
        <v>1.5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/>
      <c r="AA55" s="28" t="n"/>
      <c r="AB55" s="28" t="n"/>
      <c r="AC55" s="30" t="n">
        <v>0.7732</v>
      </c>
      <c r="AD55" s="24" t="inlineStr">
        <is>
          <t>2026-08-06T18:55:04.286551Z</t>
        </is>
      </c>
      <c r="AE55" s="31" t="inlineStr">
        <is>
          <t>Neutral Elo baseline; executable ask 0.6600 (market_slug=aec-cs2-wal-unity-2026-08-06).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NO_CALL_WINNER_OVERVALUED</t>
        </is>
      </c>
      <c r="AP55" s="24" t="inlineStr">
        <is>
          <t>UNiTY esports</t>
        </is>
      </c>
      <c r="AQ55" s="24" t="inlineStr">
        <is>
          <t>UNiTY esports</t>
        </is>
      </c>
      <c r="AR55" s="24" t="inlineStr">
        <is>
          <t>UNiTY esports</t>
        </is>
      </c>
      <c r="AS55" s="24" t="inlineStr">
        <is>
          <t>Walczaki</t>
        </is>
      </c>
      <c r="AT55" s="24" t="inlineStr">
        <is>
          <t>Walczaki</t>
        </is>
      </c>
      <c r="AU55" s="24" t="inlineStr">
        <is>
          <t>Walczaki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95c0b03a7dffafd85c27ca9ed669e331e7385a1d064329e5a50c6fe806eb56d1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95c0b03a7dffafd85c27ca9ed669e331e7385a1d064329e5a50c6fe806eb56d1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2026-08-06T00:24:44.602889Z</t>
        </is>
      </c>
      <c r="BI55" s="24" t="inlineStr">
        <is>
          <t>["same_event","same_team_same_day","same_league_same_day"]</t>
        </is>
      </c>
      <c r="BJ55" s="25" t="n"/>
      <c r="BK55" s="26" t="n">
        <v>-194</v>
      </c>
      <c r="BL55" s="27" t="n">
        <v>1.515464</v>
      </c>
      <c r="BM55" s="28" t="n">
        <v>0.659864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>
        <v>1</v>
      </c>
      <c r="BY55" s="27" t="n">
        <v>0.91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</row>
    <row r="56" ht="36" customHeight="1">
      <c r="A56" s="24" t="inlineStr">
        <is>
          <t>6f61c88ff9ba4d43</t>
        </is>
      </c>
      <c r="B56" s="24" t="inlineStr">
        <is>
          <t>2026-08-06T00:24:54.248921Z</t>
        </is>
      </c>
      <c r="C56" s="24" t="inlineStr">
        <is>
          <t>2026-08-06T17:00:00Z</t>
        </is>
      </c>
      <c r="D56" s="24" t="inlineStr">
        <is>
          <t>72651</t>
        </is>
      </c>
      <c r="E56" s="24" t="inlineStr">
        <is>
          <t>CS2</t>
        </is>
      </c>
      <c r="F56" s="24" t="inlineStr">
        <is>
          <t>Yawara Esports</t>
        </is>
      </c>
      <c r="G56" s="24" t="inlineStr">
        <is>
          <t>Isurus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-133</v>
      </c>
      <c r="M56" s="27" t="n">
        <v>1.75188</v>
      </c>
      <c r="N56" s="28" t="n">
        <v>0.570815</v>
      </c>
      <c r="O56" s="28" t="n">
        <v>0.745356</v>
      </c>
      <c r="P56" s="28" t="n"/>
      <c r="Q56" s="28" t="n">
        <v>0.174541</v>
      </c>
      <c r="R56" s="26" t="n">
        <v>100</v>
      </c>
      <c r="S56" s="29" t="n">
        <v>2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-2</v>
      </c>
      <c r="AD56" s="24" t="inlineStr">
        <is>
          <t>2026-08-07T06:00:27.589573Z</t>
        </is>
      </c>
      <c r="AE56" s="31" t="inlineStr">
        <is>
          <t>Neutral Elo baseline; executable ask 0.5700 (market_slug=aec-cs2-isg-yaw-2026-08-06).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Yawara Esports</t>
        </is>
      </c>
      <c r="AQ56" s="24" t="inlineStr">
        <is>
          <t>Yawara Esports</t>
        </is>
      </c>
      <c r="AR56" s="24" t="inlineStr">
        <is>
          <t>Yawara Esports</t>
        </is>
      </c>
      <c r="AS56" s="24" t="inlineStr">
        <is>
          <t>Isurus</t>
        </is>
      </c>
      <c r="AT56" s="24" t="inlineStr">
        <is>
          <t>Isurus</t>
        </is>
      </c>
      <c r="AU56" s="24" t="inlineStr">
        <is>
          <t>Isurus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95c0b03a7dffafd85c27ca9ed669e331e7385a1d064329e5a50c6fe806eb56d1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95c0b03a7dffafd85c27ca9ed669e331e7385a1d064329e5a50c6fe806eb56d1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2026-08-06T00:24:47.216028Z</t>
        </is>
      </c>
      <c r="BI56" s="24" t="inlineStr">
        <is>
          <t>["same_event","same_team_same_day","same_league_same_day"]</t>
        </is>
      </c>
      <c r="BJ56" s="25" t="n"/>
      <c r="BK56" s="26" t="n">
        <v>-133</v>
      </c>
      <c r="BL56" s="27" t="n">
        <v>1.75188</v>
      </c>
      <c r="BM56" s="28" t="n">
        <v>0.570815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-1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7dd968f07cc04505</t>
        </is>
      </c>
      <c r="B57" s="24" t="inlineStr">
        <is>
          <t>2026-08-06T00:24:54.248921Z</t>
        </is>
      </c>
      <c r="C57" s="24" t="inlineStr">
        <is>
          <t>2026-08-06T17:00:00Z</t>
        </is>
      </c>
      <c r="D57" s="24" t="inlineStr">
        <is>
          <t>72500</t>
        </is>
      </c>
      <c r="E57" s="24" t="inlineStr">
        <is>
          <t>CS2</t>
        </is>
      </c>
      <c r="F57" s="24" t="inlineStr">
        <is>
          <t>ex-RUSTEC</t>
        </is>
      </c>
      <c r="G57" s="24" t="inlineStr">
        <is>
          <t>WW Team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144</v>
      </c>
      <c r="M57" s="27" t="n">
        <v>2.44</v>
      </c>
      <c r="N57" s="28" t="n">
        <v>0.409836</v>
      </c>
      <c r="O57" s="28" t="n">
        <v>0.592759</v>
      </c>
      <c r="P57" s="28" t="n"/>
      <c r="Q57" s="28" t="n">
        <v>0.182923</v>
      </c>
      <c r="R57" s="26" t="n">
        <v>100</v>
      </c>
      <c r="S57" s="29" t="n">
        <v>1.25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1</v>
      </c>
      <c r="X57" s="26" t="n">
        <v>0</v>
      </c>
      <c r="Y57" s="25" t="n"/>
      <c r="Z57" s="26" t="n"/>
      <c r="AA57" s="28" t="n"/>
      <c r="AB57" s="28" t="n"/>
      <c r="AC57" s="30" t="n">
        <v>1.8</v>
      </c>
      <c r="AD57" s="24" t="inlineStr">
        <is>
          <t>2026-08-07T06:00:29.622524Z</t>
        </is>
      </c>
      <c r="AE57" s="31" t="inlineStr">
        <is>
          <t>Neutral Elo baseline; executable ask 0.4100 (market_slug=aec-cs2-ww-erx-2026-08-06).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ex-RUSTEC</t>
        </is>
      </c>
      <c r="AQ57" s="24" t="inlineStr">
        <is>
          <t>ex-RUSTEC</t>
        </is>
      </c>
      <c r="AR57" s="24" t="inlineStr">
        <is>
          <t>ex-RUSTEC</t>
        </is>
      </c>
      <c r="AS57" s="24" t="inlineStr">
        <is>
          <t>WW Team</t>
        </is>
      </c>
      <c r="AT57" s="24" t="inlineStr">
        <is>
          <t>WW Team</t>
        </is>
      </c>
      <c r="AU57" s="24" t="inlineStr">
        <is>
          <t>WW Team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95c0b03a7dffafd85c27ca9ed669e331e7385a1d064329e5a50c6fe806eb56d1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95c0b03a7dffafd85c27ca9ed669e331e7385a1d064329e5a50c6fe806eb56d1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2026-08-06T00:24:47.696661Z</t>
        </is>
      </c>
      <c r="BI57" s="24" t="inlineStr">
        <is>
          <t>["same_event","same_team_same_day","same_league_same_day"]</t>
        </is>
      </c>
      <c r="BJ57" s="25" t="n"/>
      <c r="BK57" s="26" t="n">
        <v>144</v>
      </c>
      <c r="BL57" s="27" t="n">
        <v>2.44</v>
      </c>
      <c r="BM57" s="28" t="n">
        <v>0.409836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>
        <v>1</v>
      </c>
      <c r="BY57" s="27" t="n">
        <v>0.91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a30214ade1114ffb</t>
        </is>
      </c>
      <c r="B58" s="24" t="inlineStr">
        <is>
          <t>2026-08-06T03:30:48.016807Z</t>
        </is>
      </c>
      <c r="C58" s="24" t="inlineStr">
        <is>
          <t>2026-08-06T08:00:00Z</t>
        </is>
      </c>
      <c r="D58" s="24" t="inlineStr">
        <is>
          <t>70561</t>
        </is>
      </c>
      <c r="E58" s="24" t="inlineStr">
        <is>
          <t>CS2</t>
        </is>
      </c>
      <c r="F58" s="24" t="inlineStr">
        <is>
          <t>Esport Academy Copenhagen</t>
        </is>
      </c>
      <c r="G58" s="24" t="inlineStr">
        <is>
          <t>Eternal Fire Academy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0.672341</v>
      </c>
      <c r="P58" s="28" t="n"/>
      <c r="Q58" s="28" t="n">
        <v>0.09250899999999999</v>
      </c>
      <c r="R58" s="26" t="n">
        <v>66</v>
      </c>
      <c r="S58" s="29" t="n">
        <v>1.75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-1.75</v>
      </c>
      <c r="AD58" s="24" t="inlineStr">
        <is>
          <t>2026-08-06T18:55:09.337616Z</t>
        </is>
      </c>
      <c r="AE58" s="31" t="inlineStr">
        <is>
          <t>Neutral Elo baseline; executable ask 0.5800 (market_slug=aec-cs2-efa-eac-2026-08-06).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Esport Academy Copenhagen</t>
        </is>
      </c>
      <c r="AQ58" s="24" t="inlineStr">
        <is>
          <t>Esport Academy Copenhagen</t>
        </is>
      </c>
      <c r="AR58" s="24" t="inlineStr">
        <is>
          <t>Esport Academy Copenhagen</t>
        </is>
      </c>
      <c r="AS58" s="24" t="inlineStr">
        <is>
          <t>Eternal Fire Academy</t>
        </is>
      </c>
      <c r="AT58" s="24" t="inlineStr">
        <is>
          <t>Eternal Fire Academy</t>
        </is>
      </c>
      <c r="AU58" s="24" t="inlineStr">
        <is>
          <t>Eternal Fire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fe03335fd93db1544dba21d90e64b614b66d4504f6b07bd760b4633bb3785ef9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fe03335fd93db1544dba21d90e64b614b66d4504f6b07bd760b4633bb3785ef9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2026-08-06T03:30:28.428004Z</t>
        </is>
      </c>
      <c r="BI58" s="24" t="inlineStr">
        <is>
          <t>["same_event","same_team_same_day","same_league_same_day"]</t>
        </is>
      </c>
      <c r="BJ58" s="25" t="n"/>
      <c r="BK58" s="26" t="n">
        <v>-138</v>
      </c>
      <c r="BL58" s="27" t="n">
        <v>1.724638</v>
      </c>
      <c r="BM58" s="28" t="n">
        <v>0.579832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>
        <v>1</v>
      </c>
      <c r="BY58" s="27" t="n">
        <v>-1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fa7a3265b8344f1c</t>
        </is>
      </c>
      <c r="B59" s="24" t="inlineStr">
        <is>
          <t>2026-08-06T03:30:48.016807Z</t>
        </is>
      </c>
      <c r="C59" s="24" t="inlineStr">
        <is>
          <t>2026-08-06T14:45:00Z</t>
        </is>
      </c>
      <c r="D59" s="24" t="inlineStr">
        <is>
          <t>70715</t>
        </is>
      </c>
      <c r="E59" s="24" t="inlineStr">
        <is>
          <t>CS2</t>
        </is>
      </c>
      <c r="F59" s="24" t="inlineStr">
        <is>
          <t>Perfecto Club</t>
        </is>
      </c>
      <c r="G59" s="24" t="inlineStr">
        <is>
          <t>Buster Club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-150</v>
      </c>
      <c r="M59" s="27" t="n">
        <v>1.666667</v>
      </c>
      <c r="N59" s="28" t="n">
        <v>0.6</v>
      </c>
      <c r="O59" s="28" t="n">
        <v>0.51489</v>
      </c>
      <c r="P59" s="28" t="n"/>
      <c r="Q59" s="28" t="n">
        <v>-0.08511000000000001</v>
      </c>
      <c r="R59" s="26" t="n">
        <v>0</v>
      </c>
      <c r="S59" s="29" t="n">
        <v>1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/>
      <c r="AA59" s="28" t="n"/>
      <c r="AB59" s="28" t="n"/>
      <c r="AC59" s="30" t="n">
        <v>0.6667</v>
      </c>
      <c r="AD59" s="24" t="inlineStr">
        <is>
          <t>2026-08-06T18:55:11.902480Z</t>
        </is>
      </c>
      <c r="AE59" s="31" t="inlineStr">
        <is>
          <t>Neutral Elo baseline; executable ask 0.6000 (market_slug=aec-cs2-bcu-pce-2026-08-06).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NO_CALL_WINNER_OVERVALUED</t>
        </is>
      </c>
      <c r="AP59" s="24" t="inlineStr">
        <is>
          <t>Perfecto Club</t>
        </is>
      </c>
      <c r="AQ59" s="24" t="inlineStr">
        <is>
          <t>Perfecto Club</t>
        </is>
      </c>
      <c r="AR59" s="24" t="inlineStr">
        <is>
          <t>Perfecto Club</t>
        </is>
      </c>
      <c r="AS59" s="24" t="inlineStr">
        <is>
          <t>Buster Club</t>
        </is>
      </c>
      <c r="AT59" s="24" t="inlineStr">
        <is>
          <t>Buster Club</t>
        </is>
      </c>
      <c r="AU59" s="24" t="inlineStr">
        <is>
          <t>Buster Club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fe03335fd93db1544dba21d90e64b614b66d4504f6b07bd760b4633bb3785ef9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fe03335fd93db1544dba21d90e64b614b66d4504f6b07bd760b4633bb3785ef9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2026-08-06T03:30:38.112733Z</t>
        </is>
      </c>
      <c r="BI59" s="24" t="inlineStr">
        <is>
          <t>["same_event","same_team_same_day","same_league_same_day"]</t>
        </is>
      </c>
      <c r="BJ59" s="25" t="n"/>
      <c r="BK59" s="26" t="n">
        <v>-150</v>
      </c>
      <c r="BL59" s="27" t="n">
        <v>1.666667</v>
      </c>
      <c r="BM59" s="28" t="n">
        <v>0.6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>
        <v>1</v>
      </c>
      <c r="BY59" s="27" t="n">
        <v>0.91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56fda51ec6644713</t>
        </is>
      </c>
      <c r="B60" s="24" t="inlineStr">
        <is>
          <t>2026-08-06T03:30:48.016807Z</t>
        </is>
      </c>
      <c r="C60" s="24" t="inlineStr">
        <is>
          <t>2026-08-06T18:30:00Z</t>
        </is>
      </c>
      <c r="D60" s="24" t="inlineStr">
        <is>
          <t>73443</t>
        </is>
      </c>
      <c r="E60" s="24" t="inlineStr">
        <is>
          <t>CS2</t>
        </is>
      </c>
      <c r="F60" s="24" t="inlineStr">
        <is>
          <t>Donstu Esports</t>
        </is>
      </c>
      <c r="G60" s="24" t="inlineStr">
        <is>
          <t>NEW VISION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138</v>
      </c>
      <c r="M60" s="27" t="n">
        <v>2.38</v>
      </c>
      <c r="N60" s="28" t="n">
        <v>0.420168</v>
      </c>
      <c r="O60" s="28" t="n">
        <v>0.5122910000000001</v>
      </c>
      <c r="P60" s="28" t="n"/>
      <c r="Q60" s="28" t="n">
        <v>0.092123</v>
      </c>
      <c r="R60" s="26" t="n">
        <v>66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/>
      <c r="AA60" s="28" t="n"/>
      <c r="AB60" s="28" t="n"/>
      <c r="AC60" s="30" t="n">
        <v>1.38</v>
      </c>
      <c r="AD60" s="24" t="inlineStr">
        <is>
          <t>2026-08-07T06:00:31.677595Z</t>
        </is>
      </c>
      <c r="AE60" s="31" t="inlineStr">
        <is>
          <t>Neutral Elo baseline; executable ask 0.4200 (market_slug=aec-cs2-nve-dnt-2026-08-06).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Donstu Esports</t>
        </is>
      </c>
      <c r="AQ60" s="24" t="inlineStr">
        <is>
          <t>Donstu Esports</t>
        </is>
      </c>
      <c r="AR60" s="24" t="inlineStr">
        <is>
          <t>Donstu Esports</t>
        </is>
      </c>
      <c r="AS60" s="24" t="inlineStr">
        <is>
          <t>NEW VISION</t>
        </is>
      </c>
      <c r="AT60" s="24" t="inlineStr">
        <is>
          <t>NEW VISION</t>
        </is>
      </c>
      <c r="AU60" s="24" t="inlineStr">
        <is>
          <t>NEW VISION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fe03335fd93db1544dba21d90e64b614b66d4504f6b07bd760b4633bb3785ef9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fe03335fd93db1544dba21d90e64b614b66d4504f6b07bd760b4633bb3785ef9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2026-08-06T03:30:43.111721Z</t>
        </is>
      </c>
      <c r="BI60" s="24" t="inlineStr">
        <is>
          <t>["same_event","same_team_same_day","same_league_same_day"]</t>
        </is>
      </c>
      <c r="BJ60" s="25" t="n"/>
      <c r="BK60" s="26" t="n">
        <v>138</v>
      </c>
      <c r="BL60" s="27" t="n">
        <v>2.38</v>
      </c>
      <c r="BM60" s="28" t="n">
        <v>0.420168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5ed538e7f4a544f3</t>
        </is>
      </c>
      <c r="B61" s="24" t="inlineStr">
        <is>
          <t>2026-08-06T03:30:48.016807Z</t>
        </is>
      </c>
      <c r="C61" s="24" t="inlineStr">
        <is>
          <t>2026-08-06T18:30:00Z</t>
        </is>
      </c>
      <c r="D61" s="24" t="inlineStr">
        <is>
          <t>73445</t>
        </is>
      </c>
      <c r="E61" s="24" t="inlineStr">
        <is>
          <t>CS2</t>
        </is>
      </c>
      <c r="F61" s="24" t="inlineStr">
        <is>
          <t>XI Esport</t>
        </is>
      </c>
      <c r="G61" s="24" t="inlineStr">
        <is>
          <t>GoldRashers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156</v>
      </c>
      <c r="M61" s="27" t="n">
        <v>2.56</v>
      </c>
      <c r="N61" s="28" t="n">
        <v>0.390625</v>
      </c>
      <c r="O61" s="28" t="n">
        <v>0.514895</v>
      </c>
      <c r="P61" s="28" t="n"/>
      <c r="Q61" s="28" t="n">
        <v>0.12427</v>
      </c>
      <c r="R61" s="26" t="n">
        <v>82</v>
      </c>
      <c r="S61" s="29" t="n">
        <v>1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2026-08-07T06:00:33.842910Z</t>
        </is>
      </c>
      <c r="AE61" s="31" t="inlineStr">
        <is>
          <t>Neutral Elo baseline; executable ask 0.3900 (market_slug=aec-cs2-gol-xi-2026-08-06).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XI Esport</t>
        </is>
      </c>
      <c r="AQ61" s="24" t="inlineStr">
        <is>
          <t>XI Esport</t>
        </is>
      </c>
      <c r="AR61" s="24" t="inlineStr">
        <is>
          <t>XI Esport</t>
        </is>
      </c>
      <c r="AS61" s="24" t="inlineStr">
        <is>
          <t>GoldRashers</t>
        </is>
      </c>
      <c r="AT61" s="24" t="inlineStr">
        <is>
          <t>GoldRashers</t>
        </is>
      </c>
      <c r="AU61" s="24" t="inlineStr">
        <is>
          <t>GoldRashers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fe03335fd93db1544dba21d90e64b614b66d4504f6b07bd760b4633bb3785ef9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fe03335fd93db1544dba21d90e64b614b66d4504f6b07bd760b4633bb3785ef9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2026-08-06T03:30:44.230857Z</t>
        </is>
      </c>
      <c r="BI61" s="24" t="inlineStr">
        <is>
          <t>["same_event","same_team_same_day","same_league_same_day"]</t>
        </is>
      </c>
      <c r="BJ61" s="25" t="n"/>
      <c r="BK61" s="26" t="n">
        <v>156</v>
      </c>
      <c r="BL61" s="27" t="n">
        <v>2.56</v>
      </c>
      <c r="BM61" s="28" t="n">
        <v>0.390625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>
        <v>1</v>
      </c>
      <c r="BY61" s="27" t="n">
        <v>-1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4a3204911683462b</t>
        </is>
      </c>
      <c r="B62" s="24" t="inlineStr">
        <is>
          <t>2026-08-06T19:00:44.109783Z</t>
        </is>
      </c>
      <c r="C62" s="24" t="inlineStr">
        <is>
          <t>2026-08-06T20:00:00Z</t>
        </is>
      </c>
      <c r="D62" s="24" t="inlineStr">
        <is>
          <t>72652</t>
        </is>
      </c>
      <c r="E62" s="24" t="inlineStr">
        <is>
          <t>CS2</t>
        </is>
      </c>
      <c r="F62" s="24" t="inlineStr">
        <is>
          <t>Procyon Gaming</t>
        </is>
      </c>
      <c r="G62" s="24" t="inlineStr">
        <is>
          <t>METANOIA WOLVES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0.542916</v>
      </c>
      <c r="P62" s="28" t="n"/>
      <c r="Q62" s="28" t="n">
        <v>0.13308</v>
      </c>
      <c r="R62" s="26" t="n">
        <v>87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144</v>
      </c>
      <c r="AA62" s="28" t="n">
        <v>0.41</v>
      </c>
      <c r="AB62" s="28" t="n">
        <v>0.000164</v>
      </c>
      <c r="AC62" s="30" t="n">
        <v>1.44</v>
      </c>
      <c r="AD62" s="24" t="inlineStr">
        <is>
          <t>2026-08-07T06:00:35.814668Z</t>
        </is>
      </c>
      <c r="AE62" s="31" t="inlineStr">
        <is>
          <t>Neutral Elo baseline; executable ask 0.4100 (market_slug=aec-cs2-mw-pcy-2026-08-06).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Procyon Gaming</t>
        </is>
      </c>
      <c r="AQ62" s="24" t="inlineStr">
        <is>
          <t>Procyon Gaming</t>
        </is>
      </c>
      <c r="AR62" s="24" t="inlineStr">
        <is>
          <t>Procyon Gaming</t>
        </is>
      </c>
      <c r="AS62" s="24" t="inlineStr">
        <is>
          <t>METANOIA WOLVES</t>
        </is>
      </c>
      <c r="AT62" s="24" t="inlineStr">
        <is>
          <t>METANOIA WOLVES</t>
        </is>
      </c>
      <c r="AU62" s="24" t="inlineStr">
        <is>
          <t>METANOIA WOLVES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ba62d4174c52c7a2934bcbd8b028649e6d31b496f5b9eab70ce8b6a17fb58aa6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ba62d4174c52c7a2934bcbd8b028649e6d31b496f5b9eab70ce8b6a17fb58aa6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2026-08-06T19:00:13.521189Z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>
        <v>2.44</v>
      </c>
      <c r="BR62" s="28" t="n">
        <v>0.41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0.91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  <row r="63" ht="36" customHeight="1">
      <c r="A63" s="24" t="inlineStr">
        <is>
          <t>72978a16e01c4e2f</t>
        </is>
      </c>
      <c r="B63" s="24" t="inlineStr">
        <is>
          <t>2026-08-07T06:06:07.441108Z</t>
        </is>
      </c>
      <c r="C63" s="24" t="inlineStr">
        <is>
          <t>2026-08-07T08:00:00Z</t>
        </is>
      </c>
      <c r="D63" s="24" t="inlineStr">
        <is>
          <t>72803</t>
        </is>
      </c>
      <c r="E63" s="24" t="inlineStr">
        <is>
          <t>CS2</t>
        </is>
      </c>
      <c r="F63" s="24" t="inlineStr">
        <is>
          <t>Butterfly</t>
        </is>
      </c>
      <c r="G63" s="24" t="inlineStr">
        <is>
          <t>Just Players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-163</v>
      </c>
      <c r="M63" s="27" t="n">
        <v>1.613497</v>
      </c>
      <c r="N63" s="28" t="n">
        <v>0.619772</v>
      </c>
      <c r="O63" s="28" t="n">
        <v>0.541913</v>
      </c>
      <c r="P63" s="28" t="n"/>
      <c r="Q63" s="28" t="n">
        <v>-0.077859</v>
      </c>
      <c r="R63" s="26" t="n">
        <v>0</v>
      </c>
      <c r="S63" s="29" t="n">
        <v>1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-163</v>
      </c>
      <c r="AA63" s="28" t="n">
        <v>0.62</v>
      </c>
      <c r="AB63" s="28" t="n">
        <v>0.000228</v>
      </c>
      <c r="AC63" s="30" t="n">
        <v>0.6135</v>
      </c>
      <c r="AD63" s="24" t="inlineStr">
        <is>
          <t>2026-08-07T12:12:50.585885Z</t>
        </is>
      </c>
      <c r="AE63" s="31" t="inlineStr">
        <is>
          <t>Neutral Elo baseline; executable ask 0.6200 (market_slug=aec-cs2-jpu-btf-2026-08-07).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NO_CALL_WINNER_OVERVALUED</t>
        </is>
      </c>
      <c r="AP63" s="24" t="inlineStr">
        <is>
          <t>Butterfly</t>
        </is>
      </c>
      <c r="AQ63" s="24" t="inlineStr">
        <is>
          <t>Butterfly</t>
        </is>
      </c>
      <c r="AR63" s="24" t="inlineStr">
        <is>
          <t>Butterfly</t>
        </is>
      </c>
      <c r="AS63" s="24" t="inlineStr">
        <is>
          <t>Just Players</t>
        </is>
      </c>
      <c r="AT63" s="24" t="inlineStr">
        <is>
          <t>Just Players</t>
        </is>
      </c>
      <c r="AU63" s="24" t="inlineStr">
        <is>
          <t>Just Players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cfb18a4c5dd9cd86deb9f3f8da3e6c309d1fba85e6dd2af9e67ce04ac966ad26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cfb18a4c5dd9cd86deb9f3f8da3e6c309d1fba85e6dd2af9e67ce04ac966ad26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2026-08-07T06:05:13.000252Z</t>
        </is>
      </c>
      <c r="BI63" s="24" t="inlineStr">
        <is>
          <t>["same_event","same_team_same_day","same_league_same_day"]</t>
        </is>
      </c>
      <c r="BJ63" s="25" t="n"/>
      <c r="BK63" s="26" t="n">
        <v>-163</v>
      </c>
      <c r="BL63" s="27" t="n">
        <v>1.613497</v>
      </c>
      <c r="BM63" s="28" t="n">
        <v>0.619772</v>
      </c>
      <c r="BN63" s="28" t="n"/>
      <c r="BO63" s="28" t="n"/>
      <c r="BP63" s="25" t="n"/>
      <c r="BQ63" s="27" t="n">
        <v>1.613497</v>
      </c>
      <c r="BR63" s="28" t="n">
        <v>0.62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</row>
    <row r="64" ht="36" customHeight="1">
      <c r="A64" s="24" t="inlineStr">
        <is>
          <t>a3ec9baa1c614603</t>
        </is>
      </c>
      <c r="B64" s="24" t="inlineStr">
        <is>
          <t>2026-08-07T06:06:07.441108Z</t>
        </is>
      </c>
      <c r="C64" s="24" t="inlineStr">
        <is>
          <t>2026-08-07T09:00:00Z</t>
        </is>
      </c>
      <c r="D64" s="24" t="inlineStr">
        <is>
          <t>73755</t>
        </is>
      </c>
      <c r="E64" s="24" t="inlineStr">
        <is>
          <t>CS2</t>
        </is>
      </c>
      <c r="F64" s="24" t="inlineStr">
        <is>
          <t>SNAILKICK Club</t>
        </is>
      </c>
      <c r="G64" s="24" t="inlineStr">
        <is>
          <t>Lixxx Club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-150</v>
      </c>
      <c r="M64" s="27" t="n">
        <v>1.666667</v>
      </c>
      <c r="N64" s="28" t="n">
        <v>0.6</v>
      </c>
      <c r="O64" s="28" t="n">
        <v>0.514947</v>
      </c>
      <c r="P64" s="28" t="n"/>
      <c r="Q64" s="28" t="n">
        <v>-0.085053</v>
      </c>
      <c r="R64" s="26" t="n">
        <v>0</v>
      </c>
      <c r="S64" s="29" t="n">
        <v>1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>
        <v>-150</v>
      </c>
      <c r="AA64" s="28" t="n">
        <v>0.6</v>
      </c>
      <c r="AB64" s="28" t="n">
        <v>0</v>
      </c>
      <c r="AC64" s="30" t="n">
        <v>0.6667</v>
      </c>
      <c r="AD64" s="24" t="inlineStr">
        <is>
          <t>2026-08-07T12:12:52.523617Z</t>
        </is>
      </c>
      <c r="AE64" s="31" t="inlineStr">
        <is>
          <t>Neutral Elo baseline; executable ask 0.6000 (market_slug=aec-cs2-lci-scn-2026-08-07).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NO_CALL_WINNER_OVERVALUED</t>
        </is>
      </c>
      <c r="AP64" s="24" t="inlineStr">
        <is>
          <t>SNAILKICK Club</t>
        </is>
      </c>
      <c r="AQ64" s="24" t="inlineStr">
        <is>
          <t>SNAILKICK Club</t>
        </is>
      </c>
      <c r="AR64" s="24" t="inlineStr">
        <is>
          <t>SNAILKICK Club</t>
        </is>
      </c>
      <c r="AS64" s="24" t="inlineStr">
        <is>
          <t>Lixxx Club</t>
        </is>
      </c>
      <c r="AT64" s="24" t="inlineStr">
        <is>
          <t>Lixxx Club</t>
        </is>
      </c>
      <c r="AU64" s="24" t="inlineStr">
        <is>
          <t>Lixxx Club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cfb18a4c5dd9cd86deb9f3f8da3e6c309d1fba85e6dd2af9e67ce04ac966ad26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cfb18a4c5dd9cd86deb9f3f8da3e6c309d1fba85e6dd2af9e67ce04ac966ad26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2026-08-07T06:05:35.796866Z</t>
        </is>
      </c>
      <c r="BI64" s="24" t="inlineStr">
        <is>
          <t>["same_event","same_team_same_day","same_league_same_day"]</t>
        </is>
      </c>
      <c r="BJ64" s="25" t="n"/>
      <c r="BK64" s="26" t="n">
        <v>-150</v>
      </c>
      <c r="BL64" s="27" t="n">
        <v>1.666667</v>
      </c>
      <c r="BM64" s="28" t="n">
        <v>0.6</v>
      </c>
      <c r="BN64" s="28" t="n"/>
      <c r="BO64" s="28" t="n"/>
      <c r="BP64" s="25" t="n"/>
      <c r="BQ64" s="27" t="n">
        <v>1.666667</v>
      </c>
      <c r="BR64" s="28" t="n">
        <v>0.6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92f989621fd24bb6</t>
        </is>
      </c>
      <c r="B65" s="24" t="inlineStr">
        <is>
          <t>2026-08-07T09:11:47.142508Z</t>
        </is>
      </c>
      <c r="C65" s="24" t="inlineStr">
        <is>
          <t>2026-08-07T10:00:00Z</t>
        </is>
      </c>
      <c r="D65" s="24" t="inlineStr">
        <is>
          <t>73740</t>
        </is>
      </c>
      <c r="E65" s="24" t="inlineStr">
        <is>
          <t>CS2</t>
        </is>
      </c>
      <c r="F65" s="24" t="inlineStr">
        <is>
          <t>Arcade Esports</t>
        </is>
      </c>
      <c r="G65" s="24" t="inlineStr">
        <is>
          <t>Abyssal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0.513289</v>
      </c>
      <c r="P65" s="28" t="n"/>
      <c r="Q65" s="28" t="n">
        <v>-0.116341</v>
      </c>
      <c r="R65" s="26" t="n">
        <v>0</v>
      </c>
      <c r="S65" s="29" t="n">
        <v>1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-170</v>
      </c>
      <c r="AA65" s="28" t="n">
        <v>0.63</v>
      </c>
      <c r="AB65" s="28" t="n">
        <v>0.00037</v>
      </c>
      <c r="AC65" s="30" t="n">
        <v>0.5881999999999999</v>
      </c>
      <c r="AD65" s="24" t="inlineStr">
        <is>
          <t>2026-08-07T12:12:54.468423Z</t>
        </is>
      </c>
      <c r="AE65" s="31" t="inlineStr">
        <is>
          <t>Neutral Elo baseline; executable ask 0.6300 (market_slug=aec-cs2-aby-aer-2026-08-07).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NO_CALL_WINNER_OVERVALUED</t>
        </is>
      </c>
      <c r="AP65" s="24" t="inlineStr">
        <is>
          <t>Arcade Esports</t>
        </is>
      </c>
      <c r="AQ65" s="24" t="inlineStr">
        <is>
          <t>Arcade Esports</t>
        </is>
      </c>
      <c r="AR65" s="24" t="inlineStr">
        <is>
          <t>Arcade Esports</t>
        </is>
      </c>
      <c r="AS65" s="24" t="inlineStr">
        <is>
          <t>Abyssal</t>
        </is>
      </c>
      <c r="AT65" s="24" t="inlineStr">
        <is>
          <t>Abyssal</t>
        </is>
      </c>
      <c r="AU65" s="24" t="inlineStr">
        <is>
          <t>Abyssal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358d57aa29e758f0c458ee789089118096199f59cf8b88918d9c205e9f5bc5fb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358d57aa29e758f0c458ee789089118096199f59cf8b88918d9c205e9f5bc5fb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2026-08-07T09:11:20.844085Z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>
        <v>1.588235</v>
      </c>
      <c r="BR65" s="28" t="n">
        <v>0.63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</row>
    <row r="66" ht="36" customHeight="1">
      <c r="A66" s="24" t="inlineStr">
        <is>
          <t>80c92fc0c9ae409d</t>
        </is>
      </c>
      <c r="B66" s="24" t="inlineStr">
        <is>
          <t>2026-08-07T09:11:47.142508Z</t>
        </is>
      </c>
      <c r="C66" s="24" t="inlineStr">
        <is>
          <t>2026-08-07T10:00:00Z</t>
        </is>
      </c>
      <c r="D66" s="24" t="inlineStr">
        <is>
          <t>71823</t>
        </is>
      </c>
      <c r="E66" s="24" t="inlineStr">
        <is>
          <t>CS2</t>
        </is>
      </c>
      <c r="F66" s="24" t="inlineStr">
        <is>
          <t>Mindfreak</t>
        </is>
      </c>
      <c r="G66" s="24" t="inlineStr">
        <is>
          <t>FURY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-144</v>
      </c>
      <c r="M66" s="27" t="n">
        <v>1.694444</v>
      </c>
      <c r="N66" s="28" t="n">
        <v>0.590164</v>
      </c>
      <c r="O66" s="28" t="n">
        <v>0.5171</v>
      </c>
      <c r="P66" s="28" t="n"/>
      <c r="Q66" s="28" t="n">
        <v>-0.073064</v>
      </c>
      <c r="R66" s="26" t="n">
        <v>0</v>
      </c>
      <c r="S66" s="29" t="n">
        <v>1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>
        <v>-144</v>
      </c>
      <c r="AA66" s="28" t="n">
        <v>0.59</v>
      </c>
      <c r="AB66" s="28" t="n">
        <v>-0.000164</v>
      </c>
      <c r="AC66" s="30" t="n">
        <v>0.6944</v>
      </c>
      <c r="AD66" s="24" t="inlineStr">
        <is>
          <t>2026-08-07T12:12:56.460066Z</t>
        </is>
      </c>
      <c r="AE66" s="31" t="inlineStr">
        <is>
          <t>Neutral Elo baseline; executable ask 0.5900 (market_slug=aec-cs2-fury-mf-2026-08-07).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NO_CALL_WINNER_OVERVALUED</t>
        </is>
      </c>
      <c r="AP66" s="24" t="inlineStr">
        <is>
          <t>Mindfreak</t>
        </is>
      </c>
      <c r="AQ66" s="24" t="inlineStr">
        <is>
          <t>Mindfreak</t>
        </is>
      </c>
      <c r="AR66" s="24" t="inlineStr">
        <is>
          <t>Mindfreak</t>
        </is>
      </c>
      <c r="AS66" s="24" t="inlineStr">
        <is>
          <t>FURY</t>
        </is>
      </c>
      <c r="AT66" s="24" t="inlineStr">
        <is>
          <t>FURY</t>
        </is>
      </c>
      <c r="AU66" s="24" t="inlineStr">
        <is>
          <t>FURY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358d57aa29e758f0c458ee789089118096199f59cf8b88918d9c205e9f5bc5fb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358d57aa29e758f0c458ee789089118096199f59cf8b88918d9c205e9f5bc5fb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2026-08-07T09:11:21.515774Z</t>
        </is>
      </c>
      <c r="BI66" s="24" t="inlineStr">
        <is>
          <t>["same_event","same_team_same_day","same_league_same_day"]</t>
        </is>
      </c>
      <c r="BJ66" s="25" t="n"/>
      <c r="BK66" s="26" t="n">
        <v>-144</v>
      </c>
      <c r="BL66" s="27" t="n">
        <v>1.694444</v>
      </c>
      <c r="BM66" s="28" t="n">
        <v>0.590164</v>
      </c>
      <c r="BN66" s="28" t="n"/>
      <c r="BO66" s="28" t="n"/>
      <c r="BP66" s="25" t="n"/>
      <c r="BQ66" s="27" t="n">
        <v>1.694444</v>
      </c>
      <c r="BR66" s="28" t="n">
        <v>0.59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</row>
    <row r="67" ht="36" customHeight="1">
      <c r="A67" s="24" t="inlineStr">
        <is>
          <t>40413f9fb3c84a03</t>
        </is>
      </c>
      <c r="B67" s="24" t="inlineStr">
        <is>
          <t>2026-08-07T09:11:47.142508Z</t>
        </is>
      </c>
      <c r="C67" s="24" t="inlineStr">
        <is>
          <t>2026-08-07T10:30:00Z</t>
        </is>
      </c>
      <c r="D67" s="24" t="inlineStr">
        <is>
          <t>72033</t>
        </is>
      </c>
      <c r="E67" s="24" t="inlineStr">
        <is>
          <t>CS2</t>
        </is>
      </c>
      <c r="F67" s="24" t="inlineStr">
        <is>
          <t>STATE</t>
        </is>
      </c>
      <c r="G67" s="24" t="inlineStr">
        <is>
          <t>FaZe Up Next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-203</v>
      </c>
      <c r="M67" s="27" t="n">
        <v>1.492611</v>
      </c>
      <c r="N67" s="28" t="n">
        <v>0.669967</v>
      </c>
      <c r="O67" s="28" t="n">
        <v>0.608959</v>
      </c>
      <c r="P67" s="28" t="n"/>
      <c r="Q67" s="28" t="n">
        <v>-0.061008</v>
      </c>
      <c r="R67" s="26" t="n">
        <v>0</v>
      </c>
      <c r="S67" s="29" t="n">
        <v>1.5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>
        <v>-203</v>
      </c>
      <c r="AA67" s="28" t="n">
        <v>0.67</v>
      </c>
      <c r="AB67" s="28" t="n">
        <v>3.3e-05</v>
      </c>
      <c r="AC67" s="30" t="n">
        <v>0.7389</v>
      </c>
      <c r="AD67" s="24" t="inlineStr">
        <is>
          <t>2026-08-07T15:18:31.574508Z</t>
        </is>
      </c>
      <c r="AE67" s="31" t="inlineStr">
        <is>
          <t>Neutral Elo baseline; executable ask 0.6700 (market_slug=aec-cs2-fazeun-sta-2026-08-07).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NO_CALL_WINNER_OVERVALUED</t>
        </is>
      </c>
      <c r="AP67" s="24" t="inlineStr">
        <is>
          <t>STATE</t>
        </is>
      </c>
      <c r="AQ67" s="24" t="inlineStr">
        <is>
          <t>STATE</t>
        </is>
      </c>
      <c r="AR67" s="24" t="inlineStr">
        <is>
          <t>STATE</t>
        </is>
      </c>
      <c r="AS67" s="24" t="inlineStr">
        <is>
          <t>FaZe Up Next</t>
        </is>
      </c>
      <c r="AT67" s="24" t="inlineStr">
        <is>
          <t>FaZe Up Next</t>
        </is>
      </c>
      <c r="AU67" s="24" t="inlineStr">
        <is>
          <t>FaZe Up Next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358d57aa29e758f0c458ee789089118096199f59cf8b88918d9c205e9f5bc5fb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358d57aa29e758f0c458ee789089118096199f59cf8b88918d9c205e9f5bc5fb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2026-08-07T09:11:22.782829Z</t>
        </is>
      </c>
      <c r="BI67" s="24" t="inlineStr">
        <is>
          <t>["same_event","same_team_same_day","same_league_same_day"]</t>
        </is>
      </c>
      <c r="BJ67" s="25" t="n"/>
      <c r="BK67" s="26" t="n">
        <v>-203</v>
      </c>
      <c r="BL67" s="27" t="n">
        <v>1.492611</v>
      </c>
      <c r="BM67" s="28" t="n">
        <v>0.669967</v>
      </c>
      <c r="BN67" s="28" t="n"/>
      <c r="BO67" s="28" t="n"/>
      <c r="BP67" s="25" t="n"/>
      <c r="BQ67" s="27" t="n">
        <v>1.492611</v>
      </c>
      <c r="BR67" s="28" t="n">
        <v>0.67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0.91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341e31f474624173</t>
        </is>
      </c>
      <c r="B68" s="24" t="inlineStr">
        <is>
          <t>2026-08-07T09:11:47.142508Z</t>
        </is>
      </c>
      <c r="C68" s="24" t="inlineStr">
        <is>
          <t>2026-08-07T11:00:00Z</t>
        </is>
      </c>
      <c r="D68" s="24" t="inlineStr">
        <is>
          <t>73363</t>
        </is>
      </c>
      <c r="E68" s="24" t="inlineStr">
        <is>
          <t>CS2</t>
        </is>
      </c>
      <c r="F68" s="24" t="inlineStr">
        <is>
          <t>CYBERSHOKE Esports</t>
        </is>
      </c>
      <c r="G68" s="24" t="inlineStr">
        <is>
          <t>GenOne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108</v>
      </c>
      <c r="M68" s="27" t="n">
        <v>2.08</v>
      </c>
      <c r="N68" s="28" t="n">
        <v>0.480769</v>
      </c>
      <c r="O68" s="28" t="n">
        <v>0.683059</v>
      </c>
      <c r="P68" s="28" t="n"/>
      <c r="Q68" s="28" t="n">
        <v>0.20229</v>
      </c>
      <c r="R68" s="26" t="n">
        <v>100</v>
      </c>
      <c r="S68" s="29" t="n">
        <v>2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108</v>
      </c>
      <c r="AA68" s="28" t="n">
        <v>0.48</v>
      </c>
      <c r="AB68" s="28" t="n">
        <v>-0.000769</v>
      </c>
      <c r="AC68" s="30" t="n">
        <v>-2</v>
      </c>
      <c r="AD68" s="24" t="inlineStr">
        <is>
          <t>2026-08-07T21:54:37.429756Z</t>
        </is>
      </c>
      <c r="AE68" s="31" t="inlineStr">
        <is>
          <t>Neutral Elo baseline; executable ask 0.4800 (market_slug=aec-cs2-g1-cs-2026-08-07).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CYBERSHOKE Esports</t>
        </is>
      </c>
      <c r="AQ68" s="24" t="inlineStr">
        <is>
          <t>CYBERSHOKE Esports</t>
        </is>
      </c>
      <c r="AR68" s="24" t="inlineStr">
        <is>
          <t>CYBERSHOKE Esports</t>
        </is>
      </c>
      <c r="AS68" s="24" t="inlineStr">
        <is>
          <t>GenOne</t>
        </is>
      </c>
      <c r="AT68" s="24" t="inlineStr">
        <is>
          <t>GenOne</t>
        </is>
      </c>
      <c r="AU68" s="24" t="inlineStr">
        <is>
          <t>GenOne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358d57aa29e758f0c458ee789089118096199f59cf8b88918d9c205e9f5bc5fb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358d57aa29e758f0c458ee789089118096199f59cf8b88918d9c205e9f5bc5fb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2026-08-07T09:11:23.391833Z</t>
        </is>
      </c>
      <c r="BI68" s="24" t="inlineStr">
        <is>
          <t>["same_event","same_team_same_day","same_league_same_day"]</t>
        </is>
      </c>
      <c r="BJ68" s="25" t="n"/>
      <c r="BK68" s="26" t="n">
        <v>108</v>
      </c>
      <c r="BL68" s="27" t="n">
        <v>2.08</v>
      </c>
      <c r="BM68" s="28" t="n">
        <v>0.480769</v>
      </c>
      <c r="BN68" s="28" t="n"/>
      <c r="BO68" s="28" t="n"/>
      <c r="BP68" s="25" t="n"/>
      <c r="BQ68" s="27" t="n">
        <v>2.08</v>
      </c>
      <c r="BR68" s="28" t="n">
        <v>0.48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defc45aceefb4da2</t>
        </is>
      </c>
      <c r="B69" s="24" t="inlineStr">
        <is>
          <t>2026-08-07T09:11:47.142508Z</t>
        </is>
      </c>
      <c r="C69" s="24" t="inlineStr">
        <is>
          <t>2026-08-07T11:00:00Z</t>
        </is>
      </c>
      <c r="D69" s="24" t="inlineStr">
        <is>
          <t>73860</t>
        </is>
      </c>
      <c r="E69" s="24" t="inlineStr">
        <is>
          <t>CS2</t>
        </is>
      </c>
      <c r="F69" s="24" t="inlineStr">
        <is>
          <t>shoke Club</t>
        </is>
      </c>
      <c r="G69" s="24" t="inlineStr">
        <is>
          <t>Buster Club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-122</v>
      </c>
      <c r="M69" s="27" t="n">
        <v>1.819672</v>
      </c>
      <c r="N69" s="28" t="n">
        <v>0.54955</v>
      </c>
      <c r="O69" s="28" t="n">
        <v>0.514947</v>
      </c>
      <c r="P69" s="28" t="n"/>
      <c r="Q69" s="28" t="n">
        <v>-0.034603</v>
      </c>
      <c r="R69" s="26" t="n">
        <v>3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-122</v>
      </c>
      <c r="AA69" s="28" t="n">
        <v>0.55</v>
      </c>
      <c r="AB69" s="28" t="n">
        <v>0.00045</v>
      </c>
      <c r="AC69" s="30" t="n">
        <v>0.8197</v>
      </c>
      <c r="AD69" s="24" t="inlineStr">
        <is>
          <t>2026-08-07T21:54:39.478838Z</t>
        </is>
      </c>
      <c r="AE69" s="31" t="inlineStr">
        <is>
          <t>Neutral Elo baseline; executable ask 0.5500 (market_slug=aec-cs2-bcu-sch-2026-08-07).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NO_CALL_WINNER_OVERVALUED</t>
        </is>
      </c>
      <c r="AP69" s="24" t="inlineStr">
        <is>
          <t>shoke Club</t>
        </is>
      </c>
      <c r="AQ69" s="24" t="inlineStr">
        <is>
          <t>shoke Club</t>
        </is>
      </c>
      <c r="AR69" s="24" t="inlineStr">
        <is>
          <t>shoke Club</t>
        </is>
      </c>
      <c r="AS69" s="24" t="inlineStr">
        <is>
          <t>Buster Club</t>
        </is>
      </c>
      <c r="AT69" s="24" t="inlineStr">
        <is>
          <t>Buster Club</t>
        </is>
      </c>
      <c r="AU69" s="24" t="inlineStr">
        <is>
          <t>Buster Club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358d57aa29e758f0c458ee789089118096199f59cf8b88918d9c205e9f5bc5fb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358d57aa29e758f0c458ee789089118096199f59cf8b88918d9c205e9f5bc5fb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2026-08-07T09:11:23.941748Z</t>
        </is>
      </c>
      <c r="BI69" s="24" t="inlineStr">
        <is>
          <t>["same_event","same_team_same_day","same_league_same_day"]</t>
        </is>
      </c>
      <c r="BJ69" s="25" t="n"/>
      <c r="BK69" s="26" t="n">
        <v>-122</v>
      </c>
      <c r="BL69" s="27" t="n">
        <v>1.819672</v>
      </c>
      <c r="BM69" s="28" t="n">
        <v>0.54955</v>
      </c>
      <c r="BN69" s="28" t="n"/>
      <c r="BO69" s="28" t="n"/>
      <c r="BP69" s="25" t="n"/>
      <c r="BQ69" s="27" t="n">
        <v>1.819672</v>
      </c>
      <c r="BR69" s="28" t="n">
        <v>0.55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a2235c00f0c648bf</t>
        </is>
      </c>
      <c r="B70" s="24" t="inlineStr">
        <is>
          <t>2026-08-07T09:11:47.142508Z</t>
        </is>
      </c>
      <c r="C70" s="24" t="inlineStr">
        <is>
          <t>2026-08-07T11:00:00Z</t>
        </is>
      </c>
      <c r="D70" s="24" t="inlineStr">
        <is>
          <t>74296</t>
        </is>
      </c>
      <c r="E70" s="24" t="inlineStr">
        <is>
          <t>CS2</t>
        </is>
      </c>
      <c r="F70" s="24" t="inlineStr">
        <is>
          <t>Black Phoenix</t>
        </is>
      </c>
      <c r="G70" s="24" t="inlineStr">
        <is>
          <t>Walczaki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-186</v>
      </c>
      <c r="M70" s="27" t="n">
        <v>1.537634</v>
      </c>
      <c r="N70" s="28" t="n">
        <v>0.65035</v>
      </c>
      <c r="O70" s="28" t="n">
        <v>0.558724</v>
      </c>
      <c r="P70" s="28" t="n"/>
      <c r="Q70" s="28" t="n">
        <v>-0.091626</v>
      </c>
      <c r="R70" s="26" t="n">
        <v>0</v>
      </c>
      <c r="S70" s="29" t="n">
        <v>1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>
        <v>-186</v>
      </c>
      <c r="AA70" s="28" t="n">
        <v>0.65</v>
      </c>
      <c r="AB70" s="28" t="n">
        <v>-0.00035</v>
      </c>
      <c r="AC70" s="30" t="n">
        <v>-1</v>
      </c>
      <c r="AD70" s="24" t="inlineStr">
        <is>
          <t>2026-08-07T15:18:36.994734Z</t>
        </is>
      </c>
      <c r="AE70" s="31" t="inlineStr">
        <is>
          <t>Neutral Elo baseline; executable ask 0.6500 (market_slug=aec-cs2-wal-bpl-2026-08-07).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NO_CALL_WINNER_OVERVALUED</t>
        </is>
      </c>
      <c r="AP70" s="24" t="inlineStr">
        <is>
          <t>Black Phoenix</t>
        </is>
      </c>
      <c r="AQ70" s="24" t="inlineStr">
        <is>
          <t>Black Phoenix</t>
        </is>
      </c>
      <c r="AR70" s="24" t="inlineStr">
        <is>
          <t>Black Phoenix</t>
        </is>
      </c>
      <c r="AS70" s="24" t="inlineStr">
        <is>
          <t>Walczaki</t>
        </is>
      </c>
      <c r="AT70" s="24" t="inlineStr">
        <is>
          <t>Walczaki</t>
        </is>
      </c>
      <c r="AU70" s="24" t="inlineStr">
        <is>
          <t>Walczaki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358d57aa29e758f0c458ee789089118096199f59cf8b88918d9c205e9f5bc5fb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358d57aa29e758f0c458ee789089118096199f59cf8b88918d9c205e9f5bc5fb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2026-08-07T09:11:25.748364Z</t>
        </is>
      </c>
      <c r="BI70" s="24" t="inlineStr">
        <is>
          <t>["same_event","same_team_same_day","same_league_same_day"]</t>
        </is>
      </c>
      <c r="BJ70" s="25" t="n"/>
      <c r="BK70" s="26" t="n">
        <v>-186</v>
      </c>
      <c r="BL70" s="27" t="n">
        <v>1.537634</v>
      </c>
      <c r="BM70" s="28" t="n">
        <v>0.65035</v>
      </c>
      <c r="BN70" s="28" t="n"/>
      <c r="BO70" s="28" t="n"/>
      <c r="BP70" s="25" t="n"/>
      <c r="BQ70" s="27" t="n">
        <v>1.537634</v>
      </c>
      <c r="BR70" s="28" t="n">
        <v>0.65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-1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feab3c81f4ba4769</t>
        </is>
      </c>
      <c r="B71" s="24" t="inlineStr">
        <is>
          <t>2026-08-07T12:17:30.564131Z</t>
        </is>
      </c>
      <c r="C71" s="24" t="inlineStr">
        <is>
          <t>2026-08-07T13:30:00Z</t>
        </is>
      </c>
      <c r="D71" s="24" t="inlineStr">
        <is>
          <t>73861</t>
        </is>
      </c>
      <c r="E71" s="24" t="inlineStr">
        <is>
          <t>CS2</t>
        </is>
      </c>
      <c r="F71" s="24" t="inlineStr">
        <is>
          <t>WorldEdit Club</t>
        </is>
      </c>
      <c r="G71" s="24" t="inlineStr">
        <is>
          <t>mokrivskiy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-113</v>
      </c>
      <c r="M71" s="27" t="n">
        <v>1.884956</v>
      </c>
      <c r="N71" s="28" t="n">
        <v>0.530516</v>
      </c>
      <c r="O71" s="28" t="n">
        <v>0.514781</v>
      </c>
      <c r="P71" s="28" t="n"/>
      <c r="Q71" s="28" t="n">
        <v>-0.015735</v>
      </c>
      <c r="R71" s="26" t="n">
        <v>12</v>
      </c>
      <c r="S71" s="29" t="n">
        <v>1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-113</v>
      </c>
      <c r="AA71" s="28" t="n">
        <v>0.53</v>
      </c>
      <c r="AB71" s="28" t="n">
        <v>-0.000516</v>
      </c>
      <c r="AC71" s="30" t="n">
        <v>0.885</v>
      </c>
      <c r="AD71" s="24" t="inlineStr">
        <is>
          <t>2026-08-07T18:26:06.600574Z</t>
        </is>
      </c>
      <c r="AE71" s="31" t="inlineStr">
        <is>
          <t>Neutral Elo baseline; executable ask 0.5300 (market_slug=aec-cs2-mco-wco-2026-08-07).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NO_CALL_WINNER_OVERVALUED</t>
        </is>
      </c>
      <c r="AP71" s="24" t="inlineStr">
        <is>
          <t>WorldEdit Club</t>
        </is>
      </c>
      <c r="AQ71" s="24" t="inlineStr">
        <is>
          <t>WorldEdit Club</t>
        </is>
      </c>
      <c r="AR71" s="24" t="inlineStr">
        <is>
          <t>WorldEdit Club</t>
        </is>
      </c>
      <c r="AS71" s="24" t="inlineStr">
        <is>
          <t>mokrivskiy Club</t>
        </is>
      </c>
      <c r="AT71" s="24" t="inlineStr">
        <is>
          <t>mokrivskiy Club</t>
        </is>
      </c>
      <c r="AU71" s="24" t="inlineStr">
        <is>
          <t>mokrivskiy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f1c53c1821e5cd5120b099293c21ae8eca632261cab4ffd9dd67a853e3ea640b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f1c53c1821e5cd5120b099293c21ae8eca632261cab4ffd9dd67a853e3ea640b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2026-08-07T12:17:10.776543Z</t>
        </is>
      </c>
      <c r="BI71" s="24" t="inlineStr">
        <is>
          <t>["same_event","same_team_same_day","same_league_same_day"]</t>
        </is>
      </c>
      <c r="BJ71" s="25" t="n"/>
      <c r="BK71" s="26" t="n">
        <v>-113</v>
      </c>
      <c r="BL71" s="27" t="n">
        <v>1.884956</v>
      </c>
      <c r="BM71" s="28" t="n">
        <v>0.530516</v>
      </c>
      <c r="BN71" s="28" t="n"/>
      <c r="BO71" s="28" t="n"/>
      <c r="BP71" s="25" t="n"/>
      <c r="BQ71" s="27" t="n">
        <v>1.884956</v>
      </c>
      <c r="BR71" s="28" t="n">
        <v>0.53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0.91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bc5c5b735f18408e</t>
        </is>
      </c>
      <c r="B72" s="24" t="inlineStr">
        <is>
          <t>2026-08-07T12:17:30.564131Z</t>
        </is>
      </c>
      <c r="C72" s="24" t="inlineStr">
        <is>
          <t>2026-08-07T14:00:00Z</t>
        </is>
      </c>
      <c r="D72" s="24" t="inlineStr">
        <is>
          <t>74119</t>
        </is>
      </c>
      <c r="E72" s="24" t="inlineStr">
        <is>
          <t>CS2</t>
        </is>
      </c>
      <c r="F72" s="24" t="inlineStr">
        <is>
          <t>eSuba</t>
        </is>
      </c>
      <c r="G72" s="24" t="inlineStr">
        <is>
          <t>UNiTY esports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212</v>
      </c>
      <c r="M72" s="27" t="n">
        <v>3.12</v>
      </c>
      <c r="N72" s="28" t="n">
        <v>0.320513</v>
      </c>
      <c r="O72" s="28" t="n">
        <v>0.516934</v>
      </c>
      <c r="P72" s="28" t="n"/>
      <c r="Q72" s="28" t="n">
        <v>0.196421</v>
      </c>
      <c r="R72" s="26" t="n">
        <v>100</v>
      </c>
      <c r="S72" s="29" t="n">
        <v>1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212</v>
      </c>
      <c r="AA72" s="28" t="n">
        <v>0.32</v>
      </c>
      <c r="AB72" s="28" t="n">
        <v>-0.000513</v>
      </c>
      <c r="AC72" s="30" t="n">
        <v>-1</v>
      </c>
      <c r="AD72" s="24" t="inlineStr">
        <is>
          <t>2026-08-07T15:18:41.527385Z</t>
        </is>
      </c>
      <c r="AE72" s="31" t="inlineStr">
        <is>
          <t>Neutral Elo baseline; executable ask 0.3200 (market_slug=aec-cs2-unity-esb-2026-08-07).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eSuba</t>
        </is>
      </c>
      <c r="AQ72" s="24" t="inlineStr">
        <is>
          <t>eSuba</t>
        </is>
      </c>
      <c r="AR72" s="24" t="inlineStr">
        <is>
          <t>eSuba</t>
        </is>
      </c>
      <c r="AS72" s="24" t="inlineStr">
        <is>
          <t>UNiTY esports</t>
        </is>
      </c>
      <c r="AT72" s="24" t="inlineStr">
        <is>
          <t>UNiTY esports</t>
        </is>
      </c>
      <c r="AU72" s="24" t="inlineStr">
        <is>
          <t>UNiTY esports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f1c53c1821e5cd5120b099293c21ae8eca632261cab4ffd9dd67a853e3ea640b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f1c53c1821e5cd5120b099293c21ae8eca632261cab4ffd9dd67a853e3ea640b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2026-08-07T12:17:11.433456Z</t>
        </is>
      </c>
      <c r="BI72" s="24" t="inlineStr">
        <is>
          <t>["same_event","same_team_same_day","same_league_same_day"]</t>
        </is>
      </c>
      <c r="BJ72" s="25" t="n"/>
      <c r="BK72" s="26" t="n">
        <v>212</v>
      </c>
      <c r="BL72" s="27" t="n">
        <v>3.12</v>
      </c>
      <c r="BM72" s="28" t="n">
        <v>0.320513</v>
      </c>
      <c r="BN72" s="28" t="n"/>
      <c r="BO72" s="28" t="n"/>
      <c r="BP72" s="25" t="n"/>
      <c r="BQ72" s="27" t="n">
        <v>3.12</v>
      </c>
      <c r="BR72" s="28" t="n">
        <v>0.32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1031f3a518bf4673</t>
        </is>
      </c>
      <c r="B73" s="24" t="inlineStr">
        <is>
          <t>2026-08-07T12:17:30.564131Z</t>
        </is>
      </c>
      <c r="C73" s="24" t="inlineStr">
        <is>
          <t>2026-08-07T14:00:00Z</t>
        </is>
      </c>
      <c r="D73" s="24" t="inlineStr">
        <is>
          <t>74295</t>
        </is>
      </c>
      <c r="E73" s="24" t="inlineStr">
        <is>
          <t>CS2</t>
        </is>
      </c>
      <c r="F73" s="24" t="inlineStr">
        <is>
          <t>BET-M 33</t>
        </is>
      </c>
      <c r="G73" s="24" t="inlineStr">
        <is>
          <t>ex-RUSTEC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0.591297</v>
      </c>
      <c r="P73" s="28" t="n"/>
      <c r="Q73" s="28" t="n">
        <v>0.011465</v>
      </c>
      <c r="R73" s="26" t="n">
        <v>26</v>
      </c>
      <c r="S73" s="29" t="n">
        <v>1.25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-1.25</v>
      </c>
      <c r="AD73" s="24" t="inlineStr">
        <is>
          <t>2026-08-07T18:26:09.512217Z</t>
        </is>
      </c>
      <c r="AE73" s="31" t="inlineStr">
        <is>
          <t>Neutral Elo baseline; executable ask 0.5800 (market_slug=aec-cs2-erx-33-2026-08-07).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NO_CALL_WINNER_OVERVALUED</t>
        </is>
      </c>
      <c r="AP73" s="24" t="inlineStr">
        <is>
          <t>BET-M 33</t>
        </is>
      </c>
      <c r="AQ73" s="24" t="inlineStr">
        <is>
          <t>BET-M 33</t>
        </is>
      </c>
      <c r="AR73" s="24" t="inlineStr">
        <is>
          <t>BET-M 33</t>
        </is>
      </c>
      <c r="AS73" s="24" t="inlineStr">
        <is>
          <t>ex-RUSTEC</t>
        </is>
      </c>
      <c r="AT73" s="24" t="inlineStr">
        <is>
          <t>ex-RUSTEC</t>
        </is>
      </c>
      <c r="AU73" s="24" t="inlineStr">
        <is>
          <t>ex-RUSTEC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f1c53c1821e5cd5120b099293c21ae8eca632261cab4ffd9dd67a853e3ea640b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f1c53c1821e5cd5120b099293c21ae8eca632261cab4ffd9dd67a853e3ea640b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2026-08-07T12:17:12.740119Z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-1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9e42a42e9af84716</t>
        </is>
      </c>
      <c r="B74" s="24" t="inlineStr">
        <is>
          <t>2026-08-07T15:24:16.691798Z</t>
        </is>
      </c>
      <c r="C74" s="24" t="inlineStr">
        <is>
          <t>2026-08-07T16:00:00Z</t>
        </is>
      </c>
      <c r="D74" s="24" t="inlineStr">
        <is>
          <t>72556</t>
        </is>
      </c>
      <c r="E74" s="24" t="inlineStr">
        <is>
          <t>CS2</t>
        </is>
      </c>
      <c r="F74" s="24" t="inlineStr">
        <is>
          <t>Sangal</t>
        </is>
      </c>
      <c r="G74" s="24" t="inlineStr">
        <is>
          <t>Virtus.pro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-223</v>
      </c>
      <c r="M74" s="27" t="n">
        <v>1.44843</v>
      </c>
      <c r="N74" s="28" t="n">
        <v>0.690402</v>
      </c>
      <c r="O74" s="28" t="n">
        <v>0.702323</v>
      </c>
      <c r="P74" s="28" t="n"/>
      <c r="Q74" s="28" t="n">
        <v>0.011921</v>
      </c>
      <c r="R74" s="26" t="n">
        <v>26</v>
      </c>
      <c r="S74" s="29" t="n">
        <v>2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-223</v>
      </c>
      <c r="AA74" s="28" t="n">
        <v>0.6899999999999999</v>
      </c>
      <c r="AB74" s="28" t="n">
        <v>-0.000402</v>
      </c>
      <c r="AC74" s="30" t="n">
        <v>0.8969</v>
      </c>
      <c r="AD74" s="24" t="inlineStr">
        <is>
          <t>2026-08-07T18:26:12.219554Z</t>
        </is>
      </c>
      <c r="AE74" s="31" t="inlineStr">
        <is>
          <t>Neutral Elo baseline; executable ask 0.6900 (market_slug=aec-cs2-vp-sang-2026-08-07).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NO_CALL_WINNER_OVERVALUED</t>
        </is>
      </c>
      <c r="AP74" s="24" t="inlineStr">
        <is>
          <t>Sangal</t>
        </is>
      </c>
      <c r="AQ74" s="24" t="inlineStr">
        <is>
          <t>Sangal</t>
        </is>
      </c>
      <c r="AR74" s="24" t="inlineStr">
        <is>
          <t>Sangal</t>
        </is>
      </c>
      <c r="AS74" s="24" t="inlineStr">
        <is>
          <t>Virtus.pro</t>
        </is>
      </c>
      <c r="AT74" s="24" t="inlineStr">
        <is>
          <t>Virtus.pro</t>
        </is>
      </c>
      <c r="AU74" s="24" t="inlineStr">
        <is>
          <t>Virtus.pro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b8dea04ff55d1b5077c8587b9b9ed16ddeb7be47d75c96d6954498aa5ae37cd0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b8dea04ff55d1b5077c8587b9b9ed16ddeb7be47d75c96d6954498aa5ae37cd0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2026-08-07T15:23:59.442246Z</t>
        </is>
      </c>
      <c r="BI74" s="24" t="inlineStr">
        <is>
          <t>["same_event","same_team_same_day","same_league_same_day"]</t>
        </is>
      </c>
      <c r="BJ74" s="25" t="n"/>
      <c r="BK74" s="26" t="n">
        <v>-223</v>
      </c>
      <c r="BL74" s="27" t="n">
        <v>1.44843</v>
      </c>
      <c r="BM74" s="28" t="n">
        <v>0.690402</v>
      </c>
      <c r="BN74" s="28" t="n"/>
      <c r="BO74" s="28" t="n"/>
      <c r="BP74" s="25" t="n"/>
      <c r="BQ74" s="27" t="n">
        <v>1.44843</v>
      </c>
      <c r="BR74" s="28" t="n">
        <v>0.6899999999999999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0.91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5f930a50097d485c</t>
        </is>
      </c>
      <c r="B75" s="24" t="inlineStr">
        <is>
          <t>2026-08-07T15:24:16.691798Z</t>
        </is>
      </c>
      <c r="C75" s="24" t="inlineStr">
        <is>
          <t>2026-08-07T17:00:00Z</t>
        </is>
      </c>
      <c r="D75" s="24" t="inlineStr">
        <is>
          <t>74382</t>
        </is>
      </c>
      <c r="E75" s="24" t="inlineStr">
        <is>
          <t>CS2</t>
        </is>
      </c>
      <c r="F75" s="24" t="inlineStr">
        <is>
          <t>JAM</t>
        </is>
      </c>
      <c r="G75" s="24" t="inlineStr">
        <is>
          <t>Nexus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-133</v>
      </c>
      <c r="M75" s="27" t="n">
        <v>1.75188</v>
      </c>
      <c r="N75" s="28" t="n">
        <v>0.570815</v>
      </c>
      <c r="O75" s="28" t="n">
        <v>0.542228</v>
      </c>
      <c r="P75" s="28" t="n"/>
      <c r="Q75" s="28" t="n">
        <v>-0.028587</v>
      </c>
      <c r="R75" s="26" t="n">
        <v>6</v>
      </c>
      <c r="S75" s="29" t="n">
        <v>1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-133</v>
      </c>
      <c r="AA75" s="28" t="n">
        <v>0.57</v>
      </c>
      <c r="AB75" s="28" t="n">
        <v>-0.000815</v>
      </c>
      <c r="AC75" s="30" t="n">
        <v>-1</v>
      </c>
      <c r="AD75" s="24" t="inlineStr">
        <is>
          <t>2026-08-07T18:26:15.048553Z</t>
        </is>
      </c>
      <c r="AE75" s="31" t="inlineStr">
        <is>
          <t>Neutral Elo baseline; executable ask 0.5700 (market_slug=aec-cs2-nxs-jam-2026-08-07).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NO_CALL_WINNER_OVERVALUED</t>
        </is>
      </c>
      <c r="AP75" s="24" t="inlineStr">
        <is>
          <t>JAM</t>
        </is>
      </c>
      <c r="AQ75" s="24" t="inlineStr">
        <is>
          <t>JAM</t>
        </is>
      </c>
      <c r="AR75" s="24" t="inlineStr">
        <is>
          <t>JAM</t>
        </is>
      </c>
      <c r="AS75" s="24" t="inlineStr">
        <is>
          <t>Nexus</t>
        </is>
      </c>
      <c r="AT75" s="24" t="inlineStr">
        <is>
          <t>Nexus</t>
        </is>
      </c>
      <c r="AU75" s="24" t="inlineStr">
        <is>
          <t>Nexus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b8dea04ff55d1b5077c8587b9b9ed16ddeb7be47d75c96d6954498aa5ae37cd0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b8dea04ff55d1b5077c8587b9b9ed16ddeb7be47d75c96d6954498aa5ae37cd0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2026-08-07T15:24:04.262843Z</t>
        </is>
      </c>
      <c r="BI75" s="24" t="inlineStr">
        <is>
          <t>["same_event","same_team_same_day","same_league_same_day"]</t>
        </is>
      </c>
      <c r="BJ75" s="25" t="n"/>
      <c r="BK75" s="26" t="n">
        <v>-133</v>
      </c>
      <c r="BL75" s="27" t="n">
        <v>1.75188</v>
      </c>
      <c r="BM75" s="28" t="n">
        <v>0.570815</v>
      </c>
      <c r="BN75" s="28" t="n"/>
      <c r="BO75" s="28" t="n"/>
      <c r="BP75" s="25" t="n"/>
      <c r="BQ75" s="27" t="n">
        <v>1.75188</v>
      </c>
      <c r="BR75" s="28" t="n">
        <v>0.57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-1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False</t>
        </is>
      </c>
    </row>
    <row r="76" ht="36" customHeight="1">
      <c r="A76" s="24" t="inlineStr">
        <is>
          <t>6d79261d22dc442f</t>
        </is>
      </c>
      <c r="B76" s="24" t="inlineStr">
        <is>
          <t>2026-08-07T15:24:16.691798Z</t>
        </is>
      </c>
      <c r="C76" s="24" t="inlineStr">
        <is>
          <t>2026-08-07T17:00:00Z</t>
        </is>
      </c>
      <c r="D76" s="24" t="inlineStr">
        <is>
          <t>74184</t>
        </is>
      </c>
      <c r="E76" s="24" t="inlineStr">
        <is>
          <t>CS2</t>
        </is>
      </c>
      <c r="F76" s="24" t="inlineStr">
        <is>
          <t>ENRAGE</t>
        </is>
      </c>
      <c r="G76" s="24" t="inlineStr">
        <is>
          <t>PURE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104</v>
      </c>
      <c r="M76" s="27" t="n">
        <v>2.04</v>
      </c>
      <c r="N76" s="28" t="n">
        <v>0.490196</v>
      </c>
      <c r="O76" s="28" t="n">
        <v>0.651856</v>
      </c>
      <c r="P76" s="28" t="n"/>
      <c r="Q76" s="28" t="n">
        <v>0.16166</v>
      </c>
      <c r="R76" s="26" t="n">
        <v>100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104</v>
      </c>
      <c r="AA76" s="28" t="n">
        <v>0.49</v>
      </c>
      <c r="AB76" s="28" t="n">
        <v>-0.000196</v>
      </c>
      <c r="AC76" s="30" t="n">
        <v>1.82</v>
      </c>
      <c r="AD76" s="24" t="inlineStr">
        <is>
          <t>2026-08-07T18:26:17.941350Z</t>
        </is>
      </c>
      <c r="AE76" s="31" t="inlineStr">
        <is>
          <t>Neutral Elo baseline; executable ask 0.4900 (market_slug=aec-cs2-pure-enr-2026-08-07).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ENRAGE</t>
        </is>
      </c>
      <c r="AQ76" s="24" t="inlineStr">
        <is>
          <t>ENRAGE</t>
        </is>
      </c>
      <c r="AR76" s="24" t="inlineStr">
        <is>
          <t>ENRAGE</t>
        </is>
      </c>
      <c r="AS76" s="24" t="inlineStr">
        <is>
          <t>PURE</t>
        </is>
      </c>
      <c r="AT76" s="24" t="inlineStr">
        <is>
          <t>PURE</t>
        </is>
      </c>
      <c r="AU76" s="24" t="inlineStr">
        <is>
          <t>PURE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b8dea04ff55d1b5077c8587b9b9ed16ddeb7be47d75c96d6954498aa5ae37cd0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b8dea04ff55d1b5077c8587b9b9ed16ddeb7be47d75c96d6954498aa5ae37cd0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2026-08-07T15:24:04.782971Z</t>
        </is>
      </c>
      <c r="BI76" s="24" t="inlineStr">
        <is>
          <t>["same_event","same_team_same_day","same_league_same_day"]</t>
        </is>
      </c>
      <c r="BJ76" s="25" t="n"/>
      <c r="BK76" s="26" t="n">
        <v>104</v>
      </c>
      <c r="BL76" s="27" t="n">
        <v>2.04</v>
      </c>
      <c r="BM76" s="28" t="n">
        <v>0.490196</v>
      </c>
      <c r="BN76" s="28" t="n"/>
      <c r="BO76" s="28" t="n"/>
      <c r="BP76" s="25" t="n"/>
      <c r="BQ76" s="27" t="n">
        <v>2.04</v>
      </c>
      <c r="BR76" s="28" t="n">
        <v>0.49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0.91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70d4611de2564b9d</t>
        </is>
      </c>
      <c r="B77" s="24" t="inlineStr">
        <is>
          <t>2026-08-07T15:24:16.691798Z</t>
        </is>
      </c>
      <c r="C77" s="24" t="inlineStr">
        <is>
          <t>2026-08-07T17:00:00Z</t>
        </is>
      </c>
      <c r="D77" s="24" t="inlineStr">
        <is>
          <t>74185</t>
        </is>
      </c>
      <c r="E77" s="24" t="inlineStr">
        <is>
          <t>CS2</t>
        </is>
      </c>
      <c r="F77" s="24" t="inlineStr">
        <is>
          <t>NEW VISION</t>
        </is>
      </c>
      <c r="G77" s="24" t="inlineStr">
        <is>
          <t>Drama eSports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0.651427</v>
      </c>
      <c r="P77" s="28" t="n"/>
      <c r="Q77" s="28" t="n">
        <v>0.011139</v>
      </c>
      <c r="R77" s="26" t="n">
        <v>26</v>
      </c>
      <c r="S77" s="29" t="n">
        <v>1.75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0</v>
      </c>
      <c r="X77" s="26" t="n">
        <v>1</v>
      </c>
      <c r="Y77" s="25" t="n"/>
      <c r="Z77" s="26" t="n">
        <v>-178</v>
      </c>
      <c r="AA77" s="28" t="n">
        <v>0.64</v>
      </c>
      <c r="AB77" s="28" t="n">
        <v>-0.000288</v>
      </c>
      <c r="AC77" s="30" t="n">
        <v>-1.75</v>
      </c>
      <c r="AD77" s="24" t="inlineStr">
        <is>
          <t>2026-08-07T18:26:20.737425Z</t>
        </is>
      </c>
      <c r="AE77" s="31" t="inlineStr">
        <is>
          <t>Neutral Elo baseline; executable ask 0.6400 (market_slug=aec-cs2-drama-nve-2026-08-07).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NO_CALL_WINNER_OVERVALUED</t>
        </is>
      </c>
      <c r="AP77" s="24" t="inlineStr">
        <is>
          <t>NEW VISION</t>
        </is>
      </c>
      <c r="AQ77" s="24" t="inlineStr">
        <is>
          <t>NEW VISION</t>
        </is>
      </c>
      <c r="AR77" s="24" t="inlineStr">
        <is>
          <t>NEW VISION</t>
        </is>
      </c>
      <c r="AS77" s="24" t="inlineStr">
        <is>
          <t>Drama eSports</t>
        </is>
      </c>
      <c r="AT77" s="24" t="inlineStr">
        <is>
          <t>Drama eSports</t>
        </is>
      </c>
      <c r="AU77" s="24" t="inlineStr">
        <is>
          <t>Drama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b8dea04ff55d1b5077c8587b9b9ed16ddeb7be47d75c96d6954498aa5ae37cd0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b8dea04ff55d1b5077c8587b9b9ed16ddeb7be47d75c96d6954498aa5ae37cd0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2026-08-07T15:24:05.304857Z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>
        <v>1.561798</v>
      </c>
      <c r="BR77" s="28" t="n">
        <v>0.64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-1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604d6226e2904b35</t>
        </is>
      </c>
      <c r="B78" s="24" t="inlineStr">
        <is>
          <t>2026-08-08T04:08:22.847141Z</t>
        </is>
      </c>
      <c r="C78" s="24" t="inlineStr">
        <is>
          <t>2026-08-08T08:00:00Z</t>
        </is>
      </c>
      <c r="D78" s="24" t="inlineStr">
        <is>
          <t>74592</t>
        </is>
      </c>
      <c r="E78" s="24" t="inlineStr">
        <is>
          <t>CS2</t>
        </is>
      </c>
      <c r="F78" s="24" t="inlineStr">
        <is>
          <t xml:space="preserve"> Phantom Academy</t>
        </is>
      </c>
      <c r="G78" s="24" t="inlineStr">
        <is>
          <t>Fire Flux Esports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138</v>
      </c>
      <c r="M78" s="27" t="n">
        <v>2.38</v>
      </c>
      <c r="N78" s="28" t="n">
        <v>0.420168</v>
      </c>
      <c r="O78" s="28" t="n">
        <v>0.537909</v>
      </c>
      <c r="P78" s="28" t="n"/>
      <c r="Q78" s="28" t="n">
        <v>0.117741</v>
      </c>
      <c r="R78" s="26" t="n">
        <v>79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138</v>
      </c>
      <c r="AA78" s="28" t="n">
        <v>0.42</v>
      </c>
      <c r="AB78" s="28" t="n">
        <v>-0.000168</v>
      </c>
      <c r="AC78" s="30" t="n">
        <v>-1</v>
      </c>
      <c r="AD78" s="24" t="inlineStr">
        <is>
          <t>2026-08-08T18:33:35.427679Z</t>
        </is>
      </c>
      <c r="AE78" s="31" t="inlineStr">
        <is>
          <t>Neutral Elo baseline; executable ask 0.4200 (market_slug=aec-cs2-ff-phtmac-2026-08-08).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 xml:space="preserve"> Phantom Academy</t>
        </is>
      </c>
      <c r="AQ78" s="24" t="inlineStr">
        <is>
          <t xml:space="preserve"> Phantom Academy</t>
        </is>
      </c>
      <c r="AR78" s="24" t="inlineStr">
        <is>
          <t xml:space="preserve"> Phantom Academy</t>
        </is>
      </c>
      <c r="AS78" s="24" t="inlineStr">
        <is>
          <t>Fire Flux Esports</t>
        </is>
      </c>
      <c r="AT78" s="24" t="inlineStr">
        <is>
          <t>Fire Flux Esports</t>
        </is>
      </c>
      <c r="AU78" s="24" t="inlineStr">
        <is>
          <t>Fire Flux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519047cee77b9b35bdca8ed92c5b5dffca53f055c37ee9ea3dde4c418cc0283b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519047cee77b9b35bdca8ed92c5b5dffca53f055c37ee9ea3dde4c418cc0283b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2026-08-08T04:07:52.174013Z</t>
        </is>
      </c>
      <c r="BI78" s="24" t="inlineStr">
        <is>
          <t>["same_event","same_team_same_day","same_league_same_day"]</t>
        </is>
      </c>
      <c r="BJ78" s="25" t="n"/>
      <c r="BK78" s="26" t="n">
        <v>138</v>
      </c>
      <c r="BL78" s="27" t="n">
        <v>2.38</v>
      </c>
      <c r="BM78" s="28" t="n">
        <v>0.420168</v>
      </c>
      <c r="BN78" s="28" t="n"/>
      <c r="BO78" s="28" t="n"/>
      <c r="BP78" s="25" t="n"/>
      <c r="BQ78" s="27" t="n">
        <v>2.38</v>
      </c>
      <c r="BR78" s="28" t="n">
        <v>0.42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</row>
    <row r="79" ht="36" customHeight="1">
      <c r="A79" s="24" t="inlineStr">
        <is>
          <t>71eedb0e74054625</t>
        </is>
      </c>
      <c r="B79" s="24" t="inlineStr">
        <is>
          <t>2026-08-08T04:08:22.847141Z</t>
        </is>
      </c>
      <c r="C79" s="24" t="inlineStr">
        <is>
          <t>2026-08-08T08:00:00Z</t>
        </is>
      </c>
      <c r="D79" s="24" t="inlineStr">
        <is>
          <t>72721</t>
        </is>
      </c>
      <c r="E79" s="24" t="inlineStr">
        <is>
          <t>CS2</t>
        </is>
      </c>
      <c r="F79" s="24" t="inlineStr">
        <is>
          <t>SINQU Rehti</t>
        </is>
      </c>
      <c r="G79" s="24" t="inlineStr">
        <is>
          <t>Passion Academy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156</v>
      </c>
      <c r="M79" s="27" t="n">
        <v>2.56</v>
      </c>
      <c r="N79" s="28" t="n">
        <v>0.390625</v>
      </c>
      <c r="O79" s="28" t="n">
        <v>0.58371</v>
      </c>
      <c r="P79" s="28" t="n"/>
      <c r="Q79" s="28" t="n">
        <v>0.193085</v>
      </c>
      <c r="R79" s="26" t="n">
        <v>100</v>
      </c>
      <c r="S79" s="29" t="n">
        <v>1.25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156</v>
      </c>
      <c r="AA79" s="28" t="n">
        <v>0.39</v>
      </c>
      <c r="AB79" s="28" t="n">
        <v>-0.000625</v>
      </c>
      <c r="AC79" s="30" t="n">
        <v>-1.25</v>
      </c>
      <c r="AD79" s="24" t="inlineStr">
        <is>
          <t>2026-08-08T18:33:37.541801Z</t>
        </is>
      </c>
      <c r="AE79" s="31" t="inlineStr">
        <is>
          <t>Neutral Elo baseline; executable ask 0.3900 (market_slug=aec-cs2-psna-sri-2026-08-08).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SINQU Rehti</t>
        </is>
      </c>
      <c r="AQ79" s="24" t="inlineStr">
        <is>
          <t>SINQU Rehti</t>
        </is>
      </c>
      <c r="AR79" s="24" t="inlineStr">
        <is>
          <t>SINQU Rehti</t>
        </is>
      </c>
      <c r="AS79" s="24" t="inlineStr">
        <is>
          <t>Passion Academy</t>
        </is>
      </c>
      <c r="AT79" s="24" t="inlineStr">
        <is>
          <t>Passion Academy</t>
        </is>
      </c>
      <c r="AU79" s="24" t="inlineStr">
        <is>
          <t>Passion Academy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519047cee77b9b35bdca8ed92c5b5dffca53f055c37ee9ea3dde4c418cc0283b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519047cee77b9b35bdca8ed92c5b5dffca53f055c37ee9ea3dde4c418cc0283b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2026-08-08T04:07:52.674788Z</t>
        </is>
      </c>
      <c r="BI79" s="24" t="inlineStr">
        <is>
          <t>["same_event","same_team_same_day","same_league_same_day"]</t>
        </is>
      </c>
      <c r="BJ79" s="25" t="n"/>
      <c r="BK79" s="26" t="n">
        <v>156</v>
      </c>
      <c r="BL79" s="27" t="n">
        <v>2.56</v>
      </c>
      <c r="BM79" s="28" t="n">
        <v>0.390625</v>
      </c>
      <c r="BN79" s="28" t="n"/>
      <c r="BO79" s="28" t="n"/>
      <c r="BP79" s="25" t="n"/>
      <c r="BQ79" s="27" t="n">
        <v>2.56</v>
      </c>
      <c r="BR79" s="28" t="n">
        <v>0.39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-1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905ee60511c04f3a</t>
        </is>
      </c>
      <c r="B80" s="24" t="inlineStr">
        <is>
          <t>2026-08-08T04:08:22.847141Z</t>
        </is>
      </c>
      <c r="C80" s="24" t="inlineStr">
        <is>
          <t>2026-08-08T09:00:00Z</t>
        </is>
      </c>
      <c r="D80" s="24" t="inlineStr">
        <is>
          <t>74528</t>
        </is>
      </c>
      <c r="E80" s="24" t="inlineStr">
        <is>
          <t>CS2</t>
        </is>
      </c>
      <c r="F80" s="24" t="inlineStr">
        <is>
          <t>Sinners</t>
        </is>
      </c>
      <c r="G80" s="24" t="inlineStr">
        <is>
          <t>K27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0.559131</v>
      </c>
      <c r="P80" s="28" t="n"/>
      <c r="Q80" s="28" t="n">
        <v>0.059131</v>
      </c>
      <c r="R80" s="26" t="n">
        <v>50</v>
      </c>
      <c r="S80" s="29" t="n">
        <v>1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100</v>
      </c>
      <c r="AA80" s="28" t="n">
        <v>0.5</v>
      </c>
      <c r="AB80" s="28" t="n">
        <v>0</v>
      </c>
      <c r="AC80" s="30" t="n">
        <v>1</v>
      </c>
      <c r="AD80" s="24" t="inlineStr">
        <is>
          <t>2026-08-08T18:33:39.885750Z</t>
        </is>
      </c>
      <c r="AE80" s="31" t="inlineStr">
        <is>
          <t>Neutral Elo baseline; executable ask 0.5000 (market_slug=aec-cs2-k27-sin-2026-08-08).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NO_CALL_WINNER_OVERVALUED</t>
        </is>
      </c>
      <c r="AP80" s="24" t="inlineStr">
        <is>
          <t>Sinners</t>
        </is>
      </c>
      <c r="AQ80" s="24" t="inlineStr">
        <is>
          <t>Sinners</t>
        </is>
      </c>
      <c r="AR80" s="24" t="inlineStr">
        <is>
          <t>Sinners</t>
        </is>
      </c>
      <c r="AS80" s="24" t="inlineStr">
        <is>
          <t>K27</t>
        </is>
      </c>
      <c r="AT80" s="24" t="inlineStr">
        <is>
          <t>K27</t>
        </is>
      </c>
      <c r="AU80" s="24" t="inlineStr">
        <is>
          <t>K27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519047cee77b9b35bdca8ed92c5b5dffca53f055c37ee9ea3dde4c418cc0283b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519047cee77b9b35bdca8ed92c5b5dffca53f055c37ee9ea3dde4c418cc0283b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2026-08-08T04:07:53.607079Z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>
        <v>2</v>
      </c>
      <c r="BR80" s="28" t="n">
        <v>0.5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</row>
    <row r="81" ht="36" customHeight="1">
      <c r="A81" s="24" t="inlineStr">
        <is>
          <t>ee1db3c13ef6471f</t>
        </is>
      </c>
      <c r="B81" s="24" t="inlineStr">
        <is>
          <t>2026-08-08T04:08:22.847141Z</t>
        </is>
      </c>
      <c r="C81" s="24" t="inlineStr">
        <is>
          <t>2026-08-08T09:00:00Z</t>
        </is>
      </c>
      <c r="D81" s="24" t="inlineStr">
        <is>
          <t>74541</t>
        </is>
      </c>
      <c r="E81" s="24" t="inlineStr">
        <is>
          <t>CS2</t>
        </is>
      </c>
      <c r="F81" s="24" t="inlineStr">
        <is>
          <t>Phantom</t>
        </is>
      </c>
      <c r="G81" s="24" t="inlineStr">
        <is>
          <t>EYEBALLERS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-122</v>
      </c>
      <c r="M81" s="27" t="n">
        <v>1.819672</v>
      </c>
      <c r="N81" s="28" t="n">
        <v>0.54955</v>
      </c>
      <c r="O81" s="28" t="n">
        <v>0.577723</v>
      </c>
      <c r="P81" s="28" t="n"/>
      <c r="Q81" s="28" t="n">
        <v>0.028173</v>
      </c>
      <c r="R81" s="26" t="n">
        <v>34</v>
      </c>
      <c r="S81" s="29" t="n">
        <v>1.25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-122</v>
      </c>
      <c r="AA81" s="28" t="n">
        <v>0.55</v>
      </c>
      <c r="AB81" s="28" t="n">
        <v>0.00045</v>
      </c>
      <c r="AC81" s="30" t="n">
        <v>1.0246</v>
      </c>
      <c r="AD81" s="24" t="inlineStr">
        <is>
          <t>2026-08-08T18:33:42.179679Z</t>
        </is>
      </c>
      <c r="AE81" s="31" t="inlineStr">
        <is>
          <t>Neutral Elo baseline; executable ask 0.5500 (market_slug=aec-cs2-eye-pha-2026-08-08).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NO_CALL_WINNER_OVERVALUED</t>
        </is>
      </c>
      <c r="AP81" s="24" t="inlineStr">
        <is>
          <t>Phantom</t>
        </is>
      </c>
      <c r="AQ81" s="24" t="inlineStr">
        <is>
          <t>Phantom</t>
        </is>
      </c>
      <c r="AR81" s="24" t="inlineStr">
        <is>
          <t>Phantom</t>
        </is>
      </c>
      <c r="AS81" s="24" t="inlineStr">
        <is>
          <t>EYEBALLERS</t>
        </is>
      </c>
      <c r="AT81" s="24" t="inlineStr">
        <is>
          <t>EYEBALLERS</t>
        </is>
      </c>
      <c r="AU81" s="24" t="inlineStr">
        <is>
          <t>EYEBALLERS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519047cee77b9b35bdca8ed92c5b5dffca53f055c37ee9ea3dde4c418cc0283b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519047cee77b9b35bdca8ed92c5b5dffca53f055c37ee9ea3dde4c418cc0283b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2026-08-08T04:07:54.165420Z</t>
        </is>
      </c>
      <c r="BI81" s="24" t="inlineStr">
        <is>
          <t>["same_event","same_team_same_day","same_league_same_day"]</t>
        </is>
      </c>
      <c r="BJ81" s="25" t="n"/>
      <c r="BK81" s="26" t="n">
        <v>-122</v>
      </c>
      <c r="BL81" s="27" t="n">
        <v>1.819672</v>
      </c>
      <c r="BM81" s="28" t="n">
        <v>0.54955</v>
      </c>
      <c r="BN81" s="28" t="n"/>
      <c r="BO81" s="28" t="n"/>
      <c r="BP81" s="25" t="n"/>
      <c r="BQ81" s="27" t="n">
        <v>1.819672</v>
      </c>
      <c r="BR81" s="28" t="n">
        <v>0.55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0.91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11d9882bcdc74132</t>
        </is>
      </c>
      <c r="B82" s="24" t="inlineStr">
        <is>
          <t>2026-08-08T04:08:22.847141Z</t>
        </is>
      </c>
      <c r="C82" s="24" t="inlineStr">
        <is>
          <t>2026-08-08T09:00:00Z</t>
        </is>
      </c>
      <c r="D82" s="24" t="inlineStr">
        <is>
          <t>74540</t>
        </is>
      </c>
      <c r="E82" s="24" t="inlineStr">
        <is>
          <t>CS2</t>
        </is>
      </c>
      <c r="F82" s="24" t="inlineStr">
        <is>
          <t>levelONE</t>
        </is>
      </c>
      <c r="G82" s="24" t="inlineStr">
        <is>
          <t>REVENIX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-223</v>
      </c>
      <c r="M82" s="27" t="n">
        <v>1.44843</v>
      </c>
      <c r="N82" s="28" t="n">
        <v>0.690402</v>
      </c>
      <c r="O82" s="28" t="n">
        <v>0.517149</v>
      </c>
      <c r="P82" s="28" t="n"/>
      <c r="Q82" s="28" t="n">
        <v>-0.173253</v>
      </c>
      <c r="R82" s="26" t="n">
        <v>0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-223</v>
      </c>
      <c r="AA82" s="28" t="n">
        <v>0.6899999999999999</v>
      </c>
      <c r="AB82" s="28" t="n">
        <v>-0.000402</v>
      </c>
      <c r="AC82" s="30" t="n">
        <v>-1</v>
      </c>
      <c r="AD82" s="24" t="inlineStr">
        <is>
          <t>2026-08-08T18:33:44.239160Z</t>
        </is>
      </c>
      <c r="AE82" s="31" t="inlineStr">
        <is>
          <t>Neutral Elo baseline; executable ask 0.6900 (market_slug=aec-cs2-rev-lone-2026-08-08).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NO_CALL_WINNER_OVERVALUED</t>
        </is>
      </c>
      <c r="AP82" s="24" t="inlineStr">
        <is>
          <t>levelONE</t>
        </is>
      </c>
      <c r="AQ82" s="24" t="inlineStr">
        <is>
          <t>levelONE</t>
        </is>
      </c>
      <c r="AR82" s="24" t="inlineStr">
        <is>
          <t>levelONE</t>
        </is>
      </c>
      <c r="AS82" s="24" t="inlineStr">
        <is>
          <t>REVENIX</t>
        </is>
      </c>
      <c r="AT82" s="24" t="inlineStr">
        <is>
          <t>REVENIX</t>
        </is>
      </c>
      <c r="AU82" s="24" t="inlineStr">
        <is>
          <t>REVENIX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519047cee77b9b35bdca8ed92c5b5dffca53f055c37ee9ea3dde4c418cc0283b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519047cee77b9b35bdca8ed92c5b5dffca53f055c37ee9ea3dde4c418cc0283b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2026-08-08T04:07:54.917308Z</t>
        </is>
      </c>
      <c r="BI82" s="24" t="inlineStr">
        <is>
          <t>["same_event","same_team_same_day","same_league_same_day"]</t>
        </is>
      </c>
      <c r="BJ82" s="25" t="n"/>
      <c r="BK82" s="26" t="n">
        <v>-223</v>
      </c>
      <c r="BL82" s="27" t="n">
        <v>1.44843</v>
      </c>
      <c r="BM82" s="28" t="n">
        <v>0.690402</v>
      </c>
      <c r="BN82" s="28" t="n"/>
      <c r="BO82" s="28" t="n"/>
      <c r="BP82" s="25" t="n"/>
      <c r="BQ82" s="27" t="n">
        <v>1.44843</v>
      </c>
      <c r="BR82" s="28" t="n">
        <v>0.6899999999999999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-1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74213c1a6f154412</t>
        </is>
      </c>
      <c r="B83" s="24" t="inlineStr">
        <is>
          <t>2026-08-08T04:08:22.847141Z</t>
        </is>
      </c>
      <c r="C83" s="24" t="inlineStr">
        <is>
          <t>2026-08-08T09:00:00Z</t>
        </is>
      </c>
      <c r="D83" s="24" t="inlineStr">
        <is>
          <t>74539</t>
        </is>
      </c>
      <c r="E83" s="24" t="inlineStr">
        <is>
          <t>CS2</t>
        </is>
      </c>
      <c r="F83" s="24" t="inlineStr">
        <is>
          <t>NRG</t>
        </is>
      </c>
      <c r="G83" s="24" t="inlineStr">
        <is>
          <t>Acend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-133</v>
      </c>
      <c r="M83" s="27" t="n">
        <v>1.75188</v>
      </c>
      <c r="N83" s="28" t="n">
        <v>0.570815</v>
      </c>
      <c r="O83" s="28" t="n">
        <v>0.5208429999999999</v>
      </c>
      <c r="P83" s="28" t="n"/>
      <c r="Q83" s="28" t="n">
        <v>-0.049972</v>
      </c>
      <c r="R83" s="26" t="n">
        <v>0</v>
      </c>
      <c r="S83" s="29" t="n">
        <v>1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-133</v>
      </c>
      <c r="AA83" s="28" t="n">
        <v>0.57</v>
      </c>
      <c r="AB83" s="28" t="n">
        <v>-0.000815</v>
      </c>
      <c r="AC83" s="30" t="n">
        <v>0.7519</v>
      </c>
      <c r="AD83" s="24" t="inlineStr">
        <is>
          <t>2026-08-08T18:33:46.362519Z</t>
        </is>
      </c>
      <c r="AE83" s="31" t="inlineStr">
        <is>
          <t>Neutral Elo baseline; executable ask 0.5700 (market_slug=aec-cs2-ace-nrg-2026-08-08).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NO_CALL_WINNER_OVERVALUED</t>
        </is>
      </c>
      <c r="AP83" s="24" t="inlineStr">
        <is>
          <t>NRG</t>
        </is>
      </c>
      <c r="AQ83" s="24" t="inlineStr">
        <is>
          <t>NRG</t>
        </is>
      </c>
      <c r="AR83" s="24" t="inlineStr">
        <is>
          <t>NRG</t>
        </is>
      </c>
      <c r="AS83" s="24" t="inlineStr">
        <is>
          <t>Acend</t>
        </is>
      </c>
      <c r="AT83" s="24" t="inlineStr">
        <is>
          <t>Acend</t>
        </is>
      </c>
      <c r="AU83" s="24" t="inlineStr">
        <is>
          <t>Acend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519047cee77b9b35bdca8ed92c5b5dffca53f055c37ee9ea3dde4c418cc0283b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519047cee77b9b35bdca8ed92c5b5dffca53f055c37ee9ea3dde4c418cc0283b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2026-08-08T04:07:55.470805Z</t>
        </is>
      </c>
      <c r="BI83" s="24" t="inlineStr">
        <is>
          <t>["same_event","same_team_same_day","same_league_same_day"]</t>
        </is>
      </c>
      <c r="BJ83" s="25" t="n"/>
      <c r="BK83" s="26" t="n">
        <v>-133</v>
      </c>
      <c r="BL83" s="27" t="n">
        <v>1.75188</v>
      </c>
      <c r="BM83" s="28" t="n">
        <v>0.570815</v>
      </c>
      <c r="BN83" s="28" t="n"/>
      <c r="BO83" s="28" t="n"/>
      <c r="BP83" s="25" t="n"/>
      <c r="BQ83" s="27" t="n">
        <v>1.75188</v>
      </c>
      <c r="BR83" s="28" t="n">
        <v>0.57</v>
      </c>
      <c r="BS83" s="28" t="n"/>
      <c r="BT83" s="28" t="n"/>
      <c r="BU83" s="25" t="n"/>
      <c r="BV83" s="29" t="n"/>
      <c r="BW83" s="24" t="n"/>
      <c r="BX83" s="30" t="n">
        <v>1</v>
      </c>
      <c r="BY83" s="27" t="n">
        <v>0.91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</row>
    <row r="84" ht="36" customHeight="1">
      <c r="A84" s="24" t="inlineStr">
        <is>
          <t>985ff2e699cb482c</t>
        </is>
      </c>
      <c r="B84" s="24" t="inlineStr">
        <is>
          <t>2026-08-08T04:08:22.847141Z</t>
        </is>
      </c>
      <c r="C84" s="24" t="inlineStr">
        <is>
          <t>2026-08-08T09:00:00Z</t>
        </is>
      </c>
      <c r="D84" s="24" t="inlineStr">
        <is>
          <t>74537</t>
        </is>
      </c>
      <c r="E84" s="24" t="inlineStr">
        <is>
          <t>CS2</t>
        </is>
      </c>
      <c r="F84" s="24" t="inlineStr">
        <is>
          <t>Virtus.pro</t>
        </is>
      </c>
      <c r="G84" s="24" t="inlineStr">
        <is>
          <t>JiJieHao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-178</v>
      </c>
      <c r="M84" s="27" t="n">
        <v>1.561798</v>
      </c>
      <c r="N84" s="28" t="n">
        <v>0.640288</v>
      </c>
      <c r="O84" s="28" t="n">
        <v>0.566007</v>
      </c>
      <c r="P84" s="28" t="n"/>
      <c r="Q84" s="28" t="n">
        <v>-0.074281</v>
      </c>
      <c r="R84" s="26" t="n">
        <v>0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-178</v>
      </c>
      <c r="AA84" s="28" t="n">
        <v>0.64</v>
      </c>
      <c r="AB84" s="28" t="n">
        <v>-0.000288</v>
      </c>
      <c r="AC84" s="30" t="n">
        <v>0.5618</v>
      </c>
      <c r="AD84" s="24" t="inlineStr">
        <is>
          <t>2026-08-08T18:33:48.481000Z</t>
        </is>
      </c>
      <c r="AE84" s="31" t="inlineStr">
        <is>
          <t>Neutral Elo baseline; executable ask 0.6400 (market_slug=aec-cs2-jjh-vp-2026-08-08).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NO_CALL_WINNER_OVERVALUED</t>
        </is>
      </c>
      <c r="AP84" s="24" t="inlineStr">
        <is>
          <t>Virtus.pro</t>
        </is>
      </c>
      <c r="AQ84" s="24" t="inlineStr">
        <is>
          <t>Virtus.pro</t>
        </is>
      </c>
      <c r="AR84" s="24" t="inlineStr">
        <is>
          <t>Virtus.pro</t>
        </is>
      </c>
      <c r="AS84" s="24" t="inlineStr">
        <is>
          <t>JiJieHao</t>
        </is>
      </c>
      <c r="AT84" s="24" t="inlineStr">
        <is>
          <t>JiJieHao</t>
        </is>
      </c>
      <c r="AU84" s="24" t="inlineStr">
        <is>
          <t>JiJieHao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519047cee77b9b35bdca8ed92c5b5dffca53f055c37ee9ea3dde4c418cc0283b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519047cee77b9b35bdca8ed92c5b5dffca53f055c37ee9ea3dde4c418cc0283b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2026-08-08T04:07:56.768258Z</t>
        </is>
      </c>
      <c r="BI84" s="24" t="inlineStr">
        <is>
          <t>["same_event","same_team_same_day","same_league_same_day"]</t>
        </is>
      </c>
      <c r="BJ84" s="25" t="n"/>
      <c r="BK84" s="26" t="n">
        <v>-178</v>
      </c>
      <c r="BL84" s="27" t="n">
        <v>1.561798</v>
      </c>
      <c r="BM84" s="28" t="n">
        <v>0.640288</v>
      </c>
      <c r="BN84" s="28" t="n"/>
      <c r="BO84" s="28" t="n"/>
      <c r="BP84" s="25" t="n"/>
      <c r="BQ84" s="27" t="n">
        <v>1.561798</v>
      </c>
      <c r="BR84" s="28" t="n">
        <v>0.64</v>
      </c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b34a938229514661</t>
        </is>
      </c>
      <c r="B85" s="24" t="inlineStr">
        <is>
          <t>2026-08-08T04:08:22.847141Z</t>
        </is>
      </c>
      <c r="C85" s="24" t="inlineStr">
        <is>
          <t>2026-08-08T09:00:00Z</t>
        </is>
      </c>
      <c r="D85" s="24" t="inlineStr">
        <is>
          <t>74527</t>
        </is>
      </c>
      <c r="E85" s="24" t="inlineStr">
        <is>
          <t>CS2</t>
        </is>
      </c>
      <c r="F85" s="24" t="inlineStr">
        <is>
          <t>MANGANESE</t>
        </is>
      </c>
      <c r="G85" s="24" t="inlineStr">
        <is>
          <t>Dark Tigre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138</v>
      </c>
      <c r="M85" s="27" t="n">
        <v>2.38</v>
      </c>
      <c r="N85" s="28" t="n">
        <v>0.420168</v>
      </c>
      <c r="O85" s="28" t="n">
        <v>0.516737</v>
      </c>
      <c r="P85" s="28" t="n"/>
      <c r="Q85" s="28" t="n">
        <v>0.096569</v>
      </c>
      <c r="R85" s="26" t="n">
        <v>68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138</v>
      </c>
      <c r="AA85" s="28" t="n">
        <v>0.42</v>
      </c>
      <c r="AB85" s="28" t="n">
        <v>-0.000168</v>
      </c>
      <c r="AC85" s="30" t="n">
        <v>1.38</v>
      </c>
      <c r="AD85" s="24" t="inlineStr">
        <is>
          <t>2026-08-08T18:33:50.607453Z</t>
        </is>
      </c>
      <c r="AE85" s="31" t="inlineStr">
        <is>
          <t>Neutral Elo baseline; executable ask 0.4200 (market_slug=aec-cs2-dt-mgn-2026-08-08).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MANGANESE</t>
        </is>
      </c>
      <c r="AQ85" s="24" t="inlineStr">
        <is>
          <t>MANGANESE</t>
        </is>
      </c>
      <c r="AR85" s="24" t="inlineStr">
        <is>
          <t>MANGANESE</t>
        </is>
      </c>
      <c r="AS85" s="24" t="inlineStr">
        <is>
          <t>Dark Tigre</t>
        </is>
      </c>
      <c r="AT85" s="24" t="inlineStr">
        <is>
          <t>Dark Tigre</t>
        </is>
      </c>
      <c r="AU85" s="24" t="inlineStr">
        <is>
          <t>Dark Tigre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519047cee77b9b35bdca8ed92c5b5dffca53f055c37ee9ea3dde4c418cc0283b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519047cee77b9b35bdca8ed92c5b5dffca53f055c37ee9ea3dde4c418cc0283b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2026-08-08T04:07:58.143238Z</t>
        </is>
      </c>
      <c r="BI85" s="24" t="inlineStr">
        <is>
          <t>["same_event","same_team_same_day","same_league_same_day"]</t>
        </is>
      </c>
      <c r="BJ85" s="25" t="n"/>
      <c r="BK85" s="26" t="n">
        <v>138</v>
      </c>
      <c r="BL85" s="27" t="n">
        <v>2.38</v>
      </c>
      <c r="BM85" s="28" t="n">
        <v>0.420168</v>
      </c>
      <c r="BN85" s="28" t="n"/>
      <c r="BO85" s="28" t="n"/>
      <c r="BP85" s="25" t="n"/>
      <c r="BQ85" s="27" t="n">
        <v>2.38</v>
      </c>
      <c r="BR85" s="28" t="n">
        <v>0.42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0.91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f4b559c0cd13427a</t>
        </is>
      </c>
      <c r="B86" s="24" t="inlineStr">
        <is>
          <t>2026-08-08T04:08:22.847141Z</t>
        </is>
      </c>
      <c r="C86" s="24" t="inlineStr">
        <is>
          <t>2026-08-08T09:00:00Z</t>
        </is>
      </c>
      <c r="D86" s="24" t="inlineStr">
        <is>
          <t>74556</t>
        </is>
      </c>
      <c r="E86" s="24" t="inlineStr">
        <is>
          <t>CS2</t>
        </is>
      </c>
      <c r="F86" s="24" t="inlineStr">
        <is>
          <t>FOKUS</t>
        </is>
      </c>
      <c r="G86" s="24" t="inlineStr">
        <is>
          <t>Sashi Esport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0.604612</v>
      </c>
      <c r="P86" s="28" t="n"/>
      <c r="Q86" s="28" t="n">
        <v>0.143783</v>
      </c>
      <c r="R86" s="26" t="n">
        <v>92</v>
      </c>
      <c r="S86" s="29" t="n">
        <v>1.25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-1.25</v>
      </c>
      <c r="AD86" s="24" t="inlineStr">
        <is>
          <t>2026-08-08T18:33:52.766112Z</t>
        </is>
      </c>
      <c r="AE86" s="31" t="inlineStr">
        <is>
          <t>Neutral Elo baseline; executable ask 0.4600 (market_slug=aec-cs2-sashi-fokus-2026-08-08).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FOKUS</t>
        </is>
      </c>
      <c r="AQ86" s="24" t="inlineStr">
        <is>
          <t>FOKUS</t>
        </is>
      </c>
      <c r="AR86" s="24" t="inlineStr">
        <is>
          <t>FOKUS</t>
        </is>
      </c>
      <c r="AS86" s="24" t="inlineStr">
        <is>
          <t>Sashi Esport</t>
        </is>
      </c>
      <c r="AT86" s="24" t="inlineStr">
        <is>
          <t>Sashi Esport</t>
        </is>
      </c>
      <c r="AU86" s="24" t="inlineStr">
        <is>
          <t>Sashi Esport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519047cee77b9b35bdca8ed92c5b5dffca53f055c37ee9ea3dde4c418cc0283b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519047cee77b9b35bdca8ed92c5b5dffca53f055c37ee9ea3dde4c418cc0283b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2026-08-08T04:08:01.783837Z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-1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27bba1fbe32c4ddf</t>
        </is>
      </c>
      <c r="B87" s="24" t="inlineStr">
        <is>
          <t>2026-08-08T04:08:22.847141Z</t>
        </is>
      </c>
      <c r="C87" s="24" t="inlineStr">
        <is>
          <t>2026-08-08T09:00:00Z</t>
        </is>
      </c>
      <c r="D87" s="24" t="inlineStr">
        <is>
          <t>74543</t>
        </is>
      </c>
      <c r="E87" s="24" t="inlineStr">
        <is>
          <t>CS2</t>
        </is>
      </c>
      <c r="F87" s="24" t="inlineStr">
        <is>
          <t>OG</t>
        </is>
      </c>
      <c r="G87" s="24" t="inlineStr">
        <is>
          <t>ECHO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0.623449</v>
      </c>
      <c r="P87" s="28" t="n"/>
      <c r="Q87" s="28" t="n">
        <v>0.133253</v>
      </c>
      <c r="R87" s="26" t="n">
        <v>87</v>
      </c>
      <c r="S87" s="29" t="n">
        <v>1.5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104</v>
      </c>
      <c r="AA87" s="28" t="n">
        <v>0.49</v>
      </c>
      <c r="AB87" s="28" t="n">
        <v>-0.000196</v>
      </c>
      <c r="AC87" s="30" t="n">
        <v>1.56</v>
      </c>
      <c r="AD87" s="24" t="inlineStr">
        <is>
          <t>2026-08-08T18:33:55.002322Z</t>
        </is>
      </c>
      <c r="AE87" s="31" t="inlineStr">
        <is>
          <t>Neutral Elo baseline; executable ask 0.4900 (market_slug=aec-cs2-echo-og-2026-08-08).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OG</t>
        </is>
      </c>
      <c r="AQ87" s="24" t="inlineStr">
        <is>
          <t>OG</t>
        </is>
      </c>
      <c r="AR87" s="24" t="inlineStr">
        <is>
          <t>OG</t>
        </is>
      </c>
      <c r="AS87" s="24" t="inlineStr">
        <is>
          <t>ECHO</t>
        </is>
      </c>
      <c r="AT87" s="24" t="inlineStr">
        <is>
          <t>ECHO</t>
        </is>
      </c>
      <c r="AU87" s="24" t="inlineStr">
        <is>
          <t>ECHO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519047cee77b9b35bdca8ed92c5b5dffca53f055c37ee9ea3dde4c418cc0283b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519047cee77b9b35bdca8ed92c5b5dffca53f055c37ee9ea3dde4c418cc0283b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2026-08-08T04:08:03.241200Z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/>
      <c r="BO87" s="28" t="n"/>
      <c r="BP87" s="25" t="n"/>
      <c r="BQ87" s="27" t="n">
        <v>2.04</v>
      </c>
      <c r="BR87" s="28" t="n">
        <v>0.49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0.91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</row>
    <row r="88" ht="36" customHeight="1">
      <c r="A88" s="24" t="inlineStr">
        <is>
          <t>61ae6cd69b244d15</t>
        </is>
      </c>
      <c r="B88" s="24" t="inlineStr">
        <is>
          <t>2026-08-08T04:08:22.847141Z</t>
        </is>
      </c>
      <c r="C88" s="24" t="inlineStr">
        <is>
          <t>2026-08-08T10:00:00Z</t>
        </is>
      </c>
      <c r="D88" s="24" t="inlineStr">
        <is>
          <t>74583</t>
        </is>
      </c>
      <c r="E88" s="24" t="inlineStr">
        <is>
          <t>CS2</t>
        </is>
      </c>
      <c r="F88" s="24" t="inlineStr">
        <is>
          <t>CYBERSHOKE Esports</t>
        </is>
      </c>
      <c r="G88" s="24" t="inlineStr">
        <is>
          <t>Black Phoenix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156</v>
      </c>
      <c r="M88" s="27" t="n">
        <v>2.56</v>
      </c>
      <c r="N88" s="28" t="n">
        <v>0.390625</v>
      </c>
      <c r="O88" s="28" t="n">
        <v>0.62875</v>
      </c>
      <c r="P88" s="28" t="n"/>
      <c r="Q88" s="28" t="n">
        <v>0.238125</v>
      </c>
      <c r="R88" s="26" t="n">
        <v>100</v>
      </c>
      <c r="S88" s="29" t="n">
        <v>1.5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156</v>
      </c>
      <c r="AA88" s="28" t="n">
        <v>0.39</v>
      </c>
      <c r="AB88" s="28" t="n">
        <v>-0.000625</v>
      </c>
      <c r="AC88" s="30" t="n">
        <v>-1.5</v>
      </c>
      <c r="AD88" s="24" t="inlineStr">
        <is>
          <t>2026-08-08T18:33:57.231691Z</t>
        </is>
      </c>
      <c r="AE88" s="31" t="inlineStr">
        <is>
          <t>Neutral Elo baseline; executable ask 0.3900 (market_slug=aec-cs2-bpl-cs-2026-08-08).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CYBERSHOKE Esports</t>
        </is>
      </c>
      <c r="AQ88" s="24" t="inlineStr">
        <is>
          <t>CYBERSHOKE Esports</t>
        </is>
      </c>
      <c r="AR88" s="24" t="inlineStr">
        <is>
          <t>CYBERSHOKE Esports</t>
        </is>
      </c>
      <c r="AS88" s="24" t="inlineStr">
        <is>
          <t>Black Phoenix</t>
        </is>
      </c>
      <c r="AT88" s="24" t="inlineStr">
        <is>
          <t>Black Phoenix</t>
        </is>
      </c>
      <c r="AU88" s="24" t="inlineStr">
        <is>
          <t>Black Phoenix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519047cee77b9b35bdca8ed92c5b5dffca53f055c37ee9ea3dde4c418cc0283b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519047cee77b9b35bdca8ed92c5b5dffca53f055c37ee9ea3dde4c418cc0283b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2026-08-08T04:08:04.959279Z</t>
        </is>
      </c>
      <c r="BI88" s="24" t="inlineStr">
        <is>
          <t>["same_event","same_team_same_day","same_league_same_day"]</t>
        </is>
      </c>
      <c r="BJ88" s="25" t="n"/>
      <c r="BK88" s="26" t="n">
        <v>156</v>
      </c>
      <c r="BL88" s="27" t="n">
        <v>2.56</v>
      </c>
      <c r="BM88" s="28" t="n">
        <v>0.390625</v>
      </c>
      <c r="BN88" s="28" t="n"/>
      <c r="BO88" s="28" t="n"/>
      <c r="BP88" s="25" t="n"/>
      <c r="BQ88" s="27" t="n">
        <v>2.56</v>
      </c>
      <c r="BR88" s="28" t="n">
        <v>0.39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ef849c07bf994e53</t>
        </is>
      </c>
      <c r="B89" s="24" t="inlineStr">
        <is>
          <t>2026-08-08T04:08:22.847141Z</t>
        </is>
      </c>
      <c r="C89" s="24" t="inlineStr">
        <is>
          <t>2026-08-08T10:30:00Z</t>
        </is>
      </c>
      <c r="D89" s="24" t="inlineStr">
        <is>
          <t>72750</t>
        </is>
      </c>
      <c r="E89" s="24" t="inlineStr">
        <is>
          <t>CS2</t>
        </is>
      </c>
      <c r="F89" s="24" t="inlineStr">
        <is>
          <t>VP.Prodigy</t>
        </is>
      </c>
      <c r="G89" s="24" t="inlineStr">
        <is>
          <t xml:space="preserve"> Phantom Academy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113</v>
      </c>
      <c r="M89" s="27" t="n">
        <v>2.13</v>
      </c>
      <c r="N89" s="28" t="n">
        <v>0.469484</v>
      </c>
      <c r="O89" s="28" t="n">
        <v>0.518807</v>
      </c>
      <c r="P89" s="28" t="n"/>
      <c r="Q89" s="28" t="n">
        <v>0.049323</v>
      </c>
      <c r="R89" s="26" t="n">
        <v>45</v>
      </c>
      <c r="S89" s="29" t="n">
        <v>1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0</v>
      </c>
      <c r="X89" s="26" t="n">
        <v>1</v>
      </c>
      <c r="Y89" s="25" t="n"/>
      <c r="Z89" s="26" t="n">
        <v>113</v>
      </c>
      <c r="AA89" s="28" t="n">
        <v>0.47</v>
      </c>
      <c r="AB89" s="28" t="n">
        <v>0.000516</v>
      </c>
      <c r="AC89" s="30" t="n">
        <v>-1</v>
      </c>
      <c r="AD89" s="24" t="inlineStr">
        <is>
          <t>2026-08-08T18:33:59.374463Z</t>
        </is>
      </c>
      <c r="AE89" s="31" t="inlineStr">
        <is>
          <t>Neutral Elo baseline; executable ask 0.4700 (market_slug=aec-cs2-phtmac-vpp-2026-08-08).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NO_CALL_WINNER_OVERVALUED</t>
        </is>
      </c>
      <c r="AP89" s="24" t="inlineStr">
        <is>
          <t>VP.Prodigy</t>
        </is>
      </c>
      <c r="AQ89" s="24" t="inlineStr">
        <is>
          <t>VP.Prodigy</t>
        </is>
      </c>
      <c r="AR89" s="24" t="inlineStr">
        <is>
          <t>VP.Prodigy</t>
        </is>
      </c>
      <c r="AS89" s="24" t="inlineStr">
        <is>
          <t xml:space="preserve"> Phantom Academy</t>
        </is>
      </c>
      <c r="AT89" s="24" t="inlineStr">
        <is>
          <t xml:space="preserve"> Phantom Academy</t>
        </is>
      </c>
      <c r="AU89" s="24" t="inlineStr">
        <is>
          <t xml:space="preserve"> Phantom Academy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519047cee77b9b35bdca8ed92c5b5dffca53f055c37ee9ea3dde4c418cc0283b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519047cee77b9b35bdca8ed92c5b5dffca53f055c37ee9ea3dde4c418cc0283b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2026-08-08T04:08:05.824094Z</t>
        </is>
      </c>
      <c r="BI89" s="24" t="inlineStr">
        <is>
          <t>["same_event","same_team_same_day","same_league_same_day"]</t>
        </is>
      </c>
      <c r="BJ89" s="25" t="n"/>
      <c r="BK89" s="26" t="n">
        <v>113</v>
      </c>
      <c r="BL89" s="27" t="n">
        <v>2.13</v>
      </c>
      <c r="BM89" s="28" t="n">
        <v>0.469484</v>
      </c>
      <c r="BN89" s="28" t="n"/>
      <c r="BO89" s="28" t="n"/>
      <c r="BP89" s="25" t="n"/>
      <c r="BQ89" s="27" t="n">
        <v>2.13</v>
      </c>
      <c r="BR89" s="28" t="n">
        <v>0.47</v>
      </c>
      <c r="BS89" s="28" t="n"/>
      <c r="BT89" s="28" t="n"/>
      <c r="BU89" s="25" t="n"/>
      <c r="BV89" s="29" t="n"/>
      <c r="BW89" s="24" t="n"/>
      <c r="BX89" s="30" t="n">
        <v>1</v>
      </c>
      <c r="BY89" s="27" t="n">
        <v>-1</v>
      </c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</row>
    <row r="90" ht="36" customHeight="1">
      <c r="A90" s="24" t="inlineStr">
        <is>
          <t>03f04e4987514b4b</t>
        </is>
      </c>
      <c r="B90" s="24" t="inlineStr">
        <is>
          <t>2026-08-08T04:08:22.847141Z</t>
        </is>
      </c>
      <c r="C90" s="24" t="inlineStr">
        <is>
          <t>2026-08-08T11:00:00Z</t>
        </is>
      </c>
      <c r="D90" s="24" t="inlineStr">
        <is>
          <t>74578</t>
        </is>
      </c>
      <c r="E90" s="24" t="inlineStr">
        <is>
          <t>CS2</t>
        </is>
      </c>
      <c r="F90" s="24" t="inlineStr">
        <is>
          <t>Perfecto Club</t>
        </is>
      </c>
      <c r="G90" s="24" t="inlineStr">
        <is>
          <t>shoke Club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100</v>
      </c>
      <c r="M90" s="27" t="n">
        <v>2</v>
      </c>
      <c r="N90" s="28" t="n">
        <v>0.5</v>
      </c>
      <c r="O90" s="28" t="n">
        <v>0.51454</v>
      </c>
      <c r="P90" s="28" t="n"/>
      <c r="Q90" s="28" t="n">
        <v>0.01454</v>
      </c>
      <c r="R90" s="26" t="n">
        <v>27</v>
      </c>
      <c r="S90" s="29" t="n">
        <v>1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100</v>
      </c>
      <c r="AA90" s="28" t="n">
        <v>0.5</v>
      </c>
      <c r="AB90" s="28" t="n">
        <v>0</v>
      </c>
      <c r="AC90" s="30" t="n">
        <v>-1</v>
      </c>
      <c r="AD90" s="24" t="inlineStr">
        <is>
          <t>2026-08-08T18:34:01.453082Z</t>
        </is>
      </c>
      <c r="AE90" s="31" t="inlineStr">
        <is>
          <t>Neutral Elo baseline; executable ask 0.5000 (market_slug=aec-cs2-sch-pce-2026-08-08).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NO_CALL_WINNER_OVERVALUED</t>
        </is>
      </c>
      <c r="AP90" s="24" t="inlineStr">
        <is>
          <t>Perfecto Club</t>
        </is>
      </c>
      <c r="AQ90" s="24" t="inlineStr">
        <is>
          <t>Perfecto Club</t>
        </is>
      </c>
      <c r="AR90" s="24" t="inlineStr">
        <is>
          <t>Perfecto Club</t>
        </is>
      </c>
      <c r="AS90" s="24" t="inlineStr">
        <is>
          <t>shoke Club</t>
        </is>
      </c>
      <c r="AT90" s="24" t="inlineStr">
        <is>
          <t>shoke Club</t>
        </is>
      </c>
      <c r="AU90" s="24" t="inlineStr">
        <is>
          <t>shoke Club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519047cee77b9b35bdca8ed92c5b5dffca53f055c37ee9ea3dde4c418cc0283b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519047cee77b9b35bdca8ed92c5b5dffca53f055c37ee9ea3dde4c418cc0283b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2026-08-08T04:08:07.082650Z</t>
        </is>
      </c>
      <c r="BI90" s="24" t="inlineStr">
        <is>
          <t>["same_event","same_team_same_day","same_league_same_day"]</t>
        </is>
      </c>
      <c r="BJ90" s="25" t="n"/>
      <c r="BK90" s="26" t="n">
        <v>100</v>
      </c>
      <c r="BL90" s="27" t="n">
        <v>2</v>
      </c>
      <c r="BM90" s="28" t="n">
        <v>0.5</v>
      </c>
      <c r="BN90" s="28" t="n"/>
      <c r="BO90" s="28" t="n"/>
      <c r="BP90" s="25" t="n"/>
      <c r="BQ90" s="27" t="n">
        <v>2</v>
      </c>
      <c r="BR90" s="28" t="n">
        <v>0.5</v>
      </c>
      <c r="BS90" s="28" t="n"/>
      <c r="BT90" s="28" t="n"/>
      <c r="BU90" s="25" t="n"/>
      <c r="BV90" s="29" t="n"/>
      <c r="BW90" s="24" t="n"/>
      <c r="BX90" s="30" t="n">
        <v>1</v>
      </c>
      <c r="BY90" s="27" t="n">
        <v>-1</v>
      </c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2097f03867494a52</t>
        </is>
      </c>
      <c r="B91" s="24" t="inlineStr">
        <is>
          <t>2026-08-08T18:37:52.180666Z</t>
        </is>
      </c>
      <c r="C91" s="24" t="inlineStr">
        <is>
          <t>2026-08-08T20:00:00Z</t>
        </is>
      </c>
      <c r="D91" s="24" t="inlineStr">
        <is>
          <t>74249</t>
        </is>
      </c>
      <c r="E91" s="24" t="inlineStr">
        <is>
          <t>CS2</t>
        </is>
      </c>
      <c r="F91" s="24" t="inlineStr">
        <is>
          <t>paiN Academy</t>
        </is>
      </c>
      <c r="G91" s="24" t="inlineStr">
        <is>
          <t>ALKA GAMING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-223</v>
      </c>
      <c r="M91" s="27" t="n">
        <v>1.44843</v>
      </c>
      <c r="N91" s="28" t="n">
        <v>0.690402</v>
      </c>
      <c r="O91" s="28" t="n">
        <v>0.674135</v>
      </c>
      <c r="P91" s="28" t="n"/>
      <c r="Q91" s="28" t="n">
        <v>-0.016267</v>
      </c>
      <c r="R91" s="26" t="n">
        <v>12</v>
      </c>
      <c r="S91" s="29" t="n">
        <v>1.75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-223</v>
      </c>
      <c r="AA91" s="28" t="n">
        <v>0.6899999999999999</v>
      </c>
      <c r="AB91" s="28" t="n">
        <v>-0.000402</v>
      </c>
      <c r="AC91" s="30" t="n">
        <v>0.7848000000000001</v>
      </c>
      <c r="AD91" s="24" t="inlineStr">
        <is>
          <t>2026-08-09T05:13:34.980737Z</t>
        </is>
      </c>
      <c r="AE91" s="31" t="inlineStr">
        <is>
          <t>Neutral Elo baseline; executable ask 0.6900 (market_slug=aec-cs2-alka-paina-2026-08-08).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NO_CALL_WINNER_OVERVALUED</t>
        </is>
      </c>
      <c r="AP91" s="24" t="inlineStr">
        <is>
          <t>paiN Academy</t>
        </is>
      </c>
      <c r="AQ91" s="24" t="inlineStr">
        <is>
          <t>paiN Academy</t>
        </is>
      </c>
      <c r="AR91" s="24" t="inlineStr">
        <is>
          <t>paiN Academy</t>
        </is>
      </c>
      <c r="AS91" s="24" t="inlineStr">
        <is>
          <t>ALKA GAMING</t>
        </is>
      </c>
      <c r="AT91" s="24" t="inlineStr">
        <is>
          <t>ALKA GAMING</t>
        </is>
      </c>
      <c r="AU91" s="24" t="inlineStr">
        <is>
          <t>ALKA GAMING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bc07230e41262d382230e001bc66996bca58fcad77d3441dddaed95f7f6fdae9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bc07230e41262d382230e001bc66996bca58fcad77d3441dddaed95f7f6fdae9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2026-08-08T18:37:37.384648Z</t>
        </is>
      </c>
      <c r="BI91" s="24" t="inlineStr">
        <is>
          <t>["same_event","same_team_same_day","same_league_same_day"]</t>
        </is>
      </c>
      <c r="BJ91" s="25" t="n"/>
      <c r="BK91" s="26" t="n">
        <v>-223</v>
      </c>
      <c r="BL91" s="27" t="n">
        <v>1.44843</v>
      </c>
      <c r="BM91" s="28" t="n">
        <v>0.690402</v>
      </c>
      <c r="BN91" s="28" t="n"/>
      <c r="BO91" s="28" t="n"/>
      <c r="BP91" s="25" t="n"/>
      <c r="BQ91" s="27" t="n">
        <v>1.44843</v>
      </c>
      <c r="BR91" s="28" t="n">
        <v>0.6899999999999999</v>
      </c>
      <c r="BS91" s="28" t="n"/>
      <c r="BT91" s="28" t="n"/>
      <c r="BU91" s="25" t="n"/>
      <c r="BV91" s="29" t="n"/>
      <c r="BW91" s="24" t="n"/>
      <c r="BX91" s="30" t="n">
        <v>1</v>
      </c>
      <c r="BY91" s="27" t="n">
        <v>0.91</v>
      </c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6f129213ef84445a</t>
        </is>
      </c>
      <c r="B92" s="24" t="inlineStr">
        <is>
          <t>2026-08-08T18:37:52.180666Z</t>
        </is>
      </c>
      <c r="C92" s="24" t="inlineStr">
        <is>
          <t>2026-08-08T23:00:00Z</t>
        </is>
      </c>
      <c r="D92" s="24" t="inlineStr">
        <is>
          <t>74250</t>
        </is>
      </c>
      <c r="E92" s="24" t="inlineStr">
        <is>
          <t>CS2</t>
        </is>
      </c>
      <c r="F92" s="24" t="inlineStr">
        <is>
          <t>Isurus</t>
        </is>
      </c>
      <c r="G92" s="24" t="inlineStr">
        <is>
          <t>METANOIA WOLVES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-113</v>
      </c>
      <c r="M92" s="27" t="n">
        <v>1.884956</v>
      </c>
      <c r="N92" s="28" t="n">
        <v>0.530516</v>
      </c>
      <c r="O92" s="28" t="n">
        <v>0.77782</v>
      </c>
      <c r="P92" s="28" t="n"/>
      <c r="Q92" s="28" t="n">
        <v>0.247304</v>
      </c>
      <c r="R92" s="26" t="n">
        <v>100</v>
      </c>
      <c r="S92" s="29" t="n">
        <v>2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push</t>
        </is>
      </c>
      <c r="W92" s="26" t="n"/>
      <c r="X92" s="26" t="n"/>
      <c r="Y92" s="25" t="n"/>
      <c r="Z92" s="26" t="n"/>
      <c r="AA92" s="28" t="n"/>
      <c r="AB92" s="28" t="n"/>
      <c r="AC92" s="30" t="n">
        <v>0</v>
      </c>
      <c r="AD92" s="24" t="inlineStr">
        <is>
          <t>2026-08-09T05:13:38.016493Z</t>
        </is>
      </c>
      <c r="AE92" s="31" t="inlineStr">
        <is>
          <t>Neutral Elo baseline; executable ask 0.5300 (market_slug=aec-cs2-mw-isg-2026-08-08).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Isurus</t>
        </is>
      </c>
      <c r="AQ92" s="24" t="inlineStr">
        <is>
          <t>Isurus</t>
        </is>
      </c>
      <c r="AR92" s="24" t="inlineStr">
        <is>
          <t>Isurus</t>
        </is>
      </c>
      <c r="AS92" s="24" t="inlineStr">
        <is>
          <t>METANOIA WOLVES</t>
        </is>
      </c>
      <c r="AT92" s="24" t="inlineStr">
        <is>
          <t>METANOIA WOLVES</t>
        </is>
      </c>
      <c r="AU92" s="24" t="inlineStr">
        <is>
          <t>METANOIA WOLVES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bc07230e41262d382230e001bc66996bca58fcad77d3441dddaed95f7f6fdae9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bc07230e41262d382230e001bc66996bca58fcad77d3441dddaed95f7f6fdae9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2026-08-08T18:37:37.886825Z</t>
        </is>
      </c>
      <c r="BI92" s="24" t="inlineStr">
        <is>
          <t>["same_event","same_team_same_day","same_league_same_day"]</t>
        </is>
      </c>
      <c r="BJ92" s="25" t="n"/>
      <c r="BK92" s="26" t="n">
        <v>-113</v>
      </c>
      <c r="BL92" s="27" t="n">
        <v>1.884956</v>
      </c>
      <c r="BM92" s="28" t="n">
        <v>0.530516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inlineStr">
        <is>
          <t>esports market settled to a non-binary price (forfeit/postponement per market rules)</t>
        </is>
      </c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</row>
    <row r="93" ht="36" customHeight="1">
      <c r="A93" s="24" t="inlineStr">
        <is>
          <t>af6ec798e5da4bba</t>
        </is>
      </c>
      <c r="B93" s="24" t="inlineStr">
        <is>
          <t>2026-08-09T05:18:53.596099Z</t>
        </is>
      </c>
      <c r="C93" s="24" t="inlineStr">
        <is>
          <t>2026-08-09T08:00:00Z</t>
        </is>
      </c>
      <c r="D93" s="24" t="inlineStr">
        <is>
          <t>73649</t>
        </is>
      </c>
      <c r="E93" s="24" t="inlineStr">
        <is>
          <t>CS2</t>
        </is>
      </c>
      <c r="F93" s="24" t="inlineStr">
        <is>
          <t>ENCE Prospects</t>
        </is>
      </c>
      <c r="G93" s="24" t="inlineStr">
        <is>
          <t>Inner Circle Prospect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-178</v>
      </c>
      <c r="M93" s="27" t="n">
        <v>1.561798</v>
      </c>
      <c r="N93" s="28" t="n">
        <v>0.640288</v>
      </c>
      <c r="O93" s="28" t="n">
        <v>0.587649</v>
      </c>
      <c r="P93" s="28" t="n"/>
      <c r="Q93" s="28" t="n">
        <v>-0.052639</v>
      </c>
      <c r="R93" s="26" t="n">
        <v>0</v>
      </c>
      <c r="S93" s="29" t="n">
        <v>1.25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-178</v>
      </c>
      <c r="AA93" s="28" t="n">
        <v>0.64</v>
      </c>
      <c r="AB93" s="28" t="n">
        <v>-0.000288</v>
      </c>
      <c r="AC93" s="30" t="n">
        <v>0.7022</v>
      </c>
      <c r="AD93" s="24" t="inlineStr">
        <is>
          <t>2026-08-11T16:28:43.699234Z</t>
        </is>
      </c>
      <c r="AE93" s="31" t="inlineStr">
        <is>
          <t>Neutral Elo baseline; executable ask 0.6400 (market_slug=aec-cs2-icp-encep-2026-08-09).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NO_CALL_WINNER_OVERVALUED</t>
        </is>
      </c>
      <c r="AP93" s="24" t="inlineStr">
        <is>
          <t>ENCE Prospects</t>
        </is>
      </c>
      <c r="AQ93" s="24" t="inlineStr">
        <is>
          <t>ENCE Prospects</t>
        </is>
      </c>
      <c r="AR93" s="24" t="inlineStr">
        <is>
          <t>ENCE Prospects</t>
        </is>
      </c>
      <c r="AS93" s="24" t="inlineStr">
        <is>
          <t>Inner Circle Prospect</t>
        </is>
      </c>
      <c r="AT93" s="24" t="inlineStr">
        <is>
          <t>Inner Circle Prospect</t>
        </is>
      </c>
      <c r="AU93" s="24" t="inlineStr">
        <is>
          <t>Inner Circle Prospect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44a50dfe399cc2593a5a45ffbff6d22df4cf4be22ab13569d5e214efbd3de125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44a50dfe399cc2593a5a45ffbff6d22df4cf4be22ab13569d5e214efbd3de125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2026-08-09T05:18:27.665530Z</t>
        </is>
      </c>
      <c r="BI93" s="24" t="inlineStr">
        <is>
          <t>["same_event","same_team_same_day","same_league_same_day"]</t>
        </is>
      </c>
      <c r="BJ93" s="25" t="n"/>
      <c r="BK93" s="26" t="n">
        <v>-178</v>
      </c>
      <c r="BL93" s="27" t="n">
        <v>1.561798</v>
      </c>
      <c r="BM93" s="28" t="n">
        <v>0.640288</v>
      </c>
      <c r="BN93" s="28" t="n"/>
      <c r="BO93" s="28" t="n"/>
      <c r="BP93" s="25" t="n"/>
      <c r="BQ93" s="27" t="n">
        <v>1.561798</v>
      </c>
      <c r="BR93" s="28" t="n">
        <v>0.64</v>
      </c>
      <c r="BS93" s="28" t="n"/>
      <c r="BT93" s="28" t="n"/>
      <c r="BU93" s="25" t="n"/>
      <c r="BV93" s="29" t="n"/>
      <c r="BW93" s="24" t="n"/>
      <c r="BX93" s="30" t="n">
        <v>1</v>
      </c>
      <c r="BY93" s="27" t="n">
        <v>0.91</v>
      </c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</row>
    <row r="94" ht="36" customHeight="1">
      <c r="A94" s="24" t="inlineStr">
        <is>
          <t>b26185fced854985</t>
        </is>
      </c>
      <c r="B94" s="24" t="inlineStr">
        <is>
          <t>2026-08-09T05:18:53.596099Z</t>
        </is>
      </c>
      <c r="C94" s="24" t="inlineStr">
        <is>
          <t>2026-08-09T08:00:00Z</t>
        </is>
      </c>
      <c r="D94" s="24" t="inlineStr">
        <is>
          <t>74604</t>
        </is>
      </c>
      <c r="E94" s="24" t="inlineStr">
        <is>
          <t>CS2</t>
        </is>
      </c>
      <c r="F94" s="24" t="inlineStr">
        <is>
          <t>EAC Rising</t>
        </is>
      </c>
      <c r="G94" s="24" t="inlineStr">
        <is>
          <t>INFURITY Gaming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108</v>
      </c>
      <c r="M94" s="27" t="n">
        <v>2.08</v>
      </c>
      <c r="N94" s="28" t="n">
        <v>0.480769</v>
      </c>
      <c r="O94" s="28" t="n">
        <v>0.716587</v>
      </c>
      <c r="P94" s="28" t="n"/>
      <c r="Q94" s="28" t="n">
        <v>0.235818</v>
      </c>
      <c r="R94" s="26" t="n">
        <v>100</v>
      </c>
      <c r="S94" s="29" t="n">
        <v>2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push</t>
        </is>
      </c>
      <c r="W94" s="26" t="n"/>
      <c r="X94" s="26" t="n"/>
      <c r="Y94" s="25" t="n"/>
      <c r="Z94" s="26" t="n"/>
      <c r="AA94" s="28" t="n"/>
      <c r="AB94" s="28" t="n"/>
      <c r="AC94" s="30" t="n">
        <v>0</v>
      </c>
      <c r="AD94" s="24" t="inlineStr">
        <is>
          <t>2026-08-09T13:55:16.450578Z</t>
        </is>
      </c>
      <c r="AE94" s="31" t="inlineStr">
        <is>
          <t>Neutral Elo baseline; executable ask 0.4800 (market_slug=aec-cs2-ign-era-2026-08-09).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EAC Rising</t>
        </is>
      </c>
      <c r="AQ94" s="24" t="inlineStr">
        <is>
          <t>EAC Rising</t>
        </is>
      </c>
      <c r="AR94" s="24" t="inlineStr">
        <is>
          <t>EAC Rising</t>
        </is>
      </c>
      <c r="AS94" s="24" t="inlineStr">
        <is>
          <t>INFURITY Gaming</t>
        </is>
      </c>
      <c r="AT94" s="24" t="inlineStr">
        <is>
          <t>INFURITY Gaming</t>
        </is>
      </c>
      <c r="AU94" s="24" t="inlineStr">
        <is>
          <t>INFURITY Gaming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44a50dfe399cc2593a5a45ffbff6d22df4cf4be22ab13569d5e214efbd3de125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44a50dfe399cc2593a5a45ffbff6d22df4cf4be22ab13569d5e214efbd3de125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2026-08-09T05:18:28.217133Z</t>
        </is>
      </c>
      <c r="BI94" s="24" t="inlineStr">
        <is>
          <t>["same_event","same_team_same_day","same_league_same_day"]</t>
        </is>
      </c>
      <c r="BJ94" s="25" t="n"/>
      <c r="BK94" s="26" t="n">
        <v>108</v>
      </c>
      <c r="BL94" s="27" t="n">
        <v>2.08</v>
      </c>
      <c r="BM94" s="28" t="n">
        <v>0.480769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inlineStr">
        <is>
          <t>esports market settled to a non-binary price (forfeit/postponement per market rules)</t>
        </is>
      </c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9c84f6ab2402477a</t>
        </is>
      </c>
      <c r="B95" s="24" t="inlineStr">
        <is>
          <t>2026-08-09T05:18:53.596099Z</t>
        </is>
      </c>
      <c r="C95" s="24" t="inlineStr">
        <is>
          <t>2026-08-09T09:00:00Z</t>
        </is>
      </c>
      <c r="D95" s="24" t="inlineStr">
        <is>
          <t>75464</t>
        </is>
      </c>
      <c r="E95" s="24" t="inlineStr">
        <is>
          <t>CS2</t>
        </is>
      </c>
      <c r="F95" s="24" t="inlineStr">
        <is>
          <t>EYEBALLERS</t>
        </is>
      </c>
      <c r="G95" s="24" t="inlineStr">
        <is>
          <t>Sinners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100</v>
      </c>
      <c r="M95" s="27" t="n">
        <v>2</v>
      </c>
      <c r="N95" s="28" t="n">
        <v>0.5</v>
      </c>
      <c r="O95" s="28" t="n">
        <v>0.569586</v>
      </c>
      <c r="P95" s="28" t="n"/>
      <c r="Q95" s="28" t="n">
        <v>0.069586</v>
      </c>
      <c r="R95" s="26" t="n">
        <v>55</v>
      </c>
      <c r="S95" s="29" t="n">
        <v>1.25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0</v>
      </c>
      <c r="Y95" s="25" t="n"/>
      <c r="Z95" s="26" t="n">
        <v>100</v>
      </c>
      <c r="AA95" s="28" t="n">
        <v>0.5</v>
      </c>
      <c r="AB95" s="28" t="n">
        <v>0</v>
      </c>
      <c r="AC95" s="30" t="n">
        <v>1.25</v>
      </c>
      <c r="AD95" s="24" t="inlineStr">
        <is>
          <t>2026-08-09T13:55:18.662112Z</t>
        </is>
      </c>
      <c r="AE95" s="31" t="inlineStr">
        <is>
          <t>Neutral Elo baseline; executable ask 0.5000 (market_slug=aec-cs2-sin-eye-2026-08-09).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NO_CALL_WINNER_OVERVALUED</t>
        </is>
      </c>
      <c r="AP95" s="24" t="inlineStr">
        <is>
          <t>EYEBALLERS</t>
        </is>
      </c>
      <c r="AQ95" s="24" t="inlineStr">
        <is>
          <t>EYEBALLERS</t>
        </is>
      </c>
      <c r="AR95" s="24" t="inlineStr">
        <is>
          <t>EYEBALLERS</t>
        </is>
      </c>
      <c r="AS95" s="24" t="inlineStr">
        <is>
          <t>Sinners</t>
        </is>
      </c>
      <c r="AT95" s="24" t="inlineStr">
        <is>
          <t>Sinners</t>
        </is>
      </c>
      <c r="AU95" s="24" t="inlineStr">
        <is>
          <t>Sinners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44a50dfe399cc2593a5a45ffbff6d22df4cf4be22ab13569d5e214efbd3de125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44a50dfe399cc2593a5a45ffbff6d22df4cf4be22ab13569d5e214efbd3de125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2026-08-09T05:18:28.820200Z</t>
        </is>
      </c>
      <c r="BI95" s="24" t="inlineStr">
        <is>
          <t>["same_event","same_team_same_day","same_league_same_day"]</t>
        </is>
      </c>
      <c r="BJ95" s="25" t="n"/>
      <c r="BK95" s="26" t="n">
        <v>100</v>
      </c>
      <c r="BL95" s="27" t="n">
        <v>2</v>
      </c>
      <c r="BM95" s="28" t="n">
        <v>0.5</v>
      </c>
      <c r="BN95" s="28" t="n"/>
      <c r="BO95" s="28" t="n"/>
      <c r="BP95" s="25" t="n"/>
      <c r="BQ95" s="27" t="n">
        <v>2</v>
      </c>
      <c r="BR95" s="28" t="n">
        <v>0.5</v>
      </c>
      <c r="BS95" s="28" t="n"/>
      <c r="BT95" s="28" t="n"/>
      <c r="BU95" s="25" t="n"/>
      <c r="BV95" s="29" t="n"/>
      <c r="BW95" s="24" t="n"/>
      <c r="BX95" s="30" t="n">
        <v>1</v>
      </c>
      <c r="BY95" s="27" t="n">
        <v>0.91</v>
      </c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  <row r="96" ht="36" customHeight="1">
      <c r="A96" s="24" t="inlineStr">
        <is>
          <t>658b2e2398024209</t>
        </is>
      </c>
      <c r="B96" s="24" t="inlineStr">
        <is>
          <t>2026-08-09T05:18:53.596099Z</t>
        </is>
      </c>
      <c r="C96" s="24" t="inlineStr">
        <is>
          <t>2026-08-09T09:00:00Z</t>
        </is>
      </c>
      <c r="D96" s="24" t="inlineStr">
        <is>
          <t>75457</t>
        </is>
      </c>
      <c r="E96" s="24" t="inlineStr">
        <is>
          <t>CS2</t>
        </is>
      </c>
      <c r="F96" s="24" t="inlineStr">
        <is>
          <t>Phantom</t>
        </is>
      </c>
      <c r="G96" s="24" t="inlineStr">
        <is>
          <t>NRG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0.626563</v>
      </c>
      <c r="P96" s="28" t="n"/>
      <c r="Q96" s="28" t="n">
        <v>0.055748</v>
      </c>
      <c r="R96" s="26" t="n">
        <v>48</v>
      </c>
      <c r="S96" s="29" t="n">
        <v>1.5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-1.5</v>
      </c>
      <c r="AD96" s="24" t="inlineStr">
        <is>
          <t>2026-08-09T13:55:21.651881Z</t>
        </is>
      </c>
      <c r="AE96" s="31" t="inlineStr">
        <is>
          <t>Neutral Elo baseline; executable ask 0.5700 (market_slug=aec-cs2-nrg-pha-2026-08-09).</t>
        </is>
      </c>
      <c r="AF96" s="31" t="inlineStr">
        <is>
          <t>Config-promoted esports baseline; gates enforced at log time.</t>
        </is>
      </c>
      <c r="AG96" s="24" t="inlineStr">
        <is>
          <t>review_required</t>
        </is>
      </c>
      <c r="AH96" s="24" t="n"/>
      <c r="AI96" s="31" t="n"/>
      <c r="AJ9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NO_CALL_WINNER_OVERVALUED</t>
        </is>
      </c>
      <c r="AP96" s="24" t="inlineStr">
        <is>
          <t>Phantom</t>
        </is>
      </c>
      <c r="AQ96" s="24" t="inlineStr">
        <is>
          <t>Phantom</t>
        </is>
      </c>
      <c r="AR96" s="24" t="inlineStr">
        <is>
          <t>Phantom</t>
        </is>
      </c>
      <c r="AS96" s="24" t="inlineStr">
        <is>
          <t>NRG</t>
        </is>
      </c>
      <c r="AT96" s="24" t="inlineStr">
        <is>
          <t>NRG</t>
        </is>
      </c>
      <c r="AU96" s="24" t="inlineStr">
        <is>
          <t>NRG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44a50dfe399cc2593a5a45ffbff6d22df4cf4be22ab13569d5e214efbd3de125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44a50dfe399cc2593a5a45ffbff6d22df4cf4be22ab13569d5e214efbd3de125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2026-08-09T05:18:29.316583Z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>
        <v>1</v>
      </c>
      <c r="BY96" s="27" t="n">
        <v>-1</v>
      </c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</row>
    <row r="97" ht="36" customHeight="1">
      <c r="A97" s="24" t="inlineStr">
        <is>
          <t>83655811f74542b3</t>
        </is>
      </c>
      <c r="B97" s="24" t="inlineStr">
        <is>
          <t>2026-08-09T05:18:53.596099Z</t>
        </is>
      </c>
      <c r="C97" s="24" t="inlineStr">
        <is>
          <t>2026-08-09T09:00:00Z</t>
        </is>
      </c>
      <c r="D97" s="24" t="inlineStr">
        <is>
          <t>75458</t>
        </is>
      </c>
      <c r="E97" s="24" t="inlineStr">
        <is>
          <t>CS2</t>
        </is>
      </c>
      <c r="F97" s="24" t="inlineStr">
        <is>
          <t>BIG</t>
        </is>
      </c>
      <c r="G97" s="24" t="inlineStr">
        <is>
          <t>Eternal Fire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-213</v>
      </c>
      <c r="M97" s="27" t="n">
        <v>1.469484</v>
      </c>
      <c r="N97" s="28" t="n">
        <v>0.680511</v>
      </c>
      <c r="O97" s="28" t="n">
        <v>0.69822</v>
      </c>
      <c r="P97" s="28" t="n"/>
      <c r="Q97" s="28" t="n">
        <v>0.017709</v>
      </c>
      <c r="R97" s="26" t="n">
        <v>29</v>
      </c>
      <c r="S97" s="29" t="n">
        <v>2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0</v>
      </c>
      <c r="Y97" s="25" t="n"/>
      <c r="Z97" s="26" t="n">
        <v>-213</v>
      </c>
      <c r="AA97" s="28" t="n">
        <v>0.68</v>
      </c>
      <c r="AB97" s="28" t="n">
        <v>-0.000511</v>
      </c>
      <c r="AC97" s="30" t="n">
        <v>0.9389999999999999</v>
      </c>
      <c r="AD97" s="24" t="inlineStr">
        <is>
          <t>2026-08-09T13:55:24.668218Z</t>
        </is>
      </c>
      <c r="AE97" s="31" t="inlineStr">
        <is>
          <t>Neutral Elo baseline; executable ask 0.6800 (market_slug=aec-cs2-ef-big-2026-08-09).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NO_CALL_WINNER_OVERVALUED</t>
        </is>
      </c>
      <c r="AP97" s="24" t="inlineStr">
        <is>
          <t>BIG</t>
        </is>
      </c>
      <c r="AQ97" s="24" t="inlineStr">
        <is>
          <t>BIG</t>
        </is>
      </c>
      <c r="AR97" s="24" t="inlineStr">
        <is>
          <t>BIG</t>
        </is>
      </c>
      <c r="AS97" s="24" t="inlineStr">
        <is>
          <t>Eternal Fire</t>
        </is>
      </c>
      <c r="AT97" s="24" t="inlineStr">
        <is>
          <t>Eternal Fire</t>
        </is>
      </c>
      <c r="AU97" s="24" t="inlineStr">
        <is>
          <t>Eternal Fire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44a50dfe399cc2593a5a45ffbff6d22df4cf4be22ab13569d5e214efbd3de125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44a50dfe399cc2593a5a45ffbff6d22df4cf4be22ab13569d5e214efbd3de125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2026-08-09T05:18:30.000547Z</t>
        </is>
      </c>
      <c r="BI97" s="24" t="inlineStr">
        <is>
          <t>["same_event","same_team_same_day","same_league_same_day"]</t>
        </is>
      </c>
      <c r="BJ97" s="25" t="n"/>
      <c r="BK97" s="26" t="n">
        <v>-213</v>
      </c>
      <c r="BL97" s="27" t="n">
        <v>1.469484</v>
      </c>
      <c r="BM97" s="28" t="n">
        <v>0.680511</v>
      </c>
      <c r="BN97" s="28" t="n"/>
      <c r="BO97" s="28" t="n"/>
      <c r="BP97" s="25" t="n"/>
      <c r="BQ97" s="27" t="n">
        <v>1.469484</v>
      </c>
      <c r="BR97" s="28" t="n">
        <v>0.68</v>
      </c>
      <c r="BS97" s="28" t="n"/>
      <c r="BT97" s="28" t="n"/>
      <c r="BU97" s="25" t="n"/>
      <c r="BV97" s="29" t="n"/>
      <c r="BW97" s="24" t="n"/>
      <c r="BX97" s="30" t="n">
        <v>1</v>
      </c>
      <c r="BY97" s="27" t="n">
        <v>0.91</v>
      </c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</row>
    <row r="98" ht="36" customHeight="1">
      <c r="A98" s="24" t="inlineStr">
        <is>
          <t>a4ef8da80845470e</t>
        </is>
      </c>
      <c r="B98" s="24" t="inlineStr">
        <is>
          <t>2026-08-09T05:18:53.596099Z</t>
        </is>
      </c>
      <c r="C98" s="24" t="inlineStr">
        <is>
          <t>2026-08-09T09:00:00Z</t>
        </is>
      </c>
      <c r="D98" s="24" t="inlineStr">
        <is>
          <t>75459</t>
        </is>
      </c>
      <c r="E98" s="24" t="inlineStr">
        <is>
          <t>CS2</t>
        </is>
      </c>
      <c r="F98" s="24" t="inlineStr">
        <is>
          <t>GenOne</t>
        </is>
      </c>
      <c r="G98" s="24" t="inlineStr">
        <is>
          <t>ECHO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133</v>
      </c>
      <c r="M98" s="27" t="n">
        <v>2.33</v>
      </c>
      <c r="N98" s="28" t="n">
        <v>0.429185</v>
      </c>
      <c r="O98" s="28" t="n">
        <v>0.5167350000000001</v>
      </c>
      <c r="P98" s="28" t="n"/>
      <c r="Q98" s="28" t="n">
        <v>0.08755</v>
      </c>
      <c r="R98" s="26" t="n">
        <v>64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1</v>
      </c>
      <c r="X98" s="26" t="n">
        <v>0</v>
      </c>
      <c r="Y98" s="25" t="n"/>
      <c r="Z98" s="26" t="n">
        <v>133</v>
      </c>
      <c r="AA98" s="28" t="n">
        <v>0.43</v>
      </c>
      <c r="AB98" s="28" t="n">
        <v>0.000815</v>
      </c>
      <c r="AC98" s="30" t="n">
        <v>1.33</v>
      </c>
      <c r="AD98" s="24" t="inlineStr">
        <is>
          <t>2026-08-09T13:55:27.690616Z</t>
        </is>
      </c>
      <c r="AE98" s="31" t="inlineStr">
        <is>
          <t>Neutral Elo baseline; executable ask 0.4300 (market_slug=aec-cs2-echo-g1-2026-08-09).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NO_CALL_LOW_EDGE</t>
        </is>
      </c>
      <c r="AP98" s="24" t="inlineStr">
        <is>
          <t>GenOne</t>
        </is>
      </c>
      <c r="AQ98" s="24" t="inlineStr">
        <is>
          <t>GenOne</t>
        </is>
      </c>
      <c r="AR98" s="24" t="inlineStr">
        <is>
          <t>GenOne</t>
        </is>
      </c>
      <c r="AS98" s="24" t="inlineStr">
        <is>
          <t>ECHO</t>
        </is>
      </c>
      <c r="AT98" s="24" t="inlineStr">
        <is>
          <t>ECHO</t>
        </is>
      </c>
      <c r="AU98" s="24" t="inlineStr">
        <is>
          <t>ECHO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44a50dfe399cc2593a5a45ffbff6d22df4cf4be22ab13569d5e214efbd3de125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44a50dfe399cc2593a5a45ffbff6d22df4cf4be22ab13569d5e214efbd3de125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2026-08-09T05:18:30.567234Z</t>
        </is>
      </c>
      <c r="BI98" s="24" t="inlineStr">
        <is>
          <t>["same_event","same_team_same_day","same_league_same_day"]</t>
        </is>
      </c>
      <c r="BJ98" s="25" t="n"/>
      <c r="BK98" s="26" t="n">
        <v>133</v>
      </c>
      <c r="BL98" s="27" t="n">
        <v>2.33</v>
      </c>
      <c r="BM98" s="28" t="n">
        <v>0.429185</v>
      </c>
      <c r="BN98" s="28" t="n"/>
      <c r="BO98" s="28" t="n"/>
      <c r="BP98" s="25" t="n"/>
      <c r="BQ98" s="27" t="n">
        <v>2.33</v>
      </c>
      <c r="BR98" s="28" t="n">
        <v>0.43</v>
      </c>
      <c r="BS98" s="28" t="n"/>
      <c r="BT98" s="28" t="n"/>
      <c r="BU98" s="25" t="n"/>
      <c r="BV98" s="29" t="n"/>
      <c r="BW98" s="24" t="n"/>
      <c r="BX98" s="30" t="n">
        <v>1</v>
      </c>
      <c r="BY98" s="27" t="n">
        <v>0.91</v>
      </c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7b848c9034c04ed8</t>
        </is>
      </c>
      <c r="B99" s="24" t="inlineStr">
        <is>
          <t>2026-08-09T05:18:53.596099Z</t>
        </is>
      </c>
      <c r="C99" s="24" t="inlineStr">
        <is>
          <t>2026-08-09T09:00:00Z</t>
        </is>
      </c>
      <c r="D99" s="24" t="inlineStr">
        <is>
          <t>75461</t>
        </is>
      </c>
      <c r="E99" s="24" t="inlineStr">
        <is>
          <t>CS2</t>
        </is>
      </c>
      <c r="F99" s="24" t="inlineStr">
        <is>
          <t>Sashi Esport</t>
        </is>
      </c>
      <c r="G99" s="24" t="inlineStr">
        <is>
          <t>Virtus.pro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-117</v>
      </c>
      <c r="M99" s="27" t="n">
        <v>1.854701</v>
      </c>
      <c r="N99" s="28" t="n">
        <v>0.539171</v>
      </c>
      <c r="O99" s="28" t="n">
        <v>0.55663</v>
      </c>
      <c r="P99" s="28" t="n"/>
      <c r="Q99" s="28" t="n">
        <v>0.017459</v>
      </c>
      <c r="R99" s="26" t="n">
        <v>29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-117</v>
      </c>
      <c r="AA99" s="28" t="n">
        <v>0.54</v>
      </c>
      <c r="AB99" s="28" t="n">
        <v>0.000829</v>
      </c>
      <c r="AC99" s="30" t="n">
        <v>-1</v>
      </c>
      <c r="AD99" s="24" t="inlineStr">
        <is>
          <t>2026-08-09T13:55:30.717907Z</t>
        </is>
      </c>
      <c r="AE99" s="31" t="inlineStr">
        <is>
          <t>Neutral Elo baseline; executable ask 0.5400 (market_slug=aec-cs2-vp-sashi-2026-08-09).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NO_CALL_WINNER_OVERVALUED</t>
        </is>
      </c>
      <c r="AP99" s="24" t="inlineStr">
        <is>
          <t>Sashi Esport</t>
        </is>
      </c>
      <c r="AQ99" s="24" t="inlineStr">
        <is>
          <t>Sashi Esport</t>
        </is>
      </c>
      <c r="AR99" s="24" t="inlineStr">
        <is>
          <t>Sashi Esport</t>
        </is>
      </c>
      <c r="AS99" s="24" t="inlineStr">
        <is>
          <t>Virtus.pro</t>
        </is>
      </c>
      <c r="AT99" s="24" t="inlineStr">
        <is>
          <t>Virtus.pro</t>
        </is>
      </c>
      <c r="AU99" s="24" t="inlineStr">
        <is>
          <t>Virtus.pro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44a50dfe399cc2593a5a45ffbff6d22df4cf4be22ab13569d5e214efbd3de125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44a50dfe399cc2593a5a45ffbff6d22df4cf4be22ab13569d5e214efbd3de125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2026-08-09T05:18:32.197846Z</t>
        </is>
      </c>
      <c r="BI99" s="24" t="inlineStr">
        <is>
          <t>["same_event","same_team_same_day","same_league_same_day"]</t>
        </is>
      </c>
      <c r="BJ99" s="25" t="n"/>
      <c r="BK99" s="26" t="n">
        <v>-117</v>
      </c>
      <c r="BL99" s="27" t="n">
        <v>1.854701</v>
      </c>
      <c r="BM99" s="28" t="n">
        <v>0.539171</v>
      </c>
      <c r="BN99" s="28" t="n"/>
      <c r="BO99" s="28" t="n"/>
      <c r="BP99" s="25" t="n"/>
      <c r="BQ99" s="27" t="n">
        <v>1.854701</v>
      </c>
      <c r="BR99" s="28" t="n">
        <v>0.54</v>
      </c>
      <c r="BS99" s="28" t="n"/>
      <c r="BT99" s="28" t="n"/>
      <c r="BU99" s="25" t="n"/>
      <c r="BV99" s="29" t="n"/>
      <c r="BW99" s="24" t="n"/>
      <c r="BX99" s="30" t="n">
        <v>1</v>
      </c>
      <c r="BY99" s="27" t="n">
        <v>-1</v>
      </c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8a8004bb155a4c2d</t>
        </is>
      </c>
      <c r="B100" s="24" t="inlineStr">
        <is>
          <t>2026-08-09T05:18:53.596099Z</t>
        </is>
      </c>
      <c r="C100" s="24" t="inlineStr">
        <is>
          <t>2026-08-09T09:00:00Z</t>
        </is>
      </c>
      <c r="D100" s="24" t="inlineStr">
        <is>
          <t>75462</t>
        </is>
      </c>
      <c r="E100" s="24" t="inlineStr">
        <is>
          <t>CS2</t>
        </is>
      </c>
      <c r="F100" s="24" t="inlineStr">
        <is>
          <t>fnatic</t>
        </is>
      </c>
      <c r="G100" s="24" t="inlineStr">
        <is>
          <t>Fluxo W7M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-213</v>
      </c>
      <c r="M100" s="27" t="n">
        <v>1.469484</v>
      </c>
      <c r="N100" s="28" t="n">
        <v>0.680511</v>
      </c>
      <c r="O100" s="28" t="n">
        <v>0.57287</v>
      </c>
      <c r="P100" s="28" t="n"/>
      <c r="Q100" s="28" t="n">
        <v>-0.107641</v>
      </c>
      <c r="R100" s="26" t="n">
        <v>0</v>
      </c>
      <c r="S100" s="29" t="n">
        <v>1.25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0</v>
      </c>
      <c r="Y100" s="25" t="n"/>
      <c r="Z100" s="26" t="n">
        <v>-213</v>
      </c>
      <c r="AA100" s="28" t="n">
        <v>0.68</v>
      </c>
      <c r="AB100" s="28" t="n">
        <v>-0.000511</v>
      </c>
      <c r="AC100" s="30" t="n">
        <v>0.5869</v>
      </c>
      <c r="AD100" s="24" t="inlineStr">
        <is>
          <t>2026-08-09T13:55:33.785776Z</t>
        </is>
      </c>
      <c r="AE100" s="31" t="inlineStr">
        <is>
          <t>Neutral Elo baseline; executable ask 0.6800 (market_slug=aec-cs2-fxw7-fnc-2026-08-09).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NO_CALL_WINNER_OVERVALUED</t>
        </is>
      </c>
      <c r="AP100" s="24" t="inlineStr">
        <is>
          <t>fnatic</t>
        </is>
      </c>
      <c r="AQ100" s="24" t="inlineStr">
        <is>
          <t>fnatic</t>
        </is>
      </c>
      <c r="AR100" s="24" t="inlineStr">
        <is>
          <t>fnatic</t>
        </is>
      </c>
      <c r="AS100" s="24" t="inlineStr">
        <is>
          <t>Fluxo W7M</t>
        </is>
      </c>
      <c r="AT100" s="24" t="inlineStr">
        <is>
          <t>Fluxo W7M</t>
        </is>
      </c>
      <c r="AU100" s="24" t="inlineStr">
        <is>
          <t>Fluxo W7M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44a50dfe399cc2593a5a45ffbff6d22df4cf4be22ab13569d5e214efbd3de125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44a50dfe399cc2593a5a45ffbff6d22df4cf4be22ab13569d5e214efbd3de125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2026-08-09T05:18:32.891004Z</t>
        </is>
      </c>
      <c r="BI100" s="24" t="inlineStr">
        <is>
          <t>["same_event","same_team_same_day","same_league_same_day"]</t>
        </is>
      </c>
      <c r="BJ100" s="25" t="n"/>
      <c r="BK100" s="26" t="n">
        <v>-213</v>
      </c>
      <c r="BL100" s="27" t="n">
        <v>1.469484</v>
      </c>
      <c r="BM100" s="28" t="n">
        <v>0.680511</v>
      </c>
      <c r="BN100" s="28" t="n"/>
      <c r="BO100" s="28" t="n"/>
      <c r="BP100" s="25" t="n"/>
      <c r="BQ100" s="27" t="n">
        <v>1.469484</v>
      </c>
      <c r="BR100" s="28" t="n">
        <v>0.68</v>
      </c>
      <c r="BS100" s="28" t="n"/>
      <c r="BT100" s="28" t="n"/>
      <c r="BU100" s="25" t="n"/>
      <c r="BV100" s="29" t="n"/>
      <c r="BW100" s="24" t="n"/>
      <c r="BX100" s="30" t="n">
        <v>1</v>
      </c>
      <c r="BY100" s="27" t="n">
        <v>0.91</v>
      </c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c8b8648be8344fc5</t>
        </is>
      </c>
      <c r="B101" s="24" t="inlineStr">
        <is>
          <t>2026-08-09T05:18:53.596099Z</t>
        </is>
      </c>
      <c r="C101" s="24" t="inlineStr">
        <is>
          <t>2026-08-09T09:00:00Z</t>
        </is>
      </c>
      <c r="D101" s="24" t="inlineStr">
        <is>
          <t>75452</t>
        </is>
      </c>
      <c r="E101" s="24" t="inlineStr">
        <is>
          <t>CS2</t>
        </is>
      </c>
      <c r="F101" s="24" t="inlineStr">
        <is>
          <t>Liquid</t>
        </is>
      </c>
      <c r="G101" s="24" t="inlineStr">
        <is>
          <t>1WIN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-194</v>
      </c>
      <c r="M101" s="27" t="n">
        <v>1.515464</v>
      </c>
      <c r="N101" s="28" t="n">
        <v>0.659864</v>
      </c>
      <c r="O101" s="28" t="n">
        <v>0.561189</v>
      </c>
      <c r="P101" s="28" t="n"/>
      <c r="Q101" s="28" t="n">
        <v>-0.098675</v>
      </c>
      <c r="R101" s="26" t="n">
        <v>0</v>
      </c>
      <c r="S101" s="29" t="n">
        <v>1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0</v>
      </c>
      <c r="X101" s="26" t="n">
        <v>1</v>
      </c>
      <c r="Y101" s="25" t="n"/>
      <c r="Z101" s="26" t="n">
        <v>-194</v>
      </c>
      <c r="AA101" s="28" t="n">
        <v>0.66</v>
      </c>
      <c r="AB101" s="28" t="n">
        <v>0.000136</v>
      </c>
      <c r="AC101" s="30" t="n">
        <v>-1</v>
      </c>
      <c r="AD101" s="24" t="inlineStr">
        <is>
          <t>2026-08-09T13:55:36.724454Z</t>
        </is>
      </c>
      <c r="AE101" s="31" t="inlineStr">
        <is>
          <t>Neutral Elo baseline; executable ask 0.6600 (market_slug=aec-cs2-1win-tl-2026-08-09).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NO_CALL_WINNER_OVERVALUED</t>
        </is>
      </c>
      <c r="AP101" s="24" t="inlineStr">
        <is>
          <t>Liquid</t>
        </is>
      </c>
      <c r="AQ101" s="24" t="inlineStr">
        <is>
          <t>Liquid</t>
        </is>
      </c>
      <c r="AR101" s="24" t="inlineStr">
        <is>
          <t>Liquid</t>
        </is>
      </c>
      <c r="AS101" s="24" t="inlineStr">
        <is>
          <t>1WIN</t>
        </is>
      </c>
      <c r="AT101" s="24" t="inlineStr">
        <is>
          <t>1WIN</t>
        </is>
      </c>
      <c r="AU101" s="24" t="inlineStr">
        <is>
          <t>1WIN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44a50dfe399cc2593a5a45ffbff6d22df4cf4be22ab13569d5e214efbd3de125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44a50dfe399cc2593a5a45ffbff6d22df4cf4be22ab13569d5e214efbd3de125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2026-08-09T05:18:35.642360Z</t>
        </is>
      </c>
      <c r="BI101" s="24" t="inlineStr">
        <is>
          <t>["same_event","same_team_same_day","same_league_same_day"]</t>
        </is>
      </c>
      <c r="BJ101" s="25" t="n"/>
      <c r="BK101" s="26" t="n">
        <v>-194</v>
      </c>
      <c r="BL101" s="27" t="n">
        <v>1.515464</v>
      </c>
      <c r="BM101" s="28" t="n">
        <v>0.659864</v>
      </c>
      <c r="BN101" s="28" t="n"/>
      <c r="BO101" s="28" t="n"/>
      <c r="BP101" s="25" t="n"/>
      <c r="BQ101" s="27" t="n">
        <v>1.515464</v>
      </c>
      <c r="BR101" s="28" t="n">
        <v>0.66</v>
      </c>
      <c r="BS101" s="28" t="n"/>
      <c r="BT101" s="28" t="n"/>
      <c r="BU101" s="25" t="n"/>
      <c r="BV101" s="29" t="n"/>
      <c r="BW101" s="24" t="n"/>
      <c r="BX101" s="30" t="n">
        <v>1</v>
      </c>
      <c r="BY101" s="27" t="n">
        <v>-1</v>
      </c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</row>
    <row r="102" ht="36" customHeight="1">
      <c r="A102" s="24" t="inlineStr">
        <is>
          <t>ee8223c93714481f</t>
        </is>
      </c>
      <c r="B102" s="24" t="inlineStr">
        <is>
          <t>2026-08-09T05:18:53.596099Z</t>
        </is>
      </c>
      <c r="C102" s="24" t="inlineStr">
        <is>
          <t>2026-08-09T09:00:00Z</t>
        </is>
      </c>
      <c r="D102" s="24" t="inlineStr">
        <is>
          <t>75453</t>
        </is>
      </c>
      <c r="E102" s="24" t="inlineStr">
        <is>
          <t>CS2</t>
        </is>
      </c>
      <c r="F102" s="24" t="inlineStr">
        <is>
          <t>Acend</t>
        </is>
      </c>
      <c r="G102" s="24" t="inlineStr">
        <is>
          <t>FOKUS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-186</v>
      </c>
      <c r="M102" s="27" t="n">
        <v>1.537634</v>
      </c>
      <c r="N102" s="28" t="n">
        <v>0.65035</v>
      </c>
      <c r="O102" s="28" t="n">
        <v>0.581956</v>
      </c>
      <c r="P102" s="28" t="n"/>
      <c r="Q102" s="28" t="n">
        <v>-0.068394</v>
      </c>
      <c r="R102" s="26" t="n">
        <v>0</v>
      </c>
      <c r="S102" s="29" t="n">
        <v>1.25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-186</v>
      </c>
      <c r="AA102" s="28" t="n">
        <v>0.65</v>
      </c>
      <c r="AB102" s="28" t="n">
        <v>-0.00035</v>
      </c>
      <c r="AC102" s="30" t="n">
        <v>-1.25</v>
      </c>
      <c r="AD102" s="24" t="inlineStr">
        <is>
          <t>2026-08-09T13:55:39.720610Z</t>
        </is>
      </c>
      <c r="AE102" s="31" t="inlineStr">
        <is>
          <t>Neutral Elo baseline; executable ask 0.6500 (market_slug=aec-cs2-fokus-ace-2026-08-09).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NO_CALL_WINNER_OVERVALUED</t>
        </is>
      </c>
      <c r="AP102" s="24" t="inlineStr">
        <is>
          <t>Acend</t>
        </is>
      </c>
      <c r="AQ102" s="24" t="inlineStr">
        <is>
          <t>Acend</t>
        </is>
      </c>
      <c r="AR102" s="24" t="inlineStr">
        <is>
          <t>Acend</t>
        </is>
      </c>
      <c r="AS102" s="24" t="inlineStr">
        <is>
          <t>FOKUS</t>
        </is>
      </c>
      <c r="AT102" s="24" t="inlineStr">
        <is>
          <t>FOKUS</t>
        </is>
      </c>
      <c r="AU102" s="24" t="inlineStr">
        <is>
          <t>FOKUS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44a50dfe399cc2593a5a45ffbff6d22df4cf4be22ab13569d5e214efbd3de125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44a50dfe399cc2593a5a45ffbff6d22df4cf4be22ab13569d5e214efbd3de125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2026-08-09T05:18:36.264758Z</t>
        </is>
      </c>
      <c r="BI102" s="24" t="inlineStr">
        <is>
          <t>["same_event","same_team_same_day","same_league_same_day"]</t>
        </is>
      </c>
      <c r="BJ102" s="25" t="n"/>
      <c r="BK102" s="26" t="n">
        <v>-186</v>
      </c>
      <c r="BL102" s="27" t="n">
        <v>1.537634</v>
      </c>
      <c r="BM102" s="28" t="n">
        <v>0.65035</v>
      </c>
      <c r="BN102" s="28" t="n"/>
      <c r="BO102" s="28" t="n"/>
      <c r="BP102" s="25" t="n"/>
      <c r="BQ102" s="27" t="n">
        <v>1.537634</v>
      </c>
      <c r="BR102" s="28" t="n">
        <v>0.65</v>
      </c>
      <c r="BS102" s="28" t="n"/>
      <c r="BT102" s="28" t="n"/>
      <c r="BU102" s="25" t="n"/>
      <c r="BV102" s="29" t="n"/>
      <c r="BW102" s="24" t="n"/>
      <c r="BX102" s="30" t="n">
        <v>1</v>
      </c>
      <c r="BY102" s="27" t="n">
        <v>-1</v>
      </c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</row>
    <row r="103" ht="36" customHeight="1">
      <c r="A103" s="24" t="inlineStr">
        <is>
          <t>aeac3e41bcf241f6</t>
        </is>
      </c>
      <c r="B103" s="24" t="inlineStr">
        <is>
          <t>2026-08-09T05:18:53.596099Z</t>
        </is>
      </c>
      <c r="C103" s="24" t="inlineStr">
        <is>
          <t>2026-08-09T09:00:00Z</t>
        </is>
      </c>
      <c r="D103" s="24" t="inlineStr">
        <is>
          <t>75454</t>
        </is>
      </c>
      <c r="E103" s="24" t="inlineStr">
        <is>
          <t>CS2</t>
        </is>
      </c>
      <c r="F103" s="24" t="inlineStr">
        <is>
          <t>HOTU</t>
        </is>
      </c>
      <c r="G103" s="24" t="inlineStr">
        <is>
          <t>9INE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-186</v>
      </c>
      <c r="M103" s="27" t="n">
        <v>1.537634</v>
      </c>
      <c r="N103" s="28" t="n">
        <v>0.65035</v>
      </c>
      <c r="O103" s="28" t="n">
        <v>0.656924</v>
      </c>
      <c r="P103" s="28" t="n"/>
      <c r="Q103" s="28" t="n">
        <v>0.006574</v>
      </c>
      <c r="R103" s="26" t="n">
        <v>23</v>
      </c>
      <c r="S103" s="29" t="n">
        <v>1.75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1</v>
      </c>
      <c r="X103" s="26" t="n">
        <v>0</v>
      </c>
      <c r="Y103" s="25" t="n"/>
      <c r="Z103" s="26" t="n">
        <v>-186</v>
      </c>
      <c r="AA103" s="28" t="n">
        <v>0.65</v>
      </c>
      <c r="AB103" s="28" t="n">
        <v>-0.00035</v>
      </c>
      <c r="AC103" s="30" t="n">
        <v>0.9409</v>
      </c>
      <c r="AD103" s="24" t="inlineStr">
        <is>
          <t>2026-08-09T13:55:42.846495Z</t>
        </is>
      </c>
      <c r="AE103" s="31" t="inlineStr">
        <is>
          <t>Neutral Elo baseline; executable ask 0.6500 (market_slug=aec-cs2-9ine-hotu-2026-08-09).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NO_CALL_WINNER_OVERVALUED</t>
        </is>
      </c>
      <c r="AP103" s="24" t="inlineStr">
        <is>
          <t>HOTU</t>
        </is>
      </c>
      <c r="AQ103" s="24" t="inlineStr">
        <is>
          <t>HOTU</t>
        </is>
      </c>
      <c r="AR103" s="24" t="inlineStr">
        <is>
          <t>HOTU</t>
        </is>
      </c>
      <c r="AS103" s="24" t="inlineStr">
        <is>
          <t>9INE</t>
        </is>
      </c>
      <c r="AT103" s="24" t="inlineStr">
        <is>
          <t>9INE</t>
        </is>
      </c>
      <c r="AU103" s="24" t="inlineStr">
        <is>
          <t>9INE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44a50dfe399cc2593a5a45ffbff6d22df4cf4be22ab13569d5e214efbd3de125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44a50dfe399cc2593a5a45ffbff6d22df4cf4be22ab13569d5e214efbd3de125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2026-08-09T05:18:36.827671Z</t>
        </is>
      </c>
      <c r="BI103" s="24" t="inlineStr">
        <is>
          <t>["same_event","same_team_same_day","same_league_same_day"]</t>
        </is>
      </c>
      <c r="BJ103" s="25" t="n"/>
      <c r="BK103" s="26" t="n">
        <v>-186</v>
      </c>
      <c r="BL103" s="27" t="n">
        <v>1.537634</v>
      </c>
      <c r="BM103" s="28" t="n">
        <v>0.65035</v>
      </c>
      <c r="BN103" s="28" t="n"/>
      <c r="BO103" s="28" t="n"/>
      <c r="BP103" s="25" t="n"/>
      <c r="BQ103" s="27" t="n">
        <v>1.537634</v>
      </c>
      <c r="BR103" s="28" t="n">
        <v>0.65</v>
      </c>
      <c r="BS103" s="28" t="n"/>
      <c r="BT103" s="28" t="n"/>
      <c r="BU103" s="25" t="n"/>
      <c r="BV103" s="29" t="n"/>
      <c r="BW103" s="24" t="n"/>
      <c r="BX103" s="30" t="n">
        <v>1</v>
      </c>
      <c r="BY103" s="27" t="n">
        <v>0.91</v>
      </c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79ecf9c4165c4d0c</t>
        </is>
      </c>
      <c r="B104" s="24" t="inlineStr">
        <is>
          <t>2026-08-09T05:18:53.596099Z</t>
        </is>
      </c>
      <c r="C104" s="24" t="inlineStr">
        <is>
          <t>2026-08-09T09:00:00Z</t>
        </is>
      </c>
      <c r="D104" s="24" t="inlineStr">
        <is>
          <t>75455</t>
        </is>
      </c>
      <c r="E104" s="24" t="inlineStr">
        <is>
          <t>CS2</t>
        </is>
      </c>
      <c r="F104" s="24" t="inlineStr">
        <is>
          <t>Iberian Soul</t>
        </is>
      </c>
      <c r="G104" s="24" t="inlineStr">
        <is>
          <t>Inner Circle Esports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-194</v>
      </c>
      <c r="M104" s="27" t="n">
        <v>1.515464</v>
      </c>
      <c r="N104" s="28" t="n">
        <v>0.659864</v>
      </c>
      <c r="O104" s="28" t="n">
        <v>0.584829</v>
      </c>
      <c r="P104" s="28" t="n"/>
      <c r="Q104" s="28" t="n">
        <v>-0.075035</v>
      </c>
      <c r="R104" s="26" t="n">
        <v>0</v>
      </c>
      <c r="S104" s="29" t="n">
        <v>1.25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1</v>
      </c>
      <c r="Y104" s="25" t="n"/>
      <c r="Z104" s="26" t="n">
        <v>-194</v>
      </c>
      <c r="AA104" s="28" t="n">
        <v>0.66</v>
      </c>
      <c r="AB104" s="28" t="n">
        <v>0.000136</v>
      </c>
      <c r="AC104" s="30" t="n">
        <v>0.6443</v>
      </c>
      <c r="AD104" s="24" t="inlineStr">
        <is>
          <t>2026-08-09T13:55:45.885432Z</t>
        </is>
      </c>
      <c r="AE104" s="31" t="inlineStr">
        <is>
          <t>Neutral Elo baseline; executable ask 0.6600 (market_slug=aec-cs2-ice-is-2026-08-09).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NO_CALL_WINNER_OVERVALUED</t>
        </is>
      </c>
      <c r="AP104" s="24" t="inlineStr">
        <is>
          <t>Iberian Soul</t>
        </is>
      </c>
      <c r="AQ104" s="24" t="inlineStr">
        <is>
          <t>Iberian Soul</t>
        </is>
      </c>
      <c r="AR104" s="24" t="inlineStr">
        <is>
          <t>Iberian Soul</t>
        </is>
      </c>
      <c r="AS104" s="24" t="inlineStr">
        <is>
          <t>Inner Circle Esports</t>
        </is>
      </c>
      <c r="AT104" s="24" t="inlineStr">
        <is>
          <t>Inner Circle Esports</t>
        </is>
      </c>
      <c r="AU104" s="24" t="inlineStr">
        <is>
          <t>Inner Circle Esports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44a50dfe399cc2593a5a45ffbff6d22df4cf4be22ab13569d5e214efbd3de125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44a50dfe399cc2593a5a45ffbff6d22df4cf4be22ab13569d5e214efbd3de125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2026-08-09T05:18:37.555846Z</t>
        </is>
      </c>
      <c r="BI104" s="24" t="inlineStr">
        <is>
          <t>["same_event","same_team_same_day","same_league_same_day"]</t>
        </is>
      </c>
      <c r="BJ104" s="25" t="n"/>
      <c r="BK104" s="26" t="n">
        <v>-194</v>
      </c>
      <c r="BL104" s="27" t="n">
        <v>1.515464</v>
      </c>
      <c r="BM104" s="28" t="n">
        <v>0.659864</v>
      </c>
      <c r="BN104" s="28" t="n"/>
      <c r="BO104" s="28" t="n"/>
      <c r="BP104" s="25" t="n"/>
      <c r="BQ104" s="27" t="n">
        <v>1.515464</v>
      </c>
      <c r="BR104" s="28" t="n">
        <v>0.66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0.91</v>
      </c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d32d4aef88cc418d</t>
        </is>
      </c>
      <c r="B105" s="24" t="inlineStr">
        <is>
          <t>2026-08-09T05:18:53.596099Z</t>
        </is>
      </c>
      <c r="C105" s="24" t="inlineStr">
        <is>
          <t>2026-08-09T09:00:00Z</t>
        </is>
      </c>
      <c r="D105" s="24" t="inlineStr">
        <is>
          <t>75456</t>
        </is>
      </c>
      <c r="E105" s="24" t="inlineStr">
        <is>
          <t>CS2</t>
        </is>
      </c>
      <c r="F105" s="24" t="inlineStr">
        <is>
          <t>DENDELE CS</t>
        </is>
      </c>
      <c r="G105" s="24" t="inlineStr">
        <is>
          <t>JiJieHao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212</v>
      </c>
      <c r="M105" s="27" t="n">
        <v>3.12</v>
      </c>
      <c r="N105" s="28" t="n">
        <v>0.320513</v>
      </c>
      <c r="O105" s="28" t="n">
        <v>0.648622</v>
      </c>
      <c r="P105" s="28" t="n"/>
      <c r="Q105" s="28" t="n">
        <v>0.328109</v>
      </c>
      <c r="R105" s="26" t="n">
        <v>100</v>
      </c>
      <c r="S105" s="29" t="n">
        <v>1.75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212</v>
      </c>
      <c r="AA105" s="28" t="n">
        <v>0.32</v>
      </c>
      <c r="AB105" s="28" t="n">
        <v>-0.000513</v>
      </c>
      <c r="AC105" s="30" t="n">
        <v>3.71</v>
      </c>
      <c r="AD105" s="24" t="inlineStr">
        <is>
          <t>2026-08-09T13:55:48.930201Z</t>
        </is>
      </c>
      <c r="AE105" s="31" t="inlineStr">
        <is>
          <t>Neutral Elo baseline; executable ask 0.3200 (market_slug=aec-cs2-jjh-dce-2026-08-09).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DENDELE CS</t>
        </is>
      </c>
      <c r="AQ105" s="24" t="inlineStr">
        <is>
          <t>DENDELE CS</t>
        </is>
      </c>
      <c r="AR105" s="24" t="inlineStr">
        <is>
          <t>DENDELE CS</t>
        </is>
      </c>
      <c r="AS105" s="24" t="inlineStr">
        <is>
          <t>JiJieHao</t>
        </is>
      </c>
      <c r="AT105" s="24" t="inlineStr">
        <is>
          <t>JiJieHao</t>
        </is>
      </c>
      <c r="AU105" s="24" t="inlineStr">
        <is>
          <t>JiJieHao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44a50dfe399cc2593a5a45ffbff6d22df4cf4be22ab13569d5e214efbd3de125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44a50dfe399cc2593a5a45ffbff6d22df4cf4be22ab13569d5e214efbd3de125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2026-08-09T05:18:38.433935Z</t>
        </is>
      </c>
      <c r="BI105" s="24" t="inlineStr">
        <is>
          <t>["same_event","same_team_same_day","same_league_same_day"]</t>
        </is>
      </c>
      <c r="BJ105" s="25" t="n"/>
      <c r="BK105" s="26" t="n">
        <v>212</v>
      </c>
      <c r="BL105" s="27" t="n">
        <v>3.12</v>
      </c>
      <c r="BM105" s="28" t="n">
        <v>0.320513</v>
      </c>
      <c r="BN105" s="28" t="n"/>
      <c r="BO105" s="28" t="n"/>
      <c r="BP105" s="25" t="n"/>
      <c r="BQ105" s="27" t="n">
        <v>3.12</v>
      </c>
      <c r="BR105" s="28" t="n">
        <v>0.32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0.91</v>
      </c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ae70f7e05e6245ed</t>
        </is>
      </c>
      <c r="B106" s="24" t="inlineStr">
        <is>
          <t>2026-08-09T05:18:53.596099Z</t>
        </is>
      </c>
      <c r="C106" s="24" t="inlineStr">
        <is>
          <t>2026-08-09T10:30:00Z</t>
        </is>
      </c>
      <c r="D106" s="24" t="inlineStr">
        <is>
          <t>74605</t>
        </is>
      </c>
      <c r="E106" s="24" t="inlineStr">
        <is>
          <t>CS2</t>
        </is>
      </c>
      <c r="F106" s="24" t="inlineStr">
        <is>
          <t>Teletubisie</t>
        </is>
      </c>
      <c r="G106" s="24" t="inlineStr">
        <is>
          <t>FaZe Up Next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150</v>
      </c>
      <c r="M106" s="27" t="n">
        <v>2.5</v>
      </c>
      <c r="N106" s="28" t="n">
        <v>0.4</v>
      </c>
      <c r="O106" s="28" t="n">
        <v>0.519637</v>
      </c>
      <c r="P106" s="28" t="n"/>
      <c r="Q106" s="28" t="n">
        <v>0.119637</v>
      </c>
      <c r="R106" s="26" t="n">
        <v>80</v>
      </c>
      <c r="S106" s="29" t="n">
        <v>1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0</v>
      </c>
      <c r="Y106" s="25" t="n"/>
      <c r="Z106" s="26" t="n">
        <v>150</v>
      </c>
      <c r="AA106" s="28" t="n">
        <v>0.4</v>
      </c>
      <c r="AB106" s="28" t="n">
        <v>0</v>
      </c>
      <c r="AC106" s="30" t="n">
        <v>-1</v>
      </c>
      <c r="AD106" s="24" t="inlineStr">
        <is>
          <t>2026-08-09T13:55:51.996072Z</t>
        </is>
      </c>
      <c r="AE106" s="31" t="inlineStr">
        <is>
          <t>Neutral Elo baseline; executable ask 0.4000 (market_slug=aec-cs2-fazeun-ttbs-2026-08-09).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Teletubisie</t>
        </is>
      </c>
      <c r="AQ106" s="24" t="inlineStr">
        <is>
          <t>Teletubisie</t>
        </is>
      </c>
      <c r="AR106" s="24" t="inlineStr">
        <is>
          <t>Teletubisie</t>
        </is>
      </c>
      <c r="AS106" s="24" t="inlineStr">
        <is>
          <t>FaZe Up Next</t>
        </is>
      </c>
      <c r="AT106" s="24" t="inlineStr">
        <is>
          <t>FaZe Up Next</t>
        </is>
      </c>
      <c r="AU106" s="24" t="inlineStr">
        <is>
          <t>FaZe Up Next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44a50dfe399cc2593a5a45ffbff6d22df4cf4be22ab13569d5e214efbd3de125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44a50dfe399cc2593a5a45ffbff6d22df4cf4be22ab13569d5e214efbd3de125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2026-08-09T05:18:39.690155Z</t>
        </is>
      </c>
      <c r="BI106" s="24" t="inlineStr">
        <is>
          <t>["same_event","same_team_same_day","same_league_same_day"]</t>
        </is>
      </c>
      <c r="BJ106" s="25" t="n"/>
      <c r="BK106" s="26" t="n">
        <v>150</v>
      </c>
      <c r="BL106" s="27" t="n">
        <v>2.5</v>
      </c>
      <c r="BM106" s="28" t="n">
        <v>0.4</v>
      </c>
      <c r="BN106" s="28" t="n"/>
      <c r="BO106" s="28" t="n"/>
      <c r="BP106" s="25" t="n"/>
      <c r="BQ106" s="27" t="n">
        <v>2.5</v>
      </c>
      <c r="BR106" s="28" t="n">
        <v>0.4</v>
      </c>
      <c r="BS106" s="28" t="n"/>
      <c r="BT106" s="28" t="n"/>
      <c r="BU106" s="25" t="n"/>
      <c r="BV106" s="29" t="n"/>
      <c r="BW106" s="24" t="n"/>
      <c r="BX106" s="30" t="n">
        <v>1</v>
      </c>
      <c r="BY106" s="27" t="n">
        <v>-1</v>
      </c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</row>
    <row r="107" ht="36" customHeight="1">
      <c r="A107" s="24" t="inlineStr">
        <is>
          <t>e8705c77243047a4</t>
        </is>
      </c>
      <c r="B107" s="24" t="inlineStr">
        <is>
          <t>2026-08-09T05:18:53.596099Z</t>
        </is>
      </c>
      <c r="C107" s="24" t="inlineStr">
        <is>
          <t>2026-08-09T11:00:00Z</t>
        </is>
      </c>
      <c r="D107" s="24" t="inlineStr">
        <is>
          <t>75466</t>
        </is>
      </c>
      <c r="E107" s="24" t="inlineStr">
        <is>
          <t>CS2</t>
        </is>
      </c>
      <c r="F107" s="24" t="inlineStr">
        <is>
          <t>Nexus</t>
        </is>
      </c>
      <c r="G107" s="24" t="inlineStr">
        <is>
          <t>UNiTY esports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-150</v>
      </c>
      <c r="M107" s="27" t="n">
        <v>1.666667</v>
      </c>
      <c r="N107" s="28" t="n">
        <v>0.6</v>
      </c>
      <c r="O107" s="28" t="n">
        <v>0.57799</v>
      </c>
      <c r="P107" s="28" t="n"/>
      <c r="Q107" s="28" t="n">
        <v>-0.02201</v>
      </c>
      <c r="R107" s="26" t="n">
        <v>9</v>
      </c>
      <c r="S107" s="29" t="n">
        <v>1.25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-150</v>
      </c>
      <c r="AA107" s="28" t="n">
        <v>0.6</v>
      </c>
      <c r="AB107" s="28" t="n">
        <v>0</v>
      </c>
      <c r="AC107" s="30" t="n">
        <v>-1.25</v>
      </c>
      <c r="AD107" s="24" t="inlineStr">
        <is>
          <t>2026-08-09T17:04:02.962414Z</t>
        </is>
      </c>
      <c r="AE107" s="31" t="inlineStr">
        <is>
          <t>Neutral Elo baseline; executable ask 0.6000 (market_slug=aec-cs2-unity-nxs-2026-08-09).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NO_CALL_WINNER_OVERVALUED</t>
        </is>
      </c>
      <c r="AP107" s="24" t="inlineStr">
        <is>
          <t>Nexus</t>
        </is>
      </c>
      <c r="AQ107" s="24" t="inlineStr">
        <is>
          <t>Nexus</t>
        </is>
      </c>
      <c r="AR107" s="24" t="inlineStr">
        <is>
          <t>Nexus</t>
        </is>
      </c>
      <c r="AS107" s="24" t="inlineStr">
        <is>
          <t>UNiTY esports</t>
        </is>
      </c>
      <c r="AT107" s="24" t="inlineStr">
        <is>
          <t>UNiTY esports</t>
        </is>
      </c>
      <c r="AU107" s="24" t="inlineStr">
        <is>
          <t>UNiTY esports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44a50dfe399cc2593a5a45ffbff6d22df4cf4be22ab13569d5e214efbd3de125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44a50dfe399cc2593a5a45ffbff6d22df4cf4be22ab13569d5e214efbd3de125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2026-08-09T05:18:40.408967Z</t>
        </is>
      </c>
      <c r="BI107" s="24" t="inlineStr">
        <is>
          <t>["same_event","same_team_same_day","same_league_same_day"]</t>
        </is>
      </c>
      <c r="BJ107" s="25" t="n"/>
      <c r="BK107" s="26" t="n">
        <v>-150</v>
      </c>
      <c r="BL107" s="27" t="n">
        <v>1.666667</v>
      </c>
      <c r="BM107" s="28" t="n">
        <v>0.6</v>
      </c>
      <c r="BN107" s="28" t="n"/>
      <c r="BO107" s="28" t="n"/>
      <c r="BP107" s="25" t="n"/>
      <c r="BQ107" s="27" t="n">
        <v>1.666667</v>
      </c>
      <c r="BR107" s="28" t="n">
        <v>0.6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</row>
    <row r="108" ht="36" customHeight="1">
      <c r="A108" s="24" t="inlineStr">
        <is>
          <t>5a7b079050f64abc</t>
        </is>
      </c>
      <c r="B108" s="24" t="inlineStr">
        <is>
          <t>2026-08-09T05:18:53.596099Z</t>
        </is>
      </c>
      <c r="C108" s="24" t="inlineStr">
        <is>
          <t>2026-08-09T13:00:00Z</t>
        </is>
      </c>
      <c r="D108" s="24" t="inlineStr">
        <is>
          <t>75796</t>
        </is>
      </c>
      <c r="E108" s="24" t="inlineStr">
        <is>
          <t>CS2</t>
        </is>
      </c>
      <c r="F108" s="24" t="inlineStr">
        <is>
          <t>Perfecto Club</t>
        </is>
      </c>
      <c r="G108" s="24" t="inlineStr">
        <is>
          <t>mokrivskiy Club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122</v>
      </c>
      <c r="M108" s="27" t="n">
        <v>2.22</v>
      </c>
      <c r="N108" s="28" t="n">
        <v>0.45045</v>
      </c>
      <c r="O108" s="28" t="n">
        <v>0.5144879999999999</v>
      </c>
      <c r="P108" s="28" t="n"/>
      <c r="Q108" s="28" t="n">
        <v>0.064038</v>
      </c>
      <c r="R108" s="26" t="n">
        <v>52</v>
      </c>
      <c r="S108" s="29" t="n">
        <v>1</v>
      </c>
      <c r="T108" s="24" t="inlineStr">
        <is>
          <t>cs2-tiered-elo-v6</t>
        </is>
      </c>
      <c r="U108" s="24" t="inlineStr">
        <is>
          <t>settled</t>
        </is>
      </c>
      <c r="V108" s="24" t="inlineStr">
        <is>
          <t>win</t>
        </is>
      </c>
      <c r="W108" s="26" t="n">
        <v>0</v>
      </c>
      <c r="X108" s="26" t="n">
        <v>1</v>
      </c>
      <c r="Y108" s="25" t="n"/>
      <c r="Z108" s="26" t="n">
        <v>122</v>
      </c>
      <c r="AA108" s="28" t="n">
        <v>0.45</v>
      </c>
      <c r="AB108" s="28" t="n">
        <v>-0.00045</v>
      </c>
      <c r="AC108" s="30" t="n">
        <v>1.22</v>
      </c>
      <c r="AD108" s="24" t="inlineStr">
        <is>
          <t>2026-08-09T17:04:05.050124Z</t>
        </is>
      </c>
      <c r="AE108" s="31" t="inlineStr">
        <is>
          <t>Neutral Elo baseline; executable ask 0.4500 (market_slug=aec-cs2-mco-pce-2026-08-09).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NO_CALL_WINNER_OVERVALUED</t>
        </is>
      </c>
      <c r="AP108" s="24" t="inlineStr">
        <is>
          <t>Perfecto Club</t>
        </is>
      </c>
      <c r="AQ108" s="24" t="inlineStr">
        <is>
          <t>Perfecto Club</t>
        </is>
      </c>
      <c r="AR108" s="24" t="inlineStr">
        <is>
          <t>Perfecto Club</t>
        </is>
      </c>
      <c r="AS108" s="24" t="inlineStr">
        <is>
          <t>mokrivskiy Club</t>
        </is>
      </c>
      <c r="AT108" s="24" t="inlineStr">
        <is>
          <t>mokrivskiy Club</t>
        </is>
      </c>
      <c r="AU108" s="24" t="inlineStr">
        <is>
          <t>mokrivskiy Club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44a50dfe399cc2593a5a45ffbff6d22df4cf4be22ab13569d5e214efbd3de125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44a50dfe399cc2593a5a45ffbff6d22df4cf4be22ab13569d5e214efbd3de125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2026-08-09T05:18:41.134860Z</t>
        </is>
      </c>
      <c r="BI108" s="24" t="inlineStr">
        <is>
          <t>["same_event","same_team_same_day","same_league_same_day"]</t>
        </is>
      </c>
      <c r="BJ108" s="25" t="n"/>
      <c r="BK108" s="26" t="n">
        <v>122</v>
      </c>
      <c r="BL108" s="27" t="n">
        <v>2.22</v>
      </c>
      <c r="BM108" s="28" t="n">
        <v>0.45045</v>
      </c>
      <c r="BN108" s="28" t="n"/>
      <c r="BO108" s="28" t="n"/>
      <c r="BP108" s="25" t="n"/>
      <c r="BQ108" s="27" t="n">
        <v>2.22</v>
      </c>
      <c r="BR108" s="28" t="n">
        <v>0.45</v>
      </c>
      <c r="BS108" s="28" t="n"/>
      <c r="BT108" s="28" t="n"/>
      <c r="BU108" s="25" t="n"/>
      <c r="BV108" s="29" t="n"/>
      <c r="BW108" s="24" t="n"/>
      <c r="BX108" s="30" t="n">
        <v>1</v>
      </c>
      <c r="BY108" s="27" t="n">
        <v>0.91</v>
      </c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d381b10bd24549a6</t>
        </is>
      </c>
      <c r="B109" s="24" t="inlineStr">
        <is>
          <t>2026-08-09T14:01:57.024711Z</t>
        </is>
      </c>
      <c r="C109" s="24" t="inlineStr">
        <is>
          <t>2026-08-09T16:00:00Z</t>
        </is>
      </c>
      <c r="D109" s="24" t="inlineStr">
        <is>
          <t>76016</t>
        </is>
      </c>
      <c r="E109" s="24" t="inlineStr">
        <is>
          <t>CS2</t>
        </is>
      </c>
      <c r="F109" s="24" t="inlineStr">
        <is>
          <t>Arch</t>
        </is>
      </c>
      <c r="G109" s="24" t="inlineStr">
        <is>
          <t>Benched gods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-127</v>
      </c>
      <c r="M109" s="27" t="n">
        <v>1.787402</v>
      </c>
      <c r="N109" s="28" t="n">
        <v>0.5594710000000001</v>
      </c>
      <c r="O109" s="28" t="n">
        <v>0.547779</v>
      </c>
      <c r="P109" s="28" t="n"/>
      <c r="Q109" s="28" t="n">
        <v>-0.011692</v>
      </c>
      <c r="R109" s="26" t="n">
        <v>14</v>
      </c>
      <c r="S109" s="29" t="n">
        <v>1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push</t>
        </is>
      </c>
      <c r="W109" s="26" t="n"/>
      <c r="X109" s="26" t="n"/>
      <c r="Y109" s="25" t="n"/>
      <c r="Z109" s="26" t="n"/>
      <c r="AA109" s="28" t="n"/>
      <c r="AB109" s="28" t="n"/>
      <c r="AC109" s="30" t="n">
        <v>0</v>
      </c>
      <c r="AD109" s="24" t="inlineStr">
        <is>
          <t>2026-08-09T23:30:18.882325Z</t>
        </is>
      </c>
      <c r="AE109" s="31" t="inlineStr">
        <is>
          <t>Neutral Elo baseline; executable ask 0.5600 (market_slug=aec-cs2-bge-arch-2026-08-09).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NO_CALL_WINNER_OVERVALUED</t>
        </is>
      </c>
      <c r="AP109" s="24" t="inlineStr">
        <is>
          <t>Arch</t>
        </is>
      </c>
      <c r="AQ109" s="24" t="inlineStr">
        <is>
          <t>Arch</t>
        </is>
      </c>
      <c r="AR109" s="24" t="inlineStr">
        <is>
          <t>Arch</t>
        </is>
      </c>
      <c r="AS109" s="24" t="inlineStr">
        <is>
          <t>Benched gods</t>
        </is>
      </c>
      <c r="AT109" s="24" t="inlineStr">
        <is>
          <t>Benched gods</t>
        </is>
      </c>
      <c r="AU109" s="24" t="inlineStr">
        <is>
          <t>Benched gods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a0f7ac37b457c2381bfc21b22e3bc6a6980778ccf1af81388f0d4c6504389f7d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a0f7ac37b457c2381bfc21b22e3bc6a6980778ccf1af81388f0d4c6504389f7d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2026-08-09T14:01:43.598425Z</t>
        </is>
      </c>
      <c r="BI109" s="24" t="inlineStr">
        <is>
          <t>["same_event","same_team_same_day","same_league_same_day"]</t>
        </is>
      </c>
      <c r="BJ109" s="25" t="n"/>
      <c r="BK109" s="26" t="n">
        <v>-127</v>
      </c>
      <c r="BL109" s="27" t="n">
        <v>1.787402</v>
      </c>
      <c r="BM109" s="28" t="n">
        <v>0.5594710000000001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inlineStr">
        <is>
          <t>esports market settled to a non-binary price (forfeit/postponement per market rules)</t>
        </is>
      </c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</row>
    <row r="110" ht="36" customHeight="1">
      <c r="A110" s="24" t="inlineStr">
        <is>
          <t>86e2069ca98c47ca</t>
        </is>
      </c>
      <c r="B110" s="24" t="inlineStr">
        <is>
          <t>2026-08-09T14:01:57.024711Z</t>
        </is>
      </c>
      <c r="C110" s="24" t="inlineStr">
        <is>
          <t>2026-08-09T17:00:00Z</t>
        </is>
      </c>
      <c r="D110" s="24" t="inlineStr">
        <is>
          <t>76114</t>
        </is>
      </c>
      <c r="E110" s="24" t="inlineStr">
        <is>
          <t>CS2</t>
        </is>
      </c>
      <c r="F110" s="24" t="inlineStr">
        <is>
          <t>Procyon Gaming</t>
        </is>
      </c>
      <c r="G110" s="24" t="inlineStr">
        <is>
          <t>Grêmio Esports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117</v>
      </c>
      <c r="M110" s="27" t="n">
        <v>2.17</v>
      </c>
      <c r="N110" s="28" t="n">
        <v>0.460829</v>
      </c>
      <c r="O110" s="28" t="n">
        <v>0.569705</v>
      </c>
      <c r="P110" s="28" t="n"/>
      <c r="Q110" s="28" t="n">
        <v>0.108876</v>
      </c>
      <c r="R110" s="26" t="n">
        <v>74</v>
      </c>
      <c r="S110" s="29" t="n">
        <v>1.25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117</v>
      </c>
      <c r="AA110" s="28" t="n">
        <v>0.46</v>
      </c>
      <c r="AB110" s="28" t="n">
        <v>-0.000829</v>
      </c>
      <c r="AC110" s="30" t="n">
        <v>1.4625</v>
      </c>
      <c r="AD110" s="24" t="inlineStr">
        <is>
          <t>2026-08-09T20:25:14.609684Z</t>
        </is>
      </c>
      <c r="AE110" s="31" t="inlineStr">
        <is>
          <t>Neutral Elo baseline; executable ask 0.4600 (market_slug=aec-cs2-ger-pcy-2026-08-09).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Procyon Gaming</t>
        </is>
      </c>
      <c r="AQ110" s="24" t="inlineStr">
        <is>
          <t>Procyon Gaming</t>
        </is>
      </c>
      <c r="AR110" s="24" t="inlineStr">
        <is>
          <t>Procyon Gaming</t>
        </is>
      </c>
      <c r="AS110" s="24" t="inlineStr">
        <is>
          <t>Grêmio Esports</t>
        </is>
      </c>
      <c r="AT110" s="24" t="inlineStr">
        <is>
          <t>Grêmio Esports</t>
        </is>
      </c>
      <c r="AU110" s="24" t="inlineStr">
        <is>
          <t>Grêmio Esports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a0f7ac37b457c2381bfc21b22e3bc6a6980778ccf1af81388f0d4c6504389f7d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a0f7ac37b457c2381bfc21b22e3bc6a6980778ccf1af81388f0d4c6504389f7d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2026-08-09T14:01:44.180477Z</t>
        </is>
      </c>
      <c r="BI110" s="24" t="inlineStr">
        <is>
          <t>["same_event","same_team_same_day","same_league_same_day"]</t>
        </is>
      </c>
      <c r="BJ110" s="25" t="n"/>
      <c r="BK110" s="26" t="n">
        <v>117</v>
      </c>
      <c r="BL110" s="27" t="n">
        <v>2.17</v>
      </c>
      <c r="BM110" s="28" t="n">
        <v>0.460829</v>
      </c>
      <c r="BN110" s="28" t="n"/>
      <c r="BO110" s="28" t="n"/>
      <c r="BP110" s="25" t="n"/>
      <c r="BQ110" s="27" t="n">
        <v>2.17</v>
      </c>
      <c r="BR110" s="28" t="n">
        <v>0.46</v>
      </c>
      <c r="BS110" s="28" t="n"/>
      <c r="BT110" s="28" t="n"/>
      <c r="BU110" s="25" t="n"/>
      <c r="BV110" s="29" t="n"/>
      <c r="BW110" s="24" t="n"/>
      <c r="BX110" s="30" t="n">
        <v>1</v>
      </c>
      <c r="BY110" s="27" t="n">
        <v>0.91</v>
      </c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d620f72d892e4dfb</t>
        </is>
      </c>
      <c r="B111" s="24" t="inlineStr">
        <is>
          <t>2026-08-09T17:08:22.802160Z</t>
        </is>
      </c>
      <c r="C111" s="24" t="inlineStr">
        <is>
          <t>2026-08-09T18:30:00Z</t>
        </is>
      </c>
      <c r="D111" s="24" t="inlineStr">
        <is>
          <t>71383</t>
        </is>
      </c>
      <c r="E111" s="24" t="inlineStr">
        <is>
          <t>CS2</t>
        </is>
      </c>
      <c r="F111" s="24" t="inlineStr">
        <is>
          <t>Donstu Esports</t>
        </is>
      </c>
      <c r="G111" s="24" t="inlineStr">
        <is>
          <t>Wave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186</v>
      </c>
      <c r="M111" s="27" t="n">
        <v>2.86</v>
      </c>
      <c r="N111" s="28" t="n">
        <v>0.34965</v>
      </c>
      <c r="O111" s="28" t="n">
        <v>0.50085</v>
      </c>
      <c r="P111" s="28" t="n"/>
      <c r="Q111" s="28" t="n">
        <v>0.1512</v>
      </c>
      <c r="R111" s="26" t="n">
        <v>96</v>
      </c>
      <c r="S111" s="29" t="n">
        <v>1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186</v>
      </c>
      <c r="AA111" s="28" t="n">
        <v>0.35</v>
      </c>
      <c r="AB111" s="28" t="n">
        <v>0.00035</v>
      </c>
      <c r="AC111" s="30" t="n">
        <v>1.86</v>
      </c>
      <c r="AD111" s="24" t="inlineStr">
        <is>
          <t>2026-08-11T19:53:43.349831Z</t>
        </is>
      </c>
      <c r="AE111" s="31" t="inlineStr">
        <is>
          <t>Neutral Elo baseline; executable ask 0.3500 (market_slug=aec-cs2-wave-dnt-2026-08-04).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Donstu Esports</t>
        </is>
      </c>
      <c r="AQ111" s="24" t="inlineStr">
        <is>
          <t>Donstu Esports</t>
        </is>
      </c>
      <c r="AR111" s="24" t="inlineStr">
        <is>
          <t>Donstu Esports</t>
        </is>
      </c>
      <c r="AS111" s="24" t="inlineStr">
        <is>
          <t>Wave Esports</t>
        </is>
      </c>
      <c r="AT111" s="24" t="inlineStr">
        <is>
          <t>Wave Esports</t>
        </is>
      </c>
      <c r="AU111" s="24" t="inlineStr">
        <is>
          <t>Wave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65f153163813a5a3d165b3e6ef69398268558cff292613ba12631dbd5bd9e82c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65f153163813a5a3d165b3e6ef69398268558cff292613ba12631dbd5bd9e82c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2026-08-09T17:08:11.808217Z</t>
        </is>
      </c>
      <c r="BI111" s="24" t="inlineStr">
        <is>
          <t>["same_event","same_team_same_day","same_league_same_day"]</t>
        </is>
      </c>
      <c r="BJ111" s="25" t="n"/>
      <c r="BK111" s="26" t="n">
        <v>186</v>
      </c>
      <c r="BL111" s="27" t="n">
        <v>2.86</v>
      </c>
      <c r="BM111" s="28" t="n">
        <v>0.34965</v>
      </c>
      <c r="BN111" s="28" t="n"/>
      <c r="BO111" s="28" t="n"/>
      <c r="BP111" s="25" t="n"/>
      <c r="BQ111" s="27" t="n">
        <v>2.86</v>
      </c>
      <c r="BR111" s="28" t="n">
        <v>0.35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0.91</v>
      </c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</row>
    <row r="112" ht="36" customHeight="1">
      <c r="A112" s="24" t="inlineStr">
        <is>
          <t>0f3d216c89364539</t>
        </is>
      </c>
      <c r="B112" s="24" t="inlineStr">
        <is>
          <t>2026-08-09T17:08:22.802160Z</t>
        </is>
      </c>
      <c r="C112" s="24" t="inlineStr">
        <is>
          <t>2026-08-09T18:30:00Z</t>
        </is>
      </c>
      <c r="D112" s="24" t="inlineStr">
        <is>
          <t>76019</t>
        </is>
      </c>
      <c r="E112" s="24" t="inlineStr">
        <is>
          <t>CS2</t>
        </is>
      </c>
      <c r="F112" s="24" t="inlineStr">
        <is>
          <t>Basement Bobs</t>
        </is>
      </c>
      <c r="G112" s="24" t="inlineStr">
        <is>
          <t>Drama eSports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-203</v>
      </c>
      <c r="M112" s="27" t="n">
        <v>1.492611</v>
      </c>
      <c r="N112" s="28" t="n">
        <v>0.669967</v>
      </c>
      <c r="O112" s="28" t="n">
        <v>0.514196</v>
      </c>
      <c r="P112" s="28" t="n"/>
      <c r="Q112" s="28" t="n">
        <v>-0.155771</v>
      </c>
      <c r="R112" s="26" t="n">
        <v>0</v>
      </c>
      <c r="S112" s="29" t="n">
        <v>1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push</t>
        </is>
      </c>
      <c r="W112" s="26" t="n"/>
      <c r="X112" s="26" t="n"/>
      <c r="Y112" s="25" t="n"/>
      <c r="Z112" s="26" t="n"/>
      <c r="AA112" s="28" t="n"/>
      <c r="AB112" s="28" t="n"/>
      <c r="AC112" s="30" t="n">
        <v>0</v>
      </c>
      <c r="AD112" s="24" t="inlineStr">
        <is>
          <t>2026-08-09T23:30:21.825685Z</t>
        </is>
      </c>
      <c r="AE112" s="31" t="inlineStr">
        <is>
          <t>Neutral Elo baseline; executable ask 0.6700 (market_slug=aec-cs2-drama-bba-2026-08-09).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NO_CALL_WINNER_OVERVALUED</t>
        </is>
      </c>
      <c r="AP112" s="24" t="inlineStr">
        <is>
          <t>Basement Bobs</t>
        </is>
      </c>
      <c r="AQ112" s="24" t="inlineStr">
        <is>
          <t>Basement Bobs</t>
        </is>
      </c>
      <c r="AR112" s="24" t="inlineStr">
        <is>
          <t>Basement Bobs</t>
        </is>
      </c>
      <c r="AS112" s="24" t="inlineStr">
        <is>
          <t>Drama eSports</t>
        </is>
      </c>
      <c r="AT112" s="24" t="inlineStr">
        <is>
          <t>Drama eSports</t>
        </is>
      </c>
      <c r="AU112" s="24" t="inlineStr">
        <is>
          <t>Drama eSports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65f153163813a5a3d165b3e6ef69398268558cff292613ba12631dbd5bd9e82c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65f153163813a5a3d165b3e6ef69398268558cff292613ba12631dbd5bd9e82c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2026-08-09T17:08:12.425432Z</t>
        </is>
      </c>
      <c r="BI112" s="24" t="inlineStr">
        <is>
          <t>["same_event","same_team_same_day","same_league_same_day"]</t>
        </is>
      </c>
      <c r="BJ112" s="25" t="n"/>
      <c r="BK112" s="26" t="n">
        <v>-203</v>
      </c>
      <c r="BL112" s="27" t="n">
        <v>1.492611</v>
      </c>
      <c r="BM112" s="28" t="n">
        <v>0.669967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inlineStr">
        <is>
          <t>esports market settled to a non-binary price (forfeit/postponement per market rules)</t>
        </is>
      </c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c2c018cd1b6b4179</t>
        </is>
      </c>
      <c r="B113" s="24" t="inlineStr">
        <is>
          <t>2026-08-09T17:08:22.802160Z</t>
        </is>
      </c>
      <c r="C113" s="24" t="inlineStr">
        <is>
          <t>2026-08-09T18:30:00Z</t>
        </is>
      </c>
      <c r="D113" s="24" t="inlineStr">
        <is>
          <t>76018</t>
        </is>
      </c>
      <c r="E113" s="24" t="inlineStr">
        <is>
          <t>CS2</t>
        </is>
      </c>
      <c r="F113" s="24" t="inlineStr">
        <is>
          <t>banda chuya</t>
        </is>
      </c>
      <c r="G113" s="24" t="inlineStr">
        <is>
          <t>GoldRashers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0.528377</v>
      </c>
      <c r="P113" s="28" t="n"/>
      <c r="Q113" s="28" t="n">
        <v>-0.010794</v>
      </c>
      <c r="R113" s="26" t="n">
        <v>15</v>
      </c>
      <c r="S113" s="29" t="n">
        <v>1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0.8547</v>
      </c>
      <c r="AD113" s="24" t="inlineStr">
        <is>
          <t>2026-08-09T20:25:19.078090Z</t>
        </is>
      </c>
      <c r="AE113" s="31" t="inlineStr">
        <is>
          <t>Neutral Elo baseline; executable ask 0.5400 (market_slug=aec-cs2-gol-bcan-2026-08-09).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NO_CALL_WINNER_OVERVALUED</t>
        </is>
      </c>
      <c r="AP113" s="24" t="inlineStr">
        <is>
          <t>banda chuya</t>
        </is>
      </c>
      <c r="AQ113" s="24" t="inlineStr">
        <is>
          <t>banda chuya</t>
        </is>
      </c>
      <c r="AR113" s="24" t="inlineStr">
        <is>
          <t>banda chuya</t>
        </is>
      </c>
      <c r="AS113" s="24" t="inlineStr">
        <is>
          <t>GoldRashers</t>
        </is>
      </c>
      <c r="AT113" s="24" t="inlineStr">
        <is>
          <t>GoldRashers</t>
        </is>
      </c>
      <c r="AU113" s="24" t="inlineStr">
        <is>
          <t>GoldRashers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65f153163813a5a3d165b3e6ef69398268558cff292613ba12631dbd5bd9e82c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65f153163813a5a3d165b3e6ef69398268558cff292613ba12631dbd5bd9e82c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2026-08-09T17:08:12.926731Z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0.91</v>
      </c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</row>
    <row r="114" ht="36" customHeight="1">
      <c r="A114" s="24" t="inlineStr">
        <is>
          <t>30916ee3a7dc406f</t>
        </is>
      </c>
      <c r="B114" s="24" t="inlineStr">
        <is>
          <t>2026-08-09T17:08:22.802160Z</t>
        </is>
      </c>
      <c r="C114" s="24" t="inlineStr">
        <is>
          <t>2026-08-09T19:00:00Z</t>
        </is>
      </c>
      <c r="D114" s="24" t="inlineStr">
        <is>
          <t>76021</t>
        </is>
      </c>
      <c r="E114" s="24" t="inlineStr">
        <is>
          <t>CS2</t>
        </is>
      </c>
      <c r="F114" s="24" t="inlineStr">
        <is>
          <t xml:space="preserve"> Phantom Academy</t>
        </is>
      </c>
      <c r="G114" s="24" t="inlineStr">
        <is>
          <t>Dark Moon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-144</v>
      </c>
      <c r="M114" s="27" t="n">
        <v>1.694444</v>
      </c>
      <c r="N114" s="28" t="n">
        <v>0.590164</v>
      </c>
      <c r="O114" s="28" t="n">
        <v>0.5579190000000001</v>
      </c>
      <c r="P114" s="28" t="n"/>
      <c r="Q114" s="28" t="n">
        <v>-0.032245</v>
      </c>
      <c r="R114" s="26" t="n">
        <v>4</v>
      </c>
      <c r="S114" s="29" t="n">
        <v>1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1</v>
      </c>
      <c r="X114" s="26" t="n">
        <v>0</v>
      </c>
      <c r="Y114" s="25" t="n"/>
      <c r="Z114" s="26" t="n">
        <v>-144</v>
      </c>
      <c r="AA114" s="28" t="n">
        <v>0.59</v>
      </c>
      <c r="AB114" s="28" t="n">
        <v>-0.000164</v>
      </c>
      <c r="AC114" s="30" t="n">
        <v>0.6944</v>
      </c>
      <c r="AD114" s="24" t="inlineStr">
        <is>
          <t>2026-08-09T20:25:21.231313Z</t>
        </is>
      </c>
      <c r="AE114" s="31" t="inlineStr">
        <is>
          <t>Neutral Elo baseline; executable ask 0.5900 (market_slug=aec-cs2-dm-phtmac-2026-08-09).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NO_CALL_WINNER_OVERVALUED</t>
        </is>
      </c>
      <c r="AP114" s="24" t="inlineStr">
        <is>
          <t xml:space="preserve"> Phantom Academy</t>
        </is>
      </c>
      <c r="AQ114" s="24" t="inlineStr">
        <is>
          <t xml:space="preserve"> Phantom Academy</t>
        </is>
      </c>
      <c r="AR114" s="24" t="inlineStr">
        <is>
          <t xml:space="preserve"> Phantom Academy</t>
        </is>
      </c>
      <c r="AS114" s="24" t="inlineStr">
        <is>
          <t>Dark Moon</t>
        </is>
      </c>
      <c r="AT114" s="24" t="inlineStr">
        <is>
          <t>Dark Moon</t>
        </is>
      </c>
      <c r="AU114" s="24" t="inlineStr">
        <is>
          <t>Dark Moon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65f153163813a5a3d165b3e6ef69398268558cff292613ba12631dbd5bd9e82c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65f153163813a5a3d165b3e6ef69398268558cff292613ba12631dbd5bd9e82c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2026-08-09T17:08:13.509326Z</t>
        </is>
      </c>
      <c r="BI114" s="24" t="inlineStr">
        <is>
          <t>["same_event","same_team_same_day","same_league_same_day"]</t>
        </is>
      </c>
      <c r="BJ114" s="25" t="n"/>
      <c r="BK114" s="26" t="n">
        <v>-144</v>
      </c>
      <c r="BL114" s="27" t="n">
        <v>1.694444</v>
      </c>
      <c r="BM114" s="28" t="n">
        <v>0.590164</v>
      </c>
      <c r="BN114" s="28" t="n"/>
      <c r="BO114" s="28" t="n"/>
      <c r="BP114" s="25" t="n"/>
      <c r="BQ114" s="27" t="n">
        <v>1.694444</v>
      </c>
      <c r="BR114" s="28" t="n">
        <v>0.59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0.91</v>
      </c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ff298229a0e646dc</t>
        </is>
      </c>
      <c r="B115" s="24" t="inlineStr">
        <is>
          <t>2026-08-09T20:28:38.791633Z</t>
        </is>
      </c>
      <c r="C115" s="24" t="inlineStr">
        <is>
          <t>2026-08-09T21:00:00Z</t>
        </is>
      </c>
      <c r="D115" s="24" t="inlineStr">
        <is>
          <t>76168</t>
        </is>
      </c>
      <c r="E115" s="24" t="inlineStr">
        <is>
          <t>CS2</t>
        </is>
      </c>
      <c r="F115" s="24" t="inlineStr">
        <is>
          <t>Patins da Ferrari</t>
        </is>
      </c>
      <c r="G115" s="24" t="inlineStr">
        <is>
          <t>ALKA GAMING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144</v>
      </c>
      <c r="M115" s="27" t="n">
        <v>2.44</v>
      </c>
      <c r="N115" s="28" t="n">
        <v>0.409836</v>
      </c>
      <c r="O115" s="28" t="n">
        <v>0.552655</v>
      </c>
      <c r="P115" s="28" t="n"/>
      <c r="Q115" s="28" t="n">
        <v>0.142819</v>
      </c>
      <c r="R115" s="26" t="n">
        <v>91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win</t>
        </is>
      </c>
      <c r="W115" s="26" t="n">
        <v>0</v>
      </c>
      <c r="X115" s="26" t="n">
        <v>1</v>
      </c>
      <c r="Y115" s="25" t="n"/>
      <c r="Z115" s="26" t="n">
        <v>144</v>
      </c>
      <c r="AA115" s="28" t="n">
        <v>0.41</v>
      </c>
      <c r="AB115" s="28" t="n">
        <v>0.000164</v>
      </c>
      <c r="AC115" s="30" t="n">
        <v>1.44</v>
      </c>
      <c r="AD115" s="24" t="inlineStr">
        <is>
          <t>2026-08-10T02:34:26.439188Z</t>
        </is>
      </c>
      <c r="AE115" s="31" t="inlineStr">
        <is>
          <t>Neutral Elo baseline; executable ask 0.4100 (market_slug=aec-cs2-alka-pdaf-2026-08-09).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Patins da Ferrari</t>
        </is>
      </c>
      <c r="AQ115" s="24" t="inlineStr">
        <is>
          <t>Patins da Ferrari</t>
        </is>
      </c>
      <c r="AR115" s="24" t="inlineStr">
        <is>
          <t>Patins da Ferrari</t>
        </is>
      </c>
      <c r="AS115" s="24" t="inlineStr">
        <is>
          <t>ALKA GAMING</t>
        </is>
      </c>
      <c r="AT115" s="24" t="inlineStr">
        <is>
          <t>ALKA GAMING</t>
        </is>
      </c>
      <c r="AU115" s="24" t="inlineStr">
        <is>
          <t>ALKA GAMING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3db9d552fe4ff739f46916493cd664ca725671912ee03eb212cd96bdcfa1ef50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3db9d552fe4ff739f46916493cd664ca725671912ee03eb212cd96bdcfa1ef50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2026-08-09T20:28:31.031517Z</t>
        </is>
      </c>
      <c r="BI115" s="24" t="inlineStr">
        <is>
          <t>["same_event","same_team_same_day","same_league_same_day"]</t>
        </is>
      </c>
      <c r="BJ115" s="25" t="n"/>
      <c r="BK115" s="26" t="n">
        <v>144</v>
      </c>
      <c r="BL115" s="27" t="n">
        <v>2.44</v>
      </c>
      <c r="BM115" s="28" t="n">
        <v>0.409836</v>
      </c>
      <c r="BN115" s="28" t="n"/>
      <c r="BO115" s="28" t="n"/>
      <c r="BP115" s="25" t="n"/>
      <c r="BQ115" s="27" t="n">
        <v>2.44</v>
      </c>
      <c r="BR115" s="28" t="n">
        <v>0.41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0.91</v>
      </c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2d346162c4744e4c</t>
        </is>
      </c>
      <c r="B116" s="24" t="inlineStr">
        <is>
          <t>2026-08-09T20:28:38.791633Z</t>
        </is>
      </c>
      <c r="C116" s="24" t="inlineStr">
        <is>
          <t>2026-08-09T21:00:00Z</t>
        </is>
      </c>
      <c r="D116" s="24" t="inlineStr">
        <is>
          <t>76117</t>
        </is>
      </c>
      <c r="E116" s="24" t="inlineStr">
        <is>
          <t>CS2</t>
        </is>
      </c>
      <c r="F116" s="24" t="inlineStr">
        <is>
          <t>MEIA NOITE</t>
        </is>
      </c>
      <c r="G116" s="24" t="inlineStr">
        <is>
          <t>METANOIA WOLVES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203</v>
      </c>
      <c r="M116" s="27" t="n">
        <v>3.03</v>
      </c>
      <c r="N116" s="28" t="n">
        <v>0.330033</v>
      </c>
      <c r="O116" s="28" t="n">
        <v>0.506553</v>
      </c>
      <c r="P116" s="28" t="n"/>
      <c r="Q116" s="28" t="n">
        <v>0.17652</v>
      </c>
      <c r="R116" s="26" t="n">
        <v>100</v>
      </c>
      <c r="S116" s="29" t="n">
        <v>1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203</v>
      </c>
      <c r="AA116" s="28" t="n">
        <v>0.33</v>
      </c>
      <c r="AB116" s="28" t="n">
        <v>-3.3e-05</v>
      </c>
      <c r="AC116" s="30" t="n">
        <v>-1</v>
      </c>
      <c r="AD116" s="24" t="inlineStr">
        <is>
          <t>2026-08-09T23:30:25.038986Z</t>
        </is>
      </c>
      <c r="AE116" s="31" t="inlineStr">
        <is>
          <t>Neutral Elo baseline; executable ask 0.3300 (market_slug=aec-cs2-mw-mne-2026-08-09).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MEIA NOITE</t>
        </is>
      </c>
      <c r="AQ116" s="24" t="inlineStr">
        <is>
          <t>MEIA NOITE</t>
        </is>
      </c>
      <c r="AR116" s="24" t="inlineStr">
        <is>
          <t>MEIA NOITE</t>
        </is>
      </c>
      <c r="AS116" s="24" t="inlineStr">
        <is>
          <t>METANOIA WOLVES</t>
        </is>
      </c>
      <c r="AT116" s="24" t="inlineStr">
        <is>
          <t>METANOIA WOLVES</t>
        </is>
      </c>
      <c r="AU116" s="24" t="inlineStr">
        <is>
          <t>METANOIA WOLVES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3db9d552fe4ff739f46916493cd664ca725671912ee03eb212cd96bdcfa1ef50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3db9d552fe4ff739f46916493cd664ca725671912ee03eb212cd96bdcfa1ef50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2026-08-09T20:28:32.610249Z</t>
        </is>
      </c>
      <c r="BI116" s="24" t="inlineStr">
        <is>
          <t>["same_event","same_team_same_day","same_league_same_day"]</t>
        </is>
      </c>
      <c r="BJ116" s="25" t="n"/>
      <c r="BK116" s="26" t="n">
        <v>203</v>
      </c>
      <c r="BL116" s="27" t="n">
        <v>3.03</v>
      </c>
      <c r="BM116" s="28" t="n">
        <v>0.330033</v>
      </c>
      <c r="BN116" s="28" t="n"/>
      <c r="BO116" s="28" t="n"/>
      <c r="BP116" s="25" t="n"/>
      <c r="BQ116" s="27" t="n">
        <v>3.03</v>
      </c>
      <c r="BR116" s="28" t="n">
        <v>0.33</v>
      </c>
      <c r="BS116" s="28" t="n"/>
      <c r="BT116" s="28" t="n"/>
      <c r="BU116" s="25" t="n"/>
      <c r="BV116" s="29" t="n"/>
      <c r="BW116" s="24" t="n"/>
      <c r="BX116" s="30" t="n">
        <v>1</v>
      </c>
      <c r="BY116" s="27" t="n">
        <v>-1</v>
      </c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</row>
    <row r="117" ht="36" customHeight="1">
      <c r="A117" s="24" t="inlineStr">
        <is>
          <t>269e501a4d4c4687</t>
        </is>
      </c>
      <c r="B117" s="24" t="inlineStr">
        <is>
          <t>2026-08-09T20:28:38.791633Z</t>
        </is>
      </c>
      <c r="C117" s="24" t="inlineStr">
        <is>
          <t>2026-08-09T23:00:00Z</t>
        </is>
      </c>
      <c r="D117" s="24" t="inlineStr">
        <is>
          <t>76118</t>
        </is>
      </c>
      <c r="E117" s="24" t="inlineStr">
        <is>
          <t>CS2</t>
        </is>
      </c>
      <c r="F117" s="24" t="inlineStr">
        <is>
          <t>Keyd</t>
        </is>
      </c>
      <c r="G117" s="24" t="inlineStr">
        <is>
          <t>Galorys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-127</v>
      </c>
      <c r="M117" s="27" t="n">
        <v>1.787402</v>
      </c>
      <c r="N117" s="28" t="n">
        <v>0.5594710000000001</v>
      </c>
      <c r="O117" s="28" t="n">
        <v>0.602035</v>
      </c>
      <c r="P117" s="28" t="n"/>
      <c r="Q117" s="28" t="n">
        <v>0.042564</v>
      </c>
      <c r="R117" s="26" t="n">
        <v>41</v>
      </c>
      <c r="S117" s="29" t="n">
        <v>1.25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-127</v>
      </c>
      <c r="AA117" s="28" t="n">
        <v>0.5600000000000001</v>
      </c>
      <c r="AB117" s="28" t="n">
        <v>0.000529</v>
      </c>
      <c r="AC117" s="30" t="n">
        <v>0.9843</v>
      </c>
      <c r="AD117" s="24" t="inlineStr">
        <is>
          <t>2026-08-10T02:34:28.692788Z</t>
        </is>
      </c>
      <c r="AE117" s="31" t="inlineStr">
        <is>
          <t>Neutral Elo baseline; executable ask 0.5600 (market_slug=aec-cs2-gls-keyd-2026-08-09).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Keyd</t>
        </is>
      </c>
      <c r="AQ117" s="24" t="inlineStr">
        <is>
          <t>Keyd</t>
        </is>
      </c>
      <c r="AR117" s="24" t="inlineStr">
        <is>
          <t>Keyd</t>
        </is>
      </c>
      <c r="AS117" s="24" t="inlineStr">
        <is>
          <t>Galorys</t>
        </is>
      </c>
      <c r="AT117" s="24" t="inlineStr">
        <is>
          <t>Galorys</t>
        </is>
      </c>
      <c r="AU117" s="24" t="inlineStr">
        <is>
          <t>Galorys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3db9d552fe4ff739f46916493cd664ca725671912ee03eb212cd96bdcfa1ef50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3db9d552fe4ff739f46916493cd664ca725671912ee03eb212cd96bdcfa1ef50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2026-08-09T20:28:33.151856Z</t>
        </is>
      </c>
      <c r="BI117" s="24" t="inlineStr">
        <is>
          <t>["same_event","same_team_same_day","same_league_same_day"]</t>
        </is>
      </c>
      <c r="BJ117" s="25" t="n"/>
      <c r="BK117" s="26" t="n">
        <v>-127</v>
      </c>
      <c r="BL117" s="27" t="n">
        <v>1.787402</v>
      </c>
      <c r="BM117" s="28" t="n">
        <v>0.5594710000000001</v>
      </c>
      <c r="BN117" s="28" t="n"/>
      <c r="BO117" s="28" t="n"/>
      <c r="BP117" s="25" t="n"/>
      <c r="BQ117" s="27" t="n">
        <v>1.787402</v>
      </c>
      <c r="BR117" s="28" t="n">
        <v>0.5600000000000001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0.91</v>
      </c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</row>
    <row r="118" ht="36" customHeight="1">
      <c r="A118" s="24" t="inlineStr">
        <is>
          <t>00cb660bab524796</t>
        </is>
      </c>
      <c r="B118" s="24" t="inlineStr">
        <is>
          <t>2026-08-09T23:33:39.238297Z</t>
        </is>
      </c>
      <c r="C118" s="24" t="inlineStr">
        <is>
          <t>2026-08-09T23:45:00Z</t>
        </is>
      </c>
      <c r="D118" s="24" t="inlineStr">
        <is>
          <t>76169</t>
        </is>
      </c>
      <c r="E118" s="24" t="inlineStr">
        <is>
          <t>CS2</t>
        </is>
      </c>
      <c r="F118" s="24" t="inlineStr">
        <is>
          <t>QUINTESSÊNCIA</t>
        </is>
      </c>
      <c r="G118" s="24" t="inlineStr">
        <is>
          <t>Grêmio Esports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138</v>
      </c>
      <c r="M118" s="27" t="n">
        <v>2.38</v>
      </c>
      <c r="N118" s="28" t="n">
        <v>0.420168</v>
      </c>
      <c r="O118" s="28" t="n">
        <v>0.502761</v>
      </c>
      <c r="P118" s="28" t="n"/>
      <c r="Q118" s="28" t="n">
        <v>0.082593</v>
      </c>
      <c r="R118" s="26" t="n">
        <v>61</v>
      </c>
      <c r="S118" s="29" t="n">
        <v>1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138</v>
      </c>
      <c r="AA118" s="28" t="n">
        <v>0.42</v>
      </c>
      <c r="AB118" s="28" t="n">
        <v>-0.000168</v>
      </c>
      <c r="AC118" s="30" t="n">
        <v>1.38</v>
      </c>
      <c r="AD118" s="24" t="inlineStr">
        <is>
          <t>2026-08-10T02:34:30.864472Z</t>
        </is>
      </c>
      <c r="AE118" s="31" t="inlineStr">
        <is>
          <t>Neutral Elo baseline; executable ask 0.4200 (market_slug=aec-cs2-ger-quin-2026-08-09).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QUINTESSÊNCIA</t>
        </is>
      </c>
      <c r="AQ118" s="24" t="inlineStr">
        <is>
          <t>QUINTESSÊNCIA</t>
        </is>
      </c>
      <c r="AR118" s="24" t="inlineStr">
        <is>
          <t>QUINTESSÊNCIA</t>
        </is>
      </c>
      <c r="AS118" s="24" t="inlineStr">
        <is>
          <t>Grêmio Esports</t>
        </is>
      </c>
      <c r="AT118" s="24" t="inlineStr">
        <is>
          <t>Grêmio Esports</t>
        </is>
      </c>
      <c r="AU118" s="24" t="inlineStr">
        <is>
          <t>Grêmio Esports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3cf25476640c3bcaf916d783971372e0e59763e096417bc3026d1e24af636d25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3cf25476640c3bcaf916d783971372e0e59763e096417bc3026d1e24af636d25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2026-08-09T23:33:32.824806Z</t>
        </is>
      </c>
      <c r="BI118" s="24" t="inlineStr">
        <is>
          <t>["same_event","same_team_same_day","same_league_same_day"]</t>
        </is>
      </c>
      <c r="BJ118" s="25" t="n"/>
      <c r="BK118" s="26" t="n">
        <v>138</v>
      </c>
      <c r="BL118" s="27" t="n">
        <v>2.38</v>
      </c>
      <c r="BM118" s="28" t="n">
        <v>0.420168</v>
      </c>
      <c r="BN118" s="28" t="n"/>
      <c r="BO118" s="28" t="n"/>
      <c r="BP118" s="25" t="n"/>
      <c r="BQ118" s="27" t="n">
        <v>2.38</v>
      </c>
      <c r="BR118" s="28" t="n">
        <v>0.42</v>
      </c>
      <c r="BS118" s="28" t="n"/>
      <c r="BT118" s="28" t="n"/>
      <c r="BU118" s="25" t="n"/>
      <c r="BV118" s="29" t="n"/>
      <c r="BW118" s="24" t="n"/>
      <c r="BX118" s="30" t="n">
        <v>1</v>
      </c>
      <c r="BY118" s="27" t="n">
        <v>0.91</v>
      </c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1322709e0a9e46e4</t>
        </is>
      </c>
      <c r="B119" s="24" t="inlineStr">
        <is>
          <t>2026-08-10T05:41:21.775960Z</t>
        </is>
      </c>
      <c r="C119" s="24" t="inlineStr">
        <is>
          <t>2026-08-10T08:00:00Z</t>
        </is>
      </c>
      <c r="D119" s="24" t="inlineStr">
        <is>
          <t>75550</t>
        </is>
      </c>
      <c r="E119" s="24" t="inlineStr">
        <is>
          <t>CS2</t>
        </is>
      </c>
      <c r="F119" s="24" t="inlineStr">
        <is>
          <t xml:space="preserve"> Phantom Academy</t>
        </is>
      </c>
      <c r="G119" s="24" t="inlineStr">
        <is>
          <t>VP.Prodigy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-163</v>
      </c>
      <c r="M119" s="27" t="n">
        <v>1.613497</v>
      </c>
      <c r="N119" s="28" t="n">
        <v>0.619772</v>
      </c>
      <c r="O119" s="28" t="n">
        <v>0.5578</v>
      </c>
      <c r="P119" s="28" t="n"/>
      <c r="Q119" s="28" t="n">
        <v>-0.061972</v>
      </c>
      <c r="R119" s="26" t="n">
        <v>0</v>
      </c>
      <c r="S119" s="29" t="n">
        <v>1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push</t>
        </is>
      </c>
      <c r="W119" s="26" t="n"/>
      <c r="X119" s="26" t="n"/>
      <c r="Y119" s="25" t="n"/>
      <c r="Z119" s="26" t="n"/>
      <c r="AA119" s="28" t="n"/>
      <c r="AB119" s="28" t="n"/>
      <c r="AC119" s="30" t="n">
        <v>0</v>
      </c>
      <c r="AD119" s="24" t="inlineStr">
        <is>
          <t>2026-08-11T17:21:15.791385Z</t>
        </is>
      </c>
      <c r="AE119" s="31" t="inlineStr">
        <is>
          <t>Neutral Elo baseline; executable ask 0.6200 (market_slug=aec-cs2-vpp-phtmac-2026-08-10).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 xml:space="preserve"> Phantom Academy</t>
        </is>
      </c>
      <c r="AQ119" s="24" t="inlineStr">
        <is>
          <t xml:space="preserve"> Phantom Academy</t>
        </is>
      </c>
      <c r="AR119" s="24" t="inlineStr">
        <is>
          <t xml:space="preserve"> Phantom Academy</t>
        </is>
      </c>
      <c r="AS119" s="24" t="inlineStr">
        <is>
          <t>VP.Prodigy</t>
        </is>
      </c>
      <c r="AT119" s="24" t="inlineStr">
        <is>
          <t>VP.Prodigy</t>
        </is>
      </c>
      <c r="AU119" s="24" t="inlineStr">
        <is>
          <t>VP.Prodigy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3569a417252267f689df4d3a2d87b3e262d9c1b451b5034c48918b722ab2e713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3569a417252267f689df4d3a2d87b3e262d9c1b451b5034c48918b722ab2e713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2026-08-10T05:41:11.810366Z</t>
        </is>
      </c>
      <c r="BI119" s="24" t="inlineStr">
        <is>
          <t>["same_event","same_team_same_day","same_league_same_day"]</t>
        </is>
      </c>
      <c r="BJ119" s="25" t="n"/>
      <c r="BK119" s="26" t="n">
        <v>-163</v>
      </c>
      <c r="BL119" s="27" t="n">
        <v>1.613497</v>
      </c>
      <c r="BM119" s="28" t="n">
        <v>0.619772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inlineStr">
        <is>
          <t>esports market settled to a non-binary price (forfeit/postponement per market rules)</t>
        </is>
      </c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c931a6e7c2af407c</t>
        </is>
      </c>
      <c r="B120" s="24" t="inlineStr">
        <is>
          <t>2026-08-10T05:41:21.775960Z</t>
        </is>
      </c>
      <c r="C120" s="24" t="inlineStr">
        <is>
          <t>2026-08-10T10:00:00Z</t>
        </is>
      </c>
      <c r="D120" s="24" t="inlineStr">
        <is>
          <t>74395</t>
        </is>
      </c>
      <c r="E120" s="24" t="inlineStr">
        <is>
          <t>CS2</t>
        </is>
      </c>
      <c r="F120" s="24" t="inlineStr">
        <is>
          <t>Abyssal</t>
        </is>
      </c>
      <c r="G120" s="24" t="inlineStr">
        <is>
          <t>Rooster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-170</v>
      </c>
      <c r="M120" s="27" t="n">
        <v>1.588235</v>
      </c>
      <c r="N120" s="28" t="n">
        <v>0.62963</v>
      </c>
      <c r="O120" s="28" t="n">
        <v>0.683552</v>
      </c>
      <c r="P120" s="28" t="n"/>
      <c r="Q120" s="28" t="n">
        <v>0.053922</v>
      </c>
      <c r="R120" s="26" t="n">
        <v>47</v>
      </c>
      <c r="S120" s="29" t="n">
        <v>2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>
        <v>-170</v>
      </c>
      <c r="AA120" s="28" t="n">
        <v>0.63</v>
      </c>
      <c r="AB120" s="28" t="n">
        <v>0.00037</v>
      </c>
      <c r="AC120" s="30" t="n">
        <v>-2</v>
      </c>
      <c r="AD120" s="24" t="inlineStr">
        <is>
          <t>2026-08-11T13:07:24.434287Z</t>
        </is>
      </c>
      <c r="AE120" s="31" t="inlineStr">
        <is>
          <t>Neutral Elo baseline; executable ask 0.6300 (market_slug=aec-cs2-rstr-aby-2026-08-10).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Abyssal</t>
        </is>
      </c>
      <c r="AQ120" s="24" t="inlineStr">
        <is>
          <t>Abyssal</t>
        </is>
      </c>
      <c r="AR120" s="24" t="inlineStr">
        <is>
          <t>Abyssal</t>
        </is>
      </c>
      <c r="AS120" s="24" t="inlineStr">
        <is>
          <t>Rooster</t>
        </is>
      </c>
      <c r="AT120" s="24" t="inlineStr">
        <is>
          <t>Rooster</t>
        </is>
      </c>
      <c r="AU120" s="24" t="inlineStr">
        <is>
          <t>Rooster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3569a417252267f689df4d3a2d87b3e262d9c1b451b5034c48918b722ab2e713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3569a417252267f689df4d3a2d87b3e262d9c1b451b5034c48918b722ab2e713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2026-08-10T05:41:13.718417Z</t>
        </is>
      </c>
      <c r="BI120" s="24" t="inlineStr">
        <is>
          <t>["same_event","same_team_same_day","same_league_same_day"]</t>
        </is>
      </c>
      <c r="BJ120" s="25" t="n"/>
      <c r="BK120" s="26" t="n">
        <v>-170</v>
      </c>
      <c r="BL120" s="27" t="n">
        <v>1.588235</v>
      </c>
      <c r="BM120" s="28" t="n">
        <v>0.62963</v>
      </c>
      <c r="BN120" s="28" t="n"/>
      <c r="BO120" s="28" t="n"/>
      <c r="BP120" s="25" t="n"/>
      <c r="BQ120" s="27" t="n">
        <v>1.588235</v>
      </c>
      <c r="BR120" s="28" t="n">
        <v>0.63</v>
      </c>
      <c r="BS120" s="28" t="n"/>
      <c r="BT120" s="28" t="n"/>
      <c r="BU120" s="25" t="n"/>
      <c r="BV120" s="29" t="n"/>
      <c r="BW120" s="24" t="n"/>
      <c r="BX120" s="30" t="n">
        <v>1</v>
      </c>
      <c r="BY120" s="27" t="n">
        <v>-1</v>
      </c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bc589054adab486d</t>
        </is>
      </c>
      <c r="B121" s="24" t="inlineStr">
        <is>
          <t>2026-08-10T05:41:21.775960Z</t>
        </is>
      </c>
      <c r="C121" s="24" t="inlineStr">
        <is>
          <t>2026-08-10T10:30:00Z</t>
        </is>
      </c>
      <c r="D121" s="24" t="inlineStr">
        <is>
          <t>76242</t>
        </is>
      </c>
      <c r="E121" s="24" t="inlineStr">
        <is>
          <t>CS2</t>
        </is>
      </c>
      <c r="F121" s="24" t="inlineStr">
        <is>
          <t>FaZe Up Next</t>
        </is>
      </c>
      <c r="G121" s="24" t="inlineStr">
        <is>
          <t>EAC Extra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170</v>
      </c>
      <c r="M121" s="27" t="n">
        <v>2.7</v>
      </c>
      <c r="N121" s="28" t="n">
        <v>0.37037</v>
      </c>
      <c r="O121" s="28" t="n">
        <v>0.507344</v>
      </c>
      <c r="P121" s="28" t="n"/>
      <c r="Q121" s="28" t="n">
        <v>0.136974</v>
      </c>
      <c r="R121" s="26" t="n">
        <v>88</v>
      </c>
      <c r="S121" s="29" t="n">
        <v>1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170</v>
      </c>
      <c r="AA121" s="28" t="n">
        <v>0.37</v>
      </c>
      <c r="AB121" s="28" t="n">
        <v>-0.00037</v>
      </c>
      <c r="AC121" s="30" t="n">
        <v>-1</v>
      </c>
      <c r="AD121" s="24" t="inlineStr">
        <is>
          <t>2026-08-10T16:32:25.313677Z</t>
        </is>
      </c>
      <c r="AE121" s="31" t="inlineStr">
        <is>
          <t>Neutral Elo baseline; executable ask 0.3700 (market_slug=aec-cs2-eace-fazeun-2026-08-10).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FaZe Up Next</t>
        </is>
      </c>
      <c r="AQ121" s="24" t="inlineStr">
        <is>
          <t>FaZe Up Next</t>
        </is>
      </c>
      <c r="AR121" s="24" t="inlineStr">
        <is>
          <t>FaZe Up Next</t>
        </is>
      </c>
      <c r="AS121" s="24" t="inlineStr">
        <is>
          <t>EAC Extra</t>
        </is>
      </c>
      <c r="AT121" s="24" t="inlineStr">
        <is>
          <t>EAC Extra</t>
        </is>
      </c>
      <c r="AU121" s="24" t="inlineStr">
        <is>
          <t>EAC Extra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3569a417252267f689df4d3a2d87b3e262d9c1b451b5034c48918b722ab2e713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3569a417252267f689df4d3a2d87b3e262d9c1b451b5034c48918b722ab2e713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2026-08-10T05:41:14.239063Z</t>
        </is>
      </c>
      <c r="BI121" s="24" t="inlineStr">
        <is>
          <t>["same_event","same_team_same_day","same_league_same_day"]</t>
        </is>
      </c>
      <c r="BJ121" s="25" t="n"/>
      <c r="BK121" s="26" t="n">
        <v>170</v>
      </c>
      <c r="BL121" s="27" t="n">
        <v>2.7</v>
      </c>
      <c r="BM121" s="28" t="n">
        <v>0.37037</v>
      </c>
      <c r="BN121" s="28" t="n"/>
      <c r="BO121" s="28" t="n"/>
      <c r="BP121" s="25" t="n"/>
      <c r="BQ121" s="27" t="n">
        <v>2.7</v>
      </c>
      <c r="BR121" s="28" t="n">
        <v>0.37</v>
      </c>
      <c r="BS121" s="28" t="n"/>
      <c r="BT121" s="28" t="n"/>
      <c r="BU121" s="25" t="n"/>
      <c r="BV121" s="29" t="n"/>
      <c r="BW121" s="24" t="n"/>
      <c r="BX121" s="30" t="n">
        <v>1</v>
      </c>
      <c r="BY121" s="27" t="n">
        <v>-1</v>
      </c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</row>
    <row r="122" ht="36" customHeight="1">
      <c r="A122" s="24" t="inlineStr">
        <is>
          <t>52a0816e2c5a4009</t>
        </is>
      </c>
      <c r="B122" s="24" t="inlineStr">
        <is>
          <t>2026-08-10T05:41:21.775960Z</t>
        </is>
      </c>
      <c r="C122" s="24" t="inlineStr">
        <is>
          <t>2026-08-10T10:30:00Z</t>
        </is>
      </c>
      <c r="D122" s="24" t="inlineStr">
        <is>
          <t>74339</t>
        </is>
      </c>
      <c r="E122" s="24" t="inlineStr">
        <is>
          <t>CS2</t>
        </is>
      </c>
      <c r="F122" s="24" t="inlineStr">
        <is>
          <t>Vitality Academy</t>
        </is>
      </c>
      <c r="G122" s="24" t="inlineStr">
        <is>
          <t>Eternal Fire Academy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-127</v>
      </c>
      <c r="M122" s="27" t="n">
        <v>1.787402</v>
      </c>
      <c r="N122" s="28" t="n">
        <v>0.5594710000000001</v>
      </c>
      <c r="O122" s="28" t="n">
        <v>0.545842</v>
      </c>
      <c r="P122" s="28" t="n"/>
      <c r="Q122" s="28" t="n">
        <v>-0.013629</v>
      </c>
      <c r="R122" s="26" t="n">
        <v>13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1</v>
      </c>
      <c r="X122" s="26" t="n">
        <v>0</v>
      </c>
      <c r="Y122" s="25" t="n"/>
      <c r="Z122" s="26" t="n">
        <v>-127</v>
      </c>
      <c r="AA122" s="28" t="n">
        <v>0.5600000000000001</v>
      </c>
      <c r="AB122" s="28" t="n">
        <v>0.000529</v>
      </c>
      <c r="AC122" s="30" t="n">
        <v>-1</v>
      </c>
      <c r="AD122" s="24" t="inlineStr">
        <is>
          <t>2026-08-10T16:32:27.866314Z</t>
        </is>
      </c>
      <c r="AE122" s="31" t="inlineStr">
        <is>
          <t>Neutral Elo baseline; executable ask 0.5600 (market_slug=aec-cs2-efa-vita-2026-08-10).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NO_CALL_LOW_EDGE</t>
        </is>
      </c>
      <c r="AP122" s="24" t="inlineStr">
        <is>
          <t>Vitality Academy</t>
        </is>
      </c>
      <c r="AQ122" s="24" t="inlineStr">
        <is>
          <t>Vitality Academy</t>
        </is>
      </c>
      <c r="AR122" s="24" t="inlineStr">
        <is>
          <t>Vitality Academy</t>
        </is>
      </c>
      <c r="AS122" s="24" t="inlineStr">
        <is>
          <t>Eternal Fire Academy</t>
        </is>
      </c>
      <c r="AT122" s="24" t="inlineStr">
        <is>
          <t>Eternal Fire Academy</t>
        </is>
      </c>
      <c r="AU122" s="24" t="inlineStr">
        <is>
          <t>Eternal Fire Academy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3569a417252267f689df4d3a2d87b3e262d9c1b451b5034c48918b722ab2e713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3569a417252267f689df4d3a2d87b3e262d9c1b451b5034c48918b722ab2e713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2026-08-10T05:41:14.749770Z</t>
        </is>
      </c>
      <c r="BI122" s="24" t="inlineStr">
        <is>
          <t>["same_event","same_team_same_day","same_league_same_day"]</t>
        </is>
      </c>
      <c r="BJ122" s="25" t="n"/>
      <c r="BK122" s="26" t="n">
        <v>-127</v>
      </c>
      <c r="BL122" s="27" t="n">
        <v>1.787402</v>
      </c>
      <c r="BM122" s="28" t="n">
        <v>0.5594710000000001</v>
      </c>
      <c r="BN122" s="28" t="n"/>
      <c r="BO122" s="28" t="n"/>
      <c r="BP122" s="25" t="n"/>
      <c r="BQ122" s="27" t="n">
        <v>1.787402</v>
      </c>
      <c r="BR122" s="28" t="n">
        <v>0.5600000000000001</v>
      </c>
      <c r="BS122" s="28" t="n"/>
      <c r="BT122" s="28" t="n"/>
      <c r="BU122" s="25" t="n"/>
      <c r="BV122" s="29" t="n"/>
      <c r="BW122" s="24" t="n"/>
      <c r="BX122" s="30" t="n">
        <v>1</v>
      </c>
      <c r="BY122" s="27" t="n">
        <v>-1</v>
      </c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</row>
    <row r="123" ht="36" customHeight="1">
      <c r="A123" s="24" t="inlineStr">
        <is>
          <t>d02cfcf62a544834</t>
        </is>
      </c>
      <c r="B123" s="24" t="inlineStr">
        <is>
          <t>2026-08-10T05:41:21.775960Z</t>
        </is>
      </c>
      <c r="C123" s="24" t="inlineStr">
        <is>
          <t>2026-08-10T15:00:00Z</t>
        </is>
      </c>
      <c r="D123" s="24" t="inlineStr">
        <is>
          <t>68198</t>
        </is>
      </c>
      <c r="E123" s="24" t="inlineStr">
        <is>
          <t>CS2</t>
        </is>
      </c>
      <c r="F123" s="24" t="inlineStr">
        <is>
          <t>Dark Moon</t>
        </is>
      </c>
      <c r="G123" s="24" t="inlineStr">
        <is>
          <t>Arch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-104</v>
      </c>
      <c r="M123" s="27" t="n">
        <v>1.961538</v>
      </c>
      <c r="N123" s="28" t="n">
        <v>0.509804</v>
      </c>
      <c r="O123" s="28" t="n">
        <v>0.5514829999999999</v>
      </c>
      <c r="P123" s="28" t="n"/>
      <c r="Q123" s="28" t="n">
        <v>0.041679</v>
      </c>
      <c r="R123" s="26" t="n">
        <v>41</v>
      </c>
      <c r="S123" s="29" t="n">
        <v>1</v>
      </c>
      <c r="T123" s="24" t="inlineStr">
        <is>
          <t>cs2-tiered-elo-v6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Neutral Elo baseline; executable ask 0.5100 (market_slug=aec-cs2-arch-dm-2026-08-01).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Dark Moon</t>
        </is>
      </c>
      <c r="AQ123" s="24" t="inlineStr">
        <is>
          <t>Dark Moon</t>
        </is>
      </c>
      <c r="AR123" s="24" t="inlineStr">
        <is>
          <t>Dark Moon</t>
        </is>
      </c>
      <c r="AS123" s="24" t="inlineStr">
        <is>
          <t>Arch</t>
        </is>
      </c>
      <c r="AT123" s="24" t="inlineStr">
        <is>
          <t>Arch</t>
        </is>
      </c>
      <c r="AU123" s="24" t="inlineStr">
        <is>
          <t>Arch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3569a417252267f689df4d3a2d87b3e262d9c1b451b5034c48918b722ab2e713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3569a417252267f689df4d3a2d87b3e262d9c1b451b5034c48918b722ab2e713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2026-08-10T05:41:15.589774Z</t>
        </is>
      </c>
      <c r="BI123" s="24" t="inlineStr">
        <is>
          <t>["same_event","same_team_same_day","same_league_same_day"]</t>
        </is>
      </c>
      <c r="BJ123" s="25" t="n"/>
      <c r="BK123" s="26" t="n">
        <v>-104</v>
      </c>
      <c r="BL123" s="27" t="n">
        <v>1.961538</v>
      </c>
      <c r="BM123" s="28" t="n">
        <v>0.509804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48fdd37d4e86413e</t>
        </is>
      </c>
      <c r="B124" s="24" t="inlineStr">
        <is>
          <t>2026-08-10T16:36:47.034884Z</t>
        </is>
      </c>
      <c r="C124" s="24" t="inlineStr">
        <is>
          <t>2026-08-10T17:00:00Z</t>
        </is>
      </c>
      <c r="D124" s="24" t="inlineStr">
        <is>
          <t>77099</t>
        </is>
      </c>
      <c r="E124" s="24" t="inlineStr">
        <is>
          <t>CS2</t>
        </is>
      </c>
      <c r="F124" s="24" t="inlineStr">
        <is>
          <t>MEIA NOITE</t>
        </is>
      </c>
      <c r="G124" s="24" t="inlineStr">
        <is>
          <t>BORRACHEIROS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117</v>
      </c>
      <c r="M124" s="27" t="n">
        <v>2.17</v>
      </c>
      <c r="N124" s="28" t="n">
        <v>0.460829</v>
      </c>
      <c r="O124" s="28" t="n">
        <v>0.553765</v>
      </c>
      <c r="P124" s="28" t="n"/>
      <c r="Q124" s="28" t="n">
        <v>0.092936</v>
      </c>
      <c r="R124" s="26" t="n">
        <v>66</v>
      </c>
      <c r="S124" s="29" t="n">
        <v>1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>
        <v>117</v>
      </c>
      <c r="AA124" s="28" t="n">
        <v>0.46</v>
      </c>
      <c r="AB124" s="28" t="n">
        <v>-0.000829</v>
      </c>
      <c r="AC124" s="30" t="n">
        <v>1.17</v>
      </c>
      <c r="AD124" s="24" t="inlineStr">
        <is>
          <t>2026-08-11T13:07:27.708973Z</t>
        </is>
      </c>
      <c r="AE124" s="31" t="inlineStr">
        <is>
          <t>Neutral Elo baseline; executable ask 0.4600 (market_slug=aec-cs2-chama-mne-2026-08-10).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MEIA NOITE</t>
        </is>
      </c>
      <c r="AQ124" s="24" t="inlineStr">
        <is>
          <t>MEIA NOITE</t>
        </is>
      </c>
      <c r="AR124" s="24" t="inlineStr">
        <is>
          <t>MEIA NOITE</t>
        </is>
      </c>
      <c r="AS124" s="24" t="inlineStr">
        <is>
          <t>BORRACHEIROS</t>
        </is>
      </c>
      <c r="AT124" s="24" t="inlineStr">
        <is>
          <t>BORRACHEIROS</t>
        </is>
      </c>
      <c r="AU124" s="24" t="inlineStr">
        <is>
          <t>BORRACHEIROS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8ba88908c77b025a6556aafd017c6d1c078f1e4b0cacb386f9fdceb7d69ce557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8ba88908c77b025a6556aafd017c6d1c078f1e4b0cacb386f9fdceb7d69ce557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2026-08-10T16:36:29.114367Z</t>
        </is>
      </c>
      <c r="BI124" s="24" t="inlineStr">
        <is>
          <t>["same_event","same_team_same_day","same_league_same_day"]</t>
        </is>
      </c>
      <c r="BJ124" s="25" t="n"/>
      <c r="BK124" s="26" t="n">
        <v>117</v>
      </c>
      <c r="BL124" s="27" t="n">
        <v>2.17</v>
      </c>
      <c r="BM124" s="28" t="n">
        <v>0.460829</v>
      </c>
      <c r="BN124" s="28" t="n"/>
      <c r="BO124" s="28" t="n"/>
      <c r="BP124" s="25" t="n"/>
      <c r="BQ124" s="27" t="n">
        <v>2.17</v>
      </c>
      <c r="BR124" s="28" t="n">
        <v>0.46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0.91</v>
      </c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</row>
    <row r="125" ht="36" customHeight="1">
      <c r="A125" s="24" t="inlineStr">
        <is>
          <t>b08b177eedb04125</t>
        </is>
      </c>
      <c r="B125" s="24" t="inlineStr">
        <is>
          <t>2026-08-10T16:36:47.034884Z</t>
        </is>
      </c>
      <c r="C125" s="24" t="inlineStr">
        <is>
          <t>2026-08-10T17:00:00Z</t>
        </is>
      </c>
      <c r="D125" s="24" t="inlineStr">
        <is>
          <t>77017</t>
        </is>
      </c>
      <c r="E125" s="24" t="inlineStr">
        <is>
          <t>CS2</t>
        </is>
      </c>
      <c r="F125" s="24" t="inlineStr">
        <is>
          <t>Benched gods</t>
        </is>
      </c>
      <c r="G125" s="24" t="inlineStr">
        <is>
          <t>banda chuya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144</v>
      </c>
      <c r="M125" s="27" t="n">
        <v>2.44</v>
      </c>
      <c r="N125" s="28" t="n">
        <v>0.409836</v>
      </c>
      <c r="O125" s="28" t="n">
        <v>0.612863</v>
      </c>
      <c r="P125" s="28" t="n"/>
      <c r="Q125" s="28" t="n">
        <v>0.203027</v>
      </c>
      <c r="R125" s="26" t="n">
        <v>100</v>
      </c>
      <c r="S125" s="29" t="n">
        <v>1.5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300</v>
      </c>
      <c r="AA125" s="28" t="n">
        <v>0.25</v>
      </c>
      <c r="AB125" s="28" t="n">
        <v>-0.159836</v>
      </c>
      <c r="AC125" s="30" t="n">
        <v>-1.5</v>
      </c>
      <c r="AD125" s="24" t="inlineStr">
        <is>
          <t>2026-08-11T13:07:29.926690Z</t>
        </is>
      </c>
      <c r="AE125" s="31" t="inlineStr">
        <is>
          <t>Neutral Elo baseline; executable ask 0.4100 (market_slug=aec-cs2-bcan-bge-2026-08-10).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Benched gods</t>
        </is>
      </c>
      <c r="AQ125" s="24" t="inlineStr">
        <is>
          <t>Benched gods</t>
        </is>
      </c>
      <c r="AR125" s="24" t="inlineStr">
        <is>
          <t>Benched gods</t>
        </is>
      </c>
      <c r="AS125" s="24" t="inlineStr">
        <is>
          <t>banda chuya</t>
        </is>
      </c>
      <c r="AT125" s="24" t="inlineStr">
        <is>
          <t>banda chuya</t>
        </is>
      </c>
      <c r="AU125" s="24" t="inlineStr">
        <is>
          <t>banda chuya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8ba88908c77b025a6556aafd017c6d1c078f1e4b0cacb386f9fdceb7d69ce557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8ba88908c77b025a6556aafd017c6d1c078f1e4b0cacb386f9fdceb7d69ce557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2026-08-10T16:36:29.985562Z</t>
        </is>
      </c>
      <c r="BI125" s="24" t="inlineStr">
        <is>
          <t>["same_event","same_team_same_day","same_league_same_day"]</t>
        </is>
      </c>
      <c r="BJ125" s="25" t="n"/>
      <c r="BK125" s="26" t="n">
        <v>144</v>
      </c>
      <c r="BL125" s="27" t="n">
        <v>2.44</v>
      </c>
      <c r="BM125" s="28" t="n">
        <v>0.409836</v>
      </c>
      <c r="BN125" s="28" t="n"/>
      <c r="BO125" s="28" t="n"/>
      <c r="BP125" s="25" t="n"/>
      <c r="BQ125" s="27" t="n">
        <v>4</v>
      </c>
      <c r="BR125" s="28" t="n">
        <v>0.25</v>
      </c>
      <c r="BS125" s="28" t="n"/>
      <c r="BT125" s="28" t="n"/>
      <c r="BU125" s="25" t="n"/>
      <c r="BV125" s="29" t="n"/>
      <c r="BW125" s="24" t="n"/>
      <c r="BX125" s="30" t="n">
        <v>1</v>
      </c>
      <c r="BY125" s="27" t="n">
        <v>-1</v>
      </c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b68585f4014d42f0</t>
        </is>
      </c>
      <c r="B126" s="24" t="inlineStr">
        <is>
          <t>2026-08-10T16:36:47.034884Z</t>
        </is>
      </c>
      <c r="C126" s="24" t="inlineStr">
        <is>
          <t>2026-08-10T18:00:00Z</t>
        </is>
      </c>
      <c r="D126" s="24" t="inlineStr">
        <is>
          <t>77019</t>
        </is>
      </c>
      <c r="E126" s="24" t="inlineStr">
        <is>
          <t>CS2</t>
        </is>
      </c>
      <c r="F126" s="24" t="inlineStr">
        <is>
          <t>Diamant Esports</t>
        </is>
      </c>
      <c r="G126" s="24" t="inlineStr">
        <is>
          <t>Basement Bobs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0.501636</v>
      </c>
      <c r="P126" s="28" t="n"/>
      <c r="Q126" s="28" t="n">
        <v>0.051186</v>
      </c>
      <c r="R126" s="26" t="n">
        <v>46</v>
      </c>
      <c r="S126" s="29" t="n">
        <v>1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push</t>
        </is>
      </c>
      <c r="W126" s="26" t="n"/>
      <c r="X126" s="26" t="n"/>
      <c r="Y126" s="25" t="n"/>
      <c r="Z126" s="26" t="n"/>
      <c r="AA126" s="28" t="n"/>
      <c r="AB126" s="28" t="n"/>
      <c r="AC126" s="30" t="n">
        <v>0</v>
      </c>
      <c r="AD126" s="24" t="inlineStr">
        <is>
          <t>2026-08-11T17:21:19.187999Z</t>
        </is>
      </c>
      <c r="AE126" s="31" t="inlineStr">
        <is>
          <t>Neutral Elo baseline; executable ask 0.4500 (market_slug=aec-cs2-bba-dei-2026-08-10).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Diamant Esports</t>
        </is>
      </c>
      <c r="AQ126" s="24" t="inlineStr">
        <is>
          <t>Diamant Esports</t>
        </is>
      </c>
      <c r="AR126" s="24" t="inlineStr">
        <is>
          <t>Diamant Esports</t>
        </is>
      </c>
      <c r="AS126" s="24" t="inlineStr">
        <is>
          <t>Basement Bobs</t>
        </is>
      </c>
      <c r="AT126" s="24" t="inlineStr">
        <is>
          <t>Basement Bobs</t>
        </is>
      </c>
      <c r="AU126" s="24" t="inlineStr">
        <is>
          <t>Basement Bobs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8ba88908c77b025a6556aafd017c6d1c078f1e4b0cacb386f9fdceb7d69ce557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8ba88908c77b025a6556aafd017c6d1c078f1e4b0cacb386f9fdceb7d69ce557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2026-08-10T16:36:31.012743Z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inlineStr">
        <is>
          <t>esports market settled to a non-binary price (forfeit/postponement per market rules)</t>
        </is>
      </c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bf03087954a843d1</t>
        </is>
      </c>
      <c r="B127" s="24" t="inlineStr">
        <is>
          <t>2026-08-10T16:36:47.034884Z</t>
        </is>
      </c>
      <c r="C127" s="24" t="inlineStr">
        <is>
          <t>2026-08-10T18:00:00Z</t>
        </is>
      </c>
      <c r="D127" s="24" t="inlineStr">
        <is>
          <t>77020</t>
        </is>
      </c>
      <c r="E127" s="24" t="inlineStr">
        <is>
          <t>CS2</t>
        </is>
      </c>
      <c r="F127" s="24" t="inlineStr">
        <is>
          <t>Donstu Esports</t>
        </is>
      </c>
      <c r="G127" s="24" t="inlineStr">
        <is>
          <t>FAST LAYNERS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-203</v>
      </c>
      <c r="M127" s="27" t="n">
        <v>1.492611</v>
      </c>
      <c r="N127" s="28" t="n">
        <v>0.669967</v>
      </c>
      <c r="O127" s="28" t="n">
        <v>0.600813</v>
      </c>
      <c r="P127" s="28" t="n"/>
      <c r="Q127" s="28" t="n">
        <v>-0.06915399999999999</v>
      </c>
      <c r="R127" s="26" t="n">
        <v>0</v>
      </c>
      <c r="S127" s="29" t="n">
        <v>1.25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-203</v>
      </c>
      <c r="AA127" s="28" t="n">
        <v>0.67</v>
      </c>
      <c r="AB127" s="28" t="n">
        <v>3.3e-05</v>
      </c>
      <c r="AC127" s="30" t="n">
        <v>0.6158</v>
      </c>
      <c r="AD127" s="24" t="inlineStr">
        <is>
          <t>2026-08-11T13:07:33.345166Z</t>
        </is>
      </c>
      <c r="AE127" s="31" t="inlineStr">
        <is>
          <t>Neutral Elo baseline; executable ask 0.6700 (market_slug=aec-cs2-fla-dnt-2026-08-10).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NO_CALL_LOW_EDGE</t>
        </is>
      </c>
      <c r="AP127" s="24" t="inlineStr">
        <is>
          <t>Donstu Esports</t>
        </is>
      </c>
      <c r="AQ127" s="24" t="inlineStr">
        <is>
          <t>Donstu Esports</t>
        </is>
      </c>
      <c r="AR127" s="24" t="inlineStr">
        <is>
          <t>Donstu Esports</t>
        </is>
      </c>
      <c r="AS127" s="24" t="inlineStr">
        <is>
          <t>FAST LAYNERS</t>
        </is>
      </c>
      <c r="AT127" s="24" t="inlineStr">
        <is>
          <t>FAST LAYNERS</t>
        </is>
      </c>
      <c r="AU127" s="24" t="inlineStr">
        <is>
          <t>FAST LAYNERS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8ba88908c77b025a6556aafd017c6d1c078f1e4b0cacb386f9fdceb7d69ce557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8ba88908c77b025a6556aafd017c6d1c078f1e4b0cacb386f9fdceb7d69ce557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2026-08-10T16:36:31.587754Z</t>
        </is>
      </c>
      <c r="BI127" s="24" t="inlineStr">
        <is>
          <t>["same_event","same_team_same_day","same_league_same_day"]</t>
        </is>
      </c>
      <c r="BJ127" s="25" t="n"/>
      <c r="BK127" s="26" t="n">
        <v>-203</v>
      </c>
      <c r="BL127" s="27" t="n">
        <v>1.492611</v>
      </c>
      <c r="BM127" s="28" t="n">
        <v>0.669967</v>
      </c>
      <c r="BN127" s="28" t="n"/>
      <c r="BO127" s="28" t="n"/>
      <c r="BP127" s="25" t="n"/>
      <c r="BQ127" s="27" t="n">
        <v>1.492611</v>
      </c>
      <c r="BR127" s="28" t="n">
        <v>0.67</v>
      </c>
      <c r="BS127" s="28" t="n"/>
      <c r="BT127" s="28" t="n"/>
      <c r="BU127" s="25" t="n"/>
      <c r="BV127" s="29" t="n"/>
      <c r="BW127" s="24" t="n"/>
      <c r="BX127" s="30" t="n">
        <v>1</v>
      </c>
      <c r="BY127" s="27" t="n">
        <v>0.91</v>
      </c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</row>
    <row r="128" ht="36" customHeight="1">
      <c r="A128" s="24" t="inlineStr">
        <is>
          <t>d46c82c36dcd4d2f</t>
        </is>
      </c>
      <c r="B128" s="24" t="inlineStr">
        <is>
          <t>2026-08-10T16:36:47.034884Z</t>
        </is>
      </c>
      <c r="C128" s="24" t="inlineStr">
        <is>
          <t>2026-08-10T19:00:00Z</t>
        </is>
      </c>
      <c r="D128" s="24" t="inlineStr">
        <is>
          <t>77021</t>
        </is>
      </c>
      <c r="E128" s="24" t="inlineStr">
        <is>
          <t>CS2</t>
        </is>
      </c>
      <c r="F128" s="24" t="inlineStr">
        <is>
          <t>ZOTIX</t>
        </is>
      </c>
      <c r="G128" s="24" t="inlineStr">
        <is>
          <t>GoldRashers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127</v>
      </c>
      <c r="M128" s="27" t="n">
        <v>2.27</v>
      </c>
      <c r="N128" s="28" t="n">
        <v>0.440529</v>
      </c>
      <c r="O128" s="28" t="n">
        <v>0.536406</v>
      </c>
      <c r="P128" s="28" t="n"/>
      <c r="Q128" s="28" t="n">
        <v>0.095877</v>
      </c>
      <c r="R128" s="26" t="n">
        <v>68</v>
      </c>
      <c r="S128" s="29" t="n">
        <v>1</v>
      </c>
      <c r="T128" s="24" t="inlineStr">
        <is>
          <t>cs2-tiered-elo-v6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Neutral Elo baseline; executable ask 0.4400 (market_slug=aec-cs2-gol-zotix-2026-08-10).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ZOTIX</t>
        </is>
      </c>
      <c r="AQ128" s="24" t="inlineStr">
        <is>
          <t>ZOTIX</t>
        </is>
      </c>
      <c r="AR128" s="24" t="inlineStr">
        <is>
          <t>ZOTIX</t>
        </is>
      </c>
      <c r="AS128" s="24" t="inlineStr">
        <is>
          <t>GoldRashers</t>
        </is>
      </c>
      <c r="AT128" s="24" t="inlineStr">
        <is>
          <t>GoldRashers</t>
        </is>
      </c>
      <c r="AU128" s="24" t="inlineStr">
        <is>
          <t>GoldRashers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8ba88908c77b025a6556aafd017c6d1c078f1e4b0cacb386f9fdceb7d69ce557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8ba88908c77b025a6556aafd017c6d1c078f1e4b0cacb386f9fdceb7d69ce557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2026-08-10T16:36:32.118831Z</t>
        </is>
      </c>
      <c r="BI128" s="24" t="inlineStr">
        <is>
          <t>["same_event","same_team_same_day","same_league_same_day"]</t>
        </is>
      </c>
      <c r="BJ128" s="25" t="n"/>
      <c r="BK128" s="26" t="n">
        <v>127</v>
      </c>
      <c r="BL128" s="27" t="n">
        <v>2.27</v>
      </c>
      <c r="BM128" s="28" t="n">
        <v>0.440529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</row>
    <row r="129" ht="36" customHeight="1">
      <c r="A129" s="24" t="inlineStr">
        <is>
          <t>8444f491155741c7</t>
        </is>
      </c>
      <c r="B129" s="24" t="inlineStr">
        <is>
          <t>2026-08-10T16:36:47.034884Z</t>
        </is>
      </c>
      <c r="C129" s="24" t="inlineStr">
        <is>
          <t>2026-08-10T23:45:00Z</t>
        </is>
      </c>
      <c r="D129" s="24" t="inlineStr">
        <is>
          <t>77179</t>
        </is>
      </c>
      <c r="E129" s="24" t="inlineStr">
        <is>
          <t>CS2</t>
        </is>
      </c>
      <c r="F129" s="24" t="inlineStr">
        <is>
          <t>QUINTESSÊNCIA</t>
        </is>
      </c>
      <c r="G129" s="24" t="inlineStr">
        <is>
          <t>paiN Academy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0.519047</v>
      </c>
      <c r="P129" s="28" t="n"/>
      <c r="Q129" s="28" t="n">
        <v>0.058218</v>
      </c>
      <c r="R129" s="26" t="n">
        <v>49</v>
      </c>
      <c r="S129" s="29" t="n">
        <v>1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2026-08-11T13:07:36.736337Z</t>
        </is>
      </c>
      <c r="AE129" s="31" t="inlineStr">
        <is>
          <t>Neutral Elo baseline; executable ask 0.4600 (market_slug=aec-cs2-paina-quin-2026-08-10).</t>
        </is>
      </c>
      <c r="AF129" s="31" t="inlineStr">
        <is>
          <t>Config-promoted esports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QUINTESSÊNCIA</t>
        </is>
      </c>
      <c r="AQ129" s="24" t="inlineStr">
        <is>
          <t>QUINTESSÊNCIA</t>
        </is>
      </c>
      <c r="AR129" s="24" t="inlineStr">
        <is>
          <t>QUINTESSÊNCIA</t>
        </is>
      </c>
      <c r="AS129" s="24" t="inlineStr">
        <is>
          <t>paiN Academy</t>
        </is>
      </c>
      <c r="AT129" s="24" t="inlineStr">
        <is>
          <t>paiN Academy</t>
        </is>
      </c>
      <c r="AU129" s="24" t="inlineStr">
        <is>
          <t>paiN Academy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8ba88908c77b025a6556aafd017c6d1c078f1e4b0cacb386f9fdceb7d69ce557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8ba88908c77b025a6556aafd017c6d1c078f1e4b0cacb386f9fdceb7d69ce557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2026-08-10T16:36:36.447920Z</t>
        </is>
      </c>
      <c r="BI129" s="24" t="inlineStr">
        <is>
          <t>["same_event","same_team_same_day","same_league_same_day"]</t>
        </is>
      </c>
      <c r="BJ129" s="25" t="n"/>
      <c r="BK129" s="26" t="n">
        <v>117</v>
      </c>
      <c r="BL129" s="27" t="n">
        <v>2.17</v>
      </c>
      <c r="BM129" s="28" t="n">
        <v>0.460829</v>
      </c>
      <c r="BN129" s="28" t="n"/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-1</v>
      </c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</row>
    <row r="130" ht="36" customHeight="1">
      <c r="A130" s="24" t="inlineStr">
        <is>
          <t>84343fb150b24e68</t>
        </is>
      </c>
      <c r="B130" s="24" t="inlineStr">
        <is>
          <t>2026-08-10T16:36:47.034884Z</t>
        </is>
      </c>
      <c r="C130" s="24" t="inlineStr">
        <is>
          <t>2026-08-10T23:45:00Z</t>
        </is>
      </c>
      <c r="D130" s="24" t="inlineStr">
        <is>
          <t>77178</t>
        </is>
      </c>
      <c r="E130" s="24" t="inlineStr">
        <is>
          <t>CS2</t>
        </is>
      </c>
      <c r="F130" s="24" t="inlineStr">
        <is>
          <t>pugdesonesto</t>
        </is>
      </c>
      <c r="G130" s="24" t="inlineStr">
        <is>
          <t>UNO MILLE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-223</v>
      </c>
      <c r="M130" s="27" t="n">
        <v>1.44843</v>
      </c>
      <c r="N130" s="28" t="n">
        <v>0.690402</v>
      </c>
      <c r="O130" s="28" t="n">
        <v>0.768172</v>
      </c>
      <c r="P130" s="28" t="n"/>
      <c r="Q130" s="28" t="n">
        <v>0.07777000000000001</v>
      </c>
      <c r="R130" s="26" t="n">
        <v>59</v>
      </c>
      <c r="S130" s="29" t="n">
        <v>2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>
        <v>-223</v>
      </c>
      <c r="AA130" s="28" t="n">
        <v>0.6899999999999999</v>
      </c>
      <c r="AB130" s="28" t="n">
        <v>-0.000402</v>
      </c>
      <c r="AC130" s="30" t="n">
        <v>-2</v>
      </c>
      <c r="AD130" s="24" t="inlineStr">
        <is>
          <t>2026-08-11T13:07:38.944058Z</t>
        </is>
      </c>
      <c r="AE130" s="31" t="inlineStr">
        <is>
          <t>Neutral Elo baseline; executable ask 0.6900 (market_slug=aec-cs2-uno-pug-2026-08-10).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pugdesonesto</t>
        </is>
      </c>
      <c r="AQ130" s="24" t="inlineStr">
        <is>
          <t>pugdesonesto</t>
        </is>
      </c>
      <c r="AR130" s="24" t="inlineStr">
        <is>
          <t>pugdesonesto</t>
        </is>
      </c>
      <c r="AS130" s="24" t="inlineStr">
        <is>
          <t>UNO MILLE</t>
        </is>
      </c>
      <c r="AT130" s="24" t="inlineStr">
        <is>
          <t>UNO MILLE</t>
        </is>
      </c>
      <c r="AU130" s="24" t="inlineStr">
        <is>
          <t>UNO MILLE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8ba88908c77b025a6556aafd017c6d1c078f1e4b0cacb386f9fdceb7d69ce557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8ba88908c77b025a6556aafd017c6d1c078f1e4b0cacb386f9fdceb7d69ce557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2026-08-10T16:36:37.688521Z</t>
        </is>
      </c>
      <c r="BI130" s="24" t="inlineStr">
        <is>
          <t>["same_event","same_team_same_day","same_league_same_day"]</t>
        </is>
      </c>
      <c r="BJ130" s="25" t="n"/>
      <c r="BK130" s="26" t="n">
        <v>-223</v>
      </c>
      <c r="BL130" s="27" t="n">
        <v>1.44843</v>
      </c>
      <c r="BM130" s="28" t="n">
        <v>0.690402</v>
      </c>
      <c r="BN130" s="28" t="n"/>
      <c r="BO130" s="28" t="n"/>
      <c r="BP130" s="25" t="n"/>
      <c r="BQ130" s="27" t="n">
        <v>1.44843</v>
      </c>
      <c r="BR130" s="28" t="n">
        <v>0.6899999999999999</v>
      </c>
      <c r="BS130" s="28" t="n"/>
      <c r="BT130" s="28" t="n"/>
      <c r="BU130" s="25" t="n"/>
      <c r="BV130" s="29" t="n"/>
      <c r="BW130" s="24" t="n"/>
      <c r="BX130" s="30" t="n">
        <v>1</v>
      </c>
      <c r="BY130" s="27" t="n">
        <v>-1</v>
      </c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</row>
    <row r="131" ht="36" customHeight="1">
      <c r="A131" s="24" t="inlineStr">
        <is>
          <t>02d991ea7b5146cf</t>
        </is>
      </c>
      <c r="B131" s="24" t="inlineStr">
        <is>
          <t>2026-08-10T16:36:47.034884Z</t>
        </is>
      </c>
      <c r="C131" s="24" t="inlineStr">
        <is>
          <t>2026-08-11T08:00:00Z</t>
        </is>
      </c>
      <c r="D131" s="24" t="inlineStr">
        <is>
          <t>75552</t>
        </is>
      </c>
      <c r="E131" s="24" t="inlineStr">
        <is>
          <t>CS2</t>
        </is>
      </c>
      <c r="F131" s="24" t="inlineStr">
        <is>
          <t>STATE</t>
        </is>
      </c>
      <c r="G131" s="24" t="inlineStr">
        <is>
          <t>Fire Flux Esports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-186</v>
      </c>
      <c r="M131" s="27" t="n">
        <v>1.537634</v>
      </c>
      <c r="N131" s="28" t="n">
        <v>0.65035</v>
      </c>
      <c r="O131" s="28" t="n">
        <v>0.612637</v>
      </c>
      <c r="P131" s="28" t="n"/>
      <c r="Q131" s="28" t="n">
        <v>-0.037713</v>
      </c>
      <c r="R131" s="26" t="n">
        <v>1</v>
      </c>
      <c r="S131" s="29" t="n">
        <v>1.5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/>
      <c r="AA131" s="28" t="n"/>
      <c r="AB131" s="28" t="n"/>
      <c r="AC131" s="30" t="n">
        <v>0.8065</v>
      </c>
      <c r="AD131" s="24" t="inlineStr">
        <is>
          <t>2026-08-11T13:07:41.066823Z</t>
        </is>
      </c>
      <c r="AE131" s="31" t="inlineStr">
        <is>
          <t>Neutral Elo baseline; executable ask 0.6500 (market_slug=aec-cs2-ff-sta-2026-08-11).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STATE</t>
        </is>
      </c>
      <c r="AQ131" s="24" t="inlineStr">
        <is>
          <t>STATE</t>
        </is>
      </c>
      <c r="AR131" s="24" t="inlineStr">
        <is>
          <t>STATE</t>
        </is>
      </c>
      <c r="AS131" s="24" t="inlineStr">
        <is>
          <t>Fire Flux Esports</t>
        </is>
      </c>
      <c r="AT131" s="24" t="inlineStr">
        <is>
          <t>Fire Flux Esports</t>
        </is>
      </c>
      <c r="AU131" s="24" t="inlineStr">
        <is>
          <t>Fire Flux Esports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8ba88908c77b025a6556aafd017c6d1c078f1e4b0cacb386f9fdceb7d69ce557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8ba88908c77b025a6556aafd017c6d1c078f1e4b0cacb386f9fdceb7d69ce557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2026-08-10T16:36:38.745479Z</t>
        </is>
      </c>
      <c r="BI131" s="24" t="inlineStr">
        <is>
          <t>["same_event","same_team_same_day","same_league_same_day"]</t>
        </is>
      </c>
      <c r="BJ131" s="25" t="n"/>
      <c r="BK131" s="26" t="n">
        <v>-186</v>
      </c>
      <c r="BL131" s="27" t="n">
        <v>1.537634</v>
      </c>
      <c r="BM131" s="28" t="n">
        <v>0.65035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>
        <v>1</v>
      </c>
      <c r="BY131" s="27" t="n">
        <v>0.91</v>
      </c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</row>
    <row r="132" ht="36" customHeight="1">
      <c r="A132" s="24" t="inlineStr">
        <is>
          <t>0eac791ee513401e</t>
        </is>
      </c>
      <c r="B132" s="24" t="inlineStr">
        <is>
          <t>2026-08-10T16:36:47.034884Z</t>
        </is>
      </c>
      <c r="C132" s="24" t="inlineStr">
        <is>
          <t>2026-08-11T10:30:00Z</t>
        </is>
      </c>
      <c r="D132" s="24" t="inlineStr">
        <is>
          <t>76243</t>
        </is>
      </c>
      <c r="E132" s="24" t="inlineStr">
        <is>
          <t>CS2</t>
        </is>
      </c>
      <c r="F132" s="24" t="inlineStr">
        <is>
          <t>Teletubisie</t>
        </is>
      </c>
      <c r="G132" s="24" t="inlineStr">
        <is>
          <t>INFURITY Gaming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127</v>
      </c>
      <c r="M132" s="27" t="n">
        <v>2.27</v>
      </c>
      <c r="N132" s="28" t="n">
        <v>0.440529</v>
      </c>
      <c r="O132" s="28" t="n">
        <v>0.596198</v>
      </c>
      <c r="P132" s="28" t="n"/>
      <c r="Q132" s="28" t="n">
        <v>0.155669</v>
      </c>
      <c r="R132" s="26" t="n">
        <v>98</v>
      </c>
      <c r="S132" s="29" t="n">
        <v>1.25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/>
      <c r="AA132" s="28" t="n"/>
      <c r="AB132" s="28" t="n"/>
      <c r="AC132" s="30" t="n">
        <v>1.5875</v>
      </c>
      <c r="AD132" s="24" t="inlineStr">
        <is>
          <t>2026-08-11T16:28:52.587850Z</t>
        </is>
      </c>
      <c r="AE132" s="31" t="inlineStr">
        <is>
          <t>Neutral Elo baseline; executable ask 0.4400 (market_slug=aec-cs2-ign-ttbs-2026-08-11).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Teletubisie</t>
        </is>
      </c>
      <c r="AQ132" s="24" t="inlineStr">
        <is>
          <t>Teletubisie</t>
        </is>
      </c>
      <c r="AR132" s="24" t="inlineStr">
        <is>
          <t>Teletubisie</t>
        </is>
      </c>
      <c r="AS132" s="24" t="inlineStr">
        <is>
          <t>INFURITY Gaming</t>
        </is>
      </c>
      <c r="AT132" s="24" t="inlineStr">
        <is>
          <t>INFURITY Gaming</t>
        </is>
      </c>
      <c r="AU132" s="24" t="inlineStr">
        <is>
          <t>INFURITY Gaming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8ba88908c77b025a6556aafd017c6d1c078f1e4b0cacb386f9fdceb7d69ce557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8ba88908c77b025a6556aafd017c6d1c078f1e4b0cacb386f9fdceb7d69ce557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2026-08-10T16:36:43.494953Z</t>
        </is>
      </c>
      <c r="BI132" s="24" t="inlineStr">
        <is>
          <t>["same_event","same_team_same_day","same_league_same_day"]</t>
        </is>
      </c>
      <c r="BJ132" s="25" t="n"/>
      <c r="BK132" s="26" t="n">
        <v>127</v>
      </c>
      <c r="BL132" s="27" t="n">
        <v>2.27</v>
      </c>
      <c r="BM132" s="28" t="n">
        <v>0.440529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>
        <v>1</v>
      </c>
      <c r="BY132" s="27" t="n">
        <v>0.91</v>
      </c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9d672965acff4cbe</t>
        </is>
      </c>
      <c r="B133" s="24" t="inlineStr">
        <is>
          <t>2026-08-11T16:56:46.979169Z</t>
        </is>
      </c>
      <c r="C133" s="24" t="inlineStr">
        <is>
          <t>2026-08-11T17:00:00Z</t>
        </is>
      </c>
      <c r="D133" s="24" t="inlineStr">
        <is>
          <t>78100</t>
        </is>
      </c>
      <c r="E133" s="24" t="inlineStr">
        <is>
          <t>CS2</t>
        </is>
      </c>
      <c r="F133" s="24" t="inlineStr">
        <is>
          <t>EvolupeGG</t>
        </is>
      </c>
      <c r="G133" s="24" t="inlineStr">
        <is>
          <t>FAST LAYNERS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104</v>
      </c>
      <c r="M133" s="27" t="n">
        <v>2.04</v>
      </c>
      <c r="N133" s="28" t="n">
        <v>0.490196</v>
      </c>
      <c r="O133" s="28" t="n">
        <v>0.511474</v>
      </c>
      <c r="P133" s="28" t="n"/>
      <c r="Q133" s="28" t="n">
        <v>0.021278</v>
      </c>
      <c r="R133" s="26" t="n">
        <v>31</v>
      </c>
      <c r="S133" s="29" t="n">
        <v>1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104</v>
      </c>
      <c r="AA133" s="28" t="n">
        <v>0.49</v>
      </c>
      <c r="AB133" s="28" t="n">
        <v>-0.000196</v>
      </c>
      <c r="AC133" s="30" t="n">
        <v>1.04</v>
      </c>
      <c r="AD133" s="24" t="inlineStr">
        <is>
          <t>2026-08-11T19:53:47.647003Z</t>
        </is>
      </c>
      <c r="AE133" s="31" t="inlineStr">
        <is>
          <t>Neutral Elo baseline; executable ask 0.4900 (market_slug=aec-cs2-fla-evo-2026-08-11).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EvolupeGG</t>
        </is>
      </c>
      <c r="AQ133" s="24" t="inlineStr">
        <is>
          <t>EvolupeGG</t>
        </is>
      </c>
      <c r="AR133" s="24" t="inlineStr">
        <is>
          <t>EvolupeGG</t>
        </is>
      </c>
      <c r="AS133" s="24" t="inlineStr">
        <is>
          <t>FAST LAYNERS</t>
        </is>
      </c>
      <c r="AT133" s="24" t="inlineStr">
        <is>
          <t>FAST LAYNERS</t>
        </is>
      </c>
      <c r="AU133" s="24" t="inlineStr">
        <is>
          <t>FAST LAYNERS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1c01bcfe7274d8542f3c4b929afa1f34079bfd10f0fd51ef77bc9bbcecf78497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1c01bcfe7274d8542f3c4b929afa1f34079bfd10f0fd51ef77bc9bbcecf78497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2026-08-11T16:56:15.128894Z</t>
        </is>
      </c>
      <c r="BI133" s="24" t="inlineStr">
        <is>
          <t>["same_event","same_team_same_day","same_league_same_day"]</t>
        </is>
      </c>
      <c r="BJ133" s="25" t="n"/>
      <c r="BK133" s="26" t="n">
        <v>104</v>
      </c>
      <c r="BL133" s="27" t="n">
        <v>2.04</v>
      </c>
      <c r="BM133" s="28" t="n">
        <v>0.490196</v>
      </c>
      <c r="BN133" s="28" t="n"/>
      <c r="BO133" s="28" t="n"/>
      <c r="BP133" s="25" t="n"/>
      <c r="BQ133" s="27" t="n">
        <v>2.04</v>
      </c>
      <c r="BR133" s="28" t="n">
        <v>0.49</v>
      </c>
      <c r="BS133" s="28" t="n"/>
      <c r="BT133" s="28" t="n"/>
      <c r="BU133" s="25" t="n"/>
      <c r="BV133" s="29" t="n"/>
      <c r="BW133" s="24" t="n"/>
      <c r="BX133" s="30" t="n">
        <v>1</v>
      </c>
      <c r="BY133" s="27" t="n">
        <v>0.91</v>
      </c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</row>
    <row r="134" ht="36" customHeight="1">
      <c r="A134" s="24" t="inlineStr">
        <is>
          <t>069af138f6894ca4</t>
        </is>
      </c>
      <c r="B134" s="24" t="inlineStr">
        <is>
          <t>2026-08-11T16:56:46.979169Z</t>
        </is>
      </c>
      <c r="C134" s="24" t="inlineStr">
        <is>
          <t>2026-08-11T17:00:00Z</t>
        </is>
      </c>
      <c r="D134" s="24" t="inlineStr">
        <is>
          <t>78096</t>
        </is>
      </c>
      <c r="E134" s="24" t="inlineStr">
        <is>
          <t>CS2</t>
        </is>
      </c>
      <c r="F134" s="24" t="inlineStr">
        <is>
          <t>Diamant Esports</t>
        </is>
      </c>
      <c r="G134" s="24" t="inlineStr">
        <is>
          <t>KUUSAMO.gg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104</v>
      </c>
      <c r="M134" s="27" t="n">
        <v>2.04</v>
      </c>
      <c r="N134" s="28" t="n">
        <v>0.490196</v>
      </c>
      <c r="O134" s="28" t="n">
        <v>0.517725</v>
      </c>
      <c r="P134" s="28" t="n"/>
      <c r="Q134" s="28" t="n">
        <v>0.027529</v>
      </c>
      <c r="R134" s="26" t="n">
        <v>34</v>
      </c>
      <c r="S134" s="29" t="n">
        <v>1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0</v>
      </c>
      <c r="X134" s="26" t="n">
        <v>1</v>
      </c>
      <c r="Y134" s="25" t="n"/>
      <c r="Z134" s="26" t="n">
        <v>-104</v>
      </c>
      <c r="AA134" s="28" t="n">
        <v>0.51</v>
      </c>
      <c r="AB134" s="28" t="n">
        <v>0.019804</v>
      </c>
      <c r="AC134" s="30" t="n">
        <v>-1</v>
      </c>
      <c r="AD134" s="24" t="inlineStr">
        <is>
          <t>2026-08-11T19:53:49.823747Z</t>
        </is>
      </c>
      <c r="AE134" s="31" t="inlineStr">
        <is>
          <t>Neutral Elo baseline; executable ask 0.4900 (market_slug=aec-cs2-ksm-dei-2026-08-11).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Diamant Esports</t>
        </is>
      </c>
      <c r="AQ134" s="24" t="inlineStr">
        <is>
          <t>Diamant Esports</t>
        </is>
      </c>
      <c r="AR134" s="24" t="inlineStr">
        <is>
          <t>Diamant Esports</t>
        </is>
      </c>
      <c r="AS134" s="24" t="inlineStr">
        <is>
          <t>KUUSAMO.gg</t>
        </is>
      </c>
      <c r="AT134" s="24" t="inlineStr">
        <is>
          <t>KUUSAMO.gg</t>
        </is>
      </c>
      <c r="AU134" s="24" t="inlineStr">
        <is>
          <t>KUUSAMO.gg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1c01bcfe7274d8542f3c4b929afa1f34079bfd10f0fd51ef77bc9bbcecf78497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1c01bcfe7274d8542f3c4b929afa1f34079bfd10f0fd51ef77bc9bbcecf78497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2026-08-11T16:56:17.631208Z</t>
        </is>
      </c>
      <c r="BI134" s="24" t="inlineStr">
        <is>
          <t>["same_event","same_team_same_day","same_league_same_day"]</t>
        </is>
      </c>
      <c r="BJ134" s="25" t="n"/>
      <c r="BK134" s="26" t="n">
        <v>104</v>
      </c>
      <c r="BL134" s="27" t="n">
        <v>2.04</v>
      </c>
      <c r="BM134" s="28" t="n">
        <v>0.490196</v>
      </c>
      <c r="BN134" s="28" t="n"/>
      <c r="BO134" s="28" t="n"/>
      <c r="BP134" s="25" t="n"/>
      <c r="BQ134" s="27" t="n">
        <v>1.961538</v>
      </c>
      <c r="BR134" s="28" t="n">
        <v>0.51</v>
      </c>
      <c r="BS134" s="28" t="n"/>
      <c r="BT134" s="28" t="n"/>
      <c r="BU134" s="25" t="n"/>
      <c r="BV134" s="29" t="n"/>
      <c r="BW134" s="24" t="n"/>
      <c r="BX134" s="30" t="n">
        <v>1</v>
      </c>
      <c r="BY134" s="27" t="n">
        <v>-1</v>
      </c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</row>
    <row r="135" ht="36" customHeight="1">
      <c r="A135" s="24" t="inlineStr">
        <is>
          <t>bdefcac5ff134f2e</t>
        </is>
      </c>
      <c r="B135" s="24" t="inlineStr">
        <is>
          <t>2026-08-11T16:56:46.979169Z</t>
        </is>
      </c>
      <c r="C135" s="24" t="inlineStr">
        <is>
          <t>2026-08-11T17:00:00Z</t>
        </is>
      </c>
      <c r="D135" s="24" t="inlineStr">
        <is>
          <t>78102</t>
        </is>
      </c>
      <c r="E135" s="24" t="inlineStr">
        <is>
          <t>CS2</t>
        </is>
      </c>
      <c r="F135" s="24" t="inlineStr">
        <is>
          <t>Spirit Academy Green</t>
        </is>
      </c>
      <c r="G135" s="24" t="inlineStr">
        <is>
          <t>Hermine Esports Club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0.550284</v>
      </c>
      <c r="P135" s="28" t="n"/>
      <c r="Q135" s="28" t="n">
        <v>0.060088</v>
      </c>
      <c r="R135" s="26" t="n">
        <v>50</v>
      </c>
      <c r="S135" s="29" t="n">
        <v>1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104</v>
      </c>
      <c r="AA135" s="28" t="n">
        <v>0.49</v>
      </c>
      <c r="AB135" s="28" t="n">
        <v>-0.000196</v>
      </c>
      <c r="AC135" s="30" t="n">
        <v>-1</v>
      </c>
      <c r="AD135" s="24" t="inlineStr">
        <is>
          <t>2026-08-11T19:53:51.988062Z</t>
        </is>
      </c>
      <c r="AE135" s="31" t="inlineStr">
        <is>
          <t>Neutral Elo baseline; executable ask 0.4900 (market_slug=aec-cs2-hec-sag-2026-08-11).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Spirit Academy Green</t>
        </is>
      </c>
      <c r="AQ135" s="24" t="inlineStr">
        <is>
          <t>Spirit Academy Green</t>
        </is>
      </c>
      <c r="AR135" s="24" t="inlineStr">
        <is>
          <t>Spirit Academy Green</t>
        </is>
      </c>
      <c r="AS135" s="24" t="inlineStr">
        <is>
          <t>Hermine Esports Club</t>
        </is>
      </c>
      <c r="AT135" s="24" t="inlineStr">
        <is>
          <t>Hermine Esports Club</t>
        </is>
      </c>
      <c r="AU135" s="24" t="inlineStr">
        <is>
          <t>Hermine Esports Club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1c01bcfe7274d8542f3c4b929afa1f34079bfd10f0fd51ef77bc9bbcecf78497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1c01bcfe7274d8542f3c4b929afa1f34079bfd10f0fd51ef77bc9bbcecf78497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2026-08-11T16:56:18.323686Z</t>
        </is>
      </c>
      <c r="BI135" s="24" t="inlineStr">
        <is>
          <t>["same_event","same_team_same_day","same_league_same_day"]</t>
        </is>
      </c>
      <c r="BJ135" s="25" t="n"/>
      <c r="BK135" s="26" t="n">
        <v>104</v>
      </c>
      <c r="BL135" s="27" t="n">
        <v>2.04</v>
      </c>
      <c r="BM135" s="28" t="n">
        <v>0.490196</v>
      </c>
      <c r="BN135" s="28" t="n"/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a7d3977483a04b4b</t>
        </is>
      </c>
      <c r="B136" s="24" t="inlineStr">
        <is>
          <t>2026-08-11T17:27:00.583454Z</t>
        </is>
      </c>
      <c r="C136" s="24" t="inlineStr">
        <is>
          <t>2026-08-11T18:30:00Z</t>
        </is>
      </c>
      <c r="D136" s="24" t="inlineStr">
        <is>
          <t>78110</t>
        </is>
      </c>
      <c r="E136" s="24" t="inlineStr">
        <is>
          <t>CS2</t>
        </is>
      </c>
      <c r="F136" s="24" t="inlineStr">
        <is>
          <t>Fortress</t>
        </is>
      </c>
      <c r="G136" s="24" t="inlineStr">
        <is>
          <t>Esport BERG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-178</v>
      </c>
      <c r="M136" s="27" t="n">
        <v>1.561798</v>
      </c>
      <c r="N136" s="28" t="n">
        <v>0.640288</v>
      </c>
      <c r="O136" s="28" t="n">
        <v>0.694663</v>
      </c>
      <c r="P136" s="28" t="n"/>
      <c r="Q136" s="28" t="n">
        <v>0.054375</v>
      </c>
      <c r="R136" s="26" t="n">
        <v>47</v>
      </c>
      <c r="S136" s="29" t="n">
        <v>2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0</v>
      </c>
      <c r="X136" s="26" t="n">
        <v>1</v>
      </c>
      <c r="Y136" s="25" t="n"/>
      <c r="Z136" s="26" t="n">
        <v>-178</v>
      </c>
      <c r="AA136" s="28" t="n">
        <v>0.64</v>
      </c>
      <c r="AB136" s="28" t="n">
        <v>-0.000288</v>
      </c>
      <c r="AC136" s="30" t="n">
        <v>1.1236</v>
      </c>
      <c r="AD136" s="24" t="inlineStr">
        <is>
          <t>2026-08-11T19:53:54.265281Z</t>
        </is>
      </c>
      <c r="AE136" s="31" t="inlineStr">
        <is>
          <t>Neutral Elo baseline; executable ask 0.6400 (market_slug=aec-cs2-berg-for-2026-08-11).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Fortress</t>
        </is>
      </c>
      <c r="AQ136" s="24" t="inlineStr">
        <is>
          <t>Fortress</t>
        </is>
      </c>
      <c r="AR136" s="24" t="inlineStr">
        <is>
          <t>Fortress</t>
        </is>
      </c>
      <c r="AS136" s="24" t="inlineStr">
        <is>
          <t>Esport BERG</t>
        </is>
      </c>
      <c r="AT136" s="24" t="inlineStr">
        <is>
          <t>Esport BERG</t>
        </is>
      </c>
      <c r="AU136" s="24" t="inlineStr">
        <is>
          <t>Esport BERG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aa38faabc43b718e795a96ee74d0ed78592947441c47c14c503921bcd6ea3e0a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aa38faabc43b718e795a96ee74d0ed78592947441c47c14c503921bcd6ea3e0a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2026-08-11T17:26:34.900935Z</t>
        </is>
      </c>
      <c r="BI136" s="24" t="inlineStr">
        <is>
          <t>["same_event","same_team_same_day","same_league_same_day"]</t>
        </is>
      </c>
      <c r="BJ136" s="25" t="n"/>
      <c r="BK136" s="26" t="n">
        <v>-178</v>
      </c>
      <c r="BL136" s="27" t="n">
        <v>1.561798</v>
      </c>
      <c r="BM136" s="28" t="n">
        <v>0.640288</v>
      </c>
      <c r="BN136" s="28" t="n"/>
      <c r="BO136" s="28" t="n"/>
      <c r="BP136" s="25" t="n"/>
      <c r="BQ136" s="27" t="n">
        <v>1.561798</v>
      </c>
      <c r="BR136" s="28" t="n">
        <v>0.64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0.91</v>
      </c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</row>
    <row r="137" ht="36" customHeight="1">
      <c r="A137" s="24" t="inlineStr">
        <is>
          <t>b9ae817ad96343f4</t>
        </is>
      </c>
      <c r="B137" s="24" t="inlineStr">
        <is>
          <t>2026-08-11T17:27:00.583454Z</t>
        </is>
      </c>
      <c r="C137" s="24" t="inlineStr">
        <is>
          <t>2026-08-11T18:30:00Z</t>
        </is>
      </c>
      <c r="D137" s="24" t="inlineStr">
        <is>
          <t>78109</t>
        </is>
      </c>
      <c r="E137" s="24" t="inlineStr">
        <is>
          <t>CS2</t>
        </is>
      </c>
      <c r="F137" s="24" t="inlineStr">
        <is>
          <t>ENRAGE</t>
        </is>
      </c>
      <c r="G137" s="24" t="inlineStr">
        <is>
          <t>Younglings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100</v>
      </c>
      <c r="M137" s="27" t="n">
        <v>2</v>
      </c>
      <c r="N137" s="28" t="n">
        <v>0.5</v>
      </c>
      <c r="O137" s="28" t="n">
        <v>0.671502</v>
      </c>
      <c r="P137" s="28" t="n"/>
      <c r="Q137" s="28" t="n">
        <v>0.171502</v>
      </c>
      <c r="R137" s="26" t="n">
        <v>100</v>
      </c>
      <c r="S137" s="29" t="n">
        <v>1.75</v>
      </c>
      <c r="T137" s="24" t="inlineStr">
        <is>
          <t>cs2-tiered-elo-v6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100</v>
      </c>
      <c r="AA137" s="28" t="n">
        <v>0.5</v>
      </c>
      <c r="AB137" s="28" t="n">
        <v>0</v>
      </c>
      <c r="AC137" s="30" t="n">
        <v>-1.75</v>
      </c>
      <c r="AD137" s="24" t="inlineStr">
        <is>
          <t>2026-08-11T19:53:56.371669Z</t>
        </is>
      </c>
      <c r="AE137" s="31" t="inlineStr">
        <is>
          <t>Neutral Elo baseline; executable ask 0.5000 (market_slug=aec-cs2-yl-enr-2026-08-11).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ENRAGE</t>
        </is>
      </c>
      <c r="AQ137" s="24" t="inlineStr">
        <is>
          <t>ENRAGE</t>
        </is>
      </c>
      <c r="AR137" s="24" t="inlineStr">
        <is>
          <t>ENRAGE</t>
        </is>
      </c>
      <c r="AS137" s="24" t="inlineStr">
        <is>
          <t>Younglings</t>
        </is>
      </c>
      <c r="AT137" s="24" t="inlineStr">
        <is>
          <t>Younglings</t>
        </is>
      </c>
      <c r="AU137" s="24" t="inlineStr">
        <is>
          <t>Younglings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aa38faabc43b718e795a96ee74d0ed78592947441c47c14c503921bcd6ea3e0a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aa38faabc43b718e795a96ee74d0ed78592947441c47c14c503921bcd6ea3e0a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2026-08-11T17:26:35.716470Z</t>
        </is>
      </c>
      <c r="BI137" s="24" t="inlineStr">
        <is>
          <t>["same_event","same_team_same_day","same_league_same_day"]</t>
        </is>
      </c>
      <c r="BJ137" s="25" t="n"/>
      <c r="BK137" s="26" t="n">
        <v>100</v>
      </c>
      <c r="BL137" s="27" t="n">
        <v>2</v>
      </c>
      <c r="BM137" s="28" t="n">
        <v>0.5</v>
      </c>
      <c r="BN137" s="28" t="n"/>
      <c r="BO137" s="28" t="n"/>
      <c r="BP137" s="25" t="n"/>
      <c r="BQ137" s="27" t="n">
        <v>2</v>
      </c>
      <c r="BR137" s="28" t="n">
        <v>0.5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-1</v>
      </c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7b82c14da53e45f7</t>
        </is>
      </c>
      <c r="B138" s="24" t="inlineStr">
        <is>
          <t>2026-08-11T17:27:00.583454Z</t>
        </is>
      </c>
      <c r="C138" s="24" t="inlineStr">
        <is>
          <t>2026-08-11T18:30:00Z</t>
        </is>
      </c>
      <c r="D138" s="24" t="inlineStr">
        <is>
          <t>78107</t>
        </is>
      </c>
      <c r="E138" s="24" t="inlineStr">
        <is>
          <t>CS2</t>
        </is>
      </c>
      <c r="F138" s="24" t="inlineStr">
        <is>
          <t>NAVI Junior</t>
        </is>
      </c>
      <c r="G138" s="24" t="inlineStr">
        <is>
          <t>OLDBOYS PL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-203</v>
      </c>
      <c r="M138" s="27" t="n">
        <v>1.492611</v>
      </c>
      <c r="N138" s="28" t="n">
        <v>0.669967</v>
      </c>
      <c r="O138" s="28" t="n">
        <v>0.703605</v>
      </c>
      <c r="P138" s="28" t="n"/>
      <c r="Q138" s="28" t="n">
        <v>0.033638</v>
      </c>
      <c r="R138" s="26" t="n">
        <v>37</v>
      </c>
      <c r="S138" s="29" t="n">
        <v>2</v>
      </c>
      <c r="T138" s="24" t="inlineStr">
        <is>
          <t>cs2-tiered-elo-v6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0.6700 (market_slug=aec-cs2-oldboyspl-navij-2026-08-11).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NAVI Junior</t>
        </is>
      </c>
      <c r="AQ138" s="24" t="inlineStr">
        <is>
          <t>NAVI Junior</t>
        </is>
      </c>
      <c r="AR138" s="24" t="inlineStr">
        <is>
          <t>NAVI Junior</t>
        </is>
      </c>
      <c r="AS138" s="24" t="inlineStr">
        <is>
          <t>OLDBOYS PL</t>
        </is>
      </c>
      <c r="AT138" s="24" t="inlineStr">
        <is>
          <t>OLDBOYS PL</t>
        </is>
      </c>
      <c r="AU138" s="24" t="inlineStr">
        <is>
          <t>OLDBOYS PL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aa38faabc43b718e795a96ee74d0ed78592947441c47c14c503921bcd6ea3e0a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aa38faabc43b718e795a96ee74d0ed78592947441c47c14c503921bcd6ea3e0a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2026-08-11T17:26:36.825645Z</t>
        </is>
      </c>
      <c r="BI138" s="24" t="inlineStr">
        <is>
          <t>["same_event","same_team_same_day","same_league_same_day"]</t>
        </is>
      </c>
      <c r="BJ138" s="25" t="n"/>
      <c r="BK138" s="26" t="n">
        <v>-203</v>
      </c>
      <c r="BL138" s="27" t="n">
        <v>1.492611</v>
      </c>
      <c r="BM138" s="28" t="n">
        <v>0.669967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e90649f4bc814144</t>
        </is>
      </c>
      <c r="B139" s="24" t="inlineStr">
        <is>
          <t>2026-08-11T17:27:00.583454Z</t>
        </is>
      </c>
      <c r="C139" s="24" t="inlineStr">
        <is>
          <t>2026-08-11T18:30:00Z</t>
        </is>
      </c>
      <c r="D139" s="24" t="inlineStr">
        <is>
          <t>78106</t>
        </is>
      </c>
      <c r="E139" s="24" t="inlineStr">
        <is>
          <t>CS2</t>
        </is>
      </c>
      <c r="F139" s="24" t="inlineStr">
        <is>
          <t>JUMBO TEAM</t>
        </is>
      </c>
      <c r="G139" s="24" t="inlineStr">
        <is>
          <t>Bushido Wildcats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-150</v>
      </c>
      <c r="M139" s="27" t="n">
        <v>1.666667</v>
      </c>
      <c r="N139" s="28" t="n">
        <v>0.6</v>
      </c>
      <c r="O139" s="28" t="n">
        <v>0.818242</v>
      </c>
      <c r="P139" s="28" t="n"/>
      <c r="Q139" s="28" t="n">
        <v>0.218242</v>
      </c>
      <c r="R139" s="26" t="n">
        <v>100</v>
      </c>
      <c r="S139" s="29" t="n">
        <v>2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push</t>
        </is>
      </c>
      <c r="W139" s="26" t="n"/>
      <c r="X139" s="26" t="n"/>
      <c r="Y139" s="25" t="n"/>
      <c r="Z139" s="26" t="n"/>
      <c r="AA139" s="28" t="n"/>
      <c r="AB139" s="28" t="n"/>
      <c r="AC139" s="30" t="n">
        <v>0</v>
      </c>
      <c r="AD139" s="24" t="inlineStr">
        <is>
          <t>2026-08-12T16:39:49.801512Z</t>
        </is>
      </c>
      <c r="AE139" s="31" t="inlineStr">
        <is>
          <t>Neutral Elo baseline; executable ask 0.6000 (market_slug=aec-cs2-bw-jumbo-2026-08-11).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JUMBO TEAM</t>
        </is>
      </c>
      <c r="AQ139" s="24" t="inlineStr">
        <is>
          <t>JUMBO TEAM</t>
        </is>
      </c>
      <c r="AR139" s="24" t="inlineStr">
        <is>
          <t>JUMBO TEAM</t>
        </is>
      </c>
      <c r="AS139" s="24" t="inlineStr">
        <is>
          <t>Bushido Wildcats</t>
        </is>
      </c>
      <c r="AT139" s="24" t="inlineStr">
        <is>
          <t>Bushido Wildcats</t>
        </is>
      </c>
      <c r="AU139" s="24" t="inlineStr">
        <is>
          <t>Bushido Wildcats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aa38faabc43b718e795a96ee74d0ed78592947441c47c14c503921bcd6ea3e0a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aa38faabc43b718e795a96ee74d0ed78592947441c47c14c503921bcd6ea3e0a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2026-08-11T17:26:37.509035Z</t>
        </is>
      </c>
      <c r="BI139" s="24" t="inlineStr">
        <is>
          <t>["same_event","same_team_same_day","same_league_same_day"]</t>
        </is>
      </c>
      <c r="BJ139" s="25" t="n"/>
      <c r="BK139" s="26" t="n">
        <v>-150</v>
      </c>
      <c r="BL139" s="27" t="n">
        <v>1.666667</v>
      </c>
      <c r="BM139" s="28" t="n">
        <v>0.6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inlineStr">
        <is>
          <t>esports market settled to a non-binary price (forfeit/postponement per market rules)</t>
        </is>
      </c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</row>
    <row r="140" ht="36" customHeight="1">
      <c r="A140" s="24" t="inlineStr">
        <is>
          <t>a7d05600e65e47f0</t>
        </is>
      </c>
      <c r="B140" s="24" t="inlineStr">
        <is>
          <t>2026-08-11T17:27:00.583454Z</t>
        </is>
      </c>
      <c r="C140" s="24" t="inlineStr">
        <is>
          <t>2026-08-11T18:30:00Z</t>
        </is>
      </c>
      <c r="D140" s="24" t="inlineStr">
        <is>
          <t>78105</t>
        </is>
      </c>
      <c r="E140" s="24" t="inlineStr">
        <is>
          <t>CS2</t>
        </is>
      </c>
      <c r="F140" s="24" t="inlineStr">
        <is>
          <t>Misa Esports</t>
        </is>
      </c>
      <c r="G140" s="24" t="inlineStr">
        <is>
          <t>NEW VISION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-104</v>
      </c>
      <c r="M140" s="27" t="n">
        <v>1.961538</v>
      </c>
      <c r="N140" s="28" t="n">
        <v>0.509804</v>
      </c>
      <c r="O140" s="28" t="n">
        <v>0.5279509999999999</v>
      </c>
      <c r="P140" s="28" t="n"/>
      <c r="Q140" s="28" t="n">
        <v>0.018147</v>
      </c>
      <c r="R140" s="26" t="n">
        <v>29</v>
      </c>
      <c r="S140" s="29" t="n">
        <v>1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>
        <v>-104</v>
      </c>
      <c r="AA140" s="28" t="n">
        <v>0.51</v>
      </c>
      <c r="AB140" s="28" t="n">
        <v>0.000196</v>
      </c>
      <c r="AC140" s="30" t="n">
        <v>0.9615</v>
      </c>
      <c r="AD140" s="24" t="inlineStr">
        <is>
          <t>2026-08-11T22:59:56.108947Z</t>
        </is>
      </c>
      <c r="AE140" s="31" t="inlineStr">
        <is>
          <t>Neutral Elo baseline; executable ask 0.5100 (market_slug=aec-cs2-nve-misa-2026-08-11).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Misa Esports</t>
        </is>
      </c>
      <c r="AQ140" s="24" t="inlineStr">
        <is>
          <t>Misa Esports</t>
        </is>
      </c>
      <c r="AR140" s="24" t="inlineStr">
        <is>
          <t>Misa Esports</t>
        </is>
      </c>
      <c r="AS140" s="24" t="inlineStr">
        <is>
          <t>NEW VISION</t>
        </is>
      </c>
      <c r="AT140" s="24" t="inlineStr">
        <is>
          <t>NEW VISION</t>
        </is>
      </c>
      <c r="AU140" s="24" t="inlineStr">
        <is>
          <t>NEW VISION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aa38faabc43b718e795a96ee74d0ed78592947441c47c14c503921bcd6ea3e0a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aa38faabc43b718e795a96ee74d0ed78592947441c47c14c503921bcd6ea3e0a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2026-08-11T17:26:38.230837Z</t>
        </is>
      </c>
      <c r="BI140" s="24" t="inlineStr">
        <is>
          <t>["same_event","same_team_same_day","same_league_same_day"]</t>
        </is>
      </c>
      <c r="BJ140" s="25" t="n"/>
      <c r="BK140" s="26" t="n">
        <v>-104</v>
      </c>
      <c r="BL140" s="27" t="n">
        <v>1.961538</v>
      </c>
      <c r="BM140" s="28" t="n">
        <v>0.509804</v>
      </c>
      <c r="BN140" s="28" t="n"/>
      <c r="BO140" s="28" t="n"/>
      <c r="BP140" s="25" t="n"/>
      <c r="BQ140" s="27" t="n">
        <v>1.961538</v>
      </c>
      <c r="BR140" s="28" t="n">
        <v>0.51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0.91</v>
      </c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612b37a643044f81</t>
        </is>
      </c>
      <c r="B141" s="24" t="inlineStr">
        <is>
          <t>2026-08-11T17:27:00.583454Z</t>
        </is>
      </c>
      <c r="C141" s="24" t="inlineStr">
        <is>
          <t>2026-08-11T18:30:00Z</t>
        </is>
      </c>
      <c r="D141" s="24" t="inlineStr">
        <is>
          <t>78104</t>
        </is>
      </c>
      <c r="E141" s="24" t="inlineStr">
        <is>
          <t>CS2</t>
        </is>
      </c>
      <c r="F141" s="24" t="inlineStr">
        <is>
          <t>Inner Circle Academy</t>
        </is>
      </c>
      <c r="G141" s="24" t="inlineStr">
        <is>
          <t>Falcons Force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-150</v>
      </c>
      <c r="M141" s="27" t="n">
        <v>1.666667</v>
      </c>
      <c r="N141" s="28" t="n">
        <v>0.6</v>
      </c>
      <c r="O141" s="28" t="n">
        <v>0.67941</v>
      </c>
      <c r="P141" s="28" t="n"/>
      <c r="Q141" s="28" t="n">
        <v>0.07940999999999999</v>
      </c>
      <c r="R141" s="26" t="n">
        <v>60</v>
      </c>
      <c r="S141" s="29" t="n">
        <v>1.75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-150</v>
      </c>
      <c r="AA141" s="28" t="n">
        <v>0.6</v>
      </c>
      <c r="AB141" s="28" t="n">
        <v>0</v>
      </c>
      <c r="AC141" s="30" t="n">
        <v>-1.75</v>
      </c>
      <c r="AD141" s="24" t="inlineStr">
        <is>
          <t>2026-08-11T19:54:01.706129Z</t>
        </is>
      </c>
      <c r="AE141" s="31" t="inlineStr">
        <is>
          <t>Neutral Elo baseline; executable ask 0.6000 (market_slug=aec-cs2-falf-ica-2026-08-11).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Inner Circle Academy</t>
        </is>
      </c>
      <c r="AQ141" s="24" t="inlineStr">
        <is>
          <t>Inner Circle Academy</t>
        </is>
      </c>
      <c r="AR141" s="24" t="inlineStr">
        <is>
          <t>Inner Circle Academy</t>
        </is>
      </c>
      <c r="AS141" s="24" t="inlineStr">
        <is>
          <t>Falcons Force</t>
        </is>
      </c>
      <c r="AT141" s="24" t="inlineStr">
        <is>
          <t>Falcons Force</t>
        </is>
      </c>
      <c r="AU141" s="24" t="inlineStr">
        <is>
          <t>Falcons Force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aa38faabc43b718e795a96ee74d0ed78592947441c47c14c503921bcd6ea3e0a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aa38faabc43b718e795a96ee74d0ed78592947441c47c14c503921bcd6ea3e0a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2026-08-11T17:26:38.766526Z</t>
        </is>
      </c>
      <c r="BI141" s="24" t="inlineStr">
        <is>
          <t>["same_event","same_team_same_day","same_league_same_day"]</t>
        </is>
      </c>
      <c r="BJ141" s="25" t="n"/>
      <c r="BK141" s="26" t="n">
        <v>-150</v>
      </c>
      <c r="BL141" s="27" t="n">
        <v>1.666667</v>
      </c>
      <c r="BM141" s="28" t="n">
        <v>0.6</v>
      </c>
      <c r="BN141" s="28" t="n"/>
      <c r="BO141" s="28" t="n"/>
      <c r="BP141" s="25" t="n"/>
      <c r="BQ141" s="27" t="n">
        <v>1.666667</v>
      </c>
      <c r="BR141" s="28" t="n">
        <v>0.6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-1</v>
      </c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21e35a6b6e6b4248</t>
        </is>
      </c>
      <c r="B142" s="24" t="inlineStr">
        <is>
          <t>2026-08-11T17:27:00.583454Z</t>
        </is>
      </c>
      <c r="C142" s="24" t="inlineStr">
        <is>
          <t>2026-08-11T18:30:00Z</t>
        </is>
      </c>
      <c r="D142" s="24" t="inlineStr">
        <is>
          <t>78118</t>
        </is>
      </c>
      <c r="E142" s="24" t="inlineStr">
        <is>
          <t>CS2</t>
        </is>
      </c>
      <c r="F142" s="24" t="inlineStr">
        <is>
          <t>A Great Chaos</t>
        </is>
      </c>
      <c r="G142" s="24" t="inlineStr">
        <is>
          <t>XI Esport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-144</v>
      </c>
      <c r="M142" s="27" t="n">
        <v>1.694444</v>
      </c>
      <c r="N142" s="28" t="n">
        <v>0.590164</v>
      </c>
      <c r="O142" s="28" t="n">
        <v>0.684375</v>
      </c>
      <c r="P142" s="28" t="n"/>
      <c r="Q142" s="28" t="n">
        <v>0.094211</v>
      </c>
      <c r="R142" s="26" t="n">
        <v>67</v>
      </c>
      <c r="S142" s="29" t="n">
        <v>2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-144</v>
      </c>
      <c r="AA142" s="28" t="n">
        <v>0.59</v>
      </c>
      <c r="AB142" s="28" t="n">
        <v>-0.000164</v>
      </c>
      <c r="AC142" s="30" t="n">
        <v>1.3889</v>
      </c>
      <c r="AD142" s="24" t="inlineStr">
        <is>
          <t>2026-08-11T19:54:03.948337Z</t>
        </is>
      </c>
      <c r="AE142" s="31" t="inlineStr">
        <is>
          <t>Neutral Elo baseline; executable ask 0.5900 (market_slug=aec-cs2-xi-agc-2026-08-11).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 Great Chaos</t>
        </is>
      </c>
      <c r="AQ142" s="24" t="inlineStr">
        <is>
          <t>A Great Chaos</t>
        </is>
      </c>
      <c r="AR142" s="24" t="inlineStr">
        <is>
          <t>A Great Chaos</t>
        </is>
      </c>
      <c r="AS142" s="24" t="inlineStr">
        <is>
          <t>XI Esport</t>
        </is>
      </c>
      <c r="AT142" s="24" t="inlineStr">
        <is>
          <t>XI Esport</t>
        </is>
      </c>
      <c r="AU142" s="24" t="inlineStr">
        <is>
          <t>XI Esport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aa38faabc43b718e795a96ee74d0ed78592947441c47c14c503921bcd6ea3e0a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aa38faabc43b718e795a96ee74d0ed78592947441c47c14c503921bcd6ea3e0a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2026-08-11T17:26:40.417466Z</t>
        </is>
      </c>
      <c r="BI142" s="24" t="inlineStr">
        <is>
          <t>["same_event","same_team_same_day","same_league_same_day"]</t>
        </is>
      </c>
      <c r="BJ142" s="25" t="n"/>
      <c r="BK142" s="26" t="n">
        <v>-144</v>
      </c>
      <c r="BL142" s="27" t="n">
        <v>1.694444</v>
      </c>
      <c r="BM142" s="28" t="n">
        <v>0.590164</v>
      </c>
      <c r="BN142" s="28" t="n"/>
      <c r="BO142" s="28" t="n"/>
      <c r="BP142" s="25" t="n"/>
      <c r="BQ142" s="27" t="n">
        <v>1.694444</v>
      </c>
      <c r="BR142" s="28" t="n">
        <v>0.59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0.91</v>
      </c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479ed7f151a0424e</t>
        </is>
      </c>
      <c r="B143" s="24" t="inlineStr">
        <is>
          <t>2026-08-11T17:27:00.583454Z</t>
        </is>
      </c>
      <c r="C143" s="24" t="inlineStr">
        <is>
          <t>2026-08-11T18:30:00Z</t>
        </is>
      </c>
      <c r="D143" s="24" t="inlineStr">
        <is>
          <t>78116</t>
        </is>
      </c>
      <c r="E143" s="24" t="inlineStr">
        <is>
          <t>CS2</t>
        </is>
      </c>
      <c r="F143" s="24" t="inlineStr">
        <is>
          <t>Diamant Esports</t>
        </is>
      </c>
      <c r="G143" s="24" t="inlineStr">
        <is>
          <t>Banger Gang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-104</v>
      </c>
      <c r="M143" s="27" t="n">
        <v>1.961538</v>
      </c>
      <c r="N143" s="28" t="n">
        <v>0.509804</v>
      </c>
      <c r="O143" s="28" t="n">
        <v>0.551293</v>
      </c>
      <c r="P143" s="28" t="n"/>
      <c r="Q143" s="28" t="n">
        <v>0.041489</v>
      </c>
      <c r="R143" s="26" t="n">
        <v>41</v>
      </c>
      <c r="S143" s="29" t="n">
        <v>1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-178</v>
      </c>
      <c r="AA143" s="28" t="n">
        <v>0.64</v>
      </c>
      <c r="AB143" s="28" t="n">
        <v>0.130196</v>
      </c>
      <c r="AC143" s="30" t="n">
        <v>0.9615</v>
      </c>
      <c r="AD143" s="24" t="inlineStr">
        <is>
          <t>2026-08-11T19:54:06.410001Z</t>
        </is>
      </c>
      <c r="AE143" s="31" t="inlineStr">
        <is>
          <t>Neutral Elo baseline; executable ask 0.5100 (market_slug=aec-cs2-bg-dei-2026-08-11).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Diamant Esports</t>
        </is>
      </c>
      <c r="AQ143" s="24" t="inlineStr">
        <is>
          <t>Diamant Esports</t>
        </is>
      </c>
      <c r="AR143" s="24" t="inlineStr">
        <is>
          <t>Diamant Esports</t>
        </is>
      </c>
      <c r="AS143" s="24" t="inlineStr">
        <is>
          <t>Banger Gang</t>
        </is>
      </c>
      <c r="AT143" s="24" t="inlineStr">
        <is>
          <t>Banger Gang</t>
        </is>
      </c>
      <c r="AU143" s="24" t="inlineStr">
        <is>
          <t>Banger Gang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aa38faabc43b718e795a96ee74d0ed78592947441c47c14c503921bcd6ea3e0a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aa38faabc43b718e795a96ee74d0ed78592947441c47c14c503921bcd6ea3e0a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2026-08-11T17:26:41.010518Z</t>
        </is>
      </c>
      <c r="BI143" s="24" t="inlineStr">
        <is>
          <t>["same_event","same_team_same_day","same_league_same_day"]</t>
        </is>
      </c>
      <c r="BJ143" s="25" t="n"/>
      <c r="BK143" s="26" t="n">
        <v>-104</v>
      </c>
      <c r="BL143" s="27" t="n">
        <v>1.961538</v>
      </c>
      <c r="BM143" s="28" t="n">
        <v>0.509804</v>
      </c>
      <c r="BN143" s="28" t="n"/>
      <c r="BO143" s="28" t="n"/>
      <c r="BP143" s="25" t="n"/>
      <c r="BQ143" s="27" t="n">
        <v>1.561798</v>
      </c>
      <c r="BR143" s="28" t="n">
        <v>0.64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0.91</v>
      </c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6353443edbba48a4</t>
        </is>
      </c>
      <c r="B144" s="24" t="inlineStr">
        <is>
          <t>2026-08-11T17:27:00.583454Z</t>
        </is>
      </c>
      <c r="C144" s="24" t="inlineStr">
        <is>
          <t>2026-08-11T18:30:00Z</t>
        </is>
      </c>
      <c r="D144" s="24" t="inlineStr">
        <is>
          <t>78115</t>
        </is>
      </c>
      <c r="E144" s="24" t="inlineStr">
        <is>
          <t>CS2</t>
        </is>
      </c>
      <c r="F144" s="24" t="inlineStr">
        <is>
          <t>Fraternity</t>
        </is>
      </c>
      <c r="G144" s="24" t="inlineStr">
        <is>
          <t>Subtop De France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-163</v>
      </c>
      <c r="M144" s="27" t="n">
        <v>1.613497</v>
      </c>
      <c r="N144" s="28" t="n">
        <v>0.619772</v>
      </c>
      <c r="O144" s="28" t="n">
        <v>0.510999</v>
      </c>
      <c r="P144" s="28" t="n"/>
      <c r="Q144" s="28" t="n">
        <v>-0.108773</v>
      </c>
      <c r="R144" s="26" t="n">
        <v>0</v>
      </c>
      <c r="S144" s="29" t="n">
        <v>1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0</v>
      </c>
      <c r="X144" s="26" t="n">
        <v>1</v>
      </c>
      <c r="Y144" s="25" t="n"/>
      <c r="Z144" s="26" t="n">
        <v>-178</v>
      </c>
      <c r="AA144" s="28" t="n">
        <v>0.64</v>
      </c>
      <c r="AB144" s="28" t="n">
        <v>0.020228</v>
      </c>
      <c r="AC144" s="30" t="n">
        <v>-1</v>
      </c>
      <c r="AD144" s="24" t="inlineStr">
        <is>
          <t>2026-08-11T19:54:08.625944Z</t>
        </is>
      </c>
      <c r="AE144" s="31" t="inlineStr">
        <is>
          <t>Neutral Elo baseline; executable ask 0.6200 (market_slug=aec-cs2-sdf-frt-2026-08-11).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Fraternity</t>
        </is>
      </c>
      <c r="AQ144" s="24" t="inlineStr">
        <is>
          <t>Fraternity</t>
        </is>
      </c>
      <c r="AR144" s="24" t="inlineStr">
        <is>
          <t>Fraternity</t>
        </is>
      </c>
      <c r="AS144" s="24" t="inlineStr">
        <is>
          <t>Subtop De France</t>
        </is>
      </c>
      <c r="AT144" s="24" t="inlineStr">
        <is>
          <t>Subtop De France</t>
        </is>
      </c>
      <c r="AU144" s="24" t="inlineStr">
        <is>
          <t>Subtop De France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aa38faabc43b718e795a96ee74d0ed78592947441c47c14c503921bcd6ea3e0a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aa38faabc43b718e795a96ee74d0ed78592947441c47c14c503921bcd6ea3e0a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2026-08-11T17:26:41.577269Z</t>
        </is>
      </c>
      <c r="BI144" s="24" t="inlineStr">
        <is>
          <t>["same_event","same_team_same_day","same_league_same_day"]</t>
        </is>
      </c>
      <c r="BJ144" s="25" t="n"/>
      <c r="BK144" s="26" t="n">
        <v>-163</v>
      </c>
      <c r="BL144" s="27" t="n">
        <v>1.613497</v>
      </c>
      <c r="BM144" s="28" t="n">
        <v>0.619772</v>
      </c>
      <c r="BN144" s="28" t="n"/>
      <c r="BO144" s="28" t="n"/>
      <c r="BP144" s="25" t="n"/>
      <c r="BQ144" s="27" t="n">
        <v>1.561798</v>
      </c>
      <c r="BR144" s="28" t="n">
        <v>0.64</v>
      </c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9452b38e8c334755</t>
        </is>
      </c>
      <c r="B145" s="24" t="inlineStr">
        <is>
          <t>2026-08-11T17:27:00.583454Z</t>
        </is>
      </c>
      <c r="C145" s="24" t="inlineStr">
        <is>
          <t>2026-08-11T18:30:00Z</t>
        </is>
      </c>
      <c r="D145" s="24" t="inlineStr">
        <is>
          <t>78103</t>
        </is>
      </c>
      <c r="E145" s="24" t="inlineStr">
        <is>
          <t>CS2</t>
        </is>
      </c>
      <c r="F145" s="24" t="inlineStr">
        <is>
          <t>banda chuya</t>
        </is>
      </c>
      <c r="G145" s="24" t="inlineStr">
        <is>
          <t>Drama eSports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117</v>
      </c>
      <c r="M145" s="27" t="n">
        <v>2.17</v>
      </c>
      <c r="N145" s="28" t="n">
        <v>0.460829</v>
      </c>
      <c r="O145" s="28" t="n">
        <v>0.534726</v>
      </c>
      <c r="P145" s="28" t="n"/>
      <c r="Q145" s="28" t="n">
        <v>0.073897</v>
      </c>
      <c r="R145" s="26" t="n">
        <v>57</v>
      </c>
      <c r="S145" s="29" t="n">
        <v>1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0</v>
      </c>
      <c r="Y145" s="25" t="n"/>
      <c r="Z145" s="26" t="n">
        <v>144</v>
      </c>
      <c r="AA145" s="28" t="n">
        <v>0.41</v>
      </c>
      <c r="AB145" s="28" t="n">
        <v>-0.050829</v>
      </c>
      <c r="AC145" s="30" t="n">
        <v>1.17</v>
      </c>
      <c r="AD145" s="24" t="inlineStr">
        <is>
          <t>2026-08-11T19:54:10.817050Z</t>
        </is>
      </c>
      <c r="AE145" s="31" t="inlineStr">
        <is>
          <t>Neutral Elo baseline; executable ask 0.4600 (market_slug=aec-cs2-drama-bcan-2026-08-11).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banda chuya</t>
        </is>
      </c>
      <c r="AQ145" s="24" t="inlineStr">
        <is>
          <t>banda chuya</t>
        </is>
      </c>
      <c r="AR145" s="24" t="inlineStr">
        <is>
          <t>banda chuya</t>
        </is>
      </c>
      <c r="AS145" s="24" t="inlineStr">
        <is>
          <t>Drama eSports</t>
        </is>
      </c>
      <c r="AT145" s="24" t="inlineStr">
        <is>
          <t>Drama eSports</t>
        </is>
      </c>
      <c r="AU145" s="24" t="inlineStr">
        <is>
          <t>Drama eSports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aa38faabc43b718e795a96ee74d0ed78592947441c47c14c503921bcd6ea3e0a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aa38faabc43b718e795a96ee74d0ed78592947441c47c14c503921bcd6ea3e0a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2026-08-11T17:26:42.674874Z</t>
        </is>
      </c>
      <c r="BI145" s="24" t="inlineStr">
        <is>
          <t>["same_event","same_team_same_day","same_league_same_day"]</t>
        </is>
      </c>
      <c r="BJ145" s="25" t="n"/>
      <c r="BK145" s="26" t="n">
        <v>117</v>
      </c>
      <c r="BL145" s="27" t="n">
        <v>2.17</v>
      </c>
      <c r="BM145" s="28" t="n">
        <v>0.460829</v>
      </c>
      <c r="BN145" s="28" t="n"/>
      <c r="BO145" s="28" t="n"/>
      <c r="BP145" s="25" t="n"/>
      <c r="BQ145" s="27" t="n">
        <v>2.44</v>
      </c>
      <c r="BR145" s="28" t="n">
        <v>0.41</v>
      </c>
      <c r="BS145" s="28" t="n"/>
      <c r="BT145" s="28" t="n"/>
      <c r="BU145" s="25" t="n"/>
      <c r="BV145" s="29" t="n"/>
      <c r="BW145" s="24" t="n"/>
      <c r="BX145" s="30" t="n">
        <v>1</v>
      </c>
      <c r="BY145" s="27" t="n">
        <v>0.91</v>
      </c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ec56deb3457241a8</t>
        </is>
      </c>
      <c r="B146" s="24" t="inlineStr">
        <is>
          <t>2026-08-11T19:58:42.353959Z</t>
        </is>
      </c>
      <c r="C146" s="24" t="inlineStr">
        <is>
          <t>2026-08-11T21:00:00Z</t>
        </is>
      </c>
      <c r="D146" s="24" t="inlineStr">
        <is>
          <t>77266</t>
        </is>
      </c>
      <c r="E146" s="24" t="inlineStr">
        <is>
          <t>CS2</t>
        </is>
      </c>
      <c r="F146" s="24" t="inlineStr">
        <is>
          <t>Rush</t>
        </is>
      </c>
      <c r="G146" s="24" t="inlineStr">
        <is>
          <t>Peak Agency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-194</v>
      </c>
      <c r="M146" s="27" t="n">
        <v>1.515464</v>
      </c>
      <c r="N146" s="28" t="n">
        <v>0.659864</v>
      </c>
      <c r="O146" s="28" t="n">
        <v>0.616146</v>
      </c>
      <c r="P146" s="28" t="n"/>
      <c r="Q146" s="28" t="n">
        <v>-0.043718</v>
      </c>
      <c r="R146" s="26" t="n">
        <v>0</v>
      </c>
      <c r="S146" s="29" t="n">
        <v>1.5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>
        <v>-194</v>
      </c>
      <c r="AA146" s="28" t="n">
        <v>0.66</v>
      </c>
      <c r="AB146" s="28" t="n">
        <v>0.000136</v>
      </c>
      <c r="AC146" s="30" t="n">
        <v>0.7732</v>
      </c>
      <c r="AD146" s="24" t="inlineStr">
        <is>
          <t>2026-08-11T22:59:58.249855Z</t>
        </is>
      </c>
      <c r="AE146" s="31" t="inlineStr">
        <is>
          <t>Neutral Elo baseline; executable ask 0.6600 (market_slug=aec-cs2-pae-rush-2026-08-11).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Rush</t>
        </is>
      </c>
      <c r="AQ146" s="24" t="inlineStr">
        <is>
          <t>Rush</t>
        </is>
      </c>
      <c r="AR146" s="24" t="inlineStr">
        <is>
          <t>Rush</t>
        </is>
      </c>
      <c r="AS146" s="24" t="inlineStr">
        <is>
          <t>Peak Agency</t>
        </is>
      </c>
      <c r="AT146" s="24" t="inlineStr">
        <is>
          <t>Peak Agency</t>
        </is>
      </c>
      <c r="AU146" s="24" t="inlineStr">
        <is>
          <t>Peak Agency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12c053f0a0823cfcf85bfe15b74dec3e791ef0cf3f28e8c4a4d98e075cef2be3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12c053f0a0823cfcf85bfe15b74dec3e791ef0cf3f28e8c4a4d98e075cef2be3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2026-08-11T19:58:26.181210Z</t>
        </is>
      </c>
      <c r="BI146" s="24" t="inlineStr">
        <is>
          <t>["same_event","same_team_same_day","same_league_same_day"]</t>
        </is>
      </c>
      <c r="BJ146" s="25" t="n"/>
      <c r="BK146" s="26" t="n">
        <v>-194</v>
      </c>
      <c r="BL146" s="27" t="n">
        <v>1.515464</v>
      </c>
      <c r="BM146" s="28" t="n">
        <v>0.659864</v>
      </c>
      <c r="BN146" s="28" t="n"/>
      <c r="BO146" s="28" t="n"/>
      <c r="BP146" s="25" t="n"/>
      <c r="BQ146" s="27" t="n">
        <v>1.515464</v>
      </c>
      <c r="BR146" s="28" t="n">
        <v>0.66</v>
      </c>
      <c r="BS146" s="28" t="n"/>
      <c r="BT146" s="28" t="n"/>
      <c r="BU146" s="25" t="n"/>
      <c r="BV146" s="29" t="n"/>
      <c r="BW146" s="24" t="n"/>
      <c r="BX146" s="30" t="n">
        <v>1</v>
      </c>
      <c r="BY146" s="27" t="n">
        <v>0.91</v>
      </c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</row>
    <row r="147" ht="36" customHeight="1">
      <c r="A147" s="24" t="inlineStr">
        <is>
          <t>bd0bc7dd51124179</t>
        </is>
      </c>
      <c r="B147" s="24" t="inlineStr">
        <is>
          <t>2026-08-11T23:04:05.256557Z</t>
        </is>
      </c>
      <c r="C147" s="24" t="inlineStr">
        <is>
          <t>2026-08-11T23:45:00Z</t>
        </is>
      </c>
      <c r="D147" s="24" t="inlineStr">
        <is>
          <t>77183</t>
        </is>
      </c>
      <c r="E147" s="24" t="inlineStr">
        <is>
          <t>CS2</t>
        </is>
      </c>
      <c r="F147" s="24" t="inlineStr">
        <is>
          <t>ALKA GAMING</t>
        </is>
      </c>
      <c r="G147" s="24" t="inlineStr">
        <is>
          <t>MEIA NOITE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-170</v>
      </c>
      <c r="M147" s="27" t="n">
        <v>1.588235</v>
      </c>
      <c r="N147" s="28" t="n">
        <v>0.62963</v>
      </c>
      <c r="O147" s="28" t="n">
        <v>0.6396579999999999</v>
      </c>
      <c r="P147" s="28" t="n"/>
      <c r="Q147" s="28" t="n">
        <v>0.010028</v>
      </c>
      <c r="R147" s="26" t="n">
        <v>25</v>
      </c>
      <c r="S147" s="29" t="n">
        <v>1.5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1</v>
      </c>
      <c r="X147" s="26" t="n">
        <v>0</v>
      </c>
      <c r="Y147" s="25" t="n"/>
      <c r="Z147" s="26" t="n">
        <v>-170</v>
      </c>
      <c r="AA147" s="28" t="n">
        <v>0.63</v>
      </c>
      <c r="AB147" s="28" t="n">
        <v>0.00037</v>
      </c>
      <c r="AC147" s="30" t="n">
        <v>0.8824</v>
      </c>
      <c r="AD147" s="24" t="inlineStr">
        <is>
          <t>2026-08-12T02:05:51.494261Z</t>
        </is>
      </c>
      <c r="AE147" s="31" t="inlineStr">
        <is>
          <t>Neutral Elo baseline; executable ask 0.6300 (market_slug=aec-cs2-mne-alka-2026-08-11).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ALKA GAMING</t>
        </is>
      </c>
      <c r="AQ147" s="24" t="inlineStr">
        <is>
          <t>ALKA GAMING</t>
        </is>
      </c>
      <c r="AR147" s="24" t="inlineStr">
        <is>
          <t>ALKA GAMING</t>
        </is>
      </c>
      <c r="AS147" s="24" t="inlineStr">
        <is>
          <t>MEIA NOITE</t>
        </is>
      </c>
      <c r="AT147" s="24" t="inlineStr">
        <is>
          <t>MEIA NOITE</t>
        </is>
      </c>
      <c r="AU147" s="24" t="inlineStr">
        <is>
          <t>MEIA NOITE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3cd31c4aa58b956b336919140dc36e39c6f18f25437b2f3e5bff736488a6351e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3cd31c4aa58b956b336919140dc36e39c6f18f25437b2f3e5bff736488a6351e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2026-08-11T23:03:47.028505Z</t>
        </is>
      </c>
      <c r="BI147" s="24" t="inlineStr">
        <is>
          <t>["same_event","same_team_same_day","same_league_same_day"]</t>
        </is>
      </c>
      <c r="BJ147" s="25" t="n"/>
      <c r="BK147" s="26" t="n">
        <v>-170</v>
      </c>
      <c r="BL147" s="27" t="n">
        <v>1.588235</v>
      </c>
      <c r="BM147" s="28" t="n">
        <v>0.62963</v>
      </c>
      <c r="BN147" s="28" t="n"/>
      <c r="BO147" s="28" t="n"/>
      <c r="BP147" s="25" t="n"/>
      <c r="BQ147" s="27" t="n">
        <v>1.588235</v>
      </c>
      <c r="BR147" s="28" t="n">
        <v>0.63</v>
      </c>
      <c r="BS147" s="28" t="n"/>
      <c r="BT147" s="28" t="n"/>
      <c r="BU147" s="25" t="n"/>
      <c r="BV147" s="29" t="n"/>
      <c r="BW147" s="24" t="n"/>
      <c r="BX147" s="30" t="n">
        <v>1</v>
      </c>
      <c r="BY147" s="27" t="n">
        <v>0.91</v>
      </c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e4b77fb908e84a70</t>
        </is>
      </c>
      <c r="B148" s="24" t="inlineStr">
        <is>
          <t>2026-08-11T23:04:05.256557Z</t>
        </is>
      </c>
      <c r="C148" s="24" t="inlineStr">
        <is>
          <t>2026-08-11T23:45:00Z</t>
        </is>
      </c>
      <c r="D148" s="24" t="inlineStr">
        <is>
          <t>77182</t>
        </is>
      </c>
      <c r="E148" s="24" t="inlineStr">
        <is>
          <t>CS2</t>
        </is>
      </c>
      <c r="F148" s="24" t="inlineStr">
        <is>
          <t>Red Feet</t>
        </is>
      </c>
      <c r="G148" s="24" t="inlineStr">
        <is>
          <t>METANOIA WOLVES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-186</v>
      </c>
      <c r="M148" s="27" t="n">
        <v>1.537634</v>
      </c>
      <c r="N148" s="28" t="n">
        <v>0.65035</v>
      </c>
      <c r="O148" s="28" t="n">
        <v>0.537083</v>
      </c>
      <c r="P148" s="28" t="n"/>
      <c r="Q148" s="28" t="n">
        <v>-0.113267</v>
      </c>
      <c r="R148" s="26" t="n">
        <v>0</v>
      </c>
      <c r="S148" s="29" t="n">
        <v>1</v>
      </c>
      <c r="T148" s="24" t="inlineStr">
        <is>
          <t>cs2-tiered-elo-v6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>
        <v>-186</v>
      </c>
      <c r="AA148" s="28" t="n">
        <v>0.65</v>
      </c>
      <c r="AB148" s="28" t="n">
        <v>-0.00035</v>
      </c>
      <c r="AC148" s="30" t="n">
        <v>0.5376</v>
      </c>
      <c r="AD148" s="24" t="inlineStr">
        <is>
          <t>2026-08-12T02:05:53.867449Z</t>
        </is>
      </c>
      <c r="AE148" s="31" t="inlineStr">
        <is>
          <t>Neutral Elo baseline; executable ask 0.6500 (market_slug=aec-cs2-mw-rf-2026-08-11).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Red Feet</t>
        </is>
      </c>
      <c r="AQ148" s="24" t="inlineStr">
        <is>
          <t>Red Feet</t>
        </is>
      </c>
      <c r="AR148" s="24" t="inlineStr">
        <is>
          <t>Red Feet</t>
        </is>
      </c>
      <c r="AS148" s="24" t="inlineStr">
        <is>
          <t>METANOIA WOLVES</t>
        </is>
      </c>
      <c r="AT148" s="24" t="inlineStr">
        <is>
          <t>METANOIA WOLVES</t>
        </is>
      </c>
      <c r="AU148" s="24" t="inlineStr">
        <is>
          <t>METANOIA WOLVES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3cd31c4aa58b956b336919140dc36e39c6f18f25437b2f3e5bff736488a6351e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3cd31c4aa58b956b336919140dc36e39c6f18f25437b2f3e5bff736488a6351e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2026-08-11T23:03:47.651633Z</t>
        </is>
      </c>
      <c r="BI148" s="24" t="inlineStr">
        <is>
          <t>["same_event","same_team_same_day","same_league_same_day"]</t>
        </is>
      </c>
      <c r="BJ148" s="25" t="n"/>
      <c r="BK148" s="26" t="n">
        <v>-186</v>
      </c>
      <c r="BL148" s="27" t="n">
        <v>1.537634</v>
      </c>
      <c r="BM148" s="28" t="n">
        <v>0.65035</v>
      </c>
      <c r="BN148" s="28" t="n"/>
      <c r="BO148" s="28" t="n"/>
      <c r="BP148" s="25" t="n"/>
      <c r="BQ148" s="27" t="n">
        <v>1.537634</v>
      </c>
      <c r="BR148" s="28" t="n">
        <v>0.65</v>
      </c>
      <c r="BS148" s="28" t="n"/>
      <c r="BT148" s="28" t="n"/>
      <c r="BU148" s="25" t="n"/>
      <c r="BV148" s="29" t="n"/>
      <c r="BW148" s="24" t="n"/>
      <c r="BX148" s="30" t="n">
        <v>1</v>
      </c>
      <c r="BY148" s="27" t="n">
        <v>0.91</v>
      </c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28b62964345e46d3</t>
        </is>
      </c>
      <c r="B149" s="24" t="inlineStr">
        <is>
          <t>2026-08-12T05:16:34.452250Z</t>
        </is>
      </c>
      <c r="C149" s="24" t="inlineStr">
        <is>
          <t>2026-08-12T08:00:00Z</t>
        </is>
      </c>
      <c r="D149" s="24" t="inlineStr">
        <is>
          <t>78256</t>
        </is>
      </c>
      <c r="E149" s="24" t="inlineStr">
        <is>
          <t>CS2</t>
        </is>
      </c>
      <c r="F149" s="24" t="inlineStr">
        <is>
          <t>ex-MANA eSports</t>
        </is>
      </c>
      <c r="G149" s="24" t="inlineStr">
        <is>
          <t>Bushido Wildcats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-194</v>
      </c>
      <c r="M149" s="27" t="n">
        <v>1.515464</v>
      </c>
      <c r="N149" s="28" t="n">
        <v>0.659864</v>
      </c>
      <c r="O149" s="28" t="n">
        <v>0.703308</v>
      </c>
      <c r="P149" s="28" t="n"/>
      <c r="Q149" s="28" t="n">
        <v>0.043444</v>
      </c>
      <c r="R149" s="26" t="n">
        <v>42</v>
      </c>
      <c r="S149" s="29" t="n">
        <v>2</v>
      </c>
      <c r="T149" s="24" t="inlineStr">
        <is>
          <t>cs2-tiered-elo-v6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>
        <v>-194</v>
      </c>
      <c r="AA149" s="28" t="n">
        <v>0.66</v>
      </c>
      <c r="AB149" s="28" t="n">
        <v>0.000136</v>
      </c>
      <c r="AC149" s="30" t="n">
        <v>1.0309</v>
      </c>
      <c r="AD149" s="24" t="inlineStr">
        <is>
          <t>2026-08-12T11:24:34.421282Z</t>
        </is>
      </c>
      <c r="AE149" s="31" t="inlineStr">
        <is>
          <t>Neutral Elo baseline; executable ask 0.6600 (market_slug=aec-cs2-bw-exmana-2026-08-12).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ex-MANA eSports</t>
        </is>
      </c>
      <c r="AQ149" s="24" t="inlineStr">
        <is>
          <t>ex-MANA eSports</t>
        </is>
      </c>
      <c r="AR149" s="24" t="inlineStr">
        <is>
          <t>ex-MANA eSports</t>
        </is>
      </c>
      <c r="AS149" s="24" t="inlineStr">
        <is>
          <t>Bushido Wildcats</t>
        </is>
      </c>
      <c r="AT149" s="24" t="inlineStr">
        <is>
          <t>Bushido Wildcats</t>
        </is>
      </c>
      <c r="AU149" s="24" t="inlineStr">
        <is>
          <t>Bushido Wildcats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2cd371771f3e59bbdc7c4e709aa2b3af65b891f1a68ec4ab92415144fc3f4603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2cd371771f3e59bbdc7c4e709aa2b3af65b891f1a68ec4ab92415144fc3f4603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2026-08-12T05:16:07.484020Z</t>
        </is>
      </c>
      <c r="BI149" s="24" t="inlineStr">
        <is>
          <t>["same_event","same_team_same_day","same_league_same_day"]</t>
        </is>
      </c>
      <c r="BJ149" s="25" t="n"/>
      <c r="BK149" s="26" t="n">
        <v>-194</v>
      </c>
      <c r="BL149" s="27" t="n">
        <v>1.515464</v>
      </c>
      <c r="BM149" s="28" t="n">
        <v>0.659864</v>
      </c>
      <c r="BN149" s="28" t="n"/>
      <c r="BO149" s="28" t="n"/>
      <c r="BP149" s="25" t="n"/>
      <c r="BQ149" s="27" t="n">
        <v>1.515464</v>
      </c>
      <c r="BR149" s="28" t="n">
        <v>0.66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90139e3597904d33</t>
        </is>
      </c>
      <c r="B150" s="24" t="inlineStr">
        <is>
          <t>2026-08-12T05:16:34.452250Z</t>
        </is>
      </c>
      <c r="C150" s="24" t="inlineStr">
        <is>
          <t>2026-08-12T08:00:00Z</t>
        </is>
      </c>
      <c r="D150" s="24" t="inlineStr">
        <is>
          <t>76175</t>
        </is>
      </c>
      <c r="E150" s="24" t="inlineStr">
        <is>
          <t>CS2</t>
        </is>
      </c>
      <c r="F150" s="24" t="inlineStr">
        <is>
          <t>B8 Academy</t>
        </is>
      </c>
      <c r="G150" s="24" t="inlineStr">
        <is>
          <t>FaZe Up Next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-113</v>
      </c>
      <c r="M150" s="27" t="n">
        <v>1.884956</v>
      </c>
      <c r="N150" s="28" t="n">
        <v>0.530516</v>
      </c>
      <c r="O150" s="28" t="n">
        <v>0.560665</v>
      </c>
      <c r="P150" s="28" t="n"/>
      <c r="Q150" s="28" t="n">
        <v>0.030149</v>
      </c>
      <c r="R150" s="26" t="n">
        <v>35</v>
      </c>
      <c r="S150" s="29" t="n">
        <v>1</v>
      </c>
      <c r="T150" s="24" t="inlineStr">
        <is>
          <t>cs2-tiered-elo-v6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>
        <v>-113</v>
      </c>
      <c r="AA150" s="28" t="n">
        <v>0.53</v>
      </c>
      <c r="AB150" s="28" t="n">
        <v>-0.000516</v>
      </c>
      <c r="AC150" s="30" t="n">
        <v>-1</v>
      </c>
      <c r="AD150" s="24" t="inlineStr">
        <is>
          <t>2026-08-12T11:24:36.706462Z</t>
        </is>
      </c>
      <c r="AE150" s="31" t="inlineStr">
        <is>
          <t>Neutral Elo baseline; executable ask 0.5300 (market_slug=aec-cs2-fazeun-b8a-2026-08-12).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B8 Academy</t>
        </is>
      </c>
      <c r="AQ150" s="24" t="inlineStr">
        <is>
          <t>B8 Academy</t>
        </is>
      </c>
      <c r="AR150" s="24" t="inlineStr">
        <is>
          <t>B8 Academy</t>
        </is>
      </c>
      <c r="AS150" s="24" t="inlineStr">
        <is>
          <t>FaZe Up Next</t>
        </is>
      </c>
      <c r="AT150" s="24" t="inlineStr">
        <is>
          <t>FaZe Up Next</t>
        </is>
      </c>
      <c r="AU150" s="24" t="inlineStr">
        <is>
          <t>FaZe Up Next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2cd371771f3e59bbdc7c4e709aa2b3af65b891f1a68ec4ab92415144fc3f4603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2cd371771f3e59bbdc7c4e709aa2b3af65b891f1a68ec4ab92415144fc3f4603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2026-08-12T05:16:08.058685Z</t>
        </is>
      </c>
      <c r="BI150" s="24" t="inlineStr">
        <is>
          <t>["same_event","same_team_same_day","same_league_same_day"]</t>
        </is>
      </c>
      <c r="BJ150" s="25" t="n"/>
      <c r="BK150" s="26" t="n">
        <v>-113</v>
      </c>
      <c r="BL150" s="27" t="n">
        <v>1.884956</v>
      </c>
      <c r="BM150" s="28" t="n">
        <v>0.530516</v>
      </c>
      <c r="BN150" s="28" t="n"/>
      <c r="BO150" s="28" t="n"/>
      <c r="BP150" s="25" t="n"/>
      <c r="BQ150" s="27" t="n">
        <v>1.884956</v>
      </c>
      <c r="BR150" s="28" t="n">
        <v>0.53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</row>
    <row r="151" ht="36" customHeight="1">
      <c r="A151" s="24" t="inlineStr">
        <is>
          <t>2980978ca0b94774</t>
        </is>
      </c>
      <c r="B151" s="24" t="inlineStr">
        <is>
          <t>2026-08-12T05:16:34.452250Z</t>
        </is>
      </c>
      <c r="C151" s="24" t="inlineStr">
        <is>
          <t>2026-08-12T08:00:00Z</t>
        </is>
      </c>
      <c r="D151" s="24" t="inlineStr">
        <is>
          <t>78258</t>
        </is>
      </c>
      <c r="E151" s="24" t="inlineStr">
        <is>
          <t>CS2</t>
        </is>
      </c>
      <c r="F151" s="24" t="inlineStr">
        <is>
          <t>VP.Prodigy</t>
        </is>
      </c>
      <c r="G151" s="24" t="inlineStr">
        <is>
          <t>Teletubisie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-203</v>
      </c>
      <c r="M151" s="27" t="n">
        <v>1.492611</v>
      </c>
      <c r="N151" s="28" t="n">
        <v>0.669967</v>
      </c>
      <c r="O151" s="28" t="n">
        <v>0.506374</v>
      </c>
      <c r="P151" s="28" t="n"/>
      <c r="Q151" s="28" t="n">
        <v>-0.163593</v>
      </c>
      <c r="R151" s="26" t="n">
        <v>0</v>
      </c>
      <c r="S151" s="29" t="n">
        <v>1</v>
      </c>
      <c r="T151" s="24" t="inlineStr">
        <is>
          <t>cs2-tiered-elo-v6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0</v>
      </c>
      <c r="X151" s="26" t="n">
        <v>1</v>
      </c>
      <c r="Y151" s="25" t="n"/>
      <c r="Z151" s="26" t="n">
        <v>-203</v>
      </c>
      <c r="AA151" s="28" t="n">
        <v>0.67</v>
      </c>
      <c r="AB151" s="28" t="n">
        <v>3.3e-05</v>
      </c>
      <c r="AC151" s="30" t="n">
        <v>0.4926</v>
      </c>
      <c r="AD151" s="24" t="inlineStr">
        <is>
          <t>2026-08-12T11:24:38.972053Z</t>
        </is>
      </c>
      <c r="AE151" s="31" t="inlineStr">
        <is>
          <t>Neutral Elo baseline; executable ask 0.6700 (market_slug=aec-cs2-ttbs-vpp-2026-08-12).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NO_CALL_LOW_EDGE</t>
        </is>
      </c>
      <c r="AP151" s="24" t="inlineStr">
        <is>
          <t>VP.Prodigy</t>
        </is>
      </c>
      <c r="AQ151" s="24" t="inlineStr">
        <is>
          <t>VP.Prodigy</t>
        </is>
      </c>
      <c r="AR151" s="24" t="inlineStr">
        <is>
          <t>VP.Prodigy</t>
        </is>
      </c>
      <c r="AS151" s="24" t="inlineStr">
        <is>
          <t>Teletubisie</t>
        </is>
      </c>
      <c r="AT151" s="24" t="inlineStr">
        <is>
          <t>Teletubisie</t>
        </is>
      </c>
      <c r="AU151" s="24" t="inlineStr">
        <is>
          <t>Teletubisie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2cd371771f3e59bbdc7c4e709aa2b3af65b891f1a68ec4ab92415144fc3f4603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2cd371771f3e59bbdc7c4e709aa2b3af65b891f1a68ec4ab92415144fc3f4603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2026-08-12T05:16:08.907116Z</t>
        </is>
      </c>
      <c r="BI151" s="24" t="inlineStr">
        <is>
          <t>["same_event","same_team_same_day","same_league_same_day"]</t>
        </is>
      </c>
      <c r="BJ151" s="25" t="n"/>
      <c r="BK151" s="26" t="n">
        <v>-203</v>
      </c>
      <c r="BL151" s="27" t="n">
        <v>1.492611</v>
      </c>
      <c r="BM151" s="28" t="n">
        <v>0.669967</v>
      </c>
      <c r="BN151" s="28" t="n"/>
      <c r="BO151" s="28" t="n"/>
      <c r="BP151" s="25" t="n"/>
      <c r="BQ151" s="27" t="n">
        <v>1.492611</v>
      </c>
      <c r="BR151" s="28" t="n">
        <v>0.67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8d79573c5b1a49ab</t>
        </is>
      </c>
      <c r="B152" s="24" t="inlineStr">
        <is>
          <t>2026-08-12T08:22:49.699390Z</t>
        </is>
      </c>
      <c r="C152" s="24" t="inlineStr">
        <is>
          <t>2026-08-12T09:00:00Z</t>
        </is>
      </c>
      <c r="D152" s="24" t="inlineStr">
        <is>
          <t>76965</t>
        </is>
      </c>
      <c r="E152" s="24" t="inlineStr">
        <is>
          <t>CS2</t>
        </is>
      </c>
      <c r="F152" s="24" t="inlineStr">
        <is>
          <t>GamerLegion</t>
        </is>
      </c>
      <c r="G152" s="24" t="inlineStr">
        <is>
          <t>Luminosity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100</v>
      </c>
      <c r="M152" s="27" t="n">
        <v>2</v>
      </c>
      <c r="N152" s="28" t="n">
        <v>0.5</v>
      </c>
      <c r="O152" s="28" t="n">
        <v>0.698837</v>
      </c>
      <c r="P152" s="28" t="n"/>
      <c r="Q152" s="28" t="n">
        <v>0.198837</v>
      </c>
      <c r="R152" s="26" t="n">
        <v>100</v>
      </c>
      <c r="S152" s="29" t="n">
        <v>2</v>
      </c>
      <c r="T152" s="24" t="inlineStr">
        <is>
          <t>cs2-tiered-elo-v6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100</v>
      </c>
      <c r="AA152" s="28" t="n">
        <v>0.5</v>
      </c>
      <c r="AB152" s="28" t="n">
        <v>0</v>
      </c>
      <c r="AC152" s="30" t="n">
        <v>2</v>
      </c>
      <c r="AD152" s="24" t="inlineStr">
        <is>
          <t>2026-08-12T11:24:41.291076Z</t>
        </is>
      </c>
      <c r="AE152" s="31" t="inlineStr">
        <is>
          <t>Neutral Elo baseline; executable ask 0.5000 (market_slug=aec-cs2-lg-gl-2026-08-12).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GamerLegion</t>
        </is>
      </c>
      <c r="AQ152" s="24" t="inlineStr">
        <is>
          <t>GamerLegion</t>
        </is>
      </c>
      <c r="AR152" s="24" t="inlineStr">
        <is>
          <t>GamerLegion</t>
        </is>
      </c>
      <c r="AS152" s="24" t="inlineStr">
        <is>
          <t>Luminosity</t>
        </is>
      </c>
      <c r="AT152" s="24" t="inlineStr">
        <is>
          <t>Luminosity</t>
        </is>
      </c>
      <c r="AU152" s="24" t="inlineStr">
        <is>
          <t>Luminosity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d80de5716d7ba7642ef45702005b7ebc53e7998fc799e1bd7e8d885b5c01cc64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d80de5716d7ba7642ef45702005b7ebc53e7998fc799e1bd7e8d885b5c01cc64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2026-08-12T08:22:23.759170Z</t>
        </is>
      </c>
      <c r="BI152" s="24" t="inlineStr">
        <is>
          <t>["same_event","same_team_same_day","same_league_same_day"]</t>
        </is>
      </c>
      <c r="BJ152" s="25" t="n"/>
      <c r="BK152" s="26" t="n">
        <v>100</v>
      </c>
      <c r="BL152" s="27" t="n">
        <v>2</v>
      </c>
      <c r="BM152" s="28" t="n">
        <v>0.5</v>
      </c>
      <c r="BN152" s="28" t="n"/>
      <c r="BO152" s="28" t="n"/>
      <c r="BP152" s="25" t="n"/>
      <c r="BQ152" s="27" t="n">
        <v>2</v>
      </c>
      <c r="BR152" s="28" t="n">
        <v>0.5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</row>
    <row r="153" ht="36" customHeight="1">
      <c r="A153" s="24" t="inlineStr">
        <is>
          <t>ae62dbe3d580476e</t>
        </is>
      </c>
      <c r="B153" s="24" t="inlineStr">
        <is>
          <t>2026-08-12T08:22:49.699390Z</t>
        </is>
      </c>
      <c r="C153" s="24" t="inlineStr">
        <is>
          <t>2026-08-12T09:00:00Z</t>
        </is>
      </c>
      <c r="D153" s="24" t="inlineStr">
        <is>
          <t>76969</t>
        </is>
      </c>
      <c r="E153" s="24" t="inlineStr">
        <is>
          <t>CS2</t>
        </is>
      </c>
      <c r="F153" s="24" t="inlineStr">
        <is>
          <t>Aurora Gaming</t>
        </is>
      </c>
      <c r="G153" s="24" t="inlineStr">
        <is>
          <t>BIG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-156</v>
      </c>
      <c r="M153" s="27" t="n">
        <v>1.641026</v>
      </c>
      <c r="N153" s="28" t="n">
        <v>0.609375</v>
      </c>
      <c r="O153" s="28" t="n">
        <v>0.51417</v>
      </c>
      <c r="P153" s="28" t="n"/>
      <c r="Q153" s="28" t="n">
        <v>-0.095205</v>
      </c>
      <c r="R153" s="26" t="n">
        <v>0</v>
      </c>
      <c r="S153" s="29" t="n">
        <v>1</v>
      </c>
      <c r="T153" s="24" t="inlineStr">
        <is>
          <t>cs2-tiered-elo-v6</t>
        </is>
      </c>
      <c r="U153" s="24" t="inlineStr">
        <is>
          <t>settled</t>
        </is>
      </c>
      <c r="V153" s="24" t="inlineStr">
        <is>
          <t>loss</t>
        </is>
      </c>
      <c r="W153" s="26" t="n">
        <v>0</v>
      </c>
      <c r="X153" s="26" t="n">
        <v>1</v>
      </c>
      <c r="Y153" s="25" t="n"/>
      <c r="Z153" s="26" t="n">
        <v>-156</v>
      </c>
      <c r="AA153" s="28" t="n">
        <v>0.61</v>
      </c>
      <c r="AB153" s="28" t="n">
        <v>0.000625</v>
      </c>
      <c r="AC153" s="30" t="n">
        <v>-1</v>
      </c>
      <c r="AD153" s="24" t="inlineStr">
        <is>
          <t>2026-08-12T11:24:43.828773Z</t>
        </is>
      </c>
      <c r="AE153" s="31" t="inlineStr">
        <is>
          <t>Neutral Elo baseline; executable ask 0.6100 (market_slug=aec-cs2-big-aur-2026-08-12).</t>
        </is>
      </c>
      <c r="AF153" s="31" t="inlineStr">
        <is>
          <t>Config-promoted esports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NO_CALL_LOW_EDGE</t>
        </is>
      </c>
      <c r="AP153" s="24" t="inlineStr">
        <is>
          <t>Aurora Gaming</t>
        </is>
      </c>
      <c r="AQ153" s="24" t="inlineStr">
        <is>
          <t>Aurora Gaming</t>
        </is>
      </c>
      <c r="AR153" s="24" t="inlineStr">
        <is>
          <t>Aurora Gaming</t>
        </is>
      </c>
      <c r="AS153" s="24" t="inlineStr">
        <is>
          <t>BIG</t>
        </is>
      </c>
      <c r="AT153" s="24" t="inlineStr">
        <is>
          <t>BIG</t>
        </is>
      </c>
      <c r="AU153" s="24" t="inlineStr">
        <is>
          <t>BIG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d80de5716d7ba7642ef45702005b7ebc53e7998fc799e1bd7e8d885b5c01cc64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d80de5716d7ba7642ef45702005b7ebc53e7998fc799e1bd7e8d885b5c01cc64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2026-08-12T08:22:24.384518Z</t>
        </is>
      </c>
      <c r="BI153" s="24" t="inlineStr">
        <is>
          <t>["same_event","same_team_same_day","same_league_same_day"]</t>
        </is>
      </c>
      <c r="BJ153" s="25" t="n"/>
      <c r="BK153" s="26" t="n">
        <v>-156</v>
      </c>
      <c r="BL153" s="27" t="n">
        <v>1.641026</v>
      </c>
      <c r="BM153" s="28" t="n">
        <v>0.609375</v>
      </c>
      <c r="BN153" s="28" t="n"/>
      <c r="BO153" s="28" t="n"/>
      <c r="BP153" s="25" t="n"/>
      <c r="BQ153" s="27" t="n">
        <v>1.641026</v>
      </c>
      <c r="BR153" s="28" t="n">
        <v>0.61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</row>
    <row r="154" ht="36" customHeight="1">
      <c r="A154" s="24" t="inlineStr">
        <is>
          <t>176f58201f194104</t>
        </is>
      </c>
      <c r="B154" s="24" t="inlineStr">
        <is>
          <t>2026-08-12T08:22:49.699390Z</t>
        </is>
      </c>
      <c r="C154" s="24" t="inlineStr">
        <is>
          <t>2026-08-12T10:30:00Z</t>
        </is>
      </c>
      <c r="D154" s="24" t="inlineStr">
        <is>
          <t>76978</t>
        </is>
      </c>
      <c r="E154" s="24" t="inlineStr">
        <is>
          <t>CS2</t>
        </is>
      </c>
      <c r="F154" s="24" t="inlineStr">
        <is>
          <t>TYLOO</t>
        </is>
      </c>
      <c r="G154" s="24" t="inlineStr">
        <is>
          <t>FUT Esports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144</v>
      </c>
      <c r="M154" s="27" t="n">
        <v>2.44</v>
      </c>
      <c r="N154" s="28" t="n">
        <v>0.409836</v>
      </c>
      <c r="O154" s="28" t="n">
        <v>0.861232</v>
      </c>
      <c r="P154" s="28" t="n"/>
      <c r="Q154" s="28" t="n">
        <v>0.451396</v>
      </c>
      <c r="R154" s="26" t="n">
        <v>100</v>
      </c>
      <c r="S154" s="29" t="n">
        <v>2</v>
      </c>
      <c r="T154" s="24" t="inlineStr">
        <is>
          <t>cs2-tiered-elo-v6</t>
        </is>
      </c>
      <c r="U154" s="24" t="inlineStr">
        <is>
          <t>settled</t>
        </is>
      </c>
      <c r="V154" s="24" t="inlineStr">
        <is>
          <t>loss</t>
        </is>
      </c>
      <c r="W154" s="26" t="n">
        <v>0</v>
      </c>
      <c r="X154" s="26" t="n">
        <v>1</v>
      </c>
      <c r="Y154" s="25" t="n"/>
      <c r="Z154" s="26" t="n">
        <v>144</v>
      </c>
      <c r="AA154" s="28" t="n">
        <v>0.41</v>
      </c>
      <c r="AB154" s="28" t="n">
        <v>0.000164</v>
      </c>
      <c r="AC154" s="30" t="n">
        <v>-2</v>
      </c>
      <c r="AD154" s="24" t="inlineStr">
        <is>
          <t>2026-08-12T11:24:46.122455Z</t>
        </is>
      </c>
      <c r="AE154" s="31" t="inlineStr">
        <is>
          <t>Neutral Elo baseline; executable ask 0.4100 (market_slug=aec-cs2-fut-tyloo-2026-08-12).</t>
        </is>
      </c>
      <c r="AF154" s="31" t="inlineStr">
        <is>
          <t>Config-promoted esports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TYLOO</t>
        </is>
      </c>
      <c r="AQ154" s="24" t="inlineStr">
        <is>
          <t>TYLOO</t>
        </is>
      </c>
      <c r="AR154" s="24" t="inlineStr">
        <is>
          <t>TYLOO</t>
        </is>
      </c>
      <c r="AS154" s="24" t="inlineStr">
        <is>
          <t>FUT Esports</t>
        </is>
      </c>
      <c r="AT154" s="24" t="inlineStr">
        <is>
          <t>FUT Esports</t>
        </is>
      </c>
      <c r="AU154" s="24" t="inlineStr">
        <is>
          <t>FUT Esports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d80de5716d7ba7642ef45702005b7ebc53e7998fc799e1bd7e8d885b5c01cc64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d80de5716d7ba7642ef45702005b7ebc53e7998fc799e1bd7e8d885b5c01cc64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2026-08-12T08:22:26.739538Z</t>
        </is>
      </c>
      <c r="BI154" s="24" t="inlineStr">
        <is>
          <t>["same_event","same_team_same_day","same_league_same_day"]</t>
        </is>
      </c>
      <c r="BJ154" s="25" t="n"/>
      <c r="BK154" s="26" t="n">
        <v>144</v>
      </c>
      <c r="BL154" s="27" t="n">
        <v>2.44</v>
      </c>
      <c r="BM154" s="28" t="n">
        <v>0.409836</v>
      </c>
      <c r="BN154" s="28" t="n"/>
      <c r="BO154" s="28" t="n"/>
      <c r="BP154" s="25" t="n"/>
      <c r="BQ154" s="27" t="n">
        <v>2.44</v>
      </c>
      <c r="BR154" s="28" t="n">
        <v>0.41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6d96347824da43ee</t>
        </is>
      </c>
      <c r="B155" s="24" t="inlineStr">
        <is>
          <t>2026-08-12T08:22:49.699390Z</t>
        </is>
      </c>
      <c r="C155" s="24" t="inlineStr">
        <is>
          <t>2026-08-12T10:30:00Z</t>
        </is>
      </c>
      <c r="D155" s="24" t="inlineStr">
        <is>
          <t>78232</t>
        </is>
      </c>
      <c r="E155" s="24" t="inlineStr">
        <is>
          <t>CS2</t>
        </is>
      </c>
      <c r="F155" s="24" t="inlineStr">
        <is>
          <t>Fire Flux Esports</t>
        </is>
      </c>
      <c r="G155" s="24" t="inlineStr">
        <is>
          <t>FaZe Up Next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150</v>
      </c>
      <c r="M155" s="27" t="n">
        <v>2.5</v>
      </c>
      <c r="N155" s="28" t="n">
        <v>0.4</v>
      </c>
      <c r="O155" s="28" t="n">
        <v>0.525687</v>
      </c>
      <c r="P155" s="28" t="n"/>
      <c r="Q155" s="28" t="n">
        <v>0.125687</v>
      </c>
      <c r="R155" s="26" t="n">
        <v>83</v>
      </c>
      <c r="S155" s="29" t="n">
        <v>1</v>
      </c>
      <c r="T155" s="24" t="inlineStr">
        <is>
          <t>cs2-tiered-elo-v6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150</v>
      </c>
      <c r="AA155" s="28" t="n">
        <v>0.4</v>
      </c>
      <c r="AB155" s="28" t="n">
        <v>0</v>
      </c>
      <c r="AC155" s="30" t="n">
        <v>1.5</v>
      </c>
      <c r="AD155" s="24" t="inlineStr">
        <is>
          <t>2026-08-12T14:32:14.839974Z</t>
        </is>
      </c>
      <c r="AE155" s="31" t="inlineStr">
        <is>
          <t>Neutral Elo baseline; executable ask 0.4000 (market_slug=aec-cs2-fazeun-ff-2026-08-12).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Fire Flux Esports</t>
        </is>
      </c>
      <c r="AQ155" s="24" t="inlineStr">
        <is>
          <t>Fire Flux Esports</t>
        </is>
      </c>
      <c r="AR155" s="24" t="inlineStr">
        <is>
          <t>Fire Flux Esports</t>
        </is>
      </c>
      <c r="AS155" s="24" t="inlineStr">
        <is>
          <t>FaZe Up Next</t>
        </is>
      </c>
      <c r="AT155" s="24" t="inlineStr">
        <is>
          <t>FaZe Up Next</t>
        </is>
      </c>
      <c r="AU155" s="24" t="inlineStr">
        <is>
          <t>FaZe Up Next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d80de5716d7ba7642ef45702005b7ebc53e7998fc799e1bd7e8d885b5c01cc64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d80de5716d7ba7642ef45702005b7ebc53e7998fc799e1bd7e8d885b5c01cc64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2026-08-12T08:22:27.492606Z</t>
        </is>
      </c>
      <c r="BI155" s="24" t="inlineStr">
        <is>
          <t>["same_event","same_team_same_day","same_league_same_day"]</t>
        </is>
      </c>
      <c r="BJ155" s="25" t="n"/>
      <c r="BK155" s="26" t="n">
        <v>150</v>
      </c>
      <c r="BL155" s="27" t="n">
        <v>2.5</v>
      </c>
      <c r="BM155" s="28" t="n">
        <v>0.4</v>
      </c>
      <c r="BN155" s="28" t="n"/>
      <c r="BO155" s="28" t="n"/>
      <c r="BP155" s="25" t="n"/>
      <c r="BQ155" s="27" t="n">
        <v>2.5</v>
      </c>
      <c r="BR155" s="28" t="n">
        <v>0.4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98a4fd7e961a4ac3</t>
        </is>
      </c>
      <c r="B156" s="24" t="inlineStr">
        <is>
          <t>2026-08-12T08:22:49.699390Z</t>
        </is>
      </c>
      <c r="C156" s="24" t="inlineStr">
        <is>
          <t>2026-08-12T11:00:00Z</t>
        </is>
      </c>
      <c r="D156" s="24" t="inlineStr">
        <is>
          <t>78261</t>
        </is>
      </c>
      <c r="E156" s="24" t="inlineStr">
        <is>
          <t>CS2</t>
        </is>
      </c>
      <c r="F156" s="24" t="inlineStr">
        <is>
          <t>SAW Youngsters</t>
        </is>
      </c>
      <c r="G156" s="24" t="inlineStr">
        <is>
          <t>ex-RUSTEC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-223</v>
      </c>
      <c r="M156" s="27" t="n">
        <v>1.44843</v>
      </c>
      <c r="N156" s="28" t="n">
        <v>0.690402</v>
      </c>
      <c r="O156" s="28" t="n">
        <v>0.70621</v>
      </c>
      <c r="P156" s="28" t="n"/>
      <c r="Q156" s="28" t="n">
        <v>0.015808</v>
      </c>
      <c r="R156" s="26" t="n">
        <v>28</v>
      </c>
      <c r="S156" s="29" t="n">
        <v>2</v>
      </c>
      <c r="T156" s="24" t="inlineStr">
        <is>
          <t>cs2-tiered-elo-v6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-223</v>
      </c>
      <c r="AA156" s="28" t="n">
        <v>0.6899999999999999</v>
      </c>
      <c r="AB156" s="28" t="n">
        <v>-0.000402</v>
      </c>
      <c r="AC156" s="30" t="n">
        <v>0.8969</v>
      </c>
      <c r="AD156" s="24" t="inlineStr">
        <is>
          <t>2026-08-12T16:39:52.467047Z</t>
        </is>
      </c>
      <c r="AE156" s="31" t="inlineStr">
        <is>
          <t>Neutral Elo baseline; executable ask 0.6900 (market_slug=aec-cs2-erx-sawy-2026-08-12).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SAW Youngsters</t>
        </is>
      </c>
      <c r="AQ156" s="24" t="inlineStr">
        <is>
          <t>SAW Youngsters</t>
        </is>
      </c>
      <c r="AR156" s="24" t="inlineStr">
        <is>
          <t>SAW Youngsters</t>
        </is>
      </c>
      <c r="AS156" s="24" t="inlineStr">
        <is>
          <t>ex-RUSTEC</t>
        </is>
      </c>
      <c r="AT156" s="24" t="inlineStr">
        <is>
          <t>ex-RUSTEC</t>
        </is>
      </c>
      <c r="AU156" s="24" t="inlineStr">
        <is>
          <t>ex-RUSTEC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d80de5716d7ba7642ef45702005b7ebc53e7998fc799e1bd7e8d885b5c01cc64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d80de5716d7ba7642ef45702005b7ebc53e7998fc799e1bd7e8d885b5c01cc64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2026-08-12T08:22:27.985313Z</t>
        </is>
      </c>
      <c r="BI156" s="24" t="inlineStr">
        <is>
          <t>["same_event","same_team_same_day","same_league_same_day"]</t>
        </is>
      </c>
      <c r="BJ156" s="25" t="n"/>
      <c r="BK156" s="26" t="n">
        <v>-223</v>
      </c>
      <c r="BL156" s="27" t="n">
        <v>1.44843</v>
      </c>
      <c r="BM156" s="28" t="n">
        <v>0.690402</v>
      </c>
      <c r="BN156" s="28" t="n"/>
      <c r="BO156" s="28" t="n"/>
      <c r="BP156" s="25" t="n"/>
      <c r="BQ156" s="27" t="n">
        <v>1.44843</v>
      </c>
      <c r="BR156" s="28" t="n">
        <v>0.6899999999999999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20aa27f3456248f6</t>
        </is>
      </c>
      <c r="B157" s="24" t="inlineStr">
        <is>
          <t>2026-08-12T11:30:24.851950Z</t>
        </is>
      </c>
      <c r="C157" s="24" t="inlineStr">
        <is>
          <t>2026-08-12T12:00:00Z</t>
        </is>
      </c>
      <c r="D157" s="24" t="inlineStr">
        <is>
          <t>76970</t>
        </is>
      </c>
      <c r="E157" s="24" t="inlineStr">
        <is>
          <t>CS2</t>
        </is>
      </c>
      <c r="F157" s="24" t="inlineStr">
        <is>
          <t>M80</t>
        </is>
      </c>
      <c r="G157" s="24" t="inlineStr">
        <is>
          <t>G2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-223</v>
      </c>
      <c r="M157" s="27" t="n">
        <v>1.44843</v>
      </c>
      <c r="N157" s="28" t="n">
        <v>0.690402</v>
      </c>
      <c r="O157" s="28" t="n">
        <v>0.706985</v>
      </c>
      <c r="P157" s="28" t="n"/>
      <c r="Q157" s="28" t="n">
        <v>0.016583</v>
      </c>
      <c r="R157" s="26" t="n">
        <v>28</v>
      </c>
      <c r="S157" s="29" t="n">
        <v>2</v>
      </c>
      <c r="T157" s="24" t="inlineStr">
        <is>
          <t>cs2-tiered-elo-v6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0</v>
      </c>
      <c r="X157" s="26" t="n">
        <v>1</v>
      </c>
      <c r="Y157" s="25" t="n"/>
      <c r="Z157" s="26" t="n">
        <v>-223</v>
      </c>
      <c r="AA157" s="28" t="n">
        <v>0.6899999999999999</v>
      </c>
      <c r="AB157" s="28" t="n">
        <v>-0.000402</v>
      </c>
      <c r="AC157" s="30" t="n">
        <v>0.8969</v>
      </c>
      <c r="AD157" s="24" t="inlineStr">
        <is>
          <t>2026-08-12T14:32:18.178123Z</t>
        </is>
      </c>
      <c r="AE157" s="31" t="inlineStr">
        <is>
          <t>Neutral Elo baseline; executable ask 0.6900 (market_slug=aec-cs2-g2-m80-2026-08-12).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M80</t>
        </is>
      </c>
      <c r="AQ157" s="24" t="inlineStr">
        <is>
          <t>M80</t>
        </is>
      </c>
      <c r="AR157" s="24" t="inlineStr">
        <is>
          <t>M80</t>
        </is>
      </c>
      <c r="AS157" s="24" t="inlineStr">
        <is>
          <t>G2</t>
        </is>
      </c>
      <c r="AT157" s="24" t="inlineStr">
        <is>
          <t>G2</t>
        </is>
      </c>
      <c r="AU157" s="24" t="inlineStr">
        <is>
          <t>G2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85595b66d01dc84375e9fb7414ae2261308ee7e56612d4c9d2d5dffe35cd20fe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85595b66d01dc84375e9fb7414ae2261308ee7e56612d4c9d2d5dffe35cd20fe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2026-08-12T11:30:03.880461Z</t>
        </is>
      </c>
      <c r="BI157" s="24" t="inlineStr">
        <is>
          <t>["same_event","same_team_same_day","same_league_same_day"]</t>
        </is>
      </c>
      <c r="BJ157" s="25" t="n"/>
      <c r="BK157" s="26" t="n">
        <v>-223</v>
      </c>
      <c r="BL157" s="27" t="n">
        <v>1.44843</v>
      </c>
      <c r="BM157" s="28" t="n">
        <v>0.690402</v>
      </c>
      <c r="BN157" s="28" t="n"/>
      <c r="BO157" s="28" t="n"/>
      <c r="BP157" s="25" t="n"/>
      <c r="BQ157" s="27" t="n">
        <v>1.44843</v>
      </c>
      <c r="BR157" s="28" t="n">
        <v>0.6899999999999999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</row>
    <row r="158" ht="36" customHeight="1">
      <c r="A158" s="24" t="inlineStr">
        <is>
          <t>f8db49a9a92c4763</t>
        </is>
      </c>
      <c r="B158" s="24" t="inlineStr">
        <is>
          <t>2026-08-12T11:30:24.851950Z</t>
        </is>
      </c>
      <c r="C158" s="24" t="inlineStr">
        <is>
          <t>2026-08-12T12:00:00Z</t>
        </is>
      </c>
      <c r="D158" s="24" t="inlineStr">
        <is>
          <t>76991</t>
        </is>
      </c>
      <c r="E158" s="24" t="inlineStr">
        <is>
          <t>CS2</t>
        </is>
      </c>
      <c r="F158" s="24" t="inlineStr">
        <is>
          <t>TheMongolz</t>
        </is>
      </c>
      <c r="G158" s="24" t="inlineStr">
        <is>
          <t>magic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-117</v>
      </c>
      <c r="M158" s="27" t="n">
        <v>1.854701</v>
      </c>
      <c r="N158" s="28" t="n">
        <v>0.539171</v>
      </c>
      <c r="O158" s="28" t="n">
        <v>0.554327</v>
      </c>
      <c r="P158" s="28" t="n"/>
      <c r="Q158" s="28" t="n">
        <v>0.015156</v>
      </c>
      <c r="R158" s="26" t="n">
        <v>28</v>
      </c>
      <c r="S158" s="29" t="n">
        <v>1</v>
      </c>
      <c r="T158" s="24" t="inlineStr">
        <is>
          <t>cs2-tiered-elo-v6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0</v>
      </c>
      <c r="Y158" s="25" t="n"/>
      <c r="Z158" s="26" t="n">
        <v>-117</v>
      </c>
      <c r="AA158" s="28" t="n">
        <v>0.54</v>
      </c>
      <c r="AB158" s="28" t="n">
        <v>0.000829</v>
      </c>
      <c r="AC158" s="30" t="n">
        <v>0.8547</v>
      </c>
      <c r="AD158" s="24" t="inlineStr">
        <is>
          <t>2026-08-12T14:32:20.731302Z</t>
        </is>
      </c>
      <c r="AE158" s="31" t="inlineStr">
        <is>
          <t>Neutral Elo baseline; executable ask 0.5400 (market_slug=aec-cs2-mgc-mglz-2026-08-12).</t>
        </is>
      </c>
      <c r="AF158" s="31" t="inlineStr">
        <is>
          <t>Config-promoted esports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TheMongolz</t>
        </is>
      </c>
      <c r="AQ158" s="24" t="inlineStr">
        <is>
          <t>TheMongolz</t>
        </is>
      </c>
      <c r="AR158" s="24" t="inlineStr">
        <is>
          <t>TheMongolz</t>
        </is>
      </c>
      <c r="AS158" s="24" t="inlineStr">
        <is>
          <t>magic</t>
        </is>
      </c>
      <c r="AT158" s="24" t="inlineStr">
        <is>
          <t>magic</t>
        </is>
      </c>
      <c r="AU158" s="24" t="inlineStr">
        <is>
          <t>magic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85595b66d01dc84375e9fb7414ae2261308ee7e56612d4c9d2d5dffe35cd20fe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85595b66d01dc84375e9fb7414ae2261308ee7e56612d4c9d2d5dffe35cd20fe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2026-08-12T11:30:04.388021Z</t>
        </is>
      </c>
      <c r="BI158" s="24" t="inlineStr">
        <is>
          <t>["same_event","same_team_same_day","same_league_same_day"]</t>
        </is>
      </c>
      <c r="BJ158" s="25" t="n"/>
      <c r="BK158" s="26" t="n">
        <v>-117</v>
      </c>
      <c r="BL158" s="27" t="n">
        <v>1.854701</v>
      </c>
      <c r="BM158" s="28" t="n">
        <v>0.539171</v>
      </c>
      <c r="BN158" s="28" t="n"/>
      <c r="BO158" s="28" t="n"/>
      <c r="BP158" s="25" t="n"/>
      <c r="BQ158" s="27" t="n">
        <v>1.854701</v>
      </c>
      <c r="BR158" s="28" t="n">
        <v>0.54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</row>
    <row r="159" ht="36" customHeight="1">
      <c r="A159" s="24" t="inlineStr">
        <is>
          <t>51005393c0db43ef</t>
        </is>
      </c>
      <c r="B159" s="24" t="inlineStr">
        <is>
          <t>2026-08-12T11:30:24.851950Z</t>
        </is>
      </c>
      <c r="C159" s="24" t="inlineStr">
        <is>
          <t>2026-08-12T13:30:00Z</t>
        </is>
      </c>
      <c r="D159" s="24" t="inlineStr">
        <is>
          <t>76973</t>
        </is>
      </c>
      <c r="E159" s="24" t="inlineStr">
        <is>
          <t>CS2</t>
        </is>
      </c>
      <c r="F159" s="24" t="inlineStr">
        <is>
          <t>Legacy</t>
        </is>
      </c>
      <c r="G159" s="24" t="inlineStr">
        <is>
          <t>NIP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-138</v>
      </c>
      <c r="M159" s="27" t="n">
        <v>1.724638</v>
      </c>
      <c r="N159" s="28" t="n">
        <v>0.579832</v>
      </c>
      <c r="O159" s="28" t="n">
        <v>0.517068</v>
      </c>
      <c r="P159" s="28" t="n"/>
      <c r="Q159" s="28" t="n">
        <v>-0.062764</v>
      </c>
      <c r="R159" s="26" t="n">
        <v>0</v>
      </c>
      <c r="S159" s="29" t="n">
        <v>1</v>
      </c>
      <c r="T159" s="24" t="inlineStr">
        <is>
          <t>cs2-tiered-elo-v6</t>
        </is>
      </c>
      <c r="U159" s="24" t="inlineStr">
        <is>
          <t>settled</t>
        </is>
      </c>
      <c r="V159" s="24" t="inlineStr">
        <is>
          <t>win</t>
        </is>
      </c>
      <c r="W159" s="26" t="n">
        <v>1</v>
      </c>
      <c r="X159" s="26" t="n">
        <v>0</v>
      </c>
      <c r="Y159" s="25" t="n"/>
      <c r="Z159" s="26" t="n">
        <v>-138</v>
      </c>
      <c r="AA159" s="28" t="n">
        <v>0.58</v>
      </c>
      <c r="AB159" s="28" t="n">
        <v>0.000168</v>
      </c>
      <c r="AC159" s="30" t="n">
        <v>0.7246</v>
      </c>
      <c r="AD159" s="24" t="inlineStr">
        <is>
          <t>2026-08-12T14:32:23.009994Z</t>
        </is>
      </c>
      <c r="AE159" s="31" t="inlineStr">
        <is>
          <t>Neutral Elo baseline; executable ask 0.5800 (market_slug=aec-cs2-nip-lgc-2026-08-12).</t>
        </is>
      </c>
      <c r="AF159" s="31" t="inlineStr">
        <is>
          <t>Config-promoted esports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NO_CALL_LOW_EDGE</t>
        </is>
      </c>
      <c r="AP159" s="24" t="inlineStr">
        <is>
          <t>Legacy</t>
        </is>
      </c>
      <c r="AQ159" s="24" t="inlineStr">
        <is>
          <t>Legacy</t>
        </is>
      </c>
      <c r="AR159" s="24" t="inlineStr">
        <is>
          <t>Legacy</t>
        </is>
      </c>
      <c r="AS159" s="24" t="inlineStr">
        <is>
          <t>NIP</t>
        </is>
      </c>
      <c r="AT159" s="24" t="inlineStr">
        <is>
          <t>NIP</t>
        </is>
      </c>
      <c r="AU159" s="24" t="inlineStr">
        <is>
          <t>NIP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85595b66d01dc84375e9fb7414ae2261308ee7e56612d4c9d2d5dffe35cd20fe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85595b66d01dc84375e9fb7414ae2261308ee7e56612d4c9d2d5dffe35cd20fe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2026-08-12T11:30:05.858224Z</t>
        </is>
      </c>
      <c r="BI159" s="24" t="inlineStr">
        <is>
          <t>["same_event","same_team_same_day","same_league_same_day"]</t>
        </is>
      </c>
      <c r="BJ159" s="25" t="n"/>
      <c r="BK159" s="26" t="n">
        <v>-138</v>
      </c>
      <c r="BL159" s="27" t="n">
        <v>1.724638</v>
      </c>
      <c r="BM159" s="28" t="n">
        <v>0.579832</v>
      </c>
      <c r="BN159" s="28" t="n"/>
      <c r="BO159" s="28" t="n"/>
      <c r="BP159" s="25" t="n"/>
      <c r="BQ159" s="27" t="n">
        <v>1.724638</v>
      </c>
      <c r="BR159" s="28" t="n">
        <v>0.58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</row>
    <row r="160" ht="36" customHeight="1">
      <c r="A160" s="24" t="inlineStr">
        <is>
          <t>37ed5fd5bd634e24</t>
        </is>
      </c>
      <c r="B160" s="24" t="inlineStr">
        <is>
          <t>2026-08-12T14:37:30.463453Z</t>
        </is>
      </c>
      <c r="C160" s="24" t="inlineStr">
        <is>
          <t>2026-08-12T15:00:00Z</t>
        </is>
      </c>
      <c r="D160" s="24" t="inlineStr">
        <is>
          <t>76974</t>
        </is>
      </c>
      <c r="E160" s="24" t="inlineStr">
        <is>
          <t>CS2</t>
        </is>
      </c>
      <c r="F160" s="24" t="inlineStr">
        <is>
          <t>FaZe</t>
        </is>
      </c>
      <c r="G160" s="24" t="inlineStr">
        <is>
          <t>BetBoom Team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113</v>
      </c>
      <c r="M160" s="27" t="n">
        <v>2.13</v>
      </c>
      <c r="N160" s="28" t="n">
        <v>0.469484</v>
      </c>
      <c r="O160" s="28" t="n">
        <v>0.550786</v>
      </c>
      <c r="P160" s="28" t="n"/>
      <c r="Q160" s="28" t="n">
        <v>0.081302</v>
      </c>
      <c r="R160" s="26" t="n">
        <v>61</v>
      </c>
      <c r="S160" s="29" t="n">
        <v>1</v>
      </c>
      <c r="T160" s="24" t="inlineStr">
        <is>
          <t>cs2-tiered-elo-v6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>
        <v>113</v>
      </c>
      <c r="AA160" s="28" t="n">
        <v>0.47</v>
      </c>
      <c r="AB160" s="28" t="n">
        <v>0.000516</v>
      </c>
      <c r="AC160" s="30" t="n">
        <v>-1</v>
      </c>
      <c r="AD160" s="24" t="inlineStr">
        <is>
          <t>2026-08-12T16:39:55.297847Z</t>
        </is>
      </c>
      <c r="AE160" s="31" t="inlineStr">
        <is>
          <t>Neutral Elo baseline; executable ask 0.4700 (market_slug=aec-cs2-bb-faze-2026-08-12).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3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FaZe</t>
        </is>
      </c>
      <c r="AQ160" s="24" t="inlineStr">
        <is>
          <t>FaZe</t>
        </is>
      </c>
      <c r="AR160" s="24" t="inlineStr">
        <is>
          <t>FaZe</t>
        </is>
      </c>
      <c r="AS160" s="24" t="inlineStr">
        <is>
          <t>BetBoom Team</t>
        </is>
      </c>
      <c r="AT160" s="24" t="inlineStr">
        <is>
          <t>BetBoom Team</t>
        </is>
      </c>
      <c r="AU160" s="24" t="inlineStr">
        <is>
          <t>BetBoom Team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b374886ba0bf0a14220551786b48c1fb8c8961809d97158d30b42f9ed5afb432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b374886ba0bf0a14220551786b48c1fb8c8961809d97158d30b42f9ed5afb432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2026-08-12T14:37:10.071622Z</t>
        </is>
      </c>
      <c r="BI160" s="24" t="inlineStr">
        <is>
          <t>["same_event","same_team_same_day","same_league_same_day"]</t>
        </is>
      </c>
      <c r="BJ160" s="25" t="n"/>
      <c r="BK160" s="26" t="n">
        <v>113</v>
      </c>
      <c r="BL160" s="27" t="n">
        <v>2.13</v>
      </c>
      <c r="BM160" s="28" t="n">
        <v>0.469484</v>
      </c>
      <c r="BN160" s="28" t="n"/>
      <c r="BO160" s="28" t="n"/>
      <c r="BP160" s="25" t="n"/>
      <c r="BQ160" s="27" t="n">
        <v>2.13</v>
      </c>
      <c r="BR160" s="28" t="n">
        <v>0.47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</row>
    <row r="161" ht="36" customHeight="1">
      <c r="A161" s="24" t="inlineStr">
        <is>
          <t>08ac0658754b42f1</t>
        </is>
      </c>
      <c r="B161" s="24" t="inlineStr">
        <is>
          <t>2026-08-12T14:37:30.463453Z</t>
        </is>
      </c>
      <c r="C161" s="24" t="inlineStr">
        <is>
          <t>2026-08-12T15:00:00Z</t>
        </is>
      </c>
      <c r="D161" s="24" t="inlineStr">
        <is>
          <t>76975</t>
        </is>
      </c>
      <c r="E161" s="24" t="inlineStr">
        <is>
          <t>CS2</t>
        </is>
      </c>
      <c r="F161" s="24" t="inlineStr">
        <is>
          <t>B8</t>
        </is>
      </c>
      <c r="G161" s="24" t="inlineStr">
        <is>
          <t>PARIVISION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-138</v>
      </c>
      <c r="M161" s="27" t="n">
        <v>1.724638</v>
      </c>
      <c r="N161" s="28" t="n">
        <v>0.579832</v>
      </c>
      <c r="O161" s="28" t="n">
        <v>0.617108</v>
      </c>
      <c r="P161" s="28" t="n"/>
      <c r="Q161" s="28" t="n">
        <v>0.037276</v>
      </c>
      <c r="R161" s="26" t="n">
        <v>39</v>
      </c>
      <c r="S161" s="29" t="n">
        <v>1.5</v>
      </c>
      <c r="T161" s="24" t="inlineStr">
        <is>
          <t>cs2-tiered-elo-v6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-138</v>
      </c>
      <c r="AA161" s="28" t="n">
        <v>0.58</v>
      </c>
      <c r="AB161" s="28" t="n">
        <v>0.000168</v>
      </c>
      <c r="AC161" s="30" t="n">
        <v>-1.5</v>
      </c>
      <c r="AD161" s="24" t="inlineStr">
        <is>
          <t>2026-08-12T16:39:57.801633Z</t>
        </is>
      </c>
      <c r="AE161" s="31" t="inlineStr">
        <is>
          <t>Neutral Elo baseline; executable ask 0.5800 (market_slug=aec-cs2-prv-b8-2026-08-12).</t>
        </is>
      </c>
      <c r="AF161" s="31" t="inlineStr">
        <is>
          <t>Config-promoted esports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3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B8</t>
        </is>
      </c>
      <c r="AQ161" s="24" t="inlineStr">
        <is>
          <t>B8</t>
        </is>
      </c>
      <c r="AR161" s="24" t="inlineStr">
        <is>
          <t>B8</t>
        </is>
      </c>
      <c r="AS161" s="24" t="inlineStr">
        <is>
          <t>PARIVISION</t>
        </is>
      </c>
      <c r="AT161" s="24" t="inlineStr">
        <is>
          <t>PARIVISION</t>
        </is>
      </c>
      <c r="AU161" s="24" t="inlineStr">
        <is>
          <t>PARIVISION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b374886ba0bf0a14220551786b48c1fb8c8961809d97158d30b42f9ed5afb432</t>
        </is>
      </c>
      <c r="BB161" s="24" t="inlineStr">
        <is>
          <t>neutral_elo</t>
        </is>
      </c>
      <c r="BC161" s="24" t="inlineStr">
        <is>
          <t>cs2-tiered-elo-v6</t>
        </is>
      </c>
      <c r="BD161" s="24" t="inlineStr">
        <is>
          <t>b374886ba0bf0a14220551786b48c1fb8c8961809d97158d30b42f9ed5afb432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cs2-tiered-elo-v6</t>
        </is>
      </c>
      <c r="BH161" s="24" t="inlineStr">
        <is>
          <t>2026-08-12T14:37:10.589754Z</t>
        </is>
      </c>
      <c r="BI161" s="24" t="inlineStr">
        <is>
          <t>["same_event","same_team_same_day","same_league_same_day"]</t>
        </is>
      </c>
      <c r="BJ161" s="25" t="n"/>
      <c r="BK161" s="26" t="n">
        <v>-138</v>
      </c>
      <c r="BL161" s="27" t="n">
        <v>1.724638</v>
      </c>
      <c r="BM161" s="28" t="n">
        <v>0.579832</v>
      </c>
      <c r="BN161" s="28" t="n"/>
      <c r="BO161" s="28" t="n"/>
      <c r="BP161" s="25" t="n"/>
      <c r="BQ161" s="27" t="n">
        <v>1.724638</v>
      </c>
      <c r="BR161" s="28" t="n">
        <v>0.58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</row>
    <row r="162" ht="36" customHeight="1">
      <c r="A162" s="24" t="inlineStr">
        <is>
          <t>2c85af7ef461422d</t>
        </is>
      </c>
      <c r="B162" s="24" t="inlineStr">
        <is>
          <t>2026-08-12T14:37:30.463453Z</t>
        </is>
      </c>
      <c r="C162" s="24" t="inlineStr">
        <is>
          <t>2026-08-12T16:00:00Z</t>
        </is>
      </c>
      <c r="D162" s="24" t="inlineStr">
        <is>
          <t>79505</t>
        </is>
      </c>
      <c r="E162" s="24" t="inlineStr">
        <is>
          <t>CS2</t>
        </is>
      </c>
      <c r="F162" s="24" t="inlineStr">
        <is>
          <t>ROUNDS</t>
        </is>
      </c>
      <c r="G162" s="24" t="inlineStr">
        <is>
          <t>KUUSAMO.gg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-138</v>
      </c>
      <c r="M162" s="27" t="n">
        <v>1.724638</v>
      </c>
      <c r="N162" s="28" t="n">
        <v>0.579832</v>
      </c>
      <c r="O162" s="28" t="n">
        <v>0.675735</v>
      </c>
      <c r="P162" s="28" t="n"/>
      <c r="Q162" s="28" t="n">
        <v>0.095903</v>
      </c>
      <c r="R162" s="26" t="n">
        <v>68</v>
      </c>
      <c r="S162" s="29" t="n">
        <v>1.75</v>
      </c>
      <c r="T162" s="24" t="inlineStr">
        <is>
          <t>cs2-tiered-elo-v6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-138</v>
      </c>
      <c r="AA162" s="28" t="n">
        <v>0.58</v>
      </c>
      <c r="AB162" s="28" t="n">
        <v>0.000168</v>
      </c>
      <c r="AC162" s="30" t="n">
        <v>1.2681</v>
      </c>
      <c r="AD162" s="24" t="inlineStr">
        <is>
          <t>2026-08-12T17:39:27.287441Z</t>
        </is>
      </c>
      <c r="AE162" s="31" t="inlineStr">
        <is>
          <t>Neutral Elo baseline; executable ask 0.5800 (market_slug=aec-cs2-ksm-rgg-2026-08-12).</t>
        </is>
      </c>
      <c r="AF162" s="31" t="inlineStr">
        <is>
          <t>Config-promoted esports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3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ROUNDS</t>
        </is>
      </c>
      <c r="AQ162" s="24" t="inlineStr">
        <is>
          <t>ROUNDS</t>
        </is>
      </c>
      <c r="AR162" s="24" t="inlineStr">
        <is>
          <t>ROUNDS</t>
        </is>
      </c>
      <c r="AS162" s="24" t="inlineStr">
        <is>
          <t>KUUSAMO.gg</t>
        </is>
      </c>
      <c r="AT162" s="24" t="inlineStr">
        <is>
          <t>KUUSAMO.gg</t>
        </is>
      </c>
      <c r="AU162" s="24" t="inlineStr">
        <is>
          <t>KUUSAMO.gg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b374886ba0bf0a14220551786b48c1fb8c8961809d97158d30b42f9ed5afb432</t>
        </is>
      </c>
      <c r="BB162" s="24" t="inlineStr">
        <is>
          <t>neutral_elo</t>
        </is>
      </c>
      <c r="BC162" s="24" t="inlineStr">
        <is>
          <t>cs2-tiered-elo-v6</t>
        </is>
      </c>
      <c r="BD162" s="24" t="inlineStr">
        <is>
          <t>b374886ba0bf0a14220551786b48c1fb8c8961809d97158d30b42f9ed5afb432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cs2-tiered-elo-v6</t>
        </is>
      </c>
      <c r="BH162" s="24" t="inlineStr">
        <is>
          <t>2026-08-12T14:37:11.131844Z</t>
        </is>
      </c>
      <c r="BI162" s="24" t="inlineStr">
        <is>
          <t>["same_event","same_team_same_day","same_league_same_day"]</t>
        </is>
      </c>
      <c r="BJ162" s="25" t="n"/>
      <c r="BK162" s="26" t="n">
        <v>-138</v>
      </c>
      <c r="BL162" s="27" t="n">
        <v>1.724638</v>
      </c>
      <c r="BM162" s="28" t="n">
        <v>0.579832</v>
      </c>
      <c r="BN162" s="28" t="n"/>
      <c r="BO162" s="28" t="n"/>
      <c r="BP162" s="25" t="n"/>
      <c r="BQ162" s="27" t="n">
        <v>1.724638</v>
      </c>
      <c r="BR162" s="28" t="n">
        <v>0.58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</row>
    <row r="163" ht="36" customHeight="1">
      <c r="A163" s="24" t="inlineStr">
        <is>
          <t>c49dec97ad9443e1</t>
        </is>
      </c>
      <c r="B163" s="24" t="inlineStr">
        <is>
          <t>2026-08-12T14:37:30.463453Z</t>
        </is>
      </c>
      <c r="C163" s="24" t="inlineStr">
        <is>
          <t>2026-08-12T16:30:00Z</t>
        </is>
      </c>
      <c r="D163" s="24" t="inlineStr">
        <is>
          <t>76971</t>
        </is>
      </c>
      <c r="E163" s="24" t="inlineStr">
        <is>
          <t>CS2</t>
        </is>
      </c>
      <c r="F163" s="24" t="inlineStr">
        <is>
          <t>Astralis</t>
        </is>
      </c>
      <c r="G163" s="24" t="inlineStr">
        <is>
          <t>MIBR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113</v>
      </c>
      <c r="M163" s="27" t="n">
        <v>2.13</v>
      </c>
      <c r="N163" s="28" t="n">
        <v>0.469484</v>
      </c>
      <c r="O163" s="28" t="n">
        <v>0.555722</v>
      </c>
      <c r="P163" s="28" t="n"/>
      <c r="Q163" s="28" t="n">
        <v>0.086238</v>
      </c>
      <c r="R163" s="26" t="n">
        <v>63</v>
      </c>
      <c r="S163" s="29" t="n">
        <v>1</v>
      </c>
      <c r="T163" s="24" t="inlineStr">
        <is>
          <t>cs2-tiered-elo-v6</t>
        </is>
      </c>
      <c r="U163" s="24" t="inlineStr">
        <is>
          <t>settled</t>
        </is>
      </c>
      <c r="V163" s="24" t="inlineStr">
        <is>
          <t>loss</t>
        </is>
      </c>
      <c r="W163" s="26" t="n">
        <v>1</v>
      </c>
      <c r="X163" s="26" t="n">
        <v>0</v>
      </c>
      <c r="Y163" s="25" t="n"/>
      <c r="Z163" s="26" t="n">
        <v>113</v>
      </c>
      <c r="AA163" s="28" t="n">
        <v>0.47</v>
      </c>
      <c r="AB163" s="28" t="n">
        <v>0.000516</v>
      </c>
      <c r="AC163" s="30" t="n">
        <v>-1</v>
      </c>
      <c r="AD163" s="24" t="inlineStr">
        <is>
          <t>2026-08-12T17:39:29.393054Z</t>
        </is>
      </c>
      <c r="AE163" s="31" t="inlineStr">
        <is>
          <t>Neutral Elo baseline; executable ask 0.4700 (market_slug=aec-cs2-mibr-ast-2026-08-12).</t>
        </is>
      </c>
      <c r="AF163" s="31" t="inlineStr">
        <is>
          <t>Config-promoted esports baseline; gates enforced at log time.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3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Astralis</t>
        </is>
      </c>
      <c r="AQ163" s="24" t="inlineStr">
        <is>
          <t>Astralis</t>
        </is>
      </c>
      <c r="AR163" s="24" t="inlineStr">
        <is>
          <t>Astralis</t>
        </is>
      </c>
      <c r="AS163" s="24" t="inlineStr">
        <is>
          <t>MIBR</t>
        </is>
      </c>
      <c r="AT163" s="24" t="inlineStr">
        <is>
          <t>MIBR</t>
        </is>
      </c>
      <c r="AU163" s="24" t="inlineStr">
        <is>
          <t>MIBR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b374886ba0bf0a14220551786b48c1fb8c8961809d97158d30b42f9ed5afb432</t>
        </is>
      </c>
      <c r="BB163" s="24" t="inlineStr">
        <is>
          <t>neutral_elo</t>
        </is>
      </c>
      <c r="BC163" s="24" t="inlineStr">
        <is>
          <t>cs2-tiered-elo-v6</t>
        </is>
      </c>
      <c r="BD163" s="24" t="inlineStr">
        <is>
          <t>b374886ba0bf0a14220551786b48c1fb8c8961809d97158d30b42f9ed5afb432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cs2-tiered-elo-v6</t>
        </is>
      </c>
      <c r="BH163" s="24" t="inlineStr">
        <is>
          <t>2026-08-12T14:37:11.602066Z</t>
        </is>
      </c>
      <c r="BI163" s="24" t="inlineStr">
        <is>
          <t>["same_event","same_team_same_day","same_league_same_day"]</t>
        </is>
      </c>
      <c r="BJ163" s="25" t="n"/>
      <c r="BK163" s="26" t="n">
        <v>113</v>
      </c>
      <c r="BL163" s="27" t="n">
        <v>2.13</v>
      </c>
      <c r="BM163" s="28" t="n">
        <v>0.469484</v>
      </c>
      <c r="BN163" s="28" t="n"/>
      <c r="BO163" s="28" t="n"/>
      <c r="BP163" s="25" t="n"/>
      <c r="BQ163" s="27" t="n">
        <v>2.13</v>
      </c>
      <c r="BR163" s="28" t="n">
        <v>0.47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bb81ba5639df43ce</t>
        </is>
      </c>
      <c r="B164" s="24" t="inlineStr">
        <is>
          <t>2026-08-12T14:37:30.463453Z</t>
        </is>
      </c>
      <c r="C164" s="24" t="inlineStr">
        <is>
          <t>2026-08-12T16:30:00Z</t>
        </is>
      </c>
      <c r="D164" s="24" t="inlineStr">
        <is>
          <t>79506</t>
        </is>
      </c>
      <c r="E164" s="24" t="inlineStr">
        <is>
          <t>CS2</t>
        </is>
      </c>
      <c r="F164" s="24" t="inlineStr">
        <is>
          <t>Glitchtech Esports</t>
        </is>
      </c>
      <c r="G164" s="24" t="inlineStr">
        <is>
          <t>NEXORA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113</v>
      </c>
      <c r="M164" s="27" t="n">
        <v>2.13</v>
      </c>
      <c r="N164" s="28" t="n">
        <v>0.469484</v>
      </c>
      <c r="O164" s="28" t="n">
        <v>0.646015</v>
      </c>
      <c r="P164" s="28" t="n"/>
      <c r="Q164" s="28" t="n">
        <v>0.176531</v>
      </c>
      <c r="R164" s="26" t="n">
        <v>100</v>
      </c>
      <c r="S164" s="29" t="n">
        <v>1.75</v>
      </c>
      <c r="T164" s="24" t="inlineStr">
        <is>
          <t>cs2-tiered-elo-v6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0</v>
      </c>
      <c r="X164" s="26" t="n">
        <v>1</v>
      </c>
      <c r="Y164" s="25" t="n"/>
      <c r="Z164" s="26" t="n">
        <v>122</v>
      </c>
      <c r="AA164" s="28" t="n">
        <v>0.45</v>
      </c>
      <c r="AB164" s="28" t="n">
        <v>-0.019484</v>
      </c>
      <c r="AC164" s="30" t="n">
        <v>1.9775</v>
      </c>
      <c r="AD164" s="24" t="inlineStr">
        <is>
          <t>2026-08-12T17:39:34.669948Z</t>
        </is>
      </c>
      <c r="AE164" s="31" t="inlineStr">
        <is>
          <t>Neutral Elo baseline; executable ask 0.4700 (market_slug=aec-cs2-nexo-gel-2026-08-12).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3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Glitchtech Esports</t>
        </is>
      </c>
      <c r="AQ164" s="24" t="inlineStr">
        <is>
          <t>Glitchtech Esports</t>
        </is>
      </c>
      <c r="AR164" s="24" t="inlineStr">
        <is>
          <t>Glitchtech Esports</t>
        </is>
      </c>
      <c r="AS164" s="24" t="inlineStr">
        <is>
          <t>NEXORA</t>
        </is>
      </c>
      <c r="AT164" s="24" t="inlineStr">
        <is>
          <t>NEXORA</t>
        </is>
      </c>
      <c r="AU164" s="24" t="inlineStr">
        <is>
          <t>NEXORA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b374886ba0bf0a14220551786b48c1fb8c8961809d97158d30b42f9ed5afb432</t>
        </is>
      </c>
      <c r="BB164" s="24" t="inlineStr">
        <is>
          <t>neutral_elo</t>
        </is>
      </c>
      <c r="BC164" s="24" t="inlineStr">
        <is>
          <t>cs2-tiered-elo-v6</t>
        </is>
      </c>
      <c r="BD164" s="24" t="inlineStr">
        <is>
          <t>b374886ba0bf0a14220551786b48c1fb8c8961809d97158d30b42f9ed5afb432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cs2-tiered-elo-v6</t>
        </is>
      </c>
      <c r="BH164" s="24" t="inlineStr">
        <is>
          <t>2026-08-12T14:37:12.674670Z</t>
        </is>
      </c>
      <c r="BI164" s="24" t="inlineStr">
        <is>
          <t>["same_event","same_team_same_day","same_league_same_day"]</t>
        </is>
      </c>
      <c r="BJ164" s="25" t="n"/>
      <c r="BK164" s="26" t="n">
        <v>113</v>
      </c>
      <c r="BL164" s="27" t="n">
        <v>2.13</v>
      </c>
      <c r="BM164" s="28" t="n">
        <v>0.469484</v>
      </c>
      <c r="BN164" s="28" t="n"/>
      <c r="BO164" s="28" t="n"/>
      <c r="BP164" s="25" t="n"/>
      <c r="BQ164" s="27" t="n">
        <v>2.22</v>
      </c>
      <c r="BR164" s="28" t="n">
        <v>0.45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</row>
    <row r="165" ht="36" customHeight="1">
      <c r="A165" s="24" t="inlineStr">
        <is>
          <t>5145f7c5825b4a20</t>
        </is>
      </c>
      <c r="B165" s="24" t="inlineStr">
        <is>
          <t>2026-08-12T16:45:01.279018Z</t>
        </is>
      </c>
      <c r="C165" s="24" t="inlineStr">
        <is>
          <t>2026-08-12T17:00:00Z</t>
        </is>
      </c>
      <c r="D165" s="24" t="inlineStr">
        <is>
          <t>79507</t>
        </is>
      </c>
      <c r="E165" s="24" t="inlineStr">
        <is>
          <t>CS2</t>
        </is>
      </c>
      <c r="F165" s="24" t="inlineStr">
        <is>
          <t>B8 Academy</t>
        </is>
      </c>
      <c r="G165" s="24" t="inlineStr">
        <is>
          <t>banda chuya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-170</v>
      </c>
      <c r="M165" s="27" t="n">
        <v>1.588235</v>
      </c>
      <c r="N165" s="28" t="n">
        <v>0.62963</v>
      </c>
      <c r="O165" s="28" t="n">
        <v>0.554352</v>
      </c>
      <c r="P165" s="28" t="n"/>
      <c r="Q165" s="28" t="n">
        <v>-0.075278</v>
      </c>
      <c r="R165" s="26" t="n">
        <v>0</v>
      </c>
      <c r="S165" s="29" t="n">
        <v>1</v>
      </c>
      <c r="T165" s="24" t="inlineStr">
        <is>
          <t>cs2-tiered-elo-v6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-170</v>
      </c>
      <c r="AA165" s="28" t="n">
        <v>0.63</v>
      </c>
      <c r="AB165" s="28" t="n">
        <v>0.00037</v>
      </c>
      <c r="AC165" s="30" t="n">
        <v>0.5881999999999999</v>
      </c>
      <c r="AD165" s="24" t="inlineStr">
        <is>
          <t>2026-08-12T21:14:37.540607Z</t>
        </is>
      </c>
      <c r="AE165" s="31" t="inlineStr">
        <is>
          <t>Neutral Elo baseline; executable ask 0.6300 (market_slug=aec-cs2-bcan-b8a-2026-08-12).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NO_CALL_LOW_EDGE</t>
        </is>
      </c>
      <c r="AP165" s="24" t="inlineStr">
        <is>
          <t>B8 Academy</t>
        </is>
      </c>
      <c r="AQ165" s="24" t="inlineStr">
        <is>
          <t>B8 Academy</t>
        </is>
      </c>
      <c r="AR165" s="24" t="inlineStr">
        <is>
          <t>B8 Academy</t>
        </is>
      </c>
      <c r="AS165" s="24" t="inlineStr">
        <is>
          <t>banda chuya</t>
        </is>
      </c>
      <c r="AT165" s="24" t="inlineStr">
        <is>
          <t>banda chuya</t>
        </is>
      </c>
      <c r="AU165" s="24" t="inlineStr">
        <is>
          <t>banda chuya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0b2baa676d9e7e664be1e73fe9c7392063fa9409251d936f02dc46acfa52a1d2</t>
        </is>
      </c>
      <c r="BB165" s="24" t="inlineStr">
        <is>
          <t>neutral_elo</t>
        </is>
      </c>
      <c r="BC165" s="24" t="inlineStr">
        <is>
          <t>cs2-tiered-elo-v6</t>
        </is>
      </c>
      <c r="BD165" s="24" t="inlineStr">
        <is>
          <t>0b2baa676d9e7e664be1e73fe9c7392063fa9409251d936f02dc46acfa52a1d2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cs2-tiered-elo-v6</t>
        </is>
      </c>
      <c r="BH165" s="24" t="inlineStr">
        <is>
          <t>2026-08-12T16:44:43.221442Z</t>
        </is>
      </c>
      <c r="BI165" s="24" t="inlineStr">
        <is>
          <t>["same_event","same_team_same_day","same_league_same_day"]</t>
        </is>
      </c>
      <c r="BJ165" s="25" t="n"/>
      <c r="BK165" s="26" t="n">
        <v>-170</v>
      </c>
      <c r="BL165" s="27" t="n">
        <v>1.588235</v>
      </c>
      <c r="BM165" s="28" t="n">
        <v>0.62963</v>
      </c>
      <c r="BN165" s="28" t="n"/>
      <c r="BO165" s="28" t="n"/>
      <c r="BP165" s="25" t="n"/>
      <c r="BQ165" s="27" t="n">
        <v>1.588235</v>
      </c>
      <c r="BR165" s="28" t="n">
        <v>0.63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</row>
    <row r="166" ht="36" customHeight="1">
      <c r="A166" s="24" t="inlineStr">
        <is>
          <t>78d92343aa794b1b</t>
        </is>
      </c>
      <c r="B166" s="24" t="inlineStr">
        <is>
          <t>2026-08-12T16:45:01.279018Z</t>
        </is>
      </c>
      <c r="C166" s="24" t="inlineStr">
        <is>
          <t>2026-08-12T17:00:00Z</t>
        </is>
      </c>
      <c r="D166" s="24" t="inlineStr">
        <is>
          <t>78267</t>
        </is>
      </c>
      <c r="E166" s="24" t="inlineStr">
        <is>
          <t>CS2</t>
        </is>
      </c>
      <c r="F166" s="24" t="inlineStr">
        <is>
          <t>HAVU</t>
        </is>
      </c>
      <c r="G166" s="24" t="inlineStr">
        <is>
          <t>Endless Journey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-178</v>
      </c>
      <c r="M166" s="27" t="n">
        <v>1.561798</v>
      </c>
      <c r="N166" s="28" t="n">
        <v>0.640288</v>
      </c>
      <c r="O166" s="28" t="n">
        <v>0.769971</v>
      </c>
      <c r="P166" s="28" t="n"/>
      <c r="Q166" s="28" t="n">
        <v>0.129683</v>
      </c>
      <c r="R166" s="26" t="n">
        <v>85</v>
      </c>
      <c r="S166" s="29" t="n">
        <v>2</v>
      </c>
      <c r="T166" s="24" t="inlineStr">
        <is>
          <t>cs2-tiered-elo-v6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-178</v>
      </c>
      <c r="AA166" s="28" t="n">
        <v>0.64</v>
      </c>
      <c r="AB166" s="28" t="n">
        <v>-0.000288</v>
      </c>
      <c r="AC166" s="30" t="n">
        <v>-2</v>
      </c>
      <c r="AD166" s="24" t="inlineStr">
        <is>
          <t>2026-08-12T21:14:39.408113Z</t>
        </is>
      </c>
      <c r="AE166" s="31" t="inlineStr">
        <is>
          <t>Neutral Elo baseline; executable ask 0.6400 (market_slug=aec-cs2-ej-havu-2026-08-12).</t>
        </is>
      </c>
      <c r="AF166" s="31" t="inlineStr">
        <is>
          <t>Config-promoted esports baseline; gates enforced at log time.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HAVU</t>
        </is>
      </c>
      <c r="AQ166" s="24" t="inlineStr">
        <is>
          <t>HAVU</t>
        </is>
      </c>
      <c r="AR166" s="24" t="inlineStr">
        <is>
          <t>HAVU</t>
        </is>
      </c>
      <c r="AS166" s="24" t="inlineStr">
        <is>
          <t>Endless Journey</t>
        </is>
      </c>
      <c r="AT166" s="24" t="inlineStr">
        <is>
          <t>Endless Journey</t>
        </is>
      </c>
      <c r="AU166" s="24" t="inlineStr">
        <is>
          <t>Endless Journey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0b2baa676d9e7e664be1e73fe9c7392063fa9409251d936f02dc46acfa52a1d2</t>
        </is>
      </c>
      <c r="BB166" s="24" t="inlineStr">
        <is>
          <t>neutral_elo</t>
        </is>
      </c>
      <c r="BC166" s="24" t="inlineStr">
        <is>
          <t>cs2-tiered-elo-v6</t>
        </is>
      </c>
      <c r="BD166" s="24" t="inlineStr">
        <is>
          <t>0b2baa676d9e7e664be1e73fe9c7392063fa9409251d936f02dc46acfa52a1d2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cs2-tiered-elo-v6</t>
        </is>
      </c>
      <c r="BH166" s="24" t="inlineStr">
        <is>
          <t>2026-08-12T16:44:43.728852Z</t>
        </is>
      </c>
      <c r="BI166" s="24" t="inlineStr">
        <is>
          <t>["same_event","same_team_same_day","same_league_same_day"]</t>
        </is>
      </c>
      <c r="BJ166" s="25" t="n"/>
      <c r="BK166" s="26" t="n">
        <v>-178</v>
      </c>
      <c r="BL166" s="27" t="n">
        <v>1.561798</v>
      </c>
      <c r="BM166" s="28" t="n">
        <v>0.640288</v>
      </c>
      <c r="BN166" s="28" t="n"/>
      <c r="BO166" s="28" t="n"/>
      <c r="BP166" s="25" t="n"/>
      <c r="BQ166" s="27" t="n">
        <v>1.561798</v>
      </c>
      <c r="BR166" s="28" t="n">
        <v>0.64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edad4f99ec4d40ca</t>
        </is>
      </c>
      <c r="B167" s="24" t="inlineStr">
        <is>
          <t>2026-08-12T17:44:50.525052Z</t>
        </is>
      </c>
      <c r="C167" s="24" t="inlineStr">
        <is>
          <t>2026-08-12T18:30:00Z</t>
        </is>
      </c>
      <c r="D167" s="24" t="inlineStr">
        <is>
          <t>79509</t>
        </is>
      </c>
      <c r="E167" s="24" t="inlineStr">
        <is>
          <t>CS2</t>
        </is>
      </c>
      <c r="F167" s="24" t="inlineStr">
        <is>
          <t>ENRAGE</t>
        </is>
      </c>
      <c r="G167" s="24" t="inlineStr">
        <is>
          <t>ZOTIX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-117</v>
      </c>
      <c r="M167" s="27" t="n">
        <v>1.854701</v>
      </c>
      <c r="N167" s="28" t="n">
        <v>0.539171</v>
      </c>
      <c r="O167" s="28" t="n">
        <v>0.528366</v>
      </c>
      <c r="P167" s="28" t="n"/>
      <c r="Q167" s="28" t="n">
        <v>-0.010805</v>
      </c>
      <c r="R167" s="26" t="n">
        <v>15</v>
      </c>
      <c r="S167" s="29" t="n">
        <v>1</v>
      </c>
      <c r="T167" s="24" t="inlineStr">
        <is>
          <t>cs2-tiered-elo-v6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-117</v>
      </c>
      <c r="AA167" s="28" t="n">
        <v>0.54</v>
      </c>
      <c r="AB167" s="28" t="n">
        <v>0.000829</v>
      </c>
      <c r="AC167" s="30" t="n">
        <v>0.8547</v>
      </c>
      <c r="AD167" s="24" t="inlineStr">
        <is>
          <t>2026-08-12T21:14:41.704616Z</t>
        </is>
      </c>
      <c r="AE167" s="31" t="inlineStr">
        <is>
          <t>Neutral Elo baseline; executable ask 0.5400 (market_slug=aec-cs2-zotix-enr-2026-08-12).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ENRAGE</t>
        </is>
      </c>
      <c r="AQ167" s="24" t="inlineStr">
        <is>
          <t>ENRAGE</t>
        </is>
      </c>
      <c r="AR167" s="24" t="inlineStr">
        <is>
          <t>ENRAGE</t>
        </is>
      </c>
      <c r="AS167" s="24" t="inlineStr">
        <is>
          <t>ZOTIX</t>
        </is>
      </c>
      <c r="AT167" s="24" t="inlineStr">
        <is>
          <t>ZOTIX</t>
        </is>
      </c>
      <c r="AU167" s="24" t="inlineStr">
        <is>
          <t>ZOTIX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707a22aae8ecc986a21e2f01b4e3f94c78e29cfde24e72fe5d7d72a0990bd6c9</t>
        </is>
      </c>
      <c r="BB167" s="24" t="inlineStr">
        <is>
          <t>neutral_elo</t>
        </is>
      </c>
      <c r="BC167" s="24" t="inlineStr">
        <is>
          <t>cs2-tiered-elo-v6</t>
        </is>
      </c>
      <c r="BD167" s="24" t="inlineStr">
        <is>
          <t>707a22aae8ecc986a21e2f01b4e3f94c78e29cfde24e72fe5d7d72a0990bd6c9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cs2-tiered-elo-v6</t>
        </is>
      </c>
      <c r="BH167" s="24" t="inlineStr">
        <is>
          <t>2026-08-12T17:44:27.882306Z</t>
        </is>
      </c>
      <c r="BI167" s="24" t="inlineStr">
        <is>
          <t>["same_event","same_team_same_day","same_league_same_day"]</t>
        </is>
      </c>
      <c r="BJ167" s="25" t="n"/>
      <c r="BK167" s="26" t="n">
        <v>-117</v>
      </c>
      <c r="BL167" s="27" t="n">
        <v>1.854701</v>
      </c>
      <c r="BM167" s="28" t="n">
        <v>0.539171</v>
      </c>
      <c r="BN167" s="28" t="n"/>
      <c r="BO167" s="28" t="n"/>
      <c r="BP167" s="25" t="n"/>
      <c r="BQ167" s="27" t="n">
        <v>1.854701</v>
      </c>
      <c r="BR167" s="28" t="n">
        <v>0.54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</row>
    <row r="168" ht="36" customHeight="1">
      <c r="A168" s="24" t="inlineStr">
        <is>
          <t>133b6bc0e96f4075</t>
        </is>
      </c>
      <c r="B168" s="24" t="inlineStr">
        <is>
          <t>2026-08-12T17:44:50.525052Z</t>
        </is>
      </c>
      <c r="C168" s="24" t="inlineStr">
        <is>
          <t>2026-08-12T19:30:00Z</t>
        </is>
      </c>
      <c r="D168" s="24" t="inlineStr">
        <is>
          <t>76994</t>
        </is>
      </c>
      <c r="E168" s="24" t="inlineStr">
        <is>
          <t>CS2</t>
        </is>
      </c>
      <c r="F168" s="24" t="inlineStr">
        <is>
          <t>paiN</t>
        </is>
      </c>
      <c r="G168" s="24" t="inlineStr">
        <is>
          <t>9z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-170</v>
      </c>
      <c r="M168" s="27" t="n">
        <v>1.588235</v>
      </c>
      <c r="N168" s="28" t="n">
        <v>0.62963</v>
      </c>
      <c r="O168" s="28" t="n">
        <v>0.6934</v>
      </c>
      <c r="P168" s="28" t="n"/>
      <c r="Q168" s="28" t="n">
        <v>0.06376999999999999</v>
      </c>
      <c r="R168" s="26" t="n">
        <v>52</v>
      </c>
      <c r="S168" s="29" t="n">
        <v>2</v>
      </c>
      <c r="T168" s="24" t="inlineStr">
        <is>
          <t>cs2-tiered-elo-v6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-170</v>
      </c>
      <c r="AA168" s="28" t="n">
        <v>0.63</v>
      </c>
      <c r="AB168" s="28" t="n">
        <v>0.00037</v>
      </c>
      <c r="AC168" s="30" t="n">
        <v>1.1765</v>
      </c>
      <c r="AD168" s="24" t="inlineStr">
        <is>
          <t>2026-08-12T21:14:44.607677Z</t>
        </is>
      </c>
      <c r="AE168" s="31" t="inlineStr">
        <is>
          <t>Neutral Elo baseline; executable ask 0.6300 (market_slug=aec-cs2-9z-pain-2026-08-12).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paiN</t>
        </is>
      </c>
      <c r="AQ168" s="24" t="inlineStr">
        <is>
          <t>paiN</t>
        </is>
      </c>
      <c r="AR168" s="24" t="inlineStr">
        <is>
          <t>paiN</t>
        </is>
      </c>
      <c r="AS168" s="24" t="inlineStr">
        <is>
          <t>9z</t>
        </is>
      </c>
      <c r="AT168" s="24" t="inlineStr">
        <is>
          <t>9z</t>
        </is>
      </c>
      <c r="AU168" s="24" t="inlineStr">
        <is>
          <t>9z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707a22aae8ecc986a21e2f01b4e3f94c78e29cfde24e72fe5d7d72a0990bd6c9</t>
        </is>
      </c>
      <c r="BB168" s="24" t="inlineStr">
        <is>
          <t>neutral_elo</t>
        </is>
      </c>
      <c r="BC168" s="24" t="inlineStr">
        <is>
          <t>cs2-tiered-elo-v6</t>
        </is>
      </c>
      <c r="BD168" s="24" t="inlineStr">
        <is>
          <t>707a22aae8ecc986a21e2f01b4e3f94c78e29cfde24e72fe5d7d72a0990bd6c9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cs2-tiered-elo-v6</t>
        </is>
      </c>
      <c r="BH168" s="24" t="inlineStr">
        <is>
          <t>2026-08-12T17:44:30.180249Z</t>
        </is>
      </c>
      <c r="BI168" s="24" t="inlineStr">
        <is>
          <t>["same_event","same_team_same_day","same_league_same_day"]</t>
        </is>
      </c>
      <c r="BJ168" s="25" t="n"/>
      <c r="BK168" s="26" t="n">
        <v>-170</v>
      </c>
      <c r="BL168" s="27" t="n">
        <v>1.588235</v>
      </c>
      <c r="BM168" s="28" t="n">
        <v>0.62963</v>
      </c>
      <c r="BN168" s="28" t="n"/>
      <c r="BO168" s="28" t="n"/>
      <c r="BP168" s="25" t="n"/>
      <c r="BQ168" s="27" t="n">
        <v>1.588235</v>
      </c>
      <c r="BR168" s="28" t="n">
        <v>0.63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</row>
    <row r="169" ht="36" customHeight="1">
      <c r="A169" s="24" t="inlineStr">
        <is>
          <t>987786324ddd4458</t>
        </is>
      </c>
      <c r="B169" s="24" t="inlineStr">
        <is>
          <t>2026-08-12T17:44:50.525052Z</t>
        </is>
      </c>
      <c r="C169" s="24" t="inlineStr">
        <is>
          <t>2026-08-12T21:00:00Z</t>
        </is>
      </c>
      <c r="D169" s="24" t="inlineStr">
        <is>
          <t>79585</t>
        </is>
      </c>
      <c r="E169" s="24" t="inlineStr">
        <is>
          <t>CS2</t>
        </is>
      </c>
      <c r="F169" s="24" t="inlineStr">
        <is>
          <t>Grêmio Esports</t>
        </is>
      </c>
      <c r="G169" s="24" t="inlineStr">
        <is>
          <t>UNO MILLE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-178</v>
      </c>
      <c r="M169" s="27" t="n">
        <v>1.561798</v>
      </c>
      <c r="N169" s="28" t="n">
        <v>0.640288</v>
      </c>
      <c r="O169" s="28" t="n">
        <v>0.5477649999999999</v>
      </c>
      <c r="P169" s="28" t="n"/>
      <c r="Q169" s="28" t="n">
        <v>-0.09252299999999999</v>
      </c>
      <c r="R169" s="26" t="n">
        <v>0</v>
      </c>
      <c r="S169" s="29" t="n">
        <v>1</v>
      </c>
      <c r="T169" s="24" t="inlineStr">
        <is>
          <t>cs2-tiered-elo-v6</t>
        </is>
      </c>
      <c r="U169" s="24" t="inlineStr">
        <is>
          <t>settled</t>
        </is>
      </c>
      <c r="V169" s="24" t="inlineStr">
        <is>
          <t>push</t>
        </is>
      </c>
      <c r="W169" s="26" t="n"/>
      <c r="X169" s="26" t="n"/>
      <c r="Y169" s="25" t="n"/>
      <c r="Z169" s="26" t="n"/>
      <c r="AA169" s="28" t="n"/>
      <c r="AB169" s="28" t="n"/>
      <c r="AC169" s="30" t="n">
        <v>0</v>
      </c>
      <c r="AD169" s="24" t="inlineStr">
        <is>
          <t>2026-08-13T05:32:59.611096Z</t>
        </is>
      </c>
      <c r="AE169" s="31" t="inlineStr">
        <is>
          <t>Neutral Elo baseline; executable ask 0.6400 (market_slug=aec-cs2-uno-ger-2026-08-12).</t>
        </is>
      </c>
      <c r="AF169" s="31" t="inlineStr">
        <is>
          <t>Config-promoted esports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Grêmio Esports</t>
        </is>
      </c>
      <c r="AQ169" s="24" t="inlineStr">
        <is>
          <t>Grêmio Esports</t>
        </is>
      </c>
      <c r="AR169" s="24" t="inlineStr">
        <is>
          <t>Grêmio Esports</t>
        </is>
      </c>
      <c r="AS169" s="24" t="inlineStr">
        <is>
          <t>UNO MILLE</t>
        </is>
      </c>
      <c r="AT169" s="24" t="inlineStr">
        <is>
          <t>UNO MILLE</t>
        </is>
      </c>
      <c r="AU169" s="24" t="inlineStr">
        <is>
          <t>UNO MILLE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707a22aae8ecc986a21e2f01b4e3f94c78e29cfde24e72fe5d7d72a0990bd6c9</t>
        </is>
      </c>
      <c r="BB169" s="24" t="inlineStr">
        <is>
          <t>neutral_elo</t>
        </is>
      </c>
      <c r="BC169" s="24" t="inlineStr">
        <is>
          <t>cs2-tiered-elo-v6</t>
        </is>
      </c>
      <c r="BD169" s="24" t="inlineStr">
        <is>
          <t>707a22aae8ecc986a21e2f01b4e3f94c78e29cfde24e72fe5d7d72a0990bd6c9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cs2-tiered-elo-v6</t>
        </is>
      </c>
      <c r="BH169" s="24" t="inlineStr">
        <is>
          <t>2026-08-12T17:44:31.590961Z</t>
        </is>
      </c>
      <c r="BI169" s="24" t="inlineStr">
        <is>
          <t>["same_event","same_team_same_day","same_league_same_day"]</t>
        </is>
      </c>
      <c r="BJ169" s="25" t="n"/>
      <c r="BK169" s="26" t="n">
        <v>-178</v>
      </c>
      <c r="BL169" s="27" t="n">
        <v>1.561798</v>
      </c>
      <c r="BM169" s="28" t="n">
        <v>0.640288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inlineStr">
        <is>
          <t>esports market settled to a non-binary price (forfeit/postponement per market rules)</t>
        </is>
      </c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3f4f3091b0474e0f</t>
        </is>
      </c>
      <c r="B170" s="24" t="inlineStr">
        <is>
          <t>2026-08-12T17:44:50.525052Z</t>
        </is>
      </c>
      <c r="C170" s="24" t="inlineStr">
        <is>
          <t>2026-08-12T21:00:00Z</t>
        </is>
      </c>
      <c r="D170" s="24" t="inlineStr">
        <is>
          <t>79586</t>
        </is>
      </c>
      <c r="E170" s="24" t="inlineStr">
        <is>
          <t>CS2</t>
        </is>
      </c>
      <c r="F170" s="24" t="inlineStr">
        <is>
          <t xml:space="preserve">Back to Back </t>
        </is>
      </c>
      <c r="G170" s="24" t="inlineStr">
        <is>
          <t>QUINTESSÊNCIA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178</v>
      </c>
      <c r="M170" s="27" t="n">
        <v>2.78</v>
      </c>
      <c r="N170" s="28" t="n">
        <v>0.359712</v>
      </c>
      <c r="O170" s="28" t="n">
        <v>0.520239</v>
      </c>
      <c r="P170" s="28" t="n"/>
      <c r="Q170" s="28" t="n">
        <v>0.160527</v>
      </c>
      <c r="R170" s="26" t="n">
        <v>100</v>
      </c>
      <c r="S170" s="29" t="n">
        <v>1</v>
      </c>
      <c r="T170" s="24" t="inlineStr">
        <is>
          <t>cs2-tiered-elo-v6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178</v>
      </c>
      <c r="AA170" s="28" t="n">
        <v>0.36</v>
      </c>
      <c r="AB170" s="28" t="n">
        <v>0.000288</v>
      </c>
      <c r="AC170" s="30" t="n">
        <v>1.78</v>
      </c>
      <c r="AD170" s="24" t="inlineStr">
        <is>
          <t>2026-08-13T05:33:02.511921Z</t>
        </is>
      </c>
      <c r="AE170" s="31" t="inlineStr">
        <is>
          <t>Neutral Elo baseline; executable ask 0.3600 (market_slug=aec-cs2-quin-btb-2026-08-12).</t>
        </is>
      </c>
      <c r="AF170" s="31" t="inlineStr">
        <is>
          <t>Config-promoted esports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NO_CALL_LOW_EDGE</t>
        </is>
      </c>
      <c r="AP170" s="24" t="inlineStr">
        <is>
          <t xml:space="preserve">Back to Back </t>
        </is>
      </c>
      <c r="AQ170" s="24" t="inlineStr">
        <is>
          <t xml:space="preserve">Back to Back </t>
        </is>
      </c>
      <c r="AR170" s="24" t="inlineStr">
        <is>
          <t xml:space="preserve">Back to Back </t>
        </is>
      </c>
      <c r="AS170" s="24" t="inlineStr">
        <is>
          <t>QUINTESSÊNCIA</t>
        </is>
      </c>
      <c r="AT170" s="24" t="inlineStr">
        <is>
          <t>QUINTESSÊNCIA</t>
        </is>
      </c>
      <c r="AU170" s="24" t="inlineStr">
        <is>
          <t>QUINTESSÊNCIA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707a22aae8ecc986a21e2f01b4e3f94c78e29cfde24e72fe5d7d72a0990bd6c9</t>
        </is>
      </c>
      <c r="BB170" s="24" t="inlineStr">
        <is>
          <t>neutral_elo</t>
        </is>
      </c>
      <c r="BC170" s="24" t="inlineStr">
        <is>
          <t>cs2-tiered-elo-v6</t>
        </is>
      </c>
      <c r="BD170" s="24" t="inlineStr">
        <is>
          <t>707a22aae8ecc986a21e2f01b4e3f94c78e29cfde24e72fe5d7d72a0990bd6c9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cs2-tiered-elo-v6</t>
        </is>
      </c>
      <c r="BH170" s="24" t="inlineStr">
        <is>
          <t>2026-08-12T17:44:32.440016Z</t>
        </is>
      </c>
      <c r="BI170" s="24" t="inlineStr">
        <is>
          <t>["same_event","same_team_same_day","same_league_same_day"]</t>
        </is>
      </c>
      <c r="BJ170" s="25" t="n"/>
      <c r="BK170" s="26" t="n">
        <v>178</v>
      </c>
      <c r="BL170" s="27" t="n">
        <v>2.78</v>
      </c>
      <c r="BM170" s="28" t="n">
        <v>0.359712</v>
      </c>
      <c r="BN170" s="28" t="n"/>
      <c r="BO170" s="28" t="n"/>
      <c r="BP170" s="25" t="n"/>
      <c r="BQ170" s="27" t="n">
        <v>2.78</v>
      </c>
      <c r="BR170" s="28" t="n">
        <v>0.36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</row>
    <row r="171" ht="36" customHeight="1">
      <c r="A171" s="24" t="inlineStr">
        <is>
          <t>bc89ea0b29cb448e</t>
        </is>
      </c>
      <c r="B171" s="24" t="inlineStr">
        <is>
          <t>2026-08-12T21:33:52.551769Z</t>
        </is>
      </c>
      <c r="C171" s="24" t="inlineStr">
        <is>
          <t>2026-08-12T23:45:00Z</t>
        </is>
      </c>
      <c r="D171" s="24" t="inlineStr">
        <is>
          <t>79587</t>
        </is>
      </c>
      <c r="E171" s="24" t="inlineStr">
        <is>
          <t>CS2</t>
        </is>
      </c>
      <c r="F171" s="24" t="inlineStr">
        <is>
          <t>Rush</t>
        </is>
      </c>
      <c r="G171" s="24" t="inlineStr">
        <is>
          <t>MEIA NOITE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-156</v>
      </c>
      <c r="M171" s="27" t="n">
        <v>1.641026</v>
      </c>
      <c r="N171" s="28" t="n">
        <v>0.609375</v>
      </c>
      <c r="O171" s="28" t="n">
        <v>0.507257</v>
      </c>
      <c r="P171" s="28" t="n"/>
      <c r="Q171" s="28" t="n">
        <v>-0.102118</v>
      </c>
      <c r="R171" s="26" t="n">
        <v>0</v>
      </c>
      <c r="S171" s="29" t="n">
        <v>1</v>
      </c>
      <c r="T171" s="24" t="inlineStr">
        <is>
          <t>cs2-tiered-elo-v6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>
        <v>-156</v>
      </c>
      <c r="AA171" s="28" t="n">
        <v>0.61</v>
      </c>
      <c r="AB171" s="28" t="n">
        <v>0.000625</v>
      </c>
      <c r="AC171" s="30" t="n">
        <v>0.641</v>
      </c>
      <c r="AD171" s="24" t="inlineStr">
        <is>
          <t>2026-08-13T05:33:04.679924Z</t>
        </is>
      </c>
      <c r="AE171" s="31" t="inlineStr">
        <is>
          <t>Neutral Elo baseline; executable ask 0.6100 (market_slug=aec-cs2-mne-rush-2026-08-12).</t>
        </is>
      </c>
      <c r="AF171" s="31" t="inlineStr">
        <is>
          <t>Config-promoted esports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NO_CALL_LOW_EDGE</t>
        </is>
      </c>
      <c r="AP171" s="24" t="inlineStr">
        <is>
          <t>Rush</t>
        </is>
      </c>
      <c r="AQ171" s="24" t="inlineStr">
        <is>
          <t>Rush</t>
        </is>
      </c>
      <c r="AR171" s="24" t="inlineStr">
        <is>
          <t>Rush</t>
        </is>
      </c>
      <c r="AS171" s="24" t="inlineStr">
        <is>
          <t>MEIA NOITE</t>
        </is>
      </c>
      <c r="AT171" s="24" t="inlineStr">
        <is>
          <t>MEIA NOITE</t>
        </is>
      </c>
      <c r="AU171" s="24" t="inlineStr">
        <is>
          <t>MEIA NOITE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75cf40a82dfb724d1e93335407ca55be1a78b5a32eb25024d68a5e3e97a4ec08</t>
        </is>
      </c>
      <c r="BB171" s="24" t="inlineStr">
        <is>
          <t>neutral_elo</t>
        </is>
      </c>
      <c r="BC171" s="24" t="inlineStr">
        <is>
          <t>cs2-tiered-elo-v6</t>
        </is>
      </c>
      <c r="BD171" s="24" t="inlineStr">
        <is>
          <t>75cf40a82dfb724d1e93335407ca55be1a78b5a32eb25024d68a5e3e97a4ec08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cs2-tiered-elo-v6</t>
        </is>
      </c>
      <c r="BH171" s="24" t="inlineStr">
        <is>
          <t>2026-08-12T21:33:38.686855Z</t>
        </is>
      </c>
      <c r="BI171" s="24" t="inlineStr">
        <is>
          <t>["same_event","same_team_same_day","same_league_same_day"]</t>
        </is>
      </c>
      <c r="BJ171" s="25" t="n"/>
      <c r="BK171" s="26" t="n">
        <v>-156</v>
      </c>
      <c r="BL171" s="27" t="n">
        <v>1.641026</v>
      </c>
      <c r="BM171" s="28" t="n">
        <v>0.609375</v>
      </c>
      <c r="BN171" s="28" t="n"/>
      <c r="BO171" s="28" t="n"/>
      <c r="BP171" s="25" t="n"/>
      <c r="BQ171" s="27" t="n">
        <v>1.641026</v>
      </c>
      <c r="BR171" s="28" t="n">
        <v>0.61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1c317ba02faf4df5</t>
        </is>
      </c>
      <c r="B172" s="24" t="inlineStr">
        <is>
          <t>2026-08-13T07:34:11.009260Z</t>
        </is>
      </c>
      <c r="C172" s="24" t="inlineStr">
        <is>
          <t>2026-08-13T08:00:00Z</t>
        </is>
      </c>
      <c r="D172" s="24" t="inlineStr">
        <is>
          <t>80278</t>
        </is>
      </c>
      <c r="E172" s="24" t="inlineStr">
        <is>
          <t>CS2</t>
        </is>
      </c>
      <c r="F172" s="24" t="inlineStr">
        <is>
          <t>Benched gods</t>
        </is>
      </c>
      <c r="G172" s="24" t="inlineStr">
        <is>
          <t>FORZE Reload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-194</v>
      </c>
      <c r="M172" s="27" t="n">
        <v>1.515464</v>
      </c>
      <c r="N172" s="28" t="n">
        <v>0.659864</v>
      </c>
      <c r="O172" s="28" t="n">
        <v>0.632553</v>
      </c>
      <c r="P172" s="28" t="n"/>
      <c r="Q172" s="28" t="n">
        <v>-0.027311</v>
      </c>
      <c r="R172" s="26" t="n">
        <v>6</v>
      </c>
      <c r="S172" s="29" t="n">
        <v>1.5</v>
      </c>
      <c r="T172" s="24" t="inlineStr">
        <is>
          <t>cs2-tiered-elo-v6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0</v>
      </c>
      <c r="Y172" s="25" t="n"/>
      <c r="Z172" s="26" t="n">
        <v>-194</v>
      </c>
      <c r="AA172" s="28" t="n">
        <v>0.66</v>
      </c>
      <c r="AB172" s="28" t="n">
        <v>0.000136</v>
      </c>
      <c r="AC172" s="30" t="n">
        <v>-1.5</v>
      </c>
      <c r="AD172" s="24" t="inlineStr">
        <is>
          <t>2026-08-13T10:05:34.759455Z</t>
        </is>
      </c>
      <c r="AE172" s="31" t="inlineStr">
        <is>
          <t>Neutral Elo baseline; executable ask 0.6600 (market_slug=aec-cs2-forzer-bge-2026-08-13).</t>
        </is>
      </c>
      <c r="AF172" s="31" t="inlineStr">
        <is>
          <t>Config-promoted esports baseline; gates enforced at log time.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NO_CALL_LOW_EDGE</t>
        </is>
      </c>
      <c r="AP172" s="24" t="inlineStr">
        <is>
          <t>Benched gods</t>
        </is>
      </c>
      <c r="AQ172" s="24" t="inlineStr">
        <is>
          <t>Benched gods</t>
        </is>
      </c>
      <c r="AR172" s="24" t="inlineStr">
        <is>
          <t>Benched gods</t>
        </is>
      </c>
      <c r="AS172" s="24" t="inlineStr">
        <is>
          <t>FORZE Reload</t>
        </is>
      </c>
      <c r="AT172" s="24" t="inlineStr">
        <is>
          <t>FORZE Reload</t>
        </is>
      </c>
      <c r="AU172" s="24" t="inlineStr">
        <is>
          <t>FORZE Reload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6bc9bdf5fefa5e533b163e5ceddaad919b4b16a6538fa56b58e517dd51f32d91</t>
        </is>
      </c>
      <c r="BB172" s="24" t="inlineStr">
        <is>
          <t>neutral_elo</t>
        </is>
      </c>
      <c r="BC172" s="24" t="inlineStr">
        <is>
          <t>cs2-tiered-elo-v6</t>
        </is>
      </c>
      <c r="BD172" s="24" t="inlineStr">
        <is>
          <t>6bc9bdf5fefa5e533b163e5ceddaad919b4b16a6538fa56b58e517dd51f32d91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cs2-tiered-elo-v6</t>
        </is>
      </c>
      <c r="BH172" s="24" t="inlineStr">
        <is>
          <t>2026-08-13T07:33:28.277182Z</t>
        </is>
      </c>
      <c r="BI172" s="24" t="inlineStr">
        <is>
          <t>["same_event","same_team_same_day","same_league_same_day"]</t>
        </is>
      </c>
      <c r="BJ172" s="25" t="n"/>
      <c r="BK172" s="26" t="n">
        <v>-194</v>
      </c>
      <c r="BL172" s="27" t="n">
        <v>1.515464</v>
      </c>
      <c r="BM172" s="28" t="n">
        <v>0.659864</v>
      </c>
      <c r="BN172" s="28" t="n"/>
      <c r="BO172" s="28" t="n"/>
      <c r="BP172" s="25" t="n"/>
      <c r="BQ172" s="27" t="n">
        <v>1.515464</v>
      </c>
      <c r="BR172" s="28" t="n">
        <v>0.66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</row>
    <row r="173" ht="36" customHeight="1">
      <c r="A173" s="24" t="inlineStr">
        <is>
          <t>ef3010a30803434a</t>
        </is>
      </c>
      <c r="B173" s="24" t="inlineStr">
        <is>
          <t>2026-08-13T07:34:11.009260Z</t>
        </is>
      </c>
      <c r="C173" s="24" t="inlineStr">
        <is>
          <t>2026-08-13T08:00:00Z</t>
        </is>
      </c>
      <c r="D173" s="24" t="inlineStr">
        <is>
          <t>79707</t>
        </is>
      </c>
      <c r="E173" s="24" t="inlineStr">
        <is>
          <t>CS2</t>
        </is>
      </c>
      <c r="F173" s="24" t="inlineStr">
        <is>
          <t>SAW Youngsters</t>
        </is>
      </c>
      <c r="G173" s="24" t="inlineStr">
        <is>
          <t>ex-MANA eSports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144</v>
      </c>
      <c r="M173" s="27" t="n">
        <v>2.44</v>
      </c>
      <c r="N173" s="28" t="n">
        <v>0.409836</v>
      </c>
      <c r="O173" s="28" t="n">
        <v>0.5898409999999999</v>
      </c>
      <c r="P173" s="28" t="n"/>
      <c r="Q173" s="28" t="n">
        <v>0.180005</v>
      </c>
      <c r="R173" s="26" t="n">
        <v>100</v>
      </c>
      <c r="S173" s="29" t="n">
        <v>1.25</v>
      </c>
      <c r="T173" s="24" t="inlineStr">
        <is>
          <t>cs2-tiered-elo-v6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144</v>
      </c>
      <c r="AA173" s="28" t="n">
        <v>0.41</v>
      </c>
      <c r="AB173" s="28" t="n">
        <v>0.000164</v>
      </c>
      <c r="AC173" s="30" t="n">
        <v>1.8</v>
      </c>
      <c r="AD173" s="24" t="inlineStr">
        <is>
          <t>2026-08-13T13:41:57.969477Z</t>
        </is>
      </c>
      <c r="AE173" s="31" t="inlineStr">
        <is>
          <t>Neutral Elo baseline; executable ask 0.4100 (market_slug=aec-cs2-exmana-sawy-2026-08-13).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SAW Youngsters</t>
        </is>
      </c>
      <c r="AQ173" s="24" t="inlineStr">
        <is>
          <t>SAW Youngsters</t>
        </is>
      </c>
      <c r="AR173" s="24" t="inlineStr">
        <is>
          <t>SAW Youngsters</t>
        </is>
      </c>
      <c r="AS173" s="24" t="inlineStr">
        <is>
          <t>ex-MANA eSports</t>
        </is>
      </c>
      <c r="AT173" s="24" t="inlineStr">
        <is>
          <t>ex-MANA eSports</t>
        </is>
      </c>
      <c r="AU173" s="24" t="inlineStr">
        <is>
          <t>ex-MANA eSports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6bc9bdf5fefa5e533b163e5ceddaad919b4b16a6538fa56b58e517dd51f32d91</t>
        </is>
      </c>
      <c r="BB173" s="24" t="inlineStr">
        <is>
          <t>neutral_elo</t>
        </is>
      </c>
      <c r="BC173" s="24" t="inlineStr">
        <is>
          <t>cs2-tiered-elo-v6</t>
        </is>
      </c>
      <c r="BD173" s="24" t="inlineStr">
        <is>
          <t>6bc9bdf5fefa5e533b163e5ceddaad919b4b16a6538fa56b58e517dd51f32d91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cs2-tiered-elo-v6</t>
        </is>
      </c>
      <c r="BH173" s="24" t="inlineStr">
        <is>
          <t>2026-08-13T07:33:28.977450Z</t>
        </is>
      </c>
      <c r="BI173" s="24" t="inlineStr">
        <is>
          <t>["same_event","same_team_same_day","same_league_same_day"]</t>
        </is>
      </c>
      <c r="BJ173" s="25" t="n"/>
      <c r="BK173" s="26" t="n">
        <v>144</v>
      </c>
      <c r="BL173" s="27" t="n">
        <v>2.44</v>
      </c>
      <c r="BM173" s="28" t="n">
        <v>0.409836</v>
      </c>
      <c r="BN173" s="28" t="n"/>
      <c r="BO173" s="28" t="n"/>
      <c r="BP173" s="25" t="n"/>
      <c r="BQ173" s="27" t="n">
        <v>2.44</v>
      </c>
      <c r="BR173" s="28" t="n">
        <v>0.41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</row>
    <row r="174" ht="36" customHeight="1">
      <c r="A174" s="24" t="inlineStr">
        <is>
          <t>99133e1901fc476a</t>
        </is>
      </c>
      <c r="B174" s="24" t="inlineStr">
        <is>
          <t>2026-08-13T07:34:11.009260Z</t>
        </is>
      </c>
      <c r="C174" s="24" t="inlineStr">
        <is>
          <t>2026-08-13T08:00:00Z</t>
        </is>
      </c>
      <c r="D174" s="24" t="inlineStr">
        <is>
          <t>78271</t>
        </is>
      </c>
      <c r="E174" s="24" t="inlineStr">
        <is>
          <t>CS2</t>
        </is>
      </c>
      <c r="F174" s="24" t="inlineStr">
        <is>
          <t>INFURITY Gaming</t>
        </is>
      </c>
      <c r="G174" s="24" t="inlineStr">
        <is>
          <t>STATE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0.6574179999999999</v>
      </c>
      <c r="P174" s="28" t="n"/>
      <c r="Q174" s="28" t="n">
        <v>0.01713</v>
      </c>
      <c r="R174" s="26" t="n">
        <v>29</v>
      </c>
      <c r="S174" s="29" t="n">
        <v>1.75</v>
      </c>
      <c r="T174" s="24" t="inlineStr">
        <is>
          <t>cs2-tiered-elo-v6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-178</v>
      </c>
      <c r="AA174" s="28" t="n">
        <v>0.64</v>
      </c>
      <c r="AB174" s="28" t="n">
        <v>-0.000288</v>
      </c>
      <c r="AC174" s="30" t="n">
        <v>0.9831</v>
      </c>
      <c r="AD174" s="24" t="inlineStr">
        <is>
          <t>2026-08-13T10:05:38.368671Z</t>
        </is>
      </c>
      <c r="AE174" s="31" t="inlineStr">
        <is>
          <t>Neutral Elo baseline; executable ask 0.6400 (market_slug=aec-cs2-sta-ign-2026-08-13).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INFURITY Gaming</t>
        </is>
      </c>
      <c r="AQ174" s="24" t="inlineStr">
        <is>
          <t>INFURITY Gaming</t>
        </is>
      </c>
      <c r="AR174" s="24" t="inlineStr">
        <is>
          <t>INFURITY Gaming</t>
        </is>
      </c>
      <c r="AS174" s="24" t="inlineStr">
        <is>
          <t>STATE</t>
        </is>
      </c>
      <c r="AT174" s="24" t="inlineStr">
        <is>
          <t>STATE</t>
        </is>
      </c>
      <c r="AU174" s="24" t="inlineStr">
        <is>
          <t>STATE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6bc9bdf5fefa5e533b163e5ceddaad919b4b16a6538fa56b58e517dd51f32d91</t>
        </is>
      </c>
      <c r="BB174" s="24" t="inlineStr">
        <is>
          <t>neutral_elo</t>
        </is>
      </c>
      <c r="BC174" s="24" t="inlineStr">
        <is>
          <t>cs2-tiered-elo-v6</t>
        </is>
      </c>
      <c r="BD174" s="24" t="inlineStr">
        <is>
          <t>6bc9bdf5fefa5e533b163e5ceddaad919b4b16a6538fa56b58e517dd51f32d91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cs2-tiered-elo-v6</t>
        </is>
      </c>
      <c r="BH174" s="24" t="inlineStr">
        <is>
          <t>2026-08-13T07:33:30.111018Z</t>
        </is>
      </c>
      <c r="BI174" s="24" t="inlineStr">
        <is>
          <t>["same_event","same_team_same_day","same_league_same_day"]</t>
        </is>
      </c>
      <c r="BJ174" s="25" t="n"/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>
        <v>1.561798</v>
      </c>
      <c r="BR174" s="28" t="n">
        <v>0.64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</row>
    <row r="175" ht="36" customHeight="1">
      <c r="A175" s="24" t="inlineStr">
        <is>
          <t>397d0612229e497c</t>
        </is>
      </c>
      <c r="B175" s="24" t="inlineStr">
        <is>
          <t>2026-08-13T07:34:11.009260Z</t>
        </is>
      </c>
      <c r="C175" s="24" t="inlineStr">
        <is>
          <t>2026-08-13T10:00:00Z</t>
        </is>
      </c>
      <c r="D175" s="24" t="inlineStr">
        <is>
          <t>79634</t>
        </is>
      </c>
      <c r="E175" s="24" t="inlineStr">
        <is>
          <t>CS2</t>
        </is>
      </c>
      <c r="F175" s="24" t="inlineStr">
        <is>
          <t>Ground Zero</t>
        </is>
      </c>
      <c r="G175" s="24" t="inlineStr">
        <is>
          <t>Abyssal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-194</v>
      </c>
      <c r="M175" s="27" t="n">
        <v>1.515464</v>
      </c>
      <c r="N175" s="28" t="n">
        <v>0.659864</v>
      </c>
      <c r="O175" s="28" t="n">
        <v>0.594847</v>
      </c>
      <c r="P175" s="28" t="n"/>
      <c r="Q175" s="28" t="n">
        <v>-0.06501700000000001</v>
      </c>
      <c r="R175" s="26" t="n">
        <v>0</v>
      </c>
      <c r="S175" s="29" t="n">
        <v>1.25</v>
      </c>
      <c r="T175" s="24" t="inlineStr">
        <is>
          <t>cs2-tiered-elo-v6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0</v>
      </c>
      <c r="Y175" s="25" t="n"/>
      <c r="Z175" s="26" t="n">
        <v>-194</v>
      </c>
      <c r="AA175" s="28" t="n">
        <v>0.66</v>
      </c>
      <c r="AB175" s="28" t="n">
        <v>0.000136</v>
      </c>
      <c r="AC175" s="30" t="n">
        <v>0.6443</v>
      </c>
      <c r="AD175" s="24" t="inlineStr">
        <is>
          <t>2026-08-13T13:41:59.846777Z</t>
        </is>
      </c>
      <c r="AE175" s="31" t="inlineStr">
        <is>
          <t>Neutral Elo baseline; executable ask 0.6600 (market_slug=aec-cs2-aby-gz-2026-08-13).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NO_CALL_LOW_EDGE</t>
        </is>
      </c>
      <c r="AP175" s="24" t="inlineStr">
        <is>
          <t>Ground Zero</t>
        </is>
      </c>
      <c r="AQ175" s="24" t="inlineStr">
        <is>
          <t>Ground Zero</t>
        </is>
      </c>
      <c r="AR175" s="24" t="inlineStr">
        <is>
          <t>Ground Zero</t>
        </is>
      </c>
      <c r="AS175" s="24" t="inlineStr">
        <is>
          <t>Abyssal</t>
        </is>
      </c>
      <c r="AT175" s="24" t="inlineStr">
        <is>
          <t>Abyssal</t>
        </is>
      </c>
      <c r="AU175" s="24" t="inlineStr">
        <is>
          <t>Abyssal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6bc9bdf5fefa5e533b163e5ceddaad919b4b16a6538fa56b58e517dd51f32d91</t>
        </is>
      </c>
      <c r="BB175" s="24" t="inlineStr">
        <is>
          <t>neutral_elo</t>
        </is>
      </c>
      <c r="BC175" s="24" t="inlineStr">
        <is>
          <t>cs2-tiered-elo-v6</t>
        </is>
      </c>
      <c r="BD175" s="24" t="inlineStr">
        <is>
          <t>6bc9bdf5fefa5e533b163e5ceddaad919b4b16a6538fa56b58e517dd51f32d91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cs2-tiered-elo-v6</t>
        </is>
      </c>
      <c r="BH175" s="24" t="inlineStr">
        <is>
          <t>2026-08-13T07:33:30.709816Z</t>
        </is>
      </c>
      <c r="BI175" s="24" t="inlineStr">
        <is>
          <t>["same_event","same_team_same_day","same_league_same_day"]</t>
        </is>
      </c>
      <c r="BJ175" s="25" t="n"/>
      <c r="BK175" s="26" t="n">
        <v>-194</v>
      </c>
      <c r="BL175" s="27" t="n">
        <v>1.515464</v>
      </c>
      <c r="BM175" s="28" t="n">
        <v>0.659864</v>
      </c>
      <c r="BN175" s="28" t="n"/>
      <c r="BO175" s="28" t="n"/>
      <c r="BP175" s="25" t="n"/>
      <c r="BQ175" s="27" t="n">
        <v>1.515464</v>
      </c>
      <c r="BR175" s="28" t="n">
        <v>0.66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</row>
    <row r="176" ht="36" customHeight="1">
      <c r="A176" s="24" t="inlineStr">
        <is>
          <t>cd658b994b554415</t>
        </is>
      </c>
      <c r="B176" s="24" t="inlineStr">
        <is>
          <t>2026-08-13T10:11:11.649798Z</t>
        </is>
      </c>
      <c r="C176" s="24" t="inlineStr">
        <is>
          <t>2026-08-13T10:30:00Z</t>
        </is>
      </c>
      <c r="D176" s="24" t="inlineStr">
        <is>
          <t>80450</t>
        </is>
      </c>
      <c r="E176" s="24" t="inlineStr">
        <is>
          <t>CS2</t>
        </is>
      </c>
      <c r="F176" s="24" t="inlineStr">
        <is>
          <t>Inner Circle Prospect</t>
        </is>
      </c>
      <c r="G176" s="24" t="inlineStr">
        <is>
          <t xml:space="preserve"> Phantom Academy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-117</v>
      </c>
      <c r="M176" s="27" t="n">
        <v>1.854701</v>
      </c>
      <c r="N176" s="28" t="n">
        <v>0.539171</v>
      </c>
      <c r="O176" s="28" t="n">
        <v>0.616913</v>
      </c>
      <c r="P176" s="28" t="n"/>
      <c r="Q176" s="28" t="n">
        <v>0.07774200000000001</v>
      </c>
      <c r="R176" s="26" t="n">
        <v>59</v>
      </c>
      <c r="S176" s="29" t="n">
        <v>1.5</v>
      </c>
      <c r="T176" s="24" t="inlineStr">
        <is>
          <t>cs2-tiered-elo-v6</t>
        </is>
      </c>
      <c r="U176" s="24" t="inlineStr">
        <is>
          <t>settled</t>
        </is>
      </c>
      <c r="V176" s="24" t="inlineStr">
        <is>
          <t>push</t>
        </is>
      </c>
      <c r="W176" s="26" t="n"/>
      <c r="X176" s="26" t="n"/>
      <c r="Y176" s="25" t="n"/>
      <c r="Z176" s="26" t="n"/>
      <c r="AA176" s="28" t="n"/>
      <c r="AB176" s="28" t="n"/>
      <c r="AC176" s="30" t="n">
        <v>0</v>
      </c>
      <c r="AD176" s="24" t="inlineStr">
        <is>
          <t>2026-08-13T17:11:39.880960Z</t>
        </is>
      </c>
      <c r="AE176" s="31" t="inlineStr">
        <is>
          <t>Neutral Elo baseline; executable ask 0.5400 (market_slug=aec-cs2-phtmac-icp-2026-08-13).</t>
        </is>
      </c>
      <c r="AF176" s="31" t="inlineStr">
        <is>
          <t>Config-promoted esports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3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Inner Circle Prospect</t>
        </is>
      </c>
      <c r="AQ176" s="24" t="inlineStr">
        <is>
          <t>Inner Circle Prospect</t>
        </is>
      </c>
      <c r="AR176" s="24" t="inlineStr">
        <is>
          <t>Inner Circle Prospect</t>
        </is>
      </c>
      <c r="AS176" s="24" t="inlineStr">
        <is>
          <t xml:space="preserve"> Phantom Academy</t>
        </is>
      </c>
      <c r="AT176" s="24" t="inlineStr">
        <is>
          <t xml:space="preserve"> Phantom Academy</t>
        </is>
      </c>
      <c r="AU176" s="24" t="inlineStr">
        <is>
          <t xml:space="preserve"> Phantom Academy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549284f7b7bdde8bcc37e5af8adb1aec7a7caaa581a5172e25711800c1ef047c</t>
        </is>
      </c>
      <c r="BB176" s="24" t="inlineStr">
        <is>
          <t>neutral_elo</t>
        </is>
      </c>
      <c r="BC176" s="24" t="inlineStr">
        <is>
          <t>cs2-tiered-elo-v6</t>
        </is>
      </c>
      <c r="BD176" s="24" t="inlineStr">
        <is>
          <t>549284f7b7bdde8bcc37e5af8adb1aec7a7caaa581a5172e25711800c1ef047c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cs2-tiered-elo-v6</t>
        </is>
      </c>
      <c r="BH176" s="24" t="inlineStr">
        <is>
          <t>2026-08-13T10:10:36.914081Z</t>
        </is>
      </c>
      <c r="BI176" s="24" t="inlineStr">
        <is>
          <t>["same_event","same_team_same_day","same_league_same_day"]</t>
        </is>
      </c>
      <c r="BJ176" s="25" t="n"/>
      <c r="BK176" s="26" t="n">
        <v>-117</v>
      </c>
      <c r="BL176" s="27" t="n">
        <v>1.854701</v>
      </c>
      <c r="BM176" s="28" t="n">
        <v>0.539171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inlineStr">
        <is>
          <t>esports market settled to a non-binary price (forfeit/postponement per market rules)</t>
        </is>
      </c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</row>
    <row r="177" ht="36" customHeight="1">
      <c r="A177" s="24" t="inlineStr">
        <is>
          <t>ac7a9fbfee7c4a0f</t>
        </is>
      </c>
      <c r="B177" s="24" t="inlineStr">
        <is>
          <t>2026-08-13T10:40:53.685434Z</t>
        </is>
      </c>
      <c r="C177" s="24" t="inlineStr">
        <is>
          <t>2026-08-13T11:00:00Z</t>
        </is>
      </c>
      <c r="D177" s="24" t="inlineStr">
        <is>
          <t>79649</t>
        </is>
      </c>
      <c r="E177" s="24" t="inlineStr">
        <is>
          <t>CS2</t>
        </is>
      </c>
      <c r="F177" s="24" t="inlineStr">
        <is>
          <t>G2</t>
        </is>
      </c>
      <c r="G177" s="24" t="inlineStr">
        <is>
          <t>BIG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-194</v>
      </c>
      <c r="M177" s="27" t="n">
        <v>1.515464</v>
      </c>
      <c r="N177" s="28" t="n">
        <v>0.659864</v>
      </c>
      <c r="O177" s="28" t="n">
        <v>0.534407</v>
      </c>
      <c r="P177" s="28" t="n"/>
      <c r="Q177" s="28" t="n">
        <v>-0.125457</v>
      </c>
      <c r="R177" s="26" t="n">
        <v>0</v>
      </c>
      <c r="S177" s="29" t="n">
        <v>1</v>
      </c>
      <c r="T177" s="24" t="inlineStr">
        <is>
          <t>cs2-tiered-elo-v6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-194</v>
      </c>
      <c r="AA177" s="28" t="n">
        <v>0.66</v>
      </c>
      <c r="AB177" s="28" t="n">
        <v>0.000136</v>
      </c>
      <c r="AC177" s="30" t="n">
        <v>0.5155</v>
      </c>
      <c r="AD177" s="24" t="inlineStr">
        <is>
          <t>2026-08-13T16:48:49.557080Z</t>
        </is>
      </c>
      <c r="AE177" s="31" t="inlineStr">
        <is>
          <t>Neutral Elo baseline; executable ask 0.6600 (market_slug=aec-cs2-big-g2-2026-08-13).</t>
        </is>
      </c>
      <c r="AF177" s="31" t="inlineStr">
        <is>
          <t>Config-promoted esports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NO_CALL_LOW_EDGE</t>
        </is>
      </c>
      <c r="AP177" s="24" t="inlineStr">
        <is>
          <t>G2</t>
        </is>
      </c>
      <c r="AQ177" s="24" t="inlineStr">
        <is>
          <t>G2</t>
        </is>
      </c>
      <c r="AR177" s="24" t="inlineStr">
        <is>
          <t>G2</t>
        </is>
      </c>
      <c r="AS177" s="24" t="inlineStr">
        <is>
          <t>BIG</t>
        </is>
      </c>
      <c r="AT177" s="24" t="inlineStr">
        <is>
          <t>BIG</t>
        </is>
      </c>
      <c r="AU177" s="24" t="inlineStr">
        <is>
          <t>BIG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418af054a5b026c2e6b9dad5a857bef2fc46068c786ee6194cf64f2c8abee4d3</t>
        </is>
      </c>
      <c r="BB177" s="24" t="inlineStr">
        <is>
          <t>neutral_elo</t>
        </is>
      </c>
      <c r="BC177" s="24" t="inlineStr">
        <is>
          <t>cs2-tiered-elo-v6</t>
        </is>
      </c>
      <c r="BD177" s="24" t="inlineStr">
        <is>
          <t>418af054a5b026c2e6b9dad5a857bef2fc46068c786ee6194cf64f2c8abee4d3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cs2-tiered-elo-v6</t>
        </is>
      </c>
      <c r="BH177" s="24" t="inlineStr">
        <is>
          <t>2026-08-13T10:40:14.291673Z</t>
        </is>
      </c>
      <c r="BI177" s="24" t="inlineStr">
        <is>
          <t>["same_event","same_team_same_day","same_league_same_day"]</t>
        </is>
      </c>
      <c r="BJ177" s="25" t="n"/>
      <c r="BK177" s="26" t="n">
        <v>-194</v>
      </c>
      <c r="BL177" s="27" t="n">
        <v>1.515464</v>
      </c>
      <c r="BM177" s="28" t="n">
        <v>0.659864</v>
      </c>
      <c r="BN177" s="28" t="n"/>
      <c r="BO177" s="28" t="n"/>
      <c r="BP177" s="25" t="n"/>
      <c r="BQ177" s="27" t="n">
        <v>1.515464</v>
      </c>
      <c r="BR177" s="28" t="n">
        <v>0.66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</row>
    <row r="178" ht="36" customHeight="1">
      <c r="A178" s="24" t="inlineStr">
        <is>
          <t>325a82ad0f5a4899</t>
        </is>
      </c>
      <c r="B178" s="24" t="inlineStr">
        <is>
          <t>2026-08-13T10:40:53.685434Z</t>
        </is>
      </c>
      <c r="C178" s="24" t="inlineStr">
        <is>
          <t>2026-08-13T11:00:00Z</t>
        </is>
      </c>
      <c r="D178" s="24" t="inlineStr">
        <is>
          <t>78272</t>
        </is>
      </c>
      <c r="E178" s="24" t="inlineStr">
        <is>
          <t>CS2</t>
        </is>
      </c>
      <c r="F178" s="24" t="inlineStr">
        <is>
          <t>HyperSpirit</t>
        </is>
      </c>
      <c r="G178" s="24" t="inlineStr">
        <is>
          <t>The Last Resort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100</v>
      </c>
      <c r="M178" s="27" t="n">
        <v>2</v>
      </c>
      <c r="N178" s="28" t="n">
        <v>0.5</v>
      </c>
      <c r="O178" s="28" t="n">
        <v>0.6018829999999999</v>
      </c>
      <c r="P178" s="28" t="n"/>
      <c r="Q178" s="28" t="n">
        <v>0.101883</v>
      </c>
      <c r="R178" s="26" t="n">
        <v>71</v>
      </c>
      <c r="S178" s="29" t="n">
        <v>1.25</v>
      </c>
      <c r="T178" s="24" t="inlineStr">
        <is>
          <t>cs2-tiered-elo-v6</t>
        </is>
      </c>
      <c r="U178" s="24" t="inlineStr">
        <is>
          <t>settled</t>
        </is>
      </c>
      <c r="V178" s="24" t="inlineStr">
        <is>
          <t>loss</t>
        </is>
      </c>
      <c r="W178" s="26" t="n">
        <v>1</v>
      </c>
      <c r="X178" s="26" t="n">
        <v>0</v>
      </c>
      <c r="Y178" s="25" t="n"/>
      <c r="Z178" s="26" t="n">
        <v>100</v>
      </c>
      <c r="AA178" s="28" t="n">
        <v>0.5</v>
      </c>
      <c r="AB178" s="28" t="n">
        <v>0</v>
      </c>
      <c r="AC178" s="30" t="n">
        <v>-1.25</v>
      </c>
      <c r="AD178" s="24" t="inlineStr">
        <is>
          <t>2026-08-13T13:42:04.083751Z</t>
        </is>
      </c>
      <c r="AE178" s="31" t="inlineStr">
        <is>
          <t>Neutral Elo baseline; executable ask 0.5000 (market_slug=aec-cs2-tlr-hs-2026-08-13).</t>
        </is>
      </c>
      <c r="AF178" s="31" t="inlineStr">
        <is>
          <t>Config-promoted esports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3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HyperSpirit</t>
        </is>
      </c>
      <c r="AQ178" s="24" t="inlineStr">
        <is>
          <t>HyperSpirit</t>
        </is>
      </c>
      <c r="AR178" s="24" t="inlineStr">
        <is>
          <t>HyperSpirit</t>
        </is>
      </c>
      <c r="AS178" s="24" t="inlineStr">
        <is>
          <t>The Last Resort</t>
        </is>
      </c>
      <c r="AT178" s="24" t="inlineStr">
        <is>
          <t>The Last Resort</t>
        </is>
      </c>
      <c r="AU178" s="24" t="inlineStr">
        <is>
          <t>The Last Resort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418af054a5b026c2e6b9dad5a857bef2fc46068c786ee6194cf64f2c8abee4d3</t>
        </is>
      </c>
      <c r="BB178" s="24" t="inlineStr">
        <is>
          <t>neutral_elo</t>
        </is>
      </c>
      <c r="BC178" s="24" t="inlineStr">
        <is>
          <t>cs2-tiered-elo-v6</t>
        </is>
      </c>
      <c r="BD178" s="24" t="inlineStr">
        <is>
          <t>418af054a5b026c2e6b9dad5a857bef2fc46068c786ee6194cf64f2c8abee4d3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cs2-tiered-elo-v6</t>
        </is>
      </c>
      <c r="BH178" s="24" t="inlineStr">
        <is>
          <t>2026-08-13T10:40:15.107878Z</t>
        </is>
      </c>
      <c r="BI178" s="24" t="inlineStr">
        <is>
          <t>["same_event","same_team_same_day","same_league_same_day"]</t>
        </is>
      </c>
      <c r="BJ178" s="25" t="n"/>
      <c r="BK178" s="26" t="n">
        <v>100</v>
      </c>
      <c r="BL178" s="27" t="n">
        <v>2</v>
      </c>
      <c r="BM178" s="28" t="n">
        <v>0.5</v>
      </c>
      <c r="BN178" s="28" t="n"/>
      <c r="BO178" s="28" t="n"/>
      <c r="BP178" s="25" t="n"/>
      <c r="BQ178" s="27" t="n">
        <v>2</v>
      </c>
      <c r="BR178" s="28" t="n">
        <v>0.5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</row>
    <row r="179" ht="36" customHeight="1">
      <c r="A179" s="24" t="inlineStr">
        <is>
          <t>28823e13c3414136</t>
        </is>
      </c>
      <c r="B179" s="24" t="inlineStr">
        <is>
          <t>2026-08-13T10:40:53.685434Z</t>
        </is>
      </c>
      <c r="C179" s="24" t="inlineStr">
        <is>
          <t>2026-08-13T11:00:00Z</t>
        </is>
      </c>
      <c r="D179" s="24" t="inlineStr">
        <is>
          <t>80239</t>
        </is>
      </c>
      <c r="E179" s="24" t="inlineStr">
        <is>
          <t>CS2</t>
        </is>
      </c>
      <c r="F179" s="24" t="inlineStr">
        <is>
          <t>train launcher</t>
        </is>
      </c>
      <c r="G179" s="24" t="inlineStr">
        <is>
          <t>Donstu Esports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-138</v>
      </c>
      <c r="M179" s="27" t="n">
        <v>1.724638</v>
      </c>
      <c r="N179" s="28" t="n">
        <v>0.579832</v>
      </c>
      <c r="O179" s="28" t="n">
        <v>0.521815</v>
      </c>
      <c r="P179" s="28" t="n"/>
      <c r="Q179" s="28" t="n">
        <v>-0.058017</v>
      </c>
      <c r="R179" s="26" t="n">
        <v>0</v>
      </c>
      <c r="S179" s="29" t="n">
        <v>1</v>
      </c>
      <c r="T179" s="24" t="inlineStr">
        <is>
          <t>cs2-tiered-elo-v6</t>
        </is>
      </c>
      <c r="U179" s="24" t="inlineStr">
        <is>
          <t>settled</t>
        </is>
      </c>
      <c r="V179" s="24" t="inlineStr">
        <is>
          <t>push</t>
        </is>
      </c>
      <c r="W179" s="26" t="n"/>
      <c r="X179" s="26" t="n"/>
      <c r="Y179" s="25" t="n"/>
      <c r="Z179" s="26" t="n"/>
      <c r="AA179" s="28" t="n"/>
      <c r="AB179" s="28" t="n"/>
      <c r="AC179" s="30" t="n">
        <v>0</v>
      </c>
      <c r="AD179" s="24" t="inlineStr">
        <is>
          <t>2026-08-13T17:11:41.714752Z</t>
        </is>
      </c>
      <c r="AE179" s="31" t="inlineStr">
        <is>
          <t>Neutral Elo baseline; executable ask 0.5800 (market_slug=aec-cs2-dnt-tlra-2026-08-13).</t>
        </is>
      </c>
      <c r="AF179" s="31" t="inlineStr">
        <is>
          <t>Config-promoted esports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NO_CALL_LOW_EDGE</t>
        </is>
      </c>
      <c r="AP179" s="24" t="inlineStr">
        <is>
          <t>train launcher</t>
        </is>
      </c>
      <c r="AQ179" s="24" t="inlineStr">
        <is>
          <t>train launcher</t>
        </is>
      </c>
      <c r="AR179" s="24" t="inlineStr">
        <is>
          <t>train launcher</t>
        </is>
      </c>
      <c r="AS179" s="24" t="inlineStr">
        <is>
          <t>Donstu Esports</t>
        </is>
      </c>
      <c r="AT179" s="24" t="inlineStr">
        <is>
          <t>Donstu Esports</t>
        </is>
      </c>
      <c r="AU179" s="24" t="inlineStr">
        <is>
          <t>Donstu Esports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418af054a5b026c2e6b9dad5a857bef2fc46068c786ee6194cf64f2c8abee4d3</t>
        </is>
      </c>
      <c r="BB179" s="24" t="inlineStr">
        <is>
          <t>neutral_elo</t>
        </is>
      </c>
      <c r="BC179" s="24" t="inlineStr">
        <is>
          <t>cs2-tiered-elo-v6</t>
        </is>
      </c>
      <c r="BD179" s="24" t="inlineStr">
        <is>
          <t>418af054a5b026c2e6b9dad5a857bef2fc46068c786ee6194cf64f2c8abee4d3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cs2-tiered-elo-v6</t>
        </is>
      </c>
      <c r="BH179" s="24" t="inlineStr">
        <is>
          <t>2026-08-13T10:40:15.818369Z</t>
        </is>
      </c>
      <c r="BI179" s="24" t="inlineStr">
        <is>
          <t>["same_event","same_team_same_day","same_league_same_day"]</t>
        </is>
      </c>
      <c r="BJ179" s="25" t="n"/>
      <c r="BK179" s="26" t="n">
        <v>-138</v>
      </c>
      <c r="BL179" s="27" t="n">
        <v>1.724638</v>
      </c>
      <c r="BM179" s="28" t="n">
        <v>0.579832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inlineStr">
        <is>
          <t>esports market settled to a non-binary price (forfeit/postponement per market rules)</t>
        </is>
      </c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</row>
    <row r="180" ht="36" customHeight="1">
      <c r="A180" s="24" t="inlineStr">
        <is>
          <t>efd05e808ef64611</t>
        </is>
      </c>
      <c r="B180" s="24" t="inlineStr">
        <is>
          <t>2026-08-13T10:40:53.685434Z</t>
        </is>
      </c>
      <c r="C180" s="24" t="inlineStr">
        <is>
          <t>2026-08-13T11:00:00Z</t>
        </is>
      </c>
      <c r="D180" s="24" t="inlineStr">
        <is>
          <t>80233</t>
        </is>
      </c>
      <c r="E180" s="24" t="inlineStr">
        <is>
          <t>CS2</t>
        </is>
      </c>
      <c r="F180" s="24" t="inlineStr">
        <is>
          <t>Endless Journey</t>
        </is>
      </c>
      <c r="G180" s="24" t="inlineStr">
        <is>
          <t>Esport BERG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-186</v>
      </c>
      <c r="M180" s="27" t="n">
        <v>1.537634</v>
      </c>
      <c r="N180" s="28" t="n">
        <v>0.65035</v>
      </c>
      <c r="O180" s="28" t="n">
        <v>0.586591</v>
      </c>
      <c r="P180" s="28" t="n"/>
      <c r="Q180" s="28" t="n">
        <v>-0.063759</v>
      </c>
      <c r="R180" s="26" t="n">
        <v>0</v>
      </c>
      <c r="S180" s="29" t="n">
        <v>1.25</v>
      </c>
      <c r="T180" s="24" t="inlineStr">
        <is>
          <t>cs2-tiered-elo-v6</t>
        </is>
      </c>
      <c r="U180" s="24" t="inlineStr">
        <is>
          <t>settled</t>
        </is>
      </c>
      <c r="V180" s="24" t="inlineStr">
        <is>
          <t>push</t>
        </is>
      </c>
      <c r="W180" s="26" t="n"/>
      <c r="X180" s="26" t="n"/>
      <c r="Y180" s="25" t="n"/>
      <c r="Z180" s="26" t="n"/>
      <c r="AA180" s="28" t="n"/>
      <c r="AB180" s="28" t="n"/>
      <c r="AC180" s="30" t="n">
        <v>0</v>
      </c>
      <c r="AD180" s="24" t="inlineStr">
        <is>
          <t>2026-08-13T17:11:43.610375Z</t>
        </is>
      </c>
      <c r="AE180" s="31" t="inlineStr">
        <is>
          <t>Neutral Elo baseline; executable ask 0.6500 (market_slug=aec-cs2-berg-ej-2026-08-13).</t>
        </is>
      </c>
      <c r="AF180" s="31" t="inlineStr">
        <is>
          <t>Config-promoted esports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NO_CALL_LOW_EDGE</t>
        </is>
      </c>
      <c r="AP180" s="24" t="inlineStr">
        <is>
          <t>Endless Journey</t>
        </is>
      </c>
      <c r="AQ180" s="24" t="inlineStr">
        <is>
          <t>Endless Journey</t>
        </is>
      </c>
      <c r="AR180" s="24" t="inlineStr">
        <is>
          <t>Endless Journey</t>
        </is>
      </c>
      <c r="AS180" s="24" t="inlineStr">
        <is>
          <t>Esport BERG</t>
        </is>
      </c>
      <c r="AT180" s="24" t="inlineStr">
        <is>
          <t>Esport BERG</t>
        </is>
      </c>
      <c r="AU180" s="24" t="inlineStr">
        <is>
          <t>Esport BERG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418af054a5b026c2e6b9dad5a857bef2fc46068c786ee6194cf64f2c8abee4d3</t>
        </is>
      </c>
      <c r="BB180" s="24" t="inlineStr">
        <is>
          <t>neutral_elo</t>
        </is>
      </c>
      <c r="BC180" s="24" t="inlineStr">
        <is>
          <t>cs2-tiered-elo-v6</t>
        </is>
      </c>
      <c r="BD180" s="24" t="inlineStr">
        <is>
          <t>418af054a5b026c2e6b9dad5a857bef2fc46068c786ee6194cf64f2c8abee4d3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cs2-tiered-elo-v6</t>
        </is>
      </c>
      <c r="BH180" s="24" t="inlineStr">
        <is>
          <t>2026-08-13T10:40:16.350045Z</t>
        </is>
      </c>
      <c r="BI180" s="24" t="inlineStr">
        <is>
          <t>["same_event","same_team_same_day","same_league_same_day"]</t>
        </is>
      </c>
      <c r="BJ180" s="25" t="n"/>
      <c r="BK180" s="26" t="n">
        <v>-186</v>
      </c>
      <c r="BL180" s="27" t="n">
        <v>1.537634</v>
      </c>
      <c r="BM180" s="28" t="n">
        <v>0.65035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inlineStr">
        <is>
          <t>esports market settled to a non-binary price (forfeit/postponement per market rules)</t>
        </is>
      </c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</row>
    <row r="181" ht="36" customHeight="1">
      <c r="A181" s="24" t="inlineStr">
        <is>
          <t>7b567bfd954b4859</t>
        </is>
      </c>
      <c r="B181" s="24" t="inlineStr">
        <is>
          <t>2026-08-13T10:40:53.685434Z</t>
        </is>
      </c>
      <c r="C181" s="24" t="inlineStr">
        <is>
          <t>2026-08-13T11:00:00Z</t>
        </is>
      </c>
      <c r="D181" s="24" t="inlineStr">
        <is>
          <t>79631</t>
        </is>
      </c>
      <c r="E181" s="24" t="inlineStr">
        <is>
          <t>CS2</t>
        </is>
      </c>
      <c r="F181" s="24" t="inlineStr">
        <is>
          <t>JiJieHao</t>
        </is>
      </c>
      <c r="G181" s="24" t="inlineStr">
        <is>
          <t>GamerLegion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194</v>
      </c>
      <c r="M181" s="27" t="n">
        <v>2.94</v>
      </c>
      <c r="N181" s="28" t="n">
        <v>0.340136</v>
      </c>
      <c r="O181" s="28" t="n">
        <v>0.507557</v>
      </c>
      <c r="P181" s="28" t="n"/>
      <c r="Q181" s="28" t="n">
        <v>0.167421</v>
      </c>
      <c r="R181" s="26" t="n">
        <v>100</v>
      </c>
      <c r="S181" s="29" t="n">
        <v>1</v>
      </c>
      <c r="T181" s="24" t="inlineStr">
        <is>
          <t>cs2-tiered-elo-v6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194</v>
      </c>
      <c r="AA181" s="28" t="n">
        <v>0.34</v>
      </c>
      <c r="AB181" s="28" t="n">
        <v>-0.000136</v>
      </c>
      <c r="AC181" s="30" t="n">
        <v>-1</v>
      </c>
      <c r="AD181" s="24" t="inlineStr">
        <is>
          <t>2026-08-13T13:42:08.517837Z</t>
        </is>
      </c>
      <c r="AE181" s="31" t="inlineStr">
        <is>
          <t>Neutral Elo baseline; executable ask 0.3400 (market_slug=aec-cs2-gl-jjh-2026-08-13).</t>
        </is>
      </c>
      <c r="AF181" s="31" t="inlineStr">
        <is>
          <t>Config-promoted esports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JiJieHao</t>
        </is>
      </c>
      <c r="AQ181" s="24" t="inlineStr">
        <is>
          <t>JiJieHao</t>
        </is>
      </c>
      <c r="AR181" s="24" t="inlineStr">
        <is>
          <t>JiJieHao</t>
        </is>
      </c>
      <c r="AS181" s="24" t="inlineStr">
        <is>
          <t>GamerLegion</t>
        </is>
      </c>
      <c r="AT181" s="24" t="inlineStr">
        <is>
          <t>GamerLegion</t>
        </is>
      </c>
      <c r="AU181" s="24" t="inlineStr">
        <is>
          <t>GamerLegion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418af054a5b026c2e6b9dad5a857bef2fc46068c786ee6194cf64f2c8abee4d3</t>
        </is>
      </c>
      <c r="BB181" s="24" t="inlineStr">
        <is>
          <t>neutral_elo</t>
        </is>
      </c>
      <c r="BC181" s="24" t="inlineStr">
        <is>
          <t>cs2-tiered-elo-v6</t>
        </is>
      </c>
      <c r="BD181" s="24" t="inlineStr">
        <is>
          <t>418af054a5b026c2e6b9dad5a857bef2fc46068c786ee6194cf64f2c8abee4d3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cs2-tiered-elo-v6</t>
        </is>
      </c>
      <c r="BH181" s="24" t="inlineStr">
        <is>
          <t>2026-08-13T10:40:17.048253Z</t>
        </is>
      </c>
      <c r="BI181" s="24" t="inlineStr">
        <is>
          <t>["same_event","same_team_same_day","same_league_same_day"]</t>
        </is>
      </c>
      <c r="BJ181" s="25" t="n"/>
      <c r="BK181" s="26" t="n">
        <v>194</v>
      </c>
      <c r="BL181" s="27" t="n">
        <v>2.94</v>
      </c>
      <c r="BM181" s="28" t="n">
        <v>0.340136</v>
      </c>
      <c r="BN181" s="28" t="n"/>
      <c r="BO181" s="28" t="n"/>
      <c r="BP181" s="25" t="n"/>
      <c r="BQ181" s="27" t="n">
        <v>2.94</v>
      </c>
      <c r="BR181" s="28" t="n">
        <v>0.34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</row>
    <row r="182" ht="36" customHeight="1">
      <c r="A182" s="24" t="inlineStr">
        <is>
          <t>921574b83b204503</t>
        </is>
      </c>
      <c r="B182" s="24" t="inlineStr">
        <is>
          <t>2026-08-13T10:40:53.685434Z</t>
        </is>
      </c>
      <c r="C182" s="24" t="inlineStr">
        <is>
          <t>2026-08-13T13:00:00Z</t>
        </is>
      </c>
      <c r="D182" s="24" t="inlineStr">
        <is>
          <t>80451</t>
        </is>
      </c>
      <c r="E182" s="24" t="inlineStr">
        <is>
          <t>CS2</t>
        </is>
      </c>
      <c r="F182" s="24" t="inlineStr">
        <is>
          <t>Bushido Wildcats</t>
        </is>
      </c>
      <c r="G182" s="24" t="inlineStr">
        <is>
          <t>STATE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-178</v>
      </c>
      <c r="M182" s="27" t="n">
        <v>1.561798</v>
      </c>
      <c r="N182" s="28" t="n">
        <v>0.640288</v>
      </c>
      <c r="O182" s="28" t="n">
        <v>0.5560929999999999</v>
      </c>
      <c r="P182" s="28" t="n"/>
      <c r="Q182" s="28" t="n">
        <v>-0.08419500000000001</v>
      </c>
      <c r="R182" s="26" t="n">
        <v>0</v>
      </c>
      <c r="S182" s="29" t="n">
        <v>1</v>
      </c>
      <c r="T182" s="24" t="inlineStr">
        <is>
          <t>cs2-tiered-elo-v6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-178</v>
      </c>
      <c r="AA182" s="28" t="n">
        <v>0.64</v>
      </c>
      <c r="AB182" s="28" t="n">
        <v>-0.000288</v>
      </c>
      <c r="AC182" s="30" t="n">
        <v>0.5618</v>
      </c>
      <c r="AD182" s="24" t="inlineStr">
        <is>
          <t>2026-08-13T16:48:54.310489Z</t>
        </is>
      </c>
      <c r="AE182" s="31" t="inlineStr">
        <is>
          <t>Neutral Elo baseline; executable ask 0.6400 (market_slug=aec-cs2-sta-bw-2026-08-13).</t>
        </is>
      </c>
      <c r="AF182" s="31" t="inlineStr">
        <is>
          <t>Config-promoted esports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NO_CALL_LOW_EDGE</t>
        </is>
      </c>
      <c r="AP182" s="24" t="inlineStr">
        <is>
          <t>Bushido Wildcats</t>
        </is>
      </c>
      <c r="AQ182" s="24" t="inlineStr">
        <is>
          <t>Bushido Wildcats</t>
        </is>
      </c>
      <c r="AR182" s="24" t="inlineStr">
        <is>
          <t>Bushido Wildcats</t>
        </is>
      </c>
      <c r="AS182" s="24" t="inlineStr">
        <is>
          <t>STATE</t>
        </is>
      </c>
      <c r="AT182" s="24" t="inlineStr">
        <is>
          <t>STATE</t>
        </is>
      </c>
      <c r="AU182" s="24" t="inlineStr">
        <is>
          <t>STATE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418af054a5b026c2e6b9dad5a857bef2fc46068c786ee6194cf64f2c8abee4d3</t>
        </is>
      </c>
      <c r="BB182" s="24" t="inlineStr">
        <is>
          <t>neutral_elo</t>
        </is>
      </c>
      <c r="BC182" s="24" t="inlineStr">
        <is>
          <t>cs2-tiered-elo-v6</t>
        </is>
      </c>
      <c r="BD182" s="24" t="inlineStr">
        <is>
          <t>418af054a5b026c2e6b9dad5a857bef2fc46068c786ee6194cf64f2c8abee4d3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cs2-tiered-elo-v6</t>
        </is>
      </c>
      <c r="BH182" s="24" t="inlineStr">
        <is>
          <t>2026-08-13T10:40:17.760042Z</t>
        </is>
      </c>
      <c r="BI182" s="24" t="inlineStr">
        <is>
          <t>["same_event","same_team_same_day","same_league_same_day"]</t>
        </is>
      </c>
      <c r="BJ182" s="25" t="n"/>
      <c r="BK182" s="26" t="n">
        <v>-178</v>
      </c>
      <c r="BL182" s="27" t="n">
        <v>1.561798</v>
      </c>
      <c r="BM182" s="28" t="n">
        <v>0.640288</v>
      </c>
      <c r="BN182" s="28" t="n"/>
      <c r="BO182" s="28" t="n"/>
      <c r="BP182" s="25" t="n"/>
      <c r="BQ182" s="27" t="n">
        <v>1.561798</v>
      </c>
      <c r="BR182" s="28" t="n">
        <v>0.64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e774378868134dff</t>
        </is>
      </c>
      <c r="B183" s="24" t="inlineStr">
        <is>
          <t>2026-08-13T13:47:44.875288Z</t>
        </is>
      </c>
      <c r="C183" s="24" t="inlineStr">
        <is>
          <t>2026-08-13T14:00:00Z</t>
        </is>
      </c>
      <c r="D183" s="24" t="inlineStr">
        <is>
          <t>78273</t>
        </is>
      </c>
      <c r="E183" s="24" t="inlineStr">
        <is>
          <t>CS2</t>
        </is>
      </c>
      <c r="F183" s="24" t="inlineStr">
        <is>
          <t>Bebop</t>
        </is>
      </c>
      <c r="G183" s="24" t="inlineStr">
        <is>
          <t>Honvéd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-178</v>
      </c>
      <c r="M183" s="27" t="n">
        <v>1.561798</v>
      </c>
      <c r="N183" s="28" t="n">
        <v>0.640288</v>
      </c>
      <c r="O183" s="28" t="n">
        <v>0.542052</v>
      </c>
      <c r="P183" s="28" t="n"/>
      <c r="Q183" s="28" t="n">
        <v>-0.098236</v>
      </c>
      <c r="R183" s="26" t="n">
        <v>0</v>
      </c>
      <c r="S183" s="29" t="n">
        <v>1</v>
      </c>
      <c r="T183" s="24" t="inlineStr">
        <is>
          <t>cs2-tiered-elo-v6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1</v>
      </c>
      <c r="X183" s="26" t="n">
        <v>0</v>
      </c>
      <c r="Y183" s="25" t="n"/>
      <c r="Z183" s="26" t="n">
        <v>-178</v>
      </c>
      <c r="AA183" s="28" t="n">
        <v>0.64</v>
      </c>
      <c r="AB183" s="28" t="n">
        <v>-0.000288</v>
      </c>
      <c r="AC183" s="30" t="n">
        <v>0.5618</v>
      </c>
      <c r="AD183" s="24" t="inlineStr">
        <is>
          <t>2026-08-13T17:11:45.332976Z</t>
        </is>
      </c>
      <c r="AE183" s="31" t="inlineStr">
        <is>
          <t>Neutral Elo baseline; executable ask 0.6400 (market_slug=aec-cs2-hon-bbp-2026-08-13).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Bebop</t>
        </is>
      </c>
      <c r="AQ183" s="24" t="inlineStr">
        <is>
          <t>Bebop</t>
        </is>
      </c>
      <c r="AR183" s="24" t="inlineStr">
        <is>
          <t>Bebop</t>
        </is>
      </c>
      <c r="AS183" s="24" t="inlineStr">
        <is>
          <t>Honvéd</t>
        </is>
      </c>
      <c r="AT183" s="24" t="inlineStr">
        <is>
          <t>Honvéd</t>
        </is>
      </c>
      <c r="AU183" s="24" t="inlineStr">
        <is>
          <t>Honvéd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99e9112934110ccd1bd929d3ea516a73afdb783052778c993abf0cdda347f4e9</t>
        </is>
      </c>
      <c r="BB183" s="24" t="inlineStr">
        <is>
          <t>neutral_elo</t>
        </is>
      </c>
      <c r="BC183" s="24" t="inlineStr">
        <is>
          <t>cs2-tiered-elo-v6</t>
        </is>
      </c>
      <c r="BD183" s="24" t="inlineStr">
        <is>
          <t>99e9112934110ccd1bd929d3ea516a73afdb783052778c993abf0cdda347f4e9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cs2-tiered-elo-v6</t>
        </is>
      </c>
      <c r="BH183" s="24" t="inlineStr">
        <is>
          <t>2026-08-13T13:47:13.970759Z</t>
        </is>
      </c>
      <c r="BI183" s="24" t="inlineStr">
        <is>
          <t>["same_event","same_team_same_day","same_league_same_day"]</t>
        </is>
      </c>
      <c r="BJ183" s="25" t="n"/>
      <c r="BK183" s="26" t="n">
        <v>-178</v>
      </c>
      <c r="BL183" s="27" t="n">
        <v>1.561798</v>
      </c>
      <c r="BM183" s="28" t="n">
        <v>0.640288</v>
      </c>
      <c r="BN183" s="28" t="n"/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</row>
    <row r="184" ht="36" customHeight="1">
      <c r="A184" s="24" t="inlineStr">
        <is>
          <t>38f6d54cd872400a</t>
        </is>
      </c>
      <c r="B184" s="24" t="inlineStr">
        <is>
          <t>2026-08-13T13:47:44.875288Z</t>
        </is>
      </c>
      <c r="C184" s="24" t="inlineStr">
        <is>
          <t>2026-08-13T14:00:00Z</t>
        </is>
      </c>
      <c r="D184" s="24" t="inlineStr">
        <is>
          <t>80372</t>
        </is>
      </c>
      <c r="E184" s="24" t="inlineStr">
        <is>
          <t>CS2</t>
        </is>
      </c>
      <c r="F184" s="24" t="inlineStr">
        <is>
          <t>Spirit Academy Green</t>
        </is>
      </c>
      <c r="G184" s="24" t="inlineStr">
        <is>
          <t>A Great Chaos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-133</v>
      </c>
      <c r="M184" s="27" t="n">
        <v>1.75188</v>
      </c>
      <c r="N184" s="28" t="n">
        <v>0.570815</v>
      </c>
      <c r="O184" s="28" t="n">
        <v>0.650189</v>
      </c>
      <c r="P184" s="28" t="n"/>
      <c r="Q184" s="28" t="n">
        <v>0.079374</v>
      </c>
      <c r="R184" s="26" t="n">
        <v>60</v>
      </c>
      <c r="S184" s="29" t="n">
        <v>1.75</v>
      </c>
      <c r="T184" s="24" t="inlineStr">
        <is>
          <t>cs2-tiered-elo-v6</t>
        </is>
      </c>
      <c r="U184" s="24" t="inlineStr">
        <is>
          <t>open</t>
        </is>
      </c>
      <c r="V184" s="24" t="n"/>
      <c r="W184" s="26" t="n"/>
      <c r="X184" s="26" t="n"/>
      <c r="Y184" s="25" t="n"/>
      <c r="Z184" s="26" t="n"/>
      <c r="AA184" s="28" t="n"/>
      <c r="AB184" s="28" t="n"/>
      <c r="AC184" s="30" t="n"/>
      <c r="AD184" s="24" t="n"/>
      <c r="AE184" s="31" t="inlineStr">
        <is>
          <t>Neutral Elo baseline; executable ask 0.5700 (market_slug=aec-cs2-agc-sag-2026-08-13).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Spirit Academy Green</t>
        </is>
      </c>
      <c r="AQ184" s="24" t="inlineStr">
        <is>
          <t>Spirit Academy Green</t>
        </is>
      </c>
      <c r="AR184" s="24" t="inlineStr">
        <is>
          <t>Spirit Academy Green</t>
        </is>
      </c>
      <c r="AS184" s="24" t="inlineStr">
        <is>
          <t>A Great Chaos</t>
        </is>
      </c>
      <c r="AT184" s="24" t="inlineStr">
        <is>
          <t>A Great Chaos</t>
        </is>
      </c>
      <c r="AU184" s="24" t="inlineStr">
        <is>
          <t>A Great Chaos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99e9112934110ccd1bd929d3ea516a73afdb783052778c993abf0cdda347f4e9</t>
        </is>
      </c>
      <c r="BB184" s="24" t="inlineStr">
        <is>
          <t>neutral_elo</t>
        </is>
      </c>
      <c r="BC184" s="24" t="inlineStr">
        <is>
          <t>cs2-tiered-elo-v6</t>
        </is>
      </c>
      <c r="BD184" s="24" t="inlineStr">
        <is>
          <t>99e9112934110ccd1bd929d3ea516a73afdb783052778c993abf0cdda347f4e9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cs2-tiered-elo-v6</t>
        </is>
      </c>
      <c r="BH184" s="24" t="inlineStr">
        <is>
          <t>2026-08-13T13:47:14.494147Z</t>
        </is>
      </c>
      <c r="BI184" s="24" t="inlineStr">
        <is>
          <t>["same_event","same_team_same_day","same_league_same_day"]</t>
        </is>
      </c>
      <c r="BJ184" s="25" t="n"/>
      <c r="BK184" s="26" t="n">
        <v>-133</v>
      </c>
      <c r="BL184" s="27" t="n">
        <v>1.75188</v>
      </c>
      <c r="BM184" s="28" t="n">
        <v>0.570815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e1096883142b4f2f</t>
        </is>
      </c>
      <c r="B185" s="24" t="inlineStr">
        <is>
          <t>2026-08-13T13:47:44.875288Z</t>
        </is>
      </c>
      <c r="C185" s="24" t="inlineStr">
        <is>
          <t>2026-08-13T14:00:00Z</t>
        </is>
      </c>
      <c r="D185" s="24" t="inlineStr">
        <is>
          <t>79708</t>
        </is>
      </c>
      <c r="E185" s="24" t="inlineStr">
        <is>
          <t>CS2</t>
        </is>
      </c>
      <c r="F185" s="24" t="inlineStr">
        <is>
          <t>ex-RUSTEC</t>
        </is>
      </c>
      <c r="G185" s="24" t="inlineStr">
        <is>
          <t>Bushido Wildcats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122</v>
      </c>
      <c r="M185" s="27" t="n">
        <v>2.22</v>
      </c>
      <c r="N185" s="28" t="n">
        <v>0.45045</v>
      </c>
      <c r="O185" s="28" t="n">
        <v>0.577942</v>
      </c>
      <c r="P185" s="28" t="n"/>
      <c r="Q185" s="28" t="n">
        <v>0.127492</v>
      </c>
      <c r="R185" s="26" t="n">
        <v>84</v>
      </c>
      <c r="S185" s="29" t="n">
        <v>1.25</v>
      </c>
      <c r="T185" s="24" t="inlineStr">
        <is>
          <t>cs2-tiered-elo-v6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>
        <v>122</v>
      </c>
      <c r="AA185" s="28" t="n">
        <v>0.45</v>
      </c>
      <c r="AB185" s="28" t="n">
        <v>-0.00045</v>
      </c>
      <c r="AC185" s="30" t="n">
        <v>1.525</v>
      </c>
      <c r="AD185" s="24" t="inlineStr">
        <is>
          <t>2026-08-13T17:11:48.493552Z</t>
        </is>
      </c>
      <c r="AE185" s="31" t="inlineStr">
        <is>
          <t>Neutral Elo baseline; executable ask 0.4500 (market_slug=aec-cs2-bw-erx-2026-08-13).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ex-RUSTEC</t>
        </is>
      </c>
      <c r="AQ185" s="24" t="inlineStr">
        <is>
          <t>ex-RUSTEC</t>
        </is>
      </c>
      <c r="AR185" s="24" t="inlineStr">
        <is>
          <t>ex-RUSTEC</t>
        </is>
      </c>
      <c r="AS185" s="24" t="inlineStr">
        <is>
          <t>Bushido Wildcats</t>
        </is>
      </c>
      <c r="AT185" s="24" t="inlineStr">
        <is>
          <t>Bushido Wildcats</t>
        </is>
      </c>
      <c r="AU185" s="24" t="inlineStr">
        <is>
          <t>Bushido Wildcats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99e9112934110ccd1bd929d3ea516a73afdb783052778c993abf0cdda347f4e9</t>
        </is>
      </c>
      <c r="BB185" s="24" t="inlineStr">
        <is>
          <t>neutral_elo</t>
        </is>
      </c>
      <c r="BC185" s="24" t="inlineStr">
        <is>
          <t>cs2-tiered-elo-v6</t>
        </is>
      </c>
      <c r="BD185" s="24" t="inlineStr">
        <is>
          <t>99e9112934110ccd1bd929d3ea516a73afdb783052778c993abf0cdda347f4e9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cs2-tiered-elo-v6</t>
        </is>
      </c>
      <c r="BH185" s="24" t="inlineStr">
        <is>
          <t>2026-08-13T13:47:14.995340Z</t>
        </is>
      </c>
      <c r="BI185" s="24" t="inlineStr">
        <is>
          <t>["same_event","same_team_same_day","same_league_same_day"]</t>
        </is>
      </c>
      <c r="BJ185" s="25" t="n"/>
      <c r="BK185" s="26" t="n">
        <v>122</v>
      </c>
      <c r="BL185" s="27" t="n">
        <v>2.22</v>
      </c>
      <c r="BM185" s="28" t="n">
        <v>0.45045</v>
      </c>
      <c r="BN185" s="28" t="n"/>
      <c r="BO185" s="28" t="n"/>
      <c r="BP185" s="25" t="n"/>
      <c r="BQ185" s="27" t="n">
        <v>2.22</v>
      </c>
      <c r="BR185" s="28" t="n">
        <v>0.45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3c2c04d279e04db8</t>
        </is>
      </c>
      <c r="B186" s="24" t="inlineStr">
        <is>
          <t>2026-08-13T13:47:44.875288Z</t>
        </is>
      </c>
      <c r="C186" s="24" t="inlineStr">
        <is>
          <t>2026-08-13T15:00:00Z</t>
        </is>
      </c>
      <c r="D186" s="24" t="inlineStr">
        <is>
          <t>80373</t>
        </is>
      </c>
      <c r="E186" s="24" t="inlineStr">
        <is>
          <t>CS2</t>
        </is>
      </c>
      <c r="F186" s="24" t="inlineStr">
        <is>
          <t>EvolupeGG</t>
        </is>
      </c>
      <c r="G186" s="24" t="inlineStr">
        <is>
          <t>Hermine Esports Club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-186</v>
      </c>
      <c r="M186" s="27" t="n">
        <v>1.537634</v>
      </c>
      <c r="N186" s="28" t="n">
        <v>0.65035</v>
      </c>
      <c r="O186" s="28" t="n">
        <v>0.62654</v>
      </c>
      <c r="P186" s="28" t="n"/>
      <c r="Q186" s="28" t="n">
        <v>-0.02381</v>
      </c>
      <c r="R186" s="26" t="n">
        <v>8</v>
      </c>
      <c r="S186" s="29" t="n">
        <v>1.5</v>
      </c>
      <c r="T186" s="24" t="inlineStr">
        <is>
          <t>cs2-tiered-elo-v6</t>
        </is>
      </c>
      <c r="U186" s="24" t="inlineStr">
        <is>
          <t>open</t>
        </is>
      </c>
      <c r="V186" s="24" t="n"/>
      <c r="W186" s="26" t="n"/>
      <c r="X186" s="26" t="n"/>
      <c r="Y186" s="25" t="n"/>
      <c r="Z186" s="26" t="n"/>
      <c r="AA186" s="28" t="n"/>
      <c r="AB186" s="28" t="n"/>
      <c r="AC186" s="30" t="n"/>
      <c r="AD186" s="24" t="n"/>
      <c r="AE186" s="31" t="inlineStr">
        <is>
          <t>Neutral Elo baseline; executable ask 0.6500 (market_slug=aec-cs2-hec-evo-2026-08-13).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NO_CALL_LOW_EDGE</t>
        </is>
      </c>
      <c r="AP186" s="24" t="inlineStr">
        <is>
          <t>EvolupeGG</t>
        </is>
      </c>
      <c r="AQ186" s="24" t="inlineStr">
        <is>
          <t>EvolupeGG</t>
        </is>
      </c>
      <c r="AR186" s="24" t="inlineStr">
        <is>
          <t>EvolupeGG</t>
        </is>
      </c>
      <c r="AS186" s="24" t="inlineStr">
        <is>
          <t>Hermine Esports Club</t>
        </is>
      </c>
      <c r="AT186" s="24" t="inlineStr">
        <is>
          <t>Hermine Esports Club</t>
        </is>
      </c>
      <c r="AU186" s="24" t="inlineStr">
        <is>
          <t>Hermine Esports Club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99e9112934110ccd1bd929d3ea516a73afdb783052778c993abf0cdda347f4e9</t>
        </is>
      </c>
      <c r="BB186" s="24" t="inlineStr">
        <is>
          <t>neutral_elo</t>
        </is>
      </c>
      <c r="BC186" s="24" t="inlineStr">
        <is>
          <t>cs2-tiered-elo-v6</t>
        </is>
      </c>
      <c r="BD186" s="24" t="inlineStr">
        <is>
          <t>99e9112934110ccd1bd929d3ea516a73afdb783052778c993abf0cdda347f4e9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cs2-tiered-elo-v6</t>
        </is>
      </c>
      <c r="BH186" s="24" t="inlineStr">
        <is>
          <t>2026-08-13T13:47:15.476813Z</t>
        </is>
      </c>
      <c r="BI186" s="24" t="inlineStr">
        <is>
          <t>["same_event","same_team_same_day","same_league_same_day"]</t>
        </is>
      </c>
      <c r="BJ186" s="25" t="n"/>
      <c r="BK186" s="26" t="n">
        <v>-186</v>
      </c>
      <c r="BL186" s="27" t="n">
        <v>1.537634</v>
      </c>
      <c r="BM186" s="28" t="n">
        <v>0.65035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</row>
    <row r="187" ht="36" customHeight="1">
      <c r="A187" s="24" t="inlineStr">
        <is>
          <t>c8cabedd1a524743</t>
        </is>
      </c>
      <c r="B187" s="24" t="inlineStr">
        <is>
          <t>2026-08-13T16:54:03.298671Z</t>
        </is>
      </c>
      <c r="C187" s="24" t="inlineStr">
        <is>
          <t>2026-08-13T17:00:00Z</t>
        </is>
      </c>
      <c r="D187" s="24" t="inlineStr">
        <is>
          <t>80240</t>
        </is>
      </c>
      <c r="E187" s="24" t="inlineStr">
        <is>
          <t>CS2</t>
        </is>
      </c>
      <c r="F187" s="24" t="inlineStr">
        <is>
          <t>Vexar</t>
        </is>
      </c>
      <c r="G187" s="24" t="inlineStr">
        <is>
          <t>Subtop De France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-108</v>
      </c>
      <c r="M187" s="27" t="n">
        <v>1.925926</v>
      </c>
      <c r="N187" s="28" t="n">
        <v>0.519231</v>
      </c>
      <c r="O187" s="28" t="n">
        <v>0.562855</v>
      </c>
      <c r="P187" s="28" t="n"/>
      <c r="Q187" s="28" t="n">
        <v>0.043624</v>
      </c>
      <c r="R187" s="26" t="n">
        <v>42</v>
      </c>
      <c r="S187" s="29" t="n">
        <v>1</v>
      </c>
      <c r="T187" s="24" t="inlineStr">
        <is>
          <t>cs2-tiered-elo-v6</t>
        </is>
      </c>
      <c r="U187" s="24" t="inlineStr">
        <is>
          <t>open</t>
        </is>
      </c>
      <c r="V187" s="24" t="n"/>
      <c r="W187" s="26" t="n"/>
      <c r="X187" s="26" t="n"/>
      <c r="Y187" s="25" t="n"/>
      <c r="Z187" s="26" t="n"/>
      <c r="AA187" s="28" t="n"/>
      <c r="AB187" s="28" t="n"/>
      <c r="AC187" s="30" t="n"/>
      <c r="AD187" s="24" t="n"/>
      <c r="AE187" s="31" t="inlineStr">
        <is>
          <t>Neutral Elo baseline; executable ask 0.5200 (market_slug=aec-cs2-sdf-vexar-2026-08-13).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3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Vexar</t>
        </is>
      </c>
      <c r="AQ187" s="24" t="inlineStr">
        <is>
          <t>Vexar</t>
        </is>
      </c>
      <c r="AR187" s="24" t="inlineStr">
        <is>
          <t>Vexar</t>
        </is>
      </c>
      <c r="AS187" s="24" t="inlineStr">
        <is>
          <t>Subtop De France</t>
        </is>
      </c>
      <c r="AT187" s="24" t="inlineStr">
        <is>
          <t>Subtop De France</t>
        </is>
      </c>
      <c r="AU187" s="24" t="inlineStr">
        <is>
          <t>Subtop De France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162c67536c0a8fdef275c00ed02740c4f0771ac0ab54a4ffe2a0a863eac3703e</t>
        </is>
      </c>
      <c r="BB187" s="24" t="inlineStr">
        <is>
          <t>neutral_elo</t>
        </is>
      </c>
      <c r="BC187" s="24" t="inlineStr">
        <is>
          <t>cs2-tiered-elo-v6</t>
        </is>
      </c>
      <c r="BD187" s="24" t="inlineStr">
        <is>
          <t>162c67536c0a8fdef275c00ed02740c4f0771ac0ab54a4ffe2a0a863eac3703e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cs2-tiered-elo-v6</t>
        </is>
      </c>
      <c r="BH187" s="24" t="inlineStr">
        <is>
          <t>2026-08-13T16:53:31.655969Z</t>
        </is>
      </c>
      <c r="BI187" s="24" t="inlineStr">
        <is>
          <t>["same_event","same_team_same_day","same_league_same_day"]</t>
        </is>
      </c>
      <c r="BJ187" s="25" t="n"/>
      <c r="BK187" s="26" t="n">
        <v>-108</v>
      </c>
      <c r="BL187" s="27" t="n">
        <v>1.925926</v>
      </c>
      <c r="BM187" s="28" t="n">
        <v>0.519231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</row>
    <row r="188" ht="36" customHeight="1">
      <c r="A188" s="24" t="inlineStr">
        <is>
          <t>4999aa6575ee4b6e</t>
        </is>
      </c>
      <c r="B188" s="24" t="inlineStr">
        <is>
          <t>2026-08-13T16:54:03.298671Z</t>
        </is>
      </c>
      <c r="C188" s="24" t="inlineStr">
        <is>
          <t>2026-08-13T17:00:00Z</t>
        </is>
      </c>
      <c r="D188" s="24" t="inlineStr">
        <is>
          <t>78274</t>
        </is>
      </c>
      <c r="E188" s="24" t="inlineStr">
        <is>
          <t>CS2</t>
        </is>
      </c>
      <c r="F188" s="24" t="inlineStr">
        <is>
          <t>ENJOY</t>
        </is>
      </c>
      <c r="G188" s="24" t="inlineStr">
        <is>
          <t>ENCE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-138</v>
      </c>
      <c r="M188" s="27" t="n">
        <v>1.724638</v>
      </c>
      <c r="N188" s="28" t="n">
        <v>0.579832</v>
      </c>
      <c r="O188" s="28" t="n">
        <v>0.514893</v>
      </c>
      <c r="P188" s="28" t="n"/>
      <c r="Q188" s="28" t="n">
        <v>-0.064939</v>
      </c>
      <c r="R188" s="26" t="n">
        <v>0</v>
      </c>
      <c r="S188" s="29" t="n">
        <v>1</v>
      </c>
      <c r="T188" s="24" t="inlineStr">
        <is>
          <t>cs2-tiered-elo-v6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Neutral Elo baseline; executable ask 0.5800 (market_slug=aec-cs2-ence-enjoy-2026-08-13).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>ENJOY</t>
        </is>
      </c>
      <c r="AQ188" s="24" t="inlineStr">
        <is>
          <t>ENJOY</t>
        </is>
      </c>
      <c r="AR188" s="24" t="inlineStr">
        <is>
          <t>ENJOY</t>
        </is>
      </c>
      <c r="AS188" s="24" t="inlineStr">
        <is>
          <t>ENCE</t>
        </is>
      </c>
      <c r="AT188" s="24" t="inlineStr">
        <is>
          <t>ENCE</t>
        </is>
      </c>
      <c r="AU188" s="24" t="inlineStr">
        <is>
          <t>ENCE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162c67536c0a8fdef275c00ed02740c4f0771ac0ab54a4ffe2a0a863eac3703e</t>
        </is>
      </c>
      <c r="BB188" s="24" t="inlineStr">
        <is>
          <t>neutral_elo</t>
        </is>
      </c>
      <c r="BC188" s="24" t="inlineStr">
        <is>
          <t>cs2-tiered-elo-v6</t>
        </is>
      </c>
      <c r="BD188" s="24" t="inlineStr">
        <is>
          <t>162c67536c0a8fdef275c00ed02740c4f0771ac0ab54a4ffe2a0a863eac3703e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cs2-tiered-elo-v6</t>
        </is>
      </c>
      <c r="BH188" s="24" t="inlineStr">
        <is>
          <t>2026-08-13T16:53:32.192622Z</t>
        </is>
      </c>
      <c r="BI188" s="24" t="inlineStr">
        <is>
          <t>["same_event","same_team_same_day","same_league_same_day"]</t>
        </is>
      </c>
      <c r="BJ188" s="25" t="n"/>
      <c r="BK188" s="26" t="n">
        <v>-138</v>
      </c>
      <c r="BL188" s="27" t="n">
        <v>1.724638</v>
      </c>
      <c r="BM188" s="28" t="n">
        <v>0.579832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</row>
    <row r="189" ht="36" customHeight="1">
      <c r="A189" s="24" t="inlineStr">
        <is>
          <t>4a6da2241b644ed4</t>
        </is>
      </c>
      <c r="B189" s="24" t="inlineStr">
        <is>
          <t>2026-08-13T16:54:03.298671Z</t>
        </is>
      </c>
      <c r="C189" s="24" t="inlineStr">
        <is>
          <t>2026-08-13T17:00:00Z</t>
        </is>
      </c>
      <c r="D189" s="24" t="inlineStr">
        <is>
          <t>79752</t>
        </is>
      </c>
      <c r="E189" s="24" t="inlineStr">
        <is>
          <t>CS2</t>
        </is>
      </c>
      <c r="F189" s="24" t="inlineStr">
        <is>
          <t>FaZe</t>
        </is>
      </c>
      <c r="G189" s="24" t="inlineStr">
        <is>
          <t>Legacy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113</v>
      </c>
      <c r="M189" s="27" t="n">
        <v>2.13</v>
      </c>
      <c r="N189" s="28" t="n">
        <v>0.469484</v>
      </c>
      <c r="O189" s="28" t="n">
        <v>0.565864</v>
      </c>
      <c r="P189" s="28" t="n"/>
      <c r="Q189" s="28" t="n">
        <v>0.09637999999999999</v>
      </c>
      <c r="R189" s="26" t="n">
        <v>68</v>
      </c>
      <c r="S189" s="29" t="n">
        <v>1</v>
      </c>
      <c r="T189" s="24" t="inlineStr">
        <is>
          <t>cs2-tiered-elo-v6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Neutral Elo baseline; executable ask 0.4700 (market_slug=aec-cs2-lgc-faze-2026-08-13).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FaZe</t>
        </is>
      </c>
      <c r="AQ189" s="24" t="inlineStr">
        <is>
          <t>FaZe</t>
        </is>
      </c>
      <c r="AR189" s="24" t="inlineStr">
        <is>
          <t>FaZe</t>
        </is>
      </c>
      <c r="AS189" s="24" t="inlineStr">
        <is>
          <t>Legacy</t>
        </is>
      </c>
      <c r="AT189" s="24" t="inlineStr">
        <is>
          <t>Legacy</t>
        </is>
      </c>
      <c r="AU189" s="24" t="inlineStr">
        <is>
          <t>Legacy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162c67536c0a8fdef275c00ed02740c4f0771ac0ab54a4ffe2a0a863eac3703e</t>
        </is>
      </c>
      <c r="BB189" s="24" t="inlineStr">
        <is>
          <t>neutral_elo</t>
        </is>
      </c>
      <c r="BC189" s="24" t="inlineStr">
        <is>
          <t>cs2-tiered-elo-v6</t>
        </is>
      </c>
      <c r="BD189" s="24" t="inlineStr">
        <is>
          <t>162c67536c0a8fdef275c00ed02740c4f0771ac0ab54a4ffe2a0a863eac3703e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cs2-tiered-elo-v6</t>
        </is>
      </c>
      <c r="BH189" s="24" t="inlineStr">
        <is>
          <t>2026-08-13T16:53:33.381692Z</t>
        </is>
      </c>
      <c r="BI189" s="24" t="inlineStr">
        <is>
          <t>["same_event","same_team_same_day","same_league_same_day"]</t>
        </is>
      </c>
      <c r="BJ189" s="25" t="n"/>
      <c r="BK189" s="26" t="n">
        <v>113</v>
      </c>
      <c r="BL189" s="27" t="n">
        <v>2.13</v>
      </c>
      <c r="BM189" s="28" t="n">
        <v>0.469484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</row>
    <row r="190" ht="36" customHeight="1">
      <c r="A190" s="24" t="inlineStr">
        <is>
          <t>49b8735c95dd47b2</t>
        </is>
      </c>
      <c r="B190" s="24" t="inlineStr">
        <is>
          <t>2026-08-13T16:54:03.298671Z</t>
        </is>
      </c>
      <c r="C190" s="24" t="inlineStr">
        <is>
          <t>2026-08-13T17:00:00Z</t>
        </is>
      </c>
      <c r="D190" s="24" t="inlineStr">
        <is>
          <t>80375</t>
        </is>
      </c>
      <c r="E190" s="24" t="inlineStr">
        <is>
          <t>CS2</t>
        </is>
      </c>
      <c r="F190" s="24" t="inlineStr">
        <is>
          <t>LPH Gaming</t>
        </is>
      </c>
      <c r="G190" s="24" t="inlineStr">
        <is>
          <t>eSuba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138</v>
      </c>
      <c r="M190" s="27" t="n">
        <v>2.38</v>
      </c>
      <c r="N190" s="28" t="n">
        <v>0.420168</v>
      </c>
      <c r="O190" s="28" t="n">
        <v>0.601488</v>
      </c>
      <c r="P190" s="28" t="n"/>
      <c r="Q190" s="28" t="n">
        <v>0.18132</v>
      </c>
      <c r="R190" s="26" t="n">
        <v>100</v>
      </c>
      <c r="S190" s="29" t="n">
        <v>1.25</v>
      </c>
      <c r="T190" s="24" t="inlineStr">
        <is>
          <t>cs2-tiered-elo-v6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Neutral Elo baseline; executable ask 0.4200 (market_slug=aec-cs2-esb-lph-2026-08-13).</t>
        </is>
      </c>
      <c r="AF190" s="31" t="inlineStr">
        <is>
          <t>Config-promoted esports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3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LPH Gaming</t>
        </is>
      </c>
      <c r="AQ190" s="24" t="inlineStr">
        <is>
          <t>LPH Gaming</t>
        </is>
      </c>
      <c r="AR190" s="24" t="inlineStr">
        <is>
          <t>LPH Gaming</t>
        </is>
      </c>
      <c r="AS190" s="24" t="inlineStr">
        <is>
          <t>eSuba</t>
        </is>
      </c>
      <c r="AT190" s="24" t="inlineStr">
        <is>
          <t>eSuba</t>
        </is>
      </c>
      <c r="AU190" s="24" t="inlineStr">
        <is>
          <t>eSuba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162c67536c0a8fdef275c00ed02740c4f0771ac0ab54a4ffe2a0a863eac3703e</t>
        </is>
      </c>
      <c r="BB190" s="24" t="inlineStr">
        <is>
          <t>neutral_elo</t>
        </is>
      </c>
      <c r="BC190" s="24" t="inlineStr">
        <is>
          <t>cs2-tiered-elo-v6</t>
        </is>
      </c>
      <c r="BD190" s="24" t="inlineStr">
        <is>
          <t>162c67536c0a8fdef275c00ed02740c4f0771ac0ab54a4ffe2a0a863eac3703e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cs2-tiered-elo-v6</t>
        </is>
      </c>
      <c r="BH190" s="24" t="inlineStr">
        <is>
          <t>2026-08-13T16:53:35.073910Z</t>
        </is>
      </c>
      <c r="BI190" s="24" t="inlineStr">
        <is>
          <t>["same_event","same_team_same_day","same_league_same_day"]</t>
        </is>
      </c>
      <c r="BJ190" s="25" t="n"/>
      <c r="BK190" s="26" t="n">
        <v>138</v>
      </c>
      <c r="BL190" s="27" t="n">
        <v>2.38</v>
      </c>
      <c r="BM190" s="28" t="n">
        <v>0.420168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</row>
    <row r="191" ht="36" customHeight="1">
      <c r="A191" s="24" t="inlineStr">
        <is>
          <t>594c3e05a8544ec7</t>
        </is>
      </c>
      <c r="B191" s="24" t="inlineStr">
        <is>
          <t>2026-08-13T16:54:03.298671Z</t>
        </is>
      </c>
      <c r="C191" s="24" t="inlineStr">
        <is>
          <t>2026-08-13T17:00:00Z</t>
        </is>
      </c>
      <c r="D191" s="24" t="inlineStr">
        <is>
          <t>80374</t>
        </is>
      </c>
      <c r="E191" s="24" t="inlineStr">
        <is>
          <t>CS2</t>
        </is>
      </c>
      <c r="F191" s="24" t="inlineStr">
        <is>
          <t>Inner Circle Academy</t>
        </is>
      </c>
      <c r="G191" s="24" t="inlineStr">
        <is>
          <t>ROUNDS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-223</v>
      </c>
      <c r="M191" s="27" t="n">
        <v>1.44843</v>
      </c>
      <c r="N191" s="28" t="n">
        <v>0.690402</v>
      </c>
      <c r="O191" s="28" t="n">
        <v>0.671195</v>
      </c>
      <c r="P191" s="28" t="n"/>
      <c r="Q191" s="28" t="n">
        <v>-0.019207</v>
      </c>
      <c r="R191" s="26" t="n">
        <v>10</v>
      </c>
      <c r="S191" s="29" t="n">
        <v>1.75</v>
      </c>
      <c r="T191" s="24" t="inlineStr">
        <is>
          <t>cs2-tiered-elo-v6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Neutral Elo baseline; executable ask 0.6900 (market_slug=aec-cs2-rgg-ica-2026-08-13).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NO_CALL_LOW_EDGE</t>
        </is>
      </c>
      <c r="AP191" s="24" t="inlineStr">
        <is>
          <t>Inner Circle Academy</t>
        </is>
      </c>
      <c r="AQ191" s="24" t="inlineStr">
        <is>
          <t>Inner Circle Academy</t>
        </is>
      </c>
      <c r="AR191" s="24" t="inlineStr">
        <is>
          <t>Inner Circle Academy</t>
        </is>
      </c>
      <c r="AS191" s="24" t="inlineStr">
        <is>
          <t>ROUNDS</t>
        </is>
      </c>
      <c r="AT191" s="24" t="inlineStr">
        <is>
          <t>ROUNDS</t>
        </is>
      </c>
      <c r="AU191" s="24" t="inlineStr">
        <is>
          <t>ROUNDS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162c67536c0a8fdef275c00ed02740c4f0771ac0ab54a4ffe2a0a863eac3703e</t>
        </is>
      </c>
      <c r="BB191" s="24" t="inlineStr">
        <is>
          <t>neutral_elo</t>
        </is>
      </c>
      <c r="BC191" s="24" t="inlineStr">
        <is>
          <t>cs2-tiered-elo-v6</t>
        </is>
      </c>
      <c r="BD191" s="24" t="inlineStr">
        <is>
          <t>162c67536c0a8fdef275c00ed02740c4f0771ac0ab54a4ffe2a0a863eac3703e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cs2-tiered-elo-v6</t>
        </is>
      </c>
      <c r="BH191" s="24" t="inlineStr">
        <is>
          <t>2026-08-13T16:53:35.586286Z</t>
        </is>
      </c>
      <c r="BI191" s="24" t="inlineStr">
        <is>
          <t>["same_event","same_team_same_day","same_league_same_day"]</t>
        </is>
      </c>
      <c r="BJ191" s="25" t="n"/>
      <c r="BK191" s="26" t="n">
        <v>-223</v>
      </c>
      <c r="BL191" s="27" t="n">
        <v>1.44843</v>
      </c>
      <c r="BM191" s="28" t="n">
        <v>0.690402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</row>
    <row r="192" ht="36" customHeight="1">
      <c r="A192" s="24" t="inlineStr">
        <is>
          <t>1f099e6b2f7a4294</t>
        </is>
      </c>
      <c r="B192" s="24" t="inlineStr">
        <is>
          <t>2026-08-13T16:54:03.298671Z</t>
        </is>
      </c>
      <c r="C192" s="24" t="inlineStr">
        <is>
          <t>2026-08-13T17:00:00Z</t>
        </is>
      </c>
      <c r="D192" s="24" t="inlineStr">
        <is>
          <t>80232</t>
        </is>
      </c>
      <c r="E192" s="24" t="inlineStr">
        <is>
          <t>CS2</t>
        </is>
      </c>
      <c r="F192" s="24" t="inlineStr">
        <is>
          <t>HAVU</t>
        </is>
      </c>
      <c r="G192" s="24" t="inlineStr">
        <is>
          <t>los kogutos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-178</v>
      </c>
      <c r="M192" s="27" t="n">
        <v>1.561798</v>
      </c>
      <c r="N192" s="28" t="n">
        <v>0.640288</v>
      </c>
      <c r="O192" s="28" t="n">
        <v>0.666189</v>
      </c>
      <c r="P192" s="28" t="n"/>
      <c r="Q192" s="28" t="n">
        <v>0.025901</v>
      </c>
      <c r="R192" s="26" t="n">
        <v>33</v>
      </c>
      <c r="S192" s="29" t="n">
        <v>1.75</v>
      </c>
      <c r="T192" s="24" t="inlineStr">
        <is>
          <t>cs2-tiered-elo-v6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Neutral Elo baseline; executable ask 0.6400 (market_slug=aec-cs2-lk-havu-2026-08-13).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3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HAVU</t>
        </is>
      </c>
      <c r="AQ192" s="24" t="inlineStr">
        <is>
          <t>HAVU</t>
        </is>
      </c>
      <c r="AR192" s="24" t="inlineStr">
        <is>
          <t>HAVU</t>
        </is>
      </c>
      <c r="AS192" s="24" t="inlineStr">
        <is>
          <t>los kogutos</t>
        </is>
      </c>
      <c r="AT192" s="24" t="inlineStr">
        <is>
          <t>los kogutos</t>
        </is>
      </c>
      <c r="AU192" s="24" t="inlineStr">
        <is>
          <t>los kogutos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162c67536c0a8fdef275c00ed02740c4f0771ac0ab54a4ffe2a0a863eac3703e</t>
        </is>
      </c>
      <c r="BB192" s="24" t="inlineStr">
        <is>
          <t>neutral_elo</t>
        </is>
      </c>
      <c r="BC192" s="24" t="inlineStr">
        <is>
          <t>cs2-tiered-elo-v6</t>
        </is>
      </c>
      <c r="BD192" s="24" t="inlineStr">
        <is>
          <t>162c67536c0a8fdef275c00ed02740c4f0771ac0ab54a4ffe2a0a863eac3703e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cs2-tiered-elo-v6</t>
        </is>
      </c>
      <c r="BH192" s="24" t="inlineStr">
        <is>
          <t>2026-08-13T16:53:36.137876Z</t>
        </is>
      </c>
      <c r="BI192" s="24" t="inlineStr">
        <is>
          <t>["same_event","same_team_same_day","same_league_same_day"]</t>
        </is>
      </c>
      <c r="BJ192" s="25" t="n"/>
      <c r="BK192" s="26" t="n">
        <v>-178</v>
      </c>
      <c r="BL192" s="27" t="n">
        <v>1.561798</v>
      </c>
      <c r="BM192" s="28" t="n">
        <v>0.640288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</row>
    <row r="193" ht="36" customHeight="1">
      <c r="A193" s="24" t="inlineStr">
        <is>
          <t>100aeb7bef454bd5</t>
        </is>
      </c>
      <c r="B193" s="24" t="inlineStr">
        <is>
          <t>2026-08-13T17:16:45.867517Z</t>
        </is>
      </c>
      <c r="C193" s="24" t="inlineStr">
        <is>
          <t>2026-08-13T17:30:00Z</t>
        </is>
      </c>
      <c r="D193" s="24" t="inlineStr">
        <is>
          <t>80377</t>
        </is>
      </c>
      <c r="E193" s="24" t="inlineStr">
        <is>
          <t>CS2</t>
        </is>
      </c>
      <c r="F193" s="24" t="inlineStr">
        <is>
          <t>Fraternity</t>
        </is>
      </c>
      <c r="G193" s="24" t="inlineStr">
        <is>
          <t>Arch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-133</v>
      </c>
      <c r="M193" s="27" t="n">
        <v>1.75188</v>
      </c>
      <c r="N193" s="28" t="n">
        <v>0.570815</v>
      </c>
      <c r="O193" s="28" t="n">
        <v>0.571414</v>
      </c>
      <c r="P193" s="28" t="n"/>
      <c r="Q193" s="28" t="n">
        <v>0.000599</v>
      </c>
      <c r="R193" s="26" t="n">
        <v>20</v>
      </c>
      <c r="S193" s="29" t="n">
        <v>1.25</v>
      </c>
      <c r="T193" s="24" t="inlineStr">
        <is>
          <t>cs2-tiered-elo-v6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Neutral Elo baseline; executable ask 0.5700 (market_slug=aec-cs2-arch-frt-2026-08-13).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NO_CALL_LOW_EDGE</t>
        </is>
      </c>
      <c r="AP193" s="24" t="inlineStr">
        <is>
          <t>Fraternity</t>
        </is>
      </c>
      <c r="AQ193" s="24" t="inlineStr">
        <is>
          <t>Fraternity</t>
        </is>
      </c>
      <c r="AR193" s="24" t="inlineStr">
        <is>
          <t>Fraternity</t>
        </is>
      </c>
      <c r="AS193" s="24" t="inlineStr">
        <is>
          <t>Arch</t>
        </is>
      </c>
      <c r="AT193" s="24" t="inlineStr">
        <is>
          <t>Arch</t>
        </is>
      </c>
      <c r="AU193" s="24" t="inlineStr">
        <is>
          <t>Arch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cfbafc507bbe081efb2e2f502ebe97fbe386a45148ab7356cad450fbf1273cd8</t>
        </is>
      </c>
      <c r="BB193" s="24" t="inlineStr">
        <is>
          <t>neutral_elo</t>
        </is>
      </c>
      <c r="BC193" s="24" t="inlineStr">
        <is>
          <t>cs2-tiered-elo-v6</t>
        </is>
      </c>
      <c r="BD193" s="24" t="inlineStr">
        <is>
          <t>cfbafc507bbe081efb2e2f502ebe97fbe386a45148ab7356cad450fbf1273cd8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cs2-tiered-elo-v6</t>
        </is>
      </c>
      <c r="BH193" s="24" t="inlineStr">
        <is>
          <t>2026-08-13T17:16:20.723906Z</t>
        </is>
      </c>
      <c r="BI193" s="24" t="inlineStr">
        <is>
          <t>["same_event","same_team_same_day","same_league_same_day"]</t>
        </is>
      </c>
      <c r="BJ193" s="25" t="n"/>
      <c r="BK193" s="26" t="n">
        <v>-133</v>
      </c>
      <c r="BL193" s="27" t="n">
        <v>1.75188</v>
      </c>
      <c r="BM193" s="28" t="n">
        <v>0.570815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4db2e0a25d93414f</t>
        </is>
      </c>
      <c r="B194" s="24" t="inlineStr">
        <is>
          <t>2026-08-13T17:16:45.867517Z</t>
        </is>
      </c>
      <c r="C194" s="24" t="inlineStr">
        <is>
          <t>2026-08-13T18:30:00Z</t>
        </is>
      </c>
      <c r="D194" s="24" t="inlineStr">
        <is>
          <t>80382</t>
        </is>
      </c>
      <c r="E194" s="24" t="inlineStr">
        <is>
          <t>CS2</t>
        </is>
      </c>
      <c r="F194" s="24" t="inlineStr">
        <is>
          <t>ENRAGE</t>
        </is>
      </c>
      <c r="G194" s="24" t="inlineStr">
        <is>
          <t>eSuba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127</v>
      </c>
      <c r="M194" s="27" t="n">
        <v>2.27</v>
      </c>
      <c r="N194" s="28" t="n">
        <v>0.440529</v>
      </c>
      <c r="O194" s="28" t="n">
        <v>0.626841</v>
      </c>
      <c r="P194" s="28" t="n"/>
      <c r="Q194" s="28" t="n">
        <v>0.186312</v>
      </c>
      <c r="R194" s="26" t="n">
        <v>100</v>
      </c>
      <c r="S194" s="29" t="n">
        <v>1.5</v>
      </c>
      <c r="T194" s="24" t="inlineStr">
        <is>
          <t>cs2-tiered-elo-v6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Neutral Elo baseline; executable ask 0.4400 (market_slug=aec-cs2-esb-enr-2026-08-13).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ENRAGE</t>
        </is>
      </c>
      <c r="AQ194" s="24" t="inlineStr">
        <is>
          <t>ENRAGE</t>
        </is>
      </c>
      <c r="AR194" s="24" t="inlineStr">
        <is>
          <t>ENRAGE</t>
        </is>
      </c>
      <c r="AS194" s="24" t="inlineStr">
        <is>
          <t>eSuba</t>
        </is>
      </c>
      <c r="AT194" s="24" t="inlineStr">
        <is>
          <t>eSuba</t>
        </is>
      </c>
      <c r="AU194" s="24" t="inlineStr">
        <is>
          <t>eSuba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cfbafc507bbe081efb2e2f502ebe97fbe386a45148ab7356cad450fbf1273cd8</t>
        </is>
      </c>
      <c r="BB194" s="24" t="inlineStr">
        <is>
          <t>neutral_elo</t>
        </is>
      </c>
      <c r="BC194" s="24" t="inlineStr">
        <is>
          <t>cs2-tiered-elo-v6</t>
        </is>
      </c>
      <c r="BD194" s="24" t="inlineStr">
        <is>
          <t>cfbafc507bbe081efb2e2f502ebe97fbe386a45148ab7356cad450fbf1273cd8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cs2-tiered-elo-v6</t>
        </is>
      </c>
      <c r="BH194" s="24" t="inlineStr">
        <is>
          <t>2026-08-13T17:16:21.294052Z</t>
        </is>
      </c>
      <c r="BI194" s="24" t="inlineStr">
        <is>
          <t>["same_event","same_team_same_day","same_league_same_day"]</t>
        </is>
      </c>
      <c r="BJ194" s="25" t="n"/>
      <c r="BK194" s="26" t="n">
        <v>127</v>
      </c>
      <c r="BL194" s="27" t="n">
        <v>2.27</v>
      </c>
      <c r="BM194" s="28" t="n">
        <v>0.440529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46e6d7f68be441e8</t>
        </is>
      </c>
      <c r="B195" s="24" t="inlineStr">
        <is>
          <t>2026-08-13T17:16:45.867517Z</t>
        </is>
      </c>
      <c r="C195" s="24" t="inlineStr">
        <is>
          <t>2026-08-13T18:30:00Z</t>
        </is>
      </c>
      <c r="D195" s="24" t="inlineStr">
        <is>
          <t>80384</t>
        </is>
      </c>
      <c r="E195" s="24" t="inlineStr">
        <is>
          <t>CS2</t>
        </is>
      </c>
      <c r="F195" s="24" t="inlineStr">
        <is>
          <t>Glitchtech Esports</t>
        </is>
      </c>
      <c r="G195" s="24" t="inlineStr">
        <is>
          <t>uust _esports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-163</v>
      </c>
      <c r="M195" s="27" t="n">
        <v>1.613497</v>
      </c>
      <c r="N195" s="28" t="n">
        <v>0.619772</v>
      </c>
      <c r="O195" s="28" t="n">
        <v>0.629865</v>
      </c>
      <c r="P195" s="28" t="n"/>
      <c r="Q195" s="28" t="n">
        <v>0.010093</v>
      </c>
      <c r="R195" s="26" t="n">
        <v>25</v>
      </c>
      <c r="S195" s="29" t="n">
        <v>1.5</v>
      </c>
      <c r="T195" s="24" t="inlineStr">
        <is>
          <t>cs2-tiered-elo-v6</t>
        </is>
      </c>
      <c r="U195" s="24" t="inlineStr">
        <is>
          <t>open</t>
        </is>
      </c>
      <c r="V195" s="24" t="n"/>
      <c r="W195" s="26" t="n"/>
      <c r="X195" s="26" t="n"/>
      <c r="Y195" s="25" t="n"/>
      <c r="Z195" s="26" t="n"/>
      <c r="AA195" s="28" t="n"/>
      <c r="AB195" s="28" t="n"/>
      <c r="AC195" s="30" t="n"/>
      <c r="AD195" s="24" t="n"/>
      <c r="AE195" s="31" t="inlineStr">
        <is>
          <t>Neutral Elo baseline; executable ask 0.6200 (market_slug=aec-cs2-uust-gel-2026-08-13).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Glitchtech Esports</t>
        </is>
      </c>
      <c r="AQ195" s="24" t="inlineStr">
        <is>
          <t>Glitchtech Esports</t>
        </is>
      </c>
      <c r="AR195" s="24" t="inlineStr">
        <is>
          <t>Glitchtech Esports</t>
        </is>
      </c>
      <c r="AS195" s="24" t="inlineStr">
        <is>
          <t>uust _esports</t>
        </is>
      </c>
      <c r="AT195" s="24" t="inlineStr">
        <is>
          <t>uust _esports</t>
        </is>
      </c>
      <c r="AU195" s="24" t="inlineStr">
        <is>
          <t>uust _esports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cfbafc507bbe081efb2e2f502ebe97fbe386a45148ab7356cad450fbf1273cd8</t>
        </is>
      </c>
      <c r="BB195" s="24" t="inlineStr">
        <is>
          <t>neutral_elo</t>
        </is>
      </c>
      <c r="BC195" s="24" t="inlineStr">
        <is>
          <t>cs2-tiered-elo-v6</t>
        </is>
      </c>
      <c r="BD195" s="24" t="inlineStr">
        <is>
          <t>cfbafc507bbe081efb2e2f502ebe97fbe386a45148ab7356cad450fbf1273cd8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cs2-tiered-elo-v6</t>
        </is>
      </c>
      <c r="BH195" s="24" t="inlineStr">
        <is>
          <t>2026-08-13T17:16:21.848354Z</t>
        </is>
      </c>
      <c r="BI195" s="24" t="inlineStr">
        <is>
          <t>["same_event","same_team_same_day","same_league_same_day"]</t>
        </is>
      </c>
      <c r="BJ195" s="25" t="n"/>
      <c r="BK195" s="26" t="n">
        <v>-163</v>
      </c>
      <c r="BL195" s="27" t="n">
        <v>1.613497</v>
      </c>
      <c r="BM195" s="28" t="n">
        <v>0.619772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819cab9c8a28488d</t>
        </is>
      </c>
      <c r="B196" s="24" t="inlineStr">
        <is>
          <t>2026-08-13T17:16:45.867517Z</t>
        </is>
      </c>
      <c r="C196" s="24" t="inlineStr">
        <is>
          <t>2026-08-13T18:30:00Z</t>
        </is>
      </c>
      <c r="D196" s="24" t="inlineStr">
        <is>
          <t>80388</t>
        </is>
      </c>
      <c r="E196" s="24" t="inlineStr">
        <is>
          <t>CS2</t>
        </is>
      </c>
      <c r="F196" s="24" t="inlineStr">
        <is>
          <t>Falcons Force</t>
        </is>
      </c>
      <c r="G196" s="24" t="inlineStr">
        <is>
          <t>PURE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-213</v>
      </c>
      <c r="M196" s="27" t="n">
        <v>1.469484</v>
      </c>
      <c r="N196" s="28" t="n">
        <v>0.680511</v>
      </c>
      <c r="O196" s="28" t="n">
        <v>0.564207</v>
      </c>
      <c r="P196" s="28" t="n"/>
      <c r="Q196" s="28" t="n">
        <v>-0.116304</v>
      </c>
      <c r="R196" s="26" t="n">
        <v>0</v>
      </c>
      <c r="S196" s="29" t="n">
        <v>1</v>
      </c>
      <c r="T196" s="24" t="inlineStr">
        <is>
          <t>cs2-tiered-elo-v6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Neutral Elo baseline; executable ask 0.6800 (market_slug=aec-cs2-pure-falf-2026-08-13).</t>
        </is>
      </c>
      <c r="AF196" s="31" t="inlineStr">
        <is>
          <t>Config-promoted esports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Falcons Force</t>
        </is>
      </c>
      <c r="AQ196" s="24" t="inlineStr">
        <is>
          <t>Falcons Force</t>
        </is>
      </c>
      <c r="AR196" s="24" t="inlineStr">
        <is>
          <t>Falcons Force</t>
        </is>
      </c>
      <c r="AS196" s="24" t="inlineStr">
        <is>
          <t>PURE</t>
        </is>
      </c>
      <c r="AT196" s="24" t="inlineStr">
        <is>
          <t>PURE</t>
        </is>
      </c>
      <c r="AU196" s="24" t="inlineStr">
        <is>
          <t>PURE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cfbafc507bbe081efb2e2f502ebe97fbe386a45148ab7356cad450fbf1273cd8</t>
        </is>
      </c>
      <c r="BB196" s="24" t="inlineStr">
        <is>
          <t>neutral_elo</t>
        </is>
      </c>
      <c r="BC196" s="24" t="inlineStr">
        <is>
          <t>cs2-tiered-elo-v6</t>
        </is>
      </c>
      <c r="BD196" s="24" t="inlineStr">
        <is>
          <t>cfbafc507bbe081efb2e2f502ebe97fbe386a45148ab7356cad450fbf1273cd8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cs2-tiered-elo-v6</t>
        </is>
      </c>
      <c r="BH196" s="24" t="inlineStr">
        <is>
          <t>2026-08-13T17:16:22.919632Z</t>
        </is>
      </c>
      <c r="BI196" s="24" t="inlineStr">
        <is>
          <t>["same_event","same_team_same_day","same_league_same_day"]</t>
        </is>
      </c>
      <c r="BJ196" s="25" t="n"/>
      <c r="BK196" s="26" t="n">
        <v>-213</v>
      </c>
      <c r="BL196" s="27" t="n">
        <v>1.469484</v>
      </c>
      <c r="BM196" s="28" t="n">
        <v>0.680511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</row>
    <row r="197" ht="36" customHeight="1">
      <c r="A197" s="24" t="inlineStr">
        <is>
          <t>433a6e81cb1c4cc8</t>
        </is>
      </c>
      <c r="B197" s="24" t="inlineStr">
        <is>
          <t>2026-08-13T17:16:45.867517Z</t>
        </is>
      </c>
      <c r="C197" s="24" t="inlineStr">
        <is>
          <t>2026-08-13T18:30:00Z</t>
        </is>
      </c>
      <c r="D197" s="24" t="inlineStr">
        <is>
          <t>80389</t>
        </is>
      </c>
      <c r="E197" s="24" t="inlineStr">
        <is>
          <t>CS2</t>
        </is>
      </c>
      <c r="F197" s="24" t="inlineStr">
        <is>
          <t>Inner Circle Academy</t>
        </is>
      </c>
      <c r="G197" s="24" t="inlineStr">
        <is>
          <t>Dark Moon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127</v>
      </c>
      <c r="M197" s="27" t="n">
        <v>2.27</v>
      </c>
      <c r="N197" s="28" t="n">
        <v>0.440529</v>
      </c>
      <c r="O197" s="28" t="n">
        <v>0.5112989999999999</v>
      </c>
      <c r="P197" s="28" t="n"/>
      <c r="Q197" s="28" t="n">
        <v>0.07077</v>
      </c>
      <c r="R197" s="26" t="n">
        <v>55</v>
      </c>
      <c r="S197" s="29" t="n">
        <v>1</v>
      </c>
      <c r="T197" s="24" t="inlineStr">
        <is>
          <t>cs2-tiered-elo-v6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Neutral Elo baseline; executable ask 0.4400 (market_slug=aec-cs2-dm-ica-2026-08-13).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NO_CALL_LOW_EDGE</t>
        </is>
      </c>
      <c r="AP197" s="24" t="inlineStr">
        <is>
          <t>Inner Circle Academy</t>
        </is>
      </c>
      <c r="AQ197" s="24" t="inlineStr">
        <is>
          <t>Inner Circle Academy</t>
        </is>
      </c>
      <c r="AR197" s="24" t="inlineStr">
        <is>
          <t>Inner Circle Academy</t>
        </is>
      </c>
      <c r="AS197" s="24" t="inlineStr">
        <is>
          <t>Dark Moon</t>
        </is>
      </c>
      <c r="AT197" s="24" t="inlineStr">
        <is>
          <t>Dark Moon</t>
        </is>
      </c>
      <c r="AU197" s="24" t="inlineStr">
        <is>
          <t>Dark Moon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cfbafc507bbe081efb2e2f502ebe97fbe386a45148ab7356cad450fbf1273cd8</t>
        </is>
      </c>
      <c r="BB197" s="24" t="inlineStr">
        <is>
          <t>neutral_elo</t>
        </is>
      </c>
      <c r="BC197" s="24" t="inlineStr">
        <is>
          <t>cs2-tiered-elo-v6</t>
        </is>
      </c>
      <c r="BD197" s="24" t="inlineStr">
        <is>
          <t>cfbafc507bbe081efb2e2f502ebe97fbe386a45148ab7356cad450fbf1273cd8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cs2-tiered-elo-v6</t>
        </is>
      </c>
      <c r="BH197" s="24" t="inlineStr">
        <is>
          <t>2026-08-13T17:16:23.475177Z</t>
        </is>
      </c>
      <c r="BI197" s="24" t="inlineStr">
        <is>
          <t>["same_event","same_team_same_day","same_league_same_day"]</t>
        </is>
      </c>
      <c r="BJ197" s="25" t="n"/>
      <c r="BK197" s="26" t="n">
        <v>127</v>
      </c>
      <c r="BL197" s="27" t="n">
        <v>2.27</v>
      </c>
      <c r="BM197" s="28" t="n">
        <v>0.440529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30169530e89d49bb</t>
        </is>
      </c>
      <c r="B198" s="24" t="inlineStr">
        <is>
          <t>2026-08-13T17:16:45.867517Z</t>
        </is>
      </c>
      <c r="C198" s="24" t="inlineStr">
        <is>
          <t>2026-08-13T18:30:00Z</t>
        </is>
      </c>
      <c r="D198" s="24" t="inlineStr">
        <is>
          <t>80383</t>
        </is>
      </c>
      <c r="E198" s="24" t="inlineStr">
        <is>
          <t>CS2</t>
        </is>
      </c>
      <c r="F198" s="24" t="inlineStr">
        <is>
          <t>WBT</t>
        </is>
      </c>
      <c r="G198" s="24" t="inlineStr">
        <is>
          <t>PENSIONERS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-194</v>
      </c>
      <c r="M198" s="27" t="n">
        <v>1.515464</v>
      </c>
      <c r="N198" s="28" t="n">
        <v>0.659864</v>
      </c>
      <c r="O198" s="28" t="n">
        <v>0.633342</v>
      </c>
      <c r="P198" s="28" t="n"/>
      <c r="Q198" s="28" t="n">
        <v>-0.026522</v>
      </c>
      <c r="R198" s="26" t="n">
        <v>7</v>
      </c>
      <c r="S198" s="29" t="n">
        <v>1.5</v>
      </c>
      <c r="T198" s="24" t="inlineStr">
        <is>
          <t>cs2-tiered-elo-v6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Neutral Elo baseline; executable ask 0.6600 (market_slug=aec-cs2-pen-wba-2026-08-13).</t>
        </is>
      </c>
      <c r="AF198" s="31" t="inlineStr">
        <is>
          <t>Config-promoted esports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WBT</t>
        </is>
      </c>
      <c r="AQ198" s="24" t="inlineStr">
        <is>
          <t>WBT</t>
        </is>
      </c>
      <c r="AR198" s="24" t="inlineStr">
        <is>
          <t>WBT</t>
        </is>
      </c>
      <c r="AS198" s="24" t="inlineStr">
        <is>
          <t>PENSIONERS</t>
        </is>
      </c>
      <c r="AT198" s="24" t="inlineStr">
        <is>
          <t>PENSIONERS</t>
        </is>
      </c>
      <c r="AU198" s="24" t="inlineStr">
        <is>
          <t>PENSIONERS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cfbafc507bbe081efb2e2f502ebe97fbe386a45148ab7356cad450fbf1273cd8</t>
        </is>
      </c>
      <c r="BB198" s="24" t="inlineStr">
        <is>
          <t>neutral_elo</t>
        </is>
      </c>
      <c r="BC198" s="24" t="inlineStr">
        <is>
          <t>cs2-tiered-elo-v6</t>
        </is>
      </c>
      <c r="BD198" s="24" t="inlineStr">
        <is>
          <t>cfbafc507bbe081efb2e2f502ebe97fbe386a45148ab7356cad450fbf1273cd8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cs2-tiered-elo-v6</t>
        </is>
      </c>
      <c r="BH198" s="24" t="inlineStr">
        <is>
          <t>2026-08-13T17:16:24.605349Z</t>
        </is>
      </c>
      <c r="BI198" s="24" t="inlineStr">
        <is>
          <t>["same_event","same_team_same_day","same_league_same_day"]</t>
        </is>
      </c>
      <c r="BJ198" s="25" t="n"/>
      <c r="BK198" s="26" t="n">
        <v>-194</v>
      </c>
      <c r="BL198" s="27" t="n">
        <v>1.515464</v>
      </c>
      <c r="BM198" s="28" t="n">
        <v>0.659864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</row>
    <row r="199" ht="36" customHeight="1">
      <c r="A199" s="24" t="inlineStr">
        <is>
          <t>f76ae07df96f4f03</t>
        </is>
      </c>
      <c r="B199" s="24" t="inlineStr">
        <is>
          <t>2026-08-13T17:16:45.867517Z</t>
        </is>
      </c>
      <c r="C199" s="24" t="inlineStr">
        <is>
          <t>2026-08-13T18:30:00Z</t>
        </is>
      </c>
      <c r="D199" s="24" t="inlineStr">
        <is>
          <t>80381</t>
        </is>
      </c>
      <c r="E199" s="24" t="inlineStr">
        <is>
          <t>CS2</t>
        </is>
      </c>
      <c r="F199" s="24" t="inlineStr">
        <is>
          <t>LPH Gaming</t>
        </is>
      </c>
      <c r="G199" s="24" t="inlineStr">
        <is>
          <t>Benched gods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-203</v>
      </c>
      <c r="M199" s="27" t="n">
        <v>1.492611</v>
      </c>
      <c r="N199" s="28" t="n">
        <v>0.669967</v>
      </c>
      <c r="O199" s="28" t="n">
        <v>0.573909</v>
      </c>
      <c r="P199" s="28" t="n"/>
      <c r="Q199" s="28" t="n">
        <v>-0.096058</v>
      </c>
      <c r="R199" s="26" t="n">
        <v>0</v>
      </c>
      <c r="S199" s="29" t="n">
        <v>1.25</v>
      </c>
      <c r="T199" s="24" t="inlineStr">
        <is>
          <t>cs2-tiered-elo-v6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Neutral Elo baseline; executable ask 0.6700 (market_slug=aec-cs2-bge-lph-2026-08-13).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NO_CALL_LOW_EDGE</t>
        </is>
      </c>
      <c r="AP199" s="24" t="inlineStr">
        <is>
          <t>LPH Gaming</t>
        </is>
      </c>
      <c r="AQ199" s="24" t="inlineStr">
        <is>
          <t>LPH Gaming</t>
        </is>
      </c>
      <c r="AR199" s="24" t="inlineStr">
        <is>
          <t>LPH Gaming</t>
        </is>
      </c>
      <c r="AS199" s="24" t="inlineStr">
        <is>
          <t>Benched gods</t>
        </is>
      </c>
      <c r="AT199" s="24" t="inlineStr">
        <is>
          <t>Benched gods</t>
        </is>
      </c>
      <c r="AU199" s="24" t="inlineStr">
        <is>
          <t>Benched gods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cfbafc507bbe081efb2e2f502ebe97fbe386a45148ab7356cad450fbf1273cd8</t>
        </is>
      </c>
      <c r="BB199" s="24" t="inlineStr">
        <is>
          <t>neutral_elo</t>
        </is>
      </c>
      <c r="BC199" s="24" t="inlineStr">
        <is>
          <t>cs2-tiered-elo-v6</t>
        </is>
      </c>
      <c r="BD199" s="24" t="inlineStr">
        <is>
          <t>cfbafc507bbe081efb2e2f502ebe97fbe386a45148ab7356cad450fbf1273cd8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cs2-tiered-elo-v6</t>
        </is>
      </c>
      <c r="BH199" s="24" t="inlineStr">
        <is>
          <t>2026-08-13T17:16:25.107473Z</t>
        </is>
      </c>
      <c r="BI199" s="24" t="inlineStr">
        <is>
          <t>["same_event","same_team_same_day","same_league_same_day"]</t>
        </is>
      </c>
      <c r="BJ199" s="25" t="n"/>
      <c r="BK199" s="26" t="n">
        <v>-203</v>
      </c>
      <c r="BL199" s="27" t="n">
        <v>1.492611</v>
      </c>
      <c r="BM199" s="28" t="n">
        <v>0.669967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</row>
    <row r="200" ht="36" customHeight="1">
      <c r="A200" s="24" t="inlineStr">
        <is>
          <t>288b3a91cf6343e7</t>
        </is>
      </c>
      <c r="B200" s="24" t="inlineStr">
        <is>
          <t>2026-08-13T17:16:45.867517Z</t>
        </is>
      </c>
      <c r="C200" s="24" t="inlineStr">
        <is>
          <t>2026-08-13T20:00:00Z</t>
        </is>
      </c>
      <c r="D200" s="24" t="inlineStr">
        <is>
          <t>78152</t>
        </is>
      </c>
      <c r="E200" s="24" t="inlineStr">
        <is>
          <t>CS2</t>
        </is>
      </c>
      <c r="F200" s="24" t="inlineStr">
        <is>
          <t>Keyd</t>
        </is>
      </c>
      <c r="G200" s="24" t="inlineStr">
        <is>
          <t>Yawara Esports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113</v>
      </c>
      <c r="M200" s="27" t="n">
        <v>2.13</v>
      </c>
      <c r="N200" s="28" t="n">
        <v>0.469484</v>
      </c>
      <c r="O200" s="28" t="n">
        <v>0.525601</v>
      </c>
      <c r="P200" s="28" t="n"/>
      <c r="Q200" s="28" t="n">
        <v>0.056117</v>
      </c>
      <c r="R200" s="26" t="n">
        <v>48</v>
      </c>
      <c r="S200" s="29" t="n">
        <v>1</v>
      </c>
      <c r="T200" s="24" t="inlineStr">
        <is>
          <t>cs2-tiered-elo-v6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Neutral Elo baseline; executable ask 0.4700 (market_slug=aec-cs2-yaw-keyd-2026-08-13).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NO_CALL_LOW_EDGE</t>
        </is>
      </c>
      <c r="AP200" s="24" t="inlineStr">
        <is>
          <t>Keyd</t>
        </is>
      </c>
      <c r="AQ200" s="24" t="inlineStr">
        <is>
          <t>Keyd</t>
        </is>
      </c>
      <c r="AR200" s="24" t="inlineStr">
        <is>
          <t>Keyd</t>
        </is>
      </c>
      <c r="AS200" s="24" t="inlineStr">
        <is>
          <t>Yawara Esports</t>
        </is>
      </c>
      <c r="AT200" s="24" t="inlineStr">
        <is>
          <t>Yawara Esports</t>
        </is>
      </c>
      <c r="AU200" s="24" t="inlineStr">
        <is>
          <t>Yawara Esports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cfbafc507bbe081efb2e2f502ebe97fbe386a45148ab7356cad450fbf1273cd8</t>
        </is>
      </c>
      <c r="BB200" s="24" t="inlineStr">
        <is>
          <t>neutral_elo</t>
        </is>
      </c>
      <c r="BC200" s="24" t="inlineStr">
        <is>
          <t>cs2-tiered-elo-v6</t>
        </is>
      </c>
      <c r="BD200" s="24" t="inlineStr">
        <is>
          <t>cfbafc507bbe081efb2e2f502ebe97fbe386a45148ab7356cad450fbf1273cd8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cs2-tiered-elo-v6</t>
        </is>
      </c>
      <c r="BH200" s="24" t="inlineStr">
        <is>
          <t>2026-08-13T17:16:25.698822Z</t>
        </is>
      </c>
      <c r="BI200" s="24" t="inlineStr">
        <is>
          <t>["same_event","same_team_same_day","same_league_same_day"]</t>
        </is>
      </c>
      <c r="BJ200" s="25" t="n"/>
      <c r="BK200" s="26" t="n">
        <v>113</v>
      </c>
      <c r="BL200" s="27" t="n">
        <v>2.13</v>
      </c>
      <c r="BM200" s="28" t="n">
        <v>0.469484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</row>
    <row r="201" ht="36" customHeight="1">
      <c r="A201" s="24" t="inlineStr">
        <is>
          <t>8056cff529544669</t>
        </is>
      </c>
      <c r="B201" s="24" t="inlineStr">
        <is>
          <t>2026-08-13T17:16:45.867517Z</t>
        </is>
      </c>
      <c r="C201" s="24" t="inlineStr">
        <is>
          <t>2026-08-13T21:00:00Z</t>
        </is>
      </c>
      <c r="D201" s="24" t="inlineStr">
        <is>
          <t>80407</t>
        </is>
      </c>
      <c r="E201" s="24" t="inlineStr">
        <is>
          <t>CS2</t>
        </is>
      </c>
      <c r="F201" s="24" t="inlineStr">
        <is>
          <t>MEIA NOITE</t>
        </is>
      </c>
      <c r="G201" s="24" t="inlineStr">
        <is>
          <t>Grêmio Esports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100</v>
      </c>
      <c r="M201" s="27" t="n">
        <v>2</v>
      </c>
      <c r="N201" s="28" t="n">
        <v>0.5</v>
      </c>
      <c r="O201" s="28" t="n">
        <v>0.518452</v>
      </c>
      <c r="P201" s="28" t="n"/>
      <c r="Q201" s="28" t="n">
        <v>0.018452</v>
      </c>
      <c r="R201" s="26" t="n">
        <v>29</v>
      </c>
      <c r="S201" s="29" t="n">
        <v>1</v>
      </c>
      <c r="T201" s="24" t="inlineStr">
        <is>
          <t>cs2-tiered-elo-v6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Neutral Elo baseline; executable ask 0.5000 (market_slug=aec-cs2-ger-mne-2026-08-13).</t>
        </is>
      </c>
      <c r="AF201" s="31" t="inlineStr">
        <is>
          <t>Config-promoted esports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research_observation</t>
        </is>
      </c>
      <c r="AL201" s="26" t="n">
        <v>3</v>
      </c>
      <c r="AM201" s="24" t="inlineStr">
        <is>
          <t>RESEARCH_OBSERVATION</t>
        </is>
      </c>
      <c r="AN201" s="24" t="inlineStr">
        <is>
          <t>NO_CALL</t>
        </is>
      </c>
      <c r="AO201" s="24" t="inlineStr">
        <is>
          <t>NO_CALL_MODEL_UNVALIDATED</t>
        </is>
      </c>
      <c r="AP201" s="24" t="inlineStr">
        <is>
          <t>MEIA NOITE</t>
        </is>
      </c>
      <c r="AQ201" s="24" t="inlineStr">
        <is>
          <t>MEIA NOITE</t>
        </is>
      </c>
      <c r="AR201" s="24" t="inlineStr">
        <is>
          <t>MEIA NOITE</t>
        </is>
      </c>
      <c r="AS201" s="24" t="inlineStr">
        <is>
          <t>Grêmio Esports</t>
        </is>
      </c>
      <c r="AT201" s="24" t="inlineStr">
        <is>
          <t>Grêmio Esports</t>
        </is>
      </c>
      <c r="AU201" s="24" t="inlineStr">
        <is>
          <t>Grêmio Esports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cfbafc507bbe081efb2e2f502ebe97fbe386a45148ab7356cad450fbf1273cd8</t>
        </is>
      </c>
      <c r="BB201" s="24" t="inlineStr">
        <is>
          <t>neutral_elo</t>
        </is>
      </c>
      <c r="BC201" s="24" t="inlineStr">
        <is>
          <t>cs2-tiered-elo-v6</t>
        </is>
      </c>
      <c r="BD201" s="24" t="inlineStr">
        <is>
          <t>cfbafc507bbe081efb2e2f502ebe97fbe386a45148ab7356cad450fbf1273cd8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cs2-tiered-elo-v6</t>
        </is>
      </c>
      <c r="BH201" s="24" t="inlineStr">
        <is>
          <t>2026-08-13T17:16:26.276574Z</t>
        </is>
      </c>
      <c r="BI201" s="24" t="inlineStr">
        <is>
          <t>["same_event","same_team_same_day","same_league_same_day"]</t>
        </is>
      </c>
      <c r="BJ201" s="25" t="n"/>
      <c r="BK201" s="26" t="n">
        <v>100</v>
      </c>
      <c r="BL201" s="27" t="n">
        <v>2</v>
      </c>
      <c r="BM201" s="28" t="n">
        <v>0.5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</row>
    <row r="202" ht="36" customHeight="1">
      <c r="A202" s="24" t="inlineStr">
        <is>
          <t>4908715b2dd34c5b</t>
        </is>
      </c>
      <c r="B202" s="24" t="inlineStr">
        <is>
          <t>2026-08-13T17:16:45.867517Z</t>
        </is>
      </c>
      <c r="C202" s="24" t="inlineStr">
        <is>
          <t>2026-08-13T21:00:00Z</t>
        </is>
      </c>
      <c r="D202" s="24" t="inlineStr">
        <is>
          <t>80339</t>
        </is>
      </c>
      <c r="E202" s="24" t="inlineStr">
        <is>
          <t>CS2</t>
        </is>
      </c>
      <c r="F202" s="24" t="inlineStr">
        <is>
          <t>QUINTESSÊNCIA</t>
        </is>
      </c>
      <c r="G202" s="24" t="inlineStr">
        <is>
          <t>Red Feet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-213</v>
      </c>
      <c r="M202" s="27" t="n">
        <v>1.469484</v>
      </c>
      <c r="N202" s="28" t="n">
        <v>0.680511</v>
      </c>
      <c r="O202" s="28" t="n">
        <v>0.65022</v>
      </c>
      <c r="P202" s="28" t="n"/>
      <c r="Q202" s="28" t="n">
        <v>-0.030291</v>
      </c>
      <c r="R202" s="26" t="n">
        <v>5</v>
      </c>
      <c r="S202" s="29" t="n">
        <v>1.75</v>
      </c>
      <c r="T202" s="24" t="inlineStr">
        <is>
          <t>cs2-tiered-elo-v6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Neutral Elo baseline; executable ask 0.6800 (market_slug=aec-cs2-rf-quin-2026-08-13).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QUINTESSÊNCIA</t>
        </is>
      </c>
      <c r="AQ202" s="24" t="inlineStr">
        <is>
          <t>QUINTESSÊNCIA</t>
        </is>
      </c>
      <c r="AR202" s="24" t="inlineStr">
        <is>
          <t>QUINTESSÊNCIA</t>
        </is>
      </c>
      <c r="AS202" s="24" t="inlineStr">
        <is>
          <t>Red Feet</t>
        </is>
      </c>
      <c r="AT202" s="24" t="inlineStr">
        <is>
          <t>Red Feet</t>
        </is>
      </c>
      <c r="AU202" s="24" t="inlineStr">
        <is>
          <t>Red Feet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cfbafc507bbe081efb2e2f502ebe97fbe386a45148ab7356cad450fbf1273cd8</t>
        </is>
      </c>
      <c r="BB202" s="24" t="inlineStr">
        <is>
          <t>neutral_elo</t>
        </is>
      </c>
      <c r="BC202" s="24" t="inlineStr">
        <is>
          <t>cs2-tiered-elo-v6</t>
        </is>
      </c>
      <c r="BD202" s="24" t="inlineStr">
        <is>
          <t>cfbafc507bbe081efb2e2f502ebe97fbe386a45148ab7356cad450fbf1273cd8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cs2-tiered-elo-v6</t>
        </is>
      </c>
      <c r="BH202" s="24" t="inlineStr">
        <is>
          <t>2026-08-13T17:16:26.837071Z</t>
        </is>
      </c>
      <c r="BI202" s="24" t="inlineStr">
        <is>
          <t>["same_event","same_team_same_day","same_league_same_day"]</t>
        </is>
      </c>
      <c r="BJ202" s="25" t="n"/>
      <c r="BK202" s="26" t="n">
        <v>-213</v>
      </c>
      <c r="BL202" s="27" t="n">
        <v>1.469484</v>
      </c>
      <c r="BM202" s="28" t="n">
        <v>0.680511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</row>
    <row r="203" ht="36" customHeight="1">
      <c r="A203" s="24" t="inlineStr">
        <is>
          <t>54f8cabd46c34cbb</t>
        </is>
      </c>
      <c r="B203" s="24" t="inlineStr">
        <is>
          <t>2026-08-13T17:16:45.867517Z</t>
        </is>
      </c>
      <c r="C203" s="24" t="inlineStr">
        <is>
          <t>2026-08-13T23:45:00Z</t>
        </is>
      </c>
      <c r="D203" s="24" t="inlineStr">
        <is>
          <t>79589</t>
        </is>
      </c>
      <c r="E203" s="24" t="inlineStr">
        <is>
          <t>CS2</t>
        </is>
      </c>
      <c r="F203" s="24" t="inlineStr">
        <is>
          <t>paiN Academy</t>
        </is>
      </c>
      <c r="G203" s="24" t="inlineStr">
        <is>
          <t>METANOIA WOLVES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-186</v>
      </c>
      <c r="M203" s="27" t="n">
        <v>1.537634</v>
      </c>
      <c r="N203" s="28" t="n">
        <v>0.65035</v>
      </c>
      <c r="O203" s="28" t="n">
        <v>0.5557530000000001</v>
      </c>
      <c r="P203" s="28" t="n"/>
      <c r="Q203" s="28" t="n">
        <v>-0.094597</v>
      </c>
      <c r="R203" s="26" t="n">
        <v>0</v>
      </c>
      <c r="S203" s="29" t="n">
        <v>1</v>
      </c>
      <c r="T203" s="24" t="inlineStr">
        <is>
          <t>cs2-tiered-elo-v6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Neutral Elo baseline; executable ask 0.6500 (market_slug=aec-cs2-mw-paina-2026-08-13).</t>
        </is>
      </c>
      <c r="AF203" s="31" t="inlineStr">
        <is>
          <t>Config-promoted esports baseline; gates enforced at log time.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NO_CALL_LOW_EDGE</t>
        </is>
      </c>
      <c r="AP203" s="24" t="inlineStr">
        <is>
          <t>paiN Academy</t>
        </is>
      </c>
      <c r="AQ203" s="24" t="inlineStr">
        <is>
          <t>paiN Academy</t>
        </is>
      </c>
      <c r="AR203" s="24" t="inlineStr">
        <is>
          <t>paiN Academy</t>
        </is>
      </c>
      <c r="AS203" s="24" t="inlineStr">
        <is>
          <t>METANOIA WOLVES</t>
        </is>
      </c>
      <c r="AT203" s="24" t="inlineStr">
        <is>
          <t>METANOIA WOLVES</t>
        </is>
      </c>
      <c r="AU203" s="24" t="inlineStr">
        <is>
          <t>METANOIA WOLVES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cfbafc507bbe081efb2e2f502ebe97fbe386a45148ab7356cad450fbf1273cd8</t>
        </is>
      </c>
      <c r="BB203" s="24" t="inlineStr">
        <is>
          <t>neutral_elo</t>
        </is>
      </c>
      <c r="BC203" s="24" t="inlineStr">
        <is>
          <t>cs2-tiered-elo-v6</t>
        </is>
      </c>
      <c r="BD203" s="24" t="inlineStr">
        <is>
          <t>cfbafc507bbe081efb2e2f502ebe97fbe386a45148ab7356cad450fbf1273cd8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cs2-tiered-elo-v6</t>
        </is>
      </c>
      <c r="BH203" s="24" t="inlineStr">
        <is>
          <t>2026-08-13T17:16:28.456562Z</t>
        </is>
      </c>
      <c r="BI203" s="24" t="inlineStr">
        <is>
          <t>["same_event","same_team_same_day","same_league_same_day"]</t>
        </is>
      </c>
      <c r="BJ203" s="25" t="n"/>
      <c r="BK203" s="26" t="n">
        <v>-186</v>
      </c>
      <c r="BL203" s="27" t="n">
        <v>1.537634</v>
      </c>
      <c r="BM203" s="28" t="n">
        <v>0.65035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</row>
    <row r="204" ht="36" customHeight="1">
      <c r="A204" s="24" t="inlineStr">
        <is>
          <t>74e29ea110704816</t>
        </is>
      </c>
      <c r="B204" s="24" t="inlineStr">
        <is>
          <t>2026-08-13T17:16:45.867517Z</t>
        </is>
      </c>
      <c r="C204" s="24" t="inlineStr">
        <is>
          <t>2026-08-14T08:00:00Z</t>
        </is>
      </c>
      <c r="D204" s="24" t="inlineStr">
        <is>
          <t>78275</t>
        </is>
      </c>
      <c r="E204" s="24" t="inlineStr">
        <is>
          <t>CS2</t>
        </is>
      </c>
      <c r="F204" s="24" t="inlineStr">
        <is>
          <t>Misa Esports</t>
        </is>
      </c>
      <c r="G204" s="24" t="inlineStr">
        <is>
          <t>ENJOY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-178</v>
      </c>
      <c r="M204" s="27" t="n">
        <v>1.561798</v>
      </c>
      <c r="N204" s="28" t="n">
        <v>0.640288</v>
      </c>
      <c r="O204" s="28" t="n">
        <v>0.583256</v>
      </c>
      <c r="P204" s="28" t="n"/>
      <c r="Q204" s="28" t="n">
        <v>-0.057032</v>
      </c>
      <c r="R204" s="26" t="n">
        <v>0</v>
      </c>
      <c r="S204" s="29" t="n">
        <v>1.25</v>
      </c>
      <c r="T204" s="24" t="inlineStr">
        <is>
          <t>cs2-tiered-elo-v6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Neutral Elo baseline; executable ask 0.6400 (market_slug=aec-cs2-enjoy-misa-2026-08-14).</t>
        </is>
      </c>
      <c r="AF204" s="31" t="inlineStr">
        <is>
          <t>Config-promoted esports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NO_CALL_MODEL_UNVALIDATED</t>
        </is>
      </c>
      <c r="AP204" s="24" t="inlineStr">
        <is>
          <t>Misa Esports</t>
        </is>
      </c>
      <c r="AQ204" s="24" t="inlineStr">
        <is>
          <t>Misa Esports</t>
        </is>
      </c>
      <c r="AR204" s="24" t="inlineStr">
        <is>
          <t>Misa Esports</t>
        </is>
      </c>
      <c r="AS204" s="24" t="inlineStr">
        <is>
          <t>ENJOY</t>
        </is>
      </c>
      <c r="AT204" s="24" t="inlineStr">
        <is>
          <t>ENJOY</t>
        </is>
      </c>
      <c r="AU204" s="24" t="inlineStr">
        <is>
          <t>ENJOY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cfbafc507bbe081efb2e2f502ebe97fbe386a45148ab7356cad450fbf1273cd8</t>
        </is>
      </c>
      <c r="BB204" s="24" t="inlineStr">
        <is>
          <t>neutral_elo</t>
        </is>
      </c>
      <c r="BC204" s="24" t="inlineStr">
        <is>
          <t>cs2-tiered-elo-v6</t>
        </is>
      </c>
      <c r="BD204" s="24" t="inlineStr">
        <is>
          <t>cfbafc507bbe081efb2e2f502ebe97fbe386a45148ab7356cad450fbf1273cd8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cs2-tiered-elo-v6</t>
        </is>
      </c>
      <c r="BH204" s="24" t="inlineStr">
        <is>
          <t>2026-08-13T17:16:28.989416Z</t>
        </is>
      </c>
      <c r="BI204" s="24" t="inlineStr">
        <is>
          <t>["same_event","same_team_same_day","same_league_same_day"]</t>
        </is>
      </c>
      <c r="BJ204" s="25" t="n"/>
      <c r="BK204" s="26" t="n">
        <v>-178</v>
      </c>
      <c r="BL204" s="27" t="n">
        <v>1.561798</v>
      </c>
      <c r="BM204" s="28" t="n">
        <v>0.640288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</row>
    <row r="205" ht="36" customHeight="1">
      <c r="A205" s="24" t="inlineStr">
        <is>
          <t>570c91ac36a545a3</t>
        </is>
      </c>
      <c r="B205" s="24" t="inlineStr">
        <is>
          <t>2026-08-13T17:16:45.867517Z</t>
        </is>
      </c>
      <c r="C205" s="24" t="inlineStr">
        <is>
          <t>2026-08-14T11:00:00Z</t>
        </is>
      </c>
      <c r="D205" s="24" t="inlineStr">
        <is>
          <t>80241</t>
        </is>
      </c>
      <c r="E205" s="24" t="inlineStr">
        <is>
          <t>CS2</t>
        </is>
      </c>
      <c r="F205" s="24" t="inlineStr">
        <is>
          <t>Arch</t>
        </is>
      </c>
      <c r="G205" s="24" t="inlineStr">
        <is>
          <t>NEW VISION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-156</v>
      </c>
      <c r="M205" s="27" t="n">
        <v>1.641026</v>
      </c>
      <c r="N205" s="28" t="n">
        <v>0.609375</v>
      </c>
      <c r="O205" s="28" t="n">
        <v>0.593256</v>
      </c>
      <c r="P205" s="28" t="n"/>
      <c r="Q205" s="28" t="n">
        <v>-0.016119</v>
      </c>
      <c r="R205" s="26" t="n">
        <v>12</v>
      </c>
      <c r="S205" s="29" t="n">
        <v>1.25</v>
      </c>
      <c r="T205" s="24" t="inlineStr">
        <is>
          <t>cs2-tiered-elo-v6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Neutral Elo baseline; executable ask 0.6100 (market_slug=aec-cs2-nve-arch-2026-08-14).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Arch</t>
        </is>
      </c>
      <c r="AQ205" s="24" t="inlineStr">
        <is>
          <t>Arch</t>
        </is>
      </c>
      <c r="AR205" s="24" t="inlineStr">
        <is>
          <t>Arch</t>
        </is>
      </c>
      <c r="AS205" s="24" t="inlineStr">
        <is>
          <t>NEW VISION</t>
        </is>
      </c>
      <c r="AT205" s="24" t="inlineStr">
        <is>
          <t>NEW VISION</t>
        </is>
      </c>
      <c r="AU205" s="24" t="inlineStr">
        <is>
          <t>NEW VISION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cfbafc507bbe081efb2e2f502ebe97fbe386a45148ab7356cad450fbf1273cd8</t>
        </is>
      </c>
      <c r="BB205" s="24" t="inlineStr">
        <is>
          <t>neutral_elo</t>
        </is>
      </c>
      <c r="BC205" s="24" t="inlineStr">
        <is>
          <t>cs2-tiered-elo-v6</t>
        </is>
      </c>
      <c r="BD205" s="24" t="inlineStr">
        <is>
          <t>cfbafc507bbe081efb2e2f502ebe97fbe386a45148ab7356cad450fbf1273cd8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cs2-tiered-elo-v6</t>
        </is>
      </c>
      <c r="BH205" s="24" t="inlineStr">
        <is>
          <t>2026-08-13T17:16:31.408909Z</t>
        </is>
      </c>
      <c r="BI205" s="24" t="inlineStr">
        <is>
          <t>["same_event","same_team_same_day","same_league_same_day"]</t>
        </is>
      </c>
      <c r="BJ205" s="25" t="n"/>
      <c r="BK205" s="26" t="n">
        <v>-156</v>
      </c>
      <c r="BL205" s="27" t="n">
        <v>1.641026</v>
      </c>
      <c r="BM205" s="28" t="n">
        <v>0.609375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</row>
    <row r="206" ht="36" customHeight="1">
      <c r="A206" s="24" t="inlineStr">
        <is>
          <t>b8be1d795ce54e9a</t>
        </is>
      </c>
      <c r="B206" s="24" t="inlineStr">
        <is>
          <t>2026-08-13T17:16:45.867517Z</t>
        </is>
      </c>
      <c r="C206" s="24" t="inlineStr">
        <is>
          <t>2026-08-14T11:00:00Z</t>
        </is>
      </c>
      <c r="D206" s="24" t="inlineStr">
        <is>
          <t>79829</t>
        </is>
      </c>
      <c r="E206" s="24" t="inlineStr">
        <is>
          <t>CS2</t>
        </is>
      </c>
      <c r="F206" s="24" t="inlineStr">
        <is>
          <t>MIBR</t>
        </is>
      </c>
      <c r="G206" s="24" t="inlineStr">
        <is>
          <t>K27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-117</v>
      </c>
      <c r="M206" s="27" t="n">
        <v>1.854701</v>
      </c>
      <c r="N206" s="28" t="n">
        <v>0.539171</v>
      </c>
      <c r="O206" s="28" t="n">
        <v>0.535118</v>
      </c>
      <c r="P206" s="28" t="n"/>
      <c r="Q206" s="28" t="n">
        <v>-0.004053</v>
      </c>
      <c r="R206" s="26" t="n">
        <v>18</v>
      </c>
      <c r="S206" s="29" t="n">
        <v>1</v>
      </c>
      <c r="T206" s="24" t="inlineStr">
        <is>
          <t>cs2-tiered-elo-v6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Neutral Elo baseline; executable ask 0.5400 (market_slug=aec-cs2-k27-mibr-2026-08-14).</t>
        </is>
      </c>
      <c r="AF206" s="31" t="inlineStr">
        <is>
          <t>Config-promoted esports baseline; gates enforced at log time.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MIBR</t>
        </is>
      </c>
      <c r="AQ206" s="24" t="inlineStr">
        <is>
          <t>MIBR</t>
        </is>
      </c>
      <c r="AR206" s="24" t="inlineStr">
        <is>
          <t>MIBR</t>
        </is>
      </c>
      <c r="AS206" s="24" t="inlineStr">
        <is>
          <t>K27</t>
        </is>
      </c>
      <c r="AT206" s="24" t="inlineStr">
        <is>
          <t>K27</t>
        </is>
      </c>
      <c r="AU206" s="24" t="inlineStr">
        <is>
          <t>K27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cfbafc507bbe081efb2e2f502ebe97fbe386a45148ab7356cad450fbf1273cd8</t>
        </is>
      </c>
      <c r="BB206" s="24" t="inlineStr">
        <is>
          <t>neutral_elo</t>
        </is>
      </c>
      <c r="BC206" s="24" t="inlineStr">
        <is>
          <t>cs2-tiered-elo-v6</t>
        </is>
      </c>
      <c r="BD206" s="24" t="inlineStr">
        <is>
          <t>cfbafc507bbe081efb2e2f502ebe97fbe386a45148ab7356cad450fbf1273cd8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cs2-tiered-elo-v6</t>
        </is>
      </c>
      <c r="BH206" s="24" t="inlineStr">
        <is>
          <t>2026-08-13T17:16:32.496867Z</t>
        </is>
      </c>
      <c r="BI206" s="24" t="inlineStr">
        <is>
          <t>["same_event","same_team_same_day","same_league_same_day"]</t>
        </is>
      </c>
      <c r="BJ206" s="25" t="n"/>
      <c r="BK206" s="26" t="n">
        <v>-117</v>
      </c>
      <c r="BL206" s="27" t="n">
        <v>1.854701</v>
      </c>
      <c r="BM206" s="28" t="n">
        <v>0.539171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False</t>
        </is>
      </c>
    </row>
    <row r="207" ht="36" customHeight="1">
      <c r="A207" s="24" t="inlineStr">
        <is>
          <t>5819a068ec3848b5</t>
        </is>
      </c>
      <c r="B207" s="24" t="inlineStr">
        <is>
          <t>2026-08-13T17:16:45.867517Z</t>
        </is>
      </c>
      <c r="C207" s="24" t="inlineStr">
        <is>
          <t>2026-08-14T11:00:00Z</t>
        </is>
      </c>
      <c r="D207" s="24" t="inlineStr">
        <is>
          <t>79753</t>
        </is>
      </c>
      <c r="E207" s="24" t="inlineStr">
        <is>
          <t>CS2</t>
        </is>
      </c>
      <c r="F207" s="24" t="inlineStr">
        <is>
          <t>BetBoom Team</t>
        </is>
      </c>
      <c r="G207" s="24" t="inlineStr">
        <is>
          <t>NIP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-186</v>
      </c>
      <c r="M207" s="27" t="n">
        <v>1.537634</v>
      </c>
      <c r="N207" s="28" t="n">
        <v>0.65035</v>
      </c>
      <c r="O207" s="28" t="n">
        <v>0.7198600000000001</v>
      </c>
      <c r="P207" s="28" t="n"/>
      <c r="Q207" s="28" t="n">
        <v>0.06951</v>
      </c>
      <c r="R207" s="26" t="n">
        <v>55</v>
      </c>
      <c r="S207" s="29" t="n">
        <v>2</v>
      </c>
      <c r="T207" s="24" t="inlineStr">
        <is>
          <t>cs2-tiered-elo-v6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Neutral Elo baseline; executable ask 0.6500 (market_slug=aec-cs2-nip-bb-2026-08-14).</t>
        </is>
      </c>
      <c r="AF207" s="31" t="inlineStr">
        <is>
          <t>Config-promoted esports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BetBoom Team</t>
        </is>
      </c>
      <c r="AQ207" s="24" t="inlineStr">
        <is>
          <t>BetBoom Team</t>
        </is>
      </c>
      <c r="AR207" s="24" t="inlineStr">
        <is>
          <t>BetBoom Team</t>
        </is>
      </c>
      <c r="AS207" s="24" t="inlineStr">
        <is>
          <t>NIP</t>
        </is>
      </c>
      <c r="AT207" s="24" t="inlineStr">
        <is>
          <t>NIP</t>
        </is>
      </c>
      <c r="AU207" s="24" t="inlineStr">
        <is>
          <t>NIP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cfbafc507bbe081efb2e2f502ebe97fbe386a45148ab7356cad450fbf1273cd8</t>
        </is>
      </c>
      <c r="BB207" s="24" t="inlineStr">
        <is>
          <t>neutral_elo</t>
        </is>
      </c>
      <c r="BC207" s="24" t="inlineStr">
        <is>
          <t>cs2-tiered-elo-v6</t>
        </is>
      </c>
      <c r="BD207" s="24" t="inlineStr">
        <is>
          <t>cfbafc507bbe081efb2e2f502ebe97fbe386a45148ab7356cad450fbf1273cd8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cs2-tiered-elo-v6</t>
        </is>
      </c>
      <c r="BH207" s="24" t="inlineStr">
        <is>
          <t>2026-08-13T17:16:33.096919Z</t>
        </is>
      </c>
      <c r="BI207" s="24" t="inlineStr">
        <is>
          <t>["same_event","same_team_same_day","same_league_same_day"]</t>
        </is>
      </c>
      <c r="BJ207" s="25" t="n"/>
      <c r="BK207" s="26" t="n">
        <v>-186</v>
      </c>
      <c r="BL207" s="27" t="n">
        <v>1.537634</v>
      </c>
      <c r="BM207" s="28" t="n">
        <v>0.65035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00c14ff1600847fd</t>
        </is>
      </c>
      <c r="B208" s="24" t="inlineStr">
        <is>
          <t>2026-08-13T17:16:45.867517Z</t>
        </is>
      </c>
      <c r="C208" s="24" t="inlineStr">
        <is>
          <t>2026-08-14T13:00:00Z</t>
        </is>
      </c>
      <c r="D208" s="24" t="inlineStr">
        <is>
          <t>80443</t>
        </is>
      </c>
      <c r="E208" s="24" t="inlineStr">
        <is>
          <t>CS2</t>
        </is>
      </c>
      <c r="F208" s="24" t="inlineStr">
        <is>
          <t>Misa Esports</t>
        </is>
      </c>
      <c r="G208" s="24" t="inlineStr">
        <is>
          <t>Leo Team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-223</v>
      </c>
      <c r="M208" s="27" t="n">
        <v>1.44843</v>
      </c>
      <c r="N208" s="28" t="n">
        <v>0.690402</v>
      </c>
      <c r="O208" s="28" t="n">
        <v>0.513432</v>
      </c>
      <c r="P208" s="28" t="n"/>
      <c r="Q208" s="28" t="n">
        <v>-0.17697</v>
      </c>
      <c r="R208" s="26" t="n">
        <v>0</v>
      </c>
      <c r="S208" s="29" t="n">
        <v>1</v>
      </c>
      <c r="T208" s="24" t="inlineStr">
        <is>
          <t>cs2-tiered-elo-v6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Neutral Elo baseline; executable ask 0.6900 (market_slug=aec-cs2-leo-misa-2026-08-14).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NO_CALL_MODEL_UNVALIDATED</t>
        </is>
      </c>
      <c r="AP208" s="24" t="inlineStr">
        <is>
          <t>Misa Esports</t>
        </is>
      </c>
      <c r="AQ208" s="24" t="inlineStr">
        <is>
          <t>Misa Esports</t>
        </is>
      </c>
      <c r="AR208" s="24" t="inlineStr">
        <is>
          <t>Misa Esports</t>
        </is>
      </c>
      <c r="AS208" s="24" t="inlineStr">
        <is>
          <t>Leo Team</t>
        </is>
      </c>
      <c r="AT208" s="24" t="inlineStr">
        <is>
          <t>Leo Team</t>
        </is>
      </c>
      <c r="AU208" s="24" t="inlineStr">
        <is>
          <t>Leo Team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cfbafc507bbe081efb2e2f502ebe97fbe386a45148ab7356cad450fbf1273cd8</t>
        </is>
      </c>
      <c r="BB208" s="24" t="inlineStr">
        <is>
          <t>neutral_elo</t>
        </is>
      </c>
      <c r="BC208" s="24" t="inlineStr">
        <is>
          <t>cs2-tiered-elo-v6</t>
        </is>
      </c>
      <c r="BD208" s="24" t="inlineStr">
        <is>
          <t>cfbafc507bbe081efb2e2f502ebe97fbe386a45148ab7356cad450fbf1273cd8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cs2-tiered-elo-v6</t>
        </is>
      </c>
      <c r="BH208" s="24" t="inlineStr">
        <is>
          <t>2026-08-13T17:16:35.349820Z</t>
        </is>
      </c>
      <c r="BI208" s="24" t="inlineStr">
        <is>
          <t>["same_event","same_team_same_day","same_league_same_day"]</t>
        </is>
      </c>
      <c r="BJ208" s="25" t="n"/>
      <c r="BK208" s="26" t="n">
        <v>-223</v>
      </c>
      <c r="BL208" s="27" t="n">
        <v>1.44843</v>
      </c>
      <c r="BM208" s="28" t="n">
        <v>0.690402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</row>
    <row r="209" ht="36" customHeight="1">
      <c r="A209" s="24" t="inlineStr">
        <is>
          <t>75394b1694a9486a</t>
        </is>
      </c>
      <c r="B209" s="24" t="inlineStr">
        <is>
          <t>2026-08-13T17:16:45.867517Z</t>
        </is>
      </c>
      <c r="C209" s="24" t="inlineStr">
        <is>
          <t>2026-08-14T13:00:00Z</t>
        </is>
      </c>
      <c r="D209" s="24" t="inlineStr">
        <is>
          <t>80441</t>
        </is>
      </c>
      <c r="E209" s="24" t="inlineStr">
        <is>
          <t>CS2</t>
        </is>
      </c>
      <c r="F209" s="24" t="inlineStr">
        <is>
          <t>Fire Flux Esports</t>
        </is>
      </c>
      <c r="G209" s="24" t="inlineStr">
        <is>
          <t>BakS eSports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-178</v>
      </c>
      <c r="M209" s="27" t="n">
        <v>1.561798</v>
      </c>
      <c r="N209" s="28" t="n">
        <v>0.640288</v>
      </c>
      <c r="O209" s="28" t="n">
        <v>0.52508</v>
      </c>
      <c r="P209" s="28" t="n"/>
      <c r="Q209" s="28" t="n">
        <v>-0.115208</v>
      </c>
      <c r="R209" s="26" t="n">
        <v>0</v>
      </c>
      <c r="S209" s="29" t="n">
        <v>1</v>
      </c>
      <c r="T209" s="24" t="inlineStr">
        <is>
          <t>cs2-tiered-elo-v6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Neutral Elo baseline; executable ask 0.6400 (market_slug=aec-cs2-baks-ff-2026-08-14).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NO_CALL_MODEL_UNVALIDATED</t>
        </is>
      </c>
      <c r="AP209" s="24" t="inlineStr">
        <is>
          <t>Fire Flux Esports</t>
        </is>
      </c>
      <c r="AQ209" s="24" t="inlineStr">
        <is>
          <t>Fire Flux Esports</t>
        </is>
      </c>
      <c r="AR209" s="24" t="inlineStr">
        <is>
          <t>Fire Flux Esports</t>
        </is>
      </c>
      <c r="AS209" s="24" t="inlineStr">
        <is>
          <t>BakS eSports</t>
        </is>
      </c>
      <c r="AT209" s="24" t="inlineStr">
        <is>
          <t>BakS eSports</t>
        </is>
      </c>
      <c r="AU209" s="24" t="inlineStr">
        <is>
          <t>BakS eSports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cfbafc507bbe081efb2e2f502ebe97fbe386a45148ab7356cad450fbf1273cd8</t>
        </is>
      </c>
      <c r="BB209" s="24" t="inlineStr">
        <is>
          <t>neutral_elo</t>
        </is>
      </c>
      <c r="BC209" s="24" t="inlineStr">
        <is>
          <t>cs2-tiered-elo-v6</t>
        </is>
      </c>
      <c r="BD209" s="24" t="inlineStr">
        <is>
          <t>cfbafc507bbe081efb2e2f502ebe97fbe386a45148ab7356cad450fbf1273cd8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cs2-tiered-elo-v6</t>
        </is>
      </c>
      <c r="BH209" s="24" t="inlineStr">
        <is>
          <t>2026-08-13T17:16:36.763284Z</t>
        </is>
      </c>
      <c r="BI209" s="24" t="inlineStr">
        <is>
          <t>["same_event","same_team_same_day","same_league_same_day"]</t>
        </is>
      </c>
      <c r="BJ209" s="25" t="n"/>
      <c r="BK209" s="26" t="n">
        <v>-178</v>
      </c>
      <c r="BL209" s="27" t="n">
        <v>1.561798</v>
      </c>
      <c r="BM209" s="28" t="n">
        <v>0.640288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</row>
    <row r="210" ht="36" customHeight="1">
      <c r="A210" s="24" t="inlineStr">
        <is>
          <t>f9300a20c7b64930</t>
        </is>
      </c>
      <c r="B210" s="24" t="inlineStr">
        <is>
          <t>2026-08-13T17:16:45.867517Z</t>
        </is>
      </c>
      <c r="C210" s="24" t="inlineStr">
        <is>
          <t>2026-08-14T13:00:00Z</t>
        </is>
      </c>
      <c r="D210" s="24" t="inlineStr">
        <is>
          <t>80446</t>
        </is>
      </c>
      <c r="E210" s="24" t="inlineStr">
        <is>
          <t>CS2</t>
        </is>
      </c>
      <c r="F210" s="24" t="inlineStr">
        <is>
          <t xml:space="preserve"> Phantom Academy</t>
        </is>
      </c>
      <c r="G210" s="24" t="inlineStr">
        <is>
          <t>BASEMENT BOYS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-127</v>
      </c>
      <c r="M210" s="27" t="n">
        <v>1.787402</v>
      </c>
      <c r="N210" s="28" t="n">
        <v>0.5594710000000001</v>
      </c>
      <c r="O210" s="28" t="n">
        <v>0.560736</v>
      </c>
      <c r="P210" s="28" t="n"/>
      <c r="Q210" s="28" t="n">
        <v>0.001265</v>
      </c>
      <c r="R210" s="26" t="n">
        <v>21</v>
      </c>
      <c r="S210" s="29" t="n">
        <v>1</v>
      </c>
      <c r="T210" s="24" t="inlineStr">
        <is>
          <t>cs2-tiered-elo-v6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Neutral Elo baseline; executable ask 0.5600 (market_slug=aec-cs2-bmb-phtmac-2026-08-14).</t>
        </is>
      </c>
      <c r="AF210" s="31" t="inlineStr">
        <is>
          <t>Config-promoted esports baseline; gates enforced at log time.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NO_CALL_LOW_EDGE</t>
        </is>
      </c>
      <c r="AP210" s="24" t="inlineStr">
        <is>
          <t xml:space="preserve"> Phantom Academy</t>
        </is>
      </c>
      <c r="AQ210" s="24" t="inlineStr">
        <is>
          <t xml:space="preserve"> Phantom Academy</t>
        </is>
      </c>
      <c r="AR210" s="24" t="inlineStr">
        <is>
          <t xml:space="preserve"> Phantom Academy</t>
        </is>
      </c>
      <c r="AS210" s="24" t="inlineStr">
        <is>
          <t>BASEMENT BOYS</t>
        </is>
      </c>
      <c r="AT210" s="24" t="inlineStr">
        <is>
          <t>BASEMENT BOYS</t>
        </is>
      </c>
      <c r="AU210" s="24" t="inlineStr">
        <is>
          <t>BASEMENT BOYS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cfbafc507bbe081efb2e2f502ebe97fbe386a45148ab7356cad450fbf1273cd8</t>
        </is>
      </c>
      <c r="BB210" s="24" t="inlineStr">
        <is>
          <t>neutral_elo</t>
        </is>
      </c>
      <c r="BC210" s="24" t="inlineStr">
        <is>
          <t>cs2-tiered-elo-v6</t>
        </is>
      </c>
      <c r="BD210" s="24" t="inlineStr">
        <is>
          <t>cfbafc507bbe081efb2e2f502ebe97fbe386a45148ab7356cad450fbf1273cd8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cs2-tiered-elo-v6</t>
        </is>
      </c>
      <c r="BH210" s="24" t="inlineStr">
        <is>
          <t>2026-08-13T17:16:38.347481Z</t>
        </is>
      </c>
      <c r="BI210" s="24" t="inlineStr">
        <is>
          <t>["same_event","same_team_same_day","same_league_same_day"]</t>
        </is>
      </c>
      <c r="BJ210" s="25" t="n"/>
      <c r="BK210" s="26" t="n">
        <v>-127</v>
      </c>
      <c r="BL210" s="27" t="n">
        <v>1.787402</v>
      </c>
      <c r="BM210" s="28" t="n">
        <v>0.5594710000000001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</row>
    <row r="211" ht="36" customHeight="1">
      <c r="A211" s="24" t="inlineStr">
        <is>
          <t>d04209117ba045d8</t>
        </is>
      </c>
      <c r="B211" s="24" t="inlineStr">
        <is>
          <t>2026-08-13T17:16:45.867517Z</t>
        </is>
      </c>
      <c r="C211" s="24" t="inlineStr">
        <is>
          <t>2026-08-14T14:00:00Z</t>
        </is>
      </c>
      <c r="D211" s="24" t="inlineStr">
        <is>
          <t>80242</t>
        </is>
      </c>
      <c r="E211" s="24" t="inlineStr">
        <is>
          <t>CS2</t>
        </is>
      </c>
      <c r="F211" s="24" t="inlineStr">
        <is>
          <t>Privateer Gaming</t>
        </is>
      </c>
      <c r="G211" s="24" t="inlineStr">
        <is>
          <t>eternal premium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-127</v>
      </c>
      <c r="M211" s="27" t="n">
        <v>1.787402</v>
      </c>
      <c r="N211" s="28" t="n">
        <v>0.5594710000000001</v>
      </c>
      <c r="O211" s="28" t="n">
        <v>0.5877250000000001</v>
      </c>
      <c r="P211" s="28" t="n"/>
      <c r="Q211" s="28" t="n">
        <v>0.028254</v>
      </c>
      <c r="R211" s="26" t="n">
        <v>34</v>
      </c>
      <c r="S211" s="29" t="n">
        <v>1.25</v>
      </c>
      <c r="T211" s="24" t="inlineStr">
        <is>
          <t>cs2-tiered-elo-v6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Neutral Elo baseline; executable ask 0.5600 (market_slug=aec-cs2-ep-pg-2026-08-14).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Privateer Gaming</t>
        </is>
      </c>
      <c r="AQ211" s="24" t="inlineStr">
        <is>
          <t>Privateer Gaming</t>
        </is>
      </c>
      <c r="AR211" s="24" t="inlineStr">
        <is>
          <t>Privateer Gaming</t>
        </is>
      </c>
      <c r="AS211" s="24" t="inlineStr">
        <is>
          <t>eternal premium</t>
        </is>
      </c>
      <c r="AT211" s="24" t="inlineStr">
        <is>
          <t>eternal premium</t>
        </is>
      </c>
      <c r="AU211" s="24" t="inlineStr">
        <is>
          <t>eternal premium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cfbafc507bbe081efb2e2f502ebe97fbe386a45148ab7356cad450fbf1273cd8</t>
        </is>
      </c>
      <c r="BB211" s="24" t="inlineStr">
        <is>
          <t>neutral_elo</t>
        </is>
      </c>
      <c r="BC211" s="24" t="inlineStr">
        <is>
          <t>cs2-tiered-elo-v6</t>
        </is>
      </c>
      <c r="BD211" s="24" t="inlineStr">
        <is>
          <t>cfbafc507bbe081efb2e2f502ebe97fbe386a45148ab7356cad450fbf1273cd8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cs2-tiered-elo-v6</t>
        </is>
      </c>
      <c r="BH211" s="24" t="inlineStr">
        <is>
          <t>2026-08-13T17:16:39.035941Z</t>
        </is>
      </c>
      <c r="BI211" s="24" t="inlineStr">
        <is>
          <t>["same_event","same_team_same_day","same_league_same_day"]</t>
        </is>
      </c>
      <c r="BJ211" s="25" t="n"/>
      <c r="BK211" s="26" t="n">
        <v>-127</v>
      </c>
      <c r="BL211" s="27" t="n">
        <v>1.787402</v>
      </c>
      <c r="BM211" s="28" t="n">
        <v>0.5594710000000001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</row>
    <row r="212" ht="36" customHeight="1">
      <c r="A212" s="24" t="inlineStr">
        <is>
          <t>054522653d054ed5</t>
        </is>
      </c>
      <c r="B212" s="24" t="inlineStr">
        <is>
          <t>2026-08-13T17:16:45.867517Z</t>
        </is>
      </c>
      <c r="C212" s="24" t="inlineStr">
        <is>
          <t>2026-08-14T14:00:00Z</t>
        </is>
      </c>
      <c r="D212" s="24" t="inlineStr">
        <is>
          <t>80214</t>
        </is>
      </c>
      <c r="E212" s="24" t="inlineStr">
        <is>
          <t>CS2</t>
        </is>
      </c>
      <c r="F212" s="24" t="inlineStr">
        <is>
          <t>MOUZ</t>
        </is>
      </c>
      <c r="G212" s="24" t="inlineStr">
        <is>
          <t>FUT Esports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-194</v>
      </c>
      <c r="M212" s="27" t="n">
        <v>1.515464</v>
      </c>
      <c r="N212" s="28" t="n">
        <v>0.659864</v>
      </c>
      <c r="O212" s="28" t="n">
        <v>0.9675550000000001</v>
      </c>
      <c r="P212" s="28" t="n"/>
      <c r="Q212" s="28" t="n">
        <v>0.307691</v>
      </c>
      <c r="R212" s="26" t="n">
        <v>100</v>
      </c>
      <c r="S212" s="29" t="n">
        <v>2</v>
      </c>
      <c r="T212" s="24" t="inlineStr">
        <is>
          <t>cs2-tiered-elo-v6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Neutral Elo baseline; executable ask 0.6600 (market_slug=aec-cs2-fut-mouz-2026-08-14).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MOUZ</t>
        </is>
      </c>
      <c r="AQ212" s="24" t="inlineStr">
        <is>
          <t>MOUZ</t>
        </is>
      </c>
      <c r="AR212" s="24" t="inlineStr">
        <is>
          <t>MOUZ</t>
        </is>
      </c>
      <c r="AS212" s="24" t="inlineStr">
        <is>
          <t>FUT Esports</t>
        </is>
      </c>
      <c r="AT212" s="24" t="inlineStr">
        <is>
          <t>FUT Esports</t>
        </is>
      </c>
      <c r="AU212" s="24" t="inlineStr">
        <is>
          <t>FUT Esports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cfbafc507bbe081efb2e2f502ebe97fbe386a45148ab7356cad450fbf1273cd8</t>
        </is>
      </c>
      <c r="BB212" s="24" t="inlineStr">
        <is>
          <t>neutral_elo</t>
        </is>
      </c>
      <c r="BC212" s="24" t="inlineStr">
        <is>
          <t>cs2-tiered-elo-v6</t>
        </is>
      </c>
      <c r="BD212" s="24" t="inlineStr">
        <is>
          <t>cfbafc507bbe081efb2e2f502ebe97fbe386a45148ab7356cad450fbf1273cd8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cs2-tiered-elo-v6</t>
        </is>
      </c>
      <c r="BH212" s="24" t="inlineStr">
        <is>
          <t>2026-08-13T17:16:39.618933Z</t>
        </is>
      </c>
      <c r="BI212" s="24" t="inlineStr">
        <is>
          <t>["same_event","same_team_same_day","same_league_same_day"]</t>
        </is>
      </c>
      <c r="BJ212" s="25" t="n"/>
      <c r="BK212" s="26" t="n">
        <v>-194</v>
      </c>
      <c r="BL212" s="27" t="n">
        <v>1.515464</v>
      </c>
      <c r="BM212" s="28" t="n">
        <v>0.659864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01df6fde4ca944d1</t>
        </is>
      </c>
      <c r="B213" s="24" t="inlineStr">
        <is>
          <t>2026-08-13T17:16:45.867517Z</t>
        </is>
      </c>
      <c r="C213" s="24" t="inlineStr">
        <is>
          <t>2026-08-14T14:00:00Z</t>
        </is>
      </c>
      <c r="D213" s="24" t="inlineStr">
        <is>
          <t>78277</t>
        </is>
      </c>
      <c r="E213" s="24" t="inlineStr">
        <is>
          <t>CS2</t>
        </is>
      </c>
      <c r="F213" s="24" t="inlineStr">
        <is>
          <t>ex-Sashi Academy</t>
        </is>
      </c>
      <c r="G213" s="24" t="inlineStr">
        <is>
          <t>Inner Circle Academy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-203</v>
      </c>
      <c r="M213" s="27" t="n">
        <v>1.492611</v>
      </c>
      <c r="N213" s="28" t="n">
        <v>0.669967</v>
      </c>
      <c r="O213" s="28" t="n">
        <v>0.526346</v>
      </c>
      <c r="P213" s="28" t="n"/>
      <c r="Q213" s="28" t="n">
        <v>-0.143621</v>
      </c>
      <c r="R213" s="26" t="n">
        <v>0</v>
      </c>
      <c r="S213" s="29" t="n">
        <v>1</v>
      </c>
      <c r="T213" s="24" t="inlineStr">
        <is>
          <t>cs2-tiered-elo-v6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Neutral Elo baseline; executable ask 0.6700 (market_slug=aec-cs2-ica-esa-2026-08-14).</t>
        </is>
      </c>
      <c r="AF213" s="31" t="inlineStr">
        <is>
          <t>Config-promoted esports baseline; gates enforced at log time.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NO_CALL_LOW_EDGE</t>
        </is>
      </c>
      <c r="AP213" s="24" t="inlineStr">
        <is>
          <t>ex-Sashi Academy</t>
        </is>
      </c>
      <c r="AQ213" s="24" t="inlineStr">
        <is>
          <t>ex-Sashi Academy</t>
        </is>
      </c>
      <c r="AR213" s="24" t="inlineStr">
        <is>
          <t>ex-Sashi Academy</t>
        </is>
      </c>
      <c r="AS213" s="24" t="inlineStr">
        <is>
          <t>Inner Circle Academy</t>
        </is>
      </c>
      <c r="AT213" s="24" t="inlineStr">
        <is>
          <t>Inner Circle Academy</t>
        </is>
      </c>
      <c r="AU213" s="24" t="inlineStr">
        <is>
          <t>Inner Circle Academy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cfbafc507bbe081efb2e2f502ebe97fbe386a45148ab7356cad450fbf1273cd8</t>
        </is>
      </c>
      <c r="BB213" s="24" t="inlineStr">
        <is>
          <t>neutral_elo</t>
        </is>
      </c>
      <c r="BC213" s="24" t="inlineStr">
        <is>
          <t>cs2-tiered-elo-v6</t>
        </is>
      </c>
      <c r="BD213" s="24" t="inlineStr">
        <is>
          <t>cfbafc507bbe081efb2e2f502ebe97fbe386a45148ab7356cad450fbf1273cd8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cs2-tiered-elo-v6</t>
        </is>
      </c>
      <c r="BH213" s="24" t="inlineStr">
        <is>
          <t>2026-08-13T17:16:40.823708Z</t>
        </is>
      </c>
      <c r="BI213" s="24" t="inlineStr">
        <is>
          <t>["same_event","same_team_same_day","same_league_same_day"]</t>
        </is>
      </c>
      <c r="BJ213" s="25" t="n"/>
      <c r="BK213" s="26" t="n">
        <v>-203</v>
      </c>
      <c r="BL213" s="27" t="n">
        <v>1.492611</v>
      </c>
      <c r="BM213" s="28" t="n">
        <v>0.669967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bb4d01dfe78a40c3</t>
        </is>
      </c>
      <c r="B214" s="24" t="inlineStr">
        <is>
          <t>2026-08-13T17:16:45.867517Z</t>
        </is>
      </c>
      <c r="C214" s="24" t="inlineStr">
        <is>
          <t>2026-08-14T17:00:00Z</t>
        </is>
      </c>
      <c r="D214" s="24" t="inlineStr">
        <is>
          <t>79970</t>
        </is>
      </c>
      <c r="E214" s="24" t="inlineStr">
        <is>
          <t>CS2</t>
        </is>
      </c>
      <c r="F214" s="24" t="inlineStr">
        <is>
          <t>100 Thieves</t>
        </is>
      </c>
      <c r="G214" s="24" t="inlineStr">
        <is>
          <t>PARIVISION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-108</v>
      </c>
      <c r="M214" s="27" t="n">
        <v>1.925926</v>
      </c>
      <c r="N214" s="28" t="n">
        <v>0.519231</v>
      </c>
      <c r="O214" s="28" t="n">
        <v>0.539492</v>
      </c>
      <c r="P214" s="28" t="n"/>
      <c r="Q214" s="28" t="n">
        <v>0.020261</v>
      </c>
      <c r="R214" s="26" t="n">
        <v>30</v>
      </c>
      <c r="S214" s="29" t="n">
        <v>1</v>
      </c>
      <c r="T214" s="24" t="inlineStr">
        <is>
          <t>cs2-tiered-elo-v6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Neutral Elo baseline; executable ask 0.5200 (market_slug=aec-cs2-prv-100t-2026-08-14).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100 Thieves</t>
        </is>
      </c>
      <c r="AQ214" s="24" t="inlineStr">
        <is>
          <t>100 Thieves</t>
        </is>
      </c>
      <c r="AR214" s="24" t="inlineStr">
        <is>
          <t>100 Thieves</t>
        </is>
      </c>
      <c r="AS214" s="24" t="inlineStr">
        <is>
          <t>PARIVISION</t>
        </is>
      </c>
      <c r="AT214" s="24" t="inlineStr">
        <is>
          <t>PARIVISION</t>
        </is>
      </c>
      <c r="AU214" s="24" t="inlineStr">
        <is>
          <t>PARIVISION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cfbafc507bbe081efb2e2f502ebe97fbe386a45148ab7356cad450fbf1273cd8</t>
        </is>
      </c>
      <c r="BB214" s="24" t="inlineStr">
        <is>
          <t>neutral_elo</t>
        </is>
      </c>
      <c r="BC214" s="24" t="inlineStr">
        <is>
          <t>cs2-tiered-elo-v6</t>
        </is>
      </c>
      <c r="BD214" s="24" t="inlineStr">
        <is>
          <t>cfbafc507bbe081efb2e2f502ebe97fbe386a45148ab7356cad450fbf1273cd8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cs2-tiered-elo-v6</t>
        </is>
      </c>
      <c r="BH214" s="24" t="inlineStr">
        <is>
          <t>2026-08-13T17:16:41.335014Z</t>
        </is>
      </c>
      <c r="BI214" s="24" t="inlineStr">
        <is>
          <t>["same_event","same_team_same_day","same_league_same_day"]</t>
        </is>
      </c>
      <c r="BJ214" s="25" t="n"/>
      <c r="BK214" s="26" t="n">
        <v>-108</v>
      </c>
      <c r="BL214" s="27" t="n">
        <v>1.925926</v>
      </c>
      <c r="BM214" s="28" t="n">
        <v>0.519231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eb15317db9f344da</t>
        </is>
      </c>
      <c r="B215" s="24" t="inlineStr">
        <is>
          <t>2026-08-13T17:16:45.867517Z</t>
        </is>
      </c>
      <c r="C215" s="24" t="inlineStr">
        <is>
          <t>2026-08-14T17:00:00Z</t>
        </is>
      </c>
      <c r="D215" s="24" t="inlineStr">
        <is>
          <t>80281</t>
        </is>
      </c>
      <c r="E215" s="24" t="inlineStr">
        <is>
          <t>CS2</t>
        </is>
      </c>
      <c r="F215" s="24" t="inlineStr">
        <is>
          <t>Revise</t>
        </is>
      </c>
      <c r="G215" s="24" t="inlineStr">
        <is>
          <t xml:space="preserve"> Phantom Academy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-223</v>
      </c>
      <c r="M215" s="27" t="n">
        <v>1.44843</v>
      </c>
      <c r="N215" s="28" t="n">
        <v>0.690402</v>
      </c>
      <c r="O215" s="28" t="n">
        <v>0.5768489999999999</v>
      </c>
      <c r="P215" s="28" t="n"/>
      <c r="Q215" s="28" t="n">
        <v>-0.113553</v>
      </c>
      <c r="R215" s="26" t="n">
        <v>0</v>
      </c>
      <c r="S215" s="29" t="n">
        <v>1.25</v>
      </c>
      <c r="T215" s="24" t="inlineStr">
        <is>
          <t>cs2-tiered-elo-v6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Neutral Elo baseline; executable ask 0.6900 (market_slug=aec-cs2-phtmac-revi-2026-08-14).</t>
        </is>
      </c>
      <c r="AF215" s="31" t="inlineStr">
        <is>
          <t>Config-promoted esports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NO_CALL_MODEL_UNVALIDATED</t>
        </is>
      </c>
      <c r="AP215" s="24" t="inlineStr">
        <is>
          <t>Revise</t>
        </is>
      </c>
      <c r="AQ215" s="24" t="inlineStr">
        <is>
          <t>Revise</t>
        </is>
      </c>
      <c r="AR215" s="24" t="inlineStr">
        <is>
          <t>Revise</t>
        </is>
      </c>
      <c r="AS215" s="24" t="inlineStr">
        <is>
          <t xml:space="preserve"> Phantom Academy</t>
        </is>
      </c>
      <c r="AT215" s="24" t="inlineStr">
        <is>
          <t xml:space="preserve"> Phantom Academy</t>
        </is>
      </c>
      <c r="AU215" s="24" t="inlineStr">
        <is>
          <t xml:space="preserve"> Phantom Academy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cfbafc507bbe081efb2e2f502ebe97fbe386a45148ab7356cad450fbf1273cd8</t>
        </is>
      </c>
      <c r="BB215" s="24" t="inlineStr">
        <is>
          <t>neutral_elo</t>
        </is>
      </c>
      <c r="BC215" s="24" t="inlineStr">
        <is>
          <t>cs2-tiered-elo-v6</t>
        </is>
      </c>
      <c r="BD215" s="24" t="inlineStr">
        <is>
          <t>cfbafc507bbe081efb2e2f502ebe97fbe386a45148ab7356cad450fbf1273cd8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cs2-tiered-elo-v6</t>
        </is>
      </c>
      <c r="BH215" s="24" t="inlineStr">
        <is>
          <t>2026-08-13T17:16:41.926189Z</t>
        </is>
      </c>
      <c r="BI215" s="24" t="inlineStr">
        <is>
          <t>["same_event","same_team_same_day","same_league_same_day"]</t>
        </is>
      </c>
      <c r="BJ215" s="25" t="n"/>
      <c r="BK215" s="26" t="n">
        <v>-223</v>
      </c>
      <c r="BL215" s="27" t="n">
        <v>1.44843</v>
      </c>
      <c r="BM215" s="28" t="n">
        <v>0.690402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</row>
    <row r="216" ht="36" customHeight="1">
      <c r="A216" s="24" t="inlineStr">
        <is>
          <t>fb525545c8ec400b</t>
        </is>
      </c>
      <c r="B216" s="24" t="inlineStr">
        <is>
          <t>2026-08-13T17:16:45.867517Z</t>
        </is>
      </c>
      <c r="C216" s="24" t="inlineStr">
        <is>
          <t>2026-08-14T17:00:00Z</t>
        </is>
      </c>
      <c r="D216" s="24" t="inlineStr">
        <is>
          <t>78664</t>
        </is>
      </c>
      <c r="E216" s="24" t="inlineStr">
        <is>
          <t>CS2</t>
        </is>
      </c>
      <c r="F216" s="24" t="inlineStr">
        <is>
          <t>Noir Verse</t>
        </is>
      </c>
      <c r="G216" s="24" t="inlineStr">
        <is>
          <t>Honvéd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-108</v>
      </c>
      <c r="M216" s="27" t="n">
        <v>1.925926</v>
      </c>
      <c r="N216" s="28" t="n">
        <v>0.519231</v>
      </c>
      <c r="O216" s="28" t="n">
        <v>0.57918</v>
      </c>
      <c r="P216" s="28" t="n"/>
      <c r="Q216" s="28" t="n">
        <v>0.059949</v>
      </c>
      <c r="R216" s="26" t="n">
        <v>50</v>
      </c>
      <c r="S216" s="29" t="n">
        <v>1.25</v>
      </c>
      <c r="T216" s="24" t="inlineStr">
        <is>
          <t>cs2-tiered-elo-v6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Neutral Elo baseline; executable ask 0.5200 (market_slug=aec-cs2-hon-nvo-2026-08-14).</t>
        </is>
      </c>
      <c r="AF216" s="31" t="inlineStr">
        <is>
          <t>Config-promoted esports baseline; gates enforced at log time.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Noir Verse</t>
        </is>
      </c>
      <c r="AQ216" s="24" t="inlineStr">
        <is>
          <t>Noir Verse</t>
        </is>
      </c>
      <c r="AR216" s="24" t="inlineStr">
        <is>
          <t>Noir Verse</t>
        </is>
      </c>
      <c r="AS216" s="24" t="inlineStr">
        <is>
          <t>Honvéd</t>
        </is>
      </c>
      <c r="AT216" s="24" t="inlineStr">
        <is>
          <t>Honvéd</t>
        </is>
      </c>
      <c r="AU216" s="24" t="inlineStr">
        <is>
          <t>Honvéd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cfbafc507bbe081efb2e2f502ebe97fbe386a45148ab7356cad450fbf1273cd8</t>
        </is>
      </c>
      <c r="BB216" s="24" t="inlineStr">
        <is>
          <t>neutral_elo</t>
        </is>
      </c>
      <c r="BC216" s="24" t="inlineStr">
        <is>
          <t>cs2-tiered-elo-v6</t>
        </is>
      </c>
      <c r="BD216" s="24" t="inlineStr">
        <is>
          <t>cfbafc507bbe081efb2e2f502ebe97fbe386a45148ab7356cad450fbf1273cd8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cs2-tiered-elo-v6</t>
        </is>
      </c>
      <c r="BH216" s="24" t="inlineStr">
        <is>
          <t>2026-08-13T17:16:42.510641Z</t>
        </is>
      </c>
      <c r="BI216" s="24" t="inlineStr">
        <is>
          <t>["same_event","same_team_same_day","same_league_same_day"]</t>
        </is>
      </c>
      <c r="BJ216" s="25" t="n"/>
      <c r="BK216" s="26" t="n">
        <v>-108</v>
      </c>
      <c r="BL216" s="27" t="n">
        <v>1.925926</v>
      </c>
      <c r="BM216" s="28" t="n">
        <v>0.519231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fe9092f89e6f4e6f</t>
        </is>
      </c>
      <c r="B217" s="24" t="inlineStr">
        <is>
          <t>2026-08-13T17:16:45.867517Z</t>
        </is>
      </c>
      <c r="C217" s="24" t="inlineStr">
        <is>
          <t>2026-08-14T17:00:00Z</t>
        </is>
      </c>
      <c r="D217" s="24" t="inlineStr">
        <is>
          <t>78114</t>
        </is>
      </c>
      <c r="E217" s="24" t="inlineStr">
        <is>
          <t>CS2</t>
        </is>
      </c>
      <c r="F217" s="24" t="inlineStr">
        <is>
          <t>WBT</t>
        </is>
      </c>
      <c r="G217" s="24" t="inlineStr">
        <is>
          <t>Arch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-178</v>
      </c>
      <c r="M217" s="27" t="n">
        <v>1.561798</v>
      </c>
      <c r="N217" s="28" t="n">
        <v>0.640288</v>
      </c>
      <c r="O217" s="28" t="n">
        <v>0.553729</v>
      </c>
      <c r="P217" s="28" t="n"/>
      <c r="Q217" s="28" t="n">
        <v>-0.086559</v>
      </c>
      <c r="R217" s="26" t="n">
        <v>0</v>
      </c>
      <c r="S217" s="29" t="n">
        <v>1</v>
      </c>
      <c r="T217" s="24" t="inlineStr">
        <is>
          <t>cs2-tiered-elo-v6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Neutral Elo baseline; executable ask 0.6400 (market_slug=aec-cs2-arch-wba-2026-08-11).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NO_CALL_LOW_EDGE</t>
        </is>
      </c>
      <c r="AP217" s="24" t="inlineStr">
        <is>
          <t>WBT</t>
        </is>
      </c>
      <c r="AQ217" s="24" t="inlineStr">
        <is>
          <t>WBT</t>
        </is>
      </c>
      <c r="AR217" s="24" t="inlineStr">
        <is>
          <t>WBT</t>
        </is>
      </c>
      <c r="AS217" s="24" t="inlineStr">
        <is>
          <t>Arch</t>
        </is>
      </c>
      <c r="AT217" s="24" t="inlineStr">
        <is>
          <t>Arch</t>
        </is>
      </c>
      <c r="AU217" s="24" t="inlineStr">
        <is>
          <t>Arch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cfbafc507bbe081efb2e2f502ebe97fbe386a45148ab7356cad450fbf1273cd8</t>
        </is>
      </c>
      <c r="BB217" s="24" t="inlineStr">
        <is>
          <t>neutral_elo</t>
        </is>
      </c>
      <c r="BC217" s="24" t="inlineStr">
        <is>
          <t>cs2-tiered-elo-v6</t>
        </is>
      </c>
      <c r="BD217" s="24" t="inlineStr">
        <is>
          <t>cfbafc507bbe081efb2e2f502ebe97fbe386a45148ab7356cad450fbf1273cd8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cs2-tiered-elo-v6</t>
        </is>
      </c>
      <c r="BH217" s="24" t="inlineStr">
        <is>
          <t>2026-08-13T17:16:43.205687Z</t>
        </is>
      </c>
      <c r="BI217" s="24" t="inlineStr">
        <is>
          <t>["same_event","same_team_same_day","same_league_same_day"]</t>
        </is>
      </c>
      <c r="BJ217" s="25" t="n"/>
      <c r="BK217" s="26" t="n">
        <v>-178</v>
      </c>
      <c r="BL217" s="27" t="n">
        <v>1.561798</v>
      </c>
      <c r="BM217" s="28" t="n">
        <v>0.640288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</row>
    <row r="218" ht="36" customHeight="1">
      <c r="A218" s="24" t="inlineStr">
        <is>
          <t>c590c9e728f34b5d</t>
        </is>
      </c>
      <c r="B218" s="24" t="inlineStr">
        <is>
          <t>2026-08-13T17:16:45.867517Z</t>
        </is>
      </c>
      <c r="C218" s="24" t="inlineStr">
        <is>
          <t>2026-08-14T17:00:00Z</t>
        </is>
      </c>
      <c r="D218" s="24" t="inlineStr">
        <is>
          <t>80215</t>
        </is>
      </c>
      <c r="E218" s="24" t="inlineStr">
        <is>
          <t>CS2</t>
        </is>
      </c>
      <c r="F218" s="24" t="inlineStr">
        <is>
          <t>Lynn Vision</t>
        </is>
      </c>
      <c r="G218" s="24" t="inlineStr">
        <is>
          <t>TYLOO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-156</v>
      </c>
      <c r="M218" s="27" t="n">
        <v>1.641026</v>
      </c>
      <c r="N218" s="28" t="n">
        <v>0.609375</v>
      </c>
      <c r="O218" s="28" t="n">
        <v>0.613048</v>
      </c>
      <c r="P218" s="28" t="n"/>
      <c r="Q218" s="28" t="n">
        <v>0.003673</v>
      </c>
      <c r="R218" s="26" t="n">
        <v>22</v>
      </c>
      <c r="S218" s="29" t="n">
        <v>1.5</v>
      </c>
      <c r="T218" s="24" t="inlineStr">
        <is>
          <t>cs2-tiered-elo-v6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Neutral Elo baseline; executable ask 0.6100 (market_slug=aec-cs2-tyloo-lvg-2026-08-14).</t>
        </is>
      </c>
      <c r="AF218" s="31" t="inlineStr">
        <is>
          <t>Config-promoted esports baseline; gates enforced at log time.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NO_CALL_LOW_EDGE</t>
        </is>
      </c>
      <c r="AP218" s="24" t="inlineStr">
        <is>
          <t>Lynn Vision</t>
        </is>
      </c>
      <c r="AQ218" s="24" t="inlineStr">
        <is>
          <t>Lynn Vision</t>
        </is>
      </c>
      <c r="AR218" s="24" t="inlineStr">
        <is>
          <t>Lynn Vision</t>
        </is>
      </c>
      <c r="AS218" s="24" t="inlineStr">
        <is>
          <t>TYLOO</t>
        </is>
      </c>
      <c r="AT218" s="24" t="inlineStr">
        <is>
          <t>TYLOO</t>
        </is>
      </c>
      <c r="AU218" s="24" t="inlineStr">
        <is>
          <t>TYLOO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cfbafc507bbe081efb2e2f502ebe97fbe386a45148ab7356cad450fbf1273cd8</t>
        </is>
      </c>
      <c r="BB218" s="24" t="inlineStr">
        <is>
          <t>neutral_elo</t>
        </is>
      </c>
      <c r="BC218" s="24" t="inlineStr">
        <is>
          <t>cs2-tiered-elo-v6</t>
        </is>
      </c>
      <c r="BD218" s="24" t="inlineStr">
        <is>
          <t>cfbafc507bbe081efb2e2f502ebe97fbe386a45148ab7356cad450fbf1273cd8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cs2-tiered-elo-v6</t>
        </is>
      </c>
      <c r="BH218" s="24" t="inlineStr">
        <is>
          <t>2026-08-13T17:16:43.730797Z</t>
        </is>
      </c>
      <c r="BI218" s="24" t="inlineStr">
        <is>
          <t>["same_event","same_team_same_day","same_league_same_day"]</t>
        </is>
      </c>
      <c r="BJ218" s="25" t="n"/>
      <c r="BK218" s="26" t="n">
        <v>-156</v>
      </c>
      <c r="BL218" s="27" t="n">
        <v>1.641026</v>
      </c>
      <c r="BM218" s="28" t="n">
        <v>0.609375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2026-08-13T17:17:17Z</dcterms:created>
  <dcterms:modified xmlns:dcterms="http://purl.org/dc/terms/" xmlns:xsi="http://www.w3.org/2001/XMLSchema-instance" xsi:type="dcterms:W3CDTF">2026-08-13T17:17:17Z</dcterms:modified>
</cp:coreProperties>
</file>