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51" headerRowCount="1">
  <autoFilter ref="A1:CS15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COUNTA('Picks'!$A$2:$A$151)</f>
        <v/>
      </c>
      <c r="C4" s="6">
        <f>COUNTIF('Picks'!$U$2:$U$151,"open")</f>
        <v/>
      </c>
      <c r="E4" s="6">
        <f>COUNTIF('Picks'!$U$2:$U$151,"settled")</f>
        <v/>
      </c>
      <c r="G4" s="6">
        <f>IF(COUNTIFS('Picks'!$U$2:$U$151,"settled",'Picks'!$V$2:$V$151,"win")+COUNTIFS('Picks'!$U$2:$U$151,"settled",'Picks'!$V$2:$V$151,"loss")&gt;=$L$2,"Ready","Insufficient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COUNTIF('Picks'!$BX$2:$BX$151,"&gt;0")</f>
        <v/>
      </c>
      <c r="C7" s="6">
        <f>COUNTIFS('Picks'!$BX$2:$BX$151,"&gt;0",'Picks'!$V$2:$V$151,"win")&amp;"-"&amp;COUNTIFS('Picks'!$BX$2:$BX$151,"&gt;0",'Picks'!$V$2:$V$151,"loss")</f>
        <v/>
      </c>
      <c r="E7" s="7">
        <f>IFERROR(COUNTIFS('Picks'!$BX$2:$BX$151,"&gt;0",'Picks'!$V$2:$V$151,"win")/(COUNTIFS('Picks'!$BX$2:$BX$151,"&gt;0",'Picks'!$V$2:$V$151,"win")+COUNTIFS('Picks'!$BX$2:$BX$151,"&gt;0",'Picks'!$V$2:$V$151,"loss")),0)</f>
        <v/>
      </c>
      <c r="G7" s="7">
        <f>IFERROR(SUM('Picks'!$BY$2:$BY$151)/SUM('Picks'!$BX$2:$BX$151),0)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SUM('Picks'!$BY$2:$BY$151)</f>
        <v/>
      </c>
      <c r="C10" s="9">
        <f>IFERROR(AVERAGEIF('Picks'!$AB$2:$AB$151,"&lt;&gt;",'Picks'!$AB$2:$AB$151),0)</f>
        <v/>
      </c>
      <c r="E10" s="6">
        <f>COUNTIFS('Picks'!$AM$2:$AM$151,"QUALIFIED_SHADOW_CALL",'Picks'!$U$2:$U$151,"settled")</f>
        <v/>
      </c>
      <c r="G10" s="8">
        <f>SUMIFS('Picks'!$AC$2:$AC$151,'Picks'!$AM$2:$AM$151,"QUALIFIED_SHADOW_CALL")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COUNTIFS('Picks'!$H$2:$H$151,$A14,'Picks'!$U$2:$U$151,"settled")</f>
        <v/>
      </c>
      <c r="C14" s="13">
        <f>COUNTIFS('Picks'!$H$2:$H$151,$A14,'Picks'!$U$2:$U$151,"settled",'Picks'!$V$2:$V$151,"win")</f>
        <v/>
      </c>
      <c r="D14" s="13">
        <f>COUNTIFS('Picks'!$H$2:$H$151,$A14,'Picks'!$U$2:$U$151,"settled",'Picks'!$V$2:$V$151,"loss")</f>
        <v/>
      </c>
      <c r="E14" s="14">
        <f>IFERROR(C14/(C14+D14),0)</f>
        <v/>
      </c>
      <c r="F14" s="15">
        <f>SUMIFS('Picks'!$BY$2:$BY$151,'Picks'!$H$2:$H$151,$A14)</f>
        <v/>
      </c>
      <c r="G14" s="16">
        <f>IFERROR(AVERAGEIFS('Picks'!$AB$2:$AB$151,'Picks'!$H$2:$H$151,$A14,'Picks'!$U$2:$U$151,"settled"),0)</f>
        <v/>
      </c>
    </row>
    <row r="15">
      <c r="A15" s="17" t="inlineStr">
        <is>
          <t>spread</t>
        </is>
      </c>
      <c r="B15" s="18">
        <f>COUNTIFS('Picks'!$H$2:$H$151,$A15,'Picks'!$U$2:$U$151,"settled")</f>
        <v/>
      </c>
      <c r="C15" s="18">
        <f>COUNTIFS('Picks'!$H$2:$H$151,$A15,'Picks'!$U$2:$U$151,"settled",'Picks'!$V$2:$V$151,"win")</f>
        <v/>
      </c>
      <c r="D15" s="18">
        <f>COUNTIFS('Picks'!$H$2:$H$151,$A15,'Picks'!$U$2:$U$151,"settled",'Picks'!$V$2:$V$151,"loss")</f>
        <v/>
      </c>
      <c r="E15" s="19">
        <f>IFERROR(C15/(C15+D15),0)</f>
        <v/>
      </c>
      <c r="F15" s="20">
        <f>SUMIFS('Picks'!$BY$2:$BY$151,'Picks'!$H$2:$H$151,$A15)</f>
        <v/>
      </c>
      <c r="G15" s="21">
        <f>IFERROR(AVERAGEIFS('Picks'!$AB$2:$AB$151,'Picks'!$H$2:$H$151,$A15,'Picks'!$U$2:$U$151,"settled"),0)</f>
        <v/>
      </c>
    </row>
    <row r="16">
      <c r="A16" s="12" t="inlineStr">
        <is>
          <t>total</t>
        </is>
      </c>
      <c r="B16" s="13">
        <f>COUNTIFS('Picks'!$H$2:$H$151,$A16,'Picks'!$U$2:$U$151,"settled")</f>
        <v/>
      </c>
      <c r="C16" s="13">
        <f>COUNTIFS('Picks'!$H$2:$H$151,$A16,'Picks'!$U$2:$U$151,"settled",'Picks'!$V$2:$V$151,"win")</f>
        <v/>
      </c>
      <c r="D16" s="13">
        <f>COUNTIFS('Picks'!$H$2:$H$151,$A16,'Picks'!$U$2:$U$151,"settled",'Picks'!$V$2:$V$151,"loss")</f>
        <v/>
      </c>
      <c r="E16" s="14">
        <f>IFERROR(C16/(C16+D16),0)</f>
        <v/>
      </c>
      <c r="F16" s="15">
        <f>SUMIFS('Picks'!$BY$2:$BY$151,'Picks'!$H$2:$H$151,$A16)</f>
        <v/>
      </c>
      <c r="G16" s="16">
        <f>IFERROR(AVERAGEIFS('Picks'!$AB$2:$AB$151,'Picks'!$H$2:$H$151,$A16,'Picks'!$U$2:$U$151,"settled"),0)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-156</v>
      </c>
      <c r="AA80" s="28" t="n">
        <v>0.61</v>
      </c>
      <c r="AB80" s="28" t="n">
        <v>0.000625</v>
      </c>
      <c r="AC80" s="30" t="n">
        <v>0.8013</v>
      </c>
      <c r="AD80" s="24" t="inlineStr">
        <is>
          <t>2026-08-06T18:54:22.566929Z</t>
        </is>
      </c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>
        <v>1.641026</v>
      </c>
      <c r="BR80" s="28" t="n">
        <v>0.61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-138</v>
      </c>
      <c r="AA83" s="28" t="n">
        <v>0.58</v>
      </c>
      <c r="AB83" s="28" t="n">
        <v>0.000168</v>
      </c>
      <c r="AC83" s="30" t="n">
        <v>0.9058</v>
      </c>
      <c r="AD83" s="24" t="inlineStr">
        <is>
          <t>2026-08-06T18:54:25.191426Z</t>
        </is>
      </c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>
        <v>1.724638</v>
      </c>
      <c r="BR83" s="28" t="n">
        <v>0.58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0.7511</v>
      </c>
      <c r="AD87" s="24" t="inlineStr">
        <is>
          <t>2026-08-05T20:58:35.152368Z</t>
        </is>
      </c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-113</v>
      </c>
      <c r="AA88" s="28" t="n">
        <v>0.53</v>
      </c>
      <c r="AB88" s="28" t="n">
        <v>-0.000516</v>
      </c>
      <c r="AC88" s="30" t="n">
        <v>-1</v>
      </c>
      <c r="AD88" s="24" t="inlineStr">
        <is>
          <t>2026-08-05T13:50:23.582749Z</t>
        </is>
      </c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>
        <v>1.884956</v>
      </c>
      <c r="BR88" s="28" t="n">
        <v>0.53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133</v>
      </c>
      <c r="AA89" s="28" t="n">
        <v>0.43</v>
      </c>
      <c r="AB89" s="28" t="n">
        <v>0.000815</v>
      </c>
      <c r="AC89" s="30" t="n">
        <v>-1</v>
      </c>
      <c r="AD89" s="24" t="inlineStr">
        <is>
          <t>2026-08-05T13:50:25.982959Z</t>
        </is>
      </c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>
        <v>2.33</v>
      </c>
      <c r="BR89" s="28" t="n">
        <v>0.43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156</v>
      </c>
      <c r="AA90" s="28" t="n">
        <v>0.39</v>
      </c>
      <c r="AB90" s="28" t="n">
        <v>-0.000625</v>
      </c>
      <c r="AC90" s="30" t="n">
        <v>-1</v>
      </c>
      <c r="AD90" s="24" t="inlineStr">
        <is>
          <t>2026-08-05T13:50:28.406737Z</t>
        </is>
      </c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>
        <v>2.56</v>
      </c>
      <c r="BR90" s="28" t="n">
        <v>0.39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a1c5f3dbc207489d</t>
        </is>
      </c>
      <c r="B91" s="24" t="inlineStr">
        <is>
          <t>2026-08-05T10:47:03.473375Z</t>
        </is>
      </c>
      <c r="C91" s="24" t="inlineStr">
        <is>
          <t>2026-08-05T11:00:00Z</t>
        </is>
      </c>
      <c r="D91" s="24" t="inlineStr">
        <is>
          <t>69554</t>
        </is>
      </c>
      <c r="E91" s="24" t="inlineStr">
        <is>
          <t>CS2</t>
        </is>
      </c>
      <c r="F91" s="24" t="inlineStr">
        <is>
          <t>eSuba</t>
        </is>
      </c>
      <c r="G91" s="24" t="inlineStr">
        <is>
          <t>GamersLab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0.601544</v>
      </c>
      <c r="P91" s="28" t="n"/>
      <c r="Q91" s="28" t="n">
        <v>-0.028086</v>
      </c>
      <c r="R91" s="26" t="n">
        <v>6</v>
      </c>
      <c r="S91" s="29" t="n">
        <v>1.25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0.7353</v>
      </c>
      <c r="AD91" s="24" t="inlineStr">
        <is>
          <t>2026-08-05T16:59:51.149134Z</t>
        </is>
      </c>
      <c r="AE91" s="31" t="inlineStr">
        <is>
          <t>Neutral Elo baseline; executable ask 0.6300 (market_slug=aec-cs2-gea-esb-2026-08-05).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eSuba</t>
        </is>
      </c>
      <c r="AQ91" s="24" t="inlineStr">
        <is>
          <t>eSuba</t>
        </is>
      </c>
      <c r="AR91" s="24" t="inlineStr">
        <is>
          <t>eSuba</t>
        </is>
      </c>
      <c r="AS91" s="24" t="inlineStr">
        <is>
          <t>GamersLab Esports</t>
        </is>
      </c>
      <c r="AT91" s="24" t="inlineStr">
        <is>
          <t>GamersLab Esports</t>
        </is>
      </c>
      <c r="AU91" s="24" t="inlineStr">
        <is>
          <t>GamersLab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5ed7c189c90211b472ec0214d2b7901a8b9cb103b2be3f5519c68e215b46057f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5ed7c189c90211b472ec0214d2b7901a8b9cb103b2be3f5519c68e215b46057f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2026-08-05T10:46:28.177264Z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322751de9d4447e1</t>
        </is>
      </c>
      <c r="B92" s="24" t="inlineStr">
        <is>
          <t>2026-08-05T10:47:03.473375Z</t>
        </is>
      </c>
      <c r="C92" s="24" t="inlineStr">
        <is>
          <t>2026-08-05T11:00:00Z</t>
        </is>
      </c>
      <c r="D92" s="24" t="inlineStr">
        <is>
          <t>72486</t>
        </is>
      </c>
      <c r="E92" s="24" t="inlineStr">
        <is>
          <t>CS2</t>
        </is>
      </c>
      <c r="F92" s="24" t="inlineStr">
        <is>
          <t>Rune Eaters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0.545533</v>
      </c>
      <c r="P92" s="28" t="n"/>
      <c r="Q92" s="28" t="n">
        <v>-0.034299</v>
      </c>
      <c r="R92" s="26" t="n">
        <v>3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-138</v>
      </c>
      <c r="AA92" s="28" t="n">
        <v>0.58</v>
      </c>
      <c r="AB92" s="28" t="n">
        <v>0.000168</v>
      </c>
      <c r="AC92" s="30" t="n">
        <v>0.7246</v>
      </c>
      <c r="AD92" s="24" t="inlineStr">
        <is>
          <t>2026-08-05T13:50:31.884244Z</t>
        </is>
      </c>
      <c r="AE92" s="31" t="inlineStr">
        <is>
          <t>Neutral Elo baseline; executable ask 0.5800 (market_slug=aec-cs2-btf-re-2026-08-05).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Rune Eaters</t>
        </is>
      </c>
      <c r="AQ92" s="24" t="inlineStr">
        <is>
          <t>Rune Eaters</t>
        </is>
      </c>
      <c r="AR92" s="24" t="inlineStr">
        <is>
          <t>Rune Eaters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5ed7c189c90211b472ec0214d2b7901a8b9cb103b2be3f5519c68e215b46057f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5ed7c189c90211b472ec0214d2b7901a8b9cb103b2be3f5519c68e215b46057f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2026-08-05T10:46:28.788366Z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1.724638</v>
      </c>
      <c r="BR92" s="28" t="n">
        <v>0.58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e881091349344cd7</t>
        </is>
      </c>
      <c r="B93" s="24" t="inlineStr">
        <is>
          <t>2026-08-05T10:47:03.473375Z</t>
        </is>
      </c>
      <c r="C93" s="24" t="inlineStr">
        <is>
          <t>2026-08-05T11:00:00Z</t>
        </is>
      </c>
      <c r="D93" s="24" t="inlineStr">
        <is>
          <t>71199</t>
        </is>
      </c>
      <c r="E93" s="24" t="inlineStr">
        <is>
          <t>CS2</t>
        </is>
      </c>
      <c r="F93" s="24" t="inlineStr">
        <is>
          <t>ex-RUSTEC</t>
        </is>
      </c>
      <c r="G93" s="24" t="inlineStr">
        <is>
          <t>Butterfly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122</v>
      </c>
      <c r="M93" s="27" t="n">
        <v>2.22</v>
      </c>
      <c r="N93" s="28" t="n">
        <v>0.45045</v>
      </c>
      <c r="O93" s="28" t="n">
        <v>0.521475</v>
      </c>
      <c r="P93" s="28" t="n"/>
      <c r="Q93" s="28" t="n">
        <v>0.071025</v>
      </c>
      <c r="R93" s="26" t="n">
        <v>56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0</v>
      </c>
      <c r="X93" s="26" t="n">
        <v>1</v>
      </c>
      <c r="Y93" s="25" t="n"/>
      <c r="Z93" s="26" t="n">
        <v>122</v>
      </c>
      <c r="AA93" s="28" t="n">
        <v>0.45</v>
      </c>
      <c r="AB93" s="28" t="n">
        <v>-0.00045</v>
      </c>
      <c r="AC93" s="30" t="n">
        <v>-1</v>
      </c>
      <c r="AD93" s="24" t="inlineStr">
        <is>
          <t>2026-08-06T00:20:54.582403Z</t>
        </is>
      </c>
      <c r="AE93" s="31" t="inlineStr">
        <is>
          <t>Neutral Elo baseline; executable ask 0.4500 (market_slug=aec-cs2-btf-erx-2026-08-05).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ex-RUSTEC</t>
        </is>
      </c>
      <c r="AQ93" s="24" t="inlineStr">
        <is>
          <t>ex-RUSTEC</t>
        </is>
      </c>
      <c r="AR93" s="24" t="inlineStr">
        <is>
          <t>ex-RUSTEC</t>
        </is>
      </c>
      <c r="AS93" s="24" t="inlineStr">
        <is>
          <t>Butterfly</t>
        </is>
      </c>
      <c r="AT93" s="24" t="inlineStr">
        <is>
          <t>Butterfly</t>
        </is>
      </c>
      <c r="AU93" s="24" t="inlineStr">
        <is>
          <t>Butterfly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5ed7c189c90211b472ec0214d2b7901a8b9cb103b2be3f5519c68e215b46057f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5ed7c189c90211b472ec0214d2b7901a8b9cb103b2be3f5519c68e215b46057f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2026-08-05T10:46:29.302001Z</t>
        </is>
      </c>
      <c r="BI93" s="24" t="inlineStr">
        <is>
          <t>["same_event","same_team_same_day","same_league_same_day"]</t>
        </is>
      </c>
      <c r="BJ93" s="25" t="n"/>
      <c r="BK93" s="26" t="n">
        <v>122</v>
      </c>
      <c r="BL93" s="27" t="n">
        <v>2.22</v>
      </c>
      <c r="BM93" s="28" t="n">
        <v>0.45045</v>
      </c>
      <c r="BN93" s="28" t="n"/>
      <c r="BO93" s="28" t="n"/>
      <c r="BP93" s="25" t="n"/>
      <c r="BQ93" s="27" t="n">
        <v>2.22</v>
      </c>
      <c r="BR93" s="28" t="n">
        <v>0.45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193c1e08ce064b05</t>
        </is>
      </c>
      <c r="B94" s="24" t="inlineStr">
        <is>
          <t>2026-08-05T10:47:03.473375Z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0.529077</v>
      </c>
      <c r="P94" s="28" t="n"/>
      <c r="Q94" s="28" t="n">
        <v>0.188941</v>
      </c>
      <c r="R94" s="26" t="n">
        <v>100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-104</v>
      </c>
      <c r="AA94" s="28" t="n">
        <v>0.51</v>
      </c>
      <c r="AB94" s="28" t="n">
        <v>0.169864</v>
      </c>
      <c r="AC94" s="30" t="n">
        <v>-1</v>
      </c>
      <c r="AD94" s="24" t="inlineStr">
        <is>
          <t>2026-08-05T13:50:35.412528Z</t>
        </is>
      </c>
      <c r="AE94" s="31" t="inlineStr">
        <is>
          <t>Neutral Elo baseline; executable ask 0.3400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5ed7c189c90211b472ec0214d2b7901a8b9cb103b2be3f5519c68e215b46057f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5ed7c189c90211b472ec0214d2b7901a8b9cb103b2be3f5519c68e215b46057f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2026-08-05T10:46:30.502188Z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1.961538</v>
      </c>
      <c r="BR94" s="28" t="n">
        <v>0.51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8c0b7af9667a48e5</t>
        </is>
      </c>
      <c r="B95" s="24" t="inlineStr">
        <is>
          <t>2026-08-05T10:47:03.473375Z</t>
        </is>
      </c>
      <c r="C95" s="24" t="inlineStr">
        <is>
          <t>2026-08-05T11:00:00Z</t>
        </is>
      </c>
      <c r="D95" s="24" t="inlineStr">
        <is>
          <t>69555</t>
        </is>
      </c>
      <c r="E95" s="24" t="inlineStr">
        <is>
          <t>CS2</t>
        </is>
      </c>
      <c r="F95" s="24" t="inlineStr">
        <is>
          <t>PCH3LK1N Club</t>
        </is>
      </c>
      <c r="G95" s="24" t="inlineStr">
        <is>
          <t>Lixxx Club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0.515116</v>
      </c>
      <c r="P95" s="28" t="n"/>
      <c r="Q95" s="28" t="n">
        <v>-0.104656</v>
      </c>
      <c r="R95" s="26" t="n">
        <v>0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-163</v>
      </c>
      <c r="AA95" s="28" t="n">
        <v>0.62</v>
      </c>
      <c r="AB95" s="28" t="n">
        <v>0.000228</v>
      </c>
      <c r="AC95" s="30" t="n">
        <v>0.6135</v>
      </c>
      <c r="AD95" s="24" t="inlineStr">
        <is>
          <t>2026-08-05T13:50:37.712767Z</t>
        </is>
      </c>
      <c r="AE95" s="31" t="inlineStr">
        <is>
          <t>Neutral Elo baseline; executable ask 0.6200 (market_slug=aec-cs2-lci-plnc-2026-08-05).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PCH3LK1N Club</t>
        </is>
      </c>
      <c r="AQ95" s="24" t="inlineStr">
        <is>
          <t>PCH3LK1N Club</t>
        </is>
      </c>
      <c r="AR95" s="24" t="inlineStr">
        <is>
          <t>PCH3LK1N Club</t>
        </is>
      </c>
      <c r="AS95" s="24" t="inlineStr">
        <is>
          <t>Lixxx Club</t>
        </is>
      </c>
      <c r="AT95" s="24" t="inlineStr">
        <is>
          <t>Lixxx Club</t>
        </is>
      </c>
      <c r="AU95" s="24" t="inlineStr">
        <is>
          <t>Lixxx Club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5ed7c189c90211b472ec0214d2b7901a8b9cb103b2be3f5519c68e215b46057f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5ed7c189c90211b472ec0214d2b7901a8b9cb103b2be3f5519c68e215b46057f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2026-08-05T10:46:31.991229Z</t>
        </is>
      </c>
      <c r="BI95" s="24" t="inlineStr">
        <is>
          <t>["same_event","same_team_same_day","same_league_same_day"]</t>
        </is>
      </c>
      <c r="BJ95" s="25" t="n"/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>
        <v>1.613497</v>
      </c>
      <c r="BR95" s="28" t="n">
        <v>0.62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765eac422c0740c0</t>
        </is>
      </c>
      <c r="B96" s="24" t="inlineStr">
        <is>
          <t>2026-08-05T10:47:03.473375Z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0.552515</v>
      </c>
      <c r="P96" s="28" t="n"/>
      <c r="Q96" s="28" t="n">
        <v>-0.107349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-194</v>
      </c>
      <c r="AA96" s="28" t="n">
        <v>0.66</v>
      </c>
      <c r="AB96" s="28" t="n">
        <v>0.000136</v>
      </c>
      <c r="AC96" s="30" t="n">
        <v>0.5155</v>
      </c>
      <c r="AD96" s="24" t="inlineStr">
        <is>
          <t>2026-08-05T16:59:54.042841Z</t>
        </is>
      </c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5ed7c189c90211b472ec0214d2b7901a8b9cb103b2be3f5519c68e215b46057f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5ed7c189c90211b472ec0214d2b7901a8b9cb103b2be3f5519c68e215b46057f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2026-08-05T10:46:32.599387Z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>
        <v>1.515464</v>
      </c>
      <c r="BR96" s="28" t="n">
        <v>0.66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38edc39025d94d15</t>
        </is>
      </c>
      <c r="B97" s="24" t="inlineStr">
        <is>
          <t>2026-08-05T10:47:03.473375Z</t>
        </is>
      </c>
      <c r="C97" s="24" t="inlineStr">
        <is>
          <t>2026-08-05T13:45:00Z</t>
        </is>
      </c>
      <c r="D97" s="24" t="inlineStr">
        <is>
          <t>69615</t>
        </is>
      </c>
      <c r="E97" s="24" t="inlineStr">
        <is>
          <t>CS2</t>
        </is>
      </c>
      <c r="F97" s="24" t="inlineStr">
        <is>
          <t>shoke Club</t>
        </is>
      </c>
      <c r="G97" s="24" t="inlineStr">
        <is>
          <t>Lixxx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138</v>
      </c>
      <c r="M97" s="27" t="n">
        <v>2.38</v>
      </c>
      <c r="N97" s="28" t="n">
        <v>0.420168</v>
      </c>
      <c r="O97" s="28" t="n">
        <v>0.515116</v>
      </c>
      <c r="P97" s="28" t="n"/>
      <c r="Q97" s="28" t="n">
        <v>0.094948</v>
      </c>
      <c r="R97" s="26" t="n">
        <v>67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138</v>
      </c>
      <c r="AA97" s="28" t="n">
        <v>0.42</v>
      </c>
      <c r="AB97" s="28" t="n">
        <v>-0.000168</v>
      </c>
      <c r="AC97" s="30" t="n">
        <v>-1</v>
      </c>
      <c r="AD97" s="24" t="inlineStr">
        <is>
          <t>2026-08-05T16:59:55.863506Z</t>
        </is>
      </c>
      <c r="AE97" s="31" t="inlineStr">
        <is>
          <t>Neutral Elo baseline; executable ask 0.4200 (market_slug=aec-cs2-lci-sch-2026-08-05).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shoke Club</t>
        </is>
      </c>
      <c r="AQ97" s="24" t="inlineStr">
        <is>
          <t>shoke Club</t>
        </is>
      </c>
      <c r="AR97" s="24" t="inlineStr">
        <is>
          <t>shoke Club</t>
        </is>
      </c>
      <c r="AS97" s="24" t="inlineStr">
        <is>
          <t>Lixxx Club</t>
        </is>
      </c>
      <c r="AT97" s="24" t="inlineStr">
        <is>
          <t>Lixxx Club</t>
        </is>
      </c>
      <c r="AU97" s="24" t="inlineStr">
        <is>
          <t>Lixxx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5ed7c189c90211b472ec0214d2b7901a8b9cb103b2be3f5519c68e215b46057f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5ed7c189c90211b472ec0214d2b7901a8b9cb103b2be3f5519c68e215b46057f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2026-08-05T10:46:33.195221Z</t>
        </is>
      </c>
      <c r="BI97" s="24" t="inlineStr">
        <is>
          <t>["same_event","same_team_same_day","same_league_same_day"]</t>
        </is>
      </c>
      <c r="BJ97" s="25" t="n"/>
      <c r="BK97" s="26" t="n">
        <v>138</v>
      </c>
      <c r="BL97" s="27" t="n">
        <v>2.38</v>
      </c>
      <c r="BM97" s="28" t="n">
        <v>0.420168</v>
      </c>
      <c r="BN97" s="28" t="n"/>
      <c r="BO97" s="28" t="n"/>
      <c r="BP97" s="25" t="n"/>
      <c r="BQ97" s="27" t="n">
        <v>2.38</v>
      </c>
      <c r="BR97" s="28" t="n">
        <v>0.42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7af625b93ed44c22</t>
        </is>
      </c>
      <c r="B98" s="24" t="inlineStr">
        <is>
          <t>2026-08-05T10:47:03.473375Z</t>
        </is>
      </c>
      <c r="C98" s="24" t="inlineStr">
        <is>
          <t>2026-08-05T13:45:00Z</t>
        </is>
      </c>
      <c r="D98" s="24" t="inlineStr">
        <is>
          <t>69614</t>
        </is>
      </c>
      <c r="E98" s="24" t="inlineStr">
        <is>
          <t>CS2</t>
        </is>
      </c>
      <c r="F98" s="24" t="inlineStr">
        <is>
          <t>WorldEdit Club</t>
        </is>
      </c>
      <c r="G98" s="24" t="inlineStr">
        <is>
          <t>SNAILKICK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203</v>
      </c>
      <c r="M98" s="27" t="n">
        <v>3.03</v>
      </c>
      <c r="N98" s="28" t="n">
        <v>0.330033</v>
      </c>
      <c r="O98" s="28" t="n">
        <v>0.515116</v>
      </c>
      <c r="P98" s="28" t="n"/>
      <c r="Q98" s="28" t="n">
        <v>0.185083</v>
      </c>
      <c r="R98" s="26" t="n">
        <v>100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203</v>
      </c>
      <c r="AA98" s="28" t="n">
        <v>0.33</v>
      </c>
      <c r="AB98" s="28" t="n">
        <v>-3.3e-05</v>
      </c>
      <c r="AC98" s="30" t="n">
        <v>2.03</v>
      </c>
      <c r="AD98" s="24" t="inlineStr">
        <is>
          <t>2026-08-06T18:54:27.910276Z</t>
        </is>
      </c>
      <c r="AE98" s="31" t="inlineStr">
        <is>
          <t>Neutral Elo baseline; executable ask 0.3300 (market_slug=aec-cs2-scn-wco-2026-08-05).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WorldEdit Club</t>
        </is>
      </c>
      <c r="AQ98" s="24" t="inlineStr">
        <is>
          <t>WorldEdit Club</t>
        </is>
      </c>
      <c r="AR98" s="24" t="inlineStr">
        <is>
          <t>WorldEdit Club</t>
        </is>
      </c>
      <c r="AS98" s="24" t="inlineStr">
        <is>
          <t>SNAILKICK Club</t>
        </is>
      </c>
      <c r="AT98" s="24" t="inlineStr">
        <is>
          <t>SNAILKICK Club</t>
        </is>
      </c>
      <c r="AU98" s="24" t="inlineStr">
        <is>
          <t>SNAILKICK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5ed7c189c90211b472ec0214d2b7901a8b9cb103b2be3f5519c68e215b46057f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5ed7c189c90211b472ec0214d2b7901a8b9cb103b2be3f5519c68e215b46057f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2026-08-05T10:46:33.954307Z</t>
        </is>
      </c>
      <c r="BI98" s="24" t="inlineStr">
        <is>
          <t>["same_event","same_team_same_day","same_league_same_day"]</t>
        </is>
      </c>
      <c r="BJ98" s="25" t="n"/>
      <c r="BK98" s="26" t="n">
        <v>203</v>
      </c>
      <c r="BL98" s="27" t="n">
        <v>3.03</v>
      </c>
      <c r="BM98" s="28" t="n">
        <v>0.330033</v>
      </c>
      <c r="BN98" s="28" t="n"/>
      <c r="BO98" s="28" t="n"/>
      <c r="BP98" s="25" t="n"/>
      <c r="BQ98" s="27" t="n">
        <v>3.03</v>
      </c>
      <c r="BR98" s="28" t="n">
        <v>0.33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341ba464029848c6</t>
        </is>
      </c>
      <c r="B99" s="24" t="inlineStr">
        <is>
          <t>2026-08-05T13:56:36.539226Z</t>
        </is>
      </c>
      <c r="C99" s="24" t="inlineStr">
        <is>
          <t>2026-08-05T14:00:00Z</t>
        </is>
      </c>
      <c r="D99" s="24" t="inlineStr">
        <is>
          <t>69616</t>
        </is>
      </c>
      <c r="E99" s="24" t="inlineStr">
        <is>
          <t>CS2</t>
        </is>
      </c>
      <c r="F99" s="24" t="inlineStr">
        <is>
          <t>eSuba</t>
        </is>
      </c>
      <c r="G99" s="24" t="inlineStr">
        <is>
          <t>JAM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0.522299</v>
      </c>
      <c r="P99" s="28" t="n"/>
      <c r="Q99" s="28" t="n">
        <v>0.162587</v>
      </c>
      <c r="R99" s="26" t="n">
        <v>100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/>
      <c r="Z99" s="26" t="n">
        <v>178</v>
      </c>
      <c r="AA99" s="28" t="n">
        <v>0.36</v>
      </c>
      <c r="AB99" s="28" t="n">
        <v>0.000288</v>
      </c>
      <c r="AC99" s="30" t="n">
        <v>-1</v>
      </c>
      <c r="AD99" s="24" t="inlineStr">
        <is>
          <t>2026-08-05T16:59:58.766587Z</t>
        </is>
      </c>
      <c r="AE99" s="31" t="inlineStr">
        <is>
          <t>Neutral Elo baseline; executable ask 0.3600 (market_slug=aec-cs2-jam-esb-2026-08-05).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eSuba</t>
        </is>
      </c>
      <c r="AQ99" s="24" t="inlineStr">
        <is>
          <t>eSuba</t>
        </is>
      </c>
      <c r="AR99" s="24" t="inlineStr">
        <is>
          <t>eSuba</t>
        </is>
      </c>
      <c r="AS99" s="24" t="inlineStr">
        <is>
          <t>JAM</t>
        </is>
      </c>
      <c r="AT99" s="24" t="inlineStr">
        <is>
          <t>JAM</t>
        </is>
      </c>
      <c r="AU99" s="24" t="inlineStr">
        <is>
          <t>JAM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95ef3685860928d3c12125a00cdf074ac4e628138aac112a58082f0ead77ffde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95ef3685860928d3c12125a00cdf074ac4e628138aac112a58082f0ead77ffde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2026-08-05T13:56:10.001216Z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>
        <v>2.78</v>
      </c>
      <c r="BR99" s="28" t="n">
        <v>0.36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e72b5a0d4d164dd0</t>
        </is>
      </c>
      <c r="B100" s="24" t="inlineStr">
        <is>
          <t>2026-08-05T13:56:36.539226Z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0.687182</v>
      </c>
      <c r="P100" s="28" t="n"/>
      <c r="Q100" s="28" t="n">
        <v>-0.012518</v>
      </c>
      <c r="R100" s="26" t="n">
        <v>14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0.8584000000000001</v>
      </c>
      <c r="AD100" s="24" t="inlineStr">
        <is>
          <t>2026-08-05T17:00:00.574473Z</t>
        </is>
      </c>
      <c r="AE100" s="31" t="inlineStr">
        <is>
          <t>Neutral Elo baseline; executable ask 0.7000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95ef3685860928d3c12125a00cdf074ac4e628138aac112a58082f0ead77ffde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95ef3685860928d3c12125a00cdf074ac4e628138aac112a58082f0ead77ffde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2026-08-05T13:56:10.543011Z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b05fe7e3baa24e9b</t>
        </is>
      </c>
      <c r="B101" s="24" t="inlineStr">
        <is>
          <t>2026-08-05T13:56:36.539226Z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138</v>
      </c>
      <c r="M101" s="27" t="n">
        <v>2.38</v>
      </c>
      <c r="N101" s="28" t="n">
        <v>0.420168</v>
      </c>
      <c r="O101" s="28" t="n">
        <v>0.633758</v>
      </c>
      <c r="P101" s="28" t="n"/>
      <c r="Q101" s="28" t="n">
        <v>0.21359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>
        <v>138</v>
      </c>
      <c r="AA101" s="28" t="n">
        <v>0.42</v>
      </c>
      <c r="AB101" s="28" t="n">
        <v>-0.000168</v>
      </c>
      <c r="AC101" s="30" t="n">
        <v>2.07</v>
      </c>
      <c r="AD101" s="24" t="inlineStr">
        <is>
          <t>2026-08-05T20:58:39.035298Z</t>
        </is>
      </c>
      <c r="AE101" s="31" t="inlineStr">
        <is>
          <t>Neutral Elo baseline; executable ask 0.4200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95ef3685860928d3c12125a00cdf074ac4e628138aac112a58082f0ead77ffde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95ef3685860928d3c12125a00cdf074ac4e628138aac112a58082f0ead77ffde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2026-08-05T13:56:11.868130Z</t>
        </is>
      </c>
      <c r="BI101" s="24" t="inlineStr">
        <is>
          <t>["same_event","same_team_same_day","same_league_same_day"]</t>
        </is>
      </c>
      <c r="BJ101" s="25" t="n"/>
      <c r="BK101" s="26" t="n">
        <v>138</v>
      </c>
      <c r="BL101" s="27" t="n">
        <v>2.38</v>
      </c>
      <c r="BM101" s="28" t="n">
        <v>0.420168</v>
      </c>
      <c r="BN101" s="28" t="n"/>
      <c r="BO101" s="28" t="n"/>
      <c r="BP101" s="25" t="n"/>
      <c r="BQ101" s="27" t="n">
        <v>2.38</v>
      </c>
      <c r="BR101" s="28" t="n">
        <v>0.42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1a27664be694457f</t>
        </is>
      </c>
      <c r="B102" s="24" t="inlineStr">
        <is>
          <t>2026-08-05T13:56:36.539226Z</t>
        </is>
      </c>
      <c r="C102" s="24" t="inlineStr">
        <is>
          <t>2026-08-05T16:30:00Z</t>
        </is>
      </c>
      <c r="D102" s="24" t="inlineStr">
        <is>
          <t>69845</t>
        </is>
      </c>
      <c r="E102" s="24" t="inlineStr">
        <is>
          <t>CS2</t>
        </is>
      </c>
      <c r="F102" s="24" t="inlineStr">
        <is>
          <t>mokrivskiy Club</t>
        </is>
      </c>
      <c r="G102" s="24" t="inlineStr">
        <is>
          <t>Recrent Club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127</v>
      </c>
      <c r="M102" s="27" t="n">
        <v>2.27</v>
      </c>
      <c r="N102" s="28" t="n">
        <v>0.440529</v>
      </c>
      <c r="O102" s="28" t="n">
        <v>0.514946</v>
      </c>
      <c r="P102" s="28" t="n"/>
      <c r="Q102" s="28" t="n">
        <v>0.074417</v>
      </c>
      <c r="R102" s="26" t="n">
        <v>57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127</v>
      </c>
      <c r="AA102" s="28" t="n">
        <v>0.44</v>
      </c>
      <c r="AB102" s="28" t="n">
        <v>-0.000529</v>
      </c>
      <c r="AC102" s="30" t="n">
        <v>-1</v>
      </c>
      <c r="AD102" s="24" t="inlineStr">
        <is>
          <t>2026-08-05T20:58:40.870283Z</t>
        </is>
      </c>
      <c r="AE102" s="31" t="inlineStr">
        <is>
          <t>Neutral Elo baseline; executable ask 0.4400 (market_slug=aec-cs2-rce-mco-2026-08-05).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mokrivskiy Club</t>
        </is>
      </c>
      <c r="AQ102" s="24" t="inlineStr">
        <is>
          <t>mokrivskiy Club</t>
        </is>
      </c>
      <c r="AR102" s="24" t="inlineStr">
        <is>
          <t>mokrivskiy Club</t>
        </is>
      </c>
      <c r="AS102" s="24" t="inlineStr">
        <is>
          <t>Recrent Club</t>
        </is>
      </c>
      <c r="AT102" s="24" t="inlineStr">
        <is>
          <t>Recrent Club</t>
        </is>
      </c>
      <c r="AU102" s="24" t="inlineStr">
        <is>
          <t>Recrent 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95ef3685860928d3c12125a00cdf074ac4e628138aac112a58082f0ead77ffde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95ef3685860928d3c12125a00cdf074ac4e628138aac112a58082f0ead77ffde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2026-08-05T13:56:12.373406Z</t>
        </is>
      </c>
      <c r="BI102" s="24" t="inlineStr">
        <is>
          <t>["same_event","same_team_same_day","same_league_same_day"]</t>
        </is>
      </c>
      <c r="BJ102" s="25" t="n"/>
      <c r="BK102" s="26" t="n">
        <v>127</v>
      </c>
      <c r="BL102" s="27" t="n">
        <v>2.27</v>
      </c>
      <c r="BM102" s="28" t="n">
        <v>0.440529</v>
      </c>
      <c r="BN102" s="28" t="n"/>
      <c r="BO102" s="28" t="n"/>
      <c r="BP102" s="25" t="n"/>
      <c r="BQ102" s="27" t="n">
        <v>2.27</v>
      </c>
      <c r="BR102" s="28" t="n">
        <v>0.44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db62ed66dd9f410a</t>
        </is>
      </c>
      <c r="B103" s="24" t="inlineStr">
        <is>
          <t>2026-08-05T13:56:36.539226Z</t>
        </is>
      </c>
      <c r="C103" s="24" t="inlineStr">
        <is>
          <t>2026-08-05T17:00:00Z</t>
        </is>
      </c>
      <c r="D103" s="24" t="inlineStr">
        <is>
          <t>72534</t>
        </is>
      </c>
      <c r="E103" s="24" t="inlineStr">
        <is>
          <t>CS2</t>
        </is>
      </c>
      <c r="F103" s="24" t="inlineStr">
        <is>
          <t>Spirit Academy Green</t>
        </is>
      </c>
      <c r="G103" s="24" t="inlineStr">
        <is>
          <t>Falcons Force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-170</v>
      </c>
      <c r="M103" s="27" t="n">
        <v>1.588235</v>
      </c>
      <c r="N103" s="28" t="n">
        <v>0.62963</v>
      </c>
      <c r="O103" s="28" t="n">
        <v>0.647084</v>
      </c>
      <c r="P103" s="28" t="n"/>
      <c r="Q103" s="28" t="n">
        <v>0.017454</v>
      </c>
      <c r="R103" s="26" t="n">
        <v>29</v>
      </c>
      <c r="S103" s="29" t="n">
        <v>1.75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-170</v>
      </c>
      <c r="AA103" s="28" t="n">
        <v>0.63</v>
      </c>
      <c r="AB103" s="28" t="n">
        <v>0.00037</v>
      </c>
      <c r="AC103" s="30" t="n">
        <v>1.0294</v>
      </c>
      <c r="AD103" s="24" t="inlineStr">
        <is>
          <t>2026-08-05T20:58:42.701895Z</t>
        </is>
      </c>
      <c r="AE103" s="31" t="inlineStr">
        <is>
          <t>Neutral Elo baseline; executable ask 0.6300 (market_slug=aec-cs2-falf-sag-2026-08-05).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Spirit Academy Green</t>
        </is>
      </c>
      <c r="AQ103" s="24" t="inlineStr">
        <is>
          <t>Spirit Academy Green</t>
        </is>
      </c>
      <c r="AR103" s="24" t="inlineStr">
        <is>
          <t>Spirit Academy Green</t>
        </is>
      </c>
      <c r="AS103" s="24" t="inlineStr">
        <is>
          <t>Falcons Force</t>
        </is>
      </c>
      <c r="AT103" s="24" t="inlineStr">
        <is>
          <t>Falcons Force</t>
        </is>
      </c>
      <c r="AU103" s="24" t="inlineStr">
        <is>
          <t>Falcons Force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95ef3685860928d3c12125a00cdf074ac4e628138aac112a58082f0ead77ffde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95ef3685860928d3c12125a00cdf074ac4e628138aac112a58082f0ead77ffde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2026-08-05T13:56:13.589736Z</t>
        </is>
      </c>
      <c r="BI103" s="24" t="inlineStr">
        <is>
          <t>["same_event","same_team_same_day","same_league_same_day"]</t>
        </is>
      </c>
      <c r="BJ103" s="25" t="n"/>
      <c r="BK103" s="26" t="n">
        <v>-170</v>
      </c>
      <c r="BL103" s="27" t="n">
        <v>1.588235</v>
      </c>
      <c r="BM103" s="28" t="n">
        <v>0.62963</v>
      </c>
      <c r="BN103" s="28" t="n"/>
      <c r="BO103" s="28" t="n"/>
      <c r="BP103" s="25" t="n"/>
      <c r="BQ103" s="27" t="n">
        <v>1.588235</v>
      </c>
      <c r="BR103" s="28" t="n">
        <v>0.63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57d992b149ba4ba2</t>
        </is>
      </c>
      <c r="B104" s="24" t="inlineStr">
        <is>
          <t>2026-08-05T13:56:36.539226Z</t>
        </is>
      </c>
      <c r="C104" s="24" t="inlineStr">
        <is>
          <t>2026-08-05T17:00:00Z</t>
        </is>
      </c>
      <c r="D104" s="24" t="inlineStr">
        <is>
          <t>69868</t>
        </is>
      </c>
      <c r="E104" s="24" t="inlineStr">
        <is>
          <t>CS2</t>
        </is>
      </c>
      <c r="F104" s="24" t="inlineStr">
        <is>
          <t>eSuba</t>
        </is>
      </c>
      <c r="G104" s="24" t="inlineStr">
        <is>
          <t>maybe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0.565101</v>
      </c>
      <c r="P104" s="28" t="n"/>
      <c r="Q104" s="28" t="n">
        <v>-0.014731</v>
      </c>
      <c r="R104" s="26" t="n">
        <v>13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-138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2026-08-05T20:58:44.581561Z</t>
        </is>
      </c>
      <c r="AE104" s="31" t="inlineStr">
        <is>
          <t>Neutral Elo baseline; executable ask 0.5800 (market_slug=aec-cs2-maybe-esb-2026-08-05).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eSuba</t>
        </is>
      </c>
      <c r="AQ104" s="24" t="inlineStr">
        <is>
          <t>eSuba</t>
        </is>
      </c>
      <c r="AR104" s="24" t="inlineStr">
        <is>
          <t>eSuba</t>
        </is>
      </c>
      <c r="AS104" s="24" t="inlineStr">
        <is>
          <t>maybe</t>
        </is>
      </c>
      <c r="AT104" s="24" t="inlineStr">
        <is>
          <t>maybe</t>
        </is>
      </c>
      <c r="AU104" s="24" t="inlineStr">
        <is>
          <t>maybe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95ef3685860928d3c12125a00cdf074ac4e628138aac112a58082f0ead77ffde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95ef3685860928d3c12125a00cdf074ac4e628138aac112a58082f0ead77ffde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2026-08-05T13:56:15.700409Z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1.724638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84e9848b09a0407e</t>
        </is>
      </c>
      <c r="B105" s="24" t="inlineStr">
        <is>
          <t>2026-08-05T17:05:00.161606Z</t>
        </is>
      </c>
      <c r="C105" s="24" t="inlineStr">
        <is>
          <t>2026-08-05T18:00:00Z</t>
        </is>
      </c>
      <c r="D105" s="24" t="inlineStr">
        <is>
          <t>72536</t>
        </is>
      </c>
      <c r="E105" s="24" t="inlineStr">
        <is>
          <t>CS2</t>
        </is>
      </c>
      <c r="F105" s="24" t="inlineStr">
        <is>
          <t>FAST LAYNERS</t>
        </is>
      </c>
      <c r="G105" s="24" t="inlineStr">
        <is>
          <t>TEAM_COPH9K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0.553017</v>
      </c>
      <c r="P105" s="28" t="n"/>
      <c r="Q105" s="28" t="n">
        <v>-0.026815</v>
      </c>
      <c r="R105" s="26" t="n">
        <v>7</v>
      </c>
      <c r="S105" s="29" t="n">
        <v>0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2026-08-05T20:58:46.322014Z</t>
        </is>
      </c>
      <c r="AE105" s="31" t="inlineStr">
        <is>
          <t>Neutral Elo baseline; executable ask 0.5800 (market_slug=aec-cs2-tck-fla-2026-08-05).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FAST LAYNERS</t>
        </is>
      </c>
      <c r="AQ105" s="24" t="inlineStr">
        <is>
          <t>FAST LAYNERS</t>
        </is>
      </c>
      <c r="AR105" s="24" t="inlineStr">
        <is>
          <t>FAST LAYNERS</t>
        </is>
      </c>
      <c r="AS105" s="24" t="inlineStr">
        <is>
          <t>TEAM_COPH9K</t>
        </is>
      </c>
      <c r="AT105" s="24" t="inlineStr">
        <is>
          <t>TEAM_COPH9K</t>
        </is>
      </c>
      <c r="AU105" s="24" t="inlineStr">
        <is>
          <t>TEAM_COPH9K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19e41252784d7f0fb30ba60bf91a0e18dad6024caa2bc77a8c0649a56dcc9142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19e41252784d7f0fb30ba60bf91a0e18dad6024caa2bc77a8c0649a56dcc9142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2026-08-05T17:04:41.422389Z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settled to a non-binary price (forfeit/postponement per market rules)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de376275ea8b4f90</t>
        </is>
      </c>
      <c r="B106" s="24" t="inlineStr">
        <is>
          <t>2026-08-05T17:05:00.161606Z</t>
        </is>
      </c>
      <c r="C106" s="24" t="inlineStr">
        <is>
          <t>2026-08-05T18:00:00Z</t>
        </is>
      </c>
      <c r="D106" s="24" t="inlineStr">
        <is>
          <t>72535</t>
        </is>
      </c>
      <c r="E106" s="24" t="inlineStr">
        <is>
          <t>CS2</t>
        </is>
      </c>
      <c r="F106" s="24" t="inlineStr">
        <is>
          <t>Falcons Force</t>
        </is>
      </c>
      <c r="G106" s="24" t="inlineStr">
        <is>
          <t>Privateer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-233</v>
      </c>
      <c r="M106" s="27" t="n">
        <v>1.429185</v>
      </c>
      <c r="N106" s="28" t="n">
        <v>0.6997</v>
      </c>
      <c r="O106" s="28" t="n">
        <v>0.513164</v>
      </c>
      <c r="P106" s="28" t="n"/>
      <c r="Q106" s="28" t="n">
        <v>-0.186536</v>
      </c>
      <c r="R106" s="26" t="n">
        <v>0</v>
      </c>
      <c r="S106" s="29" t="n">
        <v>0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-233</v>
      </c>
      <c r="AA106" s="28" t="n">
        <v>0.7</v>
      </c>
      <c r="AB106" s="28" t="n">
        <v>0.0003</v>
      </c>
      <c r="AC106" s="30" t="n">
        <v>0</v>
      </c>
      <c r="AD106" s="24" t="inlineStr">
        <is>
          <t>2026-08-05T20:58:47.818217Z</t>
        </is>
      </c>
      <c r="AE106" s="31" t="inlineStr">
        <is>
          <t>Neutral Elo baseline; executable ask 0.7000 (market_slug=aec-cs2-pg-falf-2026-08-05).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Falcons Force</t>
        </is>
      </c>
      <c r="AQ106" s="24" t="inlineStr">
        <is>
          <t>Falcons Force</t>
        </is>
      </c>
      <c r="AR106" s="24" t="inlineStr">
        <is>
          <t>Falcons Force</t>
        </is>
      </c>
      <c r="AS106" s="24" t="inlineStr">
        <is>
          <t>Privateer Gaming</t>
        </is>
      </c>
      <c r="AT106" s="24" t="inlineStr">
        <is>
          <t>Privateer Gaming</t>
        </is>
      </c>
      <c r="AU106" s="24" t="inlineStr">
        <is>
          <t>Privateer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19e41252784d7f0fb30ba60bf91a0e18dad6024caa2bc77a8c0649a56dcc9142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19e41252784d7f0fb30ba60bf91a0e18dad6024caa2bc77a8c0649a56dcc9142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2026-08-05T17:04:42.203967Z</t>
        </is>
      </c>
      <c r="BI106" s="24" t="inlineStr">
        <is>
          <t>["same_event","same_team_same_day","same_league_same_day"]</t>
        </is>
      </c>
      <c r="BJ106" s="25" t="n"/>
      <c r="BK106" s="26" t="n">
        <v>-233</v>
      </c>
      <c r="BL106" s="27" t="n">
        <v>1.429185</v>
      </c>
      <c r="BM106" s="28" t="n">
        <v>0.6997</v>
      </c>
      <c r="BN106" s="28" t="n"/>
      <c r="BO106" s="28" t="n"/>
      <c r="BP106" s="25" t="n"/>
      <c r="BQ106" s="27" t="n">
        <v>1.429185</v>
      </c>
      <c r="BR106" s="28" t="n">
        <v>0.7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13a5093b726240cd</t>
        </is>
      </c>
      <c r="B107" s="24" t="inlineStr">
        <is>
          <t>2026-08-05T17:05:00.161606Z</t>
        </is>
      </c>
      <c r="C107" s="24" t="inlineStr">
        <is>
          <t>2026-08-05T18:30:00Z</t>
        </is>
      </c>
      <c r="D107" s="24" t="inlineStr">
        <is>
          <t>72538</t>
        </is>
      </c>
      <c r="E107" s="24" t="inlineStr">
        <is>
          <t>CS2</t>
        </is>
      </c>
      <c r="F107" s="24" t="inlineStr">
        <is>
          <t>Diamant Esports</t>
        </is>
      </c>
      <c r="G107" s="24" t="inlineStr">
        <is>
          <t>ZOTIX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127</v>
      </c>
      <c r="M107" s="27" t="n">
        <v>2.27</v>
      </c>
      <c r="N107" s="28" t="n">
        <v>0.440529</v>
      </c>
      <c r="O107" s="28" t="n">
        <v>0.547304</v>
      </c>
      <c r="P107" s="28" t="n"/>
      <c r="Q107" s="28" t="n">
        <v>0.106775</v>
      </c>
      <c r="R107" s="26" t="n">
        <v>73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127</v>
      </c>
      <c r="AA107" s="28" t="n">
        <v>0.44</v>
      </c>
      <c r="AB107" s="28" t="n">
        <v>-0.000529</v>
      </c>
      <c r="AC107" s="30" t="n">
        <v>-1</v>
      </c>
      <c r="AD107" s="24" t="inlineStr">
        <is>
          <t>2026-08-05T20:58:49.631149Z</t>
        </is>
      </c>
      <c r="AE107" s="31" t="inlineStr">
        <is>
          <t>Neutral Elo baseline; executable ask 0.4400 (market_slug=aec-cs2-zotix-dei-2026-08-05).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Diamant Esports</t>
        </is>
      </c>
      <c r="AQ107" s="24" t="inlineStr">
        <is>
          <t>Diamant Esports</t>
        </is>
      </c>
      <c r="AR107" s="24" t="inlineStr">
        <is>
          <t>Diamant Esports</t>
        </is>
      </c>
      <c r="AS107" s="24" t="inlineStr">
        <is>
          <t>ZOTIX</t>
        </is>
      </c>
      <c r="AT107" s="24" t="inlineStr">
        <is>
          <t>ZOTIX</t>
        </is>
      </c>
      <c r="AU107" s="24" t="inlineStr">
        <is>
          <t>ZOTIX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19e41252784d7f0fb30ba60bf91a0e18dad6024caa2bc77a8c0649a56dcc9142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19e41252784d7f0fb30ba60bf91a0e18dad6024caa2bc77a8c0649a56dcc9142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2026-08-05T17:04:42.734106Z</t>
        </is>
      </c>
      <c r="BI107" s="24" t="inlineStr">
        <is>
          <t>["same_event","same_team_same_day","same_league_same_day"]</t>
        </is>
      </c>
      <c r="BJ107" s="25" t="n"/>
      <c r="BK107" s="26" t="n">
        <v>127</v>
      </c>
      <c r="BL107" s="27" t="n">
        <v>2.27</v>
      </c>
      <c r="BM107" s="28" t="n">
        <v>0.440529</v>
      </c>
      <c r="BN107" s="28" t="n"/>
      <c r="BO107" s="28" t="n"/>
      <c r="BP107" s="25" t="n"/>
      <c r="BQ107" s="27" t="n">
        <v>2.27</v>
      </c>
      <c r="BR107" s="28" t="n">
        <v>0.44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56975ed559724c13</t>
        </is>
      </c>
      <c r="B108" s="24" t="inlineStr">
        <is>
          <t>2026-08-05T17:05:00.161606Z</t>
        </is>
      </c>
      <c r="C108" s="24" t="inlineStr">
        <is>
          <t>2026-08-05T18:30:00Z</t>
        </is>
      </c>
      <c r="D108" s="24" t="inlineStr">
        <is>
          <t>72537</t>
        </is>
      </c>
      <c r="E108" s="24" t="inlineStr">
        <is>
          <t>CS2</t>
        </is>
      </c>
      <c r="F108" s="24" t="inlineStr">
        <is>
          <t>Drama eSports</t>
        </is>
      </c>
      <c r="G108" s="24" t="inlineStr">
        <is>
          <t>PURE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0.74863</v>
      </c>
      <c r="P108" s="28" t="n"/>
      <c r="Q108" s="28" t="n">
        <v>0.177815</v>
      </c>
      <c r="R108" s="26" t="n">
        <v>100</v>
      </c>
      <c r="S108" s="29" t="n">
        <v>2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0.5700 (market_slug=aec-cs2-pure-drama-2026-08-05).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Drama eSports</t>
        </is>
      </c>
      <c r="AQ108" s="24" t="inlineStr">
        <is>
          <t>Drama eSports</t>
        </is>
      </c>
      <c r="AR108" s="24" t="inlineStr">
        <is>
          <t>Drama eSports</t>
        </is>
      </c>
      <c r="AS108" s="24" t="inlineStr">
        <is>
          <t>PURE</t>
        </is>
      </c>
      <c r="AT108" s="24" t="inlineStr">
        <is>
          <t>PURE</t>
        </is>
      </c>
      <c r="AU108" s="24" t="inlineStr">
        <is>
          <t>PURE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19e41252784d7f0fb30ba60bf91a0e18dad6024caa2bc77a8c0649a56dcc9142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19e41252784d7f0fb30ba60bf91a0e18dad6024caa2bc77a8c0649a56dcc9142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2026-08-05T17:04:43.266243Z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f108ad07d793471d</t>
        </is>
      </c>
      <c r="B109" s="24" t="inlineStr">
        <is>
          <t>2026-08-05T17:05:00.161606Z</t>
        </is>
      </c>
      <c r="C109" s="24" t="inlineStr">
        <is>
          <t>2026-08-05T18:30:00Z</t>
        </is>
      </c>
      <c r="D109" s="24" t="inlineStr">
        <is>
          <t>72539</t>
        </is>
      </c>
      <c r="E109" s="24" t="inlineStr">
        <is>
          <t>CS2</t>
        </is>
      </c>
      <c r="F109" s="24" t="inlineStr">
        <is>
          <t>Esport BERG</t>
        </is>
      </c>
      <c r="G109" s="24" t="inlineStr">
        <is>
          <t>Fire Flux Esports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0.532428</v>
      </c>
      <c r="P109" s="28" t="n"/>
      <c r="Q109" s="28" t="n">
        <v>0.051659</v>
      </c>
      <c r="R109" s="26" t="n">
        <v>46</v>
      </c>
      <c r="S109" s="29" t="n">
        <v>0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108</v>
      </c>
      <c r="AA109" s="28" t="n">
        <v>0.48</v>
      </c>
      <c r="AB109" s="28" t="n">
        <v>-0.000769</v>
      </c>
      <c r="AC109" s="30" t="n">
        <v>0</v>
      </c>
      <c r="AD109" s="24" t="inlineStr">
        <is>
          <t>2026-08-05T20:58:52.508125Z</t>
        </is>
      </c>
      <c r="AE109" s="31" t="inlineStr">
        <is>
          <t>Neutral Elo baseline; executable ask 0.4800 (market_slug=aec-cs2-ff-berg-2026-08-05).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Esport BERG</t>
        </is>
      </c>
      <c r="AQ109" s="24" t="inlineStr">
        <is>
          <t>Esport BERG</t>
        </is>
      </c>
      <c r="AR109" s="24" t="inlineStr">
        <is>
          <t>Esport BERG</t>
        </is>
      </c>
      <c r="AS109" s="24" t="inlineStr">
        <is>
          <t>Fire Flux Esports</t>
        </is>
      </c>
      <c r="AT109" s="24" t="inlineStr">
        <is>
          <t>Fire Flux Esports</t>
        </is>
      </c>
      <c r="AU109" s="24" t="inlineStr">
        <is>
          <t>Fire Flux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19e41252784d7f0fb30ba60bf91a0e18dad6024caa2bc77a8c0649a56dcc9142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19e41252784d7f0fb30ba60bf91a0e18dad6024caa2bc77a8c0649a56dcc9142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2026-08-05T17:04:43.830874Z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>
        <v>2.08</v>
      </c>
      <c r="BR109" s="28" t="n">
        <v>0.48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684485c93cde40d0</t>
        </is>
      </c>
      <c r="B110" s="24" t="inlineStr">
        <is>
          <t>2026-08-05T17:05:00.161606Z</t>
        </is>
      </c>
      <c r="C110" s="24" t="inlineStr">
        <is>
          <t>2026-08-05T19:15:00Z</t>
        </is>
      </c>
      <c r="D110" s="24" t="inlineStr">
        <is>
          <t>70104</t>
        </is>
      </c>
      <c r="E110" s="24" t="inlineStr">
        <is>
          <t>CS2</t>
        </is>
      </c>
      <c r="F110" s="24" t="inlineStr">
        <is>
          <t>Morphilina Club</t>
        </is>
      </c>
      <c r="G110" s="24" t="inlineStr">
        <is>
          <t>Recrent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127</v>
      </c>
      <c r="M110" s="27" t="n">
        <v>2.27</v>
      </c>
      <c r="N110" s="28" t="n">
        <v>0.440529</v>
      </c>
      <c r="O110" s="28" t="n">
        <v>0.502652</v>
      </c>
      <c r="P110" s="28" t="n"/>
      <c r="Q110" s="28" t="n">
        <v>0.062123</v>
      </c>
      <c r="R110" s="26" t="n">
        <v>51</v>
      </c>
      <c r="S110" s="29" t="n">
        <v>0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127</v>
      </c>
      <c r="AA110" s="28" t="n">
        <v>0.44</v>
      </c>
      <c r="AB110" s="28" t="n">
        <v>-0.000529</v>
      </c>
      <c r="AC110" s="30" t="n">
        <v>0</v>
      </c>
      <c r="AD110" s="24" t="inlineStr">
        <is>
          <t>2026-08-06T00:20:58.529895Z</t>
        </is>
      </c>
      <c r="AE110" s="31" t="inlineStr">
        <is>
          <t>Neutral Elo baseline; executable ask 0.4400 (market_slug=aec-cs2-rce-mcor-2026-08-05).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Morphilina Club</t>
        </is>
      </c>
      <c r="AQ110" s="24" t="inlineStr">
        <is>
          <t>Morphilina Club</t>
        </is>
      </c>
      <c r="AR110" s="24" t="inlineStr">
        <is>
          <t>Morphilina Club</t>
        </is>
      </c>
      <c r="AS110" s="24" t="inlineStr">
        <is>
          <t>Recrent Club</t>
        </is>
      </c>
      <c r="AT110" s="24" t="inlineStr">
        <is>
          <t>Recrent Club</t>
        </is>
      </c>
      <c r="AU110" s="24" t="inlineStr">
        <is>
          <t>Recrent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19e41252784d7f0fb30ba60bf91a0e18dad6024caa2bc77a8c0649a56dcc9142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19e41252784d7f0fb30ba60bf91a0e18dad6024caa2bc77a8c0649a56dcc9142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2026-08-05T17:04:45.033261Z</t>
        </is>
      </c>
      <c r="BI110" s="24" t="inlineStr">
        <is>
          <t>["same_event","same_team_same_day","same_league_same_day"]</t>
        </is>
      </c>
      <c r="BJ110" s="25" t="n"/>
      <c r="BK110" s="26" t="n">
        <v>127</v>
      </c>
      <c r="BL110" s="27" t="n">
        <v>2.27</v>
      </c>
      <c r="BM110" s="28" t="n">
        <v>0.440529</v>
      </c>
      <c r="BN110" s="28" t="n"/>
      <c r="BO110" s="28" t="n"/>
      <c r="BP110" s="25" t="n"/>
      <c r="BQ110" s="27" t="n">
        <v>2.27</v>
      </c>
      <c r="BR110" s="28" t="n">
        <v>0.44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f317e85b57754117</t>
        </is>
      </c>
      <c r="B111" s="24" t="inlineStr">
        <is>
          <t>2026-08-05T17:05:00.161606Z</t>
        </is>
      </c>
      <c r="C111" s="24" t="inlineStr">
        <is>
          <t>2026-08-05T21:00:00Z</t>
        </is>
      </c>
      <c r="D111" s="24" t="inlineStr">
        <is>
          <t>72423</t>
        </is>
      </c>
      <c r="E111" s="24" t="inlineStr">
        <is>
          <t>CS2</t>
        </is>
      </c>
      <c r="F111" s="24" t="inlineStr">
        <is>
          <t>Grêmio Esports</t>
        </is>
      </c>
      <c r="G111" s="24" t="inlineStr">
        <is>
          <t>ALKA GAMING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0.598397</v>
      </c>
      <c r="P111" s="28" t="n"/>
      <c r="Q111" s="28" t="n">
        <v>-0.031233</v>
      </c>
      <c r="R111" s="26" t="n">
        <v>4</v>
      </c>
      <c r="S111" s="29" t="n">
        <v>0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-170</v>
      </c>
      <c r="AA111" s="28" t="n">
        <v>0.63</v>
      </c>
      <c r="AB111" s="28" t="n">
        <v>0.00037</v>
      </c>
      <c r="AC111" s="30" t="n">
        <v>0</v>
      </c>
      <c r="AD111" s="24" t="inlineStr">
        <is>
          <t>2026-08-06T00:21:00.349015Z</t>
        </is>
      </c>
      <c r="AE111" s="31" t="inlineStr">
        <is>
          <t>Neutral Elo baseline; executable ask 0.6300 (market_slug=aec-cs2-alka-ger-2026-08-05).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Grêmio Esports</t>
        </is>
      </c>
      <c r="AQ111" s="24" t="inlineStr">
        <is>
          <t>Grêmio Esports</t>
        </is>
      </c>
      <c r="AR111" s="24" t="inlineStr">
        <is>
          <t>Grêmio Esports</t>
        </is>
      </c>
      <c r="AS111" s="24" t="inlineStr">
        <is>
          <t>ALKA GAMING</t>
        </is>
      </c>
      <c r="AT111" s="24" t="inlineStr">
        <is>
          <t>ALKA GAMING</t>
        </is>
      </c>
      <c r="AU111" s="24" t="inlineStr">
        <is>
          <t>ALKA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19e41252784d7f0fb30ba60bf91a0e18dad6024caa2bc77a8c0649a56dcc9142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19e41252784d7f0fb30ba60bf91a0e18dad6024caa2bc77a8c0649a56dcc9142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2026-08-05T17:04:46.164462Z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>
        <v>1.588235</v>
      </c>
      <c r="BR111" s="28" t="n">
        <v>0.63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7461e387c41b41c2</t>
        </is>
      </c>
      <c r="B112" s="24" t="inlineStr">
        <is>
          <t>2026-08-06T00:24:54.248921Z</t>
        </is>
      </c>
      <c r="C112" s="24" t="inlineStr">
        <is>
          <t>2026-08-06T08:00:00Z</t>
        </is>
      </c>
      <c r="D112" s="24" t="inlineStr">
        <is>
          <t>71896</t>
        </is>
      </c>
      <c r="E112" s="24" t="inlineStr">
        <is>
          <t>CS2</t>
        </is>
      </c>
      <c r="F112" s="24" t="inlineStr">
        <is>
          <t>EAC Rising</t>
        </is>
      </c>
      <c r="G112" s="24" t="inlineStr">
        <is>
          <t>Eternal Fire Academy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0.549195</v>
      </c>
      <c r="P112" s="28" t="n"/>
      <c r="Q112" s="28" t="n">
        <v>-0.010276</v>
      </c>
      <c r="R112" s="26" t="n">
        <v>15</v>
      </c>
      <c r="S112" s="29" t="n">
        <v>0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</v>
      </c>
      <c r="AD112" s="24" t="inlineStr">
        <is>
          <t>2026-08-06T18:54:32.160574Z</t>
        </is>
      </c>
      <c r="AE112" s="31" t="inlineStr">
        <is>
          <t>Neutral Elo baseline; executable ask 0.5600 (market_slug=aec-cs2-efa-era-2026-08-06).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EAC Rising</t>
        </is>
      </c>
      <c r="AQ112" s="24" t="inlineStr">
        <is>
          <t>EAC Rising</t>
        </is>
      </c>
      <c r="AR112" s="24" t="inlineStr">
        <is>
          <t>EAC Rising</t>
        </is>
      </c>
      <c r="AS112" s="24" t="inlineStr">
        <is>
          <t>Eternal Fire Academy</t>
        </is>
      </c>
      <c r="AT112" s="24" t="inlineStr">
        <is>
          <t>Eternal Fire Academy</t>
        </is>
      </c>
      <c r="AU112" s="24" t="inlineStr">
        <is>
          <t>Eternal Fire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95c0b03a7dffafd85c27ca9ed669e331e7385a1d064329e5a50c6fe806eb56d1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95c0b03a7dffafd85c27ca9ed669e331e7385a1d064329e5a50c6fe806eb56d1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2026-08-06T00:24:35.783532Z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0568c5e490d04117</t>
        </is>
      </c>
      <c r="B113" s="24" t="inlineStr">
        <is>
          <t>2026-08-06T00:24:54.248921Z</t>
        </is>
      </c>
      <c r="C113" s="24" t="inlineStr">
        <is>
          <t>2026-08-06T08:00:00Z</t>
        </is>
      </c>
      <c r="D113" s="24" t="inlineStr">
        <is>
          <t>73083</t>
        </is>
      </c>
      <c r="E113" s="24" t="inlineStr">
        <is>
          <t>CS2</t>
        </is>
      </c>
      <c r="F113" s="24" t="inlineStr">
        <is>
          <t>Sashi Esport</t>
        </is>
      </c>
      <c r="G113" s="24" t="inlineStr">
        <is>
          <t>Nuclear TigeRES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-108</v>
      </c>
      <c r="M113" s="27" t="n">
        <v>1.925926</v>
      </c>
      <c r="N113" s="28" t="n">
        <v>0.519231</v>
      </c>
      <c r="O113" s="28" t="n">
        <v>0.546035</v>
      </c>
      <c r="P113" s="28" t="n"/>
      <c r="Q113" s="28" t="n">
        <v>0.026804</v>
      </c>
      <c r="R113" s="26" t="n">
        <v>33</v>
      </c>
      <c r="S113" s="29" t="n">
        <v>0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</v>
      </c>
      <c r="AD113" s="24" t="inlineStr">
        <is>
          <t>2026-08-06T18:54:34.923654Z</t>
        </is>
      </c>
      <c r="AE113" s="31" t="inlineStr">
        <is>
          <t>Neutral Elo baseline; executable ask 0.5200 (market_slug=aec-cs2-ntr-sashi-2026-08-06).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Sashi Esport</t>
        </is>
      </c>
      <c r="AQ113" s="24" t="inlineStr">
        <is>
          <t>Sashi Esport</t>
        </is>
      </c>
      <c r="AR113" s="24" t="inlineStr">
        <is>
          <t>Sashi Esport</t>
        </is>
      </c>
      <c r="AS113" s="24" t="inlineStr">
        <is>
          <t>Nuclear TigeRES</t>
        </is>
      </c>
      <c r="AT113" s="24" t="inlineStr">
        <is>
          <t>Nuclear TigeRES</t>
        </is>
      </c>
      <c r="AU113" s="24" t="inlineStr">
        <is>
          <t>Nuclear TigeRES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95c0b03a7dffafd85c27ca9ed669e331e7385a1d064329e5a50c6fe806eb56d1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95c0b03a7dffafd85c27ca9ed669e331e7385a1d064329e5a50c6fe806eb56d1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2026-08-06T00:24:36.248119Z</t>
        </is>
      </c>
      <c r="BI113" s="24" t="inlineStr">
        <is>
          <t>["same_event","same_team_same_day","same_league_same_day"]</t>
        </is>
      </c>
      <c r="BJ113" s="25" t="n"/>
      <c r="BK113" s="26" t="n">
        <v>-108</v>
      </c>
      <c r="BL113" s="27" t="n">
        <v>1.925926</v>
      </c>
      <c r="BM113" s="28" t="n">
        <v>0.519231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017f232e63124a01</t>
        </is>
      </c>
      <c r="B114" s="24" t="inlineStr">
        <is>
          <t>2026-08-06T00:24:54.248921Z</t>
        </is>
      </c>
      <c r="C114" s="24" t="inlineStr">
        <is>
          <t>2026-08-06T08:00:00Z</t>
        </is>
      </c>
      <c r="D114" s="24" t="inlineStr">
        <is>
          <t>70562</t>
        </is>
      </c>
      <c r="E114" s="24" t="inlineStr">
        <is>
          <t>CS2</t>
        </is>
      </c>
      <c r="F114" s="24" t="inlineStr">
        <is>
          <t>Teletubisie</t>
        </is>
      </c>
      <c r="G114" s="24" t="inlineStr">
        <is>
          <t>WRAITH PCIFIC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0.605841</v>
      </c>
      <c r="P114" s="28" t="n"/>
      <c r="Q114" s="28" t="n">
        <v>0.145012</v>
      </c>
      <c r="R114" s="26" t="n">
        <v>93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-1.25</v>
      </c>
      <c r="AD114" s="24" t="inlineStr">
        <is>
          <t>2026-08-06T18:54:37.735160Z</t>
        </is>
      </c>
      <c r="AE114" s="31" t="inlineStr">
        <is>
          <t>Neutral Elo baseline; executable ask 0.4600 (market_slug=aec-cs2-pcific-ttbs-2026-08-06).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Teletubisie</t>
        </is>
      </c>
      <c r="AQ114" s="24" t="inlineStr">
        <is>
          <t>Teletubisie</t>
        </is>
      </c>
      <c r="AR114" s="24" t="inlineStr">
        <is>
          <t>Teletubisie</t>
        </is>
      </c>
      <c r="AS114" s="24" t="inlineStr">
        <is>
          <t>WRAITH PCIFIC</t>
        </is>
      </c>
      <c r="AT114" s="24" t="inlineStr">
        <is>
          <t>WRAITH PCIFIC</t>
        </is>
      </c>
      <c r="AU114" s="24" t="inlineStr">
        <is>
          <t>WRAITH PCIFIC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95c0b03a7dffafd85c27ca9ed669e331e7385a1d064329e5a50c6fe806eb56d1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95c0b03a7dffafd85c27ca9ed669e331e7385a1d064329e5a50c6fe806eb56d1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2026-08-06T00:24:37.231379Z</t>
        </is>
      </c>
      <c r="BI114" s="24" t="inlineStr">
        <is>
          <t>["same_event","same_team_same_day","same_league_same_day"]</t>
        </is>
      </c>
      <c r="BJ114" s="25" t="n"/>
      <c r="BK114" s="26" t="n">
        <v>117</v>
      </c>
      <c r="BL114" s="27" t="n">
        <v>2.17</v>
      </c>
      <c r="BM114" s="28" t="n">
        <v>0.460829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164c7450f4d443a0</t>
        </is>
      </c>
      <c r="B115" s="24" t="inlineStr">
        <is>
          <t>2026-08-06T00:24:54.248921Z</t>
        </is>
      </c>
      <c r="C115" s="24" t="inlineStr">
        <is>
          <t>2026-08-06T08:00:00Z</t>
        </is>
      </c>
      <c r="D115" s="24" t="inlineStr">
        <is>
          <t>72490</t>
        </is>
      </c>
      <c r="E115" s="24" t="inlineStr">
        <is>
          <t>CS2</t>
        </is>
      </c>
      <c r="F115" s="24" t="inlineStr">
        <is>
          <t>Black Phoenix</t>
        </is>
      </c>
      <c r="G115" s="24" t="inlineStr">
        <is>
          <t>Lavked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138</v>
      </c>
      <c r="M115" s="27" t="n">
        <v>2.38</v>
      </c>
      <c r="N115" s="28" t="n">
        <v>0.420168</v>
      </c>
      <c r="O115" s="28" t="n">
        <v>0.5310550000000001</v>
      </c>
      <c r="P115" s="28" t="n"/>
      <c r="Q115" s="28" t="n">
        <v>0.110887</v>
      </c>
      <c r="R115" s="26" t="n">
        <v>75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2026-08-06T18:54:40.451165Z</t>
        </is>
      </c>
      <c r="AE115" s="31" t="inlineStr">
        <is>
          <t>Neutral Elo baseline; executable ask 0.4200 (market_slug=aec-cs2-lav-bpl-2026-08-06).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Black Phoenix</t>
        </is>
      </c>
      <c r="AQ115" s="24" t="inlineStr">
        <is>
          <t>Black Phoenix</t>
        </is>
      </c>
      <c r="AR115" s="24" t="inlineStr">
        <is>
          <t>Black Phoenix</t>
        </is>
      </c>
      <c r="AS115" s="24" t="inlineStr">
        <is>
          <t>Lavked</t>
        </is>
      </c>
      <c r="AT115" s="24" t="inlineStr">
        <is>
          <t>Lavked</t>
        </is>
      </c>
      <c r="AU115" s="24" t="inlineStr">
        <is>
          <t>Lavked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95c0b03a7dffafd85c27ca9ed669e331e7385a1d064329e5a50c6fe806eb56d1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95c0b03a7dffafd85c27ca9ed669e331e7385a1d064329e5a50c6fe806eb56d1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2026-08-06T00:24:37.738828Z</t>
        </is>
      </c>
      <c r="BI115" s="24" t="inlineStr">
        <is>
          <t>["same_event","same_team_same_day","same_league_same_day"]</t>
        </is>
      </c>
      <c r="BJ115" s="25" t="n"/>
      <c r="BK115" s="26" t="n">
        <v>138</v>
      </c>
      <c r="BL115" s="27" t="n">
        <v>2.38</v>
      </c>
      <c r="BM115" s="28" t="n">
        <v>0.420168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5d38dce6c3454b8b</t>
        </is>
      </c>
      <c r="B116" s="24" t="inlineStr">
        <is>
          <t>2026-08-06T00:24:54.248921Z</t>
        </is>
      </c>
      <c r="C116" s="24" t="inlineStr">
        <is>
          <t>2026-08-06T10:00:00Z</t>
        </is>
      </c>
      <c r="D116" s="24" t="inlineStr">
        <is>
          <t>72793</t>
        </is>
      </c>
      <c r="E116" s="24" t="inlineStr">
        <is>
          <t>CS2</t>
        </is>
      </c>
      <c r="F116" s="24" t="inlineStr">
        <is>
          <t>Arcade Esports</t>
        </is>
      </c>
      <c r="G116" s="24" t="inlineStr">
        <is>
          <t>Time Waves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-223</v>
      </c>
      <c r="M116" s="27" t="n">
        <v>1.44843</v>
      </c>
      <c r="N116" s="28" t="n">
        <v>0.690402</v>
      </c>
      <c r="O116" s="28" t="n">
        <v>0.59418</v>
      </c>
      <c r="P116" s="28" t="n"/>
      <c r="Q116" s="28" t="n">
        <v>-0.096222</v>
      </c>
      <c r="R116" s="26" t="n">
        <v>0</v>
      </c>
      <c r="S116" s="29" t="n">
        <v>0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/>
      <c r="AA116" s="28" t="n"/>
      <c r="AB116" s="28" t="n"/>
      <c r="AC116" s="30" t="n">
        <v>0</v>
      </c>
      <c r="AD116" s="24" t="inlineStr">
        <is>
          <t>2026-08-06T18:54:43.171198Z</t>
        </is>
      </c>
      <c r="AE116" s="31" t="inlineStr">
        <is>
          <t>Neutral Elo baseline; executable ask 0.6900 (market_slug=aec-cs2-tw-aer-2026-08-06).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Arcade Esports</t>
        </is>
      </c>
      <c r="AQ116" s="24" t="inlineStr">
        <is>
          <t>Arcade Esports</t>
        </is>
      </c>
      <c r="AR116" s="24" t="inlineStr">
        <is>
          <t>Arcade Esports</t>
        </is>
      </c>
      <c r="AS116" s="24" t="inlineStr">
        <is>
          <t>Time Waves</t>
        </is>
      </c>
      <c r="AT116" s="24" t="inlineStr">
        <is>
          <t>Time Waves</t>
        </is>
      </c>
      <c r="AU116" s="24" t="inlineStr">
        <is>
          <t>Time Waves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95c0b03a7dffafd85c27ca9ed669e331e7385a1d064329e5a50c6fe806eb56d1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95c0b03a7dffafd85c27ca9ed669e331e7385a1d064329e5a50c6fe806eb56d1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2026-08-06T00:24:38.760502Z</t>
        </is>
      </c>
      <c r="BI116" s="24" t="inlineStr">
        <is>
          <t>["same_event","same_team_same_day","same_league_same_day"]</t>
        </is>
      </c>
      <c r="BJ116" s="25" t="n"/>
      <c r="BK116" s="26" t="n">
        <v>-223</v>
      </c>
      <c r="BL116" s="27" t="n">
        <v>1.44843</v>
      </c>
      <c r="BM116" s="28" t="n">
        <v>0.690402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671c5cf4932049de</t>
        </is>
      </c>
      <c r="B117" s="24" t="inlineStr">
        <is>
          <t>2026-08-06T00:24:54.248921Z</t>
        </is>
      </c>
      <c r="C117" s="24" t="inlineStr">
        <is>
          <t>2026-08-06T10:30:00Z</t>
        </is>
      </c>
      <c r="D117" s="24" t="inlineStr">
        <is>
          <t>70787</t>
        </is>
      </c>
      <c r="E117" s="24" t="inlineStr">
        <is>
          <t>CS2</t>
        </is>
      </c>
      <c r="F117" s="24" t="inlineStr">
        <is>
          <t>Eternal Fire Academy</t>
        </is>
      </c>
      <c r="G117" s="24" t="inlineStr">
        <is>
          <t>EAC Rising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-133</v>
      </c>
      <c r="M117" s="27" t="n">
        <v>1.75188</v>
      </c>
      <c r="N117" s="28" t="n">
        <v>0.570815</v>
      </c>
      <c r="O117" s="28" t="n">
        <v>0.607413</v>
      </c>
      <c r="P117" s="28" t="n"/>
      <c r="Q117" s="28" t="n">
        <v>0.036598</v>
      </c>
      <c r="R117" s="26" t="n">
        <v>38</v>
      </c>
      <c r="S117" s="29" t="n">
        <v>0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2026-08-06T18:54:45.934204Z</t>
        </is>
      </c>
      <c r="AE117" s="31" t="inlineStr">
        <is>
          <t>Neutral Elo baseline; executable ask 0.5700 (market_slug=aec-cs2-era-efa-2026-08-06).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Eternal Fire Academy</t>
        </is>
      </c>
      <c r="AQ117" s="24" t="inlineStr">
        <is>
          <t>Eternal Fire Academy</t>
        </is>
      </c>
      <c r="AR117" s="24" t="inlineStr">
        <is>
          <t>Eternal Fire Academy</t>
        </is>
      </c>
      <c r="AS117" s="24" t="inlineStr">
        <is>
          <t>EAC Rising</t>
        </is>
      </c>
      <c r="AT117" s="24" t="inlineStr">
        <is>
          <t>EAC Rising</t>
        </is>
      </c>
      <c r="AU117" s="24" t="inlineStr">
        <is>
          <t>EAC Rising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95c0b03a7dffafd85c27ca9ed669e331e7385a1d064329e5a50c6fe806eb56d1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95c0b03a7dffafd85c27ca9ed669e331e7385a1d064329e5a50c6fe806eb56d1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2026-08-06T00:24:39.833682Z</t>
        </is>
      </c>
      <c r="BI117" s="24" t="inlineStr">
        <is>
          <t>["same_event","same_team_same_day","same_league_same_day"]</t>
        </is>
      </c>
      <c r="BJ117" s="25" t="n"/>
      <c r="BK117" s="26" t="n">
        <v>-133</v>
      </c>
      <c r="BL117" s="27" t="n">
        <v>1.75188</v>
      </c>
      <c r="BM117" s="28" t="n">
        <v>0.570815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settled to a non-binary price (forfeit/postponement per market rules)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6027b6ded4ef45e0</t>
        </is>
      </c>
      <c r="B118" s="24" t="inlineStr">
        <is>
          <t>2026-08-06T00:24:54.248921Z</t>
        </is>
      </c>
      <c r="C118" s="24" t="inlineStr">
        <is>
          <t>2026-08-06T11:00:00Z</t>
        </is>
      </c>
      <c r="D118" s="24" t="inlineStr">
        <is>
          <t>72492</t>
        </is>
      </c>
      <c r="E118" s="24" t="inlineStr">
        <is>
          <t>CS2</t>
        </is>
      </c>
      <c r="F118" s="24" t="inlineStr">
        <is>
          <t>SPARTA</t>
        </is>
      </c>
      <c r="G118" s="24" t="inlineStr">
        <is>
          <t>BET-M 33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0.551668</v>
      </c>
      <c r="P118" s="28" t="n"/>
      <c r="Q118" s="28" t="n">
        <v>-0.09868200000000001</v>
      </c>
      <c r="R118" s="26" t="n">
        <v>0</v>
      </c>
      <c r="S118" s="29" t="n">
        <v>0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</v>
      </c>
      <c r="AD118" s="24" t="inlineStr">
        <is>
          <t>2026-08-06T18:54:48.069664Z</t>
        </is>
      </c>
      <c r="AE118" s="31" t="inlineStr">
        <is>
          <t>Neutral Elo baseline; executable ask 0.6500 (market_slug=aec-cs2-33-sparta-2026-08-06).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SPARTA</t>
        </is>
      </c>
      <c r="AQ118" s="24" t="inlineStr">
        <is>
          <t>SPARTA</t>
        </is>
      </c>
      <c r="AR118" s="24" t="inlineStr">
        <is>
          <t>SPARTA</t>
        </is>
      </c>
      <c r="AS118" s="24" t="inlineStr">
        <is>
          <t>BET-M 33</t>
        </is>
      </c>
      <c r="AT118" s="24" t="inlineStr">
        <is>
          <t>BET-M 33</t>
        </is>
      </c>
      <c r="AU118" s="24" t="inlineStr">
        <is>
          <t>BET-M 33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95c0b03a7dffafd85c27ca9ed669e331e7385a1d064329e5a50c6fe806eb56d1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95c0b03a7dffafd85c27ca9ed669e331e7385a1d064329e5a50c6fe806eb56d1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2026-08-06T00:24:40.312261Z</t>
        </is>
      </c>
      <c r="BI118" s="24" t="inlineStr">
        <is>
          <t>["same_event","same_team_same_day","same_league_same_day"]</t>
        </is>
      </c>
      <c r="BJ118" s="25" t="n"/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822be2f4603240f5</t>
        </is>
      </c>
      <c r="B119" s="24" t="inlineStr">
        <is>
          <t>2026-08-06T00:24:54.248921Z</t>
        </is>
      </c>
      <c r="C119" s="24" t="inlineStr">
        <is>
          <t>2026-08-06T11:00:00Z</t>
        </is>
      </c>
      <c r="D119" s="24" t="inlineStr">
        <is>
          <t>70599</t>
        </is>
      </c>
      <c r="E119" s="24" t="inlineStr">
        <is>
          <t>CS2</t>
        </is>
      </c>
      <c r="F119" s="24" t="inlineStr">
        <is>
          <t>NAVI Junior</t>
        </is>
      </c>
      <c r="G119" s="24" t="inlineStr">
        <is>
          <t>eSuba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0.530687</v>
      </c>
      <c r="P119" s="28" t="n"/>
      <c r="Q119" s="28" t="n">
        <v>-0.059477</v>
      </c>
      <c r="R119" s="26" t="n">
        <v>0</v>
      </c>
      <c r="S119" s="29" t="n">
        <v>0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/>
      <c r="AA119" s="28" t="n"/>
      <c r="AB119" s="28" t="n"/>
      <c r="AC119" s="30" t="n">
        <v>0</v>
      </c>
      <c r="AD119" s="24" t="inlineStr">
        <is>
          <t>2026-08-06T18:54:50.841960Z</t>
        </is>
      </c>
      <c r="AE119" s="31" t="inlineStr">
        <is>
          <t>Neutral Elo baseline; executable ask 0.5900 (market_slug=aec-cs2-esb-navij-2026-08-06).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NAVI Junior</t>
        </is>
      </c>
      <c r="AQ119" s="24" t="inlineStr">
        <is>
          <t>NAVI Junior</t>
        </is>
      </c>
      <c r="AR119" s="24" t="inlineStr">
        <is>
          <t>NAVI Junior</t>
        </is>
      </c>
      <c r="AS119" s="24" t="inlineStr">
        <is>
          <t>eSuba</t>
        </is>
      </c>
      <c r="AT119" s="24" t="inlineStr">
        <is>
          <t>eSuba</t>
        </is>
      </c>
      <c r="AU119" s="24" t="inlineStr">
        <is>
          <t>eSuba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95c0b03a7dffafd85c27ca9ed669e331e7385a1d064329e5a50c6fe806eb56d1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95c0b03a7dffafd85c27ca9ed669e331e7385a1d064329e5a50c6fe806eb56d1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2026-08-06T00:24:40.958250Z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139cf1bea82f42c9</t>
        </is>
      </c>
      <c r="B120" s="24" t="inlineStr">
        <is>
          <t>2026-08-06T00:24:54.248921Z</t>
        </is>
      </c>
      <c r="C120" s="24" t="inlineStr">
        <is>
          <t>2026-08-06T12:00:00Z</t>
        </is>
      </c>
      <c r="D120" s="24" t="inlineStr">
        <is>
          <t>73434</t>
        </is>
      </c>
      <c r="E120" s="24" t="inlineStr">
        <is>
          <t>CS2</t>
        </is>
      </c>
      <c r="F120" s="24" t="inlineStr">
        <is>
          <t>1WIN</t>
        </is>
      </c>
      <c r="G120" s="24" t="inlineStr">
        <is>
          <t>Butterfly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0.641221</v>
      </c>
      <c r="P120" s="28" t="n"/>
      <c r="Q120" s="28" t="n">
        <v>-0.049181</v>
      </c>
      <c r="R120" s="26" t="n">
        <v>0</v>
      </c>
      <c r="S120" s="29" t="n">
        <v>0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/>
      <c r="AA120" s="28" t="n"/>
      <c r="AB120" s="28" t="n"/>
      <c r="AC120" s="30" t="n">
        <v>0</v>
      </c>
      <c r="AD120" s="24" t="inlineStr">
        <is>
          <t>2026-08-06T18:54:53.579174Z</t>
        </is>
      </c>
      <c r="AE120" s="31" t="inlineStr">
        <is>
          <t>Neutral Elo baseline; executable ask 0.6900 (market_slug=aec-cs2-btf-1win-2026-08-06).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1WIN</t>
        </is>
      </c>
      <c r="AQ120" s="24" t="inlineStr">
        <is>
          <t>1WIN</t>
        </is>
      </c>
      <c r="AR120" s="24" t="inlineStr">
        <is>
          <t>1WIN</t>
        </is>
      </c>
      <c r="AS120" s="24" t="inlineStr">
        <is>
          <t>Butterfly</t>
        </is>
      </c>
      <c r="AT120" s="24" t="inlineStr">
        <is>
          <t>Butterfly</t>
        </is>
      </c>
      <c r="AU120" s="24" t="inlineStr">
        <is>
          <t>Butterfly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95c0b03a7dffafd85c27ca9ed669e331e7385a1d064329e5a50c6fe806eb56d1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95c0b03a7dffafd85c27ca9ed669e331e7385a1d064329e5a50c6fe806eb56d1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2026-08-06T00:24:42.538668Z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</row>
    <row r="121" ht="36" customHeight="1">
      <c r="A121" s="24" t="inlineStr">
        <is>
          <t>5450f0099cc8455a</t>
        </is>
      </c>
      <c r="B121" s="24" t="inlineStr">
        <is>
          <t>2026-08-06T00:24:54.248921Z</t>
        </is>
      </c>
      <c r="C121" s="24" t="inlineStr">
        <is>
          <t>2026-08-06T14:00:00Z</t>
        </is>
      </c>
      <c r="D121" s="24" t="inlineStr">
        <is>
          <t>72650</t>
        </is>
      </c>
      <c r="E121" s="24" t="inlineStr">
        <is>
          <t>CS2</t>
        </is>
      </c>
      <c r="F121" s="24" t="inlineStr">
        <is>
          <t>MEIA NOITE</t>
        </is>
      </c>
      <c r="G121" s="24" t="inlineStr">
        <is>
          <t>paiN Academy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-233</v>
      </c>
      <c r="M121" s="27" t="n">
        <v>1.429185</v>
      </c>
      <c r="N121" s="28" t="n">
        <v>0.6997</v>
      </c>
      <c r="O121" s="28" t="n">
        <v>0.512843</v>
      </c>
      <c r="P121" s="28" t="n"/>
      <c r="Q121" s="28" t="n">
        <v>-0.186857</v>
      </c>
      <c r="R121" s="26" t="n">
        <v>0</v>
      </c>
      <c r="S121" s="29" t="n">
        <v>0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/>
      <c r="AA121" s="28" t="n"/>
      <c r="AB121" s="28" t="n"/>
      <c r="AC121" s="30" t="n">
        <v>0</v>
      </c>
      <c r="AD121" s="24" t="inlineStr">
        <is>
          <t>2026-08-06T18:54:56.190365Z</t>
        </is>
      </c>
      <c r="AE121" s="31" t="inlineStr">
        <is>
          <t>Neutral Elo baseline; executable ask 0.7000 (market_slug=aec-cs2-paina-mne-2026-08-06).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MEIA NOITE</t>
        </is>
      </c>
      <c r="AQ121" s="24" t="inlineStr">
        <is>
          <t>MEIA NOITE</t>
        </is>
      </c>
      <c r="AR121" s="24" t="inlineStr">
        <is>
          <t>MEIA NOITE</t>
        </is>
      </c>
      <c r="AS121" s="24" t="inlineStr">
        <is>
          <t>paiN Academy</t>
        </is>
      </c>
      <c r="AT121" s="24" t="inlineStr">
        <is>
          <t>paiN Academy</t>
        </is>
      </c>
      <c r="AU121" s="24" t="inlineStr">
        <is>
          <t>paiN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95c0b03a7dffafd85c27ca9ed669e331e7385a1d064329e5a50c6fe806eb56d1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95c0b03a7dffafd85c27ca9ed669e331e7385a1d064329e5a50c6fe806eb56d1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2026-08-06T00:24:43.039228Z</t>
        </is>
      </c>
      <c r="BI121" s="24" t="inlineStr">
        <is>
          <t>["same_event","same_team_same_day","same_league_same_day"]</t>
        </is>
      </c>
      <c r="BJ121" s="25" t="n"/>
      <c r="BK121" s="26" t="n">
        <v>-233</v>
      </c>
      <c r="BL121" s="27" t="n">
        <v>1.429185</v>
      </c>
      <c r="BM121" s="28" t="n">
        <v>0.6997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2075bdb5d4a34156</t>
        </is>
      </c>
      <c r="B122" s="24" t="inlineStr">
        <is>
          <t>2026-08-06T00:24:54.248921Z</t>
        </is>
      </c>
      <c r="C122" s="24" t="inlineStr">
        <is>
          <t>2026-08-06T14:00:00Z</t>
        </is>
      </c>
      <c r="D122" s="24" t="inlineStr">
        <is>
          <t>70694</t>
        </is>
      </c>
      <c r="E122" s="24" t="inlineStr">
        <is>
          <t>CS2</t>
        </is>
      </c>
      <c r="F122" s="24" t="inlineStr">
        <is>
          <t>maybe</t>
        </is>
      </c>
      <c r="G122" s="24" t="inlineStr">
        <is>
          <t>GamersLab Esports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-203</v>
      </c>
      <c r="M122" s="27" t="n">
        <v>1.492611</v>
      </c>
      <c r="N122" s="28" t="n">
        <v>0.669967</v>
      </c>
      <c r="O122" s="28" t="n">
        <v>0.52347</v>
      </c>
      <c r="P122" s="28" t="n"/>
      <c r="Q122" s="28" t="n">
        <v>-0.146497</v>
      </c>
      <c r="R122" s="26" t="n">
        <v>0</v>
      </c>
      <c r="S122" s="29" t="n">
        <v>0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/>
      <c r="AA122" s="28" t="n"/>
      <c r="AB122" s="28" t="n"/>
      <c r="AC122" s="30" t="n">
        <v>0</v>
      </c>
      <c r="AD122" s="24" t="inlineStr">
        <is>
          <t>2026-08-06T18:54:58.845872Z</t>
        </is>
      </c>
      <c r="AE122" s="31" t="inlineStr">
        <is>
          <t>Neutral Elo baseline; executable ask 0.6700 (market_slug=aec-cs2-gea-maybe-2026-08-06).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NO_CALL_WINNER_OVERVALUED</t>
        </is>
      </c>
      <c r="AP122" s="24" t="inlineStr">
        <is>
          <t>maybe</t>
        </is>
      </c>
      <c r="AQ122" s="24" t="inlineStr">
        <is>
          <t>maybe</t>
        </is>
      </c>
      <c r="AR122" s="24" t="inlineStr">
        <is>
          <t>maybe</t>
        </is>
      </c>
      <c r="AS122" s="24" t="inlineStr">
        <is>
          <t>GamersLab Esports</t>
        </is>
      </c>
      <c r="AT122" s="24" t="inlineStr">
        <is>
          <t>GamersLab Esports</t>
        </is>
      </c>
      <c r="AU122" s="24" t="inlineStr">
        <is>
          <t>GamersLab Esports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95c0b03a7dffafd85c27ca9ed669e331e7385a1d064329e5a50c6fe806eb56d1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95c0b03a7dffafd85c27ca9ed669e331e7385a1d064329e5a50c6fe806eb56d1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2026-08-06T00:24:43.516726Z</t>
        </is>
      </c>
      <c r="BI122" s="24" t="inlineStr">
        <is>
          <t>["same_event","same_team_same_day","same_league_same_day"]</t>
        </is>
      </c>
      <c r="BJ122" s="25" t="n"/>
      <c r="BK122" s="26" t="n">
        <v>-203</v>
      </c>
      <c r="BL122" s="27" t="n">
        <v>1.492611</v>
      </c>
      <c r="BM122" s="28" t="n">
        <v>0.669967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615890d988fc4433</t>
        </is>
      </c>
      <c r="B123" s="24" t="inlineStr">
        <is>
          <t>2026-08-06T00:24:54.248921Z</t>
        </is>
      </c>
      <c r="C123" s="24" t="inlineStr">
        <is>
          <t>2026-08-06T14:00:00Z</t>
        </is>
      </c>
      <c r="D123" s="24" t="inlineStr">
        <is>
          <t>70695</t>
        </is>
      </c>
      <c r="E123" s="24" t="inlineStr">
        <is>
          <t>CS2</t>
        </is>
      </c>
      <c r="F123" s="24" t="inlineStr">
        <is>
          <t>JAM</t>
        </is>
      </c>
      <c r="G123" s="24" t="inlineStr">
        <is>
          <t>NAVI Junior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0.531855</v>
      </c>
      <c r="P123" s="28" t="n"/>
      <c r="Q123" s="28" t="n">
        <v>0.07102600000000001</v>
      </c>
      <c r="R123" s="26" t="n">
        <v>56</v>
      </c>
      <c r="S123" s="29" t="n">
        <v>0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0</v>
      </c>
      <c r="AD123" s="24" t="inlineStr">
        <is>
          <t>2026-08-06T18:55:01.621189Z</t>
        </is>
      </c>
      <c r="AE123" s="31" t="inlineStr">
        <is>
          <t>Neutral Elo baseline; executable ask 0.4600 (market_slug=aec-cs2-navij-jam-2026-08-06).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NO_CALL_WINNER_OVERVALUED</t>
        </is>
      </c>
      <c r="AP123" s="24" t="inlineStr">
        <is>
          <t>JAM</t>
        </is>
      </c>
      <c r="AQ123" s="24" t="inlineStr">
        <is>
          <t>JAM</t>
        </is>
      </c>
      <c r="AR123" s="24" t="inlineStr">
        <is>
          <t>JAM</t>
        </is>
      </c>
      <c r="AS123" s="24" t="inlineStr">
        <is>
          <t>NAVI Junior</t>
        </is>
      </c>
      <c r="AT123" s="24" t="inlineStr">
        <is>
          <t>NAVI Junior</t>
        </is>
      </c>
      <c r="AU123" s="24" t="inlineStr">
        <is>
          <t>NAVI Junior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95c0b03a7dffafd85c27ca9ed669e331e7385a1d064329e5a50c6fe806eb56d1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95c0b03a7dffafd85c27ca9ed669e331e7385a1d064329e5a50c6fe806eb56d1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2026-08-06T00:24:44.034404Z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068ea51cc876425d</t>
        </is>
      </c>
      <c r="B124" s="24" t="inlineStr">
        <is>
          <t>2026-08-06T00:24:54.248921Z</t>
        </is>
      </c>
      <c r="C124" s="24" t="inlineStr">
        <is>
          <t>2026-08-06T14:00:00Z</t>
        </is>
      </c>
      <c r="D124" s="24" t="inlineStr">
        <is>
          <t>72496</t>
        </is>
      </c>
      <c r="E124" s="24" t="inlineStr">
        <is>
          <t>CS2</t>
        </is>
      </c>
      <c r="F124" s="24" t="inlineStr">
        <is>
          <t>UNiTY esports</t>
        </is>
      </c>
      <c r="G124" s="24" t="inlineStr">
        <is>
          <t>Walczaki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-194</v>
      </c>
      <c r="M124" s="27" t="n">
        <v>1.515464</v>
      </c>
      <c r="N124" s="28" t="n">
        <v>0.659864</v>
      </c>
      <c r="O124" s="28" t="n">
        <v>0.6187049999999999</v>
      </c>
      <c r="P124" s="28" t="n"/>
      <c r="Q124" s="28" t="n">
        <v>-0.041159</v>
      </c>
      <c r="R124" s="26" t="n">
        <v>0</v>
      </c>
      <c r="S124" s="29" t="n">
        <v>0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/>
      <c r="AA124" s="28" t="n"/>
      <c r="AB124" s="28" t="n"/>
      <c r="AC124" s="30" t="n">
        <v>0</v>
      </c>
      <c r="AD124" s="24" t="inlineStr">
        <is>
          <t>2026-08-06T18:55:04.286551Z</t>
        </is>
      </c>
      <c r="AE124" s="31" t="inlineStr">
        <is>
          <t>Neutral Elo baseline; executable ask 0.6600 (market_slug=aec-cs2-wal-unity-2026-08-06).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NO_CALL_WINNER_OVERVALUED</t>
        </is>
      </c>
      <c r="AP124" s="24" t="inlineStr">
        <is>
          <t>UNiTY esports</t>
        </is>
      </c>
      <c r="AQ124" s="24" t="inlineStr">
        <is>
          <t>UNiTY esports</t>
        </is>
      </c>
      <c r="AR124" s="24" t="inlineStr">
        <is>
          <t>UNiTY esports</t>
        </is>
      </c>
      <c r="AS124" s="24" t="inlineStr">
        <is>
          <t>Walczaki</t>
        </is>
      </c>
      <c r="AT124" s="24" t="inlineStr">
        <is>
          <t>Walczaki</t>
        </is>
      </c>
      <c r="AU124" s="24" t="inlineStr">
        <is>
          <t>Walczaki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95c0b03a7dffafd85c27ca9ed669e331e7385a1d064329e5a50c6fe806eb56d1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95c0b03a7dffafd85c27ca9ed669e331e7385a1d064329e5a50c6fe806eb56d1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2026-08-06T00:24:44.602889Z</t>
        </is>
      </c>
      <c r="BI124" s="24" t="inlineStr">
        <is>
          <t>["same_event","same_team_same_day","same_league_same_day"]</t>
        </is>
      </c>
      <c r="BJ124" s="25" t="n"/>
      <c r="BK124" s="26" t="n">
        <v>-194</v>
      </c>
      <c r="BL124" s="27" t="n">
        <v>1.515464</v>
      </c>
      <c r="BM124" s="28" t="n">
        <v>0.659864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6f61c88ff9ba4d43</t>
        </is>
      </c>
      <c r="B125" s="24" t="inlineStr">
        <is>
          <t>2026-08-06T00:24:54.248921Z</t>
        </is>
      </c>
      <c r="C125" s="24" t="inlineStr">
        <is>
          <t>2026-08-06T17:00:00Z</t>
        </is>
      </c>
      <c r="D125" s="24" t="inlineStr">
        <is>
          <t>72651</t>
        </is>
      </c>
      <c r="E125" s="24" t="inlineStr">
        <is>
          <t>CS2</t>
        </is>
      </c>
      <c r="F125" s="24" t="inlineStr">
        <is>
          <t>Yawara Esports</t>
        </is>
      </c>
      <c r="G125" s="24" t="inlineStr">
        <is>
          <t>Isurus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0.745356</v>
      </c>
      <c r="P125" s="28" t="n"/>
      <c r="Q125" s="28" t="n">
        <v>0.174541</v>
      </c>
      <c r="R125" s="26" t="n">
        <v>100</v>
      </c>
      <c r="S125" s="29" t="n">
        <v>2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2026-08-07T06:00:27.589573Z</t>
        </is>
      </c>
      <c r="AE125" s="31" t="inlineStr">
        <is>
          <t>Neutral Elo baseline; executable ask 0.5700 (market_slug=aec-cs2-isg-yaw-2026-08-06).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Yawara Esports</t>
        </is>
      </c>
      <c r="AQ125" s="24" t="inlineStr">
        <is>
          <t>Yawara Esports</t>
        </is>
      </c>
      <c r="AR125" s="24" t="inlineStr">
        <is>
          <t>Yawara Esports</t>
        </is>
      </c>
      <c r="AS125" s="24" t="inlineStr">
        <is>
          <t>Isurus</t>
        </is>
      </c>
      <c r="AT125" s="24" t="inlineStr">
        <is>
          <t>Isurus</t>
        </is>
      </c>
      <c r="AU125" s="24" t="inlineStr">
        <is>
          <t>Isurus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95c0b03a7dffafd85c27ca9ed669e331e7385a1d064329e5a50c6fe806eb56d1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95c0b03a7dffafd85c27ca9ed669e331e7385a1d064329e5a50c6fe806eb56d1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2026-08-06T00:24:47.216028Z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7dd968f07cc04505</t>
        </is>
      </c>
      <c r="B126" s="24" t="inlineStr">
        <is>
          <t>2026-08-06T00:24:54.248921Z</t>
        </is>
      </c>
      <c r="C126" s="24" t="inlineStr">
        <is>
          <t>2026-08-06T17:00:00Z</t>
        </is>
      </c>
      <c r="D126" s="24" t="inlineStr">
        <is>
          <t>72500</t>
        </is>
      </c>
      <c r="E126" s="24" t="inlineStr">
        <is>
          <t>CS2</t>
        </is>
      </c>
      <c r="F126" s="24" t="inlineStr">
        <is>
          <t>ex-RUSTEC</t>
        </is>
      </c>
      <c r="G126" s="24" t="inlineStr">
        <is>
          <t>WW Team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144</v>
      </c>
      <c r="M126" s="27" t="n">
        <v>2.44</v>
      </c>
      <c r="N126" s="28" t="n">
        <v>0.409836</v>
      </c>
      <c r="O126" s="28" t="n">
        <v>0.592759</v>
      </c>
      <c r="P126" s="28" t="n"/>
      <c r="Q126" s="28" t="n">
        <v>0.182923</v>
      </c>
      <c r="R126" s="26" t="n">
        <v>100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1.8</v>
      </c>
      <c r="AD126" s="24" t="inlineStr">
        <is>
          <t>2026-08-07T06:00:29.622524Z</t>
        </is>
      </c>
      <c r="AE126" s="31" t="inlineStr">
        <is>
          <t>Neutral Elo baseline; executable ask 0.4100 (market_slug=aec-cs2-ww-erx-2026-08-06).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ex-RUSTEC</t>
        </is>
      </c>
      <c r="AQ126" s="24" t="inlineStr">
        <is>
          <t>ex-RUSTEC</t>
        </is>
      </c>
      <c r="AR126" s="24" t="inlineStr">
        <is>
          <t>ex-RUSTEC</t>
        </is>
      </c>
      <c r="AS126" s="24" t="inlineStr">
        <is>
          <t>WW Team</t>
        </is>
      </c>
      <c r="AT126" s="24" t="inlineStr">
        <is>
          <t>WW Team</t>
        </is>
      </c>
      <c r="AU126" s="24" t="inlineStr">
        <is>
          <t>WW Team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95c0b03a7dffafd85c27ca9ed669e331e7385a1d064329e5a50c6fe806eb56d1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95c0b03a7dffafd85c27ca9ed669e331e7385a1d064329e5a50c6fe806eb56d1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2026-08-06T00:24:47.696661Z</t>
        </is>
      </c>
      <c r="BI126" s="24" t="inlineStr">
        <is>
          <t>["same_event","same_team_same_day","same_league_same_day"]</t>
        </is>
      </c>
      <c r="BJ126" s="25" t="n"/>
      <c r="BK126" s="26" t="n">
        <v>144</v>
      </c>
      <c r="BL126" s="27" t="n">
        <v>2.44</v>
      </c>
      <c r="BM126" s="28" t="n">
        <v>0.409836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a30214ade1114ffb</t>
        </is>
      </c>
      <c r="B127" s="24" t="inlineStr">
        <is>
          <t>2026-08-06T03:30:48.016807Z</t>
        </is>
      </c>
      <c r="C127" s="24" t="inlineStr">
        <is>
          <t>2026-08-06T08:00:00Z</t>
        </is>
      </c>
      <c r="D127" s="24" t="inlineStr">
        <is>
          <t>70561</t>
        </is>
      </c>
      <c r="E127" s="24" t="inlineStr">
        <is>
          <t>CS2</t>
        </is>
      </c>
      <c r="F127" s="24" t="inlineStr">
        <is>
          <t>Esport Academy Copenhagen</t>
        </is>
      </c>
      <c r="G127" s="24" t="inlineStr">
        <is>
          <t>Eternal Fire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0.672341</v>
      </c>
      <c r="P127" s="28" t="n"/>
      <c r="Q127" s="28" t="n">
        <v>0.09250899999999999</v>
      </c>
      <c r="R127" s="26" t="n">
        <v>66</v>
      </c>
      <c r="S127" s="29" t="n">
        <v>1.75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-1.75</v>
      </c>
      <c r="AD127" s="24" t="inlineStr">
        <is>
          <t>2026-08-06T18:55:09.337616Z</t>
        </is>
      </c>
      <c r="AE127" s="31" t="inlineStr">
        <is>
          <t>Neutral Elo baseline; executable ask 0.5800 (market_slug=aec-cs2-efa-eac-2026-08-06).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Esport Academy Copenhagen</t>
        </is>
      </c>
      <c r="AQ127" s="24" t="inlineStr">
        <is>
          <t>Esport Academy Copenhagen</t>
        </is>
      </c>
      <c r="AR127" s="24" t="inlineStr">
        <is>
          <t>Esport Academy Copenhagen</t>
        </is>
      </c>
      <c r="AS127" s="24" t="inlineStr">
        <is>
          <t>Eternal Fire Academy</t>
        </is>
      </c>
      <c r="AT127" s="24" t="inlineStr">
        <is>
          <t>Eternal Fire Academy</t>
        </is>
      </c>
      <c r="AU127" s="24" t="inlineStr">
        <is>
          <t>Eternal Fire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fe03335fd93db1544dba21d90e64b614b66d4504f6b07bd760b4633bb3785ef9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fe03335fd93db1544dba21d90e64b614b66d4504f6b07bd760b4633bb3785ef9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2026-08-06T03:30:28.428004Z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fa7a3265b8344f1c</t>
        </is>
      </c>
      <c r="B128" s="24" t="inlineStr">
        <is>
          <t>2026-08-06T03:30:48.016807Z</t>
        </is>
      </c>
      <c r="C128" s="24" t="inlineStr">
        <is>
          <t>2026-08-06T14:45:00Z</t>
        </is>
      </c>
      <c r="D128" s="24" t="inlineStr">
        <is>
          <t>70715</t>
        </is>
      </c>
      <c r="E128" s="24" t="inlineStr">
        <is>
          <t>CS2</t>
        </is>
      </c>
      <c r="F128" s="24" t="inlineStr">
        <is>
          <t>Perfecto Club</t>
        </is>
      </c>
      <c r="G128" s="24" t="inlineStr">
        <is>
          <t>Buster Club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-150</v>
      </c>
      <c r="M128" s="27" t="n">
        <v>1.666667</v>
      </c>
      <c r="N128" s="28" t="n">
        <v>0.6</v>
      </c>
      <c r="O128" s="28" t="n">
        <v>0.51489</v>
      </c>
      <c r="P128" s="28" t="n"/>
      <c r="Q128" s="28" t="n">
        <v>-0.08511000000000001</v>
      </c>
      <c r="R128" s="26" t="n">
        <v>0</v>
      </c>
      <c r="S128" s="29" t="n">
        <v>0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</v>
      </c>
      <c r="AD128" s="24" t="inlineStr">
        <is>
          <t>2026-08-06T18:55:11.902480Z</t>
        </is>
      </c>
      <c r="AE128" s="31" t="inlineStr">
        <is>
          <t>Neutral Elo baseline; executable ask 0.6000 (market_slug=aec-cs2-bcu-pce-2026-08-06).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NO_CALL_WINNER_OVERVALUED</t>
        </is>
      </c>
      <c r="AP128" s="24" t="inlineStr">
        <is>
          <t>Perfecto Club</t>
        </is>
      </c>
      <c r="AQ128" s="24" t="inlineStr">
        <is>
          <t>Perfecto Club</t>
        </is>
      </c>
      <c r="AR128" s="24" t="inlineStr">
        <is>
          <t>Perfecto Club</t>
        </is>
      </c>
      <c r="AS128" s="24" t="inlineStr">
        <is>
          <t>Buster Club</t>
        </is>
      </c>
      <c r="AT128" s="24" t="inlineStr">
        <is>
          <t>Buster Club</t>
        </is>
      </c>
      <c r="AU128" s="24" t="inlineStr">
        <is>
          <t>Buster Club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fe03335fd93db1544dba21d90e64b614b66d4504f6b07bd760b4633bb3785ef9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fe03335fd93db1544dba21d90e64b614b66d4504f6b07bd760b4633bb3785ef9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2026-08-06T03:30:38.112733Z</t>
        </is>
      </c>
      <c r="BI128" s="24" t="inlineStr">
        <is>
          <t>["same_event","same_team_same_day","same_league_same_day"]</t>
        </is>
      </c>
      <c r="BJ128" s="25" t="n"/>
      <c r="BK128" s="26" t="n">
        <v>-150</v>
      </c>
      <c r="BL128" s="27" t="n">
        <v>1.666667</v>
      </c>
      <c r="BM128" s="28" t="n">
        <v>0.6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56fda51ec6644713</t>
        </is>
      </c>
      <c r="B129" s="24" t="inlineStr">
        <is>
          <t>2026-08-06T03:30:48.016807Z</t>
        </is>
      </c>
      <c r="C129" s="24" t="inlineStr">
        <is>
          <t>2026-08-06T18:30:00Z</t>
        </is>
      </c>
      <c r="D129" s="24" t="inlineStr">
        <is>
          <t>73443</t>
        </is>
      </c>
      <c r="E129" s="24" t="inlineStr">
        <is>
          <t>CS2</t>
        </is>
      </c>
      <c r="F129" s="24" t="inlineStr">
        <is>
          <t>Donstu Esports</t>
        </is>
      </c>
      <c r="G129" s="24" t="inlineStr">
        <is>
          <t>NEW VISION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138</v>
      </c>
      <c r="M129" s="27" t="n">
        <v>2.38</v>
      </c>
      <c r="N129" s="28" t="n">
        <v>0.420168</v>
      </c>
      <c r="O129" s="28" t="n">
        <v>0.5122910000000001</v>
      </c>
      <c r="P129" s="28" t="n"/>
      <c r="Q129" s="28" t="n">
        <v>0.092123</v>
      </c>
      <c r="R129" s="26" t="n">
        <v>66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1.38</v>
      </c>
      <c r="AD129" s="24" t="inlineStr">
        <is>
          <t>2026-08-07T06:00:31.677595Z</t>
        </is>
      </c>
      <c r="AE129" s="31" t="inlineStr">
        <is>
          <t>Neutral Elo baseline; executable ask 0.4200 (market_slug=aec-cs2-nve-dnt-2026-08-06).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Donstu Esports</t>
        </is>
      </c>
      <c r="AQ129" s="24" t="inlineStr">
        <is>
          <t>Donstu Esports</t>
        </is>
      </c>
      <c r="AR129" s="24" t="inlineStr">
        <is>
          <t>Donstu Esports</t>
        </is>
      </c>
      <c r="AS129" s="24" t="inlineStr">
        <is>
          <t>NEW VISION</t>
        </is>
      </c>
      <c r="AT129" s="24" t="inlineStr">
        <is>
          <t>NEW VISION</t>
        </is>
      </c>
      <c r="AU129" s="24" t="inlineStr">
        <is>
          <t>NEW VISION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fe03335fd93db1544dba21d90e64b614b66d4504f6b07bd760b4633bb3785ef9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fe03335fd93db1544dba21d90e64b614b66d4504f6b07bd760b4633bb3785ef9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2026-08-06T03:30:43.111721Z</t>
        </is>
      </c>
      <c r="BI129" s="24" t="inlineStr">
        <is>
          <t>["same_event","same_team_same_day","same_league_same_day"]</t>
        </is>
      </c>
      <c r="BJ129" s="25" t="n"/>
      <c r="BK129" s="26" t="n">
        <v>138</v>
      </c>
      <c r="BL129" s="27" t="n">
        <v>2.38</v>
      </c>
      <c r="BM129" s="28" t="n">
        <v>0.420168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</row>
    <row r="130" ht="36" customHeight="1">
      <c r="A130" s="24" t="inlineStr">
        <is>
          <t>5ed538e7f4a544f3</t>
        </is>
      </c>
      <c r="B130" s="24" t="inlineStr">
        <is>
          <t>2026-08-06T03:30:48.016807Z</t>
        </is>
      </c>
      <c r="C130" s="24" t="inlineStr">
        <is>
          <t>2026-08-06T18:30:00Z</t>
        </is>
      </c>
      <c r="D130" s="24" t="inlineStr">
        <is>
          <t>73445</t>
        </is>
      </c>
      <c r="E130" s="24" t="inlineStr">
        <is>
          <t>CS2</t>
        </is>
      </c>
      <c r="F130" s="24" t="inlineStr">
        <is>
          <t>XI Esport</t>
        </is>
      </c>
      <c r="G130" s="24" t="inlineStr">
        <is>
          <t>GoldRashers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0.514895</v>
      </c>
      <c r="P130" s="28" t="n"/>
      <c r="Q130" s="28" t="n">
        <v>0.12427</v>
      </c>
      <c r="R130" s="26" t="n">
        <v>82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2026-08-07T06:00:33.842910Z</t>
        </is>
      </c>
      <c r="AE130" s="31" t="inlineStr">
        <is>
          <t>Neutral Elo baseline; executable ask 0.3900 (market_slug=aec-cs2-gol-xi-2026-08-06).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XI Esport</t>
        </is>
      </c>
      <c r="AQ130" s="24" t="inlineStr">
        <is>
          <t>XI Esport</t>
        </is>
      </c>
      <c r="AR130" s="24" t="inlineStr">
        <is>
          <t>XI Esport</t>
        </is>
      </c>
      <c r="AS130" s="24" t="inlineStr">
        <is>
          <t>GoldRashers</t>
        </is>
      </c>
      <c r="AT130" s="24" t="inlineStr">
        <is>
          <t>GoldRashers</t>
        </is>
      </c>
      <c r="AU130" s="24" t="inlineStr">
        <is>
          <t>GoldRashers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fe03335fd93db1544dba21d90e64b614b66d4504f6b07bd760b4633bb3785ef9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fe03335fd93db1544dba21d90e64b614b66d4504f6b07bd760b4633bb3785ef9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2026-08-06T03:30:44.230857Z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4a3204911683462b</t>
        </is>
      </c>
      <c r="B131" s="24" t="inlineStr">
        <is>
          <t>2026-08-06T19:00:44.109783Z</t>
        </is>
      </c>
      <c r="C131" s="24" t="inlineStr">
        <is>
          <t>2026-08-06T20:00:00Z</t>
        </is>
      </c>
      <c r="D131" s="24" t="inlineStr">
        <is>
          <t>72652</t>
        </is>
      </c>
      <c r="E131" s="24" t="inlineStr">
        <is>
          <t>CS2</t>
        </is>
      </c>
      <c r="F131" s="24" t="inlineStr">
        <is>
          <t>Procyon Gaming</t>
        </is>
      </c>
      <c r="G131" s="24" t="inlineStr">
        <is>
          <t>METANOIA WOLVES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0.542916</v>
      </c>
      <c r="P131" s="28" t="n"/>
      <c r="Q131" s="28" t="n">
        <v>0.13308</v>
      </c>
      <c r="R131" s="26" t="n">
        <v>87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144</v>
      </c>
      <c r="AA131" s="28" t="n">
        <v>0.41</v>
      </c>
      <c r="AB131" s="28" t="n">
        <v>0.000164</v>
      </c>
      <c r="AC131" s="30" t="n">
        <v>1.44</v>
      </c>
      <c r="AD131" s="24" t="inlineStr">
        <is>
          <t>2026-08-07T06:00:35.814668Z</t>
        </is>
      </c>
      <c r="AE131" s="31" t="inlineStr">
        <is>
          <t>Neutral Elo baseline; executable ask 0.4100 (market_slug=aec-cs2-mw-pcy-2026-08-06).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Procyon Gaming</t>
        </is>
      </c>
      <c r="AQ131" s="24" t="inlineStr">
        <is>
          <t>Procyon Gaming</t>
        </is>
      </c>
      <c r="AR131" s="24" t="inlineStr">
        <is>
          <t>Procyon Gaming</t>
        </is>
      </c>
      <c r="AS131" s="24" t="inlineStr">
        <is>
          <t>METANOIA WOLVES</t>
        </is>
      </c>
      <c r="AT131" s="24" t="inlineStr">
        <is>
          <t>METANOIA WOLVES</t>
        </is>
      </c>
      <c r="AU131" s="24" t="inlineStr">
        <is>
          <t>METANOIA WOLVES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ba62d4174c52c7a2934bcbd8b028649e6d31b496f5b9eab70ce8b6a17fb58aa6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ba62d4174c52c7a2934bcbd8b028649e6d31b496f5b9eab70ce8b6a17fb58aa6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2026-08-06T19:00:13.521189Z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>
        <v>2.44</v>
      </c>
      <c r="BR131" s="28" t="n">
        <v>0.41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72978a16e01c4e2f</t>
        </is>
      </c>
      <c r="B132" s="24" t="inlineStr">
        <is>
          <t>2026-08-07T06:06:07.441108Z</t>
        </is>
      </c>
      <c r="C132" s="24" t="inlineStr">
        <is>
          <t>2026-08-07T08:00:00Z</t>
        </is>
      </c>
      <c r="D132" s="24" t="inlineStr">
        <is>
          <t>72803</t>
        </is>
      </c>
      <c r="E132" s="24" t="inlineStr">
        <is>
          <t>CS2</t>
        </is>
      </c>
      <c r="F132" s="24" t="inlineStr">
        <is>
          <t>Butterfly</t>
        </is>
      </c>
      <c r="G132" s="24" t="inlineStr">
        <is>
          <t>Just Players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-163</v>
      </c>
      <c r="M132" s="27" t="n">
        <v>1.613497</v>
      </c>
      <c r="N132" s="28" t="n">
        <v>0.619772</v>
      </c>
      <c r="O132" s="28" t="n">
        <v>0.541913</v>
      </c>
      <c r="P132" s="28" t="n"/>
      <c r="Q132" s="28" t="n">
        <v>-0.077859</v>
      </c>
      <c r="R132" s="26" t="n">
        <v>0</v>
      </c>
      <c r="S132" s="29" t="n">
        <v>0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-163</v>
      </c>
      <c r="AA132" s="28" t="n">
        <v>0.62</v>
      </c>
      <c r="AB132" s="28" t="n">
        <v>0.000228</v>
      </c>
      <c r="AC132" s="30" t="n">
        <v>0</v>
      </c>
      <c r="AD132" s="24" t="inlineStr">
        <is>
          <t>2026-08-07T12:12:50.585885Z</t>
        </is>
      </c>
      <c r="AE132" s="31" t="inlineStr">
        <is>
          <t>Neutral Elo baseline; executable ask 0.6200 (market_slug=aec-cs2-jpu-btf-2026-08-07).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NO_CALL_WINNER_OVERVALUED</t>
        </is>
      </c>
      <c r="AP132" s="24" t="inlineStr">
        <is>
          <t>Butterfly</t>
        </is>
      </c>
      <c r="AQ132" s="24" t="inlineStr">
        <is>
          <t>Butterfly</t>
        </is>
      </c>
      <c r="AR132" s="24" t="inlineStr">
        <is>
          <t>Butterfly</t>
        </is>
      </c>
      <c r="AS132" s="24" t="inlineStr">
        <is>
          <t>Just Players</t>
        </is>
      </c>
      <c r="AT132" s="24" t="inlineStr">
        <is>
          <t>Just Players</t>
        </is>
      </c>
      <c r="AU132" s="24" t="inlineStr">
        <is>
          <t>Just Players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cfb18a4c5dd9cd86deb9f3f8da3e6c309d1fba85e6dd2af9e67ce04ac966ad26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cfb18a4c5dd9cd86deb9f3f8da3e6c309d1fba85e6dd2af9e67ce04ac966ad26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2026-08-07T06:05:13.000252Z</t>
        </is>
      </c>
      <c r="BI132" s="24" t="inlineStr">
        <is>
          <t>["same_event","same_team_same_day","same_league_same_day"]</t>
        </is>
      </c>
      <c r="BJ132" s="25" t="n"/>
      <c r="BK132" s="26" t="n">
        <v>-163</v>
      </c>
      <c r="BL132" s="27" t="n">
        <v>1.613497</v>
      </c>
      <c r="BM132" s="28" t="n">
        <v>0.619772</v>
      </c>
      <c r="BN132" s="28" t="n"/>
      <c r="BO132" s="28" t="n"/>
      <c r="BP132" s="25" t="n"/>
      <c r="BQ132" s="27" t="n">
        <v>1.613497</v>
      </c>
      <c r="BR132" s="28" t="n">
        <v>0.62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a3ec9baa1c614603</t>
        </is>
      </c>
      <c r="B133" s="24" t="inlineStr">
        <is>
          <t>2026-08-07T06:06:07.441108Z</t>
        </is>
      </c>
      <c r="C133" s="24" t="inlineStr">
        <is>
          <t>2026-08-07T09:00:00Z</t>
        </is>
      </c>
      <c r="D133" s="24" t="inlineStr">
        <is>
          <t>73755</t>
        </is>
      </c>
      <c r="E133" s="24" t="inlineStr">
        <is>
          <t>CS2</t>
        </is>
      </c>
      <c r="F133" s="24" t="inlineStr">
        <is>
          <t>SNAILKICK Club</t>
        </is>
      </c>
      <c r="G133" s="24" t="inlineStr">
        <is>
          <t>Lixxx Club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0.514947</v>
      </c>
      <c r="P133" s="28" t="n"/>
      <c r="Q133" s="28" t="n">
        <v>-0.085053</v>
      </c>
      <c r="R133" s="26" t="n">
        <v>0</v>
      </c>
      <c r="S133" s="29" t="n">
        <v>0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-150</v>
      </c>
      <c r="AA133" s="28" t="n">
        <v>0.6</v>
      </c>
      <c r="AB133" s="28" t="n">
        <v>0</v>
      </c>
      <c r="AC133" s="30" t="n">
        <v>0</v>
      </c>
      <c r="AD133" s="24" t="inlineStr">
        <is>
          <t>2026-08-07T12:12:52.523617Z</t>
        </is>
      </c>
      <c r="AE133" s="31" t="inlineStr">
        <is>
          <t>Neutral Elo baseline; executable ask 0.6000 (market_slug=aec-cs2-lci-scn-2026-08-07).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NO_CALL_WINNER_OVERVALUED</t>
        </is>
      </c>
      <c r="AP133" s="24" t="inlineStr">
        <is>
          <t>SNAILKICK Club</t>
        </is>
      </c>
      <c r="AQ133" s="24" t="inlineStr">
        <is>
          <t>SNAILKICK Club</t>
        </is>
      </c>
      <c r="AR133" s="24" t="inlineStr">
        <is>
          <t>SNAILKICK Club</t>
        </is>
      </c>
      <c r="AS133" s="24" t="inlineStr">
        <is>
          <t>Lixxx Club</t>
        </is>
      </c>
      <c r="AT133" s="24" t="inlineStr">
        <is>
          <t>Lixxx Club</t>
        </is>
      </c>
      <c r="AU133" s="24" t="inlineStr">
        <is>
          <t>Lixxx Club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cfb18a4c5dd9cd86deb9f3f8da3e6c309d1fba85e6dd2af9e67ce04ac966ad26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cfb18a4c5dd9cd86deb9f3f8da3e6c309d1fba85e6dd2af9e67ce04ac966ad26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2026-08-07T06:05:35.796866Z</t>
        </is>
      </c>
      <c r="BI133" s="24" t="inlineStr">
        <is>
          <t>["same_event","same_team_same_day","same_league_same_day"]</t>
        </is>
      </c>
      <c r="BJ133" s="25" t="n"/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>
        <v>1.666667</v>
      </c>
      <c r="BR133" s="28" t="n">
        <v>0.6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92f989621fd24bb6</t>
        </is>
      </c>
      <c r="B134" s="24" t="inlineStr">
        <is>
          <t>2026-08-07T09:11:47.142508Z</t>
        </is>
      </c>
      <c r="C134" s="24" t="inlineStr">
        <is>
          <t>2026-08-07T10:00:00Z</t>
        </is>
      </c>
      <c r="D134" s="24" t="inlineStr">
        <is>
          <t>73740</t>
        </is>
      </c>
      <c r="E134" s="24" t="inlineStr">
        <is>
          <t>CS2</t>
        </is>
      </c>
      <c r="F134" s="24" t="inlineStr">
        <is>
          <t>Arcade Esports</t>
        </is>
      </c>
      <c r="G134" s="24" t="inlineStr">
        <is>
          <t>Abyssal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0.513289</v>
      </c>
      <c r="P134" s="28" t="n"/>
      <c r="Q134" s="28" t="n">
        <v>-0.116341</v>
      </c>
      <c r="R134" s="26" t="n">
        <v>0</v>
      </c>
      <c r="S134" s="29" t="n">
        <v>0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-170</v>
      </c>
      <c r="AA134" s="28" t="n">
        <v>0.63</v>
      </c>
      <c r="AB134" s="28" t="n">
        <v>0.00037</v>
      </c>
      <c r="AC134" s="30" t="n">
        <v>0</v>
      </c>
      <c r="AD134" s="24" t="inlineStr">
        <is>
          <t>2026-08-07T12:12:54.468423Z</t>
        </is>
      </c>
      <c r="AE134" s="31" t="inlineStr">
        <is>
          <t>Neutral Elo baseline; executable ask 0.6300 (market_slug=aec-cs2-aby-aer-2026-08-07).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NO_CALL_WINNER_OVERVALUED</t>
        </is>
      </c>
      <c r="AP134" s="24" t="inlineStr">
        <is>
          <t>Arcade Esports</t>
        </is>
      </c>
      <c r="AQ134" s="24" t="inlineStr">
        <is>
          <t>Arcade Esports</t>
        </is>
      </c>
      <c r="AR134" s="24" t="inlineStr">
        <is>
          <t>Arcade Esports</t>
        </is>
      </c>
      <c r="AS134" s="24" t="inlineStr">
        <is>
          <t>Abyssal</t>
        </is>
      </c>
      <c r="AT134" s="24" t="inlineStr">
        <is>
          <t>Abyssal</t>
        </is>
      </c>
      <c r="AU134" s="24" t="inlineStr">
        <is>
          <t>Abyssal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358d57aa29e758f0c458ee789089118096199f59cf8b88918d9c205e9f5bc5fb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358d57aa29e758f0c458ee789089118096199f59cf8b88918d9c205e9f5bc5fb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2026-08-07T09:11:20.844085Z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>
        <v>1.588235</v>
      </c>
      <c r="BR134" s="28" t="n">
        <v>0.63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80c92fc0c9ae409d</t>
        </is>
      </c>
      <c r="B135" s="24" t="inlineStr">
        <is>
          <t>2026-08-07T09:11:47.142508Z</t>
        </is>
      </c>
      <c r="C135" s="24" t="inlineStr">
        <is>
          <t>2026-08-07T10:00:00Z</t>
        </is>
      </c>
      <c r="D135" s="24" t="inlineStr">
        <is>
          <t>71823</t>
        </is>
      </c>
      <c r="E135" s="24" t="inlineStr">
        <is>
          <t>CS2</t>
        </is>
      </c>
      <c r="F135" s="24" t="inlineStr">
        <is>
          <t>Mindfreak</t>
        </is>
      </c>
      <c r="G135" s="24" t="inlineStr">
        <is>
          <t>FURY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-144</v>
      </c>
      <c r="M135" s="27" t="n">
        <v>1.694444</v>
      </c>
      <c r="N135" s="28" t="n">
        <v>0.590164</v>
      </c>
      <c r="O135" s="28" t="n">
        <v>0.5171</v>
      </c>
      <c r="P135" s="28" t="n"/>
      <c r="Q135" s="28" t="n">
        <v>-0.073064</v>
      </c>
      <c r="R135" s="26" t="n">
        <v>0</v>
      </c>
      <c r="S135" s="29" t="n">
        <v>0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1</v>
      </c>
      <c r="X135" s="26" t="n">
        <v>0</v>
      </c>
      <c r="Y135" s="25" t="n"/>
      <c r="Z135" s="26" t="n">
        <v>-144</v>
      </c>
      <c r="AA135" s="28" t="n">
        <v>0.59</v>
      </c>
      <c r="AB135" s="28" t="n">
        <v>-0.000164</v>
      </c>
      <c r="AC135" s="30" t="n">
        <v>0</v>
      </c>
      <c r="AD135" s="24" t="inlineStr">
        <is>
          <t>2026-08-07T12:12:56.460066Z</t>
        </is>
      </c>
      <c r="AE135" s="31" t="inlineStr">
        <is>
          <t>Neutral Elo baseline; executable ask 0.5900 (market_slug=aec-cs2-fury-mf-2026-08-07).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NO_CALL_WINNER_OVERVALUED</t>
        </is>
      </c>
      <c r="AP135" s="24" t="inlineStr">
        <is>
          <t>Mindfreak</t>
        </is>
      </c>
      <c r="AQ135" s="24" t="inlineStr">
        <is>
          <t>Mindfreak</t>
        </is>
      </c>
      <c r="AR135" s="24" t="inlineStr">
        <is>
          <t>Mindfreak</t>
        </is>
      </c>
      <c r="AS135" s="24" t="inlineStr">
        <is>
          <t>FURY</t>
        </is>
      </c>
      <c r="AT135" s="24" t="inlineStr">
        <is>
          <t>FURY</t>
        </is>
      </c>
      <c r="AU135" s="24" t="inlineStr">
        <is>
          <t>FURY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358d57aa29e758f0c458ee789089118096199f59cf8b88918d9c205e9f5bc5fb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358d57aa29e758f0c458ee789089118096199f59cf8b88918d9c205e9f5bc5fb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2026-08-07T09:11:21.515774Z</t>
        </is>
      </c>
      <c r="BI135" s="24" t="inlineStr">
        <is>
          <t>["same_event","same_team_same_day","same_league_same_day"]</t>
        </is>
      </c>
      <c r="BJ135" s="25" t="n"/>
      <c r="BK135" s="26" t="n">
        <v>-144</v>
      </c>
      <c r="BL135" s="27" t="n">
        <v>1.694444</v>
      </c>
      <c r="BM135" s="28" t="n">
        <v>0.590164</v>
      </c>
      <c r="BN135" s="28" t="n"/>
      <c r="BO135" s="28" t="n"/>
      <c r="BP135" s="25" t="n"/>
      <c r="BQ135" s="27" t="n">
        <v>1.694444</v>
      </c>
      <c r="BR135" s="28" t="n">
        <v>0.59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</row>
    <row r="136" ht="36" customHeight="1">
      <c r="A136" s="24" t="inlineStr">
        <is>
          <t>40413f9fb3c84a03</t>
        </is>
      </c>
      <c r="B136" s="24" t="inlineStr">
        <is>
          <t>2026-08-07T09:11:47.142508Z</t>
        </is>
      </c>
      <c r="C136" s="24" t="inlineStr">
        <is>
          <t>2026-08-07T10:30:00Z</t>
        </is>
      </c>
      <c r="D136" s="24" t="inlineStr">
        <is>
          <t>72033</t>
        </is>
      </c>
      <c r="E136" s="24" t="inlineStr">
        <is>
          <t>CS2</t>
        </is>
      </c>
      <c r="F136" s="24" t="inlineStr">
        <is>
          <t>STATE</t>
        </is>
      </c>
      <c r="G136" s="24" t="inlineStr">
        <is>
          <t>FaZe Up Next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0.608959</v>
      </c>
      <c r="P136" s="28" t="n"/>
      <c r="Q136" s="28" t="n">
        <v>-0.061008</v>
      </c>
      <c r="R136" s="26" t="n">
        <v>0</v>
      </c>
      <c r="S136" s="29" t="n">
        <v>0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</v>
      </c>
      <c r="AD136" s="24" t="inlineStr">
        <is>
          <t>2026-08-07T15:18:31.574508Z</t>
        </is>
      </c>
      <c r="AE136" s="31" t="inlineStr">
        <is>
          <t>Neutral Elo baseline; executable ask 0.6700 (market_slug=aec-cs2-fazeun-sta-2026-08-07).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NO_CALL_WINNER_OVERVALUED</t>
        </is>
      </c>
      <c r="AP136" s="24" t="inlineStr">
        <is>
          <t>STATE</t>
        </is>
      </c>
      <c r="AQ136" s="24" t="inlineStr">
        <is>
          <t>STATE</t>
        </is>
      </c>
      <c r="AR136" s="24" t="inlineStr">
        <is>
          <t>STATE</t>
        </is>
      </c>
      <c r="AS136" s="24" t="inlineStr">
        <is>
          <t>FaZe Up Next</t>
        </is>
      </c>
      <c r="AT136" s="24" t="inlineStr">
        <is>
          <t>FaZe Up Next</t>
        </is>
      </c>
      <c r="AU136" s="24" t="inlineStr">
        <is>
          <t>FaZe Up Next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358d57aa29e758f0c458ee789089118096199f59cf8b88918d9c205e9f5bc5fb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358d57aa29e758f0c458ee789089118096199f59cf8b88918d9c205e9f5bc5fb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2026-08-07T09:11:22.782829Z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341e31f474624173</t>
        </is>
      </c>
      <c r="B137" s="24" t="inlineStr">
        <is>
          <t>2026-08-07T09:11:47.142508Z</t>
        </is>
      </c>
      <c r="C137" s="24" t="inlineStr">
        <is>
          <t>2026-08-07T11:00:00Z</t>
        </is>
      </c>
      <c r="D137" s="24" t="inlineStr">
        <is>
          <t>73363</t>
        </is>
      </c>
      <c r="E137" s="24" t="inlineStr">
        <is>
          <t>CS2</t>
        </is>
      </c>
      <c r="F137" s="24" t="inlineStr">
        <is>
          <t>CYBERSHOKE Esports</t>
        </is>
      </c>
      <c r="G137" s="24" t="inlineStr">
        <is>
          <t>GenOne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108</v>
      </c>
      <c r="M137" s="27" t="n">
        <v>2.08</v>
      </c>
      <c r="N137" s="28" t="n">
        <v>0.480769</v>
      </c>
      <c r="O137" s="28" t="n">
        <v>0.683059</v>
      </c>
      <c r="P137" s="28" t="n"/>
      <c r="Q137" s="28" t="n">
        <v>0.20229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0.4800 (market_slug=aec-cs2-g1-cs-2026-08-07).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CYBERSHOKE Esports</t>
        </is>
      </c>
      <c r="AQ137" s="24" t="inlineStr">
        <is>
          <t>CYBERSHOKE Esports</t>
        </is>
      </c>
      <c r="AR137" s="24" t="inlineStr">
        <is>
          <t>CYBERSHOKE Esports</t>
        </is>
      </c>
      <c r="AS137" s="24" t="inlineStr">
        <is>
          <t>GenOne</t>
        </is>
      </c>
      <c r="AT137" s="24" t="inlineStr">
        <is>
          <t>GenOne</t>
        </is>
      </c>
      <c r="AU137" s="24" t="inlineStr">
        <is>
          <t>GenOne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358d57aa29e758f0c458ee789089118096199f59cf8b88918d9c205e9f5bc5fb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358d57aa29e758f0c458ee789089118096199f59cf8b88918d9c205e9f5bc5fb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2026-08-07T09:11:23.391833Z</t>
        </is>
      </c>
      <c r="BI137" s="24" t="inlineStr">
        <is>
          <t>["same_event","same_team_same_day","same_league_same_day"]</t>
        </is>
      </c>
      <c r="BJ137" s="25" t="n"/>
      <c r="BK137" s="26" t="n">
        <v>108</v>
      </c>
      <c r="BL137" s="27" t="n">
        <v>2.08</v>
      </c>
      <c r="BM137" s="28" t="n">
        <v>0.480769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defc45aceefb4da2</t>
        </is>
      </c>
      <c r="B138" s="24" t="inlineStr">
        <is>
          <t>2026-08-07T09:11:47.142508Z</t>
        </is>
      </c>
      <c r="C138" s="24" t="inlineStr">
        <is>
          <t>2026-08-07T11:00:00Z</t>
        </is>
      </c>
      <c r="D138" s="24" t="inlineStr">
        <is>
          <t>73860</t>
        </is>
      </c>
      <c r="E138" s="24" t="inlineStr">
        <is>
          <t>CS2</t>
        </is>
      </c>
      <c r="F138" s="24" t="inlineStr">
        <is>
          <t>shoke Club</t>
        </is>
      </c>
      <c r="G138" s="24" t="inlineStr">
        <is>
          <t>Buster Club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-122</v>
      </c>
      <c r="M138" s="27" t="n">
        <v>1.819672</v>
      </c>
      <c r="N138" s="28" t="n">
        <v>0.54955</v>
      </c>
      <c r="O138" s="28" t="n">
        <v>0.514947</v>
      </c>
      <c r="P138" s="28" t="n"/>
      <c r="Q138" s="28" t="n">
        <v>-0.034603</v>
      </c>
      <c r="R138" s="26" t="n">
        <v>3</v>
      </c>
      <c r="S138" s="29" t="n">
        <v>0</v>
      </c>
      <c r="T138" s="24" t="inlineStr">
        <is>
          <t>cs2-tiered-elo-v6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0.5500 (market_slug=aec-cs2-bcu-sch-2026-08-07).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NO_CALL_WINNER_OVERVALUED</t>
        </is>
      </c>
      <c r="AP138" s="24" t="inlineStr">
        <is>
          <t>shoke Club</t>
        </is>
      </c>
      <c r="AQ138" s="24" t="inlineStr">
        <is>
          <t>shoke Club</t>
        </is>
      </c>
      <c r="AR138" s="24" t="inlineStr">
        <is>
          <t>shoke Club</t>
        </is>
      </c>
      <c r="AS138" s="24" t="inlineStr">
        <is>
          <t>Buster Club</t>
        </is>
      </c>
      <c r="AT138" s="24" t="inlineStr">
        <is>
          <t>Buster Club</t>
        </is>
      </c>
      <c r="AU138" s="24" t="inlineStr">
        <is>
          <t>Buster Club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358d57aa29e758f0c458ee789089118096199f59cf8b88918d9c205e9f5bc5fb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358d57aa29e758f0c458ee789089118096199f59cf8b88918d9c205e9f5bc5fb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2026-08-07T09:11:23.941748Z</t>
        </is>
      </c>
      <c r="BI138" s="24" t="inlineStr">
        <is>
          <t>["same_event","same_team_same_day","same_league_same_day"]</t>
        </is>
      </c>
      <c r="BJ138" s="25" t="n"/>
      <c r="BK138" s="26" t="n">
        <v>-122</v>
      </c>
      <c r="BL138" s="27" t="n">
        <v>1.819672</v>
      </c>
      <c r="BM138" s="28" t="n">
        <v>0.54955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</row>
    <row r="139" ht="36" customHeight="1">
      <c r="A139" s="24" t="inlineStr">
        <is>
          <t>a2235c00f0c648bf</t>
        </is>
      </c>
      <c r="B139" s="24" t="inlineStr">
        <is>
          <t>2026-08-07T09:11:47.142508Z</t>
        </is>
      </c>
      <c r="C139" s="24" t="inlineStr">
        <is>
          <t>2026-08-07T11:00:00Z</t>
        </is>
      </c>
      <c r="D139" s="24" t="inlineStr">
        <is>
          <t>74296</t>
        </is>
      </c>
      <c r="E139" s="24" t="inlineStr">
        <is>
          <t>CS2</t>
        </is>
      </c>
      <c r="F139" s="24" t="inlineStr">
        <is>
          <t>Black Phoenix</t>
        </is>
      </c>
      <c r="G139" s="24" t="inlineStr">
        <is>
          <t>Walczaki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-186</v>
      </c>
      <c r="M139" s="27" t="n">
        <v>1.537634</v>
      </c>
      <c r="N139" s="28" t="n">
        <v>0.65035</v>
      </c>
      <c r="O139" s="28" t="n">
        <v>0.558724</v>
      </c>
      <c r="P139" s="28" t="n"/>
      <c r="Q139" s="28" t="n">
        <v>-0.091626</v>
      </c>
      <c r="R139" s="26" t="n">
        <v>0</v>
      </c>
      <c r="S139" s="29" t="n">
        <v>0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-186</v>
      </c>
      <c r="AA139" s="28" t="n">
        <v>0.65</v>
      </c>
      <c r="AB139" s="28" t="n">
        <v>-0.00035</v>
      </c>
      <c r="AC139" s="30" t="n">
        <v>0</v>
      </c>
      <c r="AD139" s="24" t="inlineStr">
        <is>
          <t>2026-08-07T15:18:36.994734Z</t>
        </is>
      </c>
      <c r="AE139" s="31" t="inlineStr">
        <is>
          <t>Neutral Elo baseline; executable ask 0.6500 (market_slug=aec-cs2-wal-bpl-2026-08-07).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NO_CALL_WINNER_OVERVALUED</t>
        </is>
      </c>
      <c r="AP139" s="24" t="inlineStr">
        <is>
          <t>Black Phoenix</t>
        </is>
      </c>
      <c r="AQ139" s="24" t="inlineStr">
        <is>
          <t>Black Phoenix</t>
        </is>
      </c>
      <c r="AR139" s="24" t="inlineStr">
        <is>
          <t>Black Phoenix</t>
        </is>
      </c>
      <c r="AS139" s="24" t="inlineStr">
        <is>
          <t>Walczaki</t>
        </is>
      </c>
      <c r="AT139" s="24" t="inlineStr">
        <is>
          <t>Walczaki</t>
        </is>
      </c>
      <c r="AU139" s="24" t="inlineStr">
        <is>
          <t>Walczaki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358d57aa29e758f0c458ee789089118096199f59cf8b88918d9c205e9f5bc5fb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358d57aa29e758f0c458ee789089118096199f59cf8b88918d9c205e9f5bc5fb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2026-08-07T09:11:25.748364Z</t>
        </is>
      </c>
      <c r="BI139" s="24" t="inlineStr">
        <is>
          <t>["same_event","same_team_same_day","same_league_same_day"]</t>
        </is>
      </c>
      <c r="BJ139" s="25" t="n"/>
      <c r="BK139" s="26" t="n">
        <v>-186</v>
      </c>
      <c r="BL139" s="27" t="n">
        <v>1.537634</v>
      </c>
      <c r="BM139" s="28" t="n">
        <v>0.65035</v>
      </c>
      <c r="BN139" s="28" t="n"/>
      <c r="BO139" s="28" t="n"/>
      <c r="BP139" s="25" t="n"/>
      <c r="BQ139" s="27" t="n">
        <v>1.537634</v>
      </c>
      <c r="BR139" s="28" t="n">
        <v>0.65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feab3c81f4ba4769</t>
        </is>
      </c>
      <c r="B140" s="24" t="inlineStr">
        <is>
          <t>2026-08-07T12:17:30.564131Z</t>
        </is>
      </c>
      <c r="C140" s="24" t="inlineStr">
        <is>
          <t>2026-08-07T13:30:00Z</t>
        </is>
      </c>
      <c r="D140" s="24" t="inlineStr">
        <is>
          <t>73861</t>
        </is>
      </c>
      <c r="E140" s="24" t="inlineStr">
        <is>
          <t>CS2</t>
        </is>
      </c>
      <c r="F140" s="24" t="inlineStr">
        <is>
          <t>WorldEdit Club</t>
        </is>
      </c>
      <c r="G140" s="24" t="inlineStr">
        <is>
          <t>mokrivskiy Club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0.514781</v>
      </c>
      <c r="P140" s="28" t="n"/>
      <c r="Q140" s="28" t="n">
        <v>-0.015735</v>
      </c>
      <c r="R140" s="26" t="n">
        <v>12</v>
      </c>
      <c r="S140" s="29" t="n">
        <v>0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0</v>
      </c>
      <c r="AD140" s="24" t="inlineStr">
        <is>
          <t>2026-08-07T18:26:06.600574Z</t>
        </is>
      </c>
      <c r="AE140" s="31" t="inlineStr">
        <is>
          <t>Neutral Elo baseline; executable ask 0.5300 (market_slug=aec-cs2-mco-wco-2026-08-07).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NO_CALL_WINNER_OVERVALUED</t>
        </is>
      </c>
      <c r="AP140" s="24" t="inlineStr">
        <is>
          <t>WorldEdit Club</t>
        </is>
      </c>
      <c r="AQ140" s="24" t="inlineStr">
        <is>
          <t>WorldEdit Club</t>
        </is>
      </c>
      <c r="AR140" s="24" t="inlineStr">
        <is>
          <t>WorldEdit Club</t>
        </is>
      </c>
      <c r="AS140" s="24" t="inlineStr">
        <is>
          <t>mokrivskiy Club</t>
        </is>
      </c>
      <c r="AT140" s="24" t="inlineStr">
        <is>
          <t>mokrivskiy Club</t>
        </is>
      </c>
      <c r="AU140" s="24" t="inlineStr">
        <is>
          <t>mokrivskiy Club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f1c53c1821e5cd5120b099293c21ae8eca632261cab4ffd9dd67a853e3ea640b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f1c53c1821e5cd5120b099293c21ae8eca632261cab4ffd9dd67a853e3ea640b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2026-08-07T12:17:10.776543Z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</row>
    <row r="141" ht="36" customHeight="1">
      <c r="A141" s="24" t="inlineStr">
        <is>
          <t>bc5c5b735f18408e</t>
        </is>
      </c>
      <c r="B141" s="24" t="inlineStr">
        <is>
          <t>2026-08-07T12:17:30.564131Z</t>
        </is>
      </c>
      <c r="C141" s="24" t="inlineStr">
        <is>
          <t>2026-08-07T14:00:00Z</t>
        </is>
      </c>
      <c r="D141" s="24" t="inlineStr">
        <is>
          <t>74119</t>
        </is>
      </c>
      <c r="E141" s="24" t="inlineStr">
        <is>
          <t>CS2</t>
        </is>
      </c>
      <c r="F141" s="24" t="inlineStr">
        <is>
          <t>eSuba</t>
        </is>
      </c>
      <c r="G141" s="24" t="inlineStr">
        <is>
          <t>UNiTY esports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0.516934</v>
      </c>
      <c r="P141" s="28" t="n"/>
      <c r="Q141" s="28" t="n">
        <v>0.196421</v>
      </c>
      <c r="R141" s="26" t="n">
        <v>100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212</v>
      </c>
      <c r="AA141" s="28" t="n">
        <v>0.32</v>
      </c>
      <c r="AB141" s="28" t="n">
        <v>-0.000513</v>
      </c>
      <c r="AC141" s="30" t="n">
        <v>-1</v>
      </c>
      <c r="AD141" s="24" t="inlineStr">
        <is>
          <t>2026-08-07T15:18:41.527385Z</t>
        </is>
      </c>
      <c r="AE141" s="31" t="inlineStr">
        <is>
          <t>Neutral Elo baseline; executable ask 0.3200 (market_slug=aec-cs2-unity-esb-2026-08-07).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eSuba</t>
        </is>
      </c>
      <c r="AQ141" s="24" t="inlineStr">
        <is>
          <t>eSuba</t>
        </is>
      </c>
      <c r="AR141" s="24" t="inlineStr">
        <is>
          <t>eSuba</t>
        </is>
      </c>
      <c r="AS141" s="24" t="inlineStr">
        <is>
          <t>UNiTY esports</t>
        </is>
      </c>
      <c r="AT141" s="24" t="inlineStr">
        <is>
          <t>UNiTY esports</t>
        </is>
      </c>
      <c r="AU141" s="24" t="inlineStr">
        <is>
          <t>UNiTY esports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f1c53c1821e5cd5120b099293c21ae8eca632261cab4ffd9dd67a853e3ea640b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f1c53c1821e5cd5120b099293c21ae8eca632261cab4ffd9dd67a853e3ea640b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2026-08-07T12:17:11.433456Z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>
        <v>3.12</v>
      </c>
      <c r="BR141" s="28" t="n">
        <v>0.32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1031f3a518bf4673</t>
        </is>
      </c>
      <c r="B142" s="24" t="inlineStr">
        <is>
          <t>2026-08-07T12:17:30.564131Z</t>
        </is>
      </c>
      <c r="C142" s="24" t="inlineStr">
        <is>
          <t>2026-08-07T14:00:00Z</t>
        </is>
      </c>
      <c r="D142" s="24" t="inlineStr">
        <is>
          <t>74295</t>
        </is>
      </c>
      <c r="E142" s="24" t="inlineStr">
        <is>
          <t>CS2</t>
        </is>
      </c>
      <c r="F142" s="24" t="inlineStr">
        <is>
          <t>BET-M 33</t>
        </is>
      </c>
      <c r="G142" s="24" t="inlineStr">
        <is>
          <t>ex-RUSTEC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0.591297</v>
      </c>
      <c r="P142" s="28" t="n"/>
      <c r="Q142" s="28" t="n">
        <v>0.011465</v>
      </c>
      <c r="R142" s="26" t="n">
        <v>26</v>
      </c>
      <c r="S142" s="29" t="n">
        <v>0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>
        <v>-138</v>
      </c>
      <c r="AA142" s="28" t="n">
        <v>0.58</v>
      </c>
      <c r="AB142" s="28" t="n">
        <v>0.000168</v>
      </c>
      <c r="AC142" s="30" t="n">
        <v>0</v>
      </c>
      <c r="AD142" s="24" t="inlineStr">
        <is>
          <t>2026-08-07T18:26:09.512217Z</t>
        </is>
      </c>
      <c r="AE142" s="31" t="inlineStr">
        <is>
          <t>Neutral Elo baseline; executable ask 0.5800 (market_slug=aec-cs2-erx-33-2026-08-07).</t>
        </is>
      </c>
      <c r="AF142" s="31" t="inlineStr">
        <is>
          <t>Config-promoted esports baseline; gates enforced at log time.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NO_CALL_WINNER_OVERVALUED</t>
        </is>
      </c>
      <c r="AP142" s="24" t="inlineStr">
        <is>
          <t>BET-M 33</t>
        </is>
      </c>
      <c r="AQ142" s="24" t="inlineStr">
        <is>
          <t>BET-M 33</t>
        </is>
      </c>
      <c r="AR142" s="24" t="inlineStr">
        <is>
          <t>BET-M 33</t>
        </is>
      </c>
      <c r="AS142" s="24" t="inlineStr">
        <is>
          <t>ex-RUSTEC</t>
        </is>
      </c>
      <c r="AT142" s="24" t="inlineStr">
        <is>
          <t>ex-RUSTEC</t>
        </is>
      </c>
      <c r="AU142" s="24" t="inlineStr">
        <is>
          <t>ex-RUSTEC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f1c53c1821e5cd5120b099293c21ae8eca632261cab4ffd9dd67a853e3ea640b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f1c53c1821e5cd5120b099293c21ae8eca632261cab4ffd9dd67a853e3ea640b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2026-08-07T12:17:12.740119Z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/>
      <c r="BO142" s="28" t="n"/>
      <c r="BP142" s="25" t="n"/>
      <c r="BQ142" s="27" t="n">
        <v>1.724638</v>
      </c>
      <c r="BR142" s="28" t="n">
        <v>0.58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9e42a42e9af84716</t>
        </is>
      </c>
      <c r="B143" s="24" t="inlineStr">
        <is>
          <t>2026-08-07T15:24:16.691798Z</t>
        </is>
      </c>
      <c r="C143" s="24" t="inlineStr">
        <is>
          <t>2026-08-07T16:00:00Z</t>
        </is>
      </c>
      <c r="D143" s="24" t="inlineStr">
        <is>
          <t>72556</t>
        </is>
      </c>
      <c r="E143" s="24" t="inlineStr">
        <is>
          <t>CS2</t>
        </is>
      </c>
      <c r="F143" s="24" t="inlineStr">
        <is>
          <t>Sangal</t>
        </is>
      </c>
      <c r="G143" s="24" t="inlineStr">
        <is>
          <t>Virtus.pro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0.702323</v>
      </c>
      <c r="P143" s="28" t="n"/>
      <c r="Q143" s="28" t="n">
        <v>0.011921</v>
      </c>
      <c r="R143" s="26" t="n">
        <v>26</v>
      </c>
      <c r="S143" s="29" t="n">
        <v>0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</v>
      </c>
      <c r="AD143" s="24" t="inlineStr">
        <is>
          <t>2026-08-07T18:26:12.219554Z</t>
        </is>
      </c>
      <c r="AE143" s="31" t="inlineStr">
        <is>
          <t>Neutral Elo baseline; executable ask 0.6900 (market_slug=aec-cs2-vp-sang-2026-08-07).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NO_CALL_WINNER_OVERVALUED</t>
        </is>
      </c>
      <c r="AP143" s="24" t="inlineStr">
        <is>
          <t>Sangal</t>
        </is>
      </c>
      <c r="AQ143" s="24" t="inlineStr">
        <is>
          <t>Sangal</t>
        </is>
      </c>
      <c r="AR143" s="24" t="inlineStr">
        <is>
          <t>Sangal</t>
        </is>
      </c>
      <c r="AS143" s="24" t="inlineStr">
        <is>
          <t>Virtus.pro</t>
        </is>
      </c>
      <c r="AT143" s="24" t="inlineStr">
        <is>
          <t>Virtus.pro</t>
        </is>
      </c>
      <c r="AU143" s="24" t="inlineStr">
        <is>
          <t>Virtus.pro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b8dea04ff55d1b5077c8587b9b9ed16ddeb7be47d75c96d6954498aa5ae37cd0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b8dea04ff55d1b5077c8587b9b9ed16ddeb7be47d75c96d6954498aa5ae37cd0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2026-08-07T15:23:59.442246Z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5f930a50097d485c</t>
        </is>
      </c>
      <c r="B144" s="24" t="inlineStr">
        <is>
          <t>2026-08-07T15:24:16.691798Z</t>
        </is>
      </c>
      <c r="C144" s="24" t="inlineStr">
        <is>
          <t>2026-08-07T17:00:00Z</t>
        </is>
      </c>
      <c r="D144" s="24" t="inlineStr">
        <is>
          <t>74382</t>
        </is>
      </c>
      <c r="E144" s="24" t="inlineStr">
        <is>
          <t>CS2</t>
        </is>
      </c>
      <c r="F144" s="24" t="inlineStr">
        <is>
          <t>JAM</t>
        </is>
      </c>
      <c r="G144" s="24" t="inlineStr">
        <is>
          <t>Nexus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-133</v>
      </c>
      <c r="M144" s="27" t="n">
        <v>1.75188</v>
      </c>
      <c r="N144" s="28" t="n">
        <v>0.570815</v>
      </c>
      <c r="O144" s="28" t="n">
        <v>0.542228</v>
      </c>
      <c r="P144" s="28" t="n"/>
      <c r="Q144" s="28" t="n">
        <v>-0.028587</v>
      </c>
      <c r="R144" s="26" t="n">
        <v>6</v>
      </c>
      <c r="S144" s="29" t="n">
        <v>0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-133</v>
      </c>
      <c r="AA144" s="28" t="n">
        <v>0.57</v>
      </c>
      <c r="AB144" s="28" t="n">
        <v>-0.000815</v>
      </c>
      <c r="AC144" s="30" t="n">
        <v>0</v>
      </c>
      <c r="AD144" s="24" t="inlineStr">
        <is>
          <t>2026-08-07T18:26:15.048553Z</t>
        </is>
      </c>
      <c r="AE144" s="31" t="inlineStr">
        <is>
          <t>Neutral Elo baseline; executable ask 0.5700 (market_slug=aec-cs2-nxs-jam-2026-08-07).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NO_CALL_WINNER_OVERVALUED</t>
        </is>
      </c>
      <c r="AP144" s="24" t="inlineStr">
        <is>
          <t>JAM</t>
        </is>
      </c>
      <c r="AQ144" s="24" t="inlineStr">
        <is>
          <t>JAM</t>
        </is>
      </c>
      <c r="AR144" s="24" t="inlineStr">
        <is>
          <t>JAM</t>
        </is>
      </c>
      <c r="AS144" s="24" t="inlineStr">
        <is>
          <t>Nexus</t>
        </is>
      </c>
      <c r="AT144" s="24" t="inlineStr">
        <is>
          <t>Nexus</t>
        </is>
      </c>
      <c r="AU144" s="24" t="inlineStr">
        <is>
          <t>Nexus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b8dea04ff55d1b5077c8587b9b9ed16ddeb7be47d75c96d6954498aa5ae37cd0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b8dea04ff55d1b5077c8587b9b9ed16ddeb7be47d75c96d6954498aa5ae37cd0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2026-08-07T15:24:04.262843Z</t>
        </is>
      </c>
      <c r="BI144" s="24" t="inlineStr">
        <is>
          <t>["same_event","same_team_same_day","same_league_same_day"]</t>
        </is>
      </c>
      <c r="BJ144" s="25" t="n"/>
      <c r="BK144" s="26" t="n">
        <v>-133</v>
      </c>
      <c r="BL144" s="27" t="n">
        <v>1.75188</v>
      </c>
      <c r="BM144" s="28" t="n">
        <v>0.570815</v>
      </c>
      <c r="BN144" s="28" t="n"/>
      <c r="BO144" s="28" t="n"/>
      <c r="BP144" s="25" t="n"/>
      <c r="BQ144" s="27" t="n">
        <v>1.75188</v>
      </c>
      <c r="BR144" s="28" t="n">
        <v>0.57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6d79261d22dc442f</t>
        </is>
      </c>
      <c r="B145" s="24" t="inlineStr">
        <is>
          <t>2026-08-07T15:24:16.691798Z</t>
        </is>
      </c>
      <c r="C145" s="24" t="inlineStr">
        <is>
          <t>2026-08-07T17:00:00Z</t>
        </is>
      </c>
      <c r="D145" s="24" t="inlineStr">
        <is>
          <t>74184</t>
        </is>
      </c>
      <c r="E145" s="24" t="inlineStr">
        <is>
          <t>CS2</t>
        </is>
      </c>
      <c r="F145" s="24" t="inlineStr">
        <is>
          <t>ENRAGE</t>
        </is>
      </c>
      <c r="G145" s="24" t="inlineStr">
        <is>
          <t>PURE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104</v>
      </c>
      <c r="M145" s="27" t="n">
        <v>2.04</v>
      </c>
      <c r="N145" s="28" t="n">
        <v>0.490196</v>
      </c>
      <c r="O145" s="28" t="n">
        <v>0.651856</v>
      </c>
      <c r="P145" s="28" t="n"/>
      <c r="Q145" s="28" t="n">
        <v>0.16166</v>
      </c>
      <c r="R145" s="26" t="n">
        <v>100</v>
      </c>
      <c r="S145" s="29" t="n">
        <v>1.75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104</v>
      </c>
      <c r="AA145" s="28" t="n">
        <v>0.49</v>
      </c>
      <c r="AB145" s="28" t="n">
        <v>-0.000196</v>
      </c>
      <c r="AC145" s="30" t="n">
        <v>1.82</v>
      </c>
      <c r="AD145" s="24" t="inlineStr">
        <is>
          <t>2026-08-07T18:26:17.941350Z</t>
        </is>
      </c>
      <c r="AE145" s="31" t="inlineStr">
        <is>
          <t>Neutral Elo baseline; executable ask 0.4900 (market_slug=aec-cs2-pure-enr-2026-08-07).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ENRAGE</t>
        </is>
      </c>
      <c r="AQ145" s="24" t="inlineStr">
        <is>
          <t>ENRAGE</t>
        </is>
      </c>
      <c r="AR145" s="24" t="inlineStr">
        <is>
          <t>ENRAGE</t>
        </is>
      </c>
      <c r="AS145" s="24" t="inlineStr">
        <is>
          <t>PURE</t>
        </is>
      </c>
      <c r="AT145" s="24" t="inlineStr">
        <is>
          <t>PURE</t>
        </is>
      </c>
      <c r="AU145" s="24" t="inlineStr">
        <is>
          <t>PURE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b8dea04ff55d1b5077c8587b9b9ed16ddeb7be47d75c96d6954498aa5ae37cd0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b8dea04ff55d1b5077c8587b9b9ed16ddeb7be47d75c96d6954498aa5ae37cd0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2026-08-07T15:24:04.782971Z</t>
        </is>
      </c>
      <c r="BI145" s="24" t="inlineStr">
        <is>
          <t>["same_event","same_team_same_day","same_league_same_day"]</t>
        </is>
      </c>
      <c r="BJ145" s="25" t="n"/>
      <c r="BK145" s="26" t="n">
        <v>104</v>
      </c>
      <c r="BL145" s="27" t="n">
        <v>2.04</v>
      </c>
      <c r="BM145" s="28" t="n">
        <v>0.490196</v>
      </c>
      <c r="BN145" s="28" t="n"/>
      <c r="BO145" s="28" t="n"/>
      <c r="BP145" s="25" t="n"/>
      <c r="BQ145" s="27" t="n">
        <v>2.04</v>
      </c>
      <c r="BR145" s="28" t="n">
        <v>0.49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70d4611de2564b9d</t>
        </is>
      </c>
      <c r="B146" s="24" t="inlineStr">
        <is>
          <t>2026-08-07T15:24:16.691798Z</t>
        </is>
      </c>
      <c r="C146" s="24" t="inlineStr">
        <is>
          <t>2026-08-07T17:00:00Z</t>
        </is>
      </c>
      <c r="D146" s="24" t="inlineStr">
        <is>
          <t>74185</t>
        </is>
      </c>
      <c r="E146" s="24" t="inlineStr">
        <is>
          <t>CS2</t>
        </is>
      </c>
      <c r="F146" s="24" t="inlineStr">
        <is>
          <t>NEW VISION</t>
        </is>
      </c>
      <c r="G146" s="24" t="inlineStr">
        <is>
          <t>Drama eSports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-178</v>
      </c>
      <c r="M146" s="27" t="n">
        <v>1.561798</v>
      </c>
      <c r="N146" s="28" t="n">
        <v>0.640288</v>
      </c>
      <c r="O146" s="28" t="n">
        <v>0.651427</v>
      </c>
      <c r="P146" s="28" t="n"/>
      <c r="Q146" s="28" t="n">
        <v>0.011139</v>
      </c>
      <c r="R146" s="26" t="n">
        <v>26</v>
      </c>
      <c r="S146" s="29" t="n">
        <v>0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-178</v>
      </c>
      <c r="AA146" s="28" t="n">
        <v>0.64</v>
      </c>
      <c r="AB146" s="28" t="n">
        <v>-0.000288</v>
      </c>
      <c r="AC146" s="30" t="n">
        <v>0</v>
      </c>
      <c r="AD146" s="24" t="inlineStr">
        <is>
          <t>2026-08-07T18:26:20.737425Z</t>
        </is>
      </c>
      <c r="AE146" s="31" t="inlineStr">
        <is>
          <t>Neutral Elo baseline; executable ask 0.6400 (market_slug=aec-cs2-drama-nve-2026-08-07).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NO_CALL_WINNER_OVERVALUED</t>
        </is>
      </c>
      <c r="AP146" s="24" t="inlineStr">
        <is>
          <t>NEW VISION</t>
        </is>
      </c>
      <c r="AQ146" s="24" t="inlineStr">
        <is>
          <t>NEW VISION</t>
        </is>
      </c>
      <c r="AR146" s="24" t="inlineStr">
        <is>
          <t>NEW VISION</t>
        </is>
      </c>
      <c r="AS146" s="24" t="inlineStr">
        <is>
          <t>Drama eSports</t>
        </is>
      </c>
      <c r="AT146" s="24" t="inlineStr">
        <is>
          <t>Drama eSports</t>
        </is>
      </c>
      <c r="AU146" s="24" t="inlineStr">
        <is>
          <t>Drama eSports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b8dea04ff55d1b5077c8587b9b9ed16ddeb7be47d75c96d6954498aa5ae37cd0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b8dea04ff55d1b5077c8587b9b9ed16ddeb7be47d75c96d6954498aa5ae37cd0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2026-08-07T15:24:05.304857Z</t>
        </is>
      </c>
      <c r="BI146" s="24" t="inlineStr">
        <is>
          <t>["same_event","same_team_same_day","same_league_same_day"]</t>
        </is>
      </c>
      <c r="BJ146" s="25" t="n"/>
      <c r="BK146" s="26" t="n">
        <v>-178</v>
      </c>
      <c r="BL146" s="27" t="n">
        <v>1.561798</v>
      </c>
      <c r="BM146" s="28" t="n">
        <v>0.640288</v>
      </c>
      <c r="BN146" s="28" t="n"/>
      <c r="BO146" s="28" t="n"/>
      <c r="BP146" s="25" t="n"/>
      <c r="BQ146" s="27" t="n">
        <v>1.561798</v>
      </c>
      <c r="BR146" s="28" t="n">
        <v>0.64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1b519d5cf3c04a99</t>
        </is>
      </c>
      <c r="B147" s="24" t="inlineStr">
        <is>
          <t>2026-08-07T18:31:27.564017Z</t>
        </is>
      </c>
      <c r="C147" s="24" t="inlineStr">
        <is>
          <t>2026-08-08T08:00:00Z</t>
        </is>
      </c>
      <c r="D147" s="24" t="inlineStr">
        <is>
          <t>72721</t>
        </is>
      </c>
      <c r="E147" s="24" t="inlineStr">
        <is>
          <t>CS2</t>
        </is>
      </c>
      <c r="F147" s="24" t="inlineStr">
        <is>
          <t>SINQU Rehti</t>
        </is>
      </c>
      <c r="G147" s="24" t="inlineStr">
        <is>
          <t>Passion Academy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150</v>
      </c>
      <c r="M147" s="27" t="n">
        <v>2.5</v>
      </c>
      <c r="N147" s="28" t="n">
        <v>0.4</v>
      </c>
      <c r="O147" s="28" t="n">
        <v>0.583902</v>
      </c>
      <c r="P147" s="28" t="n"/>
      <c r="Q147" s="28" t="n">
        <v>0.183902</v>
      </c>
      <c r="R147" s="26" t="n">
        <v>100</v>
      </c>
      <c r="S147" s="29" t="n">
        <v>1.25</v>
      </c>
      <c r="T147" s="24" t="inlineStr">
        <is>
          <t>cs2-tiered-elo-v6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0.4000 (market_slug=aec-cs2-psna-sri-2026-08-08).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SINQU Rehti</t>
        </is>
      </c>
      <c r="AQ147" s="24" t="inlineStr">
        <is>
          <t>SINQU Rehti</t>
        </is>
      </c>
      <c r="AR147" s="24" t="inlineStr">
        <is>
          <t>SINQU Rehti</t>
        </is>
      </c>
      <c r="AS147" s="24" t="inlineStr">
        <is>
          <t>Passion Academy</t>
        </is>
      </c>
      <c r="AT147" s="24" t="inlineStr">
        <is>
          <t>Passion Academy</t>
        </is>
      </c>
      <c r="AU147" s="24" t="inlineStr">
        <is>
          <t>Passion Academy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f2e7f884fc01634e12d74f8812661c5cb67e5be22fb9ba0e801020448143127e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f2e7f884fc01634e12d74f8812661c5cb67e5be22fb9ba0e801020448143127e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2026-08-07T18:31:09.334825Z</t>
        </is>
      </c>
      <c r="BI147" s="24" t="inlineStr">
        <is>
          <t>["same_event","same_team_same_day","same_league_same_day"]</t>
        </is>
      </c>
      <c r="BJ147" s="25" t="n"/>
      <c r="BK147" s="26" t="n">
        <v>150</v>
      </c>
      <c r="BL147" s="27" t="n">
        <v>2.5</v>
      </c>
      <c r="BM147" s="28" t="n">
        <v>0.4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3b24fe02fb014ca6</t>
        </is>
      </c>
      <c r="B148" s="24" t="inlineStr">
        <is>
          <t>2026-08-07T18:31:27.564017Z</t>
        </is>
      </c>
      <c r="C148" s="24" t="inlineStr">
        <is>
          <t>2026-08-08T09:00:00Z</t>
        </is>
      </c>
      <c r="D148" s="24" t="inlineStr">
        <is>
          <t>74528</t>
        </is>
      </c>
      <c r="E148" s="24" t="inlineStr">
        <is>
          <t>CS2</t>
        </is>
      </c>
      <c r="F148" s="24" t="inlineStr">
        <is>
          <t>Sinners</t>
        </is>
      </c>
      <c r="G148" s="24" t="inlineStr">
        <is>
          <t>K27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0.559561</v>
      </c>
      <c r="P148" s="28" t="n"/>
      <c r="Q148" s="28" t="n">
        <v>0.04033</v>
      </c>
      <c r="R148" s="26" t="n">
        <v>40</v>
      </c>
      <c r="S148" s="29" t="n">
        <v>0</v>
      </c>
      <c r="T148" s="24" t="inlineStr">
        <is>
          <t>cs2-tiered-elo-v6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0.5200 (market_slug=aec-cs2-k27-sin-2026-08-08).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NO_CALL_WINNER_OVERVALUED</t>
        </is>
      </c>
      <c r="AP148" s="24" t="inlineStr">
        <is>
          <t>Sinners</t>
        </is>
      </c>
      <c r="AQ148" s="24" t="inlineStr">
        <is>
          <t>Sinners</t>
        </is>
      </c>
      <c r="AR148" s="24" t="inlineStr">
        <is>
          <t>Sinners</t>
        </is>
      </c>
      <c r="AS148" s="24" t="inlineStr">
        <is>
          <t>K27</t>
        </is>
      </c>
      <c r="AT148" s="24" t="inlineStr">
        <is>
          <t>K27</t>
        </is>
      </c>
      <c r="AU148" s="24" t="inlineStr">
        <is>
          <t>K27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f2e7f884fc01634e12d74f8812661c5cb67e5be22fb9ba0e801020448143127e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f2e7f884fc01634e12d74f8812661c5cb67e5be22fb9ba0e801020448143127e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2026-08-07T18:31:10.610314Z</t>
        </is>
      </c>
      <c r="BI148" s="24" t="inlineStr">
        <is>
          <t>["same_event","same_team_same_day","same_league_same_day"]</t>
        </is>
      </c>
      <c r="BJ148" s="25" t="n"/>
      <c r="BK148" s="26" t="n">
        <v>-108</v>
      </c>
      <c r="BL148" s="27" t="n">
        <v>1.925926</v>
      </c>
      <c r="BM148" s="28" t="n">
        <v>0.519231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</row>
    <row r="149" ht="36" customHeight="1">
      <c r="A149" s="24" t="inlineStr">
        <is>
          <t>84a14b8e1f934920</t>
        </is>
      </c>
      <c r="B149" s="24" t="inlineStr">
        <is>
          <t>2026-08-07T18:31:27.564017Z</t>
        </is>
      </c>
      <c r="C149" s="24" t="inlineStr">
        <is>
          <t>2026-08-08T10:30:00Z</t>
        </is>
      </c>
      <c r="D149" s="24" t="inlineStr">
        <is>
          <t>72750</t>
        </is>
      </c>
      <c r="E149" s="24" t="inlineStr">
        <is>
          <t>CS2</t>
        </is>
      </c>
      <c r="F149" s="24" t="inlineStr">
        <is>
          <t>VP.Prodigy</t>
        </is>
      </c>
      <c r="G149" s="24" t="inlineStr">
        <is>
          <t xml:space="preserve"> Phantom Academy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108</v>
      </c>
      <c r="M149" s="27" t="n">
        <v>2.08</v>
      </c>
      <c r="N149" s="28" t="n">
        <v>0.480769</v>
      </c>
      <c r="O149" s="28" t="n">
        <v>0.518726</v>
      </c>
      <c r="P149" s="28" t="n"/>
      <c r="Q149" s="28" t="n">
        <v>0.037957</v>
      </c>
      <c r="R149" s="26" t="n">
        <v>39</v>
      </c>
      <c r="S149" s="29" t="n">
        <v>0</v>
      </c>
      <c r="T149" s="24" t="inlineStr">
        <is>
          <t>cs2-tiered-elo-v6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0.4800 (market_slug=aec-cs2-phtmac-vpp-2026-08-08).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NO_CALL_WINNER_OVERVALUED</t>
        </is>
      </c>
      <c r="AP149" s="24" t="inlineStr">
        <is>
          <t>VP.Prodigy</t>
        </is>
      </c>
      <c r="AQ149" s="24" t="inlineStr">
        <is>
          <t>VP.Prodigy</t>
        </is>
      </c>
      <c r="AR149" s="24" t="inlineStr">
        <is>
          <t>VP.Prodigy</t>
        </is>
      </c>
      <c r="AS149" s="24" t="inlineStr">
        <is>
          <t xml:space="preserve"> Phantom Academy</t>
        </is>
      </c>
      <c r="AT149" s="24" t="inlineStr">
        <is>
          <t xml:space="preserve"> Phantom Academy</t>
        </is>
      </c>
      <c r="AU149" s="24" t="inlineStr">
        <is>
          <t xml:space="preserve"> Phantom Academy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f2e7f884fc01634e12d74f8812661c5cb67e5be22fb9ba0e801020448143127e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f2e7f884fc01634e12d74f8812661c5cb67e5be22fb9ba0e801020448143127e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2026-08-07T18:31:17.971317Z</t>
        </is>
      </c>
      <c r="BI149" s="24" t="inlineStr">
        <is>
          <t>["same_event","same_team_same_day","same_league_same_day"]</t>
        </is>
      </c>
      <c r="BJ149" s="25" t="n"/>
      <c r="BK149" s="26" t="n">
        <v>108</v>
      </c>
      <c r="BL149" s="27" t="n">
        <v>2.08</v>
      </c>
      <c r="BM149" s="28" t="n">
        <v>0.480769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131259e7d9e247ad</t>
        </is>
      </c>
      <c r="B150" s="24" t="inlineStr">
        <is>
          <t>2026-08-07T18:31:27.564017Z</t>
        </is>
      </c>
      <c r="C150" s="24" t="inlineStr">
        <is>
          <t>2026-08-08T14:00:00Z</t>
        </is>
      </c>
      <c r="D150" s="24" t="inlineStr">
        <is>
          <t>74247</t>
        </is>
      </c>
      <c r="E150" s="24" t="inlineStr">
        <is>
          <t>CS2</t>
        </is>
      </c>
      <c r="F150" s="24" t="inlineStr">
        <is>
          <t>ODDIK Academy</t>
        </is>
      </c>
      <c r="G150" s="24" t="inlineStr">
        <is>
          <t>Procyon Gaming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0.559378</v>
      </c>
      <c r="P150" s="28" t="n"/>
      <c r="Q150" s="28" t="n">
        <v>0.020207</v>
      </c>
      <c r="R150" s="26" t="n">
        <v>30</v>
      </c>
      <c r="S150" s="29" t="n">
        <v>0</v>
      </c>
      <c r="T150" s="24" t="inlineStr">
        <is>
          <t>cs2-tiered-elo-v6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0.5400 (market_slug=aec-cs2-pcy-odka-2026-08-08).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NO_CALL_WINNER_OVERVALUED</t>
        </is>
      </c>
      <c r="AP150" s="24" t="inlineStr">
        <is>
          <t>ODDIK Academy</t>
        </is>
      </c>
      <c r="AQ150" s="24" t="inlineStr">
        <is>
          <t>ODDIK Academy</t>
        </is>
      </c>
      <c r="AR150" s="24" t="inlineStr">
        <is>
          <t>ODDIK Academy</t>
        </is>
      </c>
      <c r="AS150" s="24" t="inlineStr">
        <is>
          <t>Procyon Gaming</t>
        </is>
      </c>
      <c r="AT150" s="24" t="inlineStr">
        <is>
          <t>Procyon Gaming</t>
        </is>
      </c>
      <c r="AU150" s="24" t="inlineStr">
        <is>
          <t>Procyon Gaming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f2e7f884fc01634e12d74f8812661c5cb67e5be22fb9ba0e801020448143127e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f2e7f884fc01634e12d74f8812661c5cb67e5be22fb9ba0e801020448143127e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2026-08-07T18:31:20.691411Z</t>
        </is>
      </c>
      <c r="BI150" s="24" t="inlineStr">
        <is>
          <t>["same_event","same_team_same_day","same_league_same_day"]</t>
        </is>
      </c>
      <c r="BJ150" s="25" t="n"/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b64daf762e964797</t>
        </is>
      </c>
      <c r="B151" s="24" t="inlineStr">
        <is>
          <t>2026-08-07T18:31:27.564017Z</t>
        </is>
      </c>
      <c r="C151" s="24" t="inlineStr">
        <is>
          <t>2026-08-08T20:00:00Z</t>
        </is>
      </c>
      <c r="D151" s="24" t="inlineStr">
        <is>
          <t>74249</t>
        </is>
      </c>
      <c r="E151" s="24" t="inlineStr">
        <is>
          <t>CS2</t>
        </is>
      </c>
      <c r="F151" s="24" t="inlineStr">
        <is>
          <t>paiN Academy</t>
        </is>
      </c>
      <c r="G151" s="24" t="inlineStr">
        <is>
          <t>ALKA GAMING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-213</v>
      </c>
      <c r="M151" s="27" t="n">
        <v>1.469484</v>
      </c>
      <c r="N151" s="28" t="n">
        <v>0.680511</v>
      </c>
      <c r="O151" s="28" t="n">
        <v>0.675293</v>
      </c>
      <c r="P151" s="28" t="n"/>
      <c r="Q151" s="28" t="n">
        <v>-0.005218</v>
      </c>
      <c r="R151" s="26" t="n">
        <v>17</v>
      </c>
      <c r="S151" s="29" t="n">
        <v>0</v>
      </c>
      <c r="T151" s="24" t="inlineStr">
        <is>
          <t>cs2-tiered-elo-v6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0.6800 (market_slug=aec-cs2-alka-paina-2026-08-08).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NO_CALL_WINNER_OVERVALUED</t>
        </is>
      </c>
      <c r="AP151" s="24" t="inlineStr">
        <is>
          <t>paiN Academy</t>
        </is>
      </c>
      <c r="AQ151" s="24" t="inlineStr">
        <is>
          <t>paiN Academy</t>
        </is>
      </c>
      <c r="AR151" s="24" t="inlineStr">
        <is>
          <t>paiN Academy</t>
        </is>
      </c>
      <c r="AS151" s="24" t="inlineStr">
        <is>
          <t>ALKA GAMING</t>
        </is>
      </c>
      <c r="AT151" s="24" t="inlineStr">
        <is>
          <t>ALKA GAMING</t>
        </is>
      </c>
      <c r="AU151" s="24" t="inlineStr">
        <is>
          <t>ALKA GAMING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f2e7f884fc01634e12d74f8812661c5cb67e5be22fb9ba0e801020448143127e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f2e7f884fc01634e12d74f8812661c5cb67e5be22fb9ba0e801020448143127e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2026-08-07T18:31:26.808482Z</t>
        </is>
      </c>
      <c r="BI151" s="24" t="inlineStr">
        <is>
          <t>["same_event","same_team_same_day","same_league_same_day"]</t>
        </is>
      </c>
      <c r="BJ151" s="25" t="n"/>
      <c r="BK151" s="26" t="n">
        <v>-213</v>
      </c>
      <c r="BL151" s="27" t="n">
        <v>1.469484</v>
      </c>
      <c r="BM151" s="28" t="n">
        <v>0.680511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2026-08-07T18:31:53Z</dcterms:created>
  <dcterms:modified xmlns:dcterms="http://purl.org/dc/terms/" xmlns:xsi="http://www.w3.org/2001/XMLSchema-instance" xsi:type="dcterms:W3CDTF">2026-08-07T18:31:54Z</dcterms:modified>
</cp:coreProperties>
</file>