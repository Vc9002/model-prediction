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CS20" headerRowCount="1">
  <autoFilter ref="A1:CS20"/>
  <tableColumns count="97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COUNTA('Picks'!$A$2:$A$20)</f>
        <v/>
      </c>
      <c r="C4" s="6">
        <f>COUNTIF('Picks'!$U$2:$U$20,"open")</f>
        <v/>
      </c>
      <c r="E4" s="6">
        <f>COUNTIF('Picks'!$U$2:$U$20,"settled")</f>
        <v/>
      </c>
      <c r="G4" s="6">
        <f>IF(COUNTIFS('Picks'!$U$2:$U$20,"settled",'Picks'!$V$2:$V$20,"win")+COUNTIFS('Picks'!$U$2:$U$20,"settled",'Picks'!$V$2:$V$20,"loss")&gt;=$L$2,"Ready","Insufficient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COUNTIF('Picks'!$BX$2:$BX$20,"&gt;0")</f>
        <v/>
      </c>
      <c r="C7" s="6">
        <f>COUNTIFS('Picks'!$BX$2:$BX$20,"&gt;0",'Picks'!$V$2:$V$20,"win")&amp;"-"&amp;COUNTIFS('Picks'!$BX$2:$BX$20,"&gt;0",'Picks'!$V$2:$V$20,"loss")</f>
        <v/>
      </c>
      <c r="E7" s="7">
        <f>IFERROR(COUNTIFS('Picks'!$BX$2:$BX$20,"&gt;0",'Picks'!$V$2:$V$20,"win")/(COUNTIFS('Picks'!$BX$2:$BX$20,"&gt;0",'Picks'!$V$2:$V$20,"win")+COUNTIFS('Picks'!$BX$2:$BX$20,"&gt;0",'Picks'!$V$2:$V$20,"loss")),0)</f>
        <v/>
      </c>
      <c r="G7" s="7">
        <f>IFERROR(SUM('Picks'!$BY$2:$BY$20)/SUM('Picks'!$BX$2:$BX$20),0)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SUM('Picks'!$BY$2:$BY$20)</f>
        <v/>
      </c>
      <c r="C10" s="9">
        <f>IFERROR(AVERAGEIF('Picks'!$AB$2:$AB$20,"&lt;&gt;",'Picks'!$AB$2:$AB$20),0)</f>
        <v/>
      </c>
      <c r="E10" s="6">
        <f>COUNTIFS('Picks'!$AM$2:$AM$20,"QUALIFIED_SHADOW_CALL",'Picks'!$U$2:$U$20,"settled")</f>
        <v/>
      </c>
      <c r="G10" s="8">
        <f>SUMIFS('Picks'!$AC$2:$AC$20,'Picks'!$AM$2:$AM$20,"QUALIFIED_SHADOW_CALL")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COUNTIFS('Picks'!$H$2:$H$20,$A14,'Picks'!$U$2:$U$20,"settled")</f>
        <v/>
      </c>
      <c r="C14" s="13">
        <f>COUNTIFS('Picks'!$H$2:$H$20,$A14,'Picks'!$U$2:$U$20,"settled",'Picks'!$V$2:$V$20,"win")</f>
        <v/>
      </c>
      <c r="D14" s="13">
        <f>COUNTIFS('Picks'!$H$2:$H$20,$A14,'Picks'!$U$2:$U$20,"settled",'Picks'!$V$2:$V$20,"loss")</f>
        <v/>
      </c>
      <c r="E14" s="14">
        <f>IFERROR(C14/(C14+D14),0)</f>
        <v/>
      </c>
      <c r="F14" s="15">
        <f>SUMIFS('Picks'!$BY$2:$BY$20,'Picks'!$H$2:$H$20,$A14)</f>
        <v/>
      </c>
      <c r="G14" s="16">
        <f>IFERROR(AVERAGEIFS('Picks'!$AB$2:$AB$20,'Picks'!$H$2:$H$20,$A14,'Picks'!$U$2:$U$20,"settled"),0)</f>
        <v/>
      </c>
    </row>
    <row r="15">
      <c r="A15" s="17" t="inlineStr">
        <is>
          <t>spread</t>
        </is>
      </c>
      <c r="B15" s="18">
        <f>COUNTIFS('Picks'!$H$2:$H$20,$A15,'Picks'!$U$2:$U$20,"settled")</f>
        <v/>
      </c>
      <c r="C15" s="18">
        <f>COUNTIFS('Picks'!$H$2:$H$20,$A15,'Picks'!$U$2:$U$20,"settled",'Picks'!$V$2:$V$20,"win")</f>
        <v/>
      </c>
      <c r="D15" s="18">
        <f>COUNTIFS('Picks'!$H$2:$H$20,$A15,'Picks'!$U$2:$U$20,"settled",'Picks'!$V$2:$V$20,"loss")</f>
        <v/>
      </c>
      <c r="E15" s="19">
        <f>IFERROR(C15/(C15+D15),0)</f>
        <v/>
      </c>
      <c r="F15" s="20">
        <f>SUMIFS('Picks'!$BY$2:$BY$20,'Picks'!$H$2:$H$20,$A15)</f>
        <v/>
      </c>
      <c r="G15" s="21">
        <f>IFERROR(AVERAGEIFS('Picks'!$AB$2:$AB$20,'Picks'!$H$2:$H$20,$A15,'Picks'!$U$2:$U$20,"settled"),0)</f>
        <v/>
      </c>
    </row>
    <row r="16">
      <c r="A16" s="12" t="inlineStr">
        <is>
          <t>total</t>
        </is>
      </c>
      <c r="B16" s="13">
        <f>COUNTIFS('Picks'!$H$2:$H$20,$A16,'Picks'!$U$2:$U$20,"settled")</f>
        <v/>
      </c>
      <c r="C16" s="13">
        <f>COUNTIFS('Picks'!$H$2:$H$20,$A16,'Picks'!$U$2:$U$20,"settled",'Picks'!$V$2:$V$20,"win")</f>
        <v/>
      </c>
      <c r="D16" s="13">
        <f>COUNTIFS('Picks'!$H$2:$H$20,$A16,'Picks'!$U$2:$U$20,"settled",'Picks'!$V$2:$V$20,"loss")</f>
        <v/>
      </c>
      <c r="E16" s="14">
        <f>IFERROR(C16/(C16+D16),0)</f>
        <v/>
      </c>
      <c r="F16" s="15">
        <f>SUMIFS('Picks'!$BY$2:$BY$20,'Picks'!$H$2:$H$20,$A16)</f>
        <v/>
      </c>
      <c r="G16" s="16">
        <f>IFERROR(AVERAGEIFS('Picks'!$AB$2:$AB$20,'Picks'!$H$2:$H$20,$A16,'Picks'!$U$2:$U$20,"settled"),0)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S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</row>
    <row r="2" ht="36" customHeight="1">
      <c r="A2" s="24" t="inlineStr">
        <is>
          <t>6b298622637b4852</t>
        </is>
      </c>
      <c r="B2" s="24" t="inlineStr">
        <is>
          <t>2026-08-02T08:20:39.643741Z</t>
        </is>
      </c>
      <c r="C2" s="24" t="inlineStr">
        <is>
          <t>2026-08-02T09:00:00Z</t>
        </is>
      </c>
      <c r="D2" s="24" t="inlineStr">
        <is>
          <t>66820</t>
        </is>
      </c>
      <c r="E2" s="24" t="inlineStr">
        <is>
          <t>KBO</t>
        </is>
      </c>
      <c r="F2" s="24" t="inlineStr">
        <is>
          <t>LG Twins</t>
        </is>
      </c>
      <c r="G2" s="24" t="inlineStr">
        <is>
          <t>Doosan Bears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113</v>
      </c>
      <c r="M2" s="27" t="n">
        <v>2.13</v>
      </c>
      <c r="N2" s="28" t="n">
        <v>0.469484</v>
      </c>
      <c r="O2" s="28" t="n">
        <v>0.537313</v>
      </c>
      <c r="P2" s="28" t="n"/>
      <c r="Q2" s="28" t="n">
        <v>0.067829</v>
      </c>
      <c r="R2" s="26" t="n">
        <v>54</v>
      </c>
      <c r="S2" s="29" t="n">
        <v>1</v>
      </c>
      <c r="T2" s="24" t="inlineStr">
        <is>
          <t>kbo-tie-aware-elo-v2</t>
        </is>
      </c>
      <c r="U2" s="24" t="inlineStr">
        <is>
          <t>settled</t>
        </is>
      </c>
      <c r="V2" s="24" t="inlineStr">
        <is>
          <t>push</t>
        </is>
      </c>
      <c r="W2" s="26" t="n">
        <v>0</v>
      </c>
      <c r="X2" s="26" t="n">
        <v>0</v>
      </c>
      <c r="Y2" s="25" t="n"/>
      <c r="Z2" s="26" t="n"/>
      <c r="AA2" s="28" t="n"/>
      <c r="AB2" s="28" t="n"/>
      <c r="AC2" s="30" t="n">
        <v>0.065</v>
      </c>
      <c r="AD2" s="24" t="inlineStr">
        <is>
          <t>2026-08-02T09:53:25.994801Z</t>
        </is>
      </c>
      <c r="AE2" s="31" t="inlineStr">
        <is>
          <t>Tie-aware Elo baseline; executable ask 0.4700 (market_slug=aec-kbo-dbo-ltg-2026-08-02). Tie probability=0.0329.</t>
        </is>
      </c>
      <c r="AF2" s="31" t="inlineStr">
        <is>
          <t>Config-promoted international baseball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LG Twins</t>
        </is>
      </c>
      <c r="AQ2" s="24" t="inlineStr">
        <is>
          <t>LG Twins</t>
        </is>
      </c>
      <c r="AR2" s="24" t="inlineStr">
        <is>
          <t>LG Twins</t>
        </is>
      </c>
      <c r="AS2" s="24" t="inlineStr">
        <is>
          <t>Doosan Bears</t>
        </is>
      </c>
      <c r="AT2" s="24" t="inlineStr">
        <is>
          <t>Doosan Bears</t>
        </is>
      </c>
      <c r="AU2" s="24" t="inlineStr">
        <is>
          <t>Doosan Bears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9ed13cfd8d860b2670f938484c3c659d864654d10d93ca38480a7e8d77633502</t>
        </is>
      </c>
      <c r="BB2" s="24" t="inlineStr">
        <is>
          <t>tie_aware_elo</t>
        </is>
      </c>
      <c r="BC2" s="24" t="inlineStr">
        <is>
          <t>kbo-tie-aware-elo-v2</t>
        </is>
      </c>
      <c r="BD2" s="24" t="inlineStr">
        <is>
          <t>9ed13cfd8d860b2670f938484c3c659d864654d10d93ca38480a7e8d77633502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kbo-tie-aware-elo-v2</t>
        </is>
      </c>
      <c r="BH2" s="24" t="inlineStr">
        <is>
          <t>2026-08-02T08:20:38.172250Z</t>
        </is>
      </c>
      <c r="BI2" s="24" t="inlineStr">
        <is>
          <t>["same_event","same_team_same_day","same_league_same_day"]</t>
        </is>
      </c>
      <c r="BJ2" s="25" t="n"/>
      <c r="BK2" s="26" t="n">
        <v>113</v>
      </c>
      <c r="BL2" s="27" t="n">
        <v>2.13</v>
      </c>
      <c r="BM2" s="28" t="n">
        <v>0.469484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n"/>
    </row>
    <row r="3" ht="36" customHeight="1">
      <c r="A3" s="24" t="inlineStr">
        <is>
          <t>a18447f9f3764884</t>
        </is>
      </c>
      <c r="B3" s="24" t="inlineStr">
        <is>
          <t>2026-08-02T08:20:39.643741Z</t>
        </is>
      </c>
      <c r="C3" s="24" t="inlineStr">
        <is>
          <t>2026-08-02T09:00:00Z</t>
        </is>
      </c>
      <c r="D3" s="24" t="inlineStr">
        <is>
          <t>66821</t>
        </is>
      </c>
      <c r="E3" s="24" t="inlineStr">
        <is>
          <t>KBO</t>
        </is>
      </c>
      <c r="F3" s="24" t="inlineStr">
        <is>
          <t>Samsung Lions</t>
        </is>
      </c>
      <c r="G3" s="24" t="inlineStr">
        <is>
          <t>Lotte Giants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-150</v>
      </c>
      <c r="M3" s="27" t="n">
        <v>1.666667</v>
      </c>
      <c r="N3" s="28" t="n">
        <v>0.6</v>
      </c>
      <c r="O3" s="28" t="n">
        <v>0.571761</v>
      </c>
      <c r="P3" s="28" t="n"/>
      <c r="Q3" s="28" t="n">
        <v>-0.028239</v>
      </c>
      <c r="R3" s="26" t="n">
        <v>6</v>
      </c>
      <c r="S3" s="29" t="n">
        <v>1.25</v>
      </c>
      <c r="T3" s="24" t="inlineStr">
        <is>
          <t>kbo-tie-aware-elo-v2</t>
        </is>
      </c>
      <c r="U3" s="24" t="inlineStr">
        <is>
          <t>settled</t>
        </is>
      </c>
      <c r="V3" s="24" t="inlineStr">
        <is>
          <t>push</t>
        </is>
      </c>
      <c r="W3" s="26" t="n">
        <v>0</v>
      </c>
      <c r="X3" s="26" t="n">
        <v>0</v>
      </c>
      <c r="Y3" s="25" t="n"/>
      <c r="Z3" s="26" t="n"/>
      <c r="AA3" s="28" t="n"/>
      <c r="AB3" s="28" t="n"/>
      <c r="AC3" s="30" t="n">
        <v>-0.2083</v>
      </c>
      <c r="AD3" s="24" t="inlineStr">
        <is>
          <t>2026-08-02T09:53:31.723233Z</t>
        </is>
      </c>
      <c r="AE3" s="31" t="inlineStr">
        <is>
          <t>Tie-aware Elo baseline; executable ask 0.6000 (market_slug=aec-kbo-lgo-sla-2026-08-02). Tie probability=0.0299.</t>
        </is>
      </c>
      <c r="AF3" s="31" t="inlineStr">
        <is>
          <t>Config-promoted international baseball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research_observation</t>
        </is>
      </c>
      <c r="AL3" s="26" t="n">
        <v>3</v>
      </c>
      <c r="AM3" s="24" t="inlineStr">
        <is>
          <t>RESEARCH_OBSERVATION</t>
        </is>
      </c>
      <c r="AN3" s="24" t="inlineStr">
        <is>
          <t>NO_CALL</t>
        </is>
      </c>
      <c r="AO3" s="24" t="inlineStr">
        <is>
          <t>NO_CALL_LOW_EDGE</t>
        </is>
      </c>
      <c r="AP3" s="24" t="inlineStr">
        <is>
          <t>Samsung Lions</t>
        </is>
      </c>
      <c r="AQ3" s="24" t="inlineStr">
        <is>
          <t>Samsung Lions</t>
        </is>
      </c>
      <c r="AR3" s="24" t="inlineStr">
        <is>
          <t>Samsung Lions</t>
        </is>
      </c>
      <c r="AS3" s="24" t="inlineStr">
        <is>
          <t>Lotte Giants</t>
        </is>
      </c>
      <c r="AT3" s="24" t="inlineStr">
        <is>
          <t>Lotte Giants</t>
        </is>
      </c>
      <c r="AU3" s="24" t="inlineStr">
        <is>
          <t>Lotte Giants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9ed13cfd8d860b2670f938484c3c659d864654d10d93ca38480a7e8d77633502</t>
        </is>
      </c>
      <c r="BB3" s="24" t="inlineStr">
        <is>
          <t>tie_aware_elo</t>
        </is>
      </c>
      <c r="BC3" s="24" t="inlineStr">
        <is>
          <t>kbo-tie-aware-elo-v2</t>
        </is>
      </c>
      <c r="BD3" s="24" t="inlineStr">
        <is>
          <t>9ed13cfd8d860b2670f938484c3c659d864654d10d93ca38480a7e8d77633502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kbo-tie-aware-elo-v2</t>
        </is>
      </c>
      <c r="BH3" s="24" t="inlineStr">
        <is>
          <t>2026-08-02T08:20:38.678859Z</t>
        </is>
      </c>
      <c r="BI3" s="24" t="inlineStr">
        <is>
          <t>["same_event","same_team_same_day","same_league_same_day"]</t>
        </is>
      </c>
      <c r="BJ3" s="25" t="n"/>
      <c r="BK3" s="26" t="n">
        <v>-150</v>
      </c>
      <c r="BL3" s="27" t="n">
        <v>1.666667</v>
      </c>
      <c r="BM3" s="28" t="n">
        <v>0.6</v>
      </c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n"/>
    </row>
    <row r="4" ht="36" customHeight="1">
      <c r="A4" s="24" t="inlineStr">
        <is>
          <t>9aae1bcd206c4cd9</t>
        </is>
      </c>
      <c r="B4" s="24" t="inlineStr">
        <is>
          <t>2026-08-02T08:20:39.643741Z</t>
        </is>
      </c>
      <c r="C4" s="24" t="inlineStr">
        <is>
          <t>2026-08-02T09:00:00Z</t>
        </is>
      </c>
      <c r="D4" s="24" t="inlineStr">
        <is>
          <t>66822</t>
        </is>
      </c>
      <c r="E4" s="24" t="inlineStr">
        <is>
          <t>KBO</t>
        </is>
      </c>
      <c r="F4" s="24" t="inlineStr">
        <is>
          <t>Kia Tigers</t>
        </is>
      </c>
      <c r="G4" s="24" t="inlineStr">
        <is>
          <t>NC Dinos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-156</v>
      </c>
      <c r="M4" s="27" t="n">
        <v>1.641026</v>
      </c>
      <c r="N4" s="28" t="n">
        <v>0.609375</v>
      </c>
      <c r="O4" s="28" t="n">
        <v>0.500454</v>
      </c>
      <c r="P4" s="28" t="n"/>
      <c r="Q4" s="28" t="n">
        <v>-0.108921</v>
      </c>
      <c r="R4" s="26" t="n">
        <v>0</v>
      </c>
      <c r="S4" s="29" t="n">
        <v>1</v>
      </c>
      <c r="T4" s="24" t="inlineStr">
        <is>
          <t>kbo-tie-aware-elo-v2</t>
        </is>
      </c>
      <c r="U4" s="24" t="inlineStr">
        <is>
          <t>open</t>
        </is>
      </c>
      <c r="V4" s="24" t="n"/>
      <c r="W4" s="26" t="n"/>
      <c r="X4" s="26" t="n"/>
      <c r="Y4" s="25" t="n"/>
      <c r="Z4" s="26" t="n"/>
      <c r="AA4" s="28" t="n"/>
      <c r="AB4" s="28" t="n"/>
      <c r="AC4" s="30" t="n"/>
      <c r="AD4" s="24" t="n"/>
      <c r="AE4" s="31" t="inlineStr">
        <is>
          <t>Tie-aware Elo baseline; executable ask 0.6100 (market_slug=aec-kbo-ndc-kti-2026-08-02). Tie probability=0.0361.</t>
        </is>
      </c>
      <c r="AF4" s="31" t="inlineStr">
        <is>
          <t>Config-promoted international baseball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NO_CALL_LOW_EDGE</t>
        </is>
      </c>
      <c r="AP4" s="24" t="inlineStr">
        <is>
          <t>Kia Tigers</t>
        </is>
      </c>
      <c r="AQ4" s="24" t="inlineStr">
        <is>
          <t>Kia Tigers</t>
        </is>
      </c>
      <c r="AR4" s="24" t="inlineStr">
        <is>
          <t>Kia Tigers</t>
        </is>
      </c>
      <c r="AS4" s="24" t="inlineStr">
        <is>
          <t>NC Dinos</t>
        </is>
      </c>
      <c r="AT4" s="24" t="inlineStr">
        <is>
          <t>NC Dinos</t>
        </is>
      </c>
      <c r="AU4" s="24" t="inlineStr">
        <is>
          <t>NC Dinos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9ed13cfd8d860b2670f938484c3c659d864654d10d93ca38480a7e8d77633502</t>
        </is>
      </c>
      <c r="BB4" s="24" t="inlineStr">
        <is>
          <t>tie_aware_elo</t>
        </is>
      </c>
      <c r="BC4" s="24" t="inlineStr">
        <is>
          <t>kbo-tie-aware-elo-v2</t>
        </is>
      </c>
      <c r="BD4" s="24" t="inlineStr">
        <is>
          <t>9ed13cfd8d860b2670f938484c3c659d864654d10d93ca38480a7e8d77633502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kbo-tie-aware-elo-v2</t>
        </is>
      </c>
      <c r="BH4" s="24" t="inlineStr">
        <is>
          <t>2026-08-02T08:20:39.168704Z</t>
        </is>
      </c>
      <c r="BI4" s="24" t="inlineStr">
        <is>
          <t>["same_event","same_team_same_day","same_league_same_day"]</t>
        </is>
      </c>
      <c r="BJ4" s="25" t="n"/>
      <c r="BK4" s="26" t="n">
        <v>-156</v>
      </c>
      <c r="BL4" s="27" t="n">
        <v>1.641026</v>
      </c>
      <c r="BM4" s="28" t="n">
        <v>0.609375</v>
      </c>
      <c r="BN4" s="28" t="n"/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n"/>
    </row>
    <row r="5" ht="36" customHeight="1">
      <c r="A5" s="24" t="inlineStr">
        <is>
          <t>b812d36f9af4454f</t>
        </is>
      </c>
      <c r="B5" s="24" t="inlineStr">
        <is>
          <t>2026-08-02T08:20:39.643741Z</t>
        </is>
      </c>
      <c r="C5" s="24" t="inlineStr">
        <is>
          <t>2026-08-02T09:00:00Z</t>
        </is>
      </c>
      <c r="D5" s="24" t="inlineStr">
        <is>
          <t>66824</t>
        </is>
      </c>
      <c r="E5" s="24" t="inlineStr">
        <is>
          <t>KBO</t>
        </is>
      </c>
      <c r="F5" s="24" t="inlineStr">
        <is>
          <t>Hanwha Eagles</t>
        </is>
      </c>
      <c r="G5" s="24" t="inlineStr">
        <is>
          <t>KT Wiz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-104</v>
      </c>
      <c r="M5" s="27" t="n">
        <v>1.961538</v>
      </c>
      <c r="N5" s="28" t="n">
        <v>0.509804</v>
      </c>
      <c r="O5" s="28" t="n">
        <v>0.599423</v>
      </c>
      <c r="P5" s="28" t="n"/>
      <c r="Q5" s="28" t="n">
        <v>0.089619</v>
      </c>
      <c r="R5" s="26" t="n">
        <v>65</v>
      </c>
      <c r="S5" s="29" t="n">
        <v>1.25</v>
      </c>
      <c r="T5" s="24" t="inlineStr">
        <is>
          <t>kbo-tie-aware-elo-v2</t>
        </is>
      </c>
      <c r="U5" s="24" t="inlineStr">
        <is>
          <t>settled</t>
        </is>
      </c>
      <c r="V5" s="24" t="inlineStr">
        <is>
          <t>push</t>
        </is>
      </c>
      <c r="W5" s="26" t="n">
        <v>0</v>
      </c>
      <c r="X5" s="26" t="n">
        <v>0</v>
      </c>
      <c r="Y5" s="25" t="n"/>
      <c r="Z5" s="26" t="n"/>
      <c r="AA5" s="28" t="n"/>
      <c r="AB5" s="28" t="n"/>
      <c r="AC5" s="30" t="n">
        <v>-0.024</v>
      </c>
      <c r="AD5" s="24" t="inlineStr">
        <is>
          <t>2026-08-02T09:53:37.329479Z</t>
        </is>
      </c>
      <c r="AE5" s="31" t="inlineStr">
        <is>
          <t>Tie-aware Elo baseline; executable ask 0.5100 (market_slug=aec-kbo-kwt-hea-2026-08-02). Tie probability=0.0275.</t>
        </is>
      </c>
      <c r="AF5" s="31" t="inlineStr">
        <is>
          <t>Config-promoted international baseball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Hanwha Eagles</t>
        </is>
      </c>
      <c r="AQ5" s="24" t="inlineStr">
        <is>
          <t>Hanwha Eagles</t>
        </is>
      </c>
      <c r="AR5" s="24" t="inlineStr">
        <is>
          <t>Hanwha Eagles</t>
        </is>
      </c>
      <c r="AS5" s="24" t="inlineStr">
        <is>
          <t>KT Wiz</t>
        </is>
      </c>
      <c r="AT5" s="24" t="inlineStr">
        <is>
          <t>KT Wiz</t>
        </is>
      </c>
      <c r="AU5" s="24" t="inlineStr">
        <is>
          <t>KT Wiz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9ed13cfd8d860b2670f938484c3c659d864654d10d93ca38480a7e8d77633502</t>
        </is>
      </c>
      <c r="BB5" s="24" t="inlineStr">
        <is>
          <t>tie_aware_elo</t>
        </is>
      </c>
      <c r="BC5" s="24" t="inlineStr">
        <is>
          <t>kbo-tie-aware-elo-v2</t>
        </is>
      </c>
      <c r="BD5" s="24" t="inlineStr">
        <is>
          <t>9ed13cfd8d860b2670f938484c3c659d864654d10d93ca38480a7e8d77633502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kbo-tie-aware-elo-v2</t>
        </is>
      </c>
      <c r="BH5" s="24" t="inlineStr">
        <is>
          <t>2026-08-02T08:20:39.643606Z</t>
        </is>
      </c>
      <c r="BI5" s="24" t="inlineStr">
        <is>
          <t>["same_event","same_team_same_day","same_league_same_day"]</t>
        </is>
      </c>
      <c r="BJ5" s="25" t="n"/>
      <c r="BK5" s="26" t="n">
        <v>-104</v>
      </c>
      <c r="BL5" s="27" t="n">
        <v>1.961538</v>
      </c>
      <c r="BM5" s="28" t="n">
        <v>0.509804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n"/>
    </row>
    <row r="6" ht="36" customHeight="1">
      <c r="A6" s="24" t="inlineStr">
        <is>
          <t>82e9095226ef4d4d</t>
        </is>
      </c>
      <c r="B6" s="24" t="inlineStr">
        <is>
          <t>2026-08-04T08:55:29.662874Z</t>
        </is>
      </c>
      <c r="C6" s="24" t="inlineStr">
        <is>
          <t>2026-08-04T09:30:00Z</t>
        </is>
      </c>
      <c r="D6" s="24" t="inlineStr">
        <is>
          <t>68265</t>
        </is>
      </c>
      <c r="E6" s="24" t="inlineStr">
        <is>
          <t>KBO</t>
        </is>
      </c>
      <c r="F6" s="24" t="inlineStr">
        <is>
          <t>NC Dinos</t>
        </is>
      </c>
      <c r="G6" s="24" t="inlineStr">
        <is>
          <t>Doosan Bears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156</v>
      </c>
      <c r="M6" s="27" t="n">
        <v>2.56</v>
      </c>
      <c r="N6" s="28" t="n">
        <v>0.390625</v>
      </c>
      <c r="O6" s="28" t="n">
        <v>0.5790380000000001</v>
      </c>
      <c r="P6" s="28" t="n"/>
      <c r="Q6" s="28" t="n">
        <v>0.188413</v>
      </c>
      <c r="R6" s="26" t="n">
        <v>100</v>
      </c>
      <c r="S6" s="29" t="n">
        <v>1.25</v>
      </c>
      <c r="T6" s="24" t="inlineStr">
        <is>
          <t>kbo-tie-aware-elo-v2</t>
        </is>
      </c>
      <c r="U6" s="24" t="inlineStr">
        <is>
          <t>open</t>
        </is>
      </c>
      <c r="V6" s="24" t="n"/>
      <c r="W6" s="26" t="n"/>
      <c r="X6" s="26" t="n"/>
      <c r="Y6" s="25" t="n"/>
      <c r="Z6" s="26" t="n"/>
      <c r="AA6" s="28" t="n"/>
      <c r="AB6" s="28" t="n"/>
      <c r="AC6" s="30" t="n"/>
      <c r="AD6" s="24" t="n"/>
      <c r="AE6" s="31" t="inlineStr">
        <is>
          <t>Tie-aware Elo baseline; executable ask 0.3900 (market_slug=aec-kbo-dbo-ndc-2026-08-04). Tie probability=0.0299.</t>
        </is>
      </c>
      <c r="AF6" s="31" t="inlineStr">
        <is>
          <t>Config-promoted international baseball baseline; gates enforced at log time.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research_observation</t>
        </is>
      </c>
      <c r="AL6" s="26" t="n">
        <v>3</v>
      </c>
      <c r="AM6" s="24" t="inlineStr">
        <is>
          <t>RESEARCH_OBSERVATION</t>
        </is>
      </c>
      <c r="AN6" s="24" t="inlineStr">
        <is>
          <t>NO_CALL</t>
        </is>
      </c>
      <c r="AO6" s="24" t="inlineStr">
        <is>
          <t>NO_CALL_LOW_EDGE</t>
        </is>
      </c>
      <c r="AP6" s="24" t="inlineStr">
        <is>
          <t>NC Dinos</t>
        </is>
      </c>
      <c r="AQ6" s="24" t="inlineStr">
        <is>
          <t>NC Dinos</t>
        </is>
      </c>
      <c r="AR6" s="24" t="inlineStr">
        <is>
          <t>NC Dinos</t>
        </is>
      </c>
      <c r="AS6" s="24" t="inlineStr">
        <is>
          <t>Doosan Bears</t>
        </is>
      </c>
      <c r="AT6" s="24" t="inlineStr">
        <is>
          <t>Doosan Bears</t>
        </is>
      </c>
      <c r="AU6" s="24" t="inlineStr">
        <is>
          <t>Doosan Bears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ed3011bd159f6231451a9fe0e125e5f3fe12152fa880d63d1c0f52c74fa66b4f</t>
        </is>
      </c>
      <c r="BB6" s="24" t="inlineStr">
        <is>
          <t>tie_aware_elo</t>
        </is>
      </c>
      <c r="BC6" s="24" t="inlineStr">
        <is>
          <t>kbo-tie-aware-elo-v2</t>
        </is>
      </c>
      <c r="BD6" s="24" t="inlineStr">
        <is>
          <t>ed3011bd159f6231451a9fe0e125e5f3fe12152fa880d63d1c0f52c74fa66b4f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kbo-tie-aware-elo-v2</t>
        </is>
      </c>
      <c r="BH6" s="24" t="inlineStr">
        <is>
          <t>2026-08-04T08:55:27.155611Z</t>
        </is>
      </c>
      <c r="BI6" s="24" t="inlineStr">
        <is>
          <t>["same_event","same_team_same_day","same_league_same_day"]</t>
        </is>
      </c>
      <c r="BJ6" s="25" t="n"/>
      <c r="BK6" s="26" t="n">
        <v>156</v>
      </c>
      <c r="BL6" s="27" t="n">
        <v>2.56</v>
      </c>
      <c r="BM6" s="28" t="n">
        <v>0.390625</v>
      </c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inlineStr">
        <is>
          <t>True</t>
        </is>
      </c>
    </row>
    <row r="7" ht="36" customHeight="1">
      <c r="A7" s="24" t="inlineStr">
        <is>
          <t>3d42a08544994bf4</t>
        </is>
      </c>
      <c r="B7" s="24" t="inlineStr">
        <is>
          <t>2026-08-04T08:55:29.662874Z</t>
        </is>
      </c>
      <c r="C7" s="24" t="inlineStr">
        <is>
          <t>2026-08-04T09:30:00Z</t>
        </is>
      </c>
      <c r="D7" s="24" t="inlineStr">
        <is>
          <t>68266</t>
        </is>
      </c>
      <c r="E7" s="24" t="inlineStr">
        <is>
          <t>KBO</t>
        </is>
      </c>
      <c r="F7" s="24" t="inlineStr">
        <is>
          <t>LG Twins</t>
        </is>
      </c>
      <c r="G7" s="24" t="inlineStr">
        <is>
          <t>SSG Landers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-223</v>
      </c>
      <c r="M7" s="27" t="n">
        <v>1.44843</v>
      </c>
      <c r="N7" s="28" t="n">
        <v>0.690402</v>
      </c>
      <c r="O7" s="28" t="n">
        <v>0.550713</v>
      </c>
      <c r="P7" s="28" t="n"/>
      <c r="Q7" s="28" t="n">
        <v>-0.139689</v>
      </c>
      <c r="R7" s="26" t="n">
        <v>0</v>
      </c>
      <c r="S7" s="29" t="n">
        <v>1</v>
      </c>
      <c r="T7" s="24" t="inlineStr">
        <is>
          <t>kbo-tie-aware-elo-v2</t>
        </is>
      </c>
      <c r="U7" s="24" t="inlineStr">
        <is>
          <t>settled</t>
        </is>
      </c>
      <c r="V7" s="24" t="inlineStr">
        <is>
          <t>push</t>
        </is>
      </c>
      <c r="W7" s="26" t="n">
        <v>0</v>
      </c>
      <c r="X7" s="26" t="n">
        <v>0</v>
      </c>
      <c r="Y7" s="25" t="n"/>
      <c r="Z7" s="26" t="n"/>
      <c r="AA7" s="28" t="n"/>
      <c r="AB7" s="28" t="n"/>
      <c r="AC7" s="30" t="n">
        <v>-0.2758</v>
      </c>
      <c r="AD7" s="24" t="inlineStr">
        <is>
          <t>2026-08-04T11:57:56.981607Z</t>
        </is>
      </c>
      <c r="AE7" s="31" t="inlineStr">
        <is>
          <t>Tie-aware Elo baseline; executable ask 0.6900 (market_slug=aec-kbo-sls-ltg-2026-08-04). Tie probability=0.0325.</t>
        </is>
      </c>
      <c r="AF7" s="31" t="inlineStr">
        <is>
          <t>Config-promoted international baseball baseline; gates enforced at log time.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NO_CALL_LOW_EDGE</t>
        </is>
      </c>
      <c r="AP7" s="24" t="inlineStr">
        <is>
          <t>LG Twins</t>
        </is>
      </c>
      <c r="AQ7" s="24" t="inlineStr">
        <is>
          <t>LG Twins</t>
        </is>
      </c>
      <c r="AR7" s="24" t="inlineStr">
        <is>
          <t>LG Twins</t>
        </is>
      </c>
      <c r="AS7" s="24" t="inlineStr">
        <is>
          <t>SSG Landers</t>
        </is>
      </c>
      <c r="AT7" s="24" t="inlineStr">
        <is>
          <t>SSG Landers</t>
        </is>
      </c>
      <c r="AU7" s="24" t="inlineStr">
        <is>
          <t>SSG Landers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ed3011bd159f6231451a9fe0e125e5f3fe12152fa880d63d1c0f52c74fa66b4f</t>
        </is>
      </c>
      <c r="BB7" s="24" t="inlineStr">
        <is>
          <t>tie_aware_elo</t>
        </is>
      </c>
      <c r="BC7" s="24" t="inlineStr">
        <is>
          <t>kbo-tie-aware-elo-v2</t>
        </is>
      </c>
      <c r="BD7" s="24" t="inlineStr">
        <is>
          <t>ed3011bd159f6231451a9fe0e125e5f3fe12152fa880d63d1c0f52c74fa66b4f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kbo-tie-aware-elo-v2</t>
        </is>
      </c>
      <c r="BH7" s="24" t="inlineStr">
        <is>
          <t>2026-08-04T08:55:27.825209Z</t>
        </is>
      </c>
      <c r="BI7" s="24" t="inlineStr">
        <is>
          <t>["same_event","same_team_same_day","same_league_same_day"]</t>
        </is>
      </c>
      <c r="BJ7" s="25" t="n"/>
      <c r="BK7" s="26" t="n">
        <v>-223</v>
      </c>
      <c r="BL7" s="27" t="n">
        <v>1.44843</v>
      </c>
      <c r="BM7" s="28" t="n">
        <v>0.690402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inlineStr">
        <is>
          <t>False</t>
        </is>
      </c>
    </row>
    <row r="8" ht="36" customHeight="1">
      <c r="A8" s="24" t="inlineStr">
        <is>
          <t>3b94e7433b554d5d</t>
        </is>
      </c>
      <c r="B8" s="24" t="inlineStr">
        <is>
          <t>2026-08-04T08:55:29.662874Z</t>
        </is>
      </c>
      <c r="C8" s="24" t="inlineStr">
        <is>
          <t>2026-08-04T09:30:00Z</t>
        </is>
      </c>
      <c r="D8" s="24" t="inlineStr">
        <is>
          <t>68268</t>
        </is>
      </c>
      <c r="E8" s="24" t="inlineStr">
        <is>
          <t>KBO</t>
        </is>
      </c>
      <c r="F8" s="24" t="inlineStr">
        <is>
          <t>Kiwoom Heroes</t>
        </is>
      </c>
      <c r="G8" s="24" t="inlineStr">
        <is>
          <t>Lotte Giants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-170</v>
      </c>
      <c r="M8" s="27" t="n">
        <v>1.588235</v>
      </c>
      <c r="N8" s="28" t="n">
        <v>0.62963</v>
      </c>
      <c r="O8" s="28" t="n">
        <v>0.5638300000000001</v>
      </c>
      <c r="P8" s="28" t="n"/>
      <c r="Q8" s="28" t="n">
        <v>-0.0658</v>
      </c>
      <c r="R8" s="26" t="n">
        <v>0</v>
      </c>
      <c r="S8" s="29" t="n">
        <v>1</v>
      </c>
      <c r="T8" s="24" t="inlineStr">
        <is>
          <t>kbo-tie-aware-elo-v2</t>
        </is>
      </c>
      <c r="U8" s="24" t="inlineStr">
        <is>
          <t>settled</t>
        </is>
      </c>
      <c r="V8" s="24" t="inlineStr">
        <is>
          <t>push</t>
        </is>
      </c>
      <c r="W8" s="26" t="n">
        <v>0</v>
      </c>
      <c r="X8" s="26" t="n">
        <v>0</v>
      </c>
      <c r="Y8" s="25" t="n"/>
      <c r="Z8" s="26" t="n"/>
      <c r="AA8" s="28" t="n"/>
      <c r="AB8" s="28" t="n"/>
      <c r="AC8" s="30" t="n">
        <v>-0.2059</v>
      </c>
      <c r="AD8" s="24" t="inlineStr">
        <is>
          <t>2026-08-04T11:57:57.054537Z</t>
        </is>
      </c>
      <c r="AE8" s="31" t="inlineStr">
        <is>
          <t>Tie-aware Elo baseline; executable ask 0.6300 (market_slug=aec-kbo-lgo-khi-2026-08-04). Tie probability=0.0313.</t>
        </is>
      </c>
      <c r="AF8" s="31" t="inlineStr">
        <is>
          <t>Config-promoted international baseball baseline; gates enforced at log time.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research_observation</t>
        </is>
      </c>
      <c r="AL8" s="26" t="n">
        <v>3</v>
      </c>
      <c r="AM8" s="24" t="inlineStr">
        <is>
          <t>RESEARCH_OBSERVATION</t>
        </is>
      </c>
      <c r="AN8" s="24" t="inlineStr">
        <is>
          <t>NO_CALL</t>
        </is>
      </c>
      <c r="AO8" s="24" t="inlineStr">
        <is>
          <t>NO_CALL_LOW_EDGE</t>
        </is>
      </c>
      <c r="AP8" s="24" t="inlineStr">
        <is>
          <t>Kiwoom Heroes</t>
        </is>
      </c>
      <c r="AQ8" s="24" t="inlineStr">
        <is>
          <t>Kiwoom Heroes</t>
        </is>
      </c>
      <c r="AR8" s="24" t="inlineStr">
        <is>
          <t>Kiwoom Heroes</t>
        </is>
      </c>
      <c r="AS8" s="24" t="inlineStr">
        <is>
          <t>Lotte Giants</t>
        </is>
      </c>
      <c r="AT8" s="24" t="inlineStr">
        <is>
          <t>Lotte Giants</t>
        </is>
      </c>
      <c r="AU8" s="24" t="inlineStr">
        <is>
          <t>Lotte Giants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ed3011bd159f6231451a9fe0e125e5f3fe12152fa880d63d1c0f52c74fa66b4f</t>
        </is>
      </c>
      <c r="BB8" s="24" t="inlineStr">
        <is>
          <t>tie_aware_elo</t>
        </is>
      </c>
      <c r="BC8" s="24" t="inlineStr">
        <is>
          <t>kbo-tie-aware-elo-v2</t>
        </is>
      </c>
      <c r="BD8" s="24" t="inlineStr">
        <is>
          <t>ed3011bd159f6231451a9fe0e125e5f3fe12152fa880d63d1c0f52c74fa66b4f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kbo-tie-aware-elo-v2</t>
        </is>
      </c>
      <c r="BH8" s="24" t="inlineStr">
        <is>
          <t>2026-08-04T08:55:28.469450Z</t>
        </is>
      </c>
      <c r="BI8" s="24" t="inlineStr">
        <is>
          <t>["same_event","same_team_same_day","same_league_same_day"]</t>
        </is>
      </c>
      <c r="BJ8" s="25" t="n"/>
      <c r="BK8" s="26" t="n">
        <v>-170</v>
      </c>
      <c r="BL8" s="27" t="n">
        <v>1.588235</v>
      </c>
      <c r="BM8" s="28" t="n">
        <v>0.62963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inlineStr">
        <is>
          <t>False</t>
        </is>
      </c>
    </row>
    <row r="9" ht="36" customHeight="1">
      <c r="A9" s="24" t="inlineStr">
        <is>
          <t>b0366f9bba48413a</t>
        </is>
      </c>
      <c r="B9" s="24" t="inlineStr">
        <is>
          <t>2026-08-04T08:55:29.662874Z</t>
        </is>
      </c>
      <c r="C9" s="24" t="inlineStr">
        <is>
          <t>2026-08-04T09:30:00Z</t>
        </is>
      </c>
      <c r="D9" s="24" t="inlineStr">
        <is>
          <t>68270</t>
        </is>
      </c>
      <c r="E9" s="24" t="inlineStr">
        <is>
          <t>KBO</t>
        </is>
      </c>
      <c r="F9" s="24" t="inlineStr">
        <is>
          <t>Hanwha Eagles</t>
        </is>
      </c>
      <c r="G9" s="24" t="inlineStr">
        <is>
          <t>Samsung Lions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-133</v>
      </c>
      <c r="M9" s="27" t="n">
        <v>1.75188</v>
      </c>
      <c r="N9" s="28" t="n">
        <v>0.570815</v>
      </c>
      <c r="O9" s="28" t="n">
        <v>0.5917</v>
      </c>
      <c r="P9" s="28" t="n"/>
      <c r="Q9" s="28" t="n">
        <v>0.020885</v>
      </c>
      <c r="R9" s="26" t="n">
        <v>30</v>
      </c>
      <c r="S9" s="29" t="n">
        <v>1.25</v>
      </c>
      <c r="T9" s="24" t="inlineStr">
        <is>
          <t>kbo-tie-aware-elo-v2</t>
        </is>
      </c>
      <c r="U9" s="24" t="inlineStr">
        <is>
          <t>settled</t>
        </is>
      </c>
      <c r="V9" s="24" t="inlineStr">
        <is>
          <t>push</t>
        </is>
      </c>
      <c r="W9" s="26" t="n">
        <v>0</v>
      </c>
      <c r="X9" s="26" t="n">
        <v>0</v>
      </c>
      <c r="Y9" s="25" t="n"/>
      <c r="Z9" s="26" t="n"/>
      <c r="AA9" s="28" t="n"/>
      <c r="AB9" s="28" t="n"/>
      <c r="AC9" s="30" t="n">
        <v>-0.1551</v>
      </c>
      <c r="AD9" s="24" t="inlineStr">
        <is>
          <t>2026-08-04T11:57:57.126892Z</t>
        </is>
      </c>
      <c r="AE9" s="31" t="inlineStr">
        <is>
          <t>Tie-aware Elo baseline; executable ask 0.5700 (market_slug=aec-kbo-sla-hea-2026-08-04). Tie probability=0.0288.</t>
        </is>
      </c>
      <c r="AF9" s="31" t="inlineStr">
        <is>
          <t>Config-promoted international baseball baseline; gates enforced at log time.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RESEARCH_OBSERVATION</t>
        </is>
      </c>
      <c r="AN9" s="24" t="inlineStr">
        <is>
          <t>NO_CALL</t>
        </is>
      </c>
      <c r="AO9" s="24" t="inlineStr">
        <is>
          <t>NO_CALL_LOW_EDGE</t>
        </is>
      </c>
      <c r="AP9" s="24" t="inlineStr">
        <is>
          <t>Hanwha Eagles</t>
        </is>
      </c>
      <c r="AQ9" s="24" t="inlineStr">
        <is>
          <t>Hanwha Eagles</t>
        </is>
      </c>
      <c r="AR9" s="24" t="inlineStr">
        <is>
          <t>Hanwha Eagles</t>
        </is>
      </c>
      <c r="AS9" s="24" t="inlineStr">
        <is>
          <t>Samsung Lions</t>
        </is>
      </c>
      <c r="AT9" s="24" t="inlineStr">
        <is>
          <t>Samsung Lions</t>
        </is>
      </c>
      <c r="AU9" s="24" t="inlineStr">
        <is>
          <t>Samsung Lions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ed3011bd159f6231451a9fe0e125e5f3fe12152fa880d63d1c0f52c74fa66b4f</t>
        </is>
      </c>
      <c r="BB9" s="24" t="inlineStr">
        <is>
          <t>tie_aware_elo</t>
        </is>
      </c>
      <c r="BC9" s="24" t="inlineStr">
        <is>
          <t>kbo-tie-aware-elo-v2</t>
        </is>
      </c>
      <c r="BD9" s="24" t="inlineStr">
        <is>
          <t>ed3011bd159f6231451a9fe0e125e5f3fe12152fa880d63d1c0f52c74fa66b4f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kbo-tie-aware-elo-v2</t>
        </is>
      </c>
      <c r="BH9" s="24" t="inlineStr">
        <is>
          <t>2026-08-04T08:55:29.194279Z</t>
        </is>
      </c>
      <c r="BI9" s="24" t="inlineStr">
        <is>
          <t>["same_event","same_team_same_day","same_league_same_day"]</t>
        </is>
      </c>
      <c r="BJ9" s="25" t="n"/>
      <c r="BK9" s="26" t="n">
        <v>-133</v>
      </c>
      <c r="BL9" s="27" t="n">
        <v>1.75188</v>
      </c>
      <c r="BM9" s="28" t="n">
        <v>0.570815</v>
      </c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inlineStr">
        <is>
          <t>True</t>
        </is>
      </c>
    </row>
    <row r="10" ht="36" customHeight="1">
      <c r="A10" s="24" t="inlineStr">
        <is>
          <t>8b5fd89c6c904404</t>
        </is>
      </c>
      <c r="B10" s="24" t="inlineStr">
        <is>
          <t>2026-08-04T08:55:29.662874Z</t>
        </is>
      </c>
      <c r="C10" s="24" t="inlineStr">
        <is>
          <t>2026-08-04T09:30:00Z</t>
        </is>
      </c>
      <c r="D10" s="24" t="inlineStr">
        <is>
          <t>68271</t>
        </is>
      </c>
      <c r="E10" s="24" t="inlineStr">
        <is>
          <t>KBO</t>
        </is>
      </c>
      <c r="F10" s="24" t="inlineStr">
        <is>
          <t>KT Wiz</t>
        </is>
      </c>
      <c r="G10" s="24" t="inlineStr">
        <is>
          <t>Kia Tigers</t>
        </is>
      </c>
      <c r="H10" s="24" t="inlineStr">
        <is>
          <t>moneyline</t>
        </is>
      </c>
      <c r="I10" s="24" t="inlineStr">
        <is>
          <t>away</t>
        </is>
      </c>
      <c r="J10" s="25" t="n"/>
      <c r="K10" s="24" t="inlineStr">
        <is>
          <t>polymarket_us</t>
        </is>
      </c>
      <c r="L10" s="26" t="n">
        <v>127</v>
      </c>
      <c r="M10" s="27" t="n">
        <v>2.27</v>
      </c>
      <c r="N10" s="28" t="n">
        <v>0.440529</v>
      </c>
      <c r="O10" s="28" t="n">
        <v>0.539741</v>
      </c>
      <c r="P10" s="28" t="n"/>
      <c r="Q10" s="28" t="n">
        <v>0.09921199999999999</v>
      </c>
      <c r="R10" s="26" t="n">
        <v>70</v>
      </c>
      <c r="S10" s="29" t="n">
        <v>1</v>
      </c>
      <c r="T10" s="24" t="inlineStr">
        <is>
          <t>kbo-tie-aware-elo-v2</t>
        </is>
      </c>
      <c r="U10" s="24" t="inlineStr">
        <is>
          <t>open</t>
        </is>
      </c>
      <c r="V10" s="24" t="n"/>
      <c r="W10" s="26" t="n"/>
      <c r="X10" s="26" t="n"/>
      <c r="Y10" s="25" t="n"/>
      <c r="Z10" s="26" t="n"/>
      <c r="AA10" s="28" t="n"/>
      <c r="AB10" s="28" t="n"/>
      <c r="AC10" s="30" t="n"/>
      <c r="AD10" s="24" t="n"/>
      <c r="AE10" s="31" t="inlineStr">
        <is>
          <t>Tie-aware Elo baseline; executable ask 0.4400 (market_slug=aec-kbo-kti-kwt-2026-08-04). Tie probability=0.0335.</t>
        </is>
      </c>
      <c r="AF10" s="31" t="inlineStr">
        <is>
          <t>Config-promoted international baseball baseline; gates enforced at log time.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NO_CALL_LOW_EDGE</t>
        </is>
      </c>
      <c r="AP10" s="24" t="inlineStr">
        <is>
          <t>KT Wiz</t>
        </is>
      </c>
      <c r="AQ10" s="24" t="inlineStr">
        <is>
          <t>KT Wiz</t>
        </is>
      </c>
      <c r="AR10" s="24" t="inlineStr">
        <is>
          <t>KT Wiz</t>
        </is>
      </c>
      <c r="AS10" s="24" t="inlineStr">
        <is>
          <t>Kia Tigers</t>
        </is>
      </c>
      <c r="AT10" s="24" t="inlineStr">
        <is>
          <t>Kia Tigers</t>
        </is>
      </c>
      <c r="AU10" s="24" t="inlineStr">
        <is>
          <t>Kia Tigers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ed3011bd159f6231451a9fe0e125e5f3fe12152fa880d63d1c0f52c74fa66b4f</t>
        </is>
      </c>
      <c r="BB10" s="24" t="inlineStr">
        <is>
          <t>tie_aware_elo</t>
        </is>
      </c>
      <c r="BC10" s="24" t="inlineStr">
        <is>
          <t>kbo-tie-aware-elo-v2</t>
        </is>
      </c>
      <c r="BD10" s="24" t="inlineStr">
        <is>
          <t>ed3011bd159f6231451a9fe0e125e5f3fe12152fa880d63d1c0f52c74fa66b4f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kbo-tie-aware-elo-v2</t>
        </is>
      </c>
      <c r="BH10" s="24" t="inlineStr">
        <is>
          <t>2026-08-04T08:55:29.662825Z</t>
        </is>
      </c>
      <c r="BI10" s="24" t="inlineStr">
        <is>
          <t>["same_event","same_team_same_day","same_league_same_day"]</t>
        </is>
      </c>
      <c r="BJ10" s="25" t="n"/>
      <c r="BK10" s="26" t="n">
        <v>127</v>
      </c>
      <c r="BL10" s="27" t="n">
        <v>2.27</v>
      </c>
      <c r="BM10" s="28" t="n">
        <v>0.440529</v>
      </c>
      <c r="BN10" s="28" t="n"/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inlineStr">
        <is>
          <t>True</t>
        </is>
      </c>
    </row>
    <row r="11" ht="36" customHeight="1">
      <c r="A11" s="24" t="inlineStr">
        <is>
          <t>cc40a51fc9624e7a</t>
        </is>
      </c>
      <c r="B11" s="24" t="inlineStr">
        <is>
          <t>2026-08-05T04:36:51.796720Z</t>
        </is>
      </c>
      <c r="C11" s="24" t="inlineStr">
        <is>
          <t>2026-08-05T09:30:00Z</t>
        </is>
      </c>
      <c r="D11" s="24" t="inlineStr">
        <is>
          <t>69519</t>
        </is>
      </c>
      <c r="E11" s="24" t="inlineStr">
        <is>
          <t>KBO</t>
        </is>
      </c>
      <c r="F11" s="24" t="inlineStr">
        <is>
          <t>NC Dinos</t>
        </is>
      </c>
      <c r="G11" s="24" t="inlineStr">
        <is>
          <t>Doosan Bears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138</v>
      </c>
      <c r="M11" s="27" t="n">
        <v>2.38</v>
      </c>
      <c r="N11" s="28" t="n">
        <v>0.420168</v>
      </c>
      <c r="O11" s="28" t="n">
        <v>0.5786289999999999</v>
      </c>
      <c r="P11" s="28" t="n"/>
      <c r="Q11" s="28" t="n">
        <v>0.158461</v>
      </c>
      <c r="R11" s="26" t="n">
        <v>99</v>
      </c>
      <c r="S11" s="29" t="n">
        <v>1.25</v>
      </c>
      <c r="T11" s="24" t="inlineStr">
        <is>
          <t>kbo-tie-aware-elo-v2</t>
        </is>
      </c>
      <c r="U11" s="24" t="inlineStr">
        <is>
          <t>open</t>
        </is>
      </c>
      <c r="V11" s="24" t="n"/>
      <c r="W11" s="26" t="n"/>
      <c r="X11" s="26" t="n"/>
      <c r="Y11" s="25" t="n"/>
      <c r="Z11" s="26" t="n"/>
      <c r="AA11" s="28" t="n"/>
      <c r="AB11" s="28" t="n"/>
      <c r="AC11" s="30" t="n"/>
      <c r="AD11" s="24" t="n"/>
      <c r="AE11" s="31" t="inlineStr">
        <is>
          <t>Tie-aware Elo baseline; executable ask 0.4200 (market_slug=aec-kbo-dbo-ndc-2026-08-05). Tie probability=0.0300.</t>
        </is>
      </c>
      <c r="AF11" s="31" t="inlineStr">
        <is>
          <t>Config-promoted international baseball baseline; gates enforced at log time.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NO_CALL_LOW_EDGE</t>
        </is>
      </c>
      <c r="AP11" s="24" t="inlineStr">
        <is>
          <t>NC Dinos</t>
        </is>
      </c>
      <c r="AQ11" s="24" t="inlineStr">
        <is>
          <t>NC Dinos</t>
        </is>
      </c>
      <c r="AR11" s="24" t="inlineStr">
        <is>
          <t>NC Dinos</t>
        </is>
      </c>
      <c r="AS11" s="24" t="inlineStr">
        <is>
          <t>Doosan Bears</t>
        </is>
      </c>
      <c r="AT11" s="24" t="inlineStr">
        <is>
          <t>Doosan Bears</t>
        </is>
      </c>
      <c r="AU11" s="24" t="inlineStr">
        <is>
          <t>Doosan Bears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42580816cbd4c4e1853d7ee970337b5714d38d677b257c76baa90b243516ed94</t>
        </is>
      </c>
      <c r="BB11" s="24" t="inlineStr">
        <is>
          <t>tie_aware_elo</t>
        </is>
      </c>
      <c r="BC11" s="24" t="inlineStr">
        <is>
          <t>kbo-tie-aware-elo-v2</t>
        </is>
      </c>
      <c r="BD11" s="24" t="inlineStr">
        <is>
          <t>42580816cbd4c4e1853d7ee970337b5714d38d677b257c76baa90b243516ed94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kbo-tie-aware-elo-v2</t>
        </is>
      </c>
      <c r="BH11" s="24" t="inlineStr">
        <is>
          <t>2026-08-05T04:36:48.171174Z</t>
        </is>
      </c>
      <c r="BI11" s="24" t="inlineStr">
        <is>
          <t>["same_event","same_team_same_day","same_league_same_day"]</t>
        </is>
      </c>
      <c r="BJ11" s="25" t="n"/>
      <c r="BK11" s="26" t="n">
        <v>138</v>
      </c>
      <c r="BL11" s="27" t="n">
        <v>2.38</v>
      </c>
      <c r="BM11" s="28" t="n">
        <v>0.420168</v>
      </c>
      <c r="BN11" s="28" t="n"/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inlineStr">
        <is>
          <t>True</t>
        </is>
      </c>
    </row>
    <row r="12" ht="36" customHeight="1">
      <c r="A12" s="24" t="inlineStr">
        <is>
          <t>13b6204472b44df9</t>
        </is>
      </c>
      <c r="B12" s="24" t="inlineStr">
        <is>
          <t>2026-08-05T04:36:51.796720Z</t>
        </is>
      </c>
      <c r="C12" s="24" t="inlineStr">
        <is>
          <t>2026-08-05T09:30:00Z</t>
        </is>
      </c>
      <c r="D12" s="24" t="inlineStr">
        <is>
          <t>69520</t>
        </is>
      </c>
      <c r="E12" s="24" t="inlineStr">
        <is>
          <t>KBO</t>
        </is>
      </c>
      <c r="F12" s="24" t="inlineStr">
        <is>
          <t>LG Twins</t>
        </is>
      </c>
      <c r="G12" s="24" t="inlineStr">
        <is>
          <t>SSG Landers</t>
        </is>
      </c>
      <c r="H12" s="24" t="inlineStr">
        <is>
          <t>moneyline</t>
        </is>
      </c>
      <c r="I12" s="24" t="inlineStr">
        <is>
          <t>away</t>
        </is>
      </c>
      <c r="J12" s="25" t="n"/>
      <c r="K12" s="24" t="inlineStr">
        <is>
          <t>polymarket_us</t>
        </is>
      </c>
      <c r="L12" s="26" t="n">
        <v>-144</v>
      </c>
      <c r="M12" s="27" t="n">
        <v>1.694444</v>
      </c>
      <c r="N12" s="28" t="n">
        <v>0.590164</v>
      </c>
      <c r="O12" s="28" t="n">
        <v>0.538431</v>
      </c>
      <c r="P12" s="28" t="n"/>
      <c r="Q12" s="28" t="n">
        <v>-0.051733</v>
      </c>
      <c r="R12" s="26" t="n">
        <v>0</v>
      </c>
      <c r="S12" s="29" t="n">
        <v>1</v>
      </c>
      <c r="T12" s="24" t="inlineStr">
        <is>
          <t>kbo-tie-aware-elo-v2</t>
        </is>
      </c>
      <c r="U12" s="24" t="inlineStr">
        <is>
          <t>open</t>
        </is>
      </c>
      <c r="V12" s="24" t="n"/>
      <c r="W12" s="26" t="n"/>
      <c r="X12" s="26" t="n"/>
      <c r="Y12" s="25" t="n"/>
      <c r="Z12" s="26" t="n"/>
      <c r="AA12" s="28" t="n"/>
      <c r="AB12" s="28" t="n"/>
      <c r="AC12" s="30" t="n"/>
      <c r="AD12" s="24" t="n"/>
      <c r="AE12" s="31" t="inlineStr">
        <is>
          <t>Tie-aware Elo baseline; executable ask 0.5900 (market_slug=aec-kbo-sls-ltg-2026-08-05). Tie probability=0.0336.</t>
        </is>
      </c>
      <c r="AF12" s="31" t="inlineStr">
        <is>
          <t>Config-promoted international baseball baseline; gates enforced at log time.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NO_CALL_LOW_EDGE</t>
        </is>
      </c>
      <c r="AP12" s="24" t="inlineStr">
        <is>
          <t>LG Twins</t>
        </is>
      </c>
      <c r="AQ12" s="24" t="inlineStr">
        <is>
          <t>LG Twins</t>
        </is>
      </c>
      <c r="AR12" s="24" t="inlineStr">
        <is>
          <t>LG Twins</t>
        </is>
      </c>
      <c r="AS12" s="24" t="inlineStr">
        <is>
          <t>SSG Landers</t>
        </is>
      </c>
      <c r="AT12" s="24" t="inlineStr">
        <is>
          <t>SSG Landers</t>
        </is>
      </c>
      <c r="AU12" s="24" t="inlineStr">
        <is>
          <t>SSG Landers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42580816cbd4c4e1853d7ee970337b5714d38d677b257c76baa90b243516ed94</t>
        </is>
      </c>
      <c r="BB12" s="24" t="inlineStr">
        <is>
          <t>tie_aware_elo</t>
        </is>
      </c>
      <c r="BC12" s="24" t="inlineStr">
        <is>
          <t>kbo-tie-aware-elo-v2</t>
        </is>
      </c>
      <c r="BD12" s="24" t="inlineStr">
        <is>
          <t>42580816cbd4c4e1853d7ee970337b5714d38d677b257c76baa90b243516ed94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kbo-tie-aware-elo-v2</t>
        </is>
      </c>
      <c r="BH12" s="24" t="inlineStr">
        <is>
          <t>2026-08-05T04:36:49.042489Z</t>
        </is>
      </c>
      <c r="BI12" s="24" t="inlineStr">
        <is>
          <t>["same_event","same_team_same_day","same_league_same_day"]</t>
        </is>
      </c>
      <c r="BJ12" s="25" t="n"/>
      <c r="BK12" s="26" t="n">
        <v>-144</v>
      </c>
      <c r="BL12" s="27" t="n">
        <v>1.694444</v>
      </c>
      <c r="BM12" s="28" t="n">
        <v>0.590164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inlineStr">
        <is>
          <t>False</t>
        </is>
      </c>
    </row>
    <row r="13" ht="36" customHeight="1">
      <c r="A13" s="24" t="inlineStr">
        <is>
          <t>1dc4333ded9742e4</t>
        </is>
      </c>
      <c r="B13" s="24" t="inlineStr">
        <is>
          <t>2026-08-05T04:36:51.796720Z</t>
        </is>
      </c>
      <c r="C13" s="24" t="inlineStr">
        <is>
          <t>2026-08-05T09:30:00Z</t>
        </is>
      </c>
      <c r="D13" s="24" t="inlineStr">
        <is>
          <t>69521</t>
        </is>
      </c>
      <c r="E13" s="24" t="inlineStr">
        <is>
          <t>KBO</t>
        </is>
      </c>
      <c r="F13" s="24" t="inlineStr">
        <is>
          <t>KT Wiz</t>
        </is>
      </c>
      <c r="G13" s="24" t="inlineStr">
        <is>
          <t>Kia Tigers</t>
        </is>
      </c>
      <c r="H13" s="24" t="inlineStr">
        <is>
          <t>moneyline</t>
        </is>
      </c>
      <c r="I13" s="24" t="inlineStr">
        <is>
          <t>away</t>
        </is>
      </c>
      <c r="J13" s="25" t="n"/>
      <c r="K13" s="24" t="inlineStr">
        <is>
          <t>polymarket_us</t>
        </is>
      </c>
      <c r="L13" s="26" t="n">
        <v>-108</v>
      </c>
      <c r="M13" s="27" t="n">
        <v>1.925926</v>
      </c>
      <c r="N13" s="28" t="n">
        <v>0.519231</v>
      </c>
      <c r="O13" s="28" t="n">
        <v>0.539389</v>
      </c>
      <c r="P13" s="28" t="n"/>
      <c r="Q13" s="28" t="n">
        <v>0.020158</v>
      </c>
      <c r="R13" s="26" t="n">
        <v>30</v>
      </c>
      <c r="S13" s="29" t="n">
        <v>1</v>
      </c>
      <c r="T13" s="24" t="inlineStr">
        <is>
          <t>kbo-tie-aware-elo-v2</t>
        </is>
      </c>
      <c r="U13" s="24" t="inlineStr">
        <is>
          <t>open</t>
        </is>
      </c>
      <c r="V13" s="24" t="n"/>
      <c r="W13" s="26" t="n"/>
      <c r="X13" s="26" t="n"/>
      <c r="Y13" s="25" t="n"/>
      <c r="Z13" s="26" t="n"/>
      <c r="AA13" s="28" t="n"/>
      <c r="AB13" s="28" t="n"/>
      <c r="AC13" s="30" t="n"/>
      <c r="AD13" s="24" t="n"/>
      <c r="AE13" s="31" t="inlineStr">
        <is>
          <t>Tie-aware Elo baseline; executable ask 0.5200 (market_slug=aec-kbo-kti-kwt-2026-08-05). Tie probability=0.0335.</t>
        </is>
      </c>
      <c r="AF13" s="31" t="inlineStr">
        <is>
          <t>Config-promoted international baseball baseline; gates enforced at log time.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research_observation</t>
        </is>
      </c>
      <c r="AL13" s="26" t="n">
        <v>3</v>
      </c>
      <c r="AM13" s="24" t="inlineStr">
        <is>
          <t>RESEARCH_OBSERVATION</t>
        </is>
      </c>
      <c r="AN13" s="24" t="inlineStr">
        <is>
          <t>NO_CALL</t>
        </is>
      </c>
      <c r="AO13" s="24" t="inlineStr">
        <is>
          <t>NO_CALL_LOW_EDGE</t>
        </is>
      </c>
      <c r="AP13" s="24" t="inlineStr">
        <is>
          <t>KT Wiz</t>
        </is>
      </c>
      <c r="AQ13" s="24" t="inlineStr">
        <is>
          <t>KT Wiz</t>
        </is>
      </c>
      <c r="AR13" s="24" t="inlineStr">
        <is>
          <t>KT Wiz</t>
        </is>
      </c>
      <c r="AS13" s="24" t="inlineStr">
        <is>
          <t>Kia Tigers</t>
        </is>
      </c>
      <c r="AT13" s="24" t="inlineStr">
        <is>
          <t>Kia Tigers</t>
        </is>
      </c>
      <c r="AU13" s="24" t="inlineStr">
        <is>
          <t>Kia Tigers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42580816cbd4c4e1853d7ee970337b5714d38d677b257c76baa90b243516ed94</t>
        </is>
      </c>
      <c r="BB13" s="24" t="inlineStr">
        <is>
          <t>tie_aware_elo</t>
        </is>
      </c>
      <c r="BC13" s="24" t="inlineStr">
        <is>
          <t>kbo-tie-aware-elo-v2</t>
        </is>
      </c>
      <c r="BD13" s="24" t="inlineStr">
        <is>
          <t>42580816cbd4c4e1853d7ee970337b5714d38d677b257c76baa90b243516ed94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kbo-tie-aware-elo-v2</t>
        </is>
      </c>
      <c r="BH13" s="24" t="inlineStr">
        <is>
          <t>2026-08-05T04:36:49.843883Z</t>
        </is>
      </c>
      <c r="BI13" s="24" t="inlineStr">
        <is>
          <t>["same_event","same_team_same_day","same_league_same_day"]</t>
        </is>
      </c>
      <c r="BJ13" s="25" t="n"/>
      <c r="BK13" s="26" t="n">
        <v>-108</v>
      </c>
      <c r="BL13" s="27" t="n">
        <v>1.925926</v>
      </c>
      <c r="BM13" s="28" t="n">
        <v>0.519231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inlineStr">
        <is>
          <t>True</t>
        </is>
      </c>
    </row>
    <row r="14" ht="36" customHeight="1">
      <c r="A14" s="24" t="inlineStr">
        <is>
          <t>f8db5f75eff54bc7</t>
        </is>
      </c>
      <c r="B14" s="24" t="inlineStr">
        <is>
          <t>2026-08-05T04:36:51.796720Z</t>
        </is>
      </c>
      <c r="C14" s="24" t="inlineStr">
        <is>
          <t>2026-08-05T09:30:00Z</t>
        </is>
      </c>
      <c r="D14" s="24" t="inlineStr">
        <is>
          <t>69522</t>
        </is>
      </c>
      <c r="E14" s="24" t="inlineStr">
        <is>
          <t>KBO</t>
        </is>
      </c>
      <c r="F14" s="24" t="inlineStr">
        <is>
          <t>Hanwha Eagles</t>
        </is>
      </c>
      <c r="G14" s="24" t="inlineStr">
        <is>
          <t>Samsung Lions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-163</v>
      </c>
      <c r="M14" s="27" t="n">
        <v>1.613497</v>
      </c>
      <c r="N14" s="28" t="n">
        <v>0.619772</v>
      </c>
      <c r="O14" s="28" t="n">
        <v>0.578674</v>
      </c>
      <c r="P14" s="28" t="n"/>
      <c r="Q14" s="28" t="n">
        <v>-0.041098</v>
      </c>
      <c r="R14" s="26" t="n">
        <v>0</v>
      </c>
      <c r="S14" s="29" t="n">
        <v>1.25</v>
      </c>
      <c r="T14" s="24" t="inlineStr">
        <is>
          <t>kbo-tie-aware-elo-v2</t>
        </is>
      </c>
      <c r="U14" s="24" t="inlineStr">
        <is>
          <t>open</t>
        </is>
      </c>
      <c r="V14" s="24" t="n"/>
      <c r="W14" s="26" t="n"/>
      <c r="X14" s="26" t="n"/>
      <c r="Y14" s="25" t="n"/>
      <c r="Z14" s="26" t="n"/>
      <c r="AA14" s="28" t="n"/>
      <c r="AB14" s="28" t="n"/>
      <c r="AC14" s="30" t="n"/>
      <c r="AD14" s="24" t="n"/>
      <c r="AE14" s="31" t="inlineStr">
        <is>
          <t>Tie-aware Elo baseline; executable ask 0.6200 (market_slug=aec-kbo-sla-hea-2026-08-05). Tie probability=0.0300.</t>
        </is>
      </c>
      <c r="AF14" s="31" t="inlineStr">
        <is>
          <t>Config-promoted international baseball baseline; gates enforced at log time.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research_observation</t>
        </is>
      </c>
      <c r="AL14" s="26" t="n">
        <v>3</v>
      </c>
      <c r="AM14" s="24" t="inlineStr">
        <is>
          <t>RESEARCH_OBSERVATION</t>
        </is>
      </c>
      <c r="AN14" s="24" t="inlineStr">
        <is>
          <t>NO_CALL</t>
        </is>
      </c>
      <c r="AO14" s="24" t="inlineStr">
        <is>
          <t>NO_CALL_LOW_EDGE</t>
        </is>
      </c>
      <c r="AP14" s="24" t="inlineStr">
        <is>
          <t>Hanwha Eagles</t>
        </is>
      </c>
      <c r="AQ14" s="24" t="inlineStr">
        <is>
          <t>Hanwha Eagles</t>
        </is>
      </c>
      <c r="AR14" s="24" t="inlineStr">
        <is>
          <t>Hanwha Eagles</t>
        </is>
      </c>
      <c r="AS14" s="24" t="inlineStr">
        <is>
          <t>Samsung Lions</t>
        </is>
      </c>
      <c r="AT14" s="24" t="inlineStr">
        <is>
          <t>Samsung Lions</t>
        </is>
      </c>
      <c r="AU14" s="24" t="inlineStr">
        <is>
          <t>Samsung Lions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42580816cbd4c4e1853d7ee970337b5714d38d677b257c76baa90b243516ed94</t>
        </is>
      </c>
      <c r="BB14" s="24" t="inlineStr">
        <is>
          <t>tie_aware_elo</t>
        </is>
      </c>
      <c r="BC14" s="24" t="inlineStr">
        <is>
          <t>kbo-tie-aware-elo-v2</t>
        </is>
      </c>
      <c r="BD14" s="24" t="inlineStr">
        <is>
          <t>42580816cbd4c4e1853d7ee970337b5714d38d677b257c76baa90b243516ed94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kbo-tie-aware-elo-v2</t>
        </is>
      </c>
      <c r="BH14" s="24" t="inlineStr">
        <is>
          <t>2026-08-05T04:36:50.877475Z</t>
        </is>
      </c>
      <c r="BI14" s="24" t="inlineStr">
        <is>
          <t>["same_event","same_team_same_day","same_league_same_day"]</t>
        </is>
      </c>
      <c r="BJ14" s="25" t="n"/>
      <c r="BK14" s="26" t="n">
        <v>-163</v>
      </c>
      <c r="BL14" s="27" t="n">
        <v>1.613497</v>
      </c>
      <c r="BM14" s="28" t="n">
        <v>0.619772</v>
      </c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inlineStr">
        <is>
          <t>False</t>
        </is>
      </c>
    </row>
    <row r="15" ht="36" customHeight="1">
      <c r="A15" s="24" t="inlineStr">
        <is>
          <t>a6ba9cea53e7469c</t>
        </is>
      </c>
      <c r="B15" s="24" t="inlineStr">
        <is>
          <t>2026-08-05T04:36:51.796720Z</t>
        </is>
      </c>
      <c r="C15" s="24" t="inlineStr">
        <is>
          <t>2026-08-05T09:30:00Z</t>
        </is>
      </c>
      <c r="D15" s="24" t="inlineStr">
        <is>
          <t>69523</t>
        </is>
      </c>
      <c r="E15" s="24" t="inlineStr">
        <is>
          <t>KBO</t>
        </is>
      </c>
      <c r="F15" s="24" t="inlineStr">
        <is>
          <t>Kiwoom Heroes</t>
        </is>
      </c>
      <c r="G15" s="24" t="inlineStr">
        <is>
          <t>Lotte Giants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104</v>
      </c>
      <c r="M15" s="27" t="n">
        <v>2.04</v>
      </c>
      <c r="N15" s="28" t="n">
        <v>0.490196</v>
      </c>
      <c r="O15" s="28" t="n">
        <v>0.573348</v>
      </c>
      <c r="P15" s="28" t="n"/>
      <c r="Q15" s="28" t="n">
        <v>0.083152</v>
      </c>
      <c r="R15" s="26" t="n">
        <v>62</v>
      </c>
      <c r="S15" s="29" t="n">
        <v>1.25</v>
      </c>
      <c r="T15" s="24" t="inlineStr">
        <is>
          <t>kbo-tie-aware-elo-v2</t>
        </is>
      </c>
      <c r="U15" s="24" t="inlineStr">
        <is>
          <t>open</t>
        </is>
      </c>
      <c r="V15" s="24" t="n"/>
      <c r="W15" s="26" t="n"/>
      <c r="X15" s="26" t="n"/>
      <c r="Y15" s="25" t="n"/>
      <c r="Z15" s="26" t="n"/>
      <c r="AA15" s="28" t="n"/>
      <c r="AB15" s="28" t="n"/>
      <c r="AC15" s="30" t="n"/>
      <c r="AD15" s="24" t="n"/>
      <c r="AE15" s="31" t="inlineStr">
        <is>
          <t>Tie-aware Elo baseline; executable ask 0.4900 (market_slug=aec-kbo-lgo-khi-2026-08-05). Tie probability=0.0304.</t>
        </is>
      </c>
      <c r="AF15" s="31" t="inlineStr">
        <is>
          <t>Config-promoted international baseball baseline; gates enforced at log time.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research_observation</t>
        </is>
      </c>
      <c r="AL15" s="26" t="n">
        <v>3</v>
      </c>
      <c r="AM15" s="24" t="inlineStr">
        <is>
          <t>RESEARCH_OBSERVATION</t>
        </is>
      </c>
      <c r="AN15" s="24" t="inlineStr">
        <is>
          <t>NO_CALL</t>
        </is>
      </c>
      <c r="AO15" s="24" t="inlineStr">
        <is>
          <t>NO_CALL_LOW_EDGE</t>
        </is>
      </c>
      <c r="AP15" s="24" t="inlineStr">
        <is>
          <t>Kiwoom Heroes</t>
        </is>
      </c>
      <c r="AQ15" s="24" t="inlineStr">
        <is>
          <t>Kiwoom Heroes</t>
        </is>
      </c>
      <c r="AR15" s="24" t="inlineStr">
        <is>
          <t>Kiwoom Heroes</t>
        </is>
      </c>
      <c r="AS15" s="24" t="inlineStr">
        <is>
          <t>Lotte Giants</t>
        </is>
      </c>
      <c r="AT15" s="24" t="inlineStr">
        <is>
          <t>Lotte Giants</t>
        </is>
      </c>
      <c r="AU15" s="24" t="inlineStr">
        <is>
          <t>Lotte Giants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42580816cbd4c4e1853d7ee970337b5714d38d677b257c76baa90b243516ed94</t>
        </is>
      </c>
      <c r="BB15" s="24" t="inlineStr">
        <is>
          <t>tie_aware_elo</t>
        </is>
      </c>
      <c r="BC15" s="24" t="inlineStr">
        <is>
          <t>kbo-tie-aware-elo-v2</t>
        </is>
      </c>
      <c r="BD15" s="24" t="inlineStr">
        <is>
          <t>42580816cbd4c4e1853d7ee970337b5714d38d677b257c76baa90b243516ed94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kbo-tie-aware-elo-v2</t>
        </is>
      </c>
      <c r="BH15" s="24" t="inlineStr">
        <is>
          <t>2026-08-05T04:36:51.796672Z</t>
        </is>
      </c>
      <c r="BI15" s="24" t="inlineStr">
        <is>
          <t>["same_event","same_team_same_day","same_league_same_day"]</t>
        </is>
      </c>
      <c r="BJ15" s="25" t="n"/>
      <c r="BK15" s="26" t="n">
        <v>104</v>
      </c>
      <c r="BL15" s="27" t="n">
        <v>2.04</v>
      </c>
      <c r="BM15" s="28" t="n">
        <v>0.490196</v>
      </c>
      <c r="BN15" s="28" t="n"/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inlineStr">
        <is>
          <t>True</t>
        </is>
      </c>
    </row>
    <row r="16" ht="36" customHeight="1">
      <c r="A16" s="24" t="inlineStr">
        <is>
          <t>bfeb4322bfe5401e</t>
        </is>
      </c>
      <c r="B16" s="24" t="inlineStr">
        <is>
          <t>2026-08-12T08:21:34.448983Z</t>
        </is>
      </c>
      <c r="C16" s="24" t="inlineStr">
        <is>
          <t>2026-08-12T10:00:00Z</t>
        </is>
      </c>
      <c r="D16" s="24" t="inlineStr">
        <is>
          <t>76203</t>
        </is>
      </c>
      <c r="E16" s="24" t="inlineStr">
        <is>
          <t>KBO</t>
        </is>
      </c>
      <c r="F16" s="24" t="inlineStr">
        <is>
          <t>Lotte Giants</t>
        </is>
      </c>
      <c r="G16" s="24" t="inlineStr">
        <is>
          <t>SSG Landers</t>
        </is>
      </c>
      <c r="H16" s="24" t="inlineStr">
        <is>
          <t>moneyline</t>
        </is>
      </c>
      <c r="I16" s="24" t="inlineStr">
        <is>
          <t>away</t>
        </is>
      </c>
      <c r="J16" s="25" t="n"/>
      <c r="K16" s="24" t="inlineStr">
        <is>
          <t>polymarket_us</t>
        </is>
      </c>
      <c r="L16" s="26" t="n">
        <v>100</v>
      </c>
      <c r="M16" s="27" t="n">
        <v>2</v>
      </c>
      <c r="N16" s="28" t="n">
        <v>0.5</v>
      </c>
      <c r="O16" s="28" t="n">
        <v>0.528545</v>
      </c>
      <c r="P16" s="28" t="n"/>
      <c r="Q16" s="28" t="n">
        <v>0.028545</v>
      </c>
      <c r="R16" s="26" t="n">
        <v>34</v>
      </c>
      <c r="S16" s="29" t="n">
        <v>1</v>
      </c>
      <c r="T16" s="24" t="inlineStr">
        <is>
          <t>kbo-tie-aware-elo-v2</t>
        </is>
      </c>
      <c r="U16" s="24" t="inlineStr">
        <is>
          <t>settled</t>
        </is>
      </c>
      <c r="V16" s="24" t="inlineStr">
        <is>
          <t>push</t>
        </is>
      </c>
      <c r="W16" s="26" t="n">
        <v>0</v>
      </c>
      <c r="X16" s="26" t="n">
        <v>0</v>
      </c>
      <c r="Y16" s="25" t="n"/>
      <c r="Z16" s="26" t="n"/>
      <c r="AA16" s="28" t="n"/>
      <c r="AB16" s="28" t="n"/>
      <c r="AC16" s="30" t="n">
        <v>0</v>
      </c>
      <c r="AD16" s="24" t="inlineStr">
        <is>
          <t>2026-08-12T11:25:33.043150Z</t>
        </is>
      </c>
      <c r="AE16" s="31" t="inlineStr">
        <is>
          <t>Tie-aware Elo baseline; executable ask 0.5000 (market_slug=aec-kbo-sls-lgo-2026-08-12). Tie probability=0.0253.</t>
        </is>
      </c>
      <c r="AF16" s="31" t="inlineStr">
        <is>
          <t>Config-promoted international baseball baseline; gates enforced at log time.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NO_CALL_LOW_EDGE</t>
        </is>
      </c>
      <c r="AP16" s="24" t="inlineStr">
        <is>
          <t>Lotte Giants</t>
        </is>
      </c>
      <c r="AQ16" s="24" t="inlineStr">
        <is>
          <t>Lotte Giants</t>
        </is>
      </c>
      <c r="AR16" s="24" t="inlineStr">
        <is>
          <t>Lotte Giants</t>
        </is>
      </c>
      <c r="AS16" s="24" t="inlineStr">
        <is>
          <t>SSG Landers</t>
        </is>
      </c>
      <c r="AT16" s="24" t="inlineStr">
        <is>
          <t>SSG Landers</t>
        </is>
      </c>
      <c r="AU16" s="24" t="inlineStr">
        <is>
          <t>SSG Landers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cc6ea1b83ff16d7501f49063575d9bfa76cd7001cbae8a5672014d3aa4ff1706</t>
        </is>
      </c>
      <c r="BB16" s="24" t="inlineStr">
        <is>
          <t>tie_aware_elo</t>
        </is>
      </c>
      <c r="BC16" s="24" t="inlineStr">
        <is>
          <t>kbo-tie-aware-elo-v2</t>
        </is>
      </c>
      <c r="BD16" s="24" t="inlineStr">
        <is>
          <t>cc6ea1b83ff16d7501f49063575d9bfa76cd7001cbae8a5672014d3aa4ff1706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kbo-tie-aware-elo-v2</t>
        </is>
      </c>
      <c r="BH16" s="24" t="inlineStr">
        <is>
          <t>2026-08-12T08:21:31.891013Z</t>
        </is>
      </c>
      <c r="BI16" s="24" t="inlineStr">
        <is>
          <t>["same_event","same_team_same_day","same_league_same_day"]</t>
        </is>
      </c>
      <c r="BJ16" s="25" t="n"/>
      <c r="BK16" s="26" t="n">
        <v>100</v>
      </c>
      <c r="BL16" s="27" t="n">
        <v>2</v>
      </c>
      <c r="BM16" s="28" t="n">
        <v>0.5</v>
      </c>
      <c r="BN16" s="28" t="n"/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inlineStr">
        <is>
          <t>True</t>
        </is>
      </c>
    </row>
    <row r="17" ht="36" customHeight="1">
      <c r="A17" s="24" t="inlineStr">
        <is>
          <t>3ae7b9855c094bee</t>
        </is>
      </c>
      <c r="B17" s="24" t="inlineStr">
        <is>
          <t>2026-08-12T08:21:34.448983Z</t>
        </is>
      </c>
      <c r="C17" s="24" t="inlineStr">
        <is>
          <t>2026-08-12T10:00:00Z</t>
        </is>
      </c>
      <c r="D17" s="24" t="inlineStr">
        <is>
          <t>76204</t>
        </is>
      </c>
      <c r="E17" s="24" t="inlineStr">
        <is>
          <t>KBO</t>
        </is>
      </c>
      <c r="F17" s="24" t="inlineStr">
        <is>
          <t>Hanwha Eagles</t>
        </is>
      </c>
      <c r="G17" s="24" t="inlineStr">
        <is>
          <t>Doosan Bears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-122</v>
      </c>
      <c r="M17" s="27" t="n">
        <v>1.819672</v>
      </c>
      <c r="N17" s="28" t="n">
        <v>0.54955</v>
      </c>
      <c r="O17" s="28" t="n">
        <v>0.541292</v>
      </c>
      <c r="P17" s="28" t="n"/>
      <c r="Q17" s="28" t="n">
        <v>-0.008258</v>
      </c>
      <c r="R17" s="26" t="n">
        <v>16</v>
      </c>
      <c r="S17" s="29" t="n">
        <v>1</v>
      </c>
      <c r="T17" s="24" t="inlineStr">
        <is>
          <t>kbo-tie-aware-elo-v2</t>
        </is>
      </c>
      <c r="U17" s="24" t="inlineStr">
        <is>
          <t>settled</t>
        </is>
      </c>
      <c r="V17" s="24" t="inlineStr">
        <is>
          <t>push</t>
        </is>
      </c>
      <c r="W17" s="26" t="n">
        <v>0</v>
      </c>
      <c r="X17" s="26" t="n">
        <v>0</v>
      </c>
      <c r="Y17" s="25" t="n"/>
      <c r="Z17" s="26" t="n"/>
      <c r="AA17" s="28" t="n"/>
      <c r="AB17" s="28" t="n"/>
      <c r="AC17" s="30" t="n">
        <v>-0.0902</v>
      </c>
      <c r="AD17" s="24" t="inlineStr">
        <is>
          <t>2026-08-12T11:25:33.197035Z</t>
        </is>
      </c>
      <c r="AE17" s="31" t="inlineStr">
        <is>
          <t>Tie-aware Elo baseline; executable ask 0.5500 (market_slug=aec-kbo-dbo-hea-2026-08-12). Tie probability=0.0253.</t>
        </is>
      </c>
      <c r="AF17" s="31" t="inlineStr">
        <is>
          <t>Config-promoted international baseball baseline; gates enforced at log time.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NO_CALL_LOW_EDGE</t>
        </is>
      </c>
      <c r="AP17" s="24" t="inlineStr">
        <is>
          <t>Hanwha Eagles</t>
        </is>
      </c>
      <c r="AQ17" s="24" t="inlineStr">
        <is>
          <t>Hanwha Eagles</t>
        </is>
      </c>
      <c r="AR17" s="24" t="inlineStr">
        <is>
          <t>Hanwha Eagles</t>
        </is>
      </c>
      <c r="AS17" s="24" t="inlineStr">
        <is>
          <t>Doosan Bears</t>
        </is>
      </c>
      <c r="AT17" s="24" t="inlineStr">
        <is>
          <t>Doosan Bears</t>
        </is>
      </c>
      <c r="AU17" s="24" t="inlineStr">
        <is>
          <t>Doosan Bears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cc6ea1b83ff16d7501f49063575d9bfa76cd7001cbae8a5672014d3aa4ff1706</t>
        </is>
      </c>
      <c r="BB17" s="24" t="inlineStr">
        <is>
          <t>tie_aware_elo</t>
        </is>
      </c>
      <c r="BC17" s="24" t="inlineStr">
        <is>
          <t>kbo-tie-aware-elo-v2</t>
        </is>
      </c>
      <c r="BD17" s="24" t="inlineStr">
        <is>
          <t>cc6ea1b83ff16d7501f49063575d9bfa76cd7001cbae8a5672014d3aa4ff1706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kbo-tie-aware-elo-v2</t>
        </is>
      </c>
      <c r="BH17" s="24" t="inlineStr">
        <is>
          <t>2026-08-12T08:21:32.786185Z</t>
        </is>
      </c>
      <c r="BI17" s="24" t="inlineStr">
        <is>
          <t>["same_event","same_team_same_day","same_league_same_day"]</t>
        </is>
      </c>
      <c r="BJ17" s="25" t="n"/>
      <c r="BK17" s="26" t="n">
        <v>-122</v>
      </c>
      <c r="BL17" s="27" t="n">
        <v>1.819672</v>
      </c>
      <c r="BM17" s="28" t="n">
        <v>0.54955</v>
      </c>
      <c r="BN17" s="28" t="n"/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inlineStr">
        <is>
          <t>False</t>
        </is>
      </c>
    </row>
    <row r="18" ht="36" customHeight="1">
      <c r="A18" s="24" t="inlineStr">
        <is>
          <t>06b4cf4593c64031</t>
        </is>
      </c>
      <c r="B18" s="24" t="inlineStr">
        <is>
          <t>2026-08-12T08:21:34.448983Z</t>
        </is>
      </c>
      <c r="C18" s="24" t="inlineStr">
        <is>
          <t>2026-08-12T10:00:00Z</t>
        </is>
      </c>
      <c r="D18" s="24" t="inlineStr">
        <is>
          <t>76206</t>
        </is>
      </c>
      <c r="E18" s="24" t="inlineStr">
        <is>
          <t>KBO</t>
        </is>
      </c>
      <c r="F18" s="24" t="inlineStr">
        <is>
          <t>KT Wiz</t>
        </is>
      </c>
      <c r="G18" s="24" t="inlineStr">
        <is>
          <t>NC Dinos</t>
        </is>
      </c>
      <c r="H18" s="24" t="inlineStr">
        <is>
          <t>moneyline</t>
        </is>
      </c>
      <c r="I18" s="24" t="inlineStr">
        <is>
          <t>away</t>
        </is>
      </c>
      <c r="J18" s="25" t="n"/>
      <c r="K18" s="24" t="inlineStr">
        <is>
          <t>polymarket_us</t>
        </is>
      </c>
      <c r="L18" s="26" t="n">
        <v>-186</v>
      </c>
      <c r="M18" s="27" t="n">
        <v>1.537634</v>
      </c>
      <c r="N18" s="28" t="n">
        <v>0.65035</v>
      </c>
      <c r="O18" s="28" t="n">
        <v>0.5977440000000001</v>
      </c>
      <c r="P18" s="28" t="n"/>
      <c r="Q18" s="28" t="n">
        <v>-0.052606</v>
      </c>
      <c r="R18" s="26" t="n">
        <v>0</v>
      </c>
      <c r="S18" s="29" t="n">
        <v>1.25</v>
      </c>
      <c r="T18" s="24" t="inlineStr">
        <is>
          <t>kbo-tie-aware-elo-v2</t>
        </is>
      </c>
      <c r="U18" s="24" t="inlineStr">
        <is>
          <t>settled</t>
        </is>
      </c>
      <c r="V18" s="24" t="inlineStr">
        <is>
          <t>push</t>
        </is>
      </c>
      <c r="W18" s="26" t="n">
        <v>0</v>
      </c>
      <c r="X18" s="26" t="n">
        <v>0</v>
      </c>
      <c r="Y18" s="25" t="n"/>
      <c r="Z18" s="26" t="n"/>
      <c r="AA18" s="28" t="n"/>
      <c r="AB18" s="28" t="n"/>
      <c r="AC18" s="30" t="n">
        <v>-0.289</v>
      </c>
      <c r="AD18" s="24" t="inlineStr">
        <is>
          <t>2026-08-12T11:25:33.313757Z</t>
        </is>
      </c>
      <c r="AE18" s="31" t="inlineStr">
        <is>
          <t>Tie-aware Elo baseline; executable ask 0.6500 (market_slug=aec-kbo-ndc-kwt-2026-08-12). Tie probability=0.0253.</t>
        </is>
      </c>
      <c r="AF18" s="31" t="inlineStr">
        <is>
          <t>Config-promoted international baseball baseline; gates enforced at log time.</t>
        </is>
      </c>
      <c r="AG18" s="24" t="inlineStr">
        <is>
          <t>not_applicable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NO_CALL_LOW_EDGE</t>
        </is>
      </c>
      <c r="AP18" s="24" t="inlineStr">
        <is>
          <t>KT Wiz</t>
        </is>
      </c>
      <c r="AQ18" s="24" t="inlineStr">
        <is>
          <t>KT Wiz</t>
        </is>
      </c>
      <c r="AR18" s="24" t="inlineStr">
        <is>
          <t>KT Wiz</t>
        </is>
      </c>
      <c r="AS18" s="24" t="inlineStr">
        <is>
          <t>NC Dinos</t>
        </is>
      </c>
      <c r="AT18" s="24" t="inlineStr">
        <is>
          <t>NC Dinos</t>
        </is>
      </c>
      <c r="AU18" s="24" t="inlineStr">
        <is>
          <t>NC Dinos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cc6ea1b83ff16d7501f49063575d9bfa76cd7001cbae8a5672014d3aa4ff1706</t>
        </is>
      </c>
      <c r="BB18" s="24" t="inlineStr">
        <is>
          <t>tie_aware_elo</t>
        </is>
      </c>
      <c r="BC18" s="24" t="inlineStr">
        <is>
          <t>kbo-tie-aware-elo-v2</t>
        </is>
      </c>
      <c r="BD18" s="24" t="inlineStr">
        <is>
          <t>cc6ea1b83ff16d7501f49063575d9bfa76cd7001cbae8a5672014d3aa4ff1706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kbo-tie-aware-elo-v2</t>
        </is>
      </c>
      <c r="BH18" s="24" t="inlineStr">
        <is>
          <t>2026-08-12T08:21:33.260921Z</t>
        </is>
      </c>
      <c r="BI18" s="24" t="inlineStr">
        <is>
          <t>["same_event","same_team_same_day","same_league_same_day"]</t>
        </is>
      </c>
      <c r="BJ18" s="25" t="n"/>
      <c r="BK18" s="26" t="n">
        <v>-186</v>
      </c>
      <c r="BL18" s="27" t="n">
        <v>1.537634</v>
      </c>
      <c r="BM18" s="28" t="n">
        <v>0.65035</v>
      </c>
      <c r="BN18" s="28" t="n"/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  <c r="CS18" s="24" t="inlineStr">
        <is>
          <t>False</t>
        </is>
      </c>
    </row>
    <row r="19" ht="36" customHeight="1">
      <c r="A19" s="24" t="inlineStr">
        <is>
          <t>afd2b18fdb004a35</t>
        </is>
      </c>
      <c r="B19" s="24" t="inlineStr">
        <is>
          <t>2026-08-12T08:21:34.448983Z</t>
        </is>
      </c>
      <c r="C19" s="24" t="inlineStr">
        <is>
          <t>2026-08-12T10:00:00Z</t>
        </is>
      </c>
      <c r="D19" s="24" t="inlineStr">
        <is>
          <t>76207</t>
        </is>
      </c>
      <c r="E19" s="24" t="inlineStr">
        <is>
          <t>KBO</t>
        </is>
      </c>
      <c r="F19" s="24" t="inlineStr">
        <is>
          <t>Samsung Lions</t>
        </is>
      </c>
      <c r="G19" s="24" t="inlineStr">
        <is>
          <t>Kia Tigers</t>
        </is>
      </c>
      <c r="H19" s="24" t="inlineStr">
        <is>
          <t>moneyline</t>
        </is>
      </c>
      <c r="I19" s="24" t="inlineStr">
        <is>
          <t>away</t>
        </is>
      </c>
      <c r="J19" s="25" t="n"/>
      <c r="K19" s="24" t="inlineStr">
        <is>
          <t>polymarket_us</t>
        </is>
      </c>
      <c r="L19" s="26" t="n">
        <v>117</v>
      </c>
      <c r="M19" s="27" t="n">
        <v>2.17</v>
      </c>
      <c r="N19" s="28" t="n">
        <v>0.460829</v>
      </c>
      <c r="O19" s="28" t="n">
        <v>0.531537</v>
      </c>
      <c r="P19" s="28" t="n"/>
      <c r="Q19" s="28" t="n">
        <v>0.07070799999999999</v>
      </c>
      <c r="R19" s="26" t="n">
        <v>55</v>
      </c>
      <c r="S19" s="29" t="n">
        <v>1</v>
      </c>
      <c r="T19" s="24" t="inlineStr">
        <is>
          <t>kbo-tie-aware-elo-v2</t>
        </is>
      </c>
      <c r="U19" s="24" t="inlineStr">
        <is>
          <t>settled</t>
        </is>
      </c>
      <c r="V19" s="24" t="inlineStr">
        <is>
          <t>push</t>
        </is>
      </c>
      <c r="W19" s="26" t="n">
        <v>0</v>
      </c>
      <c r="X19" s="26" t="n">
        <v>0</v>
      </c>
      <c r="Y19" s="25" t="n"/>
      <c r="Z19" s="26" t="n"/>
      <c r="AA19" s="28" t="n"/>
      <c r="AB19" s="28" t="n"/>
      <c r="AC19" s="30" t="n">
        <v>0.08500000000000001</v>
      </c>
      <c r="AD19" s="24" t="inlineStr">
        <is>
          <t>2026-08-12T11:25:33.457044Z</t>
        </is>
      </c>
      <c r="AE19" s="31" t="inlineStr">
        <is>
          <t>Tie-aware Elo baseline; executable ask 0.4600 (market_slug=aec-kbo-kti-sla-2026-08-12). Tie probability=0.0253.</t>
        </is>
      </c>
      <c r="AF19" s="31" t="inlineStr">
        <is>
          <t>Config-promoted international baseball baseline; gates enforced at log time.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research_observation</t>
        </is>
      </c>
      <c r="AL19" s="26" t="n">
        <v>3</v>
      </c>
      <c r="AM19" s="24" t="inlineStr">
        <is>
          <t>RESEARCH_OBSERVATION</t>
        </is>
      </c>
      <c r="AN19" s="24" t="inlineStr">
        <is>
          <t>NO_CALL</t>
        </is>
      </c>
      <c r="AO19" s="24" t="inlineStr">
        <is>
          <t>NO_CALL_LOW_EDGE</t>
        </is>
      </c>
      <c r="AP19" s="24" t="inlineStr">
        <is>
          <t>Samsung Lions</t>
        </is>
      </c>
      <c r="AQ19" s="24" t="inlineStr">
        <is>
          <t>Samsung Lions</t>
        </is>
      </c>
      <c r="AR19" s="24" t="inlineStr">
        <is>
          <t>Samsung Lions</t>
        </is>
      </c>
      <c r="AS19" s="24" t="inlineStr">
        <is>
          <t>Kia Tigers</t>
        </is>
      </c>
      <c r="AT19" s="24" t="inlineStr">
        <is>
          <t>Kia Tigers</t>
        </is>
      </c>
      <c r="AU19" s="24" t="inlineStr">
        <is>
          <t>Kia Tigers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cc6ea1b83ff16d7501f49063575d9bfa76cd7001cbae8a5672014d3aa4ff1706</t>
        </is>
      </c>
      <c r="BB19" s="24" t="inlineStr">
        <is>
          <t>tie_aware_elo</t>
        </is>
      </c>
      <c r="BC19" s="24" t="inlineStr">
        <is>
          <t>kbo-tie-aware-elo-v2</t>
        </is>
      </c>
      <c r="BD19" s="24" t="inlineStr">
        <is>
          <t>cc6ea1b83ff16d7501f49063575d9bfa76cd7001cbae8a5672014d3aa4ff1706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kbo-tie-aware-elo-v2</t>
        </is>
      </c>
      <c r="BH19" s="24" t="inlineStr">
        <is>
          <t>2026-08-12T08:21:33.722273Z</t>
        </is>
      </c>
      <c r="BI19" s="24" t="inlineStr">
        <is>
          <t>["same_event","same_team_same_day","same_league_same_day"]</t>
        </is>
      </c>
      <c r="BJ19" s="25" t="n"/>
      <c r="BK19" s="26" t="n">
        <v>117</v>
      </c>
      <c r="BL19" s="27" t="n">
        <v>2.17</v>
      </c>
      <c r="BM19" s="28" t="n">
        <v>0.460829</v>
      </c>
      <c r="BN19" s="28" t="n"/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inlineStr">
        <is>
          <t>True</t>
        </is>
      </c>
    </row>
    <row r="20" ht="36" customHeight="1">
      <c r="A20" s="24" t="inlineStr">
        <is>
          <t>36507b73df7f4619</t>
        </is>
      </c>
      <c r="B20" s="24" t="inlineStr">
        <is>
          <t>2026-08-12T08:21:34.448983Z</t>
        </is>
      </c>
      <c r="C20" s="24" t="inlineStr">
        <is>
          <t>2026-08-12T10:00:00Z</t>
        </is>
      </c>
      <c r="D20" s="24" t="inlineStr">
        <is>
          <t>76208</t>
        </is>
      </c>
      <c r="E20" s="24" t="inlineStr">
        <is>
          <t>KBO</t>
        </is>
      </c>
      <c r="F20" s="24" t="inlineStr">
        <is>
          <t>LG Twins</t>
        </is>
      </c>
      <c r="G20" s="24" t="inlineStr">
        <is>
          <t>Kiwoom Heroes</t>
        </is>
      </c>
      <c r="H20" s="24" t="inlineStr">
        <is>
          <t>moneyline</t>
        </is>
      </c>
      <c r="I20" s="24" t="inlineStr">
        <is>
          <t>away</t>
        </is>
      </c>
      <c r="J20" s="25" t="n"/>
      <c r="K20" s="24" t="inlineStr">
        <is>
          <t>polymarket_us</t>
        </is>
      </c>
      <c r="L20" s="26" t="n">
        <v>-245</v>
      </c>
      <c r="M20" s="27" t="n">
        <v>1.408163</v>
      </c>
      <c r="N20" s="28" t="n">
        <v>0.710145</v>
      </c>
      <c r="O20" s="28" t="n">
        <v>0.5758490000000001</v>
      </c>
      <c r="P20" s="28" t="n"/>
      <c r="Q20" s="28" t="n">
        <v>-0.134296</v>
      </c>
      <c r="R20" s="26" t="n">
        <v>0</v>
      </c>
      <c r="S20" s="29" t="n">
        <v>1.25</v>
      </c>
      <c r="T20" s="24" t="inlineStr">
        <is>
          <t>kbo-tie-aware-elo-v2</t>
        </is>
      </c>
      <c r="U20" s="24" t="inlineStr">
        <is>
          <t>settled</t>
        </is>
      </c>
      <c r="V20" s="24" t="inlineStr">
        <is>
          <t>push</t>
        </is>
      </c>
      <c r="W20" s="26" t="n">
        <v>0</v>
      </c>
      <c r="X20" s="26" t="n">
        <v>0</v>
      </c>
      <c r="Y20" s="25" t="n"/>
      <c r="Z20" s="26" t="n"/>
      <c r="AA20" s="28" t="n"/>
      <c r="AB20" s="28" t="n"/>
      <c r="AC20" s="30" t="n">
        <v>-0.3699</v>
      </c>
      <c r="AD20" s="24" t="inlineStr">
        <is>
          <t>2026-08-12T11:25:33.580880Z</t>
        </is>
      </c>
      <c r="AE20" s="31" t="inlineStr">
        <is>
          <t>Tie-aware Elo baseline; executable ask 0.7100 (market_slug=aec-kbo-khi-ltg-2026-08-12). Tie probability=0.0253.</t>
        </is>
      </c>
      <c r="AF20" s="31" t="inlineStr">
        <is>
          <t>Config-promoted international baseball baseline; gates enforced at log time.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research_observation</t>
        </is>
      </c>
      <c r="AL20" s="26" t="n">
        <v>3</v>
      </c>
      <c r="AM20" s="24" t="inlineStr">
        <is>
          <t>RESEARCH_OBSERVATION</t>
        </is>
      </c>
      <c r="AN20" s="24" t="inlineStr">
        <is>
          <t>NO_CALL</t>
        </is>
      </c>
      <c r="AO20" s="24" t="inlineStr">
        <is>
          <t>NO_CALL_LOW_EDGE</t>
        </is>
      </c>
      <c r="AP20" s="24" t="inlineStr">
        <is>
          <t>LG Twins</t>
        </is>
      </c>
      <c r="AQ20" s="24" t="inlineStr">
        <is>
          <t>LG Twins</t>
        </is>
      </c>
      <c r="AR20" s="24" t="inlineStr">
        <is>
          <t>LG Twins</t>
        </is>
      </c>
      <c r="AS20" s="24" t="inlineStr">
        <is>
          <t>Kiwoom Heroes</t>
        </is>
      </c>
      <c r="AT20" s="24" t="inlineStr">
        <is>
          <t>Kiwoom Heroes</t>
        </is>
      </c>
      <c r="AU20" s="24" t="inlineStr">
        <is>
          <t>Kiwoom Heroes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cc6ea1b83ff16d7501f49063575d9bfa76cd7001cbae8a5672014d3aa4ff1706</t>
        </is>
      </c>
      <c r="BB20" s="24" t="inlineStr">
        <is>
          <t>tie_aware_elo</t>
        </is>
      </c>
      <c r="BC20" s="24" t="inlineStr">
        <is>
          <t>kbo-tie-aware-elo-v2</t>
        </is>
      </c>
      <c r="BD20" s="24" t="inlineStr">
        <is>
          <t>cc6ea1b83ff16d7501f49063575d9bfa76cd7001cbae8a5672014d3aa4ff1706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kbo-tie-aware-elo-v2</t>
        </is>
      </c>
      <c r="BH20" s="24" t="inlineStr">
        <is>
          <t>2026-08-12T08:21:34.448940Z</t>
        </is>
      </c>
      <c r="BI20" s="24" t="inlineStr">
        <is>
          <t>["same_event","same_team_same_day","same_league_same_day"]</t>
        </is>
      </c>
      <c r="BJ20" s="25" t="n"/>
      <c r="BK20" s="26" t="n">
        <v>-245</v>
      </c>
      <c r="BL20" s="27" t="n">
        <v>1.408163</v>
      </c>
      <c r="BM20" s="28" t="n">
        <v>0.710145</v>
      </c>
      <c r="BN20" s="28" t="n"/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n"/>
      <c r="CS20" s="24" t="inlineStr">
        <is>
          <t>False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2026-08-12T11:25:33Z</dcterms:created>
  <dcterms:modified xmlns:dcterms="http://purl.org/dc/terms/" xmlns:xsi="http://www.w3.org/2001/XMLSchema-instance" xsi:type="dcterms:W3CDTF">2026-08-12T11:25:33Z</dcterms:modified>
</cp:coreProperties>
</file>