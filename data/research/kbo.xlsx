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S10" headerRowCount="1">
  <autoFilter ref="A1:CS10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COUNTA('Picks'!$A$2:$A$10)</f>
        <v/>
      </c>
      <c r="C4" s="6">
        <f>COUNTIF('Picks'!$U$2:$U$10,"open")</f>
        <v/>
      </c>
      <c r="E4" s="6">
        <f>COUNTIF('Picks'!$U$2:$U$10,"settled")</f>
        <v/>
      </c>
      <c r="G4" s="6">
        <f>IF(COUNTIFS('Picks'!$U$2:$U$10,"settled",'Picks'!$V$2:$V$10,"win")+COUNTIFS('Picks'!$U$2:$U$10,"settled",'Picks'!$V$2:$V$10,"loss")&gt;=$L$2,"Ready","Insufficient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COUNTIF('Picks'!$BX$2:$BX$10,"&gt;0")</f>
        <v/>
      </c>
      <c r="C7" s="6">
        <f>COUNTIFS('Picks'!$BX$2:$BX$10,"&gt;0",'Picks'!$V$2:$V$10,"win")&amp;"-"&amp;COUNTIFS('Picks'!$BX$2:$BX$10,"&gt;0",'Picks'!$V$2:$V$10,"loss")</f>
        <v/>
      </c>
      <c r="E7" s="7">
        <f>IFERROR(COUNTIFS('Picks'!$BX$2:$BX$10,"&gt;0",'Picks'!$V$2:$V$10,"win")/(COUNTIFS('Picks'!$BX$2:$BX$10,"&gt;0",'Picks'!$V$2:$V$10,"win")+COUNTIFS('Picks'!$BX$2:$BX$10,"&gt;0",'Picks'!$V$2:$V$10,"loss")),0)</f>
        <v/>
      </c>
      <c r="G7" s="7">
        <f>IFERROR(SUM('Picks'!$BY$2:$BY$10)/SUM('Picks'!$BX$2:$BX$10),0)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SUM('Picks'!$BY$2:$BY$10)</f>
        <v/>
      </c>
      <c r="C10" s="9">
        <f>IFERROR(AVERAGEIF('Picks'!$AB$2:$AB$10,"&lt;&gt;",'Picks'!$AB$2:$AB$10),0)</f>
        <v/>
      </c>
      <c r="E10" s="6">
        <f>COUNTIFS('Picks'!$AM$2:$AM$10,"QUALIFIED_SHADOW_CALL",'Picks'!$U$2:$U$10,"settled")</f>
        <v/>
      </c>
      <c r="G10" s="8">
        <f>SUMIFS('Picks'!$AC$2:$AC$10,'Picks'!$AM$2:$AM$10,"QUALIFIED_SHADOW_CALL")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COUNTIFS('Picks'!$H$2:$H$10,$A14,'Picks'!$U$2:$U$10,"settled")</f>
        <v/>
      </c>
      <c r="C14" s="13">
        <f>COUNTIFS('Picks'!$H$2:$H$10,$A14,'Picks'!$U$2:$U$10,"settled",'Picks'!$V$2:$V$10,"win")</f>
        <v/>
      </c>
      <c r="D14" s="13">
        <f>COUNTIFS('Picks'!$H$2:$H$10,$A14,'Picks'!$U$2:$U$10,"settled",'Picks'!$V$2:$V$10,"loss")</f>
        <v/>
      </c>
      <c r="E14" s="14">
        <f>IFERROR(C14/(C14+D14),0)</f>
        <v/>
      </c>
      <c r="F14" s="15">
        <f>SUMIFS('Picks'!$BY$2:$BY$10,'Picks'!$H$2:$H$10,$A14)</f>
        <v/>
      </c>
      <c r="G14" s="16">
        <f>IFERROR(AVERAGEIFS('Picks'!$AB$2:$AB$10,'Picks'!$H$2:$H$10,$A14,'Picks'!$U$2:$U$10,"settled"),0)</f>
        <v/>
      </c>
    </row>
    <row r="15">
      <c r="A15" s="17" t="inlineStr">
        <is>
          <t>spread</t>
        </is>
      </c>
      <c r="B15" s="18">
        <f>COUNTIFS('Picks'!$H$2:$H$10,$A15,'Picks'!$U$2:$U$10,"settled")</f>
        <v/>
      </c>
      <c r="C15" s="18">
        <f>COUNTIFS('Picks'!$H$2:$H$10,$A15,'Picks'!$U$2:$U$10,"settled",'Picks'!$V$2:$V$10,"win")</f>
        <v/>
      </c>
      <c r="D15" s="18">
        <f>COUNTIFS('Picks'!$H$2:$H$10,$A15,'Picks'!$U$2:$U$10,"settled",'Picks'!$V$2:$V$10,"loss")</f>
        <v/>
      </c>
      <c r="E15" s="19">
        <f>IFERROR(C15/(C15+D15),0)</f>
        <v/>
      </c>
      <c r="F15" s="20">
        <f>SUMIFS('Picks'!$BY$2:$BY$10,'Picks'!$H$2:$H$10,$A15)</f>
        <v/>
      </c>
      <c r="G15" s="21">
        <f>IFERROR(AVERAGEIFS('Picks'!$AB$2:$AB$10,'Picks'!$H$2:$H$10,$A15,'Picks'!$U$2:$U$10,"settled"),0)</f>
        <v/>
      </c>
    </row>
    <row r="16">
      <c r="A16" s="12" t="inlineStr">
        <is>
          <t>total</t>
        </is>
      </c>
      <c r="B16" s="13">
        <f>COUNTIFS('Picks'!$H$2:$H$10,$A16,'Picks'!$U$2:$U$10,"settled")</f>
        <v/>
      </c>
      <c r="C16" s="13">
        <f>COUNTIFS('Picks'!$H$2:$H$10,$A16,'Picks'!$U$2:$U$10,"settled",'Picks'!$V$2:$V$10,"win")</f>
        <v/>
      </c>
      <c r="D16" s="13">
        <f>COUNTIFS('Picks'!$H$2:$H$10,$A16,'Picks'!$U$2:$U$10,"settled",'Picks'!$V$2:$V$10,"loss")</f>
        <v/>
      </c>
      <c r="E16" s="14">
        <f>IFERROR(C16/(C16+D16),0)</f>
        <v/>
      </c>
      <c r="F16" s="15">
        <f>SUMIFS('Picks'!$BY$2:$BY$10,'Picks'!$H$2:$H$10,$A16)</f>
        <v/>
      </c>
      <c r="G16" s="16">
        <f>IFERROR(AVERAGEIFS('Picks'!$AB$2:$AB$10,'Picks'!$H$2:$H$10,$A16,'Picks'!$U$2:$U$10,"settled"),0)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6b298622637b4852</t>
        </is>
      </c>
      <c r="B2" s="24" t="inlineStr">
        <is>
          <t>2026-08-02T08:20:39.643741Z</t>
        </is>
      </c>
      <c r="C2" s="24" t="inlineStr">
        <is>
          <t>2026-08-02T09:00:00Z</t>
        </is>
      </c>
      <c r="D2" s="24" t="inlineStr">
        <is>
          <t>66820</t>
        </is>
      </c>
      <c r="E2" s="24" t="inlineStr">
        <is>
          <t>KBO</t>
        </is>
      </c>
      <c r="F2" s="24" t="inlineStr">
        <is>
          <t>LG Twins</t>
        </is>
      </c>
      <c r="G2" s="24" t="inlineStr">
        <is>
          <t>Doosan Bears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113</v>
      </c>
      <c r="M2" s="27" t="n">
        <v>2.13</v>
      </c>
      <c r="N2" s="28" t="n">
        <v>0.469484</v>
      </c>
      <c r="O2" s="28" t="n">
        <v>0.537313</v>
      </c>
      <c r="P2" s="28" t="n"/>
      <c r="Q2" s="28" t="n">
        <v>0.067829</v>
      </c>
      <c r="R2" s="26" t="n">
        <v>54</v>
      </c>
      <c r="S2" s="29" t="n">
        <v>1</v>
      </c>
      <c r="T2" s="24" t="inlineStr">
        <is>
          <t>kbo-tie-aware-elo-v2</t>
        </is>
      </c>
      <c r="U2" s="24" t="inlineStr">
        <is>
          <t>settled</t>
        </is>
      </c>
      <c r="V2" s="24" t="inlineStr">
        <is>
          <t>push</t>
        </is>
      </c>
      <c r="W2" s="26" t="n">
        <v>0</v>
      </c>
      <c r="X2" s="26" t="n">
        <v>0</v>
      </c>
      <c r="Y2" s="25" t="n"/>
      <c r="Z2" s="26" t="n"/>
      <c r="AA2" s="28" t="n"/>
      <c r="AB2" s="28" t="n"/>
      <c r="AC2" s="30" t="n">
        <v>0.065</v>
      </c>
      <c r="AD2" s="24" t="inlineStr">
        <is>
          <t>2026-08-02T09:53:25.994801Z</t>
        </is>
      </c>
      <c r="AE2" s="31" t="inlineStr">
        <is>
          <t>Tie-aware Elo baseline; executable ask 0.4700 (market_slug=aec-kbo-dbo-ltg-2026-08-02). Tie probability=0.0329.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LG Twins</t>
        </is>
      </c>
      <c r="AQ2" s="24" t="inlineStr">
        <is>
          <t>LG Twins</t>
        </is>
      </c>
      <c r="AR2" s="24" t="inlineStr">
        <is>
          <t>LG Twins</t>
        </is>
      </c>
      <c r="AS2" s="24" t="inlineStr">
        <is>
          <t>Doosan Bears</t>
        </is>
      </c>
      <c r="AT2" s="24" t="inlineStr">
        <is>
          <t>Doosan Bears</t>
        </is>
      </c>
      <c r="AU2" s="24" t="inlineStr">
        <is>
          <t>Doosan Bears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9ed13cfd8d860b2670f938484c3c659d864654d10d93ca38480a7e8d77633502</t>
        </is>
      </c>
      <c r="BB2" s="24" t="inlineStr">
        <is>
          <t>tie_aware_elo</t>
        </is>
      </c>
      <c r="BC2" s="24" t="inlineStr">
        <is>
          <t>kbo-tie-aware-elo-v2</t>
        </is>
      </c>
      <c r="BD2" s="24" t="inlineStr">
        <is>
          <t>9ed13cfd8d860b2670f938484c3c659d864654d10d93ca38480a7e8d77633502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kbo-tie-aware-elo-v2</t>
        </is>
      </c>
      <c r="BH2" s="24" t="inlineStr">
        <is>
          <t>2026-08-02T08:20:38.172250Z</t>
        </is>
      </c>
      <c r="BI2" s="24" t="inlineStr">
        <is>
          <t>["same_event","same_team_same_day","same_league_same_day"]</t>
        </is>
      </c>
      <c r="BJ2" s="25" t="n"/>
      <c r="BK2" s="26" t="n">
        <v>113</v>
      </c>
      <c r="BL2" s="27" t="n">
        <v>2.13</v>
      </c>
      <c r="BM2" s="28" t="n">
        <v>0.469484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a18447f9f3764884</t>
        </is>
      </c>
      <c r="B3" s="24" t="inlineStr">
        <is>
          <t>2026-08-02T08:20:39.643741Z</t>
        </is>
      </c>
      <c r="C3" s="24" t="inlineStr">
        <is>
          <t>2026-08-02T09:00:00Z</t>
        </is>
      </c>
      <c r="D3" s="24" t="inlineStr">
        <is>
          <t>66821</t>
        </is>
      </c>
      <c r="E3" s="24" t="inlineStr">
        <is>
          <t>KBO</t>
        </is>
      </c>
      <c r="F3" s="24" t="inlineStr">
        <is>
          <t>Samsung Lions</t>
        </is>
      </c>
      <c r="G3" s="24" t="inlineStr">
        <is>
          <t>Lotte Giants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-150</v>
      </c>
      <c r="M3" s="27" t="n">
        <v>1.666667</v>
      </c>
      <c r="N3" s="28" t="n">
        <v>0.6</v>
      </c>
      <c r="O3" s="28" t="n">
        <v>0.571761</v>
      </c>
      <c r="P3" s="28" t="n"/>
      <c r="Q3" s="28" t="n">
        <v>-0.028239</v>
      </c>
      <c r="R3" s="26" t="n">
        <v>6</v>
      </c>
      <c r="S3" s="29" t="n">
        <v>1.25</v>
      </c>
      <c r="T3" s="24" t="inlineStr">
        <is>
          <t>kbo-tie-aware-elo-v2</t>
        </is>
      </c>
      <c r="U3" s="24" t="inlineStr">
        <is>
          <t>settled</t>
        </is>
      </c>
      <c r="V3" s="24" t="inlineStr">
        <is>
          <t>push</t>
        </is>
      </c>
      <c r="W3" s="26" t="n">
        <v>0</v>
      </c>
      <c r="X3" s="26" t="n">
        <v>0</v>
      </c>
      <c r="Y3" s="25" t="n"/>
      <c r="Z3" s="26" t="n"/>
      <c r="AA3" s="28" t="n"/>
      <c r="AB3" s="28" t="n"/>
      <c r="AC3" s="30" t="n">
        <v>-0.2083</v>
      </c>
      <c r="AD3" s="24" t="inlineStr">
        <is>
          <t>2026-08-02T09:53:31.723233Z</t>
        </is>
      </c>
      <c r="AE3" s="31" t="inlineStr">
        <is>
          <t>Tie-aware Elo baseline; executable ask 0.6000 (market_slug=aec-kbo-lgo-sla-2026-08-02). Tie probability=0.0299.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Samsung Lions</t>
        </is>
      </c>
      <c r="AQ3" s="24" t="inlineStr">
        <is>
          <t>Samsung Lions</t>
        </is>
      </c>
      <c r="AR3" s="24" t="inlineStr">
        <is>
          <t>Samsung Lions</t>
        </is>
      </c>
      <c r="AS3" s="24" t="inlineStr">
        <is>
          <t>Lotte Giants</t>
        </is>
      </c>
      <c r="AT3" s="24" t="inlineStr">
        <is>
          <t>Lotte Giants</t>
        </is>
      </c>
      <c r="AU3" s="24" t="inlineStr">
        <is>
          <t>Lotte Giants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9ed13cfd8d860b2670f938484c3c659d864654d10d93ca38480a7e8d77633502</t>
        </is>
      </c>
      <c r="BB3" s="24" t="inlineStr">
        <is>
          <t>tie_aware_elo</t>
        </is>
      </c>
      <c r="BC3" s="24" t="inlineStr">
        <is>
          <t>kbo-tie-aware-elo-v2</t>
        </is>
      </c>
      <c r="BD3" s="24" t="inlineStr">
        <is>
          <t>9ed13cfd8d860b2670f938484c3c659d864654d10d93ca38480a7e8d77633502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kbo-tie-aware-elo-v2</t>
        </is>
      </c>
      <c r="BH3" s="24" t="inlineStr">
        <is>
          <t>2026-08-02T08:20:38.678859Z</t>
        </is>
      </c>
      <c r="BI3" s="24" t="inlineStr">
        <is>
          <t>["same_event","same_team_same_day","same_league_same_day"]</t>
        </is>
      </c>
      <c r="BJ3" s="25" t="n"/>
      <c r="BK3" s="26" t="n">
        <v>-150</v>
      </c>
      <c r="BL3" s="27" t="n">
        <v>1.666667</v>
      </c>
      <c r="BM3" s="28" t="n">
        <v>0.6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9aae1bcd206c4cd9</t>
        </is>
      </c>
      <c r="B4" s="24" t="inlineStr">
        <is>
          <t>2026-08-02T08:20:39.643741Z</t>
        </is>
      </c>
      <c r="C4" s="24" t="inlineStr">
        <is>
          <t>2026-08-02T09:00:00Z</t>
        </is>
      </c>
      <c r="D4" s="24" t="inlineStr">
        <is>
          <t>66822</t>
        </is>
      </c>
      <c r="E4" s="24" t="inlineStr">
        <is>
          <t>KBO</t>
        </is>
      </c>
      <c r="F4" s="24" t="inlineStr">
        <is>
          <t>Kia Tigers</t>
        </is>
      </c>
      <c r="G4" s="24" t="inlineStr">
        <is>
          <t>NC Dinos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-156</v>
      </c>
      <c r="M4" s="27" t="n">
        <v>1.641026</v>
      </c>
      <c r="N4" s="28" t="n">
        <v>0.609375</v>
      </c>
      <c r="O4" s="28" t="n">
        <v>0.500454</v>
      </c>
      <c r="P4" s="28" t="n"/>
      <c r="Q4" s="28" t="n">
        <v>-0.108921</v>
      </c>
      <c r="R4" s="26" t="n">
        <v>0</v>
      </c>
      <c r="S4" s="29" t="n">
        <v>1</v>
      </c>
      <c r="T4" s="24" t="inlineStr">
        <is>
          <t>kbo-tie-aware-elo-v2</t>
        </is>
      </c>
      <c r="U4" s="24" t="inlineStr">
        <is>
          <t>open</t>
        </is>
      </c>
      <c r="V4" s="24" t="n"/>
      <c r="W4" s="26" t="n"/>
      <c r="X4" s="26" t="n"/>
      <c r="Y4" s="25" t="n"/>
      <c r="Z4" s="26" t="n"/>
      <c r="AA4" s="28" t="n"/>
      <c r="AB4" s="28" t="n"/>
      <c r="AC4" s="30" t="n"/>
      <c r="AD4" s="24" t="n"/>
      <c r="AE4" s="31" t="inlineStr">
        <is>
          <t>Tie-aware Elo baseline; executable ask 0.6100 (market_slug=aec-kbo-ndc-kti-2026-08-02). Tie probability=0.0361.</t>
        </is>
      </c>
      <c r="AF4" s="31" t="inlineStr">
        <is>
          <t>Config-promoted international baseball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Kia Tigers</t>
        </is>
      </c>
      <c r="AQ4" s="24" t="inlineStr">
        <is>
          <t>Kia Tigers</t>
        </is>
      </c>
      <c r="AR4" s="24" t="inlineStr">
        <is>
          <t>Kia Tigers</t>
        </is>
      </c>
      <c r="AS4" s="24" t="inlineStr">
        <is>
          <t>NC Dinos</t>
        </is>
      </c>
      <c r="AT4" s="24" t="inlineStr">
        <is>
          <t>NC Dinos</t>
        </is>
      </c>
      <c r="AU4" s="24" t="inlineStr">
        <is>
          <t>NC Dinos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9ed13cfd8d860b2670f938484c3c659d864654d10d93ca38480a7e8d77633502</t>
        </is>
      </c>
      <c r="BB4" s="24" t="inlineStr">
        <is>
          <t>tie_aware_elo</t>
        </is>
      </c>
      <c r="BC4" s="24" t="inlineStr">
        <is>
          <t>kbo-tie-aware-elo-v2</t>
        </is>
      </c>
      <c r="BD4" s="24" t="inlineStr">
        <is>
          <t>9ed13cfd8d860b2670f938484c3c659d864654d10d93ca38480a7e8d77633502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kbo-tie-aware-elo-v2</t>
        </is>
      </c>
      <c r="BH4" s="24" t="inlineStr">
        <is>
          <t>2026-08-02T08:20:39.168704Z</t>
        </is>
      </c>
      <c r="BI4" s="24" t="inlineStr">
        <is>
          <t>["same_event","same_team_same_day","same_league_same_day"]</t>
        </is>
      </c>
      <c r="BJ4" s="25" t="n"/>
      <c r="BK4" s="26" t="n">
        <v>-156</v>
      </c>
      <c r="BL4" s="27" t="n">
        <v>1.641026</v>
      </c>
      <c r="BM4" s="28" t="n">
        <v>0.609375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b812d36f9af4454f</t>
        </is>
      </c>
      <c r="B5" s="24" t="inlineStr">
        <is>
          <t>2026-08-02T08:20:39.643741Z</t>
        </is>
      </c>
      <c r="C5" s="24" t="inlineStr">
        <is>
          <t>2026-08-02T09:00:00Z</t>
        </is>
      </c>
      <c r="D5" s="24" t="inlineStr">
        <is>
          <t>66824</t>
        </is>
      </c>
      <c r="E5" s="24" t="inlineStr">
        <is>
          <t>KBO</t>
        </is>
      </c>
      <c r="F5" s="24" t="inlineStr">
        <is>
          <t>Hanwha Eagles</t>
        </is>
      </c>
      <c r="G5" s="24" t="inlineStr">
        <is>
          <t>KT Wiz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-104</v>
      </c>
      <c r="M5" s="27" t="n">
        <v>1.961538</v>
      </c>
      <c r="N5" s="28" t="n">
        <v>0.509804</v>
      </c>
      <c r="O5" s="28" t="n">
        <v>0.599423</v>
      </c>
      <c r="P5" s="28" t="n"/>
      <c r="Q5" s="28" t="n">
        <v>0.089619</v>
      </c>
      <c r="R5" s="26" t="n">
        <v>65</v>
      </c>
      <c r="S5" s="29" t="n">
        <v>1.25</v>
      </c>
      <c r="T5" s="24" t="inlineStr">
        <is>
          <t>kbo-tie-aware-elo-v2</t>
        </is>
      </c>
      <c r="U5" s="24" t="inlineStr">
        <is>
          <t>settled</t>
        </is>
      </c>
      <c r="V5" s="24" t="inlineStr">
        <is>
          <t>push</t>
        </is>
      </c>
      <c r="W5" s="26" t="n">
        <v>0</v>
      </c>
      <c r="X5" s="26" t="n">
        <v>0</v>
      </c>
      <c r="Y5" s="25" t="n"/>
      <c r="Z5" s="26" t="n"/>
      <c r="AA5" s="28" t="n"/>
      <c r="AB5" s="28" t="n"/>
      <c r="AC5" s="30" t="n">
        <v>-0.024</v>
      </c>
      <c r="AD5" s="24" t="inlineStr">
        <is>
          <t>2026-08-02T09:53:37.329479Z</t>
        </is>
      </c>
      <c r="AE5" s="31" t="inlineStr">
        <is>
          <t>Tie-aware Elo baseline; executable ask 0.5100 (market_slug=aec-kbo-kwt-hea-2026-08-02). Tie probability=0.0275.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Hanwha Eagles</t>
        </is>
      </c>
      <c r="AQ5" s="24" t="inlineStr">
        <is>
          <t>Hanwha Eagles</t>
        </is>
      </c>
      <c r="AR5" s="24" t="inlineStr">
        <is>
          <t>Hanwha Eagles</t>
        </is>
      </c>
      <c r="AS5" s="24" t="inlineStr">
        <is>
          <t>KT Wiz</t>
        </is>
      </c>
      <c r="AT5" s="24" t="inlineStr">
        <is>
          <t>KT Wiz</t>
        </is>
      </c>
      <c r="AU5" s="24" t="inlineStr">
        <is>
          <t>KT Wiz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9ed13cfd8d860b2670f938484c3c659d864654d10d93ca38480a7e8d77633502</t>
        </is>
      </c>
      <c r="BB5" s="24" t="inlineStr">
        <is>
          <t>tie_aware_elo</t>
        </is>
      </c>
      <c r="BC5" s="24" t="inlineStr">
        <is>
          <t>kbo-tie-aware-elo-v2</t>
        </is>
      </c>
      <c r="BD5" s="24" t="inlineStr">
        <is>
          <t>9ed13cfd8d860b2670f938484c3c659d864654d10d93ca38480a7e8d77633502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kbo-tie-aware-elo-v2</t>
        </is>
      </c>
      <c r="BH5" s="24" t="inlineStr">
        <is>
          <t>2026-08-02T08:20:39.643606Z</t>
        </is>
      </c>
      <c r="BI5" s="24" t="inlineStr">
        <is>
          <t>["same_event","same_team_same_day","same_league_same_day"]</t>
        </is>
      </c>
      <c r="BJ5" s="25" t="n"/>
      <c r="BK5" s="26" t="n">
        <v>-104</v>
      </c>
      <c r="BL5" s="27" t="n">
        <v>1.961538</v>
      </c>
      <c r="BM5" s="28" t="n">
        <v>0.509804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82e9095226ef4d4d</t>
        </is>
      </c>
      <c r="B6" s="24" t="inlineStr">
        <is>
          <t>2026-08-04T08:55:29.662874Z</t>
        </is>
      </c>
      <c r="C6" s="24" t="inlineStr">
        <is>
          <t>2026-08-04T09:30:00Z</t>
        </is>
      </c>
      <c r="D6" s="24" t="inlineStr">
        <is>
          <t>68265</t>
        </is>
      </c>
      <c r="E6" s="24" t="inlineStr">
        <is>
          <t>KBO</t>
        </is>
      </c>
      <c r="F6" s="24" t="inlineStr">
        <is>
          <t>NC Dinos</t>
        </is>
      </c>
      <c r="G6" s="24" t="inlineStr">
        <is>
          <t>Doosan Bears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156</v>
      </c>
      <c r="M6" s="27" t="n">
        <v>2.56</v>
      </c>
      <c r="N6" s="28" t="n">
        <v>0.390625</v>
      </c>
      <c r="O6" s="28" t="n">
        <v>0.5790380000000001</v>
      </c>
      <c r="P6" s="28" t="n"/>
      <c r="Q6" s="28" t="n">
        <v>0.188413</v>
      </c>
      <c r="R6" s="26" t="n">
        <v>100</v>
      </c>
      <c r="S6" s="29" t="n">
        <v>1.25</v>
      </c>
      <c r="T6" s="24" t="inlineStr">
        <is>
          <t>kbo-tie-aware-elo-v2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Tie-aware Elo baseline; executable ask 0.3900 (market_slug=aec-kbo-dbo-ndc-2026-08-04). Tie probability=0.0299.</t>
        </is>
      </c>
      <c r="AF6" s="31" t="inlineStr">
        <is>
          <t>Config-promoted international baseball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NC Dinos</t>
        </is>
      </c>
      <c r="AQ6" s="24" t="inlineStr">
        <is>
          <t>NC Dinos</t>
        </is>
      </c>
      <c r="AR6" s="24" t="inlineStr">
        <is>
          <t>NC Dinos</t>
        </is>
      </c>
      <c r="AS6" s="24" t="inlineStr">
        <is>
          <t>Doosan Bears</t>
        </is>
      </c>
      <c r="AT6" s="24" t="inlineStr">
        <is>
          <t>Doosan Bears</t>
        </is>
      </c>
      <c r="AU6" s="24" t="inlineStr">
        <is>
          <t>Doosan Bears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ed3011bd159f6231451a9fe0e125e5f3fe12152fa880d63d1c0f52c74fa66b4f</t>
        </is>
      </c>
      <c r="BB6" s="24" t="inlineStr">
        <is>
          <t>tie_aware_elo</t>
        </is>
      </c>
      <c r="BC6" s="24" t="inlineStr">
        <is>
          <t>kbo-tie-aware-elo-v2</t>
        </is>
      </c>
      <c r="BD6" s="24" t="inlineStr">
        <is>
          <t>ed3011bd159f6231451a9fe0e125e5f3fe12152fa880d63d1c0f52c74fa66b4f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kbo-tie-aware-elo-v2</t>
        </is>
      </c>
      <c r="BH6" s="24" t="inlineStr">
        <is>
          <t>2026-08-04T08:55:27.155611Z</t>
        </is>
      </c>
      <c r="BI6" s="24" t="inlineStr">
        <is>
          <t>["same_event","same_team_same_day","same_league_same_day"]</t>
        </is>
      </c>
      <c r="BJ6" s="25" t="n"/>
      <c r="BK6" s="26" t="n">
        <v>156</v>
      </c>
      <c r="BL6" s="27" t="n">
        <v>2.56</v>
      </c>
      <c r="BM6" s="28" t="n">
        <v>0.390625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</row>
    <row r="7" ht="36" customHeight="1">
      <c r="A7" s="24" t="inlineStr">
        <is>
          <t>3d42a08544994bf4</t>
        </is>
      </c>
      <c r="B7" s="24" t="inlineStr">
        <is>
          <t>2026-08-04T08:55:29.662874Z</t>
        </is>
      </c>
      <c r="C7" s="24" t="inlineStr">
        <is>
          <t>2026-08-04T09:30:00Z</t>
        </is>
      </c>
      <c r="D7" s="24" t="inlineStr">
        <is>
          <t>68266</t>
        </is>
      </c>
      <c r="E7" s="24" t="inlineStr">
        <is>
          <t>KBO</t>
        </is>
      </c>
      <c r="F7" s="24" t="inlineStr">
        <is>
          <t>LG Twins</t>
        </is>
      </c>
      <c r="G7" s="24" t="inlineStr">
        <is>
          <t>SSG Landers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-223</v>
      </c>
      <c r="M7" s="27" t="n">
        <v>1.44843</v>
      </c>
      <c r="N7" s="28" t="n">
        <v>0.690402</v>
      </c>
      <c r="O7" s="28" t="n">
        <v>0.550713</v>
      </c>
      <c r="P7" s="28" t="n"/>
      <c r="Q7" s="28" t="n">
        <v>-0.139689</v>
      </c>
      <c r="R7" s="26" t="n">
        <v>0</v>
      </c>
      <c r="S7" s="29" t="n">
        <v>1</v>
      </c>
      <c r="T7" s="24" t="inlineStr">
        <is>
          <t>kbo-tie-aware-elo-v2</t>
        </is>
      </c>
      <c r="U7" s="24" t="inlineStr">
        <is>
          <t>settled</t>
        </is>
      </c>
      <c r="V7" s="24" t="inlineStr">
        <is>
          <t>push</t>
        </is>
      </c>
      <c r="W7" s="26" t="n">
        <v>0</v>
      </c>
      <c r="X7" s="26" t="n">
        <v>0</v>
      </c>
      <c r="Y7" s="25" t="n"/>
      <c r="Z7" s="26" t="n"/>
      <c r="AA7" s="28" t="n"/>
      <c r="AB7" s="28" t="n"/>
      <c r="AC7" s="30" t="n">
        <v>-0.2758</v>
      </c>
      <c r="AD7" s="24" t="inlineStr">
        <is>
          <t>2026-08-04T11:57:56.981607Z</t>
        </is>
      </c>
      <c r="AE7" s="31" t="inlineStr">
        <is>
          <t>Tie-aware Elo baseline; executable ask 0.6900 (market_slug=aec-kbo-sls-ltg-2026-08-04). Tie probability=0.0325.</t>
        </is>
      </c>
      <c r="AF7" s="31" t="inlineStr">
        <is>
          <t>Config-promoted international baseball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LG Twins</t>
        </is>
      </c>
      <c r="AQ7" s="24" t="inlineStr">
        <is>
          <t>LG Twins</t>
        </is>
      </c>
      <c r="AR7" s="24" t="inlineStr">
        <is>
          <t>LG Twins</t>
        </is>
      </c>
      <c r="AS7" s="24" t="inlineStr">
        <is>
          <t>SSG Landers</t>
        </is>
      </c>
      <c r="AT7" s="24" t="inlineStr">
        <is>
          <t>SSG Landers</t>
        </is>
      </c>
      <c r="AU7" s="24" t="inlineStr">
        <is>
          <t>SSG Landers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ed3011bd159f6231451a9fe0e125e5f3fe12152fa880d63d1c0f52c74fa66b4f</t>
        </is>
      </c>
      <c r="BB7" s="24" t="inlineStr">
        <is>
          <t>tie_aware_elo</t>
        </is>
      </c>
      <c r="BC7" s="24" t="inlineStr">
        <is>
          <t>kbo-tie-aware-elo-v2</t>
        </is>
      </c>
      <c r="BD7" s="24" t="inlineStr">
        <is>
          <t>ed3011bd159f6231451a9fe0e125e5f3fe12152fa880d63d1c0f52c74fa66b4f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kbo-tie-aware-elo-v2</t>
        </is>
      </c>
      <c r="BH7" s="24" t="inlineStr">
        <is>
          <t>2026-08-04T08:55:27.825209Z</t>
        </is>
      </c>
      <c r="BI7" s="24" t="inlineStr">
        <is>
          <t>["same_event","same_team_same_day","same_league_same_day"]</t>
        </is>
      </c>
      <c r="BJ7" s="25" t="n"/>
      <c r="BK7" s="26" t="n">
        <v>-223</v>
      </c>
      <c r="BL7" s="27" t="n">
        <v>1.44843</v>
      </c>
      <c r="BM7" s="28" t="n">
        <v>0.690402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</row>
    <row r="8" ht="36" customHeight="1">
      <c r="A8" s="24" t="inlineStr">
        <is>
          <t>3b94e7433b554d5d</t>
        </is>
      </c>
      <c r="B8" s="24" t="inlineStr">
        <is>
          <t>2026-08-04T08:55:29.662874Z</t>
        </is>
      </c>
      <c r="C8" s="24" t="inlineStr">
        <is>
          <t>2026-08-04T09:30:00Z</t>
        </is>
      </c>
      <c r="D8" s="24" t="inlineStr">
        <is>
          <t>68268</t>
        </is>
      </c>
      <c r="E8" s="24" t="inlineStr">
        <is>
          <t>KBO</t>
        </is>
      </c>
      <c r="F8" s="24" t="inlineStr">
        <is>
          <t>Kiwoom Heroes</t>
        </is>
      </c>
      <c r="G8" s="24" t="inlineStr">
        <is>
          <t>Lotte Giants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0.5638300000000001</v>
      </c>
      <c r="P8" s="28" t="n"/>
      <c r="Q8" s="28" t="n">
        <v>-0.0658</v>
      </c>
      <c r="R8" s="26" t="n">
        <v>0</v>
      </c>
      <c r="S8" s="29" t="n">
        <v>1</v>
      </c>
      <c r="T8" s="24" t="inlineStr">
        <is>
          <t>kbo-tie-aware-elo-v2</t>
        </is>
      </c>
      <c r="U8" s="24" t="inlineStr">
        <is>
          <t>settled</t>
        </is>
      </c>
      <c r="V8" s="24" t="inlineStr">
        <is>
          <t>push</t>
        </is>
      </c>
      <c r="W8" s="26" t="n">
        <v>0</v>
      </c>
      <c r="X8" s="26" t="n">
        <v>0</v>
      </c>
      <c r="Y8" s="25" t="n"/>
      <c r="Z8" s="26" t="n"/>
      <c r="AA8" s="28" t="n"/>
      <c r="AB8" s="28" t="n"/>
      <c r="AC8" s="30" t="n">
        <v>-0.2059</v>
      </c>
      <c r="AD8" s="24" t="inlineStr">
        <is>
          <t>2026-08-04T11:57:57.054537Z</t>
        </is>
      </c>
      <c r="AE8" s="31" t="inlineStr">
        <is>
          <t>Tie-aware Elo baseline; executable ask 0.6300 (market_slug=aec-kbo-lgo-khi-2026-08-04). Tie probability=0.0313.</t>
        </is>
      </c>
      <c r="AF8" s="31" t="inlineStr">
        <is>
          <t>Config-promoted international baseball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NO_CALL_LOW_EDGE</t>
        </is>
      </c>
      <c r="AP8" s="24" t="inlineStr">
        <is>
          <t>Kiwoom Heroes</t>
        </is>
      </c>
      <c r="AQ8" s="24" t="inlineStr">
        <is>
          <t>Kiwoom Heroes</t>
        </is>
      </c>
      <c r="AR8" s="24" t="inlineStr">
        <is>
          <t>Kiwoom Heroes</t>
        </is>
      </c>
      <c r="AS8" s="24" t="inlineStr">
        <is>
          <t>Lotte Giants</t>
        </is>
      </c>
      <c r="AT8" s="24" t="inlineStr">
        <is>
          <t>Lotte Giants</t>
        </is>
      </c>
      <c r="AU8" s="24" t="inlineStr">
        <is>
          <t>Lotte Giants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ed3011bd159f6231451a9fe0e125e5f3fe12152fa880d63d1c0f52c74fa66b4f</t>
        </is>
      </c>
      <c r="BB8" s="24" t="inlineStr">
        <is>
          <t>tie_aware_elo</t>
        </is>
      </c>
      <c r="BC8" s="24" t="inlineStr">
        <is>
          <t>kbo-tie-aware-elo-v2</t>
        </is>
      </c>
      <c r="BD8" s="24" t="inlineStr">
        <is>
          <t>ed3011bd159f6231451a9fe0e125e5f3fe12152fa880d63d1c0f52c74fa66b4f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kbo-tie-aware-elo-v2</t>
        </is>
      </c>
      <c r="BH8" s="24" t="inlineStr">
        <is>
          <t>2026-08-04T08:55:28.469450Z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</row>
    <row r="9" ht="36" customHeight="1">
      <c r="A9" s="24" t="inlineStr">
        <is>
          <t>b0366f9bba48413a</t>
        </is>
      </c>
      <c r="B9" s="24" t="inlineStr">
        <is>
          <t>2026-08-04T08:55:29.662874Z</t>
        </is>
      </c>
      <c r="C9" s="24" t="inlineStr">
        <is>
          <t>2026-08-04T09:30:00Z</t>
        </is>
      </c>
      <c r="D9" s="24" t="inlineStr">
        <is>
          <t>68270</t>
        </is>
      </c>
      <c r="E9" s="24" t="inlineStr">
        <is>
          <t>KBO</t>
        </is>
      </c>
      <c r="F9" s="24" t="inlineStr">
        <is>
          <t>Hanwha Eagles</t>
        </is>
      </c>
      <c r="G9" s="24" t="inlineStr">
        <is>
          <t>Samsung Lions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-133</v>
      </c>
      <c r="M9" s="27" t="n">
        <v>1.75188</v>
      </c>
      <c r="N9" s="28" t="n">
        <v>0.570815</v>
      </c>
      <c r="O9" s="28" t="n">
        <v>0.5917</v>
      </c>
      <c r="P9" s="28" t="n"/>
      <c r="Q9" s="28" t="n">
        <v>0.020885</v>
      </c>
      <c r="R9" s="26" t="n">
        <v>30</v>
      </c>
      <c r="S9" s="29" t="n">
        <v>1.25</v>
      </c>
      <c r="T9" s="24" t="inlineStr">
        <is>
          <t>kbo-tie-aware-elo-v2</t>
        </is>
      </c>
      <c r="U9" s="24" t="inlineStr">
        <is>
          <t>settled</t>
        </is>
      </c>
      <c r="V9" s="24" t="inlineStr">
        <is>
          <t>push</t>
        </is>
      </c>
      <c r="W9" s="26" t="n">
        <v>0</v>
      </c>
      <c r="X9" s="26" t="n">
        <v>0</v>
      </c>
      <c r="Y9" s="25" t="n"/>
      <c r="Z9" s="26" t="n"/>
      <c r="AA9" s="28" t="n"/>
      <c r="AB9" s="28" t="n"/>
      <c r="AC9" s="30" t="n">
        <v>-0.1551</v>
      </c>
      <c r="AD9" s="24" t="inlineStr">
        <is>
          <t>2026-08-04T11:57:57.126892Z</t>
        </is>
      </c>
      <c r="AE9" s="31" t="inlineStr">
        <is>
          <t>Tie-aware Elo baseline; executable ask 0.5700 (market_slug=aec-kbo-sla-hea-2026-08-04). Tie probability=0.0288.</t>
        </is>
      </c>
      <c r="AF9" s="31" t="inlineStr">
        <is>
          <t>Config-promoted international baseball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Hanwha Eagles</t>
        </is>
      </c>
      <c r="AQ9" s="24" t="inlineStr">
        <is>
          <t>Hanwha Eagles</t>
        </is>
      </c>
      <c r="AR9" s="24" t="inlineStr">
        <is>
          <t>Hanwha Eagles</t>
        </is>
      </c>
      <c r="AS9" s="24" t="inlineStr">
        <is>
          <t>Samsung Lions</t>
        </is>
      </c>
      <c r="AT9" s="24" t="inlineStr">
        <is>
          <t>Samsung Lions</t>
        </is>
      </c>
      <c r="AU9" s="24" t="inlineStr">
        <is>
          <t>Samsung Lions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ed3011bd159f6231451a9fe0e125e5f3fe12152fa880d63d1c0f52c74fa66b4f</t>
        </is>
      </c>
      <c r="BB9" s="24" t="inlineStr">
        <is>
          <t>tie_aware_elo</t>
        </is>
      </c>
      <c r="BC9" s="24" t="inlineStr">
        <is>
          <t>kbo-tie-aware-elo-v2</t>
        </is>
      </c>
      <c r="BD9" s="24" t="inlineStr">
        <is>
          <t>ed3011bd159f6231451a9fe0e125e5f3fe12152fa880d63d1c0f52c74fa66b4f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kbo-tie-aware-elo-v2</t>
        </is>
      </c>
      <c r="BH9" s="24" t="inlineStr">
        <is>
          <t>2026-08-04T08:55:29.194279Z</t>
        </is>
      </c>
      <c r="BI9" s="24" t="inlineStr">
        <is>
          <t>["same_event","same_team_same_day","same_league_same_day"]</t>
        </is>
      </c>
      <c r="BJ9" s="25" t="n"/>
      <c r="BK9" s="26" t="n">
        <v>-133</v>
      </c>
      <c r="BL9" s="27" t="n">
        <v>1.75188</v>
      </c>
      <c r="BM9" s="28" t="n">
        <v>0.570815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8b5fd89c6c904404</t>
        </is>
      </c>
      <c r="B10" s="24" t="inlineStr">
        <is>
          <t>2026-08-04T08:55:29.662874Z</t>
        </is>
      </c>
      <c r="C10" s="24" t="inlineStr">
        <is>
          <t>2026-08-04T09:30:00Z</t>
        </is>
      </c>
      <c r="D10" s="24" t="inlineStr">
        <is>
          <t>68271</t>
        </is>
      </c>
      <c r="E10" s="24" t="inlineStr">
        <is>
          <t>KBO</t>
        </is>
      </c>
      <c r="F10" s="24" t="inlineStr">
        <is>
          <t>KT Wiz</t>
        </is>
      </c>
      <c r="G10" s="24" t="inlineStr">
        <is>
          <t>Kia Tigers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127</v>
      </c>
      <c r="M10" s="27" t="n">
        <v>2.27</v>
      </c>
      <c r="N10" s="28" t="n">
        <v>0.440529</v>
      </c>
      <c r="O10" s="28" t="n">
        <v>0.539741</v>
      </c>
      <c r="P10" s="28" t="n"/>
      <c r="Q10" s="28" t="n">
        <v>0.09921199999999999</v>
      </c>
      <c r="R10" s="26" t="n">
        <v>70</v>
      </c>
      <c r="S10" s="29" t="n">
        <v>1</v>
      </c>
      <c r="T10" s="24" t="inlineStr">
        <is>
          <t>kbo-tie-aware-elo-v2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Tie-aware Elo baseline; executable ask 0.4400 (market_slug=aec-kbo-kti-kwt-2026-08-04). Tie probability=0.0335.</t>
        </is>
      </c>
      <c r="AF10" s="31" t="inlineStr">
        <is>
          <t>Config-promoted international baseball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KT Wiz</t>
        </is>
      </c>
      <c r="AQ10" s="24" t="inlineStr">
        <is>
          <t>KT Wiz</t>
        </is>
      </c>
      <c r="AR10" s="24" t="inlineStr">
        <is>
          <t>KT Wiz</t>
        </is>
      </c>
      <c r="AS10" s="24" t="inlineStr">
        <is>
          <t>Kia Tigers</t>
        </is>
      </c>
      <c r="AT10" s="24" t="inlineStr">
        <is>
          <t>Kia Tigers</t>
        </is>
      </c>
      <c r="AU10" s="24" t="inlineStr">
        <is>
          <t>Kia Tigers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ed3011bd159f6231451a9fe0e125e5f3fe12152fa880d63d1c0f52c74fa66b4f</t>
        </is>
      </c>
      <c r="BB10" s="24" t="inlineStr">
        <is>
          <t>tie_aware_elo</t>
        </is>
      </c>
      <c r="BC10" s="24" t="inlineStr">
        <is>
          <t>kbo-tie-aware-elo-v2</t>
        </is>
      </c>
      <c r="BD10" s="24" t="inlineStr">
        <is>
          <t>ed3011bd159f6231451a9fe0e125e5f3fe12152fa880d63d1c0f52c74fa66b4f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kbo-tie-aware-elo-v2</t>
        </is>
      </c>
      <c r="BH10" s="24" t="inlineStr">
        <is>
          <t>2026-08-04T08:55:29.662825Z</t>
        </is>
      </c>
      <c r="BI10" s="24" t="inlineStr">
        <is>
          <t>["same_event","same_team_same_day","same_league_same_day"]</t>
        </is>
      </c>
      <c r="BJ10" s="25" t="n"/>
      <c r="BK10" s="26" t="n">
        <v>127</v>
      </c>
      <c r="BL10" s="27" t="n">
        <v>2.27</v>
      </c>
      <c r="BM10" s="28" t="n">
        <v>0.440529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2026-08-04T14:22:07Z</dcterms:created>
  <dcterms:modified xsi:type="dcterms:W3CDTF">2026-08-04T14:22:07Z</dcterms:modified>
</cp:coreProperties>
</file>