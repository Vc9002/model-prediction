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5" headerRowCount="1">
  <autoFilter ref="A1:CO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COUNTA('Picks'!$A$2:$A$5)</f>
        <v/>
      </c>
      <c r="C4" s="6">
        <f>COUNTIF('Picks'!$U$2:$U$5,"open")</f>
        <v/>
      </c>
      <c r="E4" s="6">
        <f>COUNTIF('Picks'!$U$2:$U$5,"settled")</f>
        <v/>
      </c>
      <c r="G4" s="6">
        <f>IF(COUNTIFS('Picks'!$U$2:$U$5,"settled",'Picks'!$V$2:$V$5,"win")+COUNTIFS('Picks'!$U$2:$U$5,"settled",'Picks'!$V$2:$V$5,"loss")&gt;=$L$2,"Ready","Insufficient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COUNTIF('Picks'!$BX$2:$BX$5,"&gt;0")</f>
        <v/>
      </c>
      <c r="C7" s="6">
        <f>COUNTIFS('Picks'!$BX$2:$BX$5,"&gt;0",'Picks'!$V$2:$V$5,"win")&amp;"-"&amp;COUNTIFS('Picks'!$BX$2:$BX$5,"&gt;0",'Picks'!$V$2:$V$5,"loss")</f>
        <v/>
      </c>
      <c r="E7" s="7">
        <f>IFERROR(COUNTIFS('Picks'!$BX$2:$BX$5,"&gt;0",'Picks'!$V$2:$V$5,"win")/(COUNTIFS('Picks'!$BX$2:$BX$5,"&gt;0",'Picks'!$V$2:$V$5,"win")+COUNTIFS('Picks'!$BX$2:$BX$5,"&gt;0",'Picks'!$V$2:$V$5,"loss")),0)</f>
        <v/>
      </c>
      <c r="G7" s="7">
        <f>IFERROR(SUM('Picks'!$BY$2:$BY$5)/SUM('Picks'!$BX$2:$BX$5),0)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SUM('Picks'!$BY$2:$BY$5)</f>
        <v/>
      </c>
      <c r="C10" s="9">
        <f>IFERROR(AVERAGEIF('Picks'!$AB$2:$AB$5,"&lt;&gt;",'Picks'!$AB$2:$AB$5),0)</f>
        <v/>
      </c>
      <c r="E10" s="6">
        <f>COUNTIFS('Picks'!$AM$2:$AM$5,"QUALIFIED_SHADOW_CALL",'Picks'!$U$2:$U$5,"settled")</f>
        <v/>
      </c>
      <c r="G10" s="8">
        <f>SUMIFS('Picks'!$AC$2:$AC$5,'Picks'!$AM$2:$AM$5,"QUALIFIED_SHADOW_CALL")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COUNTIFS('Picks'!$H$2:$H$5,$A14,'Picks'!$U$2:$U$5,"settled")</f>
        <v/>
      </c>
      <c r="C14" s="13">
        <f>COUNTIFS('Picks'!$H$2:$H$5,$A14,'Picks'!$U$2:$U$5,"settled",'Picks'!$V$2:$V$5,"win")</f>
        <v/>
      </c>
      <c r="D14" s="13">
        <f>COUNTIFS('Picks'!$H$2:$H$5,$A14,'Picks'!$U$2:$U$5,"settled",'Picks'!$V$2:$V$5,"loss")</f>
        <v/>
      </c>
      <c r="E14" s="14">
        <f>IFERROR(C14/(C14+D14),0)</f>
        <v/>
      </c>
      <c r="F14" s="15">
        <f>SUMIFS('Picks'!$BY$2:$BY$5,'Picks'!$H$2:$H$5,$A14)</f>
        <v/>
      </c>
      <c r="G14" s="16">
        <f>IFERROR(AVERAGEIFS('Picks'!$AB$2:$AB$5,'Picks'!$H$2:$H$5,$A14,'Picks'!$U$2:$U$5,"settled"),0)</f>
        <v/>
      </c>
    </row>
    <row r="15">
      <c r="A15" s="17" t="inlineStr">
        <is>
          <t>spread</t>
        </is>
      </c>
      <c r="B15" s="18">
        <f>COUNTIFS('Picks'!$H$2:$H$5,$A15,'Picks'!$U$2:$U$5,"settled")</f>
        <v/>
      </c>
      <c r="C15" s="18">
        <f>COUNTIFS('Picks'!$H$2:$H$5,$A15,'Picks'!$U$2:$U$5,"settled",'Picks'!$V$2:$V$5,"win")</f>
        <v/>
      </c>
      <c r="D15" s="18">
        <f>COUNTIFS('Picks'!$H$2:$H$5,$A15,'Picks'!$U$2:$U$5,"settled",'Picks'!$V$2:$V$5,"loss")</f>
        <v/>
      </c>
      <c r="E15" s="19">
        <f>IFERROR(C15/(C15+D15),0)</f>
        <v/>
      </c>
      <c r="F15" s="20">
        <f>SUMIFS('Picks'!$BY$2:$BY$5,'Picks'!$H$2:$H$5,$A15)</f>
        <v/>
      </c>
      <c r="G15" s="21">
        <f>IFERROR(AVERAGEIFS('Picks'!$AB$2:$AB$5,'Picks'!$H$2:$H$5,$A15,'Picks'!$U$2:$U$5,"settled"),0)</f>
        <v/>
      </c>
    </row>
    <row r="16">
      <c r="A16" s="12" t="inlineStr">
        <is>
          <t>total</t>
        </is>
      </c>
      <c r="B16" s="13">
        <f>COUNTIFS('Picks'!$H$2:$H$5,$A16,'Picks'!$U$2:$U$5,"settled")</f>
        <v/>
      </c>
      <c r="C16" s="13">
        <f>COUNTIFS('Picks'!$H$2:$H$5,$A16,'Picks'!$U$2:$U$5,"settled",'Picks'!$V$2:$V$5,"win")</f>
        <v/>
      </c>
      <c r="D16" s="13">
        <f>COUNTIFS('Picks'!$H$2:$H$5,$A16,'Picks'!$U$2:$U$5,"settled",'Picks'!$V$2:$V$5,"loss")</f>
        <v/>
      </c>
      <c r="E16" s="14">
        <f>IFERROR(C16/(C16+D16),0)</f>
        <v/>
      </c>
      <c r="F16" s="15">
        <f>SUMIFS('Picks'!$BY$2:$BY$5,'Picks'!$H$2:$H$5,$A16)</f>
        <v/>
      </c>
      <c r="G16" s="16">
        <f>IFERROR(AVERAGEIFS('Picks'!$AB$2:$AB$5,'Picks'!$H$2:$H$5,$A16,'Picks'!$U$2:$U$5,"settled"),0)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6b298622637b4852</t>
        </is>
      </c>
      <c r="B2" s="24" t="inlineStr">
        <is>
          <t>2026-08-02T08:20:39.643741Z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0.537313</v>
      </c>
      <c r="P2" s="28" t="n"/>
      <c r="Q2" s="28" t="n">
        <v>0.067829</v>
      </c>
      <c r="R2" s="26" t="n">
        <v>54</v>
      </c>
      <c r="S2" s="29" t="n">
        <v>1</v>
      </c>
      <c r="T2" s="24" t="inlineStr">
        <is>
          <t>kbo-tie-aware-elo-v2</t>
        </is>
      </c>
      <c r="U2" s="24" t="inlineStr">
        <is>
          <t>settled</t>
        </is>
      </c>
      <c r="V2" s="24" t="inlineStr">
        <is>
          <t>push</t>
        </is>
      </c>
      <c r="W2" s="26" t="n">
        <v>0</v>
      </c>
      <c r="X2" s="26" t="n">
        <v>0</v>
      </c>
      <c r="Y2" s="25" t="n"/>
      <c r="Z2" s="26" t="n"/>
      <c r="AA2" s="28" t="n"/>
      <c r="AB2" s="28" t="n"/>
      <c r="AC2" s="30" t="n">
        <v>0.065</v>
      </c>
      <c r="AD2" s="24" t="inlineStr">
        <is>
          <t>2026-08-02T09:53:25.994801Z</t>
        </is>
      </c>
      <c r="AE2" s="31" t="inlineStr">
        <is>
          <t>Tie-aware Elo baseline; executable ask 0.4700 (market_slug=aec-kbo-dbo-ltg-2026-08-02). Tie probability=0.0329.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9ed13cfd8d860b2670f938484c3c659d864654d10d93ca38480a7e8d77633502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9ed13cfd8d860b2670f938484c3c659d864654d10d93ca38480a7e8d77633502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2026-08-02T08:20:38.172250Z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a18447f9f3764884</t>
        </is>
      </c>
      <c r="B3" s="24" t="inlineStr">
        <is>
          <t>2026-08-02T08:20:39.643741Z</t>
        </is>
      </c>
      <c r="C3" s="24" t="inlineStr">
        <is>
          <t>2026-08-02T09:00:00Z</t>
        </is>
      </c>
      <c r="D3" s="24" t="inlineStr">
        <is>
          <t>66821</t>
        </is>
      </c>
      <c r="E3" s="24" t="inlineStr">
        <is>
          <t>KBO</t>
        </is>
      </c>
      <c r="F3" s="24" t="inlineStr">
        <is>
          <t>Samsung Lions</t>
        </is>
      </c>
      <c r="G3" s="24" t="inlineStr">
        <is>
          <t>Lotte Giants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-150</v>
      </c>
      <c r="M3" s="27" t="n">
        <v>1.666667</v>
      </c>
      <c r="N3" s="28" t="n">
        <v>0.6</v>
      </c>
      <c r="O3" s="28" t="n">
        <v>0.571761</v>
      </c>
      <c r="P3" s="28" t="n"/>
      <c r="Q3" s="28" t="n">
        <v>-0.028239</v>
      </c>
      <c r="R3" s="26" t="n">
        <v>6</v>
      </c>
      <c r="S3" s="29" t="n">
        <v>1.25</v>
      </c>
      <c r="T3" s="24" t="inlineStr">
        <is>
          <t>kbo-tie-aware-elo-v2</t>
        </is>
      </c>
      <c r="U3" s="24" t="inlineStr">
        <is>
          <t>settled</t>
        </is>
      </c>
      <c r="V3" s="24" t="inlineStr">
        <is>
          <t>push</t>
        </is>
      </c>
      <c r="W3" s="26" t="n">
        <v>0</v>
      </c>
      <c r="X3" s="26" t="n">
        <v>0</v>
      </c>
      <c r="Y3" s="25" t="n"/>
      <c r="Z3" s="26" t="n"/>
      <c r="AA3" s="28" t="n"/>
      <c r="AB3" s="28" t="n"/>
      <c r="AC3" s="30" t="n">
        <v>-0.2083</v>
      </c>
      <c r="AD3" s="24" t="inlineStr">
        <is>
          <t>2026-08-02T09:53:31.723233Z</t>
        </is>
      </c>
      <c r="AE3" s="31" t="inlineStr">
        <is>
          <t>Tie-aware Elo baseline; executable ask 0.6000 (market_slug=aec-kbo-lgo-sla-2026-08-02). Tie probability=0.0299.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Samsung Lions</t>
        </is>
      </c>
      <c r="AQ3" s="24" t="inlineStr">
        <is>
          <t>Samsung Lions</t>
        </is>
      </c>
      <c r="AR3" s="24" t="inlineStr">
        <is>
          <t>Samsung Lions</t>
        </is>
      </c>
      <c r="AS3" s="24" t="inlineStr">
        <is>
          <t>Lotte Giants</t>
        </is>
      </c>
      <c r="AT3" s="24" t="inlineStr">
        <is>
          <t>Lotte Giants</t>
        </is>
      </c>
      <c r="AU3" s="24" t="inlineStr">
        <is>
          <t>Lotte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9ed13cfd8d860b2670f938484c3c659d864654d10d93ca38480a7e8d77633502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9ed13cfd8d860b2670f938484c3c659d864654d10d93ca38480a7e8d77633502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2026-08-02T08:20:38.678859Z</t>
        </is>
      </c>
      <c r="BI3" s="24" t="inlineStr">
        <is>
          <t>["same_event","same_team_same_day","same_league_same_day"]</t>
        </is>
      </c>
      <c r="BJ3" s="25" t="n"/>
      <c r="BK3" s="26" t="n">
        <v>-150</v>
      </c>
      <c r="BL3" s="27" t="n">
        <v>1.666667</v>
      </c>
      <c r="BM3" s="28" t="n">
        <v>0.6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9aae1bcd206c4cd9</t>
        </is>
      </c>
      <c r="B4" s="24" t="inlineStr">
        <is>
          <t>2026-08-02T08:20:39.643741Z</t>
        </is>
      </c>
      <c r="C4" s="24" t="inlineStr">
        <is>
          <t>2026-08-02T09:00:00Z</t>
        </is>
      </c>
      <c r="D4" s="24" t="inlineStr">
        <is>
          <t>66822</t>
        </is>
      </c>
      <c r="E4" s="24" t="inlineStr">
        <is>
          <t>KBO</t>
        </is>
      </c>
      <c r="F4" s="24" t="inlineStr">
        <is>
          <t>Kia Tigers</t>
        </is>
      </c>
      <c r="G4" s="24" t="inlineStr">
        <is>
          <t>NC Dinos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-156</v>
      </c>
      <c r="M4" s="27" t="n">
        <v>1.641026</v>
      </c>
      <c r="N4" s="28" t="n">
        <v>0.609375</v>
      </c>
      <c r="O4" s="28" t="n">
        <v>0.500454</v>
      </c>
      <c r="P4" s="28" t="n"/>
      <c r="Q4" s="28" t="n">
        <v>-0.108921</v>
      </c>
      <c r="R4" s="26" t="n">
        <v>0</v>
      </c>
      <c r="S4" s="29" t="n">
        <v>1</v>
      </c>
      <c r="T4" s="24" t="inlineStr">
        <is>
          <t>kbo-tie-aware-elo-v2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Tie-aware Elo baseline; executable ask 0.6100 (market_slug=aec-kbo-ndc-kti-2026-08-02). Tie probability=0.0361.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Kia Tigers</t>
        </is>
      </c>
      <c r="AQ4" s="24" t="inlineStr">
        <is>
          <t>Kia Tigers</t>
        </is>
      </c>
      <c r="AR4" s="24" t="inlineStr">
        <is>
          <t>Kia Tigers</t>
        </is>
      </c>
      <c r="AS4" s="24" t="inlineStr">
        <is>
          <t>NC Dinos</t>
        </is>
      </c>
      <c r="AT4" s="24" t="inlineStr">
        <is>
          <t>NC Dinos</t>
        </is>
      </c>
      <c r="AU4" s="24" t="inlineStr">
        <is>
          <t>NC Dinos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9ed13cfd8d860b2670f938484c3c659d864654d10d93ca38480a7e8d77633502</t>
        </is>
      </c>
      <c r="BB4" s="24" t="inlineStr">
        <is>
          <t>tie_aware_elo</t>
        </is>
      </c>
      <c r="BC4" s="24" t="inlineStr">
        <is>
          <t>kbo-tie-aware-elo-v2</t>
        </is>
      </c>
      <c r="BD4" s="24" t="inlineStr">
        <is>
          <t>9ed13cfd8d860b2670f938484c3c659d864654d10d93ca38480a7e8d77633502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kbo-tie-aware-elo-v2</t>
        </is>
      </c>
      <c r="BH4" s="24" t="inlineStr">
        <is>
          <t>2026-08-02T08:20:39.168704Z</t>
        </is>
      </c>
      <c r="BI4" s="24" t="inlineStr">
        <is>
          <t>["same_event","same_team_same_day","same_league_same_day"]</t>
        </is>
      </c>
      <c r="BJ4" s="25" t="n"/>
      <c r="BK4" s="26" t="n">
        <v>-156</v>
      </c>
      <c r="BL4" s="27" t="n">
        <v>1.641026</v>
      </c>
      <c r="BM4" s="28" t="n">
        <v>0.609375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b812d36f9af4454f</t>
        </is>
      </c>
      <c r="B5" s="24" t="inlineStr">
        <is>
          <t>2026-08-02T08:20:39.643741Z</t>
        </is>
      </c>
      <c r="C5" s="24" t="inlineStr">
        <is>
          <t>2026-08-02T09:00:00Z</t>
        </is>
      </c>
      <c r="D5" s="24" t="inlineStr">
        <is>
          <t>66824</t>
        </is>
      </c>
      <c r="E5" s="24" t="inlineStr">
        <is>
          <t>KBO</t>
        </is>
      </c>
      <c r="F5" s="24" t="inlineStr">
        <is>
          <t>Hanwha Eagles</t>
        </is>
      </c>
      <c r="G5" s="24" t="inlineStr">
        <is>
          <t>KT Wiz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-104</v>
      </c>
      <c r="M5" s="27" t="n">
        <v>1.961538</v>
      </c>
      <c r="N5" s="28" t="n">
        <v>0.509804</v>
      </c>
      <c r="O5" s="28" t="n">
        <v>0.599423</v>
      </c>
      <c r="P5" s="28" t="n"/>
      <c r="Q5" s="28" t="n">
        <v>0.089619</v>
      </c>
      <c r="R5" s="26" t="n">
        <v>65</v>
      </c>
      <c r="S5" s="29" t="n">
        <v>1.25</v>
      </c>
      <c r="T5" s="24" t="inlineStr">
        <is>
          <t>kbo-tie-aware-elo-v2</t>
        </is>
      </c>
      <c r="U5" s="24" t="inlineStr">
        <is>
          <t>settled</t>
        </is>
      </c>
      <c r="V5" s="24" t="inlineStr">
        <is>
          <t>push</t>
        </is>
      </c>
      <c r="W5" s="26" t="n">
        <v>0</v>
      </c>
      <c r="X5" s="26" t="n">
        <v>0</v>
      </c>
      <c r="Y5" s="25" t="n"/>
      <c r="Z5" s="26" t="n"/>
      <c r="AA5" s="28" t="n"/>
      <c r="AB5" s="28" t="n"/>
      <c r="AC5" s="30" t="n">
        <v>-0.024</v>
      </c>
      <c r="AD5" s="24" t="inlineStr">
        <is>
          <t>2026-08-02T09:53:37.329479Z</t>
        </is>
      </c>
      <c r="AE5" s="31" t="inlineStr">
        <is>
          <t>Tie-aware Elo baseline; executable ask 0.5100 (market_slug=aec-kbo-kwt-hea-2026-08-02). Tie probability=0.0275.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Hanwha Eagles</t>
        </is>
      </c>
      <c r="AQ5" s="24" t="inlineStr">
        <is>
          <t>Hanwha Eagles</t>
        </is>
      </c>
      <c r="AR5" s="24" t="inlineStr">
        <is>
          <t>Hanwha Eagles</t>
        </is>
      </c>
      <c r="AS5" s="24" t="inlineStr">
        <is>
          <t>KT Wiz</t>
        </is>
      </c>
      <c r="AT5" s="24" t="inlineStr">
        <is>
          <t>KT Wiz</t>
        </is>
      </c>
      <c r="AU5" s="24" t="inlineStr">
        <is>
          <t>KT Wiz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9ed13cfd8d860b2670f938484c3c659d864654d10d93ca38480a7e8d77633502</t>
        </is>
      </c>
      <c r="BB5" s="24" t="inlineStr">
        <is>
          <t>tie_aware_elo</t>
        </is>
      </c>
      <c r="BC5" s="24" t="inlineStr">
        <is>
          <t>kbo-tie-aware-elo-v2</t>
        </is>
      </c>
      <c r="BD5" s="24" t="inlineStr">
        <is>
          <t>9ed13cfd8d860b2670f938484c3c659d864654d10d93ca38480a7e8d77633502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kbo-tie-aware-elo-v2</t>
        </is>
      </c>
      <c r="BH5" s="24" t="inlineStr">
        <is>
          <t>2026-08-02T08:20:39.643606Z</t>
        </is>
      </c>
      <c r="BI5" s="24" t="inlineStr">
        <is>
          <t>["same_event","same_team_same_day","same_league_same_day"]</t>
        </is>
      </c>
      <c r="BJ5" s="25" t="n"/>
      <c r="BK5" s="26" t="n">
        <v>-104</v>
      </c>
      <c r="BL5" s="27" t="n">
        <v>1.961538</v>
      </c>
      <c r="BM5" s="28" t="n">
        <v>0.509804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2026-08-02T09:53:37Z</dcterms:created>
  <dcterms:modified xsi:type="dcterms:W3CDTF">2026-08-02T09:53:37Z</dcterms:modified>
</cp:coreProperties>
</file>