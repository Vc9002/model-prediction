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105" headerRowCount="1">
  <autoFilter ref="A1:CS105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COUNTA('Picks'!$A$2:$A$105)</f>
        <v/>
      </c>
      <c r="C4" s="6">
        <f>COUNTIF('Picks'!$U$2:$U$105,"open")</f>
        <v/>
      </c>
      <c r="E4" s="6">
        <f>COUNTIF('Picks'!$U$2:$U$105,"settled")</f>
        <v/>
      </c>
      <c r="G4" s="6">
        <f>IF(COUNTIFS('Picks'!$U$2:$U$105,"settled",'Picks'!$V$2:$V$105,"win")+COUNTIFS('Picks'!$U$2:$U$105,"settled",'Picks'!$V$2:$V$105,"loss")&gt;=$L$2,"Ready","Insufficient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COUNTIF('Picks'!$BX$2:$BX$105,"&gt;0")</f>
        <v/>
      </c>
      <c r="C7" s="6">
        <f>COUNTIFS('Picks'!$BX$2:$BX$105,"&gt;0",'Picks'!$V$2:$V$105,"win")&amp;"-"&amp;COUNTIFS('Picks'!$BX$2:$BX$105,"&gt;0",'Picks'!$V$2:$V$105,"loss")</f>
        <v/>
      </c>
      <c r="E7" s="7">
        <f>IFERROR(COUNTIFS('Picks'!$BX$2:$BX$105,"&gt;0",'Picks'!$V$2:$V$105,"win")/(COUNTIFS('Picks'!$BX$2:$BX$105,"&gt;0",'Picks'!$V$2:$V$105,"win")+COUNTIFS('Picks'!$BX$2:$BX$105,"&gt;0",'Picks'!$V$2:$V$105,"loss")),0)</f>
        <v/>
      </c>
      <c r="G7" s="7">
        <f>IFERROR(SUM('Picks'!$BY$2:$BY$105)/SUM('Picks'!$BX$2:$BX$105),0)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SUM('Picks'!$BY$2:$BY$105)</f>
        <v/>
      </c>
      <c r="C10" s="9">
        <f>IFERROR(AVERAGEIF('Picks'!$AB$2:$AB$105,"&lt;&gt;",'Picks'!$AB$2:$AB$105),0)</f>
        <v/>
      </c>
      <c r="E10" s="6">
        <f>COUNTIFS('Picks'!$AM$2:$AM$105,"QUALIFIED_SHADOW_CALL",'Picks'!$U$2:$U$105,"settled")</f>
        <v/>
      </c>
      <c r="G10" s="8">
        <f>SUMIFS('Picks'!$AC$2:$AC$105,'Picks'!$AM$2:$AM$105,"QUALIFIED_SHADOW_CALL")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COUNTIFS('Picks'!$H$2:$H$105,$A14,'Picks'!$U$2:$U$105,"settled")</f>
        <v/>
      </c>
      <c r="C14" s="13">
        <f>COUNTIFS('Picks'!$H$2:$H$105,$A14,'Picks'!$U$2:$U$105,"settled",'Picks'!$V$2:$V$105,"win")</f>
        <v/>
      </c>
      <c r="D14" s="13">
        <f>COUNTIFS('Picks'!$H$2:$H$105,$A14,'Picks'!$U$2:$U$105,"settled",'Picks'!$V$2:$V$105,"loss")</f>
        <v/>
      </c>
      <c r="E14" s="14">
        <f>IFERROR(C14/(C14+D14),0)</f>
        <v/>
      </c>
      <c r="F14" s="15">
        <f>SUMIFS('Picks'!$BY$2:$BY$105,'Picks'!$H$2:$H$105,$A14)</f>
        <v/>
      </c>
      <c r="G14" s="16">
        <f>IFERROR(AVERAGEIFS('Picks'!$AB$2:$AB$105,'Picks'!$H$2:$H$105,$A14,'Picks'!$U$2:$U$105,"settled"),0)</f>
        <v/>
      </c>
    </row>
    <row r="15">
      <c r="A15" s="17" t="inlineStr">
        <is>
          <t>spread</t>
        </is>
      </c>
      <c r="B15" s="18">
        <f>COUNTIFS('Picks'!$H$2:$H$105,$A15,'Picks'!$U$2:$U$105,"settled")</f>
        <v/>
      </c>
      <c r="C15" s="18">
        <f>COUNTIFS('Picks'!$H$2:$H$105,$A15,'Picks'!$U$2:$U$105,"settled",'Picks'!$V$2:$V$105,"win")</f>
        <v/>
      </c>
      <c r="D15" s="18">
        <f>COUNTIFS('Picks'!$H$2:$H$105,$A15,'Picks'!$U$2:$U$105,"settled",'Picks'!$V$2:$V$105,"loss")</f>
        <v/>
      </c>
      <c r="E15" s="19">
        <f>IFERROR(C15/(C15+D15),0)</f>
        <v/>
      </c>
      <c r="F15" s="20">
        <f>SUMIFS('Picks'!$BY$2:$BY$105,'Picks'!$H$2:$H$105,$A15)</f>
        <v/>
      </c>
      <c r="G15" s="21">
        <f>IFERROR(AVERAGEIFS('Picks'!$AB$2:$AB$105,'Picks'!$H$2:$H$105,$A15,'Picks'!$U$2:$U$105,"settled"),0)</f>
        <v/>
      </c>
    </row>
    <row r="16">
      <c r="A16" s="12" t="inlineStr">
        <is>
          <t>total</t>
        </is>
      </c>
      <c r="B16" s="13">
        <f>COUNTIFS('Picks'!$H$2:$H$105,$A16,'Picks'!$U$2:$U$105,"settled")</f>
        <v/>
      </c>
      <c r="C16" s="13">
        <f>COUNTIFS('Picks'!$H$2:$H$105,$A16,'Picks'!$U$2:$U$105,"settled",'Picks'!$V$2:$V$105,"win")</f>
        <v/>
      </c>
      <c r="D16" s="13">
        <f>COUNTIFS('Picks'!$H$2:$H$105,$A16,'Picks'!$U$2:$U$105,"settled",'Picks'!$V$2:$V$105,"loss")</f>
        <v/>
      </c>
      <c r="E16" s="14">
        <f>IFERROR(C16/(C16+D16),0)</f>
        <v/>
      </c>
      <c r="F16" s="15">
        <f>SUMIFS('Picks'!$BY$2:$BY$105,'Picks'!$H$2:$H$105,$A16)</f>
        <v/>
      </c>
      <c r="G16" s="16">
        <f>IFERROR(AVERAGEIFS('Picks'!$AB$2:$AB$105,'Picks'!$H$2:$H$105,$A16,'Picks'!$U$2:$U$105,"settled"),0)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1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036695e0425c40b1</t>
        </is>
      </c>
      <c r="B2" s="24" t="inlineStr">
        <is>
          <t>2026-07-31T11:11:14.446863Z</t>
        </is>
      </c>
      <c r="C2" s="24" t="inlineStr">
        <is>
          <t>2026-07-31T11:30:00Z</t>
        </is>
      </c>
      <c r="D2" s="24" t="inlineStr">
        <is>
          <t>64844</t>
        </is>
      </c>
      <c r="E2" s="24" t="inlineStr">
        <is>
          <t>LOL</t>
        </is>
      </c>
      <c r="F2" s="24" t="inlineStr">
        <is>
          <t>GAM Esports</t>
        </is>
      </c>
      <c r="G2" s="24" t="inlineStr">
        <is>
          <t>CTBC Flying Oyster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-186</v>
      </c>
      <c r="M2" s="27" t="n">
        <v>1.537634</v>
      </c>
      <c r="N2" s="28" t="n">
        <v>0.65035</v>
      </c>
      <c r="O2" s="28" t="n">
        <v>0.580358</v>
      </c>
      <c r="P2" s="28" t="n"/>
      <c r="Q2" s="28" t="n">
        <v>-0.069992</v>
      </c>
      <c r="R2" s="26" t="n">
        <v>0</v>
      </c>
      <c r="S2" s="29" t="n">
        <v>1.25</v>
      </c>
      <c r="T2" s="24" t="inlineStr">
        <is>
          <t>lol-tiered-elo-v5</t>
        </is>
      </c>
      <c r="U2" s="24" t="inlineStr">
        <is>
          <t>settled</t>
        </is>
      </c>
      <c r="V2" s="24" t="inlineStr">
        <is>
          <t>loss</t>
        </is>
      </c>
      <c r="W2" s="26" t="n">
        <v>0</v>
      </c>
      <c r="X2" s="26" t="n">
        <v>1</v>
      </c>
      <c r="Y2" s="25" t="n"/>
      <c r="Z2" s="26" t="n">
        <v>-186</v>
      </c>
      <c r="AA2" s="28" t="n">
        <v>0.65</v>
      </c>
      <c r="AB2" s="28" t="n">
        <v>-0.00035</v>
      </c>
      <c r="AC2" s="30" t="n">
        <v>-1.25</v>
      </c>
      <c r="AD2" s="24" t="inlineStr">
        <is>
          <t>2026-07-31T16:44:50.905472Z</t>
        </is>
      </c>
      <c r="AE2" s="31" t="inlineStr">
        <is>
          <t>Neutral Elo baseline; executable ask 0.6500 (market_slug=aec-lol-cfo-gam-2026-07-31).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GAM Esports</t>
        </is>
      </c>
      <c r="AQ2" s="24" t="inlineStr">
        <is>
          <t>GAM Esports</t>
        </is>
      </c>
      <c r="AR2" s="24" t="inlineStr">
        <is>
          <t>GAM Esports</t>
        </is>
      </c>
      <c r="AS2" s="24" t="inlineStr">
        <is>
          <t>CTBC Flying Oyster</t>
        </is>
      </c>
      <c r="AT2" s="24" t="inlineStr">
        <is>
          <t>CTBC Flying Oyster</t>
        </is>
      </c>
      <c r="AU2" s="24" t="inlineStr">
        <is>
          <t>CTBC Flying Oyster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2a7cdeadeb467f851aeb01c3b6a4d0d2edb85063547e6182022a9f1dcab6af1f</t>
        </is>
      </c>
      <c r="BB2" s="24" t="inlineStr">
        <is>
          <t>neutral_elo</t>
        </is>
      </c>
      <c r="BC2" s="24" t="inlineStr">
        <is>
          <t>lol-tiered-elo-v5</t>
        </is>
      </c>
      <c r="BD2" s="24" t="inlineStr">
        <is>
          <t>2a7cdeadeb467f851aeb01c3b6a4d0d2edb85063547e6182022a9f1dcab6af1f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lol-tiered-elo-v5</t>
        </is>
      </c>
      <c r="BH2" s="24" t="inlineStr">
        <is>
          <t>2026-07-31T11:11:02.174606Z</t>
        </is>
      </c>
      <c r="BI2" s="24" t="inlineStr">
        <is>
          <t>["same_event","same_team_same_day","same_league_same_day"]</t>
        </is>
      </c>
      <c r="BJ2" s="25" t="n"/>
      <c r="BK2" s="26" t="n">
        <v>-186</v>
      </c>
      <c r="BL2" s="27" t="n">
        <v>1.537634</v>
      </c>
      <c r="BM2" s="28" t="n">
        <v>0.65035</v>
      </c>
      <c r="BN2" s="28" t="n"/>
      <c r="BO2" s="28" t="n"/>
      <c r="BP2" s="25" t="n"/>
      <c r="BQ2" s="27" t="n">
        <v>1.537634</v>
      </c>
      <c r="BR2" s="28" t="n">
        <v>0.65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98e3e62a5e364cf6</t>
        </is>
      </c>
      <c r="B3" s="24" t="inlineStr">
        <is>
          <t>2026-07-31T13:43:35.049398Z</t>
        </is>
      </c>
      <c r="C3" s="24" t="inlineStr">
        <is>
          <t>2026-07-31T16:00:00Z</t>
        </is>
      </c>
      <c r="D3" s="24" t="inlineStr">
        <is>
          <t>65014</t>
        </is>
      </c>
      <c r="E3" s="24" t="inlineStr">
        <is>
          <t>LOL</t>
        </is>
      </c>
      <c r="F3" s="24" t="inlineStr">
        <is>
          <t>GMBLERS ESPORTS</t>
        </is>
      </c>
      <c r="G3" s="24" t="inlineStr">
        <is>
          <t>EKO Esports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-203</v>
      </c>
      <c r="M3" s="27" t="n">
        <v>1.492611</v>
      </c>
      <c r="N3" s="28" t="n">
        <v>0.669967</v>
      </c>
      <c r="O3" s="28" t="n">
        <v>0.590657</v>
      </c>
      <c r="P3" s="28" t="n"/>
      <c r="Q3" s="28" t="n">
        <v>-0.07931000000000001</v>
      </c>
      <c r="R3" s="26" t="n">
        <v>0</v>
      </c>
      <c r="S3" s="29" t="n">
        <v>1.25</v>
      </c>
      <c r="T3" s="24" t="inlineStr">
        <is>
          <t>lol-tiered-elo-v5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-203</v>
      </c>
      <c r="AA3" s="28" t="n">
        <v>0.67</v>
      </c>
      <c r="AB3" s="28" t="n">
        <v>3.3e-05</v>
      </c>
      <c r="AC3" s="30" t="n">
        <v>0.6158</v>
      </c>
      <c r="AD3" s="24" t="inlineStr">
        <is>
          <t>2026-07-31T19:51:11.567292Z</t>
        </is>
      </c>
      <c r="AE3" s="31" t="inlineStr">
        <is>
          <t>Neutral Elo baseline; executable ask 0.6700 (market_slug=aec-lol-eko-gmb-2026-07-31).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NO_CALL_LOW_EDGE</t>
        </is>
      </c>
      <c r="AP3" s="24" t="inlineStr">
        <is>
          <t>GMBLERS ESPORTS</t>
        </is>
      </c>
      <c r="AQ3" s="24" t="inlineStr">
        <is>
          <t>GMBLERS ESPORTS</t>
        </is>
      </c>
      <c r="AR3" s="24" t="inlineStr">
        <is>
          <t>GMBLERS ESPORTS</t>
        </is>
      </c>
      <c r="AS3" s="24" t="inlineStr">
        <is>
          <t>EKO Esports</t>
        </is>
      </c>
      <c r="AT3" s="24" t="inlineStr">
        <is>
          <t>EKO Esports</t>
        </is>
      </c>
      <c r="AU3" s="24" t="inlineStr">
        <is>
          <t>EKO Esports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7e4c94e150f0de14fffb0002cc9d1aa3c0cfeb50f202a4fecc0131c004b46275</t>
        </is>
      </c>
      <c r="BB3" s="24" t="inlineStr">
        <is>
          <t>neutral_elo</t>
        </is>
      </c>
      <c r="BC3" s="24" t="inlineStr">
        <is>
          <t>lol-tiered-elo-v5</t>
        </is>
      </c>
      <c r="BD3" s="24" t="inlineStr">
        <is>
          <t>7e4c94e150f0de14fffb0002cc9d1aa3c0cfeb50f202a4fecc0131c004b46275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lol-tiered-elo-v5</t>
        </is>
      </c>
      <c r="BH3" s="24" t="inlineStr">
        <is>
          <t>2026-07-31T13:43:24.176689Z</t>
        </is>
      </c>
      <c r="BI3" s="24" t="inlineStr">
        <is>
          <t>["same_event","same_team_same_day","same_league_same_day"]</t>
        </is>
      </c>
      <c r="BJ3" s="25" t="n"/>
      <c r="BK3" s="26" t="n">
        <v>-203</v>
      </c>
      <c r="BL3" s="27" t="n">
        <v>1.492611</v>
      </c>
      <c r="BM3" s="28" t="n">
        <v>0.669967</v>
      </c>
      <c r="BN3" s="28" t="n"/>
      <c r="BO3" s="28" t="n"/>
      <c r="BP3" s="25" t="n"/>
      <c r="BQ3" s="27" t="n">
        <v>1.492611</v>
      </c>
      <c r="BR3" s="28" t="n">
        <v>0.67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4b91a1ca29d14572</t>
        </is>
      </c>
      <c r="B4" s="24" t="inlineStr">
        <is>
          <t>2026-07-31T16:49:55.389963Z</t>
        </is>
      </c>
      <c r="C4" s="24" t="inlineStr">
        <is>
          <t>2026-07-31T19:00:00Z</t>
        </is>
      </c>
      <c r="D4" s="24" t="inlineStr">
        <is>
          <t>65154</t>
        </is>
      </c>
      <c r="E4" s="24" t="inlineStr">
        <is>
          <t>LOL</t>
        </is>
      </c>
      <c r="F4" s="24" t="inlineStr">
        <is>
          <t>TITANS</t>
        </is>
      </c>
      <c r="G4" s="24" t="inlineStr">
        <is>
          <t>Zena Esports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-178</v>
      </c>
      <c r="M4" s="27" t="n">
        <v>1.561798</v>
      </c>
      <c r="N4" s="28" t="n">
        <v>0.640288</v>
      </c>
      <c r="O4" s="28" t="n">
        <v>0.551378</v>
      </c>
      <c r="P4" s="28" t="n"/>
      <c r="Q4" s="28" t="n">
        <v>-0.08891</v>
      </c>
      <c r="R4" s="26" t="n">
        <v>0</v>
      </c>
      <c r="S4" s="29" t="n">
        <v>1</v>
      </c>
      <c r="T4" s="24" t="inlineStr">
        <is>
          <t>lol-tiered-elo-v5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-178</v>
      </c>
      <c r="AA4" s="28" t="n">
        <v>0.64</v>
      </c>
      <c r="AB4" s="28" t="n">
        <v>-0.000288</v>
      </c>
      <c r="AC4" s="30" t="n">
        <v>0.5618</v>
      </c>
      <c r="AD4" s="24" t="inlineStr">
        <is>
          <t>2026-07-31T21:03:28.790314Z</t>
        </is>
      </c>
      <c r="AE4" s="31" t="inlineStr">
        <is>
          <t>Neutral Elo baseline; executable ask 0.6400 (market_slug=aec-lol-zena-tts-2026-07-31).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TITANS</t>
        </is>
      </c>
      <c r="AQ4" s="24" t="inlineStr">
        <is>
          <t>TITANS</t>
        </is>
      </c>
      <c r="AR4" s="24" t="inlineStr">
        <is>
          <t>TITANS</t>
        </is>
      </c>
      <c r="AS4" s="24" t="inlineStr">
        <is>
          <t>Zena Esports</t>
        </is>
      </c>
      <c r="AT4" s="24" t="inlineStr">
        <is>
          <t>Zena Esports</t>
        </is>
      </c>
      <c r="AU4" s="24" t="inlineStr">
        <is>
          <t>Zena Esports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233c5d9b27f5ad8038707b95edcc94c8b80ac00bcd61ef8cbf18d92fd09abe82</t>
        </is>
      </c>
      <c r="BB4" s="24" t="inlineStr">
        <is>
          <t>neutral_elo</t>
        </is>
      </c>
      <c r="BC4" s="24" t="inlineStr">
        <is>
          <t>lol-tiered-elo-v5</t>
        </is>
      </c>
      <c r="BD4" s="24" t="inlineStr">
        <is>
          <t>233c5d9b27f5ad8038707b95edcc94c8b80ac00bcd61ef8cbf18d92fd09abe82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lol-tiered-elo-v5</t>
        </is>
      </c>
      <c r="BH4" s="24" t="inlineStr">
        <is>
          <t>2026-07-31T16:49:44.453394Z</t>
        </is>
      </c>
      <c r="BI4" s="24" t="inlineStr">
        <is>
          <t>["same_event","same_team_same_day","same_league_same_day"]</t>
        </is>
      </c>
      <c r="BJ4" s="25" t="n"/>
      <c r="BK4" s="26" t="n">
        <v>-178</v>
      </c>
      <c r="BL4" s="27" t="n">
        <v>1.561798</v>
      </c>
      <c r="BM4" s="28" t="n">
        <v>0.640288</v>
      </c>
      <c r="BN4" s="28" t="n"/>
      <c r="BO4" s="28" t="n"/>
      <c r="BP4" s="25" t="n"/>
      <c r="BQ4" s="27" t="n">
        <v>1.561798</v>
      </c>
      <c r="BR4" s="28" t="n">
        <v>0.64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440106cd51864db1</t>
        </is>
      </c>
      <c r="B5" s="24" t="inlineStr">
        <is>
          <t>2026-07-31T19:56:30.996664Z</t>
        </is>
      </c>
      <c r="C5" s="24" t="inlineStr">
        <is>
          <t>2026-07-31T21:00:00Z</t>
        </is>
      </c>
      <c r="D5" s="24" t="inlineStr">
        <is>
          <t>65517</t>
        </is>
      </c>
      <c r="E5" s="24" t="inlineStr">
        <is>
          <t>LOL</t>
        </is>
      </c>
      <c r="F5" s="24" t="inlineStr">
        <is>
          <t>Cupid Esports</t>
        </is>
      </c>
      <c r="G5" s="24" t="inlineStr">
        <is>
          <t>Maryville University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144</v>
      </c>
      <c r="M5" s="27" t="n">
        <v>2.44</v>
      </c>
      <c r="N5" s="28" t="n">
        <v>0.409836</v>
      </c>
      <c r="O5" s="28" t="n">
        <v>0.539832</v>
      </c>
      <c r="P5" s="28" t="n"/>
      <c r="Q5" s="28" t="n">
        <v>0.129996</v>
      </c>
      <c r="R5" s="26" t="n">
        <v>85</v>
      </c>
      <c r="S5" s="29" t="n">
        <v>1</v>
      </c>
      <c r="T5" s="24" t="inlineStr">
        <is>
          <t>lol-tiered-elo-v5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>
        <v>144</v>
      </c>
      <c r="AA5" s="28" t="n">
        <v>0.41</v>
      </c>
      <c r="AB5" s="28" t="n">
        <v>0.000164</v>
      </c>
      <c r="AC5" s="30" t="n">
        <v>-1</v>
      </c>
      <c r="AD5" s="24" t="inlineStr">
        <is>
          <t>2026-07-31T23:28:37.444255Z</t>
        </is>
      </c>
      <c r="AE5" s="31" t="inlineStr">
        <is>
          <t>Neutral Elo baseline; executable ask 0.4100 (market_slug=aec-lol-mvu-cpd-2026-07-31).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NO_CALL_LOW_EDGE</t>
        </is>
      </c>
      <c r="AP5" s="24" t="inlineStr">
        <is>
          <t>Cupid Esports</t>
        </is>
      </c>
      <c r="AQ5" s="24" t="inlineStr">
        <is>
          <t>Cupid Esports</t>
        </is>
      </c>
      <c r="AR5" s="24" t="inlineStr">
        <is>
          <t>Cupid Esports</t>
        </is>
      </c>
      <c r="AS5" s="24" t="inlineStr">
        <is>
          <t>Maryville University</t>
        </is>
      </c>
      <c r="AT5" s="24" t="inlineStr">
        <is>
          <t>Maryville University</t>
        </is>
      </c>
      <c r="AU5" s="24" t="inlineStr">
        <is>
          <t>Maryville University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8351cdc7f5111d26d33629b081a9517f8dbccce1e120d273720dbe1d72080b31</t>
        </is>
      </c>
      <c r="BB5" s="24" t="inlineStr">
        <is>
          <t>neutral_elo</t>
        </is>
      </c>
      <c r="BC5" s="24" t="inlineStr">
        <is>
          <t>lol-tiered-elo-v5</t>
        </is>
      </c>
      <c r="BD5" s="24" t="inlineStr">
        <is>
          <t>8351cdc7f5111d26d33629b081a9517f8dbccce1e120d273720dbe1d72080b31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lol-tiered-elo-v5</t>
        </is>
      </c>
      <c r="BH5" s="24" t="inlineStr">
        <is>
          <t>2026-07-31T19:56:21.312923Z</t>
        </is>
      </c>
      <c r="BI5" s="24" t="inlineStr">
        <is>
          <t>["same_event","same_team_same_day","same_league_same_day"]</t>
        </is>
      </c>
      <c r="BJ5" s="25" t="n"/>
      <c r="BK5" s="26" t="n">
        <v>144</v>
      </c>
      <c r="BL5" s="27" t="n">
        <v>2.44</v>
      </c>
      <c r="BM5" s="28" t="n">
        <v>0.409836</v>
      </c>
      <c r="BN5" s="28" t="n"/>
      <c r="BO5" s="28" t="n"/>
      <c r="BP5" s="25" t="n"/>
      <c r="BQ5" s="27" t="n">
        <v>2.44</v>
      </c>
      <c r="BR5" s="28" t="n">
        <v>0.41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bc326a74e51b42e3</t>
        </is>
      </c>
      <c r="B6" s="24" t="inlineStr">
        <is>
          <t>2026-08-01T06:41:46.814528Z</t>
        </is>
      </c>
      <c r="C6" s="24" t="inlineStr">
        <is>
          <t>2026-08-01T08:00:00Z</t>
        </is>
      </c>
      <c r="D6" s="24" t="inlineStr">
        <is>
          <t>65819</t>
        </is>
      </c>
      <c r="E6" s="24" t="inlineStr">
        <is>
          <t>LOL</t>
        </is>
      </c>
      <c r="F6" s="24" t="inlineStr">
        <is>
          <t>BNK FEARX</t>
        </is>
      </c>
      <c r="G6" s="24" t="inlineStr">
        <is>
          <t>Nongshim Red Force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117</v>
      </c>
      <c r="M6" s="27" t="n">
        <v>2.17</v>
      </c>
      <c r="N6" s="28" t="n">
        <v>0.460829</v>
      </c>
      <c r="O6" s="28" t="n">
        <v>0.556975</v>
      </c>
      <c r="P6" s="28" t="n"/>
      <c r="Q6" s="28" t="n">
        <v>0.096146</v>
      </c>
      <c r="R6" s="26" t="n">
        <v>68</v>
      </c>
      <c r="S6" s="29" t="n">
        <v>1</v>
      </c>
      <c r="T6" s="24" t="inlineStr">
        <is>
          <t>lol-tiered-elo-v5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>
        <v>117</v>
      </c>
      <c r="AA6" s="28" t="n">
        <v>0.46</v>
      </c>
      <c r="AB6" s="28" t="n">
        <v>-0.000829</v>
      </c>
      <c r="AC6" s="30" t="n">
        <v>1.17</v>
      </c>
      <c r="AD6" s="24" t="inlineStr">
        <is>
          <t>2026-08-01T13:41:08.914662Z</t>
        </is>
      </c>
      <c r="AE6" s="31" t="inlineStr">
        <is>
          <t>Neutral Elo baseline; executable ask 0.4600 (market_slug=aec-lol-ns-bfx-2026-08-01).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BNK FEARX</t>
        </is>
      </c>
      <c r="AQ6" s="24" t="inlineStr">
        <is>
          <t>BNK FEARX</t>
        </is>
      </c>
      <c r="AR6" s="24" t="inlineStr">
        <is>
          <t>BNK FEARX</t>
        </is>
      </c>
      <c r="AS6" s="24" t="inlineStr">
        <is>
          <t>Nongshim Red Force</t>
        </is>
      </c>
      <c r="AT6" s="24" t="inlineStr">
        <is>
          <t>Nongshim Red Force</t>
        </is>
      </c>
      <c r="AU6" s="24" t="inlineStr">
        <is>
          <t>Nongshim Red Force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c61cc9d3c53952a2d4111be692cacdf7a1a440dd2df7c5d30197b2be280180db</t>
        </is>
      </c>
      <c r="BB6" s="24" t="inlineStr">
        <is>
          <t>neutral_elo</t>
        </is>
      </c>
      <c r="BC6" s="24" t="inlineStr">
        <is>
          <t>lol-tiered-elo-v5</t>
        </is>
      </c>
      <c r="BD6" s="24" t="inlineStr">
        <is>
          <t>c61cc9d3c53952a2d4111be692cacdf7a1a440dd2df7c5d30197b2be280180db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lol-tiered-elo-v5</t>
        </is>
      </c>
      <c r="BH6" s="24" t="inlineStr">
        <is>
          <t>2026-08-01T06:41:28.116348Z</t>
        </is>
      </c>
      <c r="BI6" s="24" t="inlineStr">
        <is>
          <t>["same_event","same_team_same_day","same_league_same_day"]</t>
        </is>
      </c>
      <c r="BJ6" s="25" t="n"/>
      <c r="BK6" s="26" t="n">
        <v>117</v>
      </c>
      <c r="BL6" s="27" t="n">
        <v>2.17</v>
      </c>
      <c r="BM6" s="28" t="n">
        <v>0.460829</v>
      </c>
      <c r="BN6" s="28" t="n"/>
      <c r="BO6" s="28" t="n"/>
      <c r="BP6" s="25" t="n"/>
      <c r="BQ6" s="27" t="n">
        <v>2.17</v>
      </c>
      <c r="BR6" s="28" t="n">
        <v>0.46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</row>
    <row r="7" ht="36" customHeight="1">
      <c r="A7" s="24" t="inlineStr">
        <is>
          <t>7114c28c1bc4422a</t>
        </is>
      </c>
      <c r="B7" s="24" t="inlineStr">
        <is>
          <t>2026-08-01T06:41:46.814528Z</t>
        </is>
      </c>
      <c r="C7" s="24" t="inlineStr">
        <is>
          <t>2026-08-01T10:00:00Z</t>
        </is>
      </c>
      <c r="D7" s="24" t="inlineStr">
        <is>
          <t>65869</t>
        </is>
      </c>
      <c r="E7" s="24" t="inlineStr">
        <is>
          <t>LOL</t>
        </is>
      </c>
      <c r="F7" s="24" t="inlineStr">
        <is>
          <t>Lausanne-Sport Esports</t>
        </is>
      </c>
      <c r="G7" s="24" t="inlineStr">
        <is>
          <t>Caldya Esport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223</v>
      </c>
      <c r="M7" s="27" t="n">
        <v>3.23</v>
      </c>
      <c r="N7" s="28" t="n">
        <v>0.309598</v>
      </c>
      <c r="O7" s="28" t="n">
        <v>0.51205</v>
      </c>
      <c r="P7" s="28" t="n"/>
      <c r="Q7" s="28" t="n">
        <v>0.202452</v>
      </c>
      <c r="R7" s="26" t="n">
        <v>100</v>
      </c>
      <c r="S7" s="29" t="n">
        <v>1</v>
      </c>
      <c r="T7" s="24" t="inlineStr">
        <is>
          <t>lol-tiered-elo-v5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0</v>
      </c>
      <c r="X7" s="26" t="n">
        <v>1</v>
      </c>
      <c r="Y7" s="25" t="n"/>
      <c r="Z7" s="26" t="n">
        <v>223</v>
      </c>
      <c r="AA7" s="28" t="n">
        <v>0.31</v>
      </c>
      <c r="AB7" s="28" t="n">
        <v>0.000402</v>
      </c>
      <c r="AC7" s="30" t="n">
        <v>-1</v>
      </c>
      <c r="AD7" s="24" t="inlineStr">
        <is>
          <t>2026-08-01T13:41:10.080254Z</t>
        </is>
      </c>
      <c r="AE7" s="31" t="inlineStr">
        <is>
          <t>Neutral Elo baseline; executable ask 0.3100 (market_slug=aec-lol-cla-els-2026-08-01).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Lausanne-Sport Esports</t>
        </is>
      </c>
      <c r="AQ7" s="24" t="inlineStr">
        <is>
          <t>Lausanne-Sport Esports</t>
        </is>
      </c>
      <c r="AR7" s="24" t="inlineStr">
        <is>
          <t>Lausanne-Sport Esports</t>
        </is>
      </c>
      <c r="AS7" s="24" t="inlineStr">
        <is>
          <t>Caldya Esport</t>
        </is>
      </c>
      <c r="AT7" s="24" t="inlineStr">
        <is>
          <t>Caldya Esport</t>
        </is>
      </c>
      <c r="AU7" s="24" t="inlineStr">
        <is>
          <t>Caldya Esport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c61cc9d3c53952a2d4111be692cacdf7a1a440dd2df7c5d30197b2be280180db</t>
        </is>
      </c>
      <c r="BB7" s="24" t="inlineStr">
        <is>
          <t>neutral_elo</t>
        </is>
      </c>
      <c r="BC7" s="24" t="inlineStr">
        <is>
          <t>lol-tiered-elo-v5</t>
        </is>
      </c>
      <c r="BD7" s="24" t="inlineStr">
        <is>
          <t>c61cc9d3c53952a2d4111be692cacdf7a1a440dd2df7c5d30197b2be280180db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lol-tiered-elo-v5</t>
        </is>
      </c>
      <c r="BH7" s="24" t="inlineStr">
        <is>
          <t>2026-08-01T06:41:29.714672Z</t>
        </is>
      </c>
      <c r="BI7" s="24" t="inlineStr">
        <is>
          <t>["same_event","same_team_same_day","same_league_same_day"]</t>
        </is>
      </c>
      <c r="BJ7" s="25" t="n"/>
      <c r="BK7" s="26" t="n">
        <v>223</v>
      </c>
      <c r="BL7" s="27" t="n">
        <v>3.23</v>
      </c>
      <c r="BM7" s="28" t="n">
        <v>0.309598</v>
      </c>
      <c r="BN7" s="28" t="n"/>
      <c r="BO7" s="28" t="n"/>
      <c r="BP7" s="25" t="n"/>
      <c r="BQ7" s="27" t="n">
        <v>3.23</v>
      </c>
      <c r="BR7" s="28" t="n">
        <v>0.31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</row>
    <row r="8" ht="36" customHeight="1">
      <c r="A8" s="24" t="inlineStr">
        <is>
          <t>1a9f21206f254f14</t>
        </is>
      </c>
      <c r="B8" s="24" t="inlineStr">
        <is>
          <t>2026-08-01T06:41:46.814528Z</t>
        </is>
      </c>
      <c r="C8" s="24" t="inlineStr">
        <is>
          <t>2026-08-01T10:00:00Z</t>
        </is>
      </c>
      <c r="D8" s="24" t="inlineStr">
        <is>
          <t>65870</t>
        </is>
      </c>
      <c r="E8" s="24" t="inlineStr">
        <is>
          <t>LOL</t>
        </is>
      </c>
      <c r="F8" s="24" t="inlineStr">
        <is>
          <t>Dplus KIA</t>
        </is>
      </c>
      <c r="G8" s="24" t="inlineStr">
        <is>
          <t>Gen.G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-186</v>
      </c>
      <c r="M8" s="27" t="n">
        <v>1.537634</v>
      </c>
      <c r="N8" s="28" t="n">
        <v>0.65035</v>
      </c>
      <c r="O8" s="28" t="n">
        <v>0.635659</v>
      </c>
      <c r="P8" s="28" t="n"/>
      <c r="Q8" s="28" t="n">
        <v>-0.014691</v>
      </c>
      <c r="R8" s="26" t="n">
        <v>13</v>
      </c>
      <c r="S8" s="29" t="n">
        <v>1.5</v>
      </c>
      <c r="T8" s="24" t="inlineStr">
        <is>
          <t>lol-tiered-elo-v5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-186</v>
      </c>
      <c r="AA8" s="28" t="n">
        <v>0.65</v>
      </c>
      <c r="AB8" s="28" t="n">
        <v>-0.00035</v>
      </c>
      <c r="AC8" s="30" t="n">
        <v>-1.5</v>
      </c>
      <c r="AD8" s="24" t="inlineStr">
        <is>
          <t>2026-08-01T13:41:11.187095Z</t>
        </is>
      </c>
      <c r="AE8" s="31" t="inlineStr">
        <is>
          <t>Neutral Elo baseline; executable ask 0.6500 (market_slug=aec-lol-gen-dk-2026-08-01).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NO_CALL_LOW_EDGE</t>
        </is>
      </c>
      <c r="AP8" s="24" t="inlineStr">
        <is>
          <t>Dplus KIA</t>
        </is>
      </c>
      <c r="AQ8" s="24" t="inlineStr">
        <is>
          <t>Dplus KIA</t>
        </is>
      </c>
      <c r="AR8" s="24" t="inlineStr">
        <is>
          <t>Dplus KIA</t>
        </is>
      </c>
      <c r="AS8" s="24" t="inlineStr">
        <is>
          <t>Gen.G</t>
        </is>
      </c>
      <c r="AT8" s="24" t="inlineStr">
        <is>
          <t>Gen.G</t>
        </is>
      </c>
      <c r="AU8" s="24" t="inlineStr">
        <is>
          <t>Gen.G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c61cc9d3c53952a2d4111be692cacdf7a1a440dd2df7c5d30197b2be280180db</t>
        </is>
      </c>
      <c r="BB8" s="24" t="inlineStr">
        <is>
          <t>neutral_elo</t>
        </is>
      </c>
      <c r="BC8" s="24" t="inlineStr">
        <is>
          <t>lol-tiered-elo-v5</t>
        </is>
      </c>
      <c r="BD8" s="24" t="inlineStr">
        <is>
          <t>c61cc9d3c53952a2d4111be692cacdf7a1a440dd2df7c5d30197b2be280180db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lol-tiered-elo-v5</t>
        </is>
      </c>
      <c r="BH8" s="24" t="inlineStr">
        <is>
          <t>2026-08-01T06:41:30.212062Z</t>
        </is>
      </c>
      <c r="BI8" s="24" t="inlineStr">
        <is>
          <t>["same_event","same_team_same_day","same_league_same_day"]</t>
        </is>
      </c>
      <c r="BJ8" s="25" t="n"/>
      <c r="BK8" s="26" t="n">
        <v>-186</v>
      </c>
      <c r="BL8" s="27" t="n">
        <v>1.537634</v>
      </c>
      <c r="BM8" s="28" t="n">
        <v>0.65035</v>
      </c>
      <c r="BN8" s="28" t="n"/>
      <c r="BO8" s="28" t="n"/>
      <c r="BP8" s="25" t="n"/>
      <c r="BQ8" s="27" t="n">
        <v>1.537634</v>
      </c>
      <c r="BR8" s="28" t="n">
        <v>0.65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</row>
    <row r="9" ht="36" customHeight="1">
      <c r="A9" s="24" t="inlineStr">
        <is>
          <t>12ffb87b627f41e6</t>
        </is>
      </c>
      <c r="B9" s="24" t="inlineStr">
        <is>
          <t>2026-08-01T10:22:41.976938Z</t>
        </is>
      </c>
      <c r="C9" s="24" t="inlineStr">
        <is>
          <t>2026-08-01T11:30:00Z</t>
        </is>
      </c>
      <c r="D9" s="24" t="inlineStr">
        <is>
          <t>67590</t>
        </is>
      </c>
      <c r="E9" s="24" t="inlineStr">
        <is>
          <t>LOL</t>
        </is>
      </c>
      <c r="F9" s="24" t="inlineStr">
        <is>
          <t>GAM Esports</t>
        </is>
      </c>
      <c r="G9" s="24" t="inlineStr">
        <is>
          <t>MVK Esports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-186</v>
      </c>
      <c r="M9" s="27" t="n">
        <v>1.537634</v>
      </c>
      <c r="N9" s="28" t="n">
        <v>0.65035</v>
      </c>
      <c r="O9" s="28" t="n">
        <v>0.557124</v>
      </c>
      <c r="P9" s="28" t="n"/>
      <c r="Q9" s="28" t="n">
        <v>-0.093226</v>
      </c>
      <c r="R9" s="26" t="n">
        <v>0</v>
      </c>
      <c r="S9" s="29" t="n">
        <v>1</v>
      </c>
      <c r="T9" s="24" t="inlineStr">
        <is>
          <t>lol-tiered-elo-v5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-186</v>
      </c>
      <c r="AA9" s="28" t="n">
        <v>0.65</v>
      </c>
      <c r="AB9" s="28" t="n">
        <v>-0.00035</v>
      </c>
      <c r="AC9" s="30" t="n">
        <v>-1</v>
      </c>
      <c r="AD9" s="24" t="inlineStr">
        <is>
          <t>2026-08-01T13:41:12.337711Z</t>
        </is>
      </c>
      <c r="AE9" s="31" t="inlineStr">
        <is>
          <t>Neutral Elo baseline; executable ask 0.6500 (market_slug=aec-lol-mvk-gam-2026-08-01).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NO_CALL_LOW_EDGE</t>
        </is>
      </c>
      <c r="AP9" s="24" t="inlineStr">
        <is>
          <t>GAM Esports</t>
        </is>
      </c>
      <c r="AQ9" s="24" t="inlineStr">
        <is>
          <t>GAM Esports</t>
        </is>
      </c>
      <c r="AR9" s="24" t="inlineStr">
        <is>
          <t>GAM Esports</t>
        </is>
      </c>
      <c r="AS9" s="24" t="inlineStr">
        <is>
          <t>MVK Esports</t>
        </is>
      </c>
      <c r="AT9" s="24" t="inlineStr">
        <is>
          <t>MVK Esports</t>
        </is>
      </c>
      <c r="AU9" s="24" t="inlineStr">
        <is>
          <t>MVK Esports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1939003d0ba105d680a79267a9c0fb51148b6975fd072ef4235d6f4dfc8689b8</t>
        </is>
      </c>
      <c r="BB9" s="24" t="inlineStr">
        <is>
          <t>neutral_elo</t>
        </is>
      </c>
      <c r="BC9" s="24" t="inlineStr">
        <is>
          <t>lol-tiered-elo-v5</t>
        </is>
      </c>
      <c r="BD9" s="24" t="inlineStr">
        <is>
          <t>1939003d0ba105d680a79267a9c0fb51148b6975fd072ef4235d6f4dfc8689b8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lol-tiered-elo-v5</t>
        </is>
      </c>
      <c r="BH9" s="24" t="inlineStr">
        <is>
          <t>2026-08-01T10:22:28.482874Z</t>
        </is>
      </c>
      <c r="BI9" s="24" t="inlineStr">
        <is>
          <t>["same_event","same_team_same_day","same_league_same_day"]</t>
        </is>
      </c>
      <c r="BJ9" s="25" t="n"/>
      <c r="BK9" s="26" t="n">
        <v>-186</v>
      </c>
      <c r="BL9" s="27" t="n">
        <v>1.537634</v>
      </c>
      <c r="BM9" s="28" t="n">
        <v>0.65035</v>
      </c>
      <c r="BN9" s="28" t="n"/>
      <c r="BO9" s="28" t="n"/>
      <c r="BP9" s="25" t="n"/>
      <c r="BQ9" s="27" t="n">
        <v>1.537634</v>
      </c>
      <c r="BR9" s="28" t="n">
        <v>0.65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</row>
    <row r="10" ht="36" customHeight="1">
      <c r="A10" s="24" t="inlineStr">
        <is>
          <t>0ce6278f37764dc3</t>
        </is>
      </c>
      <c r="B10" s="24" t="inlineStr">
        <is>
          <t>2026-08-01T13:46:26.991370Z</t>
        </is>
      </c>
      <c r="C10" s="24" t="inlineStr">
        <is>
          <t>2026-08-01T14:00:00Z</t>
        </is>
      </c>
      <c r="D10" s="24" t="inlineStr">
        <is>
          <t>65943</t>
        </is>
      </c>
      <c r="E10" s="24" t="inlineStr">
        <is>
          <t>LOL</t>
        </is>
      </c>
      <c r="F10" s="24" t="inlineStr">
        <is>
          <t>Galions Sharks</t>
        </is>
      </c>
      <c r="G10" s="24" t="inlineStr">
        <is>
          <t>Lille Esport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-223</v>
      </c>
      <c r="M10" s="27" t="n">
        <v>1.44843</v>
      </c>
      <c r="N10" s="28" t="n">
        <v>0.690402</v>
      </c>
      <c r="O10" s="28" t="n">
        <v>0.642756</v>
      </c>
      <c r="P10" s="28" t="n"/>
      <c r="Q10" s="28" t="n">
        <v>-0.047646</v>
      </c>
      <c r="R10" s="26" t="n">
        <v>0</v>
      </c>
      <c r="S10" s="29" t="n">
        <v>1.5</v>
      </c>
      <c r="T10" s="24" t="inlineStr">
        <is>
          <t>lol-tiered-elo-v5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0</v>
      </c>
      <c r="Y10" s="25" t="n"/>
      <c r="Z10" s="26" t="n">
        <v>-223</v>
      </c>
      <c r="AA10" s="28" t="n">
        <v>0.6899999999999999</v>
      </c>
      <c r="AB10" s="28" t="n">
        <v>-0.000402</v>
      </c>
      <c r="AC10" s="30" t="n">
        <v>0.6726</v>
      </c>
      <c r="AD10" s="24" t="inlineStr">
        <is>
          <t>2026-08-01T16:48:05.888861Z</t>
        </is>
      </c>
      <c r="AE10" s="31" t="inlineStr">
        <is>
          <t>Neutral Elo baseline; executable ask 0.6900 (market_slug=aec-lol-lil-gls-2026-08-01).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Galions Sharks</t>
        </is>
      </c>
      <c r="AQ10" s="24" t="inlineStr">
        <is>
          <t>Galions Sharks</t>
        </is>
      </c>
      <c r="AR10" s="24" t="inlineStr">
        <is>
          <t>Galions Sharks</t>
        </is>
      </c>
      <c r="AS10" s="24" t="inlineStr">
        <is>
          <t>Lille Esport</t>
        </is>
      </c>
      <c r="AT10" s="24" t="inlineStr">
        <is>
          <t>Lille Esport</t>
        </is>
      </c>
      <c r="AU10" s="24" t="inlineStr">
        <is>
          <t>Lille Esport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a0225de77fed9ecff6db7a91aa1fb133fedb181174eece235a4505669cc54dc3</t>
        </is>
      </c>
      <c r="BB10" s="24" t="inlineStr">
        <is>
          <t>neutral_elo</t>
        </is>
      </c>
      <c r="BC10" s="24" t="inlineStr">
        <is>
          <t>lol-tiered-elo-v5</t>
        </is>
      </c>
      <c r="BD10" s="24" t="inlineStr">
        <is>
          <t>a0225de77fed9ecff6db7a91aa1fb133fedb181174eece235a4505669cc54dc3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lol-tiered-elo-v5</t>
        </is>
      </c>
      <c r="BH10" s="24" t="inlineStr">
        <is>
          <t>2026-08-01T13:46:14.706326Z</t>
        </is>
      </c>
      <c r="BI10" s="24" t="inlineStr">
        <is>
          <t>["same_event","same_team_same_day","same_league_same_day"]</t>
        </is>
      </c>
      <c r="BJ10" s="25" t="n"/>
      <c r="BK10" s="26" t="n">
        <v>-223</v>
      </c>
      <c r="BL10" s="27" t="n">
        <v>1.44843</v>
      </c>
      <c r="BM10" s="28" t="n">
        <v>0.690402</v>
      </c>
      <c r="BN10" s="28" t="n"/>
      <c r="BO10" s="28" t="n"/>
      <c r="BP10" s="25" t="n"/>
      <c r="BQ10" s="27" t="n">
        <v>1.44843</v>
      </c>
      <c r="BR10" s="28" t="n">
        <v>0.6899999999999999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</row>
    <row r="11" ht="36" customHeight="1">
      <c r="A11" s="24" t="inlineStr">
        <is>
          <t>3d6070f28de94bdc</t>
        </is>
      </c>
      <c r="B11" s="24" t="inlineStr">
        <is>
          <t>2026-08-01T13:46:26.991370Z</t>
        </is>
      </c>
      <c r="C11" s="24" t="inlineStr">
        <is>
          <t>2026-08-01T15:00:00Z</t>
        </is>
      </c>
      <c r="D11" s="24" t="inlineStr">
        <is>
          <t>65952</t>
        </is>
      </c>
      <c r="E11" s="24" t="inlineStr">
        <is>
          <t>LOL</t>
        </is>
      </c>
      <c r="F11" s="24" t="inlineStr">
        <is>
          <t>SK Gaming</t>
        </is>
      </c>
      <c r="G11" s="24" t="inlineStr">
        <is>
          <t>GIANTX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-186</v>
      </c>
      <c r="M11" s="27" t="n">
        <v>1.537634</v>
      </c>
      <c r="N11" s="28" t="n">
        <v>0.65035</v>
      </c>
      <c r="O11" s="28" t="n">
        <v>0.749744</v>
      </c>
      <c r="P11" s="28" t="n"/>
      <c r="Q11" s="28" t="n">
        <v>0.099394</v>
      </c>
      <c r="R11" s="26" t="n">
        <v>70</v>
      </c>
      <c r="S11" s="29" t="n">
        <v>2</v>
      </c>
      <c r="T11" s="24" t="inlineStr">
        <is>
          <t>lol-tiered-elo-v5</t>
        </is>
      </c>
      <c r="U11" s="24" t="inlineStr">
        <is>
          <t>settled</t>
        </is>
      </c>
      <c r="V11" s="24" t="inlineStr">
        <is>
          <t>loss</t>
        </is>
      </c>
      <c r="W11" s="26" t="n">
        <v>1</v>
      </c>
      <c r="X11" s="26" t="n">
        <v>0</v>
      </c>
      <c r="Y11" s="25" t="n"/>
      <c r="Z11" s="26" t="n">
        <v>-186</v>
      </c>
      <c r="AA11" s="28" t="n">
        <v>0.65</v>
      </c>
      <c r="AB11" s="28" t="n">
        <v>-0.00035</v>
      </c>
      <c r="AC11" s="30" t="n">
        <v>-2</v>
      </c>
      <c r="AD11" s="24" t="inlineStr">
        <is>
          <t>2026-08-01T18:35:26.683413Z</t>
        </is>
      </c>
      <c r="AE11" s="31" t="inlineStr">
        <is>
          <t>Neutral Elo baseline; executable ask 0.6500 (market_slug=aec-lol-gx-sk-2026-08-01).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SK Gaming</t>
        </is>
      </c>
      <c r="AQ11" s="24" t="inlineStr">
        <is>
          <t>SK Gaming</t>
        </is>
      </c>
      <c r="AR11" s="24" t="inlineStr">
        <is>
          <t>SK Gaming</t>
        </is>
      </c>
      <c r="AS11" s="24" t="inlineStr">
        <is>
          <t>GIANTX</t>
        </is>
      </c>
      <c r="AT11" s="24" t="inlineStr">
        <is>
          <t>GIANTX</t>
        </is>
      </c>
      <c r="AU11" s="24" t="inlineStr">
        <is>
          <t>GIANTX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a0225de77fed9ecff6db7a91aa1fb133fedb181174eece235a4505669cc54dc3</t>
        </is>
      </c>
      <c r="BB11" s="24" t="inlineStr">
        <is>
          <t>neutral_elo</t>
        </is>
      </c>
      <c r="BC11" s="24" t="inlineStr">
        <is>
          <t>lol-tiered-elo-v5</t>
        </is>
      </c>
      <c r="BD11" s="24" t="inlineStr">
        <is>
          <t>a0225de77fed9ecff6db7a91aa1fb133fedb181174eece235a4505669cc54dc3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lol-tiered-elo-v5</t>
        </is>
      </c>
      <c r="BH11" s="24" t="inlineStr">
        <is>
          <t>2026-08-01T13:46:15.238583Z</t>
        </is>
      </c>
      <c r="BI11" s="24" t="inlineStr">
        <is>
          <t>["same_event","same_team_same_day","same_league_same_day"]</t>
        </is>
      </c>
      <c r="BJ11" s="25" t="n"/>
      <c r="BK11" s="26" t="n">
        <v>-186</v>
      </c>
      <c r="BL11" s="27" t="n">
        <v>1.537634</v>
      </c>
      <c r="BM11" s="28" t="n">
        <v>0.65035</v>
      </c>
      <c r="BN11" s="28" t="n"/>
      <c r="BO11" s="28" t="n"/>
      <c r="BP11" s="25" t="n"/>
      <c r="BQ11" s="27" t="n">
        <v>1.537634</v>
      </c>
      <c r="BR11" s="28" t="n">
        <v>0.65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n"/>
    </row>
    <row r="12" ht="36" customHeight="1">
      <c r="A12" s="24" t="inlineStr">
        <is>
          <t>336ec80f1d00414f</t>
        </is>
      </c>
      <c r="B12" s="24" t="inlineStr">
        <is>
          <t>2026-08-01T13:46:26.991370Z</t>
        </is>
      </c>
      <c r="C12" s="24" t="inlineStr">
        <is>
          <t>2026-08-01T16:00:00Z</t>
        </is>
      </c>
      <c r="D12" s="24" t="inlineStr">
        <is>
          <t>66008</t>
        </is>
      </c>
      <c r="E12" s="24" t="inlineStr">
        <is>
          <t>LOL</t>
        </is>
      </c>
      <c r="F12" s="24" t="inlineStr">
        <is>
          <t>FURIA Esports</t>
        </is>
      </c>
      <c r="G12" s="24" t="inlineStr">
        <is>
          <t>Vivo Keyd Stars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-113</v>
      </c>
      <c r="M12" s="27" t="n">
        <v>1.884956</v>
      </c>
      <c r="N12" s="28" t="n">
        <v>0.530516</v>
      </c>
      <c r="O12" s="28" t="n">
        <v>0.557751</v>
      </c>
      <c r="P12" s="28" t="n"/>
      <c r="Q12" s="28" t="n">
        <v>0.027235</v>
      </c>
      <c r="R12" s="26" t="n">
        <v>34</v>
      </c>
      <c r="S12" s="29" t="n">
        <v>1</v>
      </c>
      <c r="T12" s="24" t="inlineStr">
        <is>
          <t>lol-tiered-elo-v5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>
        <v>-113</v>
      </c>
      <c r="AA12" s="28" t="n">
        <v>0.53</v>
      </c>
      <c r="AB12" s="28" t="n">
        <v>-0.000516</v>
      </c>
      <c r="AC12" s="30" t="n">
        <v>-1</v>
      </c>
      <c r="AD12" s="24" t="inlineStr">
        <is>
          <t>2026-08-01T18:35:27.956072Z</t>
        </is>
      </c>
      <c r="AE12" s="31" t="inlineStr">
        <is>
          <t>Neutral Elo baseline; executable ask 0.5300 (market_slug=aec-lol-vks-fur-2026-08-01).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FURIA Esports</t>
        </is>
      </c>
      <c r="AQ12" s="24" t="inlineStr">
        <is>
          <t>FURIA Esports</t>
        </is>
      </c>
      <c r="AR12" s="24" t="inlineStr">
        <is>
          <t>FURIA Esports</t>
        </is>
      </c>
      <c r="AS12" s="24" t="inlineStr">
        <is>
          <t>Vivo Keyd Stars</t>
        </is>
      </c>
      <c r="AT12" s="24" t="inlineStr">
        <is>
          <t>Vivo Keyd Stars</t>
        </is>
      </c>
      <c r="AU12" s="24" t="inlineStr">
        <is>
          <t>Vivo Keyd Stars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a0225de77fed9ecff6db7a91aa1fb133fedb181174eece235a4505669cc54dc3</t>
        </is>
      </c>
      <c r="BB12" s="24" t="inlineStr">
        <is>
          <t>neutral_elo</t>
        </is>
      </c>
      <c r="BC12" s="24" t="inlineStr">
        <is>
          <t>lol-tiered-elo-v5</t>
        </is>
      </c>
      <c r="BD12" s="24" t="inlineStr">
        <is>
          <t>a0225de77fed9ecff6db7a91aa1fb133fedb181174eece235a4505669cc54dc3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lol-tiered-elo-v5</t>
        </is>
      </c>
      <c r="BH12" s="24" t="inlineStr">
        <is>
          <t>2026-08-01T13:46:15.747699Z</t>
        </is>
      </c>
      <c r="BI12" s="24" t="inlineStr">
        <is>
          <t>["same_event","same_team_same_day","same_league_same_day"]</t>
        </is>
      </c>
      <c r="BJ12" s="25" t="n"/>
      <c r="BK12" s="26" t="n">
        <v>-113</v>
      </c>
      <c r="BL12" s="27" t="n">
        <v>1.884956</v>
      </c>
      <c r="BM12" s="28" t="n">
        <v>0.530516</v>
      </c>
      <c r="BN12" s="28" t="n"/>
      <c r="BO12" s="28" t="n"/>
      <c r="BP12" s="25" t="n"/>
      <c r="BQ12" s="27" t="n">
        <v>1.884956</v>
      </c>
      <c r="BR12" s="28" t="n">
        <v>0.53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n"/>
    </row>
    <row r="13" ht="36" customHeight="1">
      <c r="A13" s="24" t="inlineStr">
        <is>
          <t>73f8433cce1a461e</t>
        </is>
      </c>
      <c r="B13" s="24" t="inlineStr">
        <is>
          <t>2026-08-02T06:51:56.046278Z</t>
        </is>
      </c>
      <c r="C13" s="24" t="inlineStr">
        <is>
          <t>2026-08-02T07:00:00Z</t>
        </is>
      </c>
      <c r="D13" s="24" t="inlineStr">
        <is>
          <t>66779</t>
        </is>
      </c>
      <c r="E13" s="24" t="inlineStr">
        <is>
          <t>LOL</t>
        </is>
      </c>
      <c r="F13" s="24" t="inlineStr">
        <is>
          <t>Team WE</t>
        </is>
      </c>
      <c r="G13" s="24" t="inlineStr">
        <is>
          <t>ThunderTalk Gaming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-233</v>
      </c>
      <c r="M13" s="27" t="n">
        <v>1.429185</v>
      </c>
      <c r="N13" s="28" t="n">
        <v>0.6997</v>
      </c>
      <c r="O13" s="28" t="n">
        <v>0.652554</v>
      </c>
      <c r="P13" s="28" t="n"/>
      <c r="Q13" s="28" t="n">
        <v>-0.047146</v>
      </c>
      <c r="R13" s="26" t="n">
        <v>0</v>
      </c>
      <c r="S13" s="29" t="n">
        <v>1.75</v>
      </c>
      <c r="T13" s="24" t="inlineStr">
        <is>
          <t>lol-tiered-elo-v5</t>
        </is>
      </c>
      <c r="U13" s="24" t="inlineStr">
        <is>
          <t>settled</t>
        </is>
      </c>
      <c r="V13" s="24" t="inlineStr">
        <is>
          <t>win</t>
        </is>
      </c>
      <c r="W13" s="26" t="n">
        <v>1</v>
      </c>
      <c r="X13" s="26" t="n">
        <v>0</v>
      </c>
      <c r="Y13" s="25" t="n"/>
      <c r="Z13" s="26" t="n">
        <v>-233</v>
      </c>
      <c r="AA13" s="28" t="n">
        <v>0.7</v>
      </c>
      <c r="AB13" s="28" t="n">
        <v>0.0003</v>
      </c>
      <c r="AC13" s="30" t="n">
        <v>0.7511</v>
      </c>
      <c r="AD13" s="24" t="inlineStr">
        <is>
          <t>2026-08-02T09:53:38.533320Z</t>
        </is>
      </c>
      <c r="AE13" s="31" t="inlineStr">
        <is>
          <t>Neutral Elo baseline; executable ask 0.7000 (market_slug=aec-lol-tt-we-2026-08-02).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NO_CALL_LOW_EDGE</t>
        </is>
      </c>
      <c r="AP13" s="24" t="inlineStr">
        <is>
          <t>Team WE</t>
        </is>
      </c>
      <c r="AQ13" s="24" t="inlineStr">
        <is>
          <t>Team WE</t>
        </is>
      </c>
      <c r="AR13" s="24" t="inlineStr">
        <is>
          <t>Team WE</t>
        </is>
      </c>
      <c r="AS13" s="24" t="inlineStr">
        <is>
          <t>ThunderTalk Gaming</t>
        </is>
      </c>
      <c r="AT13" s="24" t="inlineStr">
        <is>
          <t>ThunderTalk Gaming</t>
        </is>
      </c>
      <c r="AU13" s="24" t="inlineStr">
        <is>
          <t>ThunderTalk Gaming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bdf823330923d145365ad4f6a02dd0ec337f4e55dcb78716824f971491f65d6e</t>
        </is>
      </c>
      <c r="BB13" s="24" t="inlineStr">
        <is>
          <t>neutral_elo</t>
        </is>
      </c>
      <c r="BC13" s="24" t="inlineStr">
        <is>
          <t>lol-tiered-elo-v5</t>
        </is>
      </c>
      <c r="BD13" s="24" t="inlineStr">
        <is>
          <t>bdf823330923d145365ad4f6a02dd0ec337f4e55dcb78716824f971491f65d6e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lol-tiered-elo-v5</t>
        </is>
      </c>
      <c r="BH13" s="24" t="inlineStr">
        <is>
          <t>2026-08-02T06:51:40.260979Z</t>
        </is>
      </c>
      <c r="BI13" s="24" t="inlineStr">
        <is>
          <t>["same_event","same_team_same_day","same_league_same_day"]</t>
        </is>
      </c>
      <c r="BJ13" s="25" t="n"/>
      <c r="BK13" s="26" t="n">
        <v>-233</v>
      </c>
      <c r="BL13" s="27" t="n">
        <v>1.429185</v>
      </c>
      <c r="BM13" s="28" t="n">
        <v>0.6997</v>
      </c>
      <c r="BN13" s="28" t="n"/>
      <c r="BO13" s="28" t="n"/>
      <c r="BP13" s="25" t="n"/>
      <c r="BQ13" s="27" t="n">
        <v>1.429185</v>
      </c>
      <c r="BR13" s="28" t="n">
        <v>0.7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n"/>
    </row>
    <row r="14" ht="36" customHeight="1">
      <c r="A14" s="24" t="inlineStr">
        <is>
          <t>33757bba99024f37</t>
        </is>
      </c>
      <c r="B14" s="24" t="inlineStr">
        <is>
          <t>2026-08-02T09:59:37.296167Z</t>
        </is>
      </c>
      <c r="C14" s="24" t="inlineStr">
        <is>
          <t>2026-08-02T10:00:00Z</t>
        </is>
      </c>
      <c r="D14" s="24" t="inlineStr">
        <is>
          <t>66811</t>
        </is>
      </c>
      <c r="E14" s="24" t="inlineStr">
        <is>
          <t>LOL</t>
        </is>
      </c>
      <c r="F14" s="24" t="inlineStr">
        <is>
          <t>Ancient Ones</t>
        </is>
      </c>
      <c r="G14" s="24" t="inlineStr">
        <is>
          <t>Crystal Rose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113</v>
      </c>
      <c r="M14" s="27" t="n">
        <v>2.13</v>
      </c>
      <c r="N14" s="28" t="n">
        <v>0.469484</v>
      </c>
      <c r="O14" s="28" t="n">
        <v>0.614494</v>
      </c>
      <c r="P14" s="28" t="n"/>
      <c r="Q14" s="28" t="n">
        <v>0.14501</v>
      </c>
      <c r="R14" s="26" t="n">
        <v>93</v>
      </c>
      <c r="S14" s="29" t="n">
        <v>1.5</v>
      </c>
      <c r="T14" s="24" t="inlineStr">
        <is>
          <t>lol-tiered-elo-v5</t>
        </is>
      </c>
      <c r="U14" s="24" t="inlineStr">
        <is>
          <t>settled</t>
        </is>
      </c>
      <c r="V14" s="24" t="inlineStr">
        <is>
          <t>win</t>
        </is>
      </c>
      <c r="W14" s="26" t="n">
        <v>1</v>
      </c>
      <c r="X14" s="26" t="n">
        <v>0</v>
      </c>
      <c r="Y14" s="25" t="n"/>
      <c r="Z14" s="26" t="n">
        <v>113</v>
      </c>
      <c r="AA14" s="28" t="n">
        <v>0.47</v>
      </c>
      <c r="AB14" s="28" t="n">
        <v>0.000516</v>
      </c>
      <c r="AC14" s="30" t="n">
        <v>1.695</v>
      </c>
      <c r="AD14" s="24" t="inlineStr">
        <is>
          <t>2026-08-02T11:45:14.956616Z</t>
        </is>
      </c>
      <c r="AE14" s="31" t="inlineStr">
        <is>
          <t>Neutral Elo baseline; executable ask 0.4700 (market_slug=aec-lol-cr-ao-2026-08-02).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Ancient Ones</t>
        </is>
      </c>
      <c r="AQ14" s="24" t="inlineStr">
        <is>
          <t>Ancient Ones</t>
        </is>
      </c>
      <c r="AR14" s="24" t="inlineStr">
        <is>
          <t>Ancient Ones</t>
        </is>
      </c>
      <c r="AS14" s="24" t="inlineStr">
        <is>
          <t>Crystal Rose</t>
        </is>
      </c>
      <c r="AT14" s="24" t="inlineStr">
        <is>
          <t>Crystal Rose</t>
        </is>
      </c>
      <c r="AU14" s="24" t="inlineStr">
        <is>
          <t>Crystal Rose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872990f5864d469e34c183f4364739fd3897540762b962f4ec2e55405665b2e8</t>
        </is>
      </c>
      <c r="BB14" s="24" t="inlineStr">
        <is>
          <t>neutral_elo</t>
        </is>
      </c>
      <c r="BC14" s="24" t="inlineStr">
        <is>
          <t>lol-tiered-elo-v5</t>
        </is>
      </c>
      <c r="BD14" s="24" t="inlineStr">
        <is>
          <t>872990f5864d469e34c183f4364739fd3897540762b962f4ec2e55405665b2e8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lol-tiered-elo-v5</t>
        </is>
      </c>
      <c r="BH14" s="24" t="inlineStr">
        <is>
          <t>2026-08-02T09:59:22.583724Z</t>
        </is>
      </c>
      <c r="BI14" s="24" t="inlineStr">
        <is>
          <t>["same_event","same_team_same_day","same_league_same_day"]</t>
        </is>
      </c>
      <c r="BJ14" s="25" t="n"/>
      <c r="BK14" s="26" t="n">
        <v>113</v>
      </c>
      <c r="BL14" s="27" t="n">
        <v>2.13</v>
      </c>
      <c r="BM14" s="28" t="n">
        <v>0.469484</v>
      </c>
      <c r="BN14" s="28" t="n"/>
      <c r="BO14" s="28" t="n"/>
      <c r="BP14" s="25" t="n"/>
      <c r="BQ14" s="27" t="n">
        <v>2.13</v>
      </c>
      <c r="BR14" s="28" t="n">
        <v>0.47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n"/>
    </row>
    <row r="15" ht="36" customHeight="1">
      <c r="A15" s="24" t="inlineStr">
        <is>
          <t>74461a45898a4a7d</t>
        </is>
      </c>
      <c r="B15" s="24" t="inlineStr">
        <is>
          <t>2026-08-02T09:59:37.296167Z</t>
        </is>
      </c>
      <c r="C15" s="24" t="inlineStr">
        <is>
          <t>2026-08-02T11:00:00Z</t>
        </is>
      </c>
      <c r="D15" s="24" t="inlineStr">
        <is>
          <t>66837</t>
        </is>
      </c>
      <c r="E15" s="24" t="inlineStr">
        <is>
          <t>LOL</t>
        </is>
      </c>
      <c r="F15" s="24" t="inlineStr">
        <is>
          <t>Lille Esport</t>
        </is>
      </c>
      <c r="G15" s="24" t="inlineStr">
        <is>
          <t>Lausanne-Sport Esports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100</v>
      </c>
      <c r="M15" s="27" t="n">
        <v>2</v>
      </c>
      <c r="N15" s="28" t="n">
        <v>0.5</v>
      </c>
      <c r="O15" s="28" t="n">
        <v>0.586093</v>
      </c>
      <c r="P15" s="28" t="n"/>
      <c r="Q15" s="28" t="n">
        <v>0.086093</v>
      </c>
      <c r="R15" s="26" t="n">
        <v>63</v>
      </c>
      <c r="S15" s="29" t="n">
        <v>1.25</v>
      </c>
      <c r="T15" s="24" t="inlineStr">
        <is>
          <t>lol-tiered-elo-v5</t>
        </is>
      </c>
      <c r="U15" s="24" t="inlineStr">
        <is>
          <t>settled</t>
        </is>
      </c>
      <c r="V15" s="24" t="inlineStr">
        <is>
          <t>loss</t>
        </is>
      </c>
      <c r="W15" s="26" t="n">
        <v>1</v>
      </c>
      <c r="X15" s="26" t="n">
        <v>0</v>
      </c>
      <c r="Y15" s="25" t="n"/>
      <c r="Z15" s="26" t="n">
        <v>100</v>
      </c>
      <c r="AA15" s="28" t="n">
        <v>0.5</v>
      </c>
      <c r="AB15" s="28" t="n">
        <v>0</v>
      </c>
      <c r="AC15" s="30" t="n">
        <v>-1.25</v>
      </c>
      <c r="AD15" s="24" t="inlineStr">
        <is>
          <t>2026-08-02T11:45:16.142000Z</t>
        </is>
      </c>
      <c r="AE15" s="31" t="inlineStr">
        <is>
          <t>Neutral Elo baseline; executable ask 0.5000 (market_slug=aec-lol-els-lil-2026-08-02).</t>
        </is>
      </c>
      <c r="AF15" s="31" t="inlineStr">
        <is>
          <t>Config-promoted esports baseline; gates enforced at log time.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Lille Esport</t>
        </is>
      </c>
      <c r="AQ15" s="24" t="inlineStr">
        <is>
          <t>Lille Esport</t>
        </is>
      </c>
      <c r="AR15" s="24" t="inlineStr">
        <is>
          <t>Lille Esport</t>
        </is>
      </c>
      <c r="AS15" s="24" t="inlineStr">
        <is>
          <t>Lausanne-Sport Esports</t>
        </is>
      </c>
      <c r="AT15" s="24" t="inlineStr">
        <is>
          <t>Lausanne-Sport Esports</t>
        </is>
      </c>
      <c r="AU15" s="24" t="inlineStr">
        <is>
          <t>Lausanne-Sport Esports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872990f5864d469e34c183f4364739fd3897540762b962f4ec2e55405665b2e8</t>
        </is>
      </c>
      <c r="BB15" s="24" t="inlineStr">
        <is>
          <t>neutral_elo</t>
        </is>
      </c>
      <c r="BC15" s="24" t="inlineStr">
        <is>
          <t>lol-tiered-elo-v5</t>
        </is>
      </c>
      <c r="BD15" s="24" t="inlineStr">
        <is>
          <t>872990f5864d469e34c183f4364739fd3897540762b962f4ec2e55405665b2e8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lol-tiered-elo-v5</t>
        </is>
      </c>
      <c r="BH15" s="24" t="inlineStr">
        <is>
          <t>2026-08-02T09:59:23.587864Z</t>
        </is>
      </c>
      <c r="BI15" s="24" t="inlineStr">
        <is>
          <t>["same_event","same_team_same_day","same_league_same_day"]</t>
        </is>
      </c>
      <c r="BJ15" s="25" t="n"/>
      <c r="BK15" s="26" t="n">
        <v>100</v>
      </c>
      <c r="BL15" s="27" t="n">
        <v>2</v>
      </c>
      <c r="BM15" s="28" t="n">
        <v>0.5</v>
      </c>
      <c r="BN15" s="28" t="n"/>
      <c r="BO15" s="28" t="n"/>
      <c r="BP15" s="25" t="n"/>
      <c r="BQ15" s="27" t="n">
        <v>2</v>
      </c>
      <c r="BR15" s="28" t="n">
        <v>0.5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n"/>
    </row>
    <row r="16" ht="36" customHeight="1">
      <c r="A16" s="24" t="inlineStr">
        <is>
          <t>7b4139d22f3f4b67</t>
        </is>
      </c>
      <c r="B16" s="24" t="inlineStr">
        <is>
          <t>2026-08-02T09:59:37.296167Z</t>
        </is>
      </c>
      <c r="C16" s="24" t="inlineStr">
        <is>
          <t>2026-08-02T11:00:00Z</t>
        </is>
      </c>
      <c r="D16" s="24" t="inlineStr">
        <is>
          <t>66838</t>
        </is>
      </c>
      <c r="E16" s="24" t="inlineStr">
        <is>
          <t>LOL</t>
        </is>
      </c>
      <c r="F16" s="24" t="inlineStr">
        <is>
          <t>JD Gaming</t>
        </is>
      </c>
      <c r="G16" s="24" t="inlineStr">
        <is>
          <t>Top Esports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-117</v>
      </c>
      <c r="M16" s="27" t="n">
        <v>1.854701</v>
      </c>
      <c r="N16" s="28" t="n">
        <v>0.539171</v>
      </c>
      <c r="O16" s="28" t="n">
        <v>0.5497840000000001</v>
      </c>
      <c r="P16" s="28" t="n"/>
      <c r="Q16" s="28" t="n">
        <v>0.010613</v>
      </c>
      <c r="R16" s="26" t="n">
        <v>25</v>
      </c>
      <c r="S16" s="29" t="n">
        <v>1</v>
      </c>
      <c r="T16" s="24" t="inlineStr">
        <is>
          <t>lol-tiered-elo-v5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>
        <v>-117</v>
      </c>
      <c r="AA16" s="28" t="n">
        <v>0.54</v>
      </c>
      <c r="AB16" s="28" t="n">
        <v>0.000829</v>
      </c>
      <c r="AC16" s="30" t="n">
        <v>0.8547</v>
      </c>
      <c r="AD16" s="24" t="inlineStr">
        <is>
          <t>2026-08-02T15:53:03.900779Z</t>
        </is>
      </c>
      <c r="AE16" s="31" t="inlineStr">
        <is>
          <t>Neutral Elo baseline; executable ask 0.5400 (market_slug=aec-lol-tes-jdg-2026-08-02).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JD Gaming</t>
        </is>
      </c>
      <c r="AQ16" s="24" t="inlineStr">
        <is>
          <t>JD Gaming</t>
        </is>
      </c>
      <c r="AR16" s="24" t="inlineStr">
        <is>
          <t>JD Gaming</t>
        </is>
      </c>
      <c r="AS16" s="24" t="inlineStr">
        <is>
          <t>Top Esports</t>
        </is>
      </c>
      <c r="AT16" s="24" t="inlineStr">
        <is>
          <t>Top Esports</t>
        </is>
      </c>
      <c r="AU16" s="24" t="inlineStr">
        <is>
          <t>Top Esports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872990f5864d469e34c183f4364739fd3897540762b962f4ec2e55405665b2e8</t>
        </is>
      </c>
      <c r="BB16" s="24" t="inlineStr">
        <is>
          <t>neutral_elo</t>
        </is>
      </c>
      <c r="BC16" s="24" t="inlineStr">
        <is>
          <t>lol-tiered-elo-v5</t>
        </is>
      </c>
      <c r="BD16" s="24" t="inlineStr">
        <is>
          <t>872990f5864d469e34c183f4364739fd3897540762b962f4ec2e55405665b2e8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lol-tiered-elo-v5</t>
        </is>
      </c>
      <c r="BH16" s="24" t="inlineStr">
        <is>
          <t>2026-08-02T09:59:24.043094Z</t>
        </is>
      </c>
      <c r="BI16" s="24" t="inlineStr">
        <is>
          <t>["same_event","same_team_same_day","same_league_same_day"]</t>
        </is>
      </c>
      <c r="BJ16" s="25" t="n"/>
      <c r="BK16" s="26" t="n">
        <v>-117</v>
      </c>
      <c r="BL16" s="27" t="n">
        <v>1.854701</v>
      </c>
      <c r="BM16" s="28" t="n">
        <v>0.539171</v>
      </c>
      <c r="BN16" s="28" t="n"/>
      <c r="BO16" s="28" t="n"/>
      <c r="BP16" s="25" t="n"/>
      <c r="BQ16" s="27" t="n">
        <v>1.854701</v>
      </c>
      <c r="BR16" s="28" t="n">
        <v>0.54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n"/>
    </row>
    <row r="17" ht="36" customHeight="1">
      <c r="A17" s="24" t="inlineStr">
        <is>
          <t>d68cc80d286f41da</t>
        </is>
      </c>
      <c r="B17" s="24" t="inlineStr">
        <is>
          <t>2026-08-02T11:51:23.384049Z</t>
        </is>
      </c>
      <c r="C17" s="24" t="inlineStr">
        <is>
          <t>2026-08-02T12:00:00Z</t>
        </is>
      </c>
      <c r="D17" s="24" t="inlineStr">
        <is>
          <t>66847</t>
        </is>
      </c>
      <c r="E17" s="24" t="inlineStr">
        <is>
          <t>LOL</t>
        </is>
      </c>
      <c r="F17" s="24" t="inlineStr">
        <is>
          <t>Galions Sharks</t>
        </is>
      </c>
      <c r="G17" s="24" t="inlineStr">
        <is>
          <t>Karmine Corp Blue Stars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-213</v>
      </c>
      <c r="M17" s="27" t="n">
        <v>1.469484</v>
      </c>
      <c r="N17" s="28" t="n">
        <v>0.680511</v>
      </c>
      <c r="O17" s="28" t="n">
        <v>0.55445</v>
      </c>
      <c r="P17" s="28" t="n"/>
      <c r="Q17" s="28" t="n">
        <v>-0.126061</v>
      </c>
      <c r="R17" s="26" t="n">
        <v>0</v>
      </c>
      <c r="S17" s="29" t="n">
        <v>1</v>
      </c>
      <c r="T17" s="24" t="inlineStr">
        <is>
          <t>lol-tiered-elo-v5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>
        <v>-213</v>
      </c>
      <c r="AA17" s="28" t="n">
        <v>0.68</v>
      </c>
      <c r="AB17" s="28" t="n">
        <v>-0.000511</v>
      </c>
      <c r="AC17" s="30" t="n">
        <v>0.4695</v>
      </c>
      <c r="AD17" s="24" t="inlineStr">
        <is>
          <t>2026-08-02T13:01:29.241433Z</t>
        </is>
      </c>
      <c r="AE17" s="31" t="inlineStr">
        <is>
          <t>Neutral Elo baseline; executable ask 0.6800 (market_slug=aec-lol-kcbs-gls-2026-08-02).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NO_CALL_LOW_EDGE</t>
        </is>
      </c>
      <c r="AP17" s="24" t="inlineStr">
        <is>
          <t>Galions Sharks</t>
        </is>
      </c>
      <c r="AQ17" s="24" t="inlineStr">
        <is>
          <t>Galions Sharks</t>
        </is>
      </c>
      <c r="AR17" s="24" t="inlineStr">
        <is>
          <t>Galions Sharks</t>
        </is>
      </c>
      <c r="AS17" s="24" t="inlineStr">
        <is>
          <t>Karmine Corp Blue Stars</t>
        </is>
      </c>
      <c r="AT17" s="24" t="inlineStr">
        <is>
          <t>Karmine Corp Blue Stars</t>
        </is>
      </c>
      <c r="AU17" s="24" t="inlineStr">
        <is>
          <t>Karmine Corp Blue Stars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0b6e6d5c93b93c005802ef0c5f9541d5ee8d587023a9a0b60009a394291af476</t>
        </is>
      </c>
      <c r="BB17" s="24" t="inlineStr">
        <is>
          <t>neutral_elo</t>
        </is>
      </c>
      <c r="BC17" s="24" t="inlineStr">
        <is>
          <t>lol-tiered-elo-v5</t>
        </is>
      </c>
      <c r="BD17" s="24" t="inlineStr">
        <is>
          <t>0b6e6d5c93b93c005802ef0c5f9541d5ee8d587023a9a0b60009a394291af476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lol-tiered-elo-v5</t>
        </is>
      </c>
      <c r="BH17" s="24" t="inlineStr">
        <is>
          <t>2026-08-02T11:51:10.693295Z</t>
        </is>
      </c>
      <c r="BI17" s="24" t="inlineStr">
        <is>
          <t>["same_event","same_team_same_day","same_league_same_day"]</t>
        </is>
      </c>
      <c r="BJ17" s="25" t="n"/>
      <c r="BK17" s="26" t="n">
        <v>-213</v>
      </c>
      <c r="BL17" s="27" t="n">
        <v>1.469484</v>
      </c>
      <c r="BM17" s="28" t="n">
        <v>0.680511</v>
      </c>
      <c r="BN17" s="28" t="n"/>
      <c r="BO17" s="28" t="n"/>
      <c r="BP17" s="25" t="n"/>
      <c r="BQ17" s="27" t="n">
        <v>1.469484</v>
      </c>
      <c r="BR17" s="28" t="n">
        <v>0.68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n"/>
    </row>
    <row r="18" ht="36" customHeight="1">
      <c r="A18" s="24" t="inlineStr">
        <is>
          <t>2b83893e5c494a36</t>
        </is>
      </c>
      <c r="B18" s="24" t="inlineStr">
        <is>
          <t>2026-08-02T13:07:30.652675Z</t>
        </is>
      </c>
      <c r="C18" s="24" t="inlineStr">
        <is>
          <t>2026-08-02T14:00:00Z</t>
        </is>
      </c>
      <c r="D18" s="24" t="inlineStr">
        <is>
          <t>66876</t>
        </is>
      </c>
      <c r="E18" s="24" t="inlineStr">
        <is>
          <t>LOL</t>
        </is>
      </c>
      <c r="F18" s="24" t="inlineStr">
        <is>
          <t>Caldya Esport</t>
        </is>
      </c>
      <c r="G18" s="24" t="inlineStr">
        <is>
          <t>Zephyr Esport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186</v>
      </c>
      <c r="M18" s="27" t="n">
        <v>2.86</v>
      </c>
      <c r="N18" s="28" t="n">
        <v>0.34965</v>
      </c>
      <c r="O18" s="28" t="n">
        <v>0.526683</v>
      </c>
      <c r="P18" s="28" t="n"/>
      <c r="Q18" s="28" t="n">
        <v>0.177033</v>
      </c>
      <c r="R18" s="26" t="n">
        <v>100</v>
      </c>
      <c r="S18" s="29" t="n">
        <v>1</v>
      </c>
      <c r="T18" s="24" t="inlineStr">
        <is>
          <t>lol-tiered-elo-v5</t>
        </is>
      </c>
      <c r="U18" s="24" t="inlineStr">
        <is>
          <t>settled</t>
        </is>
      </c>
      <c r="V18" s="24" t="inlineStr">
        <is>
          <t>loss</t>
        </is>
      </c>
      <c r="W18" s="26" t="n">
        <v>1</v>
      </c>
      <c r="X18" s="26" t="n">
        <v>0</v>
      </c>
      <c r="Y18" s="25" t="n"/>
      <c r="Z18" s="26" t="n">
        <v>186</v>
      </c>
      <c r="AA18" s="28" t="n">
        <v>0.35</v>
      </c>
      <c r="AB18" s="28" t="n">
        <v>0.00035</v>
      </c>
      <c r="AC18" s="30" t="n">
        <v>-1</v>
      </c>
      <c r="AD18" s="24" t="inlineStr">
        <is>
          <t>2026-08-02T15:53:05.143124Z</t>
        </is>
      </c>
      <c r="AE18" s="31" t="inlineStr">
        <is>
          <t>Neutral Elo baseline; executable ask 0.3500 (market_slug=aec-lol-zpr-cla-2026-08-02).</t>
        </is>
      </c>
      <c r="AF18" s="31" t="inlineStr">
        <is>
          <t>Config-promoted esports baseline; gates enforced at log time.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NO_CALL_LOW_EDGE</t>
        </is>
      </c>
      <c r="AP18" s="24" t="inlineStr">
        <is>
          <t>Caldya Esport</t>
        </is>
      </c>
      <c r="AQ18" s="24" t="inlineStr">
        <is>
          <t>Caldya Esport</t>
        </is>
      </c>
      <c r="AR18" s="24" t="inlineStr">
        <is>
          <t>Caldya Esport</t>
        </is>
      </c>
      <c r="AS18" s="24" t="inlineStr">
        <is>
          <t>Zephyr Esport</t>
        </is>
      </c>
      <c r="AT18" s="24" t="inlineStr">
        <is>
          <t>Zephyr Esport</t>
        </is>
      </c>
      <c r="AU18" s="24" t="inlineStr">
        <is>
          <t>Zephyr Esport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20de1d712cda0a66426c95ed103aa2e610c5fbde0bd61721abf492218cad1cd2</t>
        </is>
      </c>
      <c r="BB18" s="24" t="inlineStr">
        <is>
          <t>neutral_elo</t>
        </is>
      </c>
      <c r="BC18" s="24" t="inlineStr">
        <is>
          <t>lol-tiered-elo-v5</t>
        </is>
      </c>
      <c r="BD18" s="24" t="inlineStr">
        <is>
          <t>20de1d712cda0a66426c95ed103aa2e610c5fbde0bd61721abf492218cad1cd2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lol-tiered-elo-v5</t>
        </is>
      </c>
      <c r="BH18" s="24" t="inlineStr">
        <is>
          <t>2026-08-02T13:07:18.920620Z</t>
        </is>
      </c>
      <c r="BI18" s="24" t="inlineStr">
        <is>
          <t>["same_event","same_team_same_day","same_league_same_day"]</t>
        </is>
      </c>
      <c r="BJ18" s="25" t="n"/>
      <c r="BK18" s="26" t="n">
        <v>186</v>
      </c>
      <c r="BL18" s="27" t="n">
        <v>2.86</v>
      </c>
      <c r="BM18" s="28" t="n">
        <v>0.34965</v>
      </c>
      <c r="BN18" s="28" t="n"/>
      <c r="BO18" s="28" t="n"/>
      <c r="BP18" s="25" t="n"/>
      <c r="BQ18" s="27" t="n">
        <v>2.86</v>
      </c>
      <c r="BR18" s="28" t="n">
        <v>0.35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n"/>
    </row>
    <row r="19" ht="36" customHeight="1">
      <c r="A19" s="24" t="inlineStr">
        <is>
          <t>3afbf086a69f4a1f</t>
        </is>
      </c>
      <c r="B19" s="24" t="inlineStr">
        <is>
          <t>2026-08-02T15:51:19.985321Z</t>
        </is>
      </c>
      <c r="C19" s="24" t="inlineStr">
        <is>
          <t>2026-08-02T16:00:00Z</t>
        </is>
      </c>
      <c r="D19" s="24" t="inlineStr">
        <is>
          <t>66902</t>
        </is>
      </c>
      <c r="E19" s="24" t="inlineStr">
        <is>
          <t>LOL</t>
        </is>
      </c>
      <c r="F19" s="24" t="inlineStr">
        <is>
          <t>LOUD</t>
        </is>
      </c>
      <c r="G19" s="24" t="inlineStr">
        <is>
          <t>Fluxo W7M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-117</v>
      </c>
      <c r="M19" s="27" t="n">
        <v>1.854701</v>
      </c>
      <c r="N19" s="28" t="n">
        <v>0.539171</v>
      </c>
      <c r="O19" s="28" t="n">
        <v>0.558818</v>
      </c>
      <c r="P19" s="28" t="n"/>
      <c r="Q19" s="28" t="n">
        <v>0.019647</v>
      </c>
      <c r="R19" s="26" t="n">
        <v>30</v>
      </c>
      <c r="S19" s="29" t="n">
        <v>1</v>
      </c>
      <c r="T19" s="24" t="inlineStr">
        <is>
          <t>lol-tiered-elo-v5</t>
        </is>
      </c>
      <c r="U19" s="24" t="inlineStr">
        <is>
          <t>settled</t>
        </is>
      </c>
      <c r="V19" s="24" t="inlineStr">
        <is>
          <t>win</t>
        </is>
      </c>
      <c r="W19" s="26" t="n">
        <v>1</v>
      </c>
      <c r="X19" s="26" t="n">
        <v>0</v>
      </c>
      <c r="Y19" s="25" t="n"/>
      <c r="Z19" s="26" t="n">
        <v>-117</v>
      </c>
      <c r="AA19" s="28" t="n">
        <v>0.54</v>
      </c>
      <c r="AB19" s="28" t="n">
        <v>0.000829</v>
      </c>
      <c r="AC19" s="30" t="n">
        <v>0.8547</v>
      </c>
      <c r="AD19" s="24" t="inlineStr">
        <is>
          <t>2026-08-02T17:34:43.910160Z</t>
        </is>
      </c>
      <c r="AE19" s="31" t="inlineStr">
        <is>
          <t>Neutral Elo baseline; executable ask 0.5400 (market_slug=aec-lol-fxw7-lll-2026-08-02).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LOUD</t>
        </is>
      </c>
      <c r="AQ19" s="24" t="inlineStr">
        <is>
          <t>LOUD</t>
        </is>
      </c>
      <c r="AR19" s="24" t="inlineStr">
        <is>
          <t>LOUD</t>
        </is>
      </c>
      <c r="AS19" s="24" t="inlineStr">
        <is>
          <t>Fluxo W7M</t>
        </is>
      </c>
      <c r="AT19" s="24" t="inlineStr">
        <is>
          <t>Fluxo W7M</t>
        </is>
      </c>
      <c r="AU19" s="24" t="inlineStr">
        <is>
          <t>Fluxo W7M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4ef0b19fe97fa070abfaae40ffb41addfe8947e35583480b0b6feebe14b9f7ac</t>
        </is>
      </c>
      <c r="BB19" s="24" t="inlineStr">
        <is>
          <t>neutral_elo</t>
        </is>
      </c>
      <c r="BC19" s="24" t="inlineStr">
        <is>
          <t>lol-tiered-elo-v5</t>
        </is>
      </c>
      <c r="BD19" s="24" t="inlineStr">
        <is>
          <t>4ef0b19fe97fa070abfaae40ffb41addfe8947e35583480b0b6feebe14b9f7ac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lol-tiered-elo-v5</t>
        </is>
      </c>
      <c r="BH19" s="24" t="inlineStr">
        <is>
          <t>2026-08-02T15:51:09.199778Z</t>
        </is>
      </c>
      <c r="BI19" s="24" t="inlineStr">
        <is>
          <t>["same_event","same_team_same_day","same_league_same_day"]</t>
        </is>
      </c>
      <c r="BJ19" s="25" t="n"/>
      <c r="BK19" s="26" t="n">
        <v>-117</v>
      </c>
      <c r="BL19" s="27" t="n">
        <v>1.854701</v>
      </c>
      <c r="BM19" s="28" t="n">
        <v>0.539171</v>
      </c>
      <c r="BN19" s="28" t="n"/>
      <c r="BO19" s="28" t="n"/>
      <c r="BP19" s="25" t="n"/>
      <c r="BQ19" s="27" t="n">
        <v>1.854701</v>
      </c>
      <c r="BR19" s="28" t="n">
        <v>0.54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</row>
    <row r="20" ht="36" customHeight="1">
      <c r="A20" s="24" t="inlineStr">
        <is>
          <t>12fc8231d03748b7</t>
        </is>
      </c>
      <c r="B20" s="24" t="inlineStr">
        <is>
          <t>2026-08-02T16:53:11.967172Z</t>
        </is>
      </c>
      <c r="C20" s="24" t="inlineStr">
        <is>
          <t>2026-08-02T17:15:00Z</t>
        </is>
      </c>
      <c r="D20" s="24" t="inlineStr">
        <is>
          <t>66955</t>
        </is>
      </c>
      <c r="E20" s="24" t="inlineStr">
        <is>
          <t>LOL</t>
        </is>
      </c>
      <c r="F20" s="24" t="inlineStr">
        <is>
          <t>Movistar KOI</t>
        </is>
      </c>
      <c r="G20" s="24" t="inlineStr">
        <is>
          <t>Fnatic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-186</v>
      </c>
      <c r="M20" s="27" t="n">
        <v>1.537634</v>
      </c>
      <c r="N20" s="28" t="n">
        <v>0.65035</v>
      </c>
      <c r="O20" s="28" t="n">
        <v>0.592731</v>
      </c>
      <c r="P20" s="28" t="n"/>
      <c r="Q20" s="28" t="n">
        <v>-0.057619</v>
      </c>
      <c r="R20" s="26" t="n">
        <v>0</v>
      </c>
      <c r="S20" s="29" t="n">
        <v>1.25</v>
      </c>
      <c r="T20" s="24" t="inlineStr">
        <is>
          <t>lol-tiered-elo-v5</t>
        </is>
      </c>
      <c r="U20" s="24" t="inlineStr">
        <is>
          <t>settled</t>
        </is>
      </c>
      <c r="V20" s="24" t="inlineStr">
        <is>
          <t>win</t>
        </is>
      </c>
      <c r="W20" s="26" t="n">
        <v>1</v>
      </c>
      <c r="X20" s="26" t="n">
        <v>0</v>
      </c>
      <c r="Y20" s="25" t="n"/>
      <c r="Z20" s="26" t="n">
        <v>-186</v>
      </c>
      <c r="AA20" s="28" t="n">
        <v>0.65</v>
      </c>
      <c r="AB20" s="28" t="n">
        <v>-0.00035</v>
      </c>
      <c r="AC20" s="30" t="n">
        <v>0.672</v>
      </c>
      <c r="AD20" s="24" t="inlineStr">
        <is>
          <t>2026-08-02T23:13:21.369953Z</t>
        </is>
      </c>
      <c r="AE20" s="31" t="inlineStr">
        <is>
          <t>Neutral Elo baseline; executable ask 0.6500 (market_slug=aec-lol-fnc-mkoi-2026-08-02).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NO_CALL_LOW_EDGE</t>
        </is>
      </c>
      <c r="AP20" s="24" t="inlineStr">
        <is>
          <t>Movistar KOI</t>
        </is>
      </c>
      <c r="AQ20" s="24" t="inlineStr">
        <is>
          <t>Movistar KOI</t>
        </is>
      </c>
      <c r="AR20" s="24" t="inlineStr">
        <is>
          <t>Movistar KOI</t>
        </is>
      </c>
      <c r="AS20" s="24" t="inlineStr">
        <is>
          <t>Fnatic</t>
        </is>
      </c>
      <c r="AT20" s="24" t="inlineStr">
        <is>
          <t>Fnatic</t>
        </is>
      </c>
      <c r="AU20" s="24" t="inlineStr">
        <is>
          <t>Fnatic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7a524d830547b62f7f9c941aadbdf0fc52dbd67b16b701b974612cc0a7507dd8</t>
        </is>
      </c>
      <c r="BB20" s="24" t="inlineStr">
        <is>
          <t>neutral_elo</t>
        </is>
      </c>
      <c r="BC20" s="24" t="inlineStr">
        <is>
          <t>lol-tiered-elo-v5</t>
        </is>
      </c>
      <c r="BD20" s="24" t="inlineStr">
        <is>
          <t>7a524d830547b62f7f9c941aadbdf0fc52dbd67b16b701b974612cc0a7507dd8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lol-tiered-elo-v5</t>
        </is>
      </c>
      <c r="BH20" s="24" t="inlineStr">
        <is>
          <t>2026-08-02T16:53:02.304568Z</t>
        </is>
      </c>
      <c r="BI20" s="24" t="inlineStr">
        <is>
          <t>["same_event","same_team_same_day","same_league_same_day"]</t>
        </is>
      </c>
      <c r="BJ20" s="25" t="n"/>
      <c r="BK20" s="26" t="n">
        <v>-186</v>
      </c>
      <c r="BL20" s="27" t="n">
        <v>1.537634</v>
      </c>
      <c r="BM20" s="28" t="n">
        <v>0.65035</v>
      </c>
      <c r="BN20" s="28" t="n"/>
      <c r="BO20" s="28" t="n"/>
      <c r="BP20" s="25" t="n"/>
      <c r="BQ20" s="27" t="n">
        <v>1.537634</v>
      </c>
      <c r="BR20" s="28" t="n">
        <v>0.65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False</t>
        </is>
      </c>
    </row>
    <row r="21" ht="36" customHeight="1">
      <c r="A21" s="24" t="inlineStr">
        <is>
          <t>ec894d2a1ca74d47</t>
        </is>
      </c>
      <c r="B21" s="24" t="inlineStr">
        <is>
          <t>2026-08-03T06:30:34.654651Z</t>
        </is>
      </c>
      <c r="C21" s="24" t="inlineStr">
        <is>
          <t>2026-08-03T08:00:00Z</t>
        </is>
      </c>
      <c r="D21" s="24" t="inlineStr">
        <is>
          <t>67491</t>
        </is>
      </c>
      <c r="E21" s="24" t="inlineStr">
        <is>
          <t>LOL</t>
        </is>
      </c>
      <c r="F21" s="24" t="inlineStr">
        <is>
          <t>Hanwha Life Esports</t>
        </is>
      </c>
      <c r="G21" s="24" t="inlineStr">
        <is>
          <t>Gen.G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-113</v>
      </c>
      <c r="M21" s="27" t="n">
        <v>1.884956</v>
      </c>
      <c r="N21" s="28" t="n">
        <v>0.530516</v>
      </c>
      <c r="O21" s="28" t="n">
        <v>0.536423</v>
      </c>
      <c r="P21" s="28" t="n"/>
      <c r="Q21" s="28" t="n">
        <v>0.005907</v>
      </c>
      <c r="R21" s="26" t="n">
        <v>23</v>
      </c>
      <c r="S21" s="29" t="n">
        <v>1</v>
      </c>
      <c r="T21" s="24" t="inlineStr">
        <is>
          <t>lol-tiered-elo-v5</t>
        </is>
      </c>
      <c r="U21" s="24" t="inlineStr">
        <is>
          <t>settled</t>
        </is>
      </c>
      <c r="V21" s="24" t="inlineStr">
        <is>
          <t>win</t>
        </is>
      </c>
      <c r="W21" s="26" t="n">
        <v>1</v>
      </c>
      <c r="X21" s="26" t="n">
        <v>0</v>
      </c>
      <c r="Y21" s="25" t="n"/>
      <c r="Z21" s="26" t="n">
        <v>-113</v>
      </c>
      <c r="AA21" s="28" t="n">
        <v>0.53</v>
      </c>
      <c r="AB21" s="28" t="n">
        <v>-0.000516</v>
      </c>
      <c r="AC21" s="30" t="n">
        <v>0.885</v>
      </c>
      <c r="AD21" s="24" t="inlineStr">
        <is>
          <t>2026-08-03T10:06:50.751709Z</t>
        </is>
      </c>
      <c r="AE21" s="31" t="inlineStr">
        <is>
          <t>Neutral Elo baseline; executable ask 0.5300 (market_slug=aec-lol-gen-hle-2026-08-03).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NO_CALL_LOW_EDGE</t>
        </is>
      </c>
      <c r="AP21" s="24" t="inlineStr">
        <is>
          <t>Hanwha Life Esports</t>
        </is>
      </c>
      <c r="AQ21" s="24" t="inlineStr">
        <is>
          <t>Hanwha Life Esports</t>
        </is>
      </c>
      <c r="AR21" s="24" t="inlineStr">
        <is>
          <t>Hanwha Life Esports</t>
        </is>
      </c>
      <c r="AS21" s="24" t="inlineStr">
        <is>
          <t>Gen.G</t>
        </is>
      </c>
      <c r="AT21" s="24" t="inlineStr">
        <is>
          <t>Gen.G</t>
        </is>
      </c>
      <c r="AU21" s="24" t="inlineStr">
        <is>
          <t>Gen.G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ff2b770f59073a39e60976cbc1ae4f05ce9c0ac0477f1609e756119cbdd7431b</t>
        </is>
      </c>
      <c r="BB21" s="24" t="inlineStr">
        <is>
          <t>neutral_elo</t>
        </is>
      </c>
      <c r="BC21" s="24" t="inlineStr">
        <is>
          <t>lol-tiered-elo-v5</t>
        </is>
      </c>
      <c r="BD21" s="24" t="inlineStr">
        <is>
          <t>ff2b770f59073a39e60976cbc1ae4f05ce9c0ac0477f1609e756119cbdd7431b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lol-tiered-elo-v5</t>
        </is>
      </c>
      <c r="BH21" s="24" t="inlineStr">
        <is>
          <t>2026-08-03T06:30:12.139868Z</t>
        </is>
      </c>
      <c r="BI21" s="24" t="inlineStr">
        <is>
          <t>["same_event","same_team_same_day","same_league_same_day"]</t>
        </is>
      </c>
      <c r="BJ21" s="25" t="n"/>
      <c r="BK21" s="26" t="n">
        <v>-113</v>
      </c>
      <c r="BL21" s="27" t="n">
        <v>1.884956</v>
      </c>
      <c r="BM21" s="28" t="n">
        <v>0.530516</v>
      </c>
      <c r="BN21" s="28" t="n"/>
      <c r="BO21" s="28" t="n"/>
      <c r="BP21" s="25" t="n"/>
      <c r="BQ21" s="27" t="n">
        <v>1.884956</v>
      </c>
      <c r="BR21" s="28" t="n">
        <v>0.53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</row>
    <row r="22" ht="36" customHeight="1">
      <c r="A22" s="24" t="inlineStr">
        <is>
          <t>189c180a73404fa7</t>
        </is>
      </c>
      <c r="B22" s="24" t="inlineStr">
        <is>
          <t>2026-08-03T06:30:34.654651Z</t>
        </is>
      </c>
      <c r="C22" s="24" t="inlineStr">
        <is>
          <t>2026-08-03T10:00:00Z</t>
        </is>
      </c>
      <c r="D22" s="24" t="inlineStr">
        <is>
          <t>67511</t>
        </is>
      </c>
      <c r="E22" s="24" t="inlineStr">
        <is>
          <t>LOL</t>
        </is>
      </c>
      <c r="F22" s="24" t="inlineStr">
        <is>
          <t>Dplus KIA Challengers</t>
        </is>
      </c>
      <c r="G22" s="24" t="inlineStr">
        <is>
          <t>DN SOOPers Challengers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-170</v>
      </c>
      <c r="M22" s="27" t="n">
        <v>1.588235</v>
      </c>
      <c r="N22" s="28" t="n">
        <v>0.62963</v>
      </c>
      <c r="O22" s="28" t="n">
        <v>0.703892</v>
      </c>
      <c r="P22" s="28" t="n"/>
      <c r="Q22" s="28" t="n">
        <v>0.07426199999999999</v>
      </c>
      <c r="R22" s="26" t="n">
        <v>57</v>
      </c>
      <c r="S22" s="29" t="n">
        <v>2</v>
      </c>
      <c r="T22" s="24" t="inlineStr">
        <is>
          <t>lol-tiered-elo-v5</t>
        </is>
      </c>
      <c r="U22" s="24" t="inlineStr">
        <is>
          <t>settled</t>
        </is>
      </c>
      <c r="V22" s="24" t="inlineStr">
        <is>
          <t>loss</t>
        </is>
      </c>
      <c r="W22" s="26" t="n">
        <v>0</v>
      </c>
      <c r="X22" s="26" t="n">
        <v>1</v>
      </c>
      <c r="Y22" s="25" t="n"/>
      <c r="Z22" s="26" t="n">
        <v>-170</v>
      </c>
      <c r="AA22" s="28" t="n">
        <v>0.63</v>
      </c>
      <c r="AB22" s="28" t="n">
        <v>0.00037</v>
      </c>
      <c r="AC22" s="30" t="n">
        <v>-2</v>
      </c>
      <c r="AD22" s="24" t="inlineStr">
        <is>
          <t>2026-08-03T13:27:30.699600Z</t>
        </is>
      </c>
      <c r="AE22" s="31" t="inlineStr">
        <is>
          <t>Neutral Elo baseline; executable ask 0.6300 (market_slug=aec-lol-dnsc-dkc-2026-08-03).</t>
        </is>
      </c>
      <c r="AF22" s="31" t="inlineStr">
        <is>
          <t>Config-promoted esports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Dplus KIA Challengers</t>
        </is>
      </c>
      <c r="AQ22" s="24" t="inlineStr">
        <is>
          <t>Dplus KIA Challengers</t>
        </is>
      </c>
      <c r="AR22" s="24" t="inlineStr">
        <is>
          <t>Dplus KIA Challengers</t>
        </is>
      </c>
      <c r="AS22" s="24" t="inlineStr">
        <is>
          <t>DN SOOPers Challengers</t>
        </is>
      </c>
      <c r="AT22" s="24" t="inlineStr">
        <is>
          <t>DN SOOPers Challengers</t>
        </is>
      </c>
      <c r="AU22" s="24" t="inlineStr">
        <is>
          <t>DN SOOPers Challengers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ff2b770f59073a39e60976cbc1ae4f05ce9c0ac0477f1609e756119cbdd7431b</t>
        </is>
      </c>
      <c r="BB22" s="24" t="inlineStr">
        <is>
          <t>neutral_elo</t>
        </is>
      </c>
      <c r="BC22" s="24" t="inlineStr">
        <is>
          <t>lol-tiered-elo-v5</t>
        </is>
      </c>
      <c r="BD22" s="24" t="inlineStr">
        <is>
          <t>ff2b770f59073a39e60976cbc1ae4f05ce9c0ac0477f1609e756119cbdd7431b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lol-tiered-elo-v5</t>
        </is>
      </c>
      <c r="BH22" s="24" t="inlineStr">
        <is>
          <t>2026-08-03T06:30:13.245481Z</t>
        </is>
      </c>
      <c r="BI22" s="24" t="inlineStr">
        <is>
          <t>["same_event","same_team_same_day","same_league_same_day"]</t>
        </is>
      </c>
      <c r="BJ22" s="25" t="n"/>
      <c r="BK22" s="26" t="n">
        <v>-170</v>
      </c>
      <c r="BL22" s="27" t="n">
        <v>1.588235</v>
      </c>
      <c r="BM22" s="28" t="n">
        <v>0.62963</v>
      </c>
      <c r="BN22" s="28" t="n"/>
      <c r="BO22" s="28" t="n"/>
      <c r="BP22" s="25" t="n"/>
      <c r="BQ22" s="27" t="n">
        <v>1.588235</v>
      </c>
      <c r="BR22" s="28" t="n">
        <v>0.63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</row>
    <row r="23" ht="36" customHeight="1">
      <c r="A23" s="24" t="inlineStr">
        <is>
          <t>48604a24f80c46ae</t>
        </is>
      </c>
      <c r="B23" s="24" t="inlineStr">
        <is>
          <t>2026-08-03T13:30:58.881408Z</t>
        </is>
      </c>
      <c r="C23" s="24" t="inlineStr">
        <is>
          <t>2026-08-03T15:00:00Z</t>
        </is>
      </c>
      <c r="D23" s="24" t="inlineStr">
        <is>
          <t>67566</t>
        </is>
      </c>
      <c r="E23" s="24" t="inlineStr">
        <is>
          <t>LOL</t>
        </is>
      </c>
      <c r="F23" s="24" t="inlineStr">
        <is>
          <t>Shifters</t>
        </is>
      </c>
      <c r="G23" s="24" t="inlineStr">
        <is>
          <t>Natus Vincere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-223</v>
      </c>
      <c r="M23" s="27" t="n">
        <v>1.44843</v>
      </c>
      <c r="N23" s="28" t="n">
        <v>0.690402</v>
      </c>
      <c r="O23" s="28" t="n">
        <v>0.745478</v>
      </c>
      <c r="P23" s="28" t="n"/>
      <c r="Q23" s="28" t="n">
        <v>0.055076</v>
      </c>
      <c r="R23" s="26" t="n">
        <v>48</v>
      </c>
      <c r="S23" s="29" t="n">
        <v>2</v>
      </c>
      <c r="T23" s="24" t="inlineStr">
        <is>
          <t>lol-tiered-elo-v5</t>
        </is>
      </c>
      <c r="U23" s="24" t="inlineStr">
        <is>
          <t>settled</t>
        </is>
      </c>
      <c r="V23" s="24" t="inlineStr">
        <is>
          <t>win</t>
        </is>
      </c>
      <c r="W23" s="26" t="n">
        <v>0</v>
      </c>
      <c r="X23" s="26" t="n">
        <v>1</v>
      </c>
      <c r="Y23" s="25" t="n"/>
      <c r="Z23" s="26" t="n">
        <v>-223</v>
      </c>
      <c r="AA23" s="28" t="n">
        <v>0.6899999999999999</v>
      </c>
      <c r="AB23" s="28" t="n">
        <v>-0.000402</v>
      </c>
      <c r="AC23" s="30" t="n">
        <v>0.8969</v>
      </c>
      <c r="AD23" s="24" t="inlineStr">
        <is>
          <t>2026-08-03T17:05:58.041180Z</t>
        </is>
      </c>
      <c r="AE23" s="31" t="inlineStr">
        <is>
          <t>Neutral Elo baseline; executable ask 0.6900 (market_slug=aec-lol-navi-shft-2026-08-03).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Shifters</t>
        </is>
      </c>
      <c r="AQ23" s="24" t="inlineStr">
        <is>
          <t>Shifters</t>
        </is>
      </c>
      <c r="AR23" s="24" t="inlineStr">
        <is>
          <t>Shifters</t>
        </is>
      </c>
      <c r="AS23" s="24" t="inlineStr">
        <is>
          <t>Natus Vincere</t>
        </is>
      </c>
      <c r="AT23" s="24" t="inlineStr">
        <is>
          <t>Natus Vincere</t>
        </is>
      </c>
      <c r="AU23" s="24" t="inlineStr">
        <is>
          <t>Natus Vincere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8e100718c38982e9b6a67d6c835251aad775fa6c0f7d64cbcae66021f2cd7f9c</t>
        </is>
      </c>
      <c r="BB23" s="24" t="inlineStr">
        <is>
          <t>neutral_elo</t>
        </is>
      </c>
      <c r="BC23" s="24" t="inlineStr">
        <is>
          <t>lol-tiered-elo-v5</t>
        </is>
      </c>
      <c r="BD23" s="24" t="inlineStr">
        <is>
          <t>8e100718c38982e9b6a67d6c835251aad775fa6c0f7d64cbcae66021f2cd7f9c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lol-tiered-elo-v5</t>
        </is>
      </c>
      <c r="BH23" s="24" t="inlineStr">
        <is>
          <t>2026-08-03T13:30:33.645010Z</t>
        </is>
      </c>
      <c r="BI23" s="24" t="inlineStr">
        <is>
          <t>["same_event","same_team_same_day","same_league_same_day"]</t>
        </is>
      </c>
      <c r="BJ23" s="25" t="n"/>
      <c r="BK23" s="26" t="n">
        <v>-223</v>
      </c>
      <c r="BL23" s="27" t="n">
        <v>1.44843</v>
      </c>
      <c r="BM23" s="28" t="n">
        <v>0.690402</v>
      </c>
      <c r="BN23" s="28" t="n"/>
      <c r="BO23" s="28" t="n"/>
      <c r="BP23" s="25" t="n"/>
      <c r="BQ23" s="27" t="n">
        <v>1.44843</v>
      </c>
      <c r="BR23" s="28" t="n">
        <v>0.6899999999999999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</row>
    <row r="24" ht="36" customHeight="1">
      <c r="A24" s="24" t="inlineStr">
        <is>
          <t>041c950aba214cca</t>
        </is>
      </c>
      <c r="B24" s="24" t="inlineStr">
        <is>
          <t>2026-08-03T17:09:03.086605Z</t>
        </is>
      </c>
      <c r="C24" s="24" t="inlineStr">
        <is>
          <t>2026-08-03T18:00:00Z</t>
        </is>
      </c>
      <c r="D24" s="24" t="inlineStr">
        <is>
          <t>67655</t>
        </is>
      </c>
      <c r="E24" s="24" t="inlineStr">
        <is>
          <t>LOL</t>
        </is>
      </c>
      <c r="F24" s="24" t="inlineStr">
        <is>
          <t>Lundqvist Lightside</t>
        </is>
      </c>
      <c r="G24" s="24" t="inlineStr">
        <is>
          <t>LEO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-203</v>
      </c>
      <c r="M24" s="27" t="n">
        <v>1.492611</v>
      </c>
      <c r="N24" s="28" t="n">
        <v>0.669967</v>
      </c>
      <c r="O24" s="28" t="n">
        <v>0.617946</v>
      </c>
      <c r="P24" s="28" t="n"/>
      <c r="Q24" s="28" t="n">
        <v>-0.052021</v>
      </c>
      <c r="R24" s="26" t="n">
        <v>0</v>
      </c>
      <c r="S24" s="29" t="n">
        <v>1.5</v>
      </c>
      <c r="T24" s="24" t="inlineStr">
        <is>
          <t>lol-tiered-elo-v5</t>
        </is>
      </c>
      <c r="U24" s="24" t="inlineStr">
        <is>
          <t>settled</t>
        </is>
      </c>
      <c r="V24" s="24" t="inlineStr">
        <is>
          <t>loss</t>
        </is>
      </c>
      <c r="W24" s="26" t="n">
        <v>1</v>
      </c>
      <c r="X24" s="26" t="n">
        <v>0</v>
      </c>
      <c r="Y24" s="25" t="n"/>
      <c r="Z24" s="26" t="n">
        <v>-203</v>
      </c>
      <c r="AA24" s="28" t="n">
        <v>0.67</v>
      </c>
      <c r="AB24" s="28" t="n">
        <v>3.3e-05</v>
      </c>
      <c r="AC24" s="30" t="n">
        <v>-1.5</v>
      </c>
      <c r="AD24" s="24" t="inlineStr">
        <is>
          <t>2026-08-03T22:55:40.163072Z</t>
        </is>
      </c>
      <c r="AE24" s="31" t="inlineStr">
        <is>
          <t>Neutral Elo baseline; executable ask 0.6700 (market_slug=aec-lol-leo-ll-2026-08-03).</t>
        </is>
      </c>
      <c r="AF24" s="31" t="inlineStr">
        <is>
          <t>Config-promoted esports baseline; gates enforced at log time.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NO_CALL_LOW_EDGE</t>
        </is>
      </c>
      <c r="AP24" s="24" t="inlineStr">
        <is>
          <t>Lundqvist Lightside</t>
        </is>
      </c>
      <c r="AQ24" s="24" t="inlineStr">
        <is>
          <t>Lundqvist Lightside</t>
        </is>
      </c>
      <c r="AR24" s="24" t="inlineStr">
        <is>
          <t>Lundqvist Lightside</t>
        </is>
      </c>
      <c r="AS24" s="24" t="inlineStr">
        <is>
          <t>LEO</t>
        </is>
      </c>
      <c r="AT24" s="24" t="inlineStr">
        <is>
          <t>LEO</t>
        </is>
      </c>
      <c r="AU24" s="24" t="inlineStr">
        <is>
          <t>LEO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efcbb93ea7594fbafcf9325219d1c95ecb0ddde1698943dd2007a07a55350fa4</t>
        </is>
      </c>
      <c r="BB24" s="24" t="inlineStr">
        <is>
          <t>neutral_elo</t>
        </is>
      </c>
      <c r="BC24" s="24" t="inlineStr">
        <is>
          <t>lol-tiered-elo-v5</t>
        </is>
      </c>
      <c r="BD24" s="24" t="inlineStr">
        <is>
          <t>efcbb93ea7594fbafcf9325219d1c95ecb0ddde1698943dd2007a07a55350fa4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lol-tiered-elo-v5</t>
        </is>
      </c>
      <c r="BH24" s="24" t="inlineStr">
        <is>
          <t>2026-08-03T17:08:42.741673Z</t>
        </is>
      </c>
      <c r="BI24" s="24" t="inlineStr">
        <is>
          <t>["same_event","same_team_same_day","same_league_same_day"]</t>
        </is>
      </c>
      <c r="BJ24" s="25" t="n"/>
      <c r="BK24" s="26" t="n">
        <v>-203</v>
      </c>
      <c r="BL24" s="27" t="n">
        <v>1.492611</v>
      </c>
      <c r="BM24" s="28" t="n">
        <v>0.669967</v>
      </c>
      <c r="BN24" s="28" t="n"/>
      <c r="BO24" s="28" t="n"/>
      <c r="BP24" s="25" t="n"/>
      <c r="BQ24" s="27" t="n">
        <v>1.492611</v>
      </c>
      <c r="BR24" s="28" t="n">
        <v>0.67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False</t>
        </is>
      </c>
    </row>
    <row r="25" ht="36" customHeight="1">
      <c r="A25" s="24" t="inlineStr">
        <is>
          <t>809bba47d823450b</t>
        </is>
      </c>
      <c r="B25" s="24" t="inlineStr">
        <is>
          <t>2026-08-03T17:09:03.086605Z</t>
        </is>
      </c>
      <c r="C25" s="24" t="inlineStr">
        <is>
          <t>2026-08-03T19:00:00Z</t>
        </is>
      </c>
      <c r="D25" s="24" t="inlineStr">
        <is>
          <t>63451</t>
        </is>
      </c>
      <c r="E25" s="24" t="inlineStr">
        <is>
          <t>LOL</t>
        </is>
      </c>
      <c r="F25" s="24" t="inlineStr">
        <is>
          <t>Vivo Keyd Stars Academy</t>
        </is>
      </c>
      <c r="G25" s="24" t="inlineStr">
        <is>
          <t>Team Solid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-223</v>
      </c>
      <c r="M25" s="27" t="n">
        <v>1.44843</v>
      </c>
      <c r="N25" s="28" t="n">
        <v>0.690402</v>
      </c>
      <c r="O25" s="28" t="n">
        <v>0.727674</v>
      </c>
      <c r="P25" s="28" t="n"/>
      <c r="Q25" s="28" t="n">
        <v>0.037272</v>
      </c>
      <c r="R25" s="26" t="n">
        <v>39</v>
      </c>
      <c r="S25" s="29" t="n">
        <v>2</v>
      </c>
      <c r="T25" s="24" t="inlineStr">
        <is>
          <t>lol-tiered-elo-v5</t>
        </is>
      </c>
      <c r="U25" s="24" t="inlineStr">
        <is>
          <t>settled</t>
        </is>
      </c>
      <c r="V25" s="24" t="inlineStr">
        <is>
          <t>loss</t>
        </is>
      </c>
      <c r="W25" s="26" t="n">
        <v>0</v>
      </c>
      <c r="X25" s="26" t="n">
        <v>1</v>
      </c>
      <c r="Y25" s="25" t="n"/>
      <c r="Z25" s="26" t="n">
        <v>-223</v>
      </c>
      <c r="AA25" s="28" t="n">
        <v>0.6899999999999999</v>
      </c>
      <c r="AB25" s="28" t="n">
        <v>-0.000402</v>
      </c>
      <c r="AC25" s="30" t="n">
        <v>-2</v>
      </c>
      <c r="AD25" s="24" t="inlineStr">
        <is>
          <t>2026-08-03T19:52:08.258946Z</t>
        </is>
      </c>
      <c r="AE25" s="31" t="inlineStr">
        <is>
          <t>Neutral Elo baseline; executable ask 0.6900 (market_slug=aec-lol-tse-vksa-2026-07-30).</t>
        </is>
      </c>
      <c r="AF25" s="31" t="inlineStr">
        <is>
          <t>Config-promoted esports baseline; gates enforced at log time.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Vivo Keyd Stars Academy</t>
        </is>
      </c>
      <c r="AQ25" s="24" t="inlineStr">
        <is>
          <t>Vivo Keyd Stars Academy</t>
        </is>
      </c>
      <c r="AR25" s="24" t="inlineStr">
        <is>
          <t>Vivo Keyd Stars Academy</t>
        </is>
      </c>
      <c r="AS25" s="24" t="inlineStr">
        <is>
          <t>Team Solid</t>
        </is>
      </c>
      <c r="AT25" s="24" t="inlineStr">
        <is>
          <t>Team Solid</t>
        </is>
      </c>
      <c r="AU25" s="24" t="inlineStr">
        <is>
          <t>Team Solid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efcbb93ea7594fbafcf9325219d1c95ecb0ddde1698943dd2007a07a55350fa4</t>
        </is>
      </c>
      <c r="BB25" s="24" t="inlineStr">
        <is>
          <t>neutral_elo</t>
        </is>
      </c>
      <c r="BC25" s="24" t="inlineStr">
        <is>
          <t>lol-tiered-elo-v5</t>
        </is>
      </c>
      <c r="BD25" s="24" t="inlineStr">
        <is>
          <t>efcbb93ea7594fbafcf9325219d1c95ecb0ddde1698943dd2007a07a55350fa4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lol-tiered-elo-v5</t>
        </is>
      </c>
      <c r="BH25" s="24" t="inlineStr">
        <is>
          <t>2026-08-03T17:08:43.723243Z</t>
        </is>
      </c>
      <c r="BI25" s="24" t="inlineStr">
        <is>
          <t>["same_event","same_team_same_day","same_league_same_day"]</t>
        </is>
      </c>
      <c r="BJ25" s="25" t="n"/>
      <c r="BK25" s="26" t="n">
        <v>-223</v>
      </c>
      <c r="BL25" s="27" t="n">
        <v>1.44843</v>
      </c>
      <c r="BM25" s="28" t="n">
        <v>0.690402</v>
      </c>
      <c r="BN25" s="28" t="n"/>
      <c r="BO25" s="28" t="n"/>
      <c r="BP25" s="25" t="n"/>
      <c r="BQ25" s="27" t="n">
        <v>1.44843</v>
      </c>
      <c r="BR25" s="28" t="n">
        <v>0.6899999999999999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</row>
    <row r="26" ht="36" customHeight="1">
      <c r="A26" s="24" t="inlineStr">
        <is>
          <t>f63ed8330d2b456d</t>
        </is>
      </c>
      <c r="B26" s="24" t="inlineStr">
        <is>
          <t>2026-08-03T19:55:05.099553Z</t>
        </is>
      </c>
      <c r="C26" s="24" t="inlineStr">
        <is>
          <t>2026-08-03T20:00:00Z</t>
        </is>
      </c>
      <c r="D26" s="24" t="inlineStr">
        <is>
          <t>67937</t>
        </is>
      </c>
      <c r="E26" s="24" t="inlineStr">
        <is>
          <t>LOL</t>
        </is>
      </c>
      <c r="F26" s="24" t="inlineStr">
        <is>
          <t>Docta Esports</t>
        </is>
      </c>
      <c r="G26" s="24" t="inlineStr">
        <is>
          <t>Volticons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-233</v>
      </c>
      <c r="M26" s="27" t="n">
        <v>1.429185</v>
      </c>
      <c r="N26" s="28" t="n">
        <v>0.6997</v>
      </c>
      <c r="O26" s="28" t="n">
        <v>0.648218</v>
      </c>
      <c r="P26" s="28" t="n"/>
      <c r="Q26" s="28" t="n">
        <v>-0.051482</v>
      </c>
      <c r="R26" s="26" t="n">
        <v>0</v>
      </c>
      <c r="S26" s="29" t="n">
        <v>1.75</v>
      </c>
      <c r="T26" s="24" t="inlineStr">
        <is>
          <t>lol-tiered-elo-v5</t>
        </is>
      </c>
      <c r="U26" s="24" t="inlineStr">
        <is>
          <t>settled</t>
        </is>
      </c>
      <c r="V26" s="24" t="inlineStr">
        <is>
          <t>loss</t>
        </is>
      </c>
      <c r="W26" s="26" t="n">
        <v>1</v>
      </c>
      <c r="X26" s="26" t="n">
        <v>0</v>
      </c>
      <c r="Y26" s="25" t="n"/>
      <c r="Z26" s="26" t="n">
        <v>-233</v>
      </c>
      <c r="AA26" s="28" t="n">
        <v>0.7</v>
      </c>
      <c r="AB26" s="28" t="n">
        <v>0.0003</v>
      </c>
      <c r="AC26" s="30" t="n">
        <v>-1.75</v>
      </c>
      <c r="AD26" s="24" t="inlineStr">
        <is>
          <t>2026-08-04T01:58:52.039236Z</t>
        </is>
      </c>
      <c r="AE26" s="31" t="inlineStr">
        <is>
          <t>Neutral Elo baseline; executable ask 0.7000 (market_slug=aec-lol-vtc-doh-2026-08-03).</t>
        </is>
      </c>
      <c r="AF26" s="31" t="inlineStr">
        <is>
          <t>Config-promoted esports baseline; gates enforced at log time.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NO_CALL_LOW_EDGE</t>
        </is>
      </c>
      <c r="AP26" s="24" t="inlineStr">
        <is>
          <t>Docta Esports</t>
        </is>
      </c>
      <c r="AQ26" s="24" t="inlineStr">
        <is>
          <t>Docta Esports</t>
        </is>
      </c>
      <c r="AR26" s="24" t="inlineStr">
        <is>
          <t>Docta Esports</t>
        </is>
      </c>
      <c r="AS26" s="24" t="inlineStr">
        <is>
          <t>Volticons</t>
        </is>
      </c>
      <c r="AT26" s="24" t="inlineStr">
        <is>
          <t>Volticons</t>
        </is>
      </c>
      <c r="AU26" s="24" t="inlineStr">
        <is>
          <t>Volticons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9ed3b7c0f543c614a78fccecbb0979eec8778e51fbb9fd911e0de01bc829c3f7</t>
        </is>
      </c>
      <c r="BB26" s="24" t="inlineStr">
        <is>
          <t>neutral_elo</t>
        </is>
      </c>
      <c r="BC26" s="24" t="inlineStr">
        <is>
          <t>lol-tiered-elo-v5</t>
        </is>
      </c>
      <c r="BD26" s="24" t="inlineStr">
        <is>
          <t>9ed3b7c0f543c614a78fccecbb0979eec8778e51fbb9fd911e0de01bc829c3f7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lol-tiered-elo-v5</t>
        </is>
      </c>
      <c r="BH26" s="24" t="inlineStr">
        <is>
          <t>2026-08-03T19:54:45.717086Z</t>
        </is>
      </c>
      <c r="BI26" s="24" t="inlineStr">
        <is>
          <t>["same_event","same_team_same_day","same_league_same_day"]</t>
        </is>
      </c>
      <c r="BJ26" s="25" t="n"/>
      <c r="BK26" s="26" t="n">
        <v>-233</v>
      </c>
      <c r="BL26" s="27" t="n">
        <v>1.429185</v>
      </c>
      <c r="BM26" s="28" t="n">
        <v>0.6997</v>
      </c>
      <c r="BN26" s="28" t="n"/>
      <c r="BO26" s="28" t="n"/>
      <c r="BP26" s="25" t="n"/>
      <c r="BQ26" s="27" t="n">
        <v>1.429185</v>
      </c>
      <c r="BR26" s="28" t="n">
        <v>0.7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False</t>
        </is>
      </c>
    </row>
    <row r="27" ht="36" customHeight="1">
      <c r="A27" s="24" t="inlineStr">
        <is>
          <t>4f3d9aa6fc9b4d2c</t>
        </is>
      </c>
      <c r="B27" s="24" t="inlineStr">
        <is>
          <t>2026-08-03T19:55:05.099553Z</t>
        </is>
      </c>
      <c r="C27" s="24" t="inlineStr">
        <is>
          <t>2026-08-03T20:00:00Z</t>
        </is>
      </c>
      <c r="D27" s="24" t="inlineStr">
        <is>
          <t>67938</t>
        </is>
      </c>
      <c r="E27" s="24" t="inlineStr">
        <is>
          <t>LOL</t>
        </is>
      </c>
      <c r="F27" s="24" t="inlineStr">
        <is>
          <t>Ei Nerd Esports</t>
        </is>
      </c>
      <c r="G27" s="24" t="inlineStr">
        <is>
          <t>RMD Gaming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-233</v>
      </c>
      <c r="M27" s="27" t="n">
        <v>1.429185</v>
      </c>
      <c r="N27" s="28" t="n">
        <v>0.6997</v>
      </c>
      <c r="O27" s="28" t="n">
        <v>0.623328</v>
      </c>
      <c r="P27" s="28" t="n"/>
      <c r="Q27" s="28" t="n">
        <v>-0.076372</v>
      </c>
      <c r="R27" s="26" t="n">
        <v>0</v>
      </c>
      <c r="S27" s="29" t="n">
        <v>1.5</v>
      </c>
      <c r="T27" s="24" t="inlineStr">
        <is>
          <t>lol-tiered-elo-v5</t>
        </is>
      </c>
      <c r="U27" s="24" t="inlineStr">
        <is>
          <t>settled</t>
        </is>
      </c>
      <c r="V27" s="24" t="inlineStr">
        <is>
          <t>loss</t>
        </is>
      </c>
      <c r="W27" s="26" t="n">
        <v>0</v>
      </c>
      <c r="X27" s="26" t="n">
        <v>1</v>
      </c>
      <c r="Y27" s="25" t="n"/>
      <c r="Z27" s="26" t="n">
        <v>-233</v>
      </c>
      <c r="AA27" s="28" t="n">
        <v>0.7</v>
      </c>
      <c r="AB27" s="28" t="n">
        <v>0.0003</v>
      </c>
      <c r="AC27" s="30" t="n">
        <v>-1.5</v>
      </c>
      <c r="AD27" s="24" t="inlineStr">
        <is>
          <t>2026-08-03T22:55:42.656458Z</t>
        </is>
      </c>
      <c r="AE27" s="31" t="inlineStr">
        <is>
          <t>Neutral Elo baseline; executable ask 0.7000 (market_slug=aec-lol-rmd-nerd-2026-08-03).</t>
        </is>
      </c>
      <c r="AF27" s="31" t="inlineStr">
        <is>
          <t>Config-promoted esports baseline; gates enforced at log time.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NO_CALL_LOW_EDGE</t>
        </is>
      </c>
      <c r="AP27" s="24" t="inlineStr">
        <is>
          <t>Ei Nerd Esports</t>
        </is>
      </c>
      <c r="AQ27" s="24" t="inlineStr">
        <is>
          <t>Ei Nerd Esports</t>
        </is>
      </c>
      <c r="AR27" s="24" t="inlineStr">
        <is>
          <t>Ei Nerd Esports</t>
        </is>
      </c>
      <c r="AS27" s="24" t="inlineStr">
        <is>
          <t>RMD Gaming</t>
        </is>
      </c>
      <c r="AT27" s="24" t="inlineStr">
        <is>
          <t>RMD Gaming</t>
        </is>
      </c>
      <c r="AU27" s="24" t="inlineStr">
        <is>
          <t>RMD Gaming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9ed3b7c0f543c614a78fccecbb0979eec8778e51fbb9fd911e0de01bc829c3f7</t>
        </is>
      </c>
      <c r="BB27" s="24" t="inlineStr">
        <is>
          <t>neutral_elo</t>
        </is>
      </c>
      <c r="BC27" s="24" t="inlineStr">
        <is>
          <t>lol-tiered-elo-v5</t>
        </is>
      </c>
      <c r="BD27" s="24" t="inlineStr">
        <is>
          <t>9ed3b7c0f543c614a78fccecbb0979eec8778e51fbb9fd911e0de01bc829c3f7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lol-tiered-elo-v5</t>
        </is>
      </c>
      <c r="BH27" s="24" t="inlineStr">
        <is>
          <t>2026-08-03T19:54:46.201689Z</t>
        </is>
      </c>
      <c r="BI27" s="24" t="inlineStr">
        <is>
          <t>["same_event","same_team_same_day","same_league_same_day"]</t>
        </is>
      </c>
      <c r="BJ27" s="25" t="n"/>
      <c r="BK27" s="26" t="n">
        <v>-233</v>
      </c>
      <c r="BL27" s="27" t="n">
        <v>1.429185</v>
      </c>
      <c r="BM27" s="28" t="n">
        <v>0.6997</v>
      </c>
      <c r="BN27" s="28" t="n"/>
      <c r="BO27" s="28" t="n"/>
      <c r="BP27" s="25" t="n"/>
      <c r="BQ27" s="27" t="n">
        <v>1.429185</v>
      </c>
      <c r="BR27" s="28" t="n">
        <v>0.7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False</t>
        </is>
      </c>
    </row>
    <row r="28" ht="36" customHeight="1">
      <c r="A28" s="24" t="inlineStr">
        <is>
          <t>a7f139b165184216</t>
        </is>
      </c>
      <c r="B28" s="24" t="inlineStr">
        <is>
          <t>2026-08-03T19:55:05.099553Z</t>
        </is>
      </c>
      <c r="C28" s="24" t="inlineStr">
        <is>
          <t>2026-08-03T22:00:00Z</t>
        </is>
      </c>
      <c r="D28" s="24" t="inlineStr">
        <is>
          <t>68011</t>
        </is>
      </c>
      <c r="E28" s="24" t="inlineStr">
        <is>
          <t>LOL</t>
        </is>
      </c>
      <c r="F28" s="24" t="inlineStr">
        <is>
          <t>Vivo Keyd Stars Academy</t>
        </is>
      </c>
      <c r="G28" s="24" t="inlineStr">
        <is>
          <t>paiN Gaming Academy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113</v>
      </c>
      <c r="M28" s="27" t="n">
        <v>2.13</v>
      </c>
      <c r="N28" s="28" t="n">
        <v>0.469484</v>
      </c>
      <c r="O28" s="28" t="n">
        <v>0.53706</v>
      </c>
      <c r="P28" s="28" t="n"/>
      <c r="Q28" s="28" t="n">
        <v>0.067576</v>
      </c>
      <c r="R28" s="26" t="n">
        <v>54</v>
      </c>
      <c r="S28" s="29" t="n">
        <v>1</v>
      </c>
      <c r="T28" s="24" t="inlineStr">
        <is>
          <t>lol-tiered-elo-v5</t>
        </is>
      </c>
      <c r="U28" s="24" t="inlineStr">
        <is>
          <t>settled</t>
        </is>
      </c>
      <c r="V28" s="24" t="inlineStr">
        <is>
          <t>win</t>
        </is>
      </c>
      <c r="W28" s="26" t="n">
        <v>0</v>
      </c>
      <c r="X28" s="26" t="n">
        <v>1</v>
      </c>
      <c r="Y28" s="25" t="n"/>
      <c r="Z28" s="26" t="n">
        <v>113</v>
      </c>
      <c r="AA28" s="28" t="n">
        <v>0.47</v>
      </c>
      <c r="AB28" s="28" t="n">
        <v>0.000516</v>
      </c>
      <c r="AC28" s="30" t="n">
        <v>1.13</v>
      </c>
      <c r="AD28" s="24" t="inlineStr">
        <is>
          <t>2026-08-03T22:55:44.139370Z</t>
        </is>
      </c>
      <c r="AE28" s="31" t="inlineStr">
        <is>
          <t>Neutral Elo baseline; executable ask 0.4700 (market_slug=aec-lol-pnga-vksa-2026-08-03).</t>
        </is>
      </c>
      <c r="AF28" s="31" t="inlineStr">
        <is>
          <t>Config-promoted esports baseline; gates enforced at log time.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NO_CALL_LOW_EDGE</t>
        </is>
      </c>
      <c r="AP28" s="24" t="inlineStr">
        <is>
          <t>Vivo Keyd Stars Academy</t>
        </is>
      </c>
      <c r="AQ28" s="24" t="inlineStr">
        <is>
          <t>Vivo Keyd Stars Academy</t>
        </is>
      </c>
      <c r="AR28" s="24" t="inlineStr">
        <is>
          <t>Vivo Keyd Stars Academy</t>
        </is>
      </c>
      <c r="AS28" s="24" t="inlineStr">
        <is>
          <t>paiN Gaming Academy</t>
        </is>
      </c>
      <c r="AT28" s="24" t="inlineStr">
        <is>
          <t>paiN Gaming Academy</t>
        </is>
      </c>
      <c r="AU28" s="24" t="inlineStr">
        <is>
          <t>paiN Gaming Academy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9ed3b7c0f543c614a78fccecbb0979eec8778e51fbb9fd911e0de01bc829c3f7</t>
        </is>
      </c>
      <c r="BB28" s="24" t="inlineStr">
        <is>
          <t>neutral_elo</t>
        </is>
      </c>
      <c r="BC28" s="24" t="inlineStr">
        <is>
          <t>lol-tiered-elo-v5</t>
        </is>
      </c>
      <c r="BD28" s="24" t="inlineStr">
        <is>
          <t>9ed3b7c0f543c614a78fccecbb0979eec8778e51fbb9fd911e0de01bc829c3f7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lol-tiered-elo-v5</t>
        </is>
      </c>
      <c r="BH28" s="24" t="inlineStr">
        <is>
          <t>2026-08-03T19:54:47.216198Z</t>
        </is>
      </c>
      <c r="BI28" s="24" t="inlineStr">
        <is>
          <t>["same_event","same_team_same_day","same_league_same_day"]</t>
        </is>
      </c>
      <c r="BJ28" s="25" t="n"/>
      <c r="BK28" s="26" t="n">
        <v>113</v>
      </c>
      <c r="BL28" s="27" t="n">
        <v>2.13</v>
      </c>
      <c r="BM28" s="28" t="n">
        <v>0.469484</v>
      </c>
      <c r="BN28" s="28" t="n"/>
      <c r="BO28" s="28" t="n"/>
      <c r="BP28" s="25" t="n"/>
      <c r="BQ28" s="27" t="n">
        <v>2.13</v>
      </c>
      <c r="BR28" s="28" t="n">
        <v>0.47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</row>
    <row r="29" ht="36" customHeight="1">
      <c r="A29" s="24" t="inlineStr">
        <is>
          <t>e164be4d60ab48f6</t>
        </is>
      </c>
      <c r="B29" s="24" t="inlineStr">
        <is>
          <t>2026-08-04T05:18:58.736816Z</t>
        </is>
      </c>
      <c r="C29" s="24" t="inlineStr">
        <is>
          <t>2026-08-04T06:00:00Z</t>
        </is>
      </c>
      <c r="D29" s="24" t="inlineStr">
        <is>
          <t>70669</t>
        </is>
      </c>
      <c r="E29" s="24" t="inlineStr">
        <is>
          <t>LOL</t>
        </is>
      </c>
      <c r="F29" s="24" t="inlineStr">
        <is>
          <t>Hanwha Life Esports</t>
        </is>
      </c>
      <c r="G29" s="24" t="inlineStr">
        <is>
          <t>T1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-117</v>
      </c>
      <c r="M29" s="27" t="n">
        <v>1.854701</v>
      </c>
      <c r="N29" s="28" t="n">
        <v>0.539171</v>
      </c>
      <c r="O29" s="28" t="n">
        <v>0.530268</v>
      </c>
      <c r="P29" s="28" t="n"/>
      <c r="Q29" s="28" t="n">
        <v>-0.008902999999999999</v>
      </c>
      <c r="R29" s="26" t="n">
        <v>16</v>
      </c>
      <c r="S29" s="29" t="n">
        <v>1</v>
      </c>
      <c r="T29" s="24" t="inlineStr">
        <is>
          <t>lol-tiered-elo-v5</t>
        </is>
      </c>
      <c r="U29" s="24" t="inlineStr">
        <is>
          <t>settled</t>
        </is>
      </c>
      <c r="V29" s="24" t="inlineStr">
        <is>
          <t>loss</t>
        </is>
      </c>
      <c r="W29" s="26" t="n">
        <v>0</v>
      </c>
      <c r="X29" s="26" t="n">
        <v>1</v>
      </c>
      <c r="Y29" s="25" t="n"/>
      <c r="Z29" s="26" t="n">
        <v>-117</v>
      </c>
      <c r="AA29" s="28" t="n">
        <v>0.54</v>
      </c>
      <c r="AB29" s="28" t="n">
        <v>0.000829</v>
      </c>
      <c r="AC29" s="30" t="n">
        <v>-1</v>
      </c>
      <c r="AD29" s="24" t="inlineStr">
        <is>
          <t>2026-08-04T11:58:03.728171Z</t>
        </is>
      </c>
      <c r="AE29" s="31" t="inlineStr">
        <is>
          <t>Neutral Elo baseline; executable ask 0.5400 (market_slug=aec-lol-t1-hle-2026-08-04).</t>
        </is>
      </c>
      <c r="AF29" s="31" t="inlineStr">
        <is>
          <t>Config-promoted esports baseline; gates enforced at log time.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NO_CALL_LOW_EDGE</t>
        </is>
      </c>
      <c r="AP29" s="24" t="inlineStr">
        <is>
          <t>Hanwha Life Esports</t>
        </is>
      </c>
      <c r="AQ29" s="24" t="inlineStr">
        <is>
          <t>Hanwha Life Esports</t>
        </is>
      </c>
      <c r="AR29" s="24" t="inlineStr">
        <is>
          <t>Hanwha Life Esports</t>
        </is>
      </c>
      <c r="AS29" s="24" t="inlineStr">
        <is>
          <t>T1</t>
        </is>
      </c>
      <c r="AT29" s="24" t="inlineStr">
        <is>
          <t>T1</t>
        </is>
      </c>
      <c r="AU29" s="24" t="inlineStr">
        <is>
          <t>T1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3cad1698285ce067945fffa86d78b132eab6a11da046a54b1a9513fa3414e5e2</t>
        </is>
      </c>
      <c r="BB29" s="24" t="inlineStr">
        <is>
          <t>neutral_elo</t>
        </is>
      </c>
      <c r="BC29" s="24" t="inlineStr">
        <is>
          <t>lol-tiered-elo-v5</t>
        </is>
      </c>
      <c r="BD29" s="24" t="inlineStr">
        <is>
          <t>3cad1698285ce067945fffa86d78b132eab6a11da046a54b1a9513fa3414e5e2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lol-tiered-elo-v5</t>
        </is>
      </c>
      <c r="BH29" s="24" t="inlineStr">
        <is>
          <t>2026-08-04T05:18:18.693939Z</t>
        </is>
      </c>
      <c r="BI29" s="24" t="inlineStr">
        <is>
          <t>["same_event","same_team_same_day","same_league_same_day"]</t>
        </is>
      </c>
      <c r="BJ29" s="25" t="n"/>
      <c r="BK29" s="26" t="n">
        <v>-117</v>
      </c>
      <c r="BL29" s="27" t="n">
        <v>1.854701</v>
      </c>
      <c r="BM29" s="28" t="n">
        <v>0.539171</v>
      </c>
      <c r="BN29" s="28" t="n"/>
      <c r="BO29" s="28" t="n"/>
      <c r="BP29" s="25" t="n"/>
      <c r="BQ29" s="27" t="n">
        <v>1.854701</v>
      </c>
      <c r="BR29" s="28" t="n">
        <v>0.54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False</t>
        </is>
      </c>
    </row>
    <row r="30" ht="36" customHeight="1">
      <c r="A30" s="24" t="inlineStr">
        <is>
          <t>543dd0d72d1946a9</t>
        </is>
      </c>
      <c r="B30" s="24" t="inlineStr">
        <is>
          <t>2026-08-04T08:56:56.469660Z</t>
        </is>
      </c>
      <c r="C30" s="24" t="inlineStr">
        <is>
          <t>2026-08-04T10:00:00Z</t>
        </is>
      </c>
      <c r="D30" s="24" t="inlineStr">
        <is>
          <t>68284</t>
        </is>
      </c>
      <c r="E30" s="24" t="inlineStr">
        <is>
          <t>LOL</t>
        </is>
      </c>
      <c r="F30" s="24" t="inlineStr">
        <is>
          <t>KT Rolster Challengers</t>
        </is>
      </c>
      <c r="G30" s="24" t="inlineStr">
        <is>
          <t>T1 Academy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-223</v>
      </c>
      <c r="M30" s="27" t="n">
        <v>1.44843</v>
      </c>
      <c r="N30" s="28" t="n">
        <v>0.690402</v>
      </c>
      <c r="O30" s="28" t="n">
        <v>0.613874</v>
      </c>
      <c r="P30" s="28" t="n"/>
      <c r="Q30" s="28" t="n">
        <v>-0.076528</v>
      </c>
      <c r="R30" s="26" t="n">
        <v>0</v>
      </c>
      <c r="S30" s="29" t="n">
        <v>1.5</v>
      </c>
      <c r="T30" s="24" t="inlineStr">
        <is>
          <t>lol-tiered-elo-v5</t>
        </is>
      </c>
      <c r="U30" s="24" t="inlineStr">
        <is>
          <t>settled</t>
        </is>
      </c>
      <c r="V30" s="24" t="inlineStr">
        <is>
          <t>win</t>
        </is>
      </c>
      <c r="W30" s="26" t="n">
        <v>0</v>
      </c>
      <c r="X30" s="26" t="n">
        <v>1</v>
      </c>
      <c r="Y30" s="25" t="n"/>
      <c r="Z30" s="26" t="n">
        <v>-223</v>
      </c>
      <c r="AA30" s="28" t="n">
        <v>0.6899999999999999</v>
      </c>
      <c r="AB30" s="28" t="n">
        <v>-0.000402</v>
      </c>
      <c r="AC30" s="30" t="n">
        <v>0.6726</v>
      </c>
      <c r="AD30" s="24" t="inlineStr">
        <is>
          <t>2026-08-04T14:03:37.106120Z</t>
        </is>
      </c>
      <c r="AE30" s="31" t="inlineStr">
        <is>
          <t>Neutral Elo baseline; executable ask 0.6900 (market_slug=aec-lol-t1a-ktc-2026-08-04).</t>
        </is>
      </c>
      <c r="AF30" s="31" t="inlineStr">
        <is>
          <t>Config-promoted esports baseline; gates enforced at log time.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NO_CALL_LOW_EDGE</t>
        </is>
      </c>
      <c r="AP30" s="24" t="inlineStr">
        <is>
          <t>KT Rolster Challengers</t>
        </is>
      </c>
      <c r="AQ30" s="24" t="inlineStr">
        <is>
          <t>KT Rolster Challengers</t>
        </is>
      </c>
      <c r="AR30" s="24" t="inlineStr">
        <is>
          <t>KT Rolster Challengers</t>
        </is>
      </c>
      <c r="AS30" s="24" t="inlineStr">
        <is>
          <t>T1 Academy</t>
        </is>
      </c>
      <c r="AT30" s="24" t="inlineStr">
        <is>
          <t>T1 Academy</t>
        </is>
      </c>
      <c r="AU30" s="24" t="inlineStr">
        <is>
          <t>T1 Academy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2aef9ef293099f7e3d21d8b6a25daad858c9b2bc1905102110b3b5d06e41ccd8</t>
        </is>
      </c>
      <c r="BB30" s="24" t="inlineStr">
        <is>
          <t>neutral_elo</t>
        </is>
      </c>
      <c r="BC30" s="24" t="inlineStr">
        <is>
          <t>lol-tiered-elo-v5</t>
        </is>
      </c>
      <c r="BD30" s="24" t="inlineStr">
        <is>
          <t>2aef9ef293099f7e3d21d8b6a25daad858c9b2bc1905102110b3b5d06e41ccd8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lol-tiered-elo-v5</t>
        </is>
      </c>
      <c r="BH30" s="24" t="inlineStr">
        <is>
          <t>2026-08-04T08:56:22.321845Z</t>
        </is>
      </c>
      <c r="BI30" s="24" t="inlineStr">
        <is>
          <t>["same_event","same_team_same_day","same_league_same_day"]</t>
        </is>
      </c>
      <c r="BJ30" s="25" t="n"/>
      <c r="BK30" s="26" t="n">
        <v>-223</v>
      </c>
      <c r="BL30" s="27" t="n">
        <v>1.44843</v>
      </c>
      <c r="BM30" s="28" t="n">
        <v>0.690402</v>
      </c>
      <c r="BN30" s="28" t="n"/>
      <c r="BO30" s="28" t="n"/>
      <c r="BP30" s="25" t="n"/>
      <c r="BQ30" s="27" t="n">
        <v>1.44843</v>
      </c>
      <c r="BR30" s="28" t="n">
        <v>0.6899999999999999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False</t>
        </is>
      </c>
    </row>
    <row r="31" ht="36" customHeight="1">
      <c r="A31" s="24" t="inlineStr">
        <is>
          <t>d945818735054c3c</t>
        </is>
      </c>
      <c r="B31" s="24" t="inlineStr">
        <is>
          <t>2026-08-04T08:56:56.469660Z</t>
        </is>
      </c>
      <c r="C31" s="24" t="inlineStr">
        <is>
          <t>2026-08-04T10:30:00Z</t>
        </is>
      </c>
      <c r="D31" s="24" t="inlineStr">
        <is>
          <t>68295</t>
        </is>
      </c>
      <c r="E31" s="24" t="inlineStr">
        <is>
          <t>LOL</t>
        </is>
      </c>
      <c r="F31" s="24" t="inlineStr">
        <is>
          <t>Kiwoom DRX</t>
        </is>
      </c>
      <c r="G31" s="24" t="inlineStr">
        <is>
          <t>HANJIN BRION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-170</v>
      </c>
      <c r="M31" s="27" t="n">
        <v>1.588235</v>
      </c>
      <c r="N31" s="28" t="n">
        <v>0.62963</v>
      </c>
      <c r="O31" s="28" t="n">
        <v>0.578292</v>
      </c>
      <c r="P31" s="28" t="n"/>
      <c r="Q31" s="28" t="n">
        <v>-0.051338</v>
      </c>
      <c r="R31" s="26" t="n">
        <v>0</v>
      </c>
      <c r="S31" s="29" t="n">
        <v>1.25</v>
      </c>
      <c r="T31" s="24" t="inlineStr">
        <is>
          <t>lol-tiered-elo-v5</t>
        </is>
      </c>
      <c r="U31" s="24" t="inlineStr">
        <is>
          <t>settled</t>
        </is>
      </c>
      <c r="V31" s="24" t="inlineStr">
        <is>
          <t>win</t>
        </is>
      </c>
      <c r="W31" s="26" t="n">
        <v>1</v>
      </c>
      <c r="X31" s="26" t="n">
        <v>0</v>
      </c>
      <c r="Y31" s="25" t="n"/>
      <c r="Z31" s="26" t="n">
        <v>-170</v>
      </c>
      <c r="AA31" s="28" t="n">
        <v>0.63</v>
      </c>
      <c r="AB31" s="28" t="n">
        <v>0.00037</v>
      </c>
      <c r="AC31" s="30" t="n">
        <v>0.7353</v>
      </c>
      <c r="AD31" s="24" t="inlineStr">
        <is>
          <t>2026-08-04T14:03:38.702339Z</t>
        </is>
      </c>
      <c r="AE31" s="31" t="inlineStr">
        <is>
          <t>Neutral Elo baseline; executable ask 0.6300 (market_slug=aec-lol-bro-krx-2026-08-04).</t>
        </is>
      </c>
      <c r="AF31" s="31" t="inlineStr">
        <is>
          <t>Config-promoted esports baseline; gates enforced at log time.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NO_CALL_LOW_EDGE</t>
        </is>
      </c>
      <c r="AP31" s="24" t="inlineStr">
        <is>
          <t>Kiwoom DRX</t>
        </is>
      </c>
      <c r="AQ31" s="24" t="inlineStr">
        <is>
          <t>Kiwoom DRX</t>
        </is>
      </c>
      <c r="AR31" s="24" t="inlineStr">
        <is>
          <t>Kiwoom DRX</t>
        </is>
      </c>
      <c r="AS31" s="24" t="inlineStr">
        <is>
          <t>HANJIN BRION</t>
        </is>
      </c>
      <c r="AT31" s="24" t="inlineStr">
        <is>
          <t>HANJIN BRION</t>
        </is>
      </c>
      <c r="AU31" s="24" t="inlineStr">
        <is>
          <t>HANJIN BRION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2aef9ef293099f7e3d21d8b6a25daad858c9b2bc1905102110b3b5d06e41ccd8</t>
        </is>
      </c>
      <c r="BB31" s="24" t="inlineStr">
        <is>
          <t>neutral_elo</t>
        </is>
      </c>
      <c r="BC31" s="24" t="inlineStr">
        <is>
          <t>lol-tiered-elo-v5</t>
        </is>
      </c>
      <c r="BD31" s="24" t="inlineStr">
        <is>
          <t>2aef9ef293099f7e3d21d8b6a25daad858c9b2bc1905102110b3b5d06e41ccd8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lol-tiered-elo-v5</t>
        </is>
      </c>
      <c r="BH31" s="24" t="inlineStr">
        <is>
          <t>2026-08-04T08:56:22.857906Z</t>
        </is>
      </c>
      <c r="BI31" s="24" t="inlineStr">
        <is>
          <t>["same_event","same_team_same_day","same_league_same_day"]</t>
        </is>
      </c>
      <c r="BJ31" s="25" t="n"/>
      <c r="BK31" s="26" t="n">
        <v>-170</v>
      </c>
      <c r="BL31" s="27" t="n">
        <v>1.588235</v>
      </c>
      <c r="BM31" s="28" t="n">
        <v>0.62963</v>
      </c>
      <c r="BN31" s="28" t="n"/>
      <c r="BO31" s="28" t="n"/>
      <c r="BP31" s="25" t="n"/>
      <c r="BQ31" s="27" t="n">
        <v>1.588235</v>
      </c>
      <c r="BR31" s="28" t="n">
        <v>0.63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False</t>
        </is>
      </c>
    </row>
    <row r="32" ht="36" customHeight="1">
      <c r="A32" s="24" t="inlineStr">
        <is>
          <t>4c360ccf92304cd4</t>
        </is>
      </c>
      <c r="B32" s="24" t="inlineStr">
        <is>
          <t>2026-08-04T15:04:56.339784Z</t>
        </is>
      </c>
      <c r="C32" s="24" t="inlineStr">
        <is>
          <t>2026-08-04T16:00:00Z</t>
        </is>
      </c>
      <c r="D32" s="24" t="inlineStr">
        <is>
          <t>68509</t>
        </is>
      </c>
      <c r="E32" s="24" t="inlineStr">
        <is>
          <t>LOL</t>
        </is>
      </c>
      <c r="F32" s="24" t="inlineStr">
        <is>
          <t>Skillcamp Esport</t>
        </is>
      </c>
      <c r="G32" s="24" t="inlineStr">
        <is>
          <t>Ici Japon Corp. Esport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-138</v>
      </c>
      <c r="M32" s="27" t="n">
        <v>1.724638</v>
      </c>
      <c r="N32" s="28" t="n">
        <v>0.579832</v>
      </c>
      <c r="O32" s="28" t="n">
        <v>0.631258</v>
      </c>
      <c r="P32" s="28" t="n"/>
      <c r="Q32" s="28" t="n">
        <v>0.051426</v>
      </c>
      <c r="R32" s="26" t="n">
        <v>46</v>
      </c>
      <c r="S32" s="29" t="n">
        <v>1.5</v>
      </c>
      <c r="T32" s="24" t="inlineStr">
        <is>
          <t>lol-tiered-elo-v5</t>
        </is>
      </c>
      <c r="U32" s="24" t="inlineStr">
        <is>
          <t>settled</t>
        </is>
      </c>
      <c r="V32" s="24" t="inlineStr">
        <is>
          <t>loss</t>
        </is>
      </c>
      <c r="W32" s="26" t="n">
        <v>1</v>
      </c>
      <c r="X32" s="26" t="n">
        <v>0</v>
      </c>
      <c r="Y32" s="25" t="n"/>
      <c r="Z32" s="26" t="n">
        <v>-138</v>
      </c>
      <c r="AA32" s="28" t="n">
        <v>0.58</v>
      </c>
      <c r="AB32" s="28" t="n">
        <v>0.000168</v>
      </c>
      <c r="AC32" s="30" t="n">
        <v>-1.5</v>
      </c>
      <c r="AD32" s="24" t="inlineStr">
        <is>
          <t>2026-08-04T18:04:33.404399Z</t>
        </is>
      </c>
      <c r="AE32" s="31" t="inlineStr">
        <is>
          <t>Neutral Elo baseline; executable ask 0.5800 (market_slug=aec-lol-ijc-sc-2026-08-04).</t>
        </is>
      </c>
      <c r="AF32" s="31" t="inlineStr">
        <is>
          <t>Config-promoted esports baseline; gates enforced at log time.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Skillcamp Esport</t>
        </is>
      </c>
      <c r="AQ32" s="24" t="inlineStr">
        <is>
          <t>Skillcamp Esport</t>
        </is>
      </c>
      <c r="AR32" s="24" t="inlineStr">
        <is>
          <t>Skillcamp Esport</t>
        </is>
      </c>
      <c r="AS32" s="24" t="inlineStr">
        <is>
          <t>Ici Japon Corp. Esport</t>
        </is>
      </c>
      <c r="AT32" s="24" t="inlineStr">
        <is>
          <t>Ici Japon Corp. Esport</t>
        </is>
      </c>
      <c r="AU32" s="24" t="inlineStr">
        <is>
          <t>Ici Japon Corp. Esport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70926375efdbac84dce8c51337c5a10529e7ee005d64ab556a8536dd0bdf8d2f</t>
        </is>
      </c>
      <c r="BB32" s="24" t="inlineStr">
        <is>
          <t>neutral_elo</t>
        </is>
      </c>
      <c r="BC32" s="24" t="inlineStr">
        <is>
          <t>lol-tiered-elo-v5</t>
        </is>
      </c>
      <c r="BD32" s="24" t="inlineStr">
        <is>
          <t>70926375efdbac84dce8c51337c5a10529e7ee005d64ab556a8536dd0bdf8d2f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lol-tiered-elo-v5</t>
        </is>
      </c>
      <c r="BH32" s="24" t="inlineStr">
        <is>
          <t>2026-08-04T15:04:19.459782Z</t>
        </is>
      </c>
      <c r="BI32" s="24" t="inlineStr">
        <is>
          <t>["same_event","same_team_same_day","same_league_same_day"]</t>
        </is>
      </c>
      <c r="BJ32" s="25" t="n"/>
      <c r="BK32" s="26" t="n">
        <v>-138</v>
      </c>
      <c r="BL32" s="27" t="n">
        <v>1.724638</v>
      </c>
      <c r="BM32" s="28" t="n">
        <v>0.579832</v>
      </c>
      <c r="BN32" s="28" t="n"/>
      <c r="BO32" s="28" t="n"/>
      <c r="BP32" s="25" t="n"/>
      <c r="BQ32" s="27" t="n">
        <v>1.724638</v>
      </c>
      <c r="BR32" s="28" t="n">
        <v>0.58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True</t>
        </is>
      </c>
    </row>
    <row r="33" ht="36" customHeight="1">
      <c r="A33" s="24" t="inlineStr">
        <is>
          <t>16e38b0f2055496b</t>
        </is>
      </c>
      <c r="B33" s="24" t="inlineStr">
        <is>
          <t>2026-08-04T16:54:52.896251Z</t>
        </is>
      </c>
      <c r="C33" s="24" t="inlineStr">
        <is>
          <t>2026-08-04T17:00:00Z</t>
        </is>
      </c>
      <c r="D33" s="24" t="inlineStr">
        <is>
          <t>70567</t>
        </is>
      </c>
      <c r="E33" s="24" t="inlineStr">
        <is>
          <t>LOL</t>
        </is>
      </c>
      <c r="F33" s="24" t="inlineStr">
        <is>
          <t>Anonymo Esports</t>
        </is>
      </c>
      <c r="G33" s="24" t="inlineStr">
        <is>
          <t>DOCISK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163</v>
      </c>
      <c r="M33" s="27" t="n">
        <v>2.63</v>
      </c>
      <c r="N33" s="28" t="n">
        <v>0.380228</v>
      </c>
      <c r="O33" s="28" t="n">
        <v>0.522312</v>
      </c>
      <c r="P33" s="28" t="n"/>
      <c r="Q33" s="28" t="n">
        <v>0.142084</v>
      </c>
      <c r="R33" s="26" t="n">
        <v>91</v>
      </c>
      <c r="S33" s="29" t="n">
        <v>1</v>
      </c>
      <c r="T33" s="24" t="inlineStr">
        <is>
          <t>lol-tiered-elo-v6</t>
        </is>
      </c>
      <c r="U33" s="24" t="inlineStr">
        <is>
          <t>settled</t>
        </is>
      </c>
      <c r="V33" s="24" t="inlineStr">
        <is>
          <t>loss</t>
        </is>
      </c>
      <c r="W33" s="26" t="n">
        <v>1</v>
      </c>
      <c r="X33" s="26" t="n">
        <v>0</v>
      </c>
      <c r="Y33" s="25" t="n"/>
      <c r="Z33" s="26" t="n">
        <v>163</v>
      </c>
      <c r="AA33" s="28" t="n">
        <v>0.38</v>
      </c>
      <c r="AB33" s="28" t="n">
        <v>-0.000228</v>
      </c>
      <c r="AC33" s="30" t="n">
        <v>-1</v>
      </c>
      <c r="AD33" s="24" t="inlineStr">
        <is>
          <t>2026-08-04T21:59:44.576139Z</t>
        </is>
      </c>
      <c r="AE33" s="31" t="inlineStr">
        <is>
          <t>Neutral Elo baseline; executable ask 0.3800 (market_slug=aec-lol-doc-ae-2026-08-04).</t>
        </is>
      </c>
      <c r="AF33" s="31" t="inlineStr">
        <is>
          <t>Config-promoted esports baseline; gates enforced at log time.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NO_CALL_LOW_EDGE</t>
        </is>
      </c>
      <c r="AP33" s="24" t="inlineStr">
        <is>
          <t>Anonymo Esports</t>
        </is>
      </c>
      <c r="AQ33" s="24" t="inlineStr">
        <is>
          <t>Anonymo Esports</t>
        </is>
      </c>
      <c r="AR33" s="24" t="inlineStr">
        <is>
          <t>Anonymo Esports</t>
        </is>
      </c>
      <c r="AS33" s="24" t="inlineStr">
        <is>
          <t>DOCISK</t>
        </is>
      </c>
      <c r="AT33" s="24" t="inlineStr">
        <is>
          <t>DOCISK</t>
        </is>
      </c>
      <c r="AU33" s="24" t="inlineStr">
        <is>
          <t>DOCISK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5bcf4e232e6e233164ffd78633a5487d986e0433e7ea70b93f7ff1c53933694d</t>
        </is>
      </c>
      <c r="BB33" s="24" t="inlineStr">
        <is>
          <t>neutral_elo</t>
        </is>
      </c>
      <c r="BC33" s="24" t="inlineStr">
        <is>
          <t>lol-tiered-elo-v6</t>
        </is>
      </c>
      <c r="BD33" s="24" t="inlineStr">
        <is>
          <t>5bcf4e232e6e233164ffd78633a5487d986e0433e7ea70b93f7ff1c53933694d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lol-tiered-elo-v6</t>
        </is>
      </c>
      <c r="BH33" s="24" t="inlineStr">
        <is>
          <t>2026-08-04T16:54:15.758258Z</t>
        </is>
      </c>
      <c r="BI33" s="24" t="inlineStr">
        <is>
          <t>["same_event","same_team_same_day","same_league_same_day"]</t>
        </is>
      </c>
      <c r="BJ33" s="25" t="n"/>
      <c r="BK33" s="26" t="n">
        <v>163</v>
      </c>
      <c r="BL33" s="27" t="n">
        <v>2.63</v>
      </c>
      <c r="BM33" s="28" t="n">
        <v>0.380228</v>
      </c>
      <c r="BN33" s="28" t="n"/>
      <c r="BO33" s="28" t="n"/>
      <c r="BP33" s="25" t="n"/>
      <c r="BQ33" s="27" t="n">
        <v>2.63</v>
      </c>
      <c r="BR33" s="28" t="n">
        <v>0.38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True</t>
        </is>
      </c>
    </row>
    <row r="34" ht="36" customHeight="1">
      <c r="A34" s="24" t="inlineStr">
        <is>
          <t>a7eb426f0acf438c</t>
        </is>
      </c>
      <c r="B34" s="24" t="inlineStr">
        <is>
          <t>2026-08-04T16:54:52.896251Z</t>
        </is>
      </c>
      <c r="C34" s="24" t="inlineStr">
        <is>
          <t>2026-08-04T18:00:00Z</t>
        </is>
      </c>
      <c r="D34" s="24" t="inlineStr">
        <is>
          <t>68690</t>
        </is>
      </c>
      <c r="E34" s="24" t="inlineStr">
        <is>
          <t>LOL</t>
        </is>
      </c>
      <c r="F34" s="24" t="inlineStr">
        <is>
          <t>Lupus Esports</t>
        </is>
      </c>
      <c r="G34" s="24" t="inlineStr">
        <is>
          <t xml:space="preserve">Croatian Flair x RLX 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-117</v>
      </c>
      <c r="M34" s="27" t="n">
        <v>1.854701</v>
      </c>
      <c r="N34" s="28" t="n">
        <v>0.539171</v>
      </c>
      <c r="O34" s="28" t="n">
        <v>0.5257230000000001</v>
      </c>
      <c r="P34" s="28" t="n"/>
      <c r="Q34" s="28" t="n">
        <v>-0.013448</v>
      </c>
      <c r="R34" s="26" t="n">
        <v>13</v>
      </c>
      <c r="S34" s="29" t="n">
        <v>1</v>
      </c>
      <c r="T34" s="24" t="inlineStr">
        <is>
          <t>lol-tiered-elo-v6</t>
        </is>
      </c>
      <c r="U34" s="24" t="inlineStr">
        <is>
          <t>settled</t>
        </is>
      </c>
      <c r="V34" s="24" t="inlineStr">
        <is>
          <t>win</t>
        </is>
      </c>
      <c r="W34" s="26" t="n">
        <v>0</v>
      </c>
      <c r="X34" s="26" t="n">
        <v>1</v>
      </c>
      <c r="Y34" s="25" t="n"/>
      <c r="Z34" s="26" t="n">
        <v>-117</v>
      </c>
      <c r="AA34" s="28" t="n">
        <v>0.54</v>
      </c>
      <c r="AB34" s="28" t="n">
        <v>0.000829</v>
      </c>
      <c r="AC34" s="30" t="n">
        <v>0.8547</v>
      </c>
      <c r="AD34" s="24" t="inlineStr">
        <is>
          <t>2026-08-04T21:59:46.124530Z</t>
        </is>
      </c>
      <c r="AE34" s="31" t="inlineStr">
        <is>
          <t>Neutral Elo baseline; executable ask 0.5400 (market_slug=aec-lol-cfxr-lps-2026-08-04).</t>
        </is>
      </c>
      <c r="AF34" s="31" t="inlineStr">
        <is>
          <t>Config-promoted esports baseline; gates enforced at log time.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NO_CALL_LOW_EDGE</t>
        </is>
      </c>
      <c r="AP34" s="24" t="inlineStr">
        <is>
          <t>Lupus Esports</t>
        </is>
      </c>
      <c r="AQ34" s="24" t="inlineStr">
        <is>
          <t>Lupus Esports</t>
        </is>
      </c>
      <c r="AR34" s="24" t="inlineStr">
        <is>
          <t>Lupus Esports</t>
        </is>
      </c>
      <c r="AS34" s="24" t="inlineStr">
        <is>
          <t xml:space="preserve">Croatian Flair x RLX </t>
        </is>
      </c>
      <c r="AT34" s="24" t="inlineStr">
        <is>
          <t xml:space="preserve">Croatian Flair x RLX </t>
        </is>
      </c>
      <c r="AU34" s="24" t="inlineStr">
        <is>
          <t xml:space="preserve">Croatian Flair x RLX 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5bcf4e232e6e233164ffd78633a5487d986e0433e7ea70b93f7ff1c53933694d</t>
        </is>
      </c>
      <c r="BB34" s="24" t="inlineStr">
        <is>
          <t>neutral_elo</t>
        </is>
      </c>
      <c r="BC34" s="24" t="inlineStr">
        <is>
          <t>lol-tiered-elo-v6</t>
        </is>
      </c>
      <c r="BD34" s="24" t="inlineStr">
        <is>
          <t>5bcf4e232e6e233164ffd78633a5487d986e0433e7ea70b93f7ff1c53933694d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lol-tiered-elo-v6</t>
        </is>
      </c>
      <c r="BH34" s="24" t="inlineStr">
        <is>
          <t>2026-08-04T16:54:17.856775Z</t>
        </is>
      </c>
      <c r="BI34" s="24" t="inlineStr">
        <is>
          <t>["same_event","same_team_same_day","same_league_same_day"]</t>
        </is>
      </c>
      <c r="BJ34" s="25" t="n"/>
      <c r="BK34" s="26" t="n">
        <v>-117</v>
      </c>
      <c r="BL34" s="27" t="n">
        <v>1.854701</v>
      </c>
      <c r="BM34" s="28" t="n">
        <v>0.539171</v>
      </c>
      <c r="BN34" s="28" t="n"/>
      <c r="BO34" s="28" t="n"/>
      <c r="BP34" s="25" t="n"/>
      <c r="BQ34" s="27" t="n">
        <v>1.854701</v>
      </c>
      <c r="BR34" s="28" t="n">
        <v>0.54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False</t>
        </is>
      </c>
    </row>
    <row r="35" ht="36" customHeight="1">
      <c r="A35" s="24" t="inlineStr">
        <is>
          <t>4c2f3fc7bb604d61</t>
        </is>
      </c>
      <c r="B35" s="24" t="inlineStr">
        <is>
          <t>2026-08-04T16:54:52.896251Z</t>
        </is>
      </c>
      <c r="C35" s="24" t="inlineStr">
        <is>
          <t>2026-08-04T18:00:00Z</t>
        </is>
      </c>
      <c r="D35" s="24" t="inlineStr">
        <is>
          <t>68691</t>
        </is>
      </c>
      <c r="E35" s="24" t="inlineStr">
        <is>
          <t>LOL</t>
        </is>
      </c>
      <c r="F35" s="24" t="inlineStr">
        <is>
          <t>ZennIT</t>
        </is>
      </c>
      <c r="G35" s="24" t="inlineStr">
        <is>
          <t>Once Upon A Team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-223</v>
      </c>
      <c r="M35" s="27" t="n">
        <v>1.44843</v>
      </c>
      <c r="N35" s="28" t="n">
        <v>0.690402</v>
      </c>
      <c r="O35" s="28" t="n">
        <v>0.531852</v>
      </c>
      <c r="P35" s="28" t="n"/>
      <c r="Q35" s="28" t="n">
        <v>-0.15855</v>
      </c>
      <c r="R35" s="26" t="n">
        <v>0</v>
      </c>
      <c r="S35" s="29" t="n">
        <v>1</v>
      </c>
      <c r="T35" s="24" t="inlineStr">
        <is>
          <t>lol-tiered-elo-v6</t>
        </is>
      </c>
      <c r="U35" s="24" t="inlineStr">
        <is>
          <t>settled</t>
        </is>
      </c>
      <c r="V35" s="24" t="inlineStr">
        <is>
          <t>win</t>
        </is>
      </c>
      <c r="W35" s="26" t="n">
        <v>1</v>
      </c>
      <c r="X35" s="26" t="n">
        <v>0</v>
      </c>
      <c r="Y35" s="25" t="n"/>
      <c r="Z35" s="26" t="n">
        <v>-223</v>
      </c>
      <c r="AA35" s="28" t="n">
        <v>0.6899999999999999</v>
      </c>
      <c r="AB35" s="28" t="n">
        <v>-0.000402</v>
      </c>
      <c r="AC35" s="30" t="n">
        <v>0.4484</v>
      </c>
      <c r="AD35" s="24" t="inlineStr">
        <is>
          <t>2026-08-04T21:59:47.648454Z</t>
        </is>
      </c>
      <c r="AE35" s="31" t="inlineStr">
        <is>
          <t>Neutral Elo baseline; executable ask 0.6900 (market_slug=aec-lol-ouat-znt-2026-08-04).</t>
        </is>
      </c>
      <c r="AF35" s="31" t="inlineStr">
        <is>
          <t>Config-promoted esports baseline; gates enforced at log time.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NO_CALL_LOW_EDGE</t>
        </is>
      </c>
      <c r="AP35" s="24" t="inlineStr">
        <is>
          <t>ZennIT</t>
        </is>
      </c>
      <c r="AQ35" s="24" t="inlineStr">
        <is>
          <t>ZennIT</t>
        </is>
      </c>
      <c r="AR35" s="24" t="inlineStr">
        <is>
          <t>ZennIT</t>
        </is>
      </c>
      <c r="AS35" s="24" t="inlineStr">
        <is>
          <t>Once Upon A Team</t>
        </is>
      </c>
      <c r="AT35" s="24" t="inlineStr">
        <is>
          <t>Once Upon A Team</t>
        </is>
      </c>
      <c r="AU35" s="24" t="inlineStr">
        <is>
          <t>Once Upon A Team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5bcf4e232e6e233164ffd78633a5487d986e0433e7ea70b93f7ff1c53933694d</t>
        </is>
      </c>
      <c r="BB35" s="24" t="inlineStr">
        <is>
          <t>neutral_elo</t>
        </is>
      </c>
      <c r="BC35" s="24" t="inlineStr">
        <is>
          <t>lol-tiered-elo-v6</t>
        </is>
      </c>
      <c r="BD35" s="24" t="inlineStr">
        <is>
          <t>5bcf4e232e6e233164ffd78633a5487d986e0433e7ea70b93f7ff1c53933694d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lol-tiered-elo-v6</t>
        </is>
      </c>
      <c r="BH35" s="24" t="inlineStr">
        <is>
          <t>2026-08-04T16:54:18.441971Z</t>
        </is>
      </c>
      <c r="BI35" s="24" t="inlineStr">
        <is>
          <t>["same_event","same_team_same_day","same_league_same_day"]</t>
        </is>
      </c>
      <c r="BJ35" s="25" t="n"/>
      <c r="BK35" s="26" t="n">
        <v>-223</v>
      </c>
      <c r="BL35" s="27" t="n">
        <v>1.44843</v>
      </c>
      <c r="BM35" s="28" t="n">
        <v>0.690402</v>
      </c>
      <c r="BN35" s="28" t="n"/>
      <c r="BO35" s="28" t="n"/>
      <c r="BP35" s="25" t="n"/>
      <c r="BQ35" s="27" t="n">
        <v>1.44843</v>
      </c>
      <c r="BR35" s="28" t="n">
        <v>0.6899999999999999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False</t>
        </is>
      </c>
    </row>
    <row r="36" ht="36" customHeight="1">
      <c r="A36" s="24" t="inlineStr">
        <is>
          <t>312fecbe196f42f3</t>
        </is>
      </c>
      <c r="B36" s="24" t="inlineStr">
        <is>
          <t>2026-08-04T16:54:52.896251Z</t>
        </is>
      </c>
      <c r="C36" s="24" t="inlineStr">
        <is>
          <t>2026-08-04T18:00:00Z</t>
        </is>
      </c>
      <c r="D36" s="24" t="inlineStr">
        <is>
          <t>68689</t>
        </is>
      </c>
      <c r="E36" s="24" t="inlineStr">
        <is>
          <t>LOL</t>
        </is>
      </c>
      <c r="F36" s="24" t="inlineStr">
        <is>
          <t>Way Gaming Esports</t>
        </is>
      </c>
      <c r="G36" s="24" t="inlineStr">
        <is>
          <t>Capybara Esports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-194</v>
      </c>
      <c r="M36" s="27" t="n">
        <v>1.515464</v>
      </c>
      <c r="N36" s="28" t="n">
        <v>0.659864</v>
      </c>
      <c r="O36" s="28" t="n">
        <v>0.550211</v>
      </c>
      <c r="P36" s="28" t="n"/>
      <c r="Q36" s="28" t="n">
        <v>-0.109653</v>
      </c>
      <c r="R36" s="26" t="n">
        <v>0</v>
      </c>
      <c r="S36" s="29" t="n">
        <v>1</v>
      </c>
      <c r="T36" s="24" t="inlineStr">
        <is>
          <t>lol-tiered-elo-v6</t>
        </is>
      </c>
      <c r="U36" s="24" t="inlineStr">
        <is>
          <t>settled</t>
        </is>
      </c>
      <c r="V36" s="24" t="inlineStr">
        <is>
          <t>win</t>
        </is>
      </c>
      <c r="W36" s="26" t="n">
        <v>0</v>
      </c>
      <c r="X36" s="26" t="n">
        <v>1</v>
      </c>
      <c r="Y36" s="25" t="n"/>
      <c r="Z36" s="26" t="n">
        <v>-194</v>
      </c>
      <c r="AA36" s="28" t="n">
        <v>0.66</v>
      </c>
      <c r="AB36" s="28" t="n">
        <v>0.000136</v>
      </c>
      <c r="AC36" s="30" t="n">
        <v>0.5155</v>
      </c>
      <c r="AD36" s="24" t="inlineStr">
        <is>
          <t>2026-08-04T21:59:49.170570Z</t>
        </is>
      </c>
      <c r="AE36" s="31" t="inlineStr">
        <is>
          <t>Neutral Elo baseline; executable ask 0.6600 (market_slug=aec-lol-capy-wge-2026-08-04).</t>
        </is>
      </c>
      <c r="AF36" s="31" t="inlineStr">
        <is>
          <t>Config-promoted esports baseline; gates enforced at log time.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NO_CALL_LOW_EDGE</t>
        </is>
      </c>
      <c r="AP36" s="24" t="inlineStr">
        <is>
          <t>Way Gaming Esports</t>
        </is>
      </c>
      <c r="AQ36" s="24" t="inlineStr">
        <is>
          <t>Way Gaming Esports</t>
        </is>
      </c>
      <c r="AR36" s="24" t="inlineStr">
        <is>
          <t>Way Gaming Esports</t>
        </is>
      </c>
      <c r="AS36" s="24" t="inlineStr">
        <is>
          <t>Capybara Esports</t>
        </is>
      </c>
      <c r="AT36" s="24" t="inlineStr">
        <is>
          <t>Capybara Esports</t>
        </is>
      </c>
      <c r="AU36" s="24" t="inlineStr">
        <is>
          <t>Capybara Esports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5bcf4e232e6e233164ffd78633a5487d986e0433e7ea70b93f7ff1c53933694d</t>
        </is>
      </c>
      <c r="BB36" s="24" t="inlineStr">
        <is>
          <t>neutral_elo</t>
        </is>
      </c>
      <c r="BC36" s="24" t="inlineStr">
        <is>
          <t>lol-tiered-elo-v6</t>
        </is>
      </c>
      <c r="BD36" s="24" t="inlineStr">
        <is>
          <t>5bcf4e232e6e233164ffd78633a5487d986e0433e7ea70b93f7ff1c53933694d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lol-tiered-elo-v6</t>
        </is>
      </c>
      <c r="BH36" s="24" t="inlineStr">
        <is>
          <t>2026-08-04T16:54:19.015867Z</t>
        </is>
      </c>
      <c r="BI36" s="24" t="inlineStr">
        <is>
          <t>["same_event","same_team_same_day","same_league_same_day"]</t>
        </is>
      </c>
      <c r="BJ36" s="25" t="n"/>
      <c r="BK36" s="26" t="n">
        <v>-194</v>
      </c>
      <c r="BL36" s="27" t="n">
        <v>1.515464</v>
      </c>
      <c r="BM36" s="28" t="n">
        <v>0.659864</v>
      </c>
      <c r="BN36" s="28" t="n"/>
      <c r="BO36" s="28" t="n"/>
      <c r="BP36" s="25" t="n"/>
      <c r="BQ36" s="27" t="n">
        <v>1.515464</v>
      </c>
      <c r="BR36" s="28" t="n">
        <v>0.66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False</t>
        </is>
      </c>
    </row>
    <row r="37" ht="36" customHeight="1">
      <c r="A37" s="24" t="inlineStr">
        <is>
          <t>b6b9be5e88d64498</t>
        </is>
      </c>
      <c r="B37" s="24" t="inlineStr">
        <is>
          <t>2026-08-04T16:54:52.896251Z</t>
        </is>
      </c>
      <c r="C37" s="24" t="inlineStr">
        <is>
          <t>2026-08-04T18:00:00Z</t>
        </is>
      </c>
      <c r="D37" s="24" t="inlineStr">
        <is>
          <t>68688</t>
        </is>
      </c>
      <c r="E37" s="24" t="inlineStr">
        <is>
          <t>LOL</t>
        </is>
      </c>
      <c r="F37" s="24" t="inlineStr">
        <is>
          <t>Joblife</t>
        </is>
      </c>
      <c r="G37" s="24" t="inlineStr">
        <is>
          <t>ZYB Esport</t>
        </is>
      </c>
      <c r="H37" s="24" t="inlineStr">
        <is>
          <t>moneyline</t>
        </is>
      </c>
      <c r="I37" s="24" t="inlineStr">
        <is>
          <t>away</t>
        </is>
      </c>
      <c r="J37" s="25" t="n"/>
      <c r="K37" s="24" t="inlineStr">
        <is>
          <t>polymarket_us</t>
        </is>
      </c>
      <c r="L37" s="26" t="n">
        <v>-104</v>
      </c>
      <c r="M37" s="27" t="n">
        <v>1.961538</v>
      </c>
      <c r="N37" s="28" t="n">
        <v>0.509804</v>
      </c>
      <c r="O37" s="28" t="n">
        <v>0.530674</v>
      </c>
      <c r="P37" s="28" t="n"/>
      <c r="Q37" s="28" t="n">
        <v>0.02087</v>
      </c>
      <c r="R37" s="26" t="n">
        <v>30</v>
      </c>
      <c r="S37" s="29" t="n">
        <v>1</v>
      </c>
      <c r="T37" s="24" t="inlineStr">
        <is>
          <t>lol-tiered-elo-v6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0</v>
      </c>
      <c r="Y37" s="25" t="n"/>
      <c r="Z37" s="26" t="n">
        <v>-104</v>
      </c>
      <c r="AA37" s="28" t="n">
        <v>0.51</v>
      </c>
      <c r="AB37" s="28" t="n">
        <v>0.000196</v>
      </c>
      <c r="AC37" s="30" t="n">
        <v>0.9615</v>
      </c>
      <c r="AD37" s="24" t="inlineStr">
        <is>
          <t>2026-08-04T21:59:50.731143Z</t>
        </is>
      </c>
      <c r="AE37" s="31" t="inlineStr">
        <is>
          <t>Neutral Elo baseline; executable ask 0.5100 (market_slug=aec-lol-zyb-jl-2026-08-04).</t>
        </is>
      </c>
      <c r="AF37" s="31" t="inlineStr">
        <is>
          <t>Config-promoted esports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Joblife</t>
        </is>
      </c>
      <c r="AQ37" s="24" t="inlineStr">
        <is>
          <t>Joblife</t>
        </is>
      </c>
      <c r="AR37" s="24" t="inlineStr">
        <is>
          <t>Joblife</t>
        </is>
      </c>
      <c r="AS37" s="24" t="inlineStr">
        <is>
          <t>ZYB Esport</t>
        </is>
      </c>
      <c r="AT37" s="24" t="inlineStr">
        <is>
          <t>ZYB Esport</t>
        </is>
      </c>
      <c r="AU37" s="24" t="inlineStr">
        <is>
          <t>ZYB Esport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5bcf4e232e6e233164ffd78633a5487d986e0433e7ea70b93f7ff1c53933694d</t>
        </is>
      </c>
      <c r="BB37" s="24" t="inlineStr">
        <is>
          <t>neutral_elo</t>
        </is>
      </c>
      <c r="BC37" s="24" t="inlineStr">
        <is>
          <t>lol-tiered-elo-v6</t>
        </is>
      </c>
      <c r="BD37" s="24" t="inlineStr">
        <is>
          <t>5bcf4e232e6e233164ffd78633a5487d986e0433e7ea70b93f7ff1c53933694d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lol-tiered-elo-v6</t>
        </is>
      </c>
      <c r="BH37" s="24" t="inlineStr">
        <is>
          <t>2026-08-04T16:54:19.630031Z</t>
        </is>
      </c>
      <c r="BI37" s="24" t="inlineStr">
        <is>
          <t>["same_event","same_team_same_day","same_league_same_day"]</t>
        </is>
      </c>
      <c r="BJ37" s="25" t="n"/>
      <c r="BK37" s="26" t="n">
        <v>-104</v>
      </c>
      <c r="BL37" s="27" t="n">
        <v>1.961538</v>
      </c>
      <c r="BM37" s="28" t="n">
        <v>0.509804</v>
      </c>
      <c r="BN37" s="28" t="n"/>
      <c r="BO37" s="28" t="n"/>
      <c r="BP37" s="25" t="n"/>
      <c r="BQ37" s="27" t="n">
        <v>1.961538</v>
      </c>
      <c r="BR37" s="28" t="n">
        <v>0.51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True</t>
        </is>
      </c>
    </row>
    <row r="38" ht="36" customHeight="1">
      <c r="A38" s="24" t="inlineStr">
        <is>
          <t>3985a2309660461e</t>
        </is>
      </c>
      <c r="B38" s="24" t="inlineStr">
        <is>
          <t>2026-08-04T18:08:50.279200Z</t>
        </is>
      </c>
      <c r="C38" s="24" t="inlineStr">
        <is>
          <t>2026-08-04T20:00:00Z</t>
        </is>
      </c>
      <c r="D38" s="24" t="inlineStr">
        <is>
          <t>69143</t>
        </is>
      </c>
      <c r="E38" s="24" t="inlineStr">
        <is>
          <t>LOL</t>
        </is>
      </c>
      <c r="F38" s="24" t="inlineStr">
        <is>
          <t>Malvinas Gaming</t>
        </is>
      </c>
      <c r="G38" s="24" t="inlineStr">
        <is>
          <t>Maze Gaming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-213</v>
      </c>
      <c r="M38" s="27" t="n">
        <v>1.469484</v>
      </c>
      <c r="N38" s="28" t="n">
        <v>0.680511</v>
      </c>
      <c r="O38" s="28" t="n">
        <v>0.6271600000000001</v>
      </c>
      <c r="P38" s="28" t="n"/>
      <c r="Q38" s="28" t="n">
        <v>-0.053351</v>
      </c>
      <c r="R38" s="26" t="n">
        <v>0</v>
      </c>
      <c r="S38" s="29" t="n">
        <v>1.5</v>
      </c>
      <c r="T38" s="24" t="inlineStr">
        <is>
          <t>lol-tiered-elo-v6</t>
        </is>
      </c>
      <c r="U38" s="24" t="inlineStr">
        <is>
          <t>settled</t>
        </is>
      </c>
      <c r="V38" s="24" t="inlineStr">
        <is>
          <t>win</t>
        </is>
      </c>
      <c r="W38" s="26" t="n">
        <v>0</v>
      </c>
      <c r="X38" s="26" t="n">
        <v>1</v>
      </c>
      <c r="Y38" s="25" t="n"/>
      <c r="Z38" s="26" t="n">
        <v>-213</v>
      </c>
      <c r="AA38" s="28" t="n">
        <v>0.68</v>
      </c>
      <c r="AB38" s="28" t="n">
        <v>-0.000511</v>
      </c>
      <c r="AC38" s="30" t="n">
        <v>0.7042</v>
      </c>
      <c r="AD38" s="24" t="inlineStr">
        <is>
          <t>2026-08-05T01:06:23.548766Z</t>
        </is>
      </c>
      <c r="AE38" s="31" t="inlineStr">
        <is>
          <t>Neutral Elo baseline; executable ask 0.6800 (market_slug=aec-lol-maz-mg-2026-08-04).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NO_CALL_LOW_EDGE</t>
        </is>
      </c>
      <c r="AP38" s="24" t="inlineStr">
        <is>
          <t>Malvinas Gaming</t>
        </is>
      </c>
      <c r="AQ38" s="24" t="inlineStr">
        <is>
          <t>Malvinas Gaming</t>
        </is>
      </c>
      <c r="AR38" s="24" t="inlineStr">
        <is>
          <t>Malvinas Gaming</t>
        </is>
      </c>
      <c r="AS38" s="24" t="inlineStr">
        <is>
          <t>Maze Gaming</t>
        </is>
      </c>
      <c r="AT38" s="24" t="inlineStr">
        <is>
          <t>Maze Gaming</t>
        </is>
      </c>
      <c r="AU38" s="24" t="inlineStr">
        <is>
          <t>Maze Gaming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581bb511aff842f9af01d132a2c739b65878388c9d1d8f1182f28b3c271e9a2c</t>
        </is>
      </c>
      <c r="BB38" s="24" t="inlineStr">
        <is>
          <t>neutral_elo</t>
        </is>
      </c>
      <c r="BC38" s="24" t="inlineStr">
        <is>
          <t>lol-tiered-elo-v6</t>
        </is>
      </c>
      <c r="BD38" s="24" t="inlineStr">
        <is>
          <t>581bb511aff842f9af01d132a2c739b65878388c9d1d8f1182f28b3c271e9a2c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lol-tiered-elo-v6</t>
        </is>
      </c>
      <c r="BH38" s="24" t="inlineStr">
        <is>
          <t>2026-08-04T18:08:13.789004Z</t>
        </is>
      </c>
      <c r="BI38" s="24" t="inlineStr">
        <is>
          <t>["same_event","same_team_same_day","same_league_same_day"]</t>
        </is>
      </c>
      <c r="BJ38" s="25" t="n"/>
      <c r="BK38" s="26" t="n">
        <v>-213</v>
      </c>
      <c r="BL38" s="27" t="n">
        <v>1.469484</v>
      </c>
      <c r="BM38" s="28" t="n">
        <v>0.680511</v>
      </c>
      <c r="BN38" s="28" t="n"/>
      <c r="BO38" s="28" t="n"/>
      <c r="BP38" s="25" t="n"/>
      <c r="BQ38" s="27" t="n">
        <v>1.469484</v>
      </c>
      <c r="BR38" s="28" t="n">
        <v>0.68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False</t>
        </is>
      </c>
    </row>
    <row r="39" ht="36" customHeight="1">
      <c r="A39" s="24" t="inlineStr">
        <is>
          <t>bd39184336f843dd</t>
        </is>
      </c>
      <c r="B39" s="24" t="inlineStr">
        <is>
          <t>2026-08-04T18:08:50.279200Z</t>
        </is>
      </c>
      <c r="C39" s="24" t="inlineStr">
        <is>
          <t>2026-08-04T20:00:00Z</t>
        </is>
      </c>
      <c r="D39" s="24" t="inlineStr">
        <is>
          <t>69144</t>
        </is>
      </c>
      <c r="E39" s="24" t="inlineStr">
        <is>
          <t>LOL</t>
        </is>
      </c>
      <c r="F39" s="24" t="inlineStr">
        <is>
          <t>INTZ e-Sports</t>
        </is>
      </c>
      <c r="G39" s="24" t="inlineStr">
        <is>
          <t>Vivo Keyd Stars Academy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122</v>
      </c>
      <c r="M39" s="27" t="n">
        <v>2.22</v>
      </c>
      <c r="N39" s="28" t="n">
        <v>0.45045</v>
      </c>
      <c r="O39" s="28" t="n">
        <v>0.56541</v>
      </c>
      <c r="P39" s="28" t="n"/>
      <c r="Q39" s="28" t="n">
        <v>0.11496</v>
      </c>
      <c r="R39" s="26" t="n">
        <v>77</v>
      </c>
      <c r="S39" s="29" t="n">
        <v>1</v>
      </c>
      <c r="T39" s="24" t="inlineStr">
        <is>
          <t>lol-tiered-elo-v6</t>
        </is>
      </c>
      <c r="U39" s="24" t="inlineStr">
        <is>
          <t>settled</t>
        </is>
      </c>
      <c r="V39" s="24" t="inlineStr">
        <is>
          <t>loss</t>
        </is>
      </c>
      <c r="W39" s="26" t="n">
        <v>1</v>
      </c>
      <c r="X39" s="26" t="n">
        <v>0</v>
      </c>
      <c r="Y39" s="25" t="n"/>
      <c r="Z39" s="26" t="n">
        <v>122</v>
      </c>
      <c r="AA39" s="28" t="n">
        <v>0.45</v>
      </c>
      <c r="AB39" s="28" t="n">
        <v>-0.00045</v>
      </c>
      <c r="AC39" s="30" t="n">
        <v>-1</v>
      </c>
      <c r="AD39" s="24" t="inlineStr">
        <is>
          <t>2026-08-04T21:59:53.354486Z</t>
        </is>
      </c>
      <c r="AE39" s="31" t="inlineStr">
        <is>
          <t>Neutral Elo baseline; executable ask 0.4500 (market_slug=aec-lol-vksa-itz-2026-08-04).</t>
        </is>
      </c>
      <c r="AF39" s="31" t="inlineStr">
        <is>
          <t>Config-promoted esports baseline; gates enforced at log time.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INTZ e-Sports</t>
        </is>
      </c>
      <c r="AQ39" s="24" t="inlineStr">
        <is>
          <t>INTZ e-Sports</t>
        </is>
      </c>
      <c r="AR39" s="24" t="inlineStr">
        <is>
          <t>INTZ e-Sports</t>
        </is>
      </c>
      <c r="AS39" s="24" t="inlineStr">
        <is>
          <t>Vivo Keyd Stars Academy</t>
        </is>
      </c>
      <c r="AT39" s="24" t="inlineStr">
        <is>
          <t>Vivo Keyd Stars Academy</t>
        </is>
      </c>
      <c r="AU39" s="24" t="inlineStr">
        <is>
          <t>Vivo Keyd Stars Academy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581bb511aff842f9af01d132a2c739b65878388c9d1d8f1182f28b3c271e9a2c</t>
        </is>
      </c>
      <c r="BB39" s="24" t="inlineStr">
        <is>
          <t>neutral_elo</t>
        </is>
      </c>
      <c r="BC39" s="24" t="inlineStr">
        <is>
          <t>lol-tiered-elo-v6</t>
        </is>
      </c>
      <c r="BD39" s="24" t="inlineStr">
        <is>
          <t>581bb511aff842f9af01d132a2c739b65878388c9d1d8f1182f28b3c271e9a2c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lol-tiered-elo-v6</t>
        </is>
      </c>
      <c r="BH39" s="24" t="inlineStr">
        <is>
          <t>2026-08-04T18:08:14.538966Z</t>
        </is>
      </c>
      <c r="BI39" s="24" t="inlineStr">
        <is>
          <t>["same_event","same_team_same_day","same_league_same_day"]</t>
        </is>
      </c>
      <c r="BJ39" s="25" t="n"/>
      <c r="BK39" s="26" t="n">
        <v>122</v>
      </c>
      <c r="BL39" s="27" t="n">
        <v>2.22</v>
      </c>
      <c r="BM39" s="28" t="n">
        <v>0.45045</v>
      </c>
      <c r="BN39" s="28" t="n"/>
      <c r="BO39" s="28" t="n"/>
      <c r="BP39" s="25" t="n"/>
      <c r="BQ39" s="27" t="n">
        <v>2.22</v>
      </c>
      <c r="BR39" s="28" t="n">
        <v>0.45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</row>
    <row r="40" ht="36" customHeight="1">
      <c r="A40" s="24" t="inlineStr">
        <is>
          <t>64fa4023946d4aeb</t>
        </is>
      </c>
      <c r="B40" s="24" t="inlineStr">
        <is>
          <t>2026-08-04T18:08:50.279200Z</t>
        </is>
      </c>
      <c r="C40" s="24" t="inlineStr">
        <is>
          <t>2026-08-04T20:00:00Z</t>
        </is>
      </c>
      <c r="D40" s="24" t="inlineStr">
        <is>
          <t>69141</t>
        </is>
      </c>
      <c r="E40" s="24" t="inlineStr">
        <is>
          <t>LOL</t>
        </is>
      </c>
      <c r="F40" s="24" t="inlineStr">
        <is>
          <t>Vitality.Bee</t>
        </is>
      </c>
      <c r="G40" s="24" t="inlineStr">
        <is>
          <t>Karmine Corp Blue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-194</v>
      </c>
      <c r="M40" s="27" t="n">
        <v>1.515464</v>
      </c>
      <c r="N40" s="28" t="n">
        <v>0.659864</v>
      </c>
      <c r="O40" s="28" t="n">
        <v>0.663313</v>
      </c>
      <c r="P40" s="28" t="n"/>
      <c r="Q40" s="28" t="n">
        <v>0.003449</v>
      </c>
      <c r="R40" s="26" t="n">
        <v>22</v>
      </c>
      <c r="S40" s="29" t="n">
        <v>1.75</v>
      </c>
      <c r="T40" s="24" t="inlineStr">
        <is>
          <t>lol-tiered-elo-v6</t>
        </is>
      </c>
      <c r="U40" s="24" t="inlineStr">
        <is>
          <t>settled</t>
        </is>
      </c>
      <c r="V40" s="24" t="inlineStr">
        <is>
          <t>win</t>
        </is>
      </c>
      <c r="W40" s="26" t="n">
        <v>0</v>
      </c>
      <c r="X40" s="26" t="n">
        <v>1</v>
      </c>
      <c r="Y40" s="25" t="n"/>
      <c r="Z40" s="26" t="n">
        <v>-194</v>
      </c>
      <c r="AA40" s="28" t="n">
        <v>0.66</v>
      </c>
      <c r="AB40" s="28" t="n">
        <v>0.000136</v>
      </c>
      <c r="AC40" s="30" t="n">
        <v>0.9021</v>
      </c>
      <c r="AD40" s="24" t="inlineStr">
        <is>
          <t>2026-08-04T21:59:54.893203Z</t>
        </is>
      </c>
      <c r="AE40" s="31" t="inlineStr">
        <is>
          <t>Neutral Elo baseline; executable ask 0.6600 (market_slug=aec-lol-kcb-vitb-2026-08-04).</t>
        </is>
      </c>
      <c r="AF40" s="31" t="inlineStr">
        <is>
          <t>Config-promoted esports baseline; gates enforced at log time.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Vitality.Bee</t>
        </is>
      </c>
      <c r="AQ40" s="24" t="inlineStr">
        <is>
          <t>Vitality.Bee</t>
        </is>
      </c>
      <c r="AR40" s="24" t="inlineStr">
        <is>
          <t>Vitality.Bee</t>
        </is>
      </c>
      <c r="AS40" s="24" t="inlineStr">
        <is>
          <t>Karmine Corp Blue</t>
        </is>
      </c>
      <c r="AT40" s="24" t="inlineStr">
        <is>
          <t>Karmine Corp Blue</t>
        </is>
      </c>
      <c r="AU40" s="24" t="inlineStr">
        <is>
          <t>Karmine Corp Blue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581bb511aff842f9af01d132a2c739b65878388c9d1d8f1182f28b3c271e9a2c</t>
        </is>
      </c>
      <c r="BB40" s="24" t="inlineStr">
        <is>
          <t>neutral_elo</t>
        </is>
      </c>
      <c r="BC40" s="24" t="inlineStr">
        <is>
          <t>lol-tiered-elo-v6</t>
        </is>
      </c>
      <c r="BD40" s="24" t="inlineStr">
        <is>
          <t>581bb511aff842f9af01d132a2c739b65878388c9d1d8f1182f28b3c271e9a2c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lol-tiered-elo-v6</t>
        </is>
      </c>
      <c r="BH40" s="24" t="inlineStr">
        <is>
          <t>2026-08-04T18:08:15.286337Z</t>
        </is>
      </c>
      <c r="BI40" s="24" t="inlineStr">
        <is>
          <t>["same_event","same_team_same_day","same_league_same_day"]</t>
        </is>
      </c>
      <c r="BJ40" s="25" t="n"/>
      <c r="BK40" s="26" t="n">
        <v>-194</v>
      </c>
      <c r="BL40" s="27" t="n">
        <v>1.515464</v>
      </c>
      <c r="BM40" s="28" t="n">
        <v>0.659864</v>
      </c>
      <c r="BN40" s="28" t="n"/>
      <c r="BO40" s="28" t="n"/>
      <c r="BP40" s="25" t="n"/>
      <c r="BQ40" s="27" t="n">
        <v>1.515464</v>
      </c>
      <c r="BR40" s="28" t="n">
        <v>0.66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True</t>
        </is>
      </c>
    </row>
    <row r="41" ht="36" customHeight="1">
      <c r="A41" s="24" t="inlineStr">
        <is>
          <t>a4b03c6c306f403b</t>
        </is>
      </c>
      <c r="B41" s="24" t="inlineStr">
        <is>
          <t>2026-08-04T18:08:50.279200Z</t>
        </is>
      </c>
      <c r="C41" s="24" t="inlineStr">
        <is>
          <t>2026-08-04T21:00:00Z</t>
        </is>
      </c>
      <c r="D41" s="24" t="inlineStr">
        <is>
          <t>69234</t>
        </is>
      </c>
      <c r="E41" s="24" t="inlineStr">
        <is>
          <t>LOL</t>
        </is>
      </c>
      <c r="F41" s="24" t="inlineStr">
        <is>
          <t>Bubliki</t>
        </is>
      </c>
      <c r="G41" s="24" t="inlineStr">
        <is>
          <t>Francesinhas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127</v>
      </c>
      <c r="M41" s="27" t="n">
        <v>2.27</v>
      </c>
      <c r="N41" s="28" t="n">
        <v>0.440529</v>
      </c>
      <c r="O41" s="28" t="n">
        <v>0.518543</v>
      </c>
      <c r="P41" s="28" t="n"/>
      <c r="Q41" s="28" t="n">
        <v>0.078014</v>
      </c>
      <c r="R41" s="26" t="n">
        <v>59</v>
      </c>
      <c r="S41" s="29" t="n">
        <v>1</v>
      </c>
      <c r="T41" s="24" t="inlineStr">
        <is>
          <t>lol-tiered-elo-v6</t>
        </is>
      </c>
      <c r="U41" s="24" t="inlineStr">
        <is>
          <t>settled</t>
        </is>
      </c>
      <c r="V41" s="24" t="inlineStr">
        <is>
          <t>loss</t>
        </is>
      </c>
      <c r="W41" s="26" t="n">
        <v>1</v>
      </c>
      <c r="X41" s="26" t="n">
        <v>0</v>
      </c>
      <c r="Y41" s="25" t="n"/>
      <c r="Z41" s="26" t="n">
        <v>127</v>
      </c>
      <c r="AA41" s="28" t="n">
        <v>0.44</v>
      </c>
      <c r="AB41" s="28" t="n">
        <v>-0.000529</v>
      </c>
      <c r="AC41" s="30" t="n">
        <v>-1</v>
      </c>
      <c r="AD41" s="24" t="inlineStr">
        <is>
          <t>2026-08-04T21:59:56.428752Z</t>
        </is>
      </c>
      <c r="AE41" s="31" t="inlineStr">
        <is>
          <t>Neutral Elo baseline; executable ask 0.4400 (market_slug=aec-lol-fcn-bub-2026-08-04).</t>
        </is>
      </c>
      <c r="AF41" s="31" t="inlineStr">
        <is>
          <t>Config-promoted esports baseline; gates enforced at log time.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NO_CALL_LOW_EDGE</t>
        </is>
      </c>
      <c r="AP41" s="24" t="inlineStr">
        <is>
          <t>Bubliki</t>
        </is>
      </c>
      <c r="AQ41" s="24" t="inlineStr">
        <is>
          <t>Bubliki</t>
        </is>
      </c>
      <c r="AR41" s="24" t="inlineStr">
        <is>
          <t>Bubliki</t>
        </is>
      </c>
      <c r="AS41" s="24" t="inlineStr">
        <is>
          <t>Francesinhas</t>
        </is>
      </c>
      <c r="AT41" s="24" t="inlineStr">
        <is>
          <t>Francesinhas</t>
        </is>
      </c>
      <c r="AU41" s="24" t="inlineStr">
        <is>
          <t>Francesinhas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581bb511aff842f9af01d132a2c739b65878388c9d1d8f1182f28b3c271e9a2c</t>
        </is>
      </c>
      <c r="BB41" s="24" t="inlineStr">
        <is>
          <t>neutral_elo</t>
        </is>
      </c>
      <c r="BC41" s="24" t="inlineStr">
        <is>
          <t>lol-tiered-elo-v6</t>
        </is>
      </c>
      <c r="BD41" s="24" t="inlineStr">
        <is>
          <t>581bb511aff842f9af01d132a2c739b65878388c9d1d8f1182f28b3c271e9a2c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lol-tiered-elo-v6</t>
        </is>
      </c>
      <c r="BH41" s="24" t="inlineStr">
        <is>
          <t>2026-08-04T18:08:16.046088Z</t>
        </is>
      </c>
      <c r="BI41" s="24" t="inlineStr">
        <is>
          <t>["same_event","same_team_same_day","same_league_same_day"]</t>
        </is>
      </c>
      <c r="BJ41" s="25" t="n"/>
      <c r="BK41" s="26" t="n">
        <v>127</v>
      </c>
      <c r="BL41" s="27" t="n">
        <v>2.27</v>
      </c>
      <c r="BM41" s="28" t="n">
        <v>0.440529</v>
      </c>
      <c r="BN41" s="28" t="n"/>
      <c r="BO41" s="28" t="n"/>
      <c r="BP41" s="25" t="n"/>
      <c r="BQ41" s="27" t="n">
        <v>2.27</v>
      </c>
      <c r="BR41" s="28" t="n">
        <v>0.44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True</t>
        </is>
      </c>
    </row>
    <row r="42" ht="36" customHeight="1">
      <c r="A42" s="24" t="inlineStr">
        <is>
          <t>7c589802e1654dae</t>
        </is>
      </c>
      <c r="B42" s="24" t="inlineStr">
        <is>
          <t>2026-08-04T18:08:50.279200Z</t>
        </is>
      </c>
      <c r="C42" s="24" t="inlineStr">
        <is>
          <t>2026-08-04T21:00:00Z</t>
        </is>
      </c>
      <c r="D42" s="24" t="inlineStr">
        <is>
          <t>69233</t>
        </is>
      </c>
      <c r="E42" s="24" t="inlineStr">
        <is>
          <t>LOL</t>
        </is>
      </c>
      <c r="F42" s="24" t="inlineStr">
        <is>
          <t>Team Solid</t>
        </is>
      </c>
      <c r="G42" s="24" t="inlineStr">
        <is>
          <t>RED Academy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203</v>
      </c>
      <c r="M42" s="27" t="n">
        <v>3.03</v>
      </c>
      <c r="N42" s="28" t="n">
        <v>0.330033</v>
      </c>
      <c r="O42" s="28" t="n">
        <v>0.552115</v>
      </c>
      <c r="P42" s="28" t="n"/>
      <c r="Q42" s="28" t="n">
        <v>0.222082</v>
      </c>
      <c r="R42" s="26" t="n">
        <v>100</v>
      </c>
      <c r="S42" s="29" t="n">
        <v>1</v>
      </c>
      <c r="T42" s="24" t="inlineStr">
        <is>
          <t>lol-tiered-elo-v6</t>
        </is>
      </c>
      <c r="U42" s="24" t="inlineStr">
        <is>
          <t>settled</t>
        </is>
      </c>
      <c r="V42" s="24" t="inlineStr">
        <is>
          <t>loss</t>
        </is>
      </c>
      <c r="W42" s="26" t="n">
        <v>1</v>
      </c>
      <c r="X42" s="26" t="n">
        <v>0</v>
      </c>
      <c r="Y42" s="25" t="n"/>
      <c r="Z42" s="26" t="n">
        <v>203</v>
      </c>
      <c r="AA42" s="28" t="n">
        <v>0.33</v>
      </c>
      <c r="AB42" s="28" t="n">
        <v>-3.3e-05</v>
      </c>
      <c r="AC42" s="30" t="n">
        <v>-1</v>
      </c>
      <c r="AD42" s="24" t="inlineStr">
        <is>
          <t>2026-08-05T01:06:26.072414Z</t>
        </is>
      </c>
      <c r="AE42" s="31" t="inlineStr">
        <is>
          <t>Neutral Elo baseline; executable ask 0.3300 (market_slug=aec-lol-reda-tse-2026-08-04).</t>
        </is>
      </c>
      <c r="AF42" s="31" t="inlineStr">
        <is>
          <t>Config-promoted esports baseline; gates enforced at log time.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Team Solid</t>
        </is>
      </c>
      <c r="AQ42" s="24" t="inlineStr">
        <is>
          <t>Team Solid</t>
        </is>
      </c>
      <c r="AR42" s="24" t="inlineStr">
        <is>
          <t>Team Solid</t>
        </is>
      </c>
      <c r="AS42" s="24" t="inlineStr">
        <is>
          <t>RED Academy</t>
        </is>
      </c>
      <c r="AT42" s="24" t="inlineStr">
        <is>
          <t>RED Academy</t>
        </is>
      </c>
      <c r="AU42" s="24" t="inlineStr">
        <is>
          <t>RED Academy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581bb511aff842f9af01d132a2c739b65878388c9d1d8f1182f28b3c271e9a2c</t>
        </is>
      </c>
      <c r="BB42" s="24" t="inlineStr">
        <is>
          <t>neutral_elo</t>
        </is>
      </c>
      <c r="BC42" s="24" t="inlineStr">
        <is>
          <t>lol-tiered-elo-v6</t>
        </is>
      </c>
      <c r="BD42" s="24" t="inlineStr">
        <is>
          <t>581bb511aff842f9af01d132a2c739b65878388c9d1d8f1182f28b3c271e9a2c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lol-tiered-elo-v6</t>
        </is>
      </c>
      <c r="BH42" s="24" t="inlineStr">
        <is>
          <t>2026-08-04T18:08:16.814975Z</t>
        </is>
      </c>
      <c r="BI42" s="24" t="inlineStr">
        <is>
          <t>["same_event","same_team_same_day","same_league_same_day"]</t>
        </is>
      </c>
      <c r="BJ42" s="25" t="n"/>
      <c r="BK42" s="26" t="n">
        <v>203</v>
      </c>
      <c r="BL42" s="27" t="n">
        <v>3.03</v>
      </c>
      <c r="BM42" s="28" t="n">
        <v>0.330033</v>
      </c>
      <c r="BN42" s="28" t="n"/>
      <c r="BO42" s="28" t="n"/>
      <c r="BP42" s="25" t="n"/>
      <c r="BQ42" s="27" t="n">
        <v>3.03</v>
      </c>
      <c r="BR42" s="28" t="n">
        <v>0.33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True</t>
        </is>
      </c>
    </row>
    <row r="43" ht="36" customHeight="1">
      <c r="A43" s="24" t="inlineStr">
        <is>
          <t>b93c869bd9034b6b</t>
        </is>
      </c>
      <c r="B43" s="24" t="inlineStr">
        <is>
          <t>2026-08-04T18:08:50.279200Z</t>
        </is>
      </c>
      <c r="C43" s="24" t="inlineStr">
        <is>
          <t>2026-08-04T22:00:00Z</t>
        </is>
      </c>
      <c r="D43" s="24" t="inlineStr">
        <is>
          <t>69273</t>
        </is>
      </c>
      <c r="E43" s="24" t="inlineStr">
        <is>
          <t>LOL</t>
        </is>
      </c>
      <c r="F43" s="24" t="inlineStr">
        <is>
          <t>RMD Gaming</t>
        </is>
      </c>
      <c r="G43" s="24" t="inlineStr">
        <is>
          <t>7REX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-113</v>
      </c>
      <c r="M43" s="27" t="n">
        <v>1.884956</v>
      </c>
      <c r="N43" s="28" t="n">
        <v>0.530516</v>
      </c>
      <c r="O43" s="28" t="n">
        <v>0.610688</v>
      </c>
      <c r="P43" s="28" t="n"/>
      <c r="Q43" s="28" t="n">
        <v>0.08017199999999999</v>
      </c>
      <c r="R43" s="26" t="n">
        <v>60</v>
      </c>
      <c r="S43" s="29" t="n">
        <v>1.5</v>
      </c>
      <c r="T43" s="24" t="inlineStr">
        <is>
          <t>lol-tiered-elo-v6</t>
        </is>
      </c>
      <c r="U43" s="24" t="inlineStr">
        <is>
          <t>settled</t>
        </is>
      </c>
      <c r="V43" s="24" t="inlineStr">
        <is>
          <t>win</t>
        </is>
      </c>
      <c r="W43" s="26" t="n">
        <v>0</v>
      </c>
      <c r="X43" s="26" t="n">
        <v>1</v>
      </c>
      <c r="Y43" s="25" t="n"/>
      <c r="Z43" s="26" t="n">
        <v>-113</v>
      </c>
      <c r="AA43" s="28" t="n">
        <v>0.53</v>
      </c>
      <c r="AB43" s="28" t="n">
        <v>-0.000516</v>
      </c>
      <c r="AC43" s="30" t="n">
        <v>1.3274</v>
      </c>
      <c r="AD43" s="24" t="inlineStr">
        <is>
          <t>2026-08-05T01:06:28.260008Z</t>
        </is>
      </c>
      <c r="AE43" s="31" t="inlineStr">
        <is>
          <t>Neutral Elo baseline; executable ask 0.5300 (market_slug=aec-lol-7rex-rmd-2026-08-04).</t>
        </is>
      </c>
      <c r="AF43" s="31" t="inlineStr">
        <is>
          <t>Config-promoted esports baseline; gates enforced at log time.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RMD Gaming</t>
        </is>
      </c>
      <c r="AQ43" s="24" t="inlineStr">
        <is>
          <t>RMD Gaming</t>
        </is>
      </c>
      <c r="AR43" s="24" t="inlineStr">
        <is>
          <t>RMD Gaming</t>
        </is>
      </c>
      <c r="AS43" s="24" t="inlineStr">
        <is>
          <t>7REX</t>
        </is>
      </c>
      <c r="AT43" s="24" t="inlineStr">
        <is>
          <t>7REX</t>
        </is>
      </c>
      <c r="AU43" s="24" t="inlineStr">
        <is>
          <t>7REX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581bb511aff842f9af01d132a2c739b65878388c9d1d8f1182f28b3c271e9a2c</t>
        </is>
      </c>
      <c r="BB43" s="24" t="inlineStr">
        <is>
          <t>neutral_elo</t>
        </is>
      </c>
      <c r="BC43" s="24" t="inlineStr">
        <is>
          <t>lol-tiered-elo-v6</t>
        </is>
      </c>
      <c r="BD43" s="24" t="inlineStr">
        <is>
          <t>581bb511aff842f9af01d132a2c739b65878388c9d1d8f1182f28b3c271e9a2c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lol-tiered-elo-v6</t>
        </is>
      </c>
      <c r="BH43" s="24" t="inlineStr">
        <is>
          <t>2026-08-04T18:08:17.591273Z</t>
        </is>
      </c>
      <c r="BI43" s="24" t="inlineStr">
        <is>
          <t>["same_event","same_team_same_day","same_league_same_day"]</t>
        </is>
      </c>
      <c r="BJ43" s="25" t="n"/>
      <c r="BK43" s="26" t="n">
        <v>-113</v>
      </c>
      <c r="BL43" s="27" t="n">
        <v>1.884956</v>
      </c>
      <c r="BM43" s="28" t="n">
        <v>0.530516</v>
      </c>
      <c r="BN43" s="28" t="n"/>
      <c r="BO43" s="28" t="n"/>
      <c r="BP43" s="25" t="n"/>
      <c r="BQ43" s="27" t="n">
        <v>1.884956</v>
      </c>
      <c r="BR43" s="28" t="n">
        <v>0.53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</row>
    <row r="44" ht="36" customHeight="1">
      <c r="A44" s="24" t="inlineStr">
        <is>
          <t>c139e1599b324f74</t>
        </is>
      </c>
      <c r="B44" s="24" t="inlineStr">
        <is>
          <t>2026-08-04T22:03:07.434111Z</t>
        </is>
      </c>
      <c r="C44" s="24" t="inlineStr">
        <is>
          <t>2026-08-04T23:00:00Z</t>
        </is>
      </c>
      <c r="D44" s="24" t="inlineStr">
        <is>
          <t>69304</t>
        </is>
      </c>
      <c r="E44" s="24" t="inlineStr">
        <is>
          <t>LOL</t>
        </is>
      </c>
      <c r="F44" s="24" t="inlineStr">
        <is>
          <t>paiN Gaming Academy</t>
        </is>
      </c>
      <c r="G44" s="24" t="inlineStr">
        <is>
          <t>KaBuM! Ilha das Lendas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-117</v>
      </c>
      <c r="M44" s="27" t="n">
        <v>1.854701</v>
      </c>
      <c r="N44" s="28" t="n">
        <v>0.539171</v>
      </c>
      <c r="O44" s="28" t="n">
        <v>0.542093</v>
      </c>
      <c r="P44" s="28" t="n"/>
      <c r="Q44" s="28" t="n">
        <v>0.002922</v>
      </c>
      <c r="R44" s="26" t="n">
        <v>21</v>
      </c>
      <c r="S44" s="29" t="n">
        <v>1</v>
      </c>
      <c r="T44" s="24" t="inlineStr">
        <is>
          <t>lol-tiered-elo-v6</t>
        </is>
      </c>
      <c r="U44" s="24" t="inlineStr">
        <is>
          <t>settled</t>
        </is>
      </c>
      <c r="V44" s="24" t="inlineStr">
        <is>
          <t>loss</t>
        </is>
      </c>
      <c r="W44" s="26" t="n">
        <v>0</v>
      </c>
      <c r="X44" s="26" t="n">
        <v>1</v>
      </c>
      <c r="Y44" s="25" t="n"/>
      <c r="Z44" s="26" t="n">
        <v>-117</v>
      </c>
      <c r="AA44" s="28" t="n">
        <v>0.54</v>
      </c>
      <c r="AB44" s="28" t="n">
        <v>0.000829</v>
      </c>
      <c r="AC44" s="30" t="n">
        <v>-1</v>
      </c>
      <c r="AD44" s="24" t="inlineStr">
        <is>
          <t>2026-08-05T01:06:31.023142Z</t>
        </is>
      </c>
      <c r="AE44" s="31" t="inlineStr">
        <is>
          <t>Neutral Elo baseline; executable ask 0.5400 (market_slug=aec-lol-kbm-pnga-2026-08-04).</t>
        </is>
      </c>
      <c r="AF44" s="31" t="inlineStr">
        <is>
          <t>Config-promoted esports baseline; gates enforced at log time.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paiN Gaming Academy</t>
        </is>
      </c>
      <c r="AQ44" s="24" t="inlineStr">
        <is>
          <t>paiN Gaming Academy</t>
        </is>
      </c>
      <c r="AR44" s="24" t="inlineStr">
        <is>
          <t>paiN Gaming Academy</t>
        </is>
      </c>
      <c r="AS44" s="24" t="inlineStr">
        <is>
          <t>KaBuM! Ilha das Lendas</t>
        </is>
      </c>
      <c r="AT44" s="24" t="inlineStr">
        <is>
          <t>KaBuM! Ilha das Lendas</t>
        </is>
      </c>
      <c r="AU44" s="24" t="inlineStr">
        <is>
          <t>KaBuM! Ilha das Lendas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97b6e7d388d98e9492a794fb2cdef05114fd516a988a71f95285158326a46434</t>
        </is>
      </c>
      <c r="BB44" s="24" t="inlineStr">
        <is>
          <t>neutral_elo</t>
        </is>
      </c>
      <c r="BC44" s="24" t="inlineStr">
        <is>
          <t>lol-tiered-elo-v6</t>
        </is>
      </c>
      <c r="BD44" s="24" t="inlineStr">
        <is>
          <t>97b6e7d388d98e9492a794fb2cdef05114fd516a988a71f95285158326a46434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lol-tiered-elo-v6</t>
        </is>
      </c>
      <c r="BH44" s="24" t="inlineStr">
        <is>
          <t>2026-08-04T22:02:38.695907Z</t>
        </is>
      </c>
      <c r="BI44" s="24" t="inlineStr">
        <is>
          <t>["same_event","same_team_same_day","same_league_same_day"]</t>
        </is>
      </c>
      <c r="BJ44" s="25" t="n"/>
      <c r="BK44" s="26" t="n">
        <v>-117</v>
      </c>
      <c r="BL44" s="27" t="n">
        <v>1.854701</v>
      </c>
      <c r="BM44" s="28" t="n">
        <v>0.539171</v>
      </c>
      <c r="BN44" s="28" t="n"/>
      <c r="BO44" s="28" t="n"/>
      <c r="BP44" s="25" t="n"/>
      <c r="BQ44" s="27" t="n">
        <v>1.854701</v>
      </c>
      <c r="BR44" s="28" t="n">
        <v>0.54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True</t>
        </is>
      </c>
    </row>
    <row r="45" ht="36" customHeight="1">
      <c r="A45" s="24" t="inlineStr">
        <is>
          <t>b2a95723c8aa4852</t>
        </is>
      </c>
      <c r="B45" s="24" t="inlineStr">
        <is>
          <t>2026-08-05T04:39:12.089327Z</t>
        </is>
      </c>
      <c r="C45" s="24" t="inlineStr">
        <is>
          <t>2026-08-05T05:00:00Z</t>
        </is>
      </c>
      <c r="D45" s="24" t="inlineStr">
        <is>
          <t>69506</t>
        </is>
      </c>
      <c r="E45" s="24" t="inlineStr">
        <is>
          <t>LOL</t>
        </is>
      </c>
      <c r="F45" s="24" t="inlineStr">
        <is>
          <t>Kiwoom DRX Challengers</t>
        </is>
      </c>
      <c r="G45" s="24" t="inlineStr">
        <is>
          <t>BNK FearX Youth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138</v>
      </c>
      <c r="M45" s="27" t="n">
        <v>2.38</v>
      </c>
      <c r="N45" s="28" t="n">
        <v>0.420168</v>
      </c>
      <c r="O45" s="28" t="n">
        <v>0.5592200000000001</v>
      </c>
      <c r="P45" s="28" t="n"/>
      <c r="Q45" s="28" t="n">
        <v>0.139052</v>
      </c>
      <c r="R45" s="26" t="n">
        <v>90</v>
      </c>
      <c r="S45" s="29" t="n">
        <v>1</v>
      </c>
      <c r="T45" s="24" t="inlineStr">
        <is>
          <t>lol-tiered-elo-v6</t>
        </is>
      </c>
      <c r="U45" s="24" t="inlineStr">
        <is>
          <t>settled</t>
        </is>
      </c>
      <c r="V45" s="24" t="inlineStr">
        <is>
          <t>loss</t>
        </is>
      </c>
      <c r="W45" s="26" t="n">
        <v>1</v>
      </c>
      <c r="X45" s="26" t="n">
        <v>0</v>
      </c>
      <c r="Y45" s="25" t="n"/>
      <c r="Z45" s="26" t="n">
        <v>144</v>
      </c>
      <c r="AA45" s="28" t="n">
        <v>0.41</v>
      </c>
      <c r="AB45" s="28" t="n">
        <v>-0.010168</v>
      </c>
      <c r="AC45" s="30" t="n">
        <v>-1</v>
      </c>
      <c r="AD45" s="24" t="inlineStr">
        <is>
          <t>2026-08-05T10:17:46.347305Z</t>
        </is>
      </c>
      <c r="AE45" s="31" t="inlineStr">
        <is>
          <t>Neutral Elo baseline; executable ask 0.4200 (market_slug=aec-lol-foxy-krxc-2026-08-05).</t>
        </is>
      </c>
      <c r="AF45" s="31" t="inlineStr">
        <is>
          <t>Config-promoted esports baseline; gates enforced at log time.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NO_CALL_MODEL_UNVALIDATED</t>
        </is>
      </c>
      <c r="AP45" s="24" t="inlineStr">
        <is>
          <t>Kiwoom DRX Challengers</t>
        </is>
      </c>
      <c r="AQ45" s="24" t="inlineStr">
        <is>
          <t>Kiwoom DRX Challengers</t>
        </is>
      </c>
      <c r="AR45" s="24" t="inlineStr">
        <is>
          <t>Kiwoom DRX Challengers</t>
        </is>
      </c>
      <c r="AS45" s="24" t="inlineStr">
        <is>
          <t>BNK FearX Youth</t>
        </is>
      </c>
      <c r="AT45" s="24" t="inlineStr">
        <is>
          <t>BNK FearX Youth</t>
        </is>
      </c>
      <c r="AU45" s="24" t="inlineStr">
        <is>
          <t>BNK FearX Youth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9a8d5ad7f045de5eb1cb17aea82bbcf9812b40ca30a6256eba6436fea9a94482</t>
        </is>
      </c>
      <c r="BB45" s="24" t="inlineStr">
        <is>
          <t>neutral_elo</t>
        </is>
      </c>
      <c r="BC45" s="24" t="inlineStr">
        <is>
          <t>lol-tiered-elo-v6</t>
        </is>
      </c>
      <c r="BD45" s="24" t="inlineStr">
        <is>
          <t>9a8d5ad7f045de5eb1cb17aea82bbcf9812b40ca30a6256eba6436fea9a94482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lol-tiered-elo-v6</t>
        </is>
      </c>
      <c r="BH45" s="24" t="inlineStr">
        <is>
          <t>2026-08-05T04:38:09.799050Z</t>
        </is>
      </c>
      <c r="BI45" s="24" t="inlineStr">
        <is>
          <t>["same_event","same_team_same_day","same_league_same_day"]</t>
        </is>
      </c>
      <c r="BJ45" s="25" t="n"/>
      <c r="BK45" s="26" t="n">
        <v>138</v>
      </c>
      <c r="BL45" s="27" t="n">
        <v>2.38</v>
      </c>
      <c r="BM45" s="28" t="n">
        <v>0.420168</v>
      </c>
      <c r="BN45" s="28" t="n"/>
      <c r="BO45" s="28" t="n"/>
      <c r="BP45" s="25" t="n"/>
      <c r="BQ45" s="27" t="n">
        <v>2.44</v>
      </c>
      <c r="BR45" s="28" t="n">
        <v>0.41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True</t>
        </is>
      </c>
    </row>
    <row r="46" ht="36" customHeight="1">
      <c r="A46" s="24" t="inlineStr">
        <is>
          <t>a8af35d46d754d4b</t>
        </is>
      </c>
      <c r="B46" s="24" t="inlineStr">
        <is>
          <t>2026-08-05T04:39:12.089327Z</t>
        </is>
      </c>
      <c r="C46" s="24" t="inlineStr">
        <is>
          <t>2026-08-05T05:00:00Z</t>
        </is>
      </c>
      <c r="D46" s="24" t="inlineStr">
        <is>
          <t>69507</t>
        </is>
      </c>
      <c r="E46" s="24" t="inlineStr">
        <is>
          <t>LOL</t>
        </is>
      </c>
      <c r="F46" s="24" t="inlineStr">
        <is>
          <t>Nongshim Esports Academy</t>
        </is>
      </c>
      <c r="G46" s="24" t="inlineStr">
        <is>
          <t>Dplus KIA Challengers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-104</v>
      </c>
      <c r="M46" s="27" t="n">
        <v>1.961538</v>
      </c>
      <c r="N46" s="28" t="n">
        <v>0.509804</v>
      </c>
      <c r="O46" s="28" t="n">
        <v>0.675544</v>
      </c>
      <c r="P46" s="28" t="n"/>
      <c r="Q46" s="28" t="n">
        <v>0.16574</v>
      </c>
      <c r="R46" s="26" t="n">
        <v>100</v>
      </c>
      <c r="S46" s="29" t="n">
        <v>1.75</v>
      </c>
      <c r="T46" s="24" t="inlineStr">
        <is>
          <t>lol-tiered-elo-v6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1</v>
      </c>
      <c r="Y46" s="25" t="n"/>
      <c r="Z46" s="26" t="n">
        <v>-104</v>
      </c>
      <c r="AA46" s="28" t="n">
        <v>0.51</v>
      </c>
      <c r="AB46" s="28" t="n">
        <v>0.000196</v>
      </c>
      <c r="AC46" s="30" t="n">
        <v>1.6827</v>
      </c>
      <c r="AD46" s="24" t="inlineStr">
        <is>
          <t>2026-08-05T10:17:48.746724Z</t>
        </is>
      </c>
      <c r="AE46" s="31" t="inlineStr">
        <is>
          <t>Neutral Elo baseline; executable ask 0.5100 (market_slug=aec-lol-dkc-nsea-2026-08-05).</t>
        </is>
      </c>
      <c r="AF46" s="31" t="inlineStr">
        <is>
          <t>Config-promoted esports baseline; gates enforced at log time.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Nongshim Esports Academy</t>
        </is>
      </c>
      <c r="AQ46" s="24" t="inlineStr">
        <is>
          <t>Nongshim Esports Academy</t>
        </is>
      </c>
      <c r="AR46" s="24" t="inlineStr">
        <is>
          <t>Nongshim Esports Academy</t>
        </is>
      </c>
      <c r="AS46" s="24" t="inlineStr">
        <is>
          <t>Dplus KIA Challengers</t>
        </is>
      </c>
      <c r="AT46" s="24" t="inlineStr">
        <is>
          <t>Dplus KIA Challengers</t>
        </is>
      </c>
      <c r="AU46" s="24" t="inlineStr">
        <is>
          <t>Dplus KIA Challengers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9a8d5ad7f045de5eb1cb17aea82bbcf9812b40ca30a6256eba6436fea9a94482</t>
        </is>
      </c>
      <c r="BB46" s="24" t="inlineStr">
        <is>
          <t>neutral_elo</t>
        </is>
      </c>
      <c r="BC46" s="24" t="inlineStr">
        <is>
          <t>lol-tiered-elo-v6</t>
        </is>
      </c>
      <c r="BD46" s="24" t="inlineStr">
        <is>
          <t>9a8d5ad7f045de5eb1cb17aea82bbcf9812b40ca30a6256eba6436fea9a94482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lol-tiered-elo-v6</t>
        </is>
      </c>
      <c r="BH46" s="24" t="inlineStr">
        <is>
          <t>2026-08-05T04:38:10.815485Z</t>
        </is>
      </c>
      <c r="BI46" s="24" t="inlineStr">
        <is>
          <t>["same_event","same_team_same_day","same_league_same_day"]</t>
        </is>
      </c>
      <c r="BJ46" s="25" t="n"/>
      <c r="BK46" s="26" t="n">
        <v>-104</v>
      </c>
      <c r="BL46" s="27" t="n">
        <v>1.961538</v>
      </c>
      <c r="BM46" s="28" t="n">
        <v>0.509804</v>
      </c>
      <c r="BN46" s="28" t="n"/>
      <c r="BO46" s="28" t="n"/>
      <c r="BP46" s="25" t="n"/>
      <c r="BQ46" s="27" t="n">
        <v>1.961538</v>
      </c>
      <c r="BR46" s="28" t="n">
        <v>0.51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True</t>
        </is>
      </c>
    </row>
    <row r="47" ht="36" customHeight="1">
      <c r="A47" s="24" t="inlineStr">
        <is>
          <t>60355cfdd4f64949</t>
        </is>
      </c>
      <c r="B47" s="24" t="inlineStr">
        <is>
          <t>2026-08-05T04:39:12.089327Z</t>
        </is>
      </c>
      <c r="C47" s="24" t="inlineStr">
        <is>
          <t>2026-08-05T08:00:00Z</t>
        </is>
      </c>
      <c r="D47" s="24" t="inlineStr">
        <is>
          <t>69511</t>
        </is>
      </c>
      <c r="E47" s="24" t="inlineStr">
        <is>
          <t>LOL</t>
        </is>
      </c>
      <c r="F47" s="24" t="inlineStr">
        <is>
          <t>New Meta</t>
        </is>
      </c>
      <c r="G47" s="24" t="inlineStr">
        <is>
          <t>FENNEL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-223</v>
      </c>
      <c r="M47" s="27" t="n">
        <v>1.44843</v>
      </c>
      <c r="N47" s="28" t="n">
        <v>0.690402</v>
      </c>
      <c r="O47" s="28" t="n">
        <v>0.692195</v>
      </c>
      <c r="P47" s="28" t="n"/>
      <c r="Q47" s="28" t="n">
        <v>0.001793</v>
      </c>
      <c r="R47" s="26" t="n">
        <v>21</v>
      </c>
      <c r="S47" s="29" t="n">
        <v>2</v>
      </c>
      <c r="T47" s="24" t="inlineStr">
        <is>
          <t>lol-tiered-elo-v6</t>
        </is>
      </c>
      <c r="U47" s="24" t="inlineStr">
        <is>
          <t>settled</t>
        </is>
      </c>
      <c r="V47" s="24" t="inlineStr">
        <is>
          <t>win</t>
        </is>
      </c>
      <c r="W47" s="26" t="n">
        <v>0</v>
      </c>
      <c r="X47" s="26" t="n">
        <v>1</v>
      </c>
      <c r="Y47" s="25" t="n"/>
      <c r="Z47" s="26" t="n">
        <v>-223</v>
      </c>
      <c r="AA47" s="28" t="n">
        <v>0.6899999999999999</v>
      </c>
      <c r="AB47" s="28" t="n">
        <v>-0.000402</v>
      </c>
      <c r="AC47" s="30" t="n">
        <v>0.8969</v>
      </c>
      <c r="AD47" s="24" t="inlineStr">
        <is>
          <t>2026-08-05T10:41:19.592577Z</t>
        </is>
      </c>
      <c r="AE47" s="31" t="inlineStr">
        <is>
          <t>Neutral Elo baseline; executable ask 0.6900 (market_slug=aec-lol-fnl-nme-2026-08-05).</t>
        </is>
      </c>
      <c r="AF47" s="31" t="inlineStr">
        <is>
          <t>Config-promoted esports baseline; gates enforced at log time.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New Meta</t>
        </is>
      </c>
      <c r="AQ47" s="24" t="inlineStr">
        <is>
          <t>New Meta</t>
        </is>
      </c>
      <c r="AR47" s="24" t="inlineStr">
        <is>
          <t>New Meta</t>
        </is>
      </c>
      <c r="AS47" s="24" t="inlineStr">
        <is>
          <t>FENNEL</t>
        </is>
      </c>
      <c r="AT47" s="24" t="inlineStr">
        <is>
          <t>FENNEL</t>
        </is>
      </c>
      <c r="AU47" s="24" t="inlineStr">
        <is>
          <t>FENNEL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9a8d5ad7f045de5eb1cb17aea82bbcf9812b40ca30a6256eba6436fea9a94482</t>
        </is>
      </c>
      <c r="BB47" s="24" t="inlineStr">
        <is>
          <t>neutral_elo</t>
        </is>
      </c>
      <c r="BC47" s="24" t="inlineStr">
        <is>
          <t>lol-tiered-elo-v6</t>
        </is>
      </c>
      <c r="BD47" s="24" t="inlineStr">
        <is>
          <t>9a8d5ad7f045de5eb1cb17aea82bbcf9812b40ca30a6256eba6436fea9a94482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lol-tiered-elo-v6</t>
        </is>
      </c>
      <c r="BH47" s="24" t="inlineStr">
        <is>
          <t>2026-08-05T04:38:12.003217Z</t>
        </is>
      </c>
      <c r="BI47" s="24" t="inlineStr">
        <is>
          <t>["same_event","same_team_same_day","same_league_same_day"]</t>
        </is>
      </c>
      <c r="BJ47" s="25" t="n"/>
      <c r="BK47" s="26" t="n">
        <v>-223</v>
      </c>
      <c r="BL47" s="27" t="n">
        <v>1.44843</v>
      </c>
      <c r="BM47" s="28" t="n">
        <v>0.690402</v>
      </c>
      <c r="BN47" s="28" t="n"/>
      <c r="BO47" s="28" t="n"/>
      <c r="BP47" s="25" t="n"/>
      <c r="BQ47" s="27" t="n">
        <v>1.44843</v>
      </c>
      <c r="BR47" s="28" t="n">
        <v>0.6899999999999999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True</t>
        </is>
      </c>
    </row>
    <row r="48" ht="36" customHeight="1">
      <c r="A48" s="24" t="inlineStr">
        <is>
          <t>ad28733883f34051</t>
        </is>
      </c>
      <c r="B48" s="24" t="inlineStr">
        <is>
          <t>2026-08-05T04:39:12.089327Z</t>
        </is>
      </c>
      <c r="C48" s="24" t="inlineStr">
        <is>
          <t>2026-08-05T08:00:00Z</t>
        </is>
      </c>
      <c r="D48" s="24" t="inlineStr">
        <is>
          <t>69512</t>
        </is>
      </c>
      <c r="E48" s="24" t="inlineStr">
        <is>
          <t>LOL</t>
        </is>
      </c>
      <c r="F48" s="24" t="inlineStr">
        <is>
          <t>Nongshim Red Force</t>
        </is>
      </c>
      <c r="G48" s="24" t="inlineStr">
        <is>
          <t>HANJIN BRION</t>
        </is>
      </c>
      <c r="H48" s="24" t="inlineStr">
        <is>
          <t>moneyline</t>
        </is>
      </c>
      <c r="I48" s="24" t="inlineStr">
        <is>
          <t>away</t>
        </is>
      </c>
      <c r="J48" s="25" t="n"/>
      <c r="K48" s="24" t="inlineStr">
        <is>
          <t>polymarket_us</t>
        </is>
      </c>
      <c r="L48" s="26" t="n">
        <v>-233</v>
      </c>
      <c r="M48" s="27" t="n">
        <v>1.429185</v>
      </c>
      <c r="N48" s="28" t="n">
        <v>0.6997</v>
      </c>
      <c r="O48" s="28" t="n">
        <v>0.7818929999999999</v>
      </c>
      <c r="P48" s="28" t="n"/>
      <c r="Q48" s="28" t="n">
        <v>0.082193</v>
      </c>
      <c r="R48" s="26" t="n">
        <v>61</v>
      </c>
      <c r="S48" s="29" t="n">
        <v>2</v>
      </c>
      <c r="T48" s="24" t="inlineStr">
        <is>
          <t>lol-tiered-elo-v6</t>
        </is>
      </c>
      <c r="U48" s="24" t="inlineStr">
        <is>
          <t>settled</t>
        </is>
      </c>
      <c r="V48" s="24" t="inlineStr">
        <is>
          <t>loss</t>
        </is>
      </c>
      <c r="W48" s="26" t="n">
        <v>0</v>
      </c>
      <c r="X48" s="26" t="n">
        <v>1</v>
      </c>
      <c r="Y48" s="25" t="n"/>
      <c r="Z48" s="26" t="n">
        <v>-233</v>
      </c>
      <c r="AA48" s="28" t="n">
        <v>0.7</v>
      </c>
      <c r="AB48" s="28" t="n">
        <v>0.0003</v>
      </c>
      <c r="AC48" s="30" t="n">
        <v>-2</v>
      </c>
      <c r="AD48" s="24" t="inlineStr">
        <is>
          <t>2026-08-05T10:41:21.920279Z</t>
        </is>
      </c>
      <c r="AE48" s="31" t="inlineStr">
        <is>
          <t>Neutral Elo baseline; executable ask 0.7000 (market_slug=aec-lol-bro-ns-2026-08-05).</t>
        </is>
      </c>
      <c r="AF48" s="31" t="inlineStr">
        <is>
          <t>Config-promoted esports baseline; gates enforced at log time.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Nongshim Red Force</t>
        </is>
      </c>
      <c r="AQ48" s="24" t="inlineStr">
        <is>
          <t>Nongshim Red Force</t>
        </is>
      </c>
      <c r="AR48" s="24" t="inlineStr">
        <is>
          <t>Nongshim Red Force</t>
        </is>
      </c>
      <c r="AS48" s="24" t="inlineStr">
        <is>
          <t>HANJIN BRION</t>
        </is>
      </c>
      <c r="AT48" s="24" t="inlineStr">
        <is>
          <t>HANJIN BRION</t>
        </is>
      </c>
      <c r="AU48" s="24" t="inlineStr">
        <is>
          <t>HANJIN BRION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9a8d5ad7f045de5eb1cb17aea82bbcf9812b40ca30a6256eba6436fea9a94482</t>
        </is>
      </c>
      <c r="BB48" s="24" t="inlineStr">
        <is>
          <t>neutral_elo</t>
        </is>
      </c>
      <c r="BC48" s="24" t="inlineStr">
        <is>
          <t>lol-tiered-elo-v6</t>
        </is>
      </c>
      <c r="BD48" s="24" t="inlineStr">
        <is>
          <t>9a8d5ad7f045de5eb1cb17aea82bbcf9812b40ca30a6256eba6436fea9a94482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lol-tiered-elo-v6</t>
        </is>
      </c>
      <c r="BH48" s="24" t="inlineStr">
        <is>
          <t>2026-08-05T04:38:12.947438Z</t>
        </is>
      </c>
      <c r="BI48" s="24" t="inlineStr">
        <is>
          <t>["same_event","same_team_same_day","same_league_same_day"]</t>
        </is>
      </c>
      <c r="BJ48" s="25" t="n"/>
      <c r="BK48" s="26" t="n">
        <v>-233</v>
      </c>
      <c r="BL48" s="27" t="n">
        <v>1.429185</v>
      </c>
      <c r="BM48" s="28" t="n">
        <v>0.6997</v>
      </c>
      <c r="BN48" s="28" t="n"/>
      <c r="BO48" s="28" t="n"/>
      <c r="BP48" s="25" t="n"/>
      <c r="BQ48" s="27" t="n">
        <v>1.429185</v>
      </c>
      <c r="BR48" s="28" t="n">
        <v>0.7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True</t>
        </is>
      </c>
    </row>
    <row r="49" ht="36" customHeight="1">
      <c r="A49" s="24" t="inlineStr">
        <is>
          <t>1b6389cb8a3749e3</t>
        </is>
      </c>
      <c r="B49" s="24" t="inlineStr">
        <is>
          <t>2026-08-05T04:39:12.089327Z</t>
        </is>
      </c>
      <c r="C49" s="24" t="inlineStr">
        <is>
          <t>2026-08-05T10:00:00Z</t>
        </is>
      </c>
      <c r="D49" s="24" t="inlineStr">
        <is>
          <t>69539</t>
        </is>
      </c>
      <c r="E49" s="24" t="inlineStr">
        <is>
          <t>LOL</t>
        </is>
      </c>
      <c r="F49" s="24" t="inlineStr">
        <is>
          <t>Gen.G</t>
        </is>
      </c>
      <c r="G49" s="24" t="inlineStr">
        <is>
          <t>Hanwha Life Esports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-108</v>
      </c>
      <c r="M49" s="27" t="n">
        <v>1.925926</v>
      </c>
      <c r="N49" s="28" t="n">
        <v>0.519231</v>
      </c>
      <c r="O49" s="28" t="n">
        <v>0.6212029999999999</v>
      </c>
      <c r="P49" s="28" t="n"/>
      <c r="Q49" s="28" t="n">
        <v>0.101972</v>
      </c>
      <c r="R49" s="26" t="n">
        <v>71</v>
      </c>
      <c r="S49" s="29" t="n">
        <v>1.5</v>
      </c>
      <c r="T49" s="24" t="inlineStr">
        <is>
          <t>lol-tiered-elo-v6</t>
        </is>
      </c>
      <c r="U49" s="24" t="inlineStr">
        <is>
          <t>settled</t>
        </is>
      </c>
      <c r="V49" s="24" t="inlineStr">
        <is>
          <t>loss</t>
        </is>
      </c>
      <c r="W49" s="26" t="n">
        <v>1</v>
      </c>
      <c r="X49" s="26" t="n">
        <v>0</v>
      </c>
      <c r="Y49" s="25" t="n"/>
      <c r="Z49" s="26" t="n">
        <v>-108</v>
      </c>
      <c r="AA49" s="28" t="n">
        <v>0.52</v>
      </c>
      <c r="AB49" s="28" t="n">
        <v>0.000769</v>
      </c>
      <c r="AC49" s="30" t="n">
        <v>-1.5</v>
      </c>
      <c r="AD49" s="24" t="inlineStr">
        <is>
          <t>2026-08-05T17:00:47.637235Z</t>
        </is>
      </c>
      <c r="AE49" s="31" t="inlineStr">
        <is>
          <t>Neutral Elo baseline; executable ask 0.5200 (market_slug=aec-lol-hle-gen-2026-08-05).</t>
        </is>
      </c>
      <c r="AF49" s="31" t="inlineStr">
        <is>
          <t>Config-promoted esports baseline; gates enforced at log time.</t>
        </is>
      </c>
      <c r="AG49" s="24" t="inlineStr">
        <is>
          <t>review_required</t>
        </is>
      </c>
      <c r="AH49" s="24" t="n"/>
      <c r="AI49" s="31" t="n"/>
      <c r="AJ49" s="31" t="n"/>
      <c r="AK49" s="24" t="inlineStr">
        <is>
          <t>model_qualified</t>
        </is>
      </c>
      <c r="AL49" s="26" t="n">
        <v>3</v>
      </c>
      <c r="AM49" s="24" t="inlineStr">
        <is>
          <t>QUALIFIED_SHADOW_CALL</t>
        </is>
      </c>
      <c r="AN49" s="24" t="inlineStr">
        <is>
          <t>CALL</t>
        </is>
      </c>
      <c r="AO49" s="24" t="inlineStr">
        <is>
          <t>QUALIFIED</t>
        </is>
      </c>
      <c r="AP49" s="24" t="inlineStr">
        <is>
          <t>Gen.G</t>
        </is>
      </c>
      <c r="AQ49" s="24" t="inlineStr">
        <is>
          <t>Gen.G</t>
        </is>
      </c>
      <c r="AR49" s="24" t="inlineStr">
        <is>
          <t>Gen.G</t>
        </is>
      </c>
      <c r="AS49" s="24" t="inlineStr">
        <is>
          <t>Hanwha Life Esports</t>
        </is>
      </c>
      <c r="AT49" s="24" t="inlineStr">
        <is>
          <t>Hanwha Life Esports</t>
        </is>
      </c>
      <c r="AU49" s="24" t="inlineStr">
        <is>
          <t>Hanwha Life Esports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9a8d5ad7f045de5eb1cb17aea82bbcf9812b40ca30a6256eba6436fea9a94482</t>
        </is>
      </c>
      <c r="BB49" s="24" t="inlineStr">
        <is>
          <t>neutral_elo</t>
        </is>
      </c>
      <c r="BC49" s="24" t="inlineStr">
        <is>
          <t>lol-tiered-elo-v6</t>
        </is>
      </c>
      <c r="BD49" s="24" t="inlineStr">
        <is>
          <t>9a8d5ad7f045de5eb1cb17aea82bbcf9812b40ca30a6256eba6436fea9a94482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lol-tiered-elo-v6</t>
        </is>
      </c>
      <c r="BH49" s="24" t="inlineStr">
        <is>
          <t>2026-08-05T04:38:15.141988Z</t>
        </is>
      </c>
      <c r="BI49" s="24" t="inlineStr">
        <is>
          <t>["same_event","same_team_same_day","same_league_same_day"]</t>
        </is>
      </c>
      <c r="BJ49" s="25" t="n"/>
      <c r="BK49" s="26" t="n">
        <v>-108</v>
      </c>
      <c r="BL49" s="27" t="n">
        <v>1.925926</v>
      </c>
      <c r="BM49" s="28" t="n">
        <v>0.519231</v>
      </c>
      <c r="BN49" s="28" t="n"/>
      <c r="BO49" s="28" t="n"/>
      <c r="BP49" s="25" t="n"/>
      <c r="BQ49" s="27" t="n">
        <v>1.925926</v>
      </c>
      <c r="BR49" s="28" t="n">
        <v>0.52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True</t>
        </is>
      </c>
    </row>
    <row r="50" ht="36" customHeight="1">
      <c r="A50" s="24" t="inlineStr">
        <is>
          <t>244e97086bfd444f</t>
        </is>
      </c>
      <c r="B50" s="24" t="inlineStr">
        <is>
          <t>2026-08-05T13:56:43.896254Z</t>
        </is>
      </c>
      <c r="C50" s="24" t="inlineStr">
        <is>
          <t>2026-08-05T16:00:00Z</t>
        </is>
      </c>
      <c r="D50" s="24" t="inlineStr">
        <is>
          <t>69818</t>
        </is>
      </c>
      <c r="E50" s="24" t="inlineStr">
        <is>
          <t>LOL</t>
        </is>
      </c>
      <c r="F50" s="24" t="inlineStr">
        <is>
          <t>Pyramid IV Esports</t>
        </is>
      </c>
      <c r="G50" s="24" t="inlineStr">
        <is>
          <t>JSK Esports</t>
        </is>
      </c>
      <c r="H50" s="24" t="inlineStr">
        <is>
          <t>moneyline</t>
        </is>
      </c>
      <c r="I50" s="24" t="inlineStr">
        <is>
          <t>away</t>
        </is>
      </c>
      <c r="J50" s="25" t="n"/>
      <c r="K50" s="24" t="inlineStr">
        <is>
          <t>polymarket_us</t>
        </is>
      </c>
      <c r="L50" s="26" t="n">
        <v>138</v>
      </c>
      <c r="M50" s="27" t="n">
        <v>2.38</v>
      </c>
      <c r="N50" s="28" t="n">
        <v>0.420168</v>
      </c>
      <c r="O50" s="28" t="n">
        <v>0.513767</v>
      </c>
      <c r="P50" s="28" t="n"/>
      <c r="Q50" s="28" t="n">
        <v>0.093599</v>
      </c>
      <c r="R50" s="26" t="n">
        <v>67</v>
      </c>
      <c r="S50" s="29" t="n">
        <v>1</v>
      </c>
      <c r="T50" s="24" t="inlineStr">
        <is>
          <t>lol-tiered-elo-v6</t>
        </is>
      </c>
      <c r="U50" s="24" t="inlineStr">
        <is>
          <t>settled</t>
        </is>
      </c>
      <c r="V50" s="24" t="inlineStr">
        <is>
          <t>loss</t>
        </is>
      </c>
      <c r="W50" s="26" t="n">
        <v>0</v>
      </c>
      <c r="X50" s="26" t="n">
        <v>1</v>
      </c>
      <c r="Y50" s="25" t="n"/>
      <c r="Z50" s="26" t="n">
        <v>138</v>
      </c>
      <c r="AA50" s="28" t="n">
        <v>0.42</v>
      </c>
      <c r="AB50" s="28" t="n">
        <v>-0.000168</v>
      </c>
      <c r="AC50" s="30" t="n">
        <v>-1</v>
      </c>
      <c r="AD50" s="24" t="inlineStr">
        <is>
          <t>2026-08-05T20:59:36.529356Z</t>
        </is>
      </c>
      <c r="AE50" s="31" t="inlineStr">
        <is>
          <t>Neutral Elo baseline; executable ask 0.4200 (market_slug=aec-lol-jsk-piv-2026-08-05).</t>
        </is>
      </c>
      <c r="AF50" s="31" t="inlineStr">
        <is>
          <t>Config-promoted esports baseline; gates enforced at log time.</t>
        </is>
      </c>
      <c r="AG50" s="24" t="inlineStr">
        <is>
          <t>review_required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NO_CALL_LOW_EDGE</t>
        </is>
      </c>
      <c r="AP50" s="24" t="inlineStr">
        <is>
          <t>Pyramid IV Esports</t>
        </is>
      </c>
      <c r="AQ50" s="24" t="inlineStr">
        <is>
          <t>Pyramid IV Esports</t>
        </is>
      </c>
      <c r="AR50" s="24" t="inlineStr">
        <is>
          <t>Pyramid IV Esports</t>
        </is>
      </c>
      <c r="AS50" s="24" t="inlineStr">
        <is>
          <t>JSK Esports</t>
        </is>
      </c>
      <c r="AT50" s="24" t="inlineStr">
        <is>
          <t>JSK Esports</t>
        </is>
      </c>
      <c r="AU50" s="24" t="inlineStr">
        <is>
          <t>JSK Esports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3b2b7fa569f62411a6dc2753c695e98717a67f225e8074aac963d117b250c28b</t>
        </is>
      </c>
      <c r="BB50" s="24" t="inlineStr">
        <is>
          <t>neutral_elo</t>
        </is>
      </c>
      <c r="BC50" s="24" t="inlineStr">
        <is>
          <t>lol-tiered-elo-v6</t>
        </is>
      </c>
      <c r="BD50" s="24" t="inlineStr">
        <is>
          <t>3b2b7fa569f62411a6dc2753c695e98717a67f225e8074aac963d117b250c28b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lol-tiered-elo-v6</t>
        </is>
      </c>
      <c r="BH50" s="24" t="inlineStr">
        <is>
          <t>2026-08-05T13:56:11.509518Z</t>
        </is>
      </c>
      <c r="BI50" s="24" t="inlineStr">
        <is>
          <t>["same_event","same_team_same_day","same_league_same_day"]</t>
        </is>
      </c>
      <c r="BJ50" s="25" t="n"/>
      <c r="BK50" s="26" t="n">
        <v>138</v>
      </c>
      <c r="BL50" s="27" t="n">
        <v>2.38</v>
      </c>
      <c r="BM50" s="28" t="n">
        <v>0.420168</v>
      </c>
      <c r="BN50" s="28" t="n"/>
      <c r="BO50" s="28" t="n"/>
      <c r="BP50" s="25" t="n"/>
      <c r="BQ50" s="27" t="n">
        <v>2.38</v>
      </c>
      <c r="BR50" s="28" t="n">
        <v>0.42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True</t>
        </is>
      </c>
    </row>
    <row r="51" ht="36" customHeight="1">
      <c r="A51" s="24" t="inlineStr">
        <is>
          <t>00dd5007324144cb</t>
        </is>
      </c>
      <c r="B51" s="24" t="inlineStr">
        <is>
          <t>2026-08-05T13:56:43.896254Z</t>
        </is>
      </c>
      <c r="C51" s="24" t="inlineStr">
        <is>
          <t>2026-08-05T16:00:00Z</t>
        </is>
      </c>
      <c r="D51" s="24" t="inlineStr">
        <is>
          <t>69819</t>
        </is>
      </c>
      <c r="E51" s="24" t="inlineStr">
        <is>
          <t>LOL</t>
        </is>
      </c>
      <c r="F51" s="24" t="inlineStr">
        <is>
          <t>Epic Avalanche</t>
        </is>
      </c>
      <c r="G51" s="24" t="inlineStr">
        <is>
          <t>Brod n Friends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-178</v>
      </c>
      <c r="M51" s="27" t="n">
        <v>1.561798</v>
      </c>
      <c r="N51" s="28" t="n">
        <v>0.640288</v>
      </c>
      <c r="O51" s="28" t="n">
        <v>0.530813</v>
      </c>
      <c r="P51" s="28" t="n"/>
      <c r="Q51" s="28" t="n">
        <v>-0.109475</v>
      </c>
      <c r="R51" s="26" t="n">
        <v>0</v>
      </c>
      <c r="S51" s="29" t="n">
        <v>1</v>
      </c>
      <c r="T51" s="24" t="inlineStr">
        <is>
          <t>lol-tiered-elo-v6</t>
        </is>
      </c>
      <c r="U51" s="24" t="inlineStr">
        <is>
          <t>settled</t>
        </is>
      </c>
      <c r="V51" s="24" t="inlineStr">
        <is>
          <t>win</t>
        </is>
      </c>
      <c r="W51" s="26" t="n">
        <v>0</v>
      </c>
      <c r="X51" s="26" t="n">
        <v>1</v>
      </c>
      <c r="Y51" s="25" t="n"/>
      <c r="Z51" s="26" t="n">
        <v>-178</v>
      </c>
      <c r="AA51" s="28" t="n">
        <v>0.64</v>
      </c>
      <c r="AB51" s="28" t="n">
        <v>-0.000288</v>
      </c>
      <c r="AC51" s="30" t="n">
        <v>0.5618</v>
      </c>
      <c r="AD51" s="24" t="inlineStr">
        <is>
          <t>2026-08-05T20:59:38.302579Z</t>
        </is>
      </c>
      <c r="AE51" s="31" t="inlineStr">
        <is>
          <t>Neutral Elo baseline; executable ask 0.6400 (market_slug=aec-lol-bnf-ea-2026-08-05).</t>
        </is>
      </c>
      <c r="AF51" s="31" t="inlineStr">
        <is>
          <t>Config-promoted esports baseline; gates enforced at log time.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NO_CALL_LOW_EDGE</t>
        </is>
      </c>
      <c r="AP51" s="24" t="inlineStr">
        <is>
          <t>Epic Avalanche</t>
        </is>
      </c>
      <c r="AQ51" s="24" t="inlineStr">
        <is>
          <t>Epic Avalanche</t>
        </is>
      </c>
      <c r="AR51" s="24" t="inlineStr">
        <is>
          <t>Epic Avalanche</t>
        </is>
      </c>
      <c r="AS51" s="24" t="inlineStr">
        <is>
          <t>Brod n Friends</t>
        </is>
      </c>
      <c r="AT51" s="24" t="inlineStr">
        <is>
          <t>Brod n Friends</t>
        </is>
      </c>
      <c r="AU51" s="24" t="inlineStr">
        <is>
          <t>Brod n Friends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3b2b7fa569f62411a6dc2753c695e98717a67f225e8074aac963d117b250c28b</t>
        </is>
      </c>
      <c r="BB51" s="24" t="inlineStr">
        <is>
          <t>neutral_elo</t>
        </is>
      </c>
      <c r="BC51" s="24" t="inlineStr">
        <is>
          <t>lol-tiered-elo-v6</t>
        </is>
      </c>
      <c r="BD51" s="24" t="inlineStr">
        <is>
          <t>3b2b7fa569f62411a6dc2753c695e98717a67f225e8074aac963d117b250c28b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lol-tiered-elo-v6</t>
        </is>
      </c>
      <c r="BH51" s="24" t="inlineStr">
        <is>
          <t>2026-08-05T13:56:12.050160Z</t>
        </is>
      </c>
      <c r="BI51" s="24" t="inlineStr">
        <is>
          <t>["same_event","same_team_same_day","same_league_same_day"]</t>
        </is>
      </c>
      <c r="BJ51" s="25" t="n"/>
      <c r="BK51" s="26" t="n">
        <v>-178</v>
      </c>
      <c r="BL51" s="27" t="n">
        <v>1.561798</v>
      </c>
      <c r="BM51" s="28" t="n">
        <v>0.640288</v>
      </c>
      <c r="BN51" s="28" t="n"/>
      <c r="BO51" s="28" t="n"/>
      <c r="BP51" s="25" t="n"/>
      <c r="BQ51" s="27" t="n">
        <v>1.561798</v>
      </c>
      <c r="BR51" s="28" t="n">
        <v>0.64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False</t>
        </is>
      </c>
    </row>
    <row r="52" ht="36" customHeight="1">
      <c r="A52" s="24" t="inlineStr">
        <is>
          <t>e600d12fed3b4a7c</t>
        </is>
      </c>
      <c r="B52" s="24" t="inlineStr">
        <is>
          <t>2026-08-05T13:56:43.896254Z</t>
        </is>
      </c>
      <c r="C52" s="24" t="inlineStr">
        <is>
          <t>2026-08-05T17:00:00Z</t>
        </is>
      </c>
      <c r="D52" s="24" t="inlineStr">
        <is>
          <t>69871</t>
        </is>
      </c>
      <c r="E52" s="24" t="inlineStr">
        <is>
          <t>LOL</t>
        </is>
      </c>
      <c r="F52" s="24" t="inlineStr">
        <is>
          <t>Kaufland Hangry Knights</t>
        </is>
      </c>
      <c r="G52" s="24" t="inlineStr">
        <is>
          <t>TeamOrangeGaming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104</v>
      </c>
      <c r="M52" s="27" t="n">
        <v>2.04</v>
      </c>
      <c r="N52" s="28" t="n">
        <v>0.490196</v>
      </c>
      <c r="O52" s="28" t="n">
        <v>0.54899</v>
      </c>
      <c r="P52" s="28" t="n"/>
      <c r="Q52" s="28" t="n">
        <v>0.058794</v>
      </c>
      <c r="R52" s="26" t="n">
        <v>49</v>
      </c>
      <c r="S52" s="29" t="n">
        <v>1</v>
      </c>
      <c r="T52" s="24" t="inlineStr">
        <is>
          <t>lol-tiered-elo-v6</t>
        </is>
      </c>
      <c r="U52" s="24" t="inlineStr">
        <is>
          <t>settled</t>
        </is>
      </c>
      <c r="V52" s="24" t="inlineStr">
        <is>
          <t>win</t>
        </is>
      </c>
      <c r="W52" s="26" t="n">
        <v>0</v>
      </c>
      <c r="X52" s="26" t="n">
        <v>1</v>
      </c>
      <c r="Y52" s="25" t="n"/>
      <c r="Z52" s="26" t="n">
        <v>104</v>
      </c>
      <c r="AA52" s="28" t="n">
        <v>0.49</v>
      </c>
      <c r="AB52" s="28" t="n">
        <v>-0.000196</v>
      </c>
      <c r="AC52" s="30" t="n">
        <v>1.04</v>
      </c>
      <c r="AD52" s="24" t="inlineStr">
        <is>
          <t>2026-08-05T20:59:40.019407Z</t>
        </is>
      </c>
      <c r="AE52" s="31" t="inlineStr">
        <is>
          <t>Neutral Elo baseline; executable ask 0.4900 (market_slug=aec-lol-tog-khk-2026-08-05).</t>
        </is>
      </c>
      <c r="AF52" s="31" t="inlineStr">
        <is>
          <t>Config-promoted esports baseline; gates enforced at log time.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model_qualified</t>
        </is>
      </c>
      <c r="AL52" s="26" t="n">
        <v>3</v>
      </c>
      <c r="AM52" s="24" t="inlineStr">
        <is>
          <t>QUALIFIED_SHADOW_CALL</t>
        </is>
      </c>
      <c r="AN52" s="24" t="inlineStr">
        <is>
          <t>CALL</t>
        </is>
      </c>
      <c r="AO52" s="24" t="inlineStr">
        <is>
          <t>QUALIFIED</t>
        </is>
      </c>
      <c r="AP52" s="24" t="inlineStr">
        <is>
          <t>Kaufland Hangry Knights</t>
        </is>
      </c>
      <c r="AQ52" s="24" t="inlineStr">
        <is>
          <t>Kaufland Hangry Knights</t>
        </is>
      </c>
      <c r="AR52" s="24" t="inlineStr">
        <is>
          <t>Kaufland Hangry Knights</t>
        </is>
      </c>
      <c r="AS52" s="24" t="inlineStr">
        <is>
          <t>TeamOrangeGaming</t>
        </is>
      </c>
      <c r="AT52" s="24" t="inlineStr">
        <is>
          <t>TeamOrangeGaming</t>
        </is>
      </c>
      <c r="AU52" s="24" t="inlineStr">
        <is>
          <t>TeamOrangeGaming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3b2b7fa569f62411a6dc2753c695e98717a67f225e8074aac963d117b250c28b</t>
        </is>
      </c>
      <c r="BB52" s="24" t="inlineStr">
        <is>
          <t>neutral_elo</t>
        </is>
      </c>
      <c r="BC52" s="24" t="inlineStr">
        <is>
          <t>lol-tiered-elo-v6</t>
        </is>
      </c>
      <c r="BD52" s="24" t="inlineStr">
        <is>
          <t>3b2b7fa569f62411a6dc2753c695e98717a67f225e8074aac963d117b250c28b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lol-tiered-elo-v6</t>
        </is>
      </c>
      <c r="BH52" s="24" t="inlineStr">
        <is>
          <t>2026-08-05T13:56:13.554249Z</t>
        </is>
      </c>
      <c r="BI52" s="24" t="inlineStr">
        <is>
          <t>["same_event","same_team_same_day","same_league_same_day"]</t>
        </is>
      </c>
      <c r="BJ52" s="25" t="n"/>
      <c r="BK52" s="26" t="n">
        <v>104</v>
      </c>
      <c r="BL52" s="27" t="n">
        <v>2.04</v>
      </c>
      <c r="BM52" s="28" t="n">
        <v>0.490196</v>
      </c>
      <c r="BN52" s="28" t="n"/>
      <c r="BO52" s="28" t="n"/>
      <c r="BP52" s="25" t="n"/>
      <c r="BQ52" s="27" t="n">
        <v>2.04</v>
      </c>
      <c r="BR52" s="28" t="n">
        <v>0.49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True</t>
        </is>
      </c>
    </row>
    <row r="53" ht="36" customHeight="1">
      <c r="A53" s="24" t="inlineStr">
        <is>
          <t>d64b7da574c04576</t>
        </is>
      </c>
      <c r="B53" s="24" t="inlineStr">
        <is>
          <t>2026-08-05T13:56:43.896254Z</t>
        </is>
      </c>
      <c r="C53" s="24" t="inlineStr">
        <is>
          <t>2026-08-05T17:00:00Z</t>
        </is>
      </c>
      <c r="D53" s="24" t="inlineStr">
        <is>
          <t>70569</t>
        </is>
      </c>
      <c r="E53" s="24" t="inlineStr">
        <is>
          <t>LOL</t>
        </is>
      </c>
      <c r="F53" s="24" t="inlineStr">
        <is>
          <t>devils.one inStreamly</t>
        </is>
      </c>
      <c r="G53" s="24" t="inlineStr">
        <is>
          <t>BOMBA Team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-113</v>
      </c>
      <c r="M53" s="27" t="n">
        <v>1.884956</v>
      </c>
      <c r="N53" s="28" t="n">
        <v>0.530516</v>
      </c>
      <c r="O53" s="28" t="n">
        <v>0.761043</v>
      </c>
      <c r="P53" s="28" t="n"/>
      <c r="Q53" s="28" t="n">
        <v>0.230527</v>
      </c>
      <c r="R53" s="26" t="n">
        <v>100</v>
      </c>
      <c r="S53" s="29" t="n">
        <v>2</v>
      </c>
      <c r="T53" s="24" t="inlineStr">
        <is>
          <t>lol-tiered-elo-v6</t>
        </is>
      </c>
      <c r="U53" s="24" t="inlineStr">
        <is>
          <t>settled</t>
        </is>
      </c>
      <c r="V53" s="24" t="inlineStr">
        <is>
          <t>loss</t>
        </is>
      </c>
      <c r="W53" s="26" t="n">
        <v>1</v>
      </c>
      <c r="X53" s="26" t="n">
        <v>0</v>
      </c>
      <c r="Y53" s="25" t="n"/>
      <c r="Z53" s="26" t="n">
        <v>-113</v>
      </c>
      <c r="AA53" s="28" t="n">
        <v>0.53</v>
      </c>
      <c r="AB53" s="28" t="n">
        <v>-0.000516</v>
      </c>
      <c r="AC53" s="30" t="n">
        <v>-2</v>
      </c>
      <c r="AD53" s="24" t="inlineStr">
        <is>
          <t>2026-08-05T20:59:41.741741Z</t>
        </is>
      </c>
      <c r="AE53" s="31" t="inlineStr">
        <is>
          <t>Neutral Elo baseline; executable ask 0.5300 (market_slug=aec-lol-boom-dv1-2026-08-05).</t>
        </is>
      </c>
      <c r="AF53" s="31" t="inlineStr">
        <is>
          <t>Config-promoted esports baseline; gates enforced at log time.</t>
        </is>
      </c>
      <c r="AG53" s="24" t="inlineStr">
        <is>
          <t>review_required</t>
        </is>
      </c>
      <c r="AH53" s="24" t="n"/>
      <c r="AI53" s="31" t="n"/>
      <c r="AJ53" s="31" t="n"/>
      <c r="AK53" s="24" t="inlineStr">
        <is>
          <t>model_qualified</t>
        </is>
      </c>
      <c r="AL53" s="26" t="n">
        <v>3</v>
      </c>
      <c r="AM53" s="24" t="inlineStr">
        <is>
          <t>QUALIFIED_SHADOW_CALL</t>
        </is>
      </c>
      <c r="AN53" s="24" t="inlineStr">
        <is>
          <t>CALL</t>
        </is>
      </c>
      <c r="AO53" s="24" t="inlineStr">
        <is>
          <t>QUALIFIED</t>
        </is>
      </c>
      <c r="AP53" s="24" t="inlineStr">
        <is>
          <t>devils.one inStreamly</t>
        </is>
      </c>
      <c r="AQ53" s="24" t="inlineStr">
        <is>
          <t>devils.one inStreamly</t>
        </is>
      </c>
      <c r="AR53" s="24" t="inlineStr">
        <is>
          <t>devils.one inStreamly</t>
        </is>
      </c>
      <c r="AS53" s="24" t="inlineStr">
        <is>
          <t>BOMBA Team</t>
        </is>
      </c>
      <c r="AT53" s="24" t="inlineStr">
        <is>
          <t>BOMBA Team</t>
        </is>
      </c>
      <c r="AU53" s="24" t="inlineStr">
        <is>
          <t>BOMBA Team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3b2b7fa569f62411a6dc2753c695e98717a67f225e8074aac963d117b250c28b</t>
        </is>
      </c>
      <c r="BB53" s="24" t="inlineStr">
        <is>
          <t>neutral_elo</t>
        </is>
      </c>
      <c r="BC53" s="24" t="inlineStr">
        <is>
          <t>lol-tiered-elo-v6</t>
        </is>
      </c>
      <c r="BD53" s="24" t="inlineStr">
        <is>
          <t>3b2b7fa569f62411a6dc2753c695e98717a67f225e8074aac963d117b250c28b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lol-tiered-elo-v6</t>
        </is>
      </c>
      <c r="BH53" s="24" t="inlineStr">
        <is>
          <t>2026-08-05T13:56:15.101150Z</t>
        </is>
      </c>
      <c r="BI53" s="24" t="inlineStr">
        <is>
          <t>["same_event","same_team_same_day","same_league_same_day"]</t>
        </is>
      </c>
      <c r="BJ53" s="25" t="n"/>
      <c r="BK53" s="26" t="n">
        <v>-113</v>
      </c>
      <c r="BL53" s="27" t="n">
        <v>1.884956</v>
      </c>
      <c r="BM53" s="28" t="n">
        <v>0.530516</v>
      </c>
      <c r="BN53" s="28" t="n"/>
      <c r="BO53" s="28" t="n"/>
      <c r="BP53" s="25" t="n"/>
      <c r="BQ53" s="27" t="n">
        <v>1.884956</v>
      </c>
      <c r="BR53" s="28" t="n">
        <v>0.53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True</t>
        </is>
      </c>
    </row>
    <row r="54" ht="36" customHeight="1">
      <c r="A54" s="24" t="inlineStr">
        <is>
          <t>3ec88eeb906b4de5</t>
        </is>
      </c>
      <c r="B54" s="24" t="inlineStr">
        <is>
          <t>2026-08-05T17:05:09.750488Z</t>
        </is>
      </c>
      <c r="C54" s="24" t="inlineStr">
        <is>
          <t>2026-08-05T17:30:00Z</t>
        </is>
      </c>
      <c r="D54" s="24" t="inlineStr">
        <is>
          <t>69931</t>
        </is>
      </c>
      <c r="E54" s="24" t="inlineStr">
        <is>
          <t>LOL</t>
        </is>
      </c>
      <c r="F54" s="24" t="inlineStr">
        <is>
          <t>⁠Movistar KOI Fénix</t>
        </is>
      </c>
      <c r="G54" s="24" t="inlineStr">
        <is>
          <t>UCAM Esports Club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104</v>
      </c>
      <c r="M54" s="27" t="n">
        <v>2.04</v>
      </c>
      <c r="N54" s="28" t="n">
        <v>0.490196</v>
      </c>
      <c r="O54" s="28" t="n">
        <v>0.597761</v>
      </c>
      <c r="P54" s="28" t="n"/>
      <c r="Q54" s="28" t="n">
        <v>0.107565</v>
      </c>
      <c r="R54" s="26" t="n">
        <v>74</v>
      </c>
      <c r="S54" s="29" t="n">
        <v>1.25</v>
      </c>
      <c r="T54" s="24" t="inlineStr">
        <is>
          <t>lol-tiered-elo-v6</t>
        </is>
      </c>
      <c r="U54" s="24" t="inlineStr">
        <is>
          <t>settled</t>
        </is>
      </c>
      <c r="V54" s="24" t="inlineStr">
        <is>
          <t>loss</t>
        </is>
      </c>
      <c r="W54" s="26" t="n">
        <v>1</v>
      </c>
      <c r="X54" s="26" t="n">
        <v>0</v>
      </c>
      <c r="Y54" s="25" t="n"/>
      <c r="Z54" s="26" t="n">
        <v>104</v>
      </c>
      <c r="AA54" s="28" t="n">
        <v>0.49</v>
      </c>
      <c r="AB54" s="28" t="n">
        <v>-0.000196</v>
      </c>
      <c r="AC54" s="30" t="n">
        <v>-1.25</v>
      </c>
      <c r="AD54" s="24" t="inlineStr">
        <is>
          <t>2026-08-06T00:22:25.721709Z</t>
        </is>
      </c>
      <c r="AE54" s="31" t="inlineStr">
        <is>
          <t>Neutral Elo baseline; executable ask 0.4900 (market_slug=aec-lol-ucam-mkf-2026-08-05).</t>
        </is>
      </c>
      <c r="AF54" s="31" t="inlineStr">
        <is>
          <t>Config-promoted esports baseline; gates enforced at log time.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model_qualified</t>
        </is>
      </c>
      <c r="AL54" s="26" t="n">
        <v>3</v>
      </c>
      <c r="AM54" s="24" t="inlineStr">
        <is>
          <t>QUALIFIED_SHADOW_CALL</t>
        </is>
      </c>
      <c r="AN54" s="24" t="inlineStr">
        <is>
          <t>CALL</t>
        </is>
      </c>
      <c r="AO54" s="24" t="inlineStr">
        <is>
          <t>QUALIFIED</t>
        </is>
      </c>
      <c r="AP54" s="24" t="inlineStr">
        <is>
          <t>⁠Movistar KOI Fénix</t>
        </is>
      </c>
      <c r="AQ54" s="24" t="inlineStr">
        <is>
          <t>⁠Movistar KOI Fénix</t>
        </is>
      </c>
      <c r="AR54" s="24" t="inlineStr">
        <is>
          <t>⁠Movistar KOI Fénix</t>
        </is>
      </c>
      <c r="AS54" s="24" t="inlineStr">
        <is>
          <t>UCAM Esports Club</t>
        </is>
      </c>
      <c r="AT54" s="24" t="inlineStr">
        <is>
          <t>UCAM Esports Club</t>
        </is>
      </c>
      <c r="AU54" s="24" t="inlineStr">
        <is>
          <t>UCAM Esports Club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4863ace20696b49ac8d86afb992436652bb1bb2b13aa3380a50818cc662a18c0</t>
        </is>
      </c>
      <c r="BB54" s="24" t="inlineStr">
        <is>
          <t>neutral_elo</t>
        </is>
      </c>
      <c r="BC54" s="24" t="inlineStr">
        <is>
          <t>lol-tiered-elo-v6</t>
        </is>
      </c>
      <c r="BD54" s="24" t="inlineStr">
        <is>
          <t>4863ace20696b49ac8d86afb992436652bb1bb2b13aa3380a50818cc662a18c0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lol-tiered-elo-v6</t>
        </is>
      </c>
      <c r="BH54" s="24" t="inlineStr">
        <is>
          <t>2026-08-05T17:04:41.345485Z</t>
        </is>
      </c>
      <c r="BI54" s="24" t="inlineStr">
        <is>
          <t>["same_event","same_team_same_day","same_league_same_day"]</t>
        </is>
      </c>
      <c r="BJ54" s="25" t="n"/>
      <c r="BK54" s="26" t="n">
        <v>104</v>
      </c>
      <c r="BL54" s="27" t="n">
        <v>2.04</v>
      </c>
      <c r="BM54" s="28" t="n">
        <v>0.490196</v>
      </c>
      <c r="BN54" s="28" t="n"/>
      <c r="BO54" s="28" t="n"/>
      <c r="BP54" s="25" t="n"/>
      <c r="BQ54" s="27" t="n">
        <v>2.04</v>
      </c>
      <c r="BR54" s="28" t="n">
        <v>0.49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True</t>
        </is>
      </c>
    </row>
    <row r="55" ht="36" customHeight="1">
      <c r="A55" s="24" t="inlineStr">
        <is>
          <t>d200cf1b86d042c8</t>
        </is>
      </c>
      <c r="B55" s="24" t="inlineStr">
        <is>
          <t>2026-08-05T17:05:09.750488Z</t>
        </is>
      </c>
      <c r="C55" s="24" t="inlineStr">
        <is>
          <t>2026-08-05T18:00:00Z</t>
        </is>
      </c>
      <c r="D55" s="24" t="inlineStr">
        <is>
          <t>69950</t>
        </is>
      </c>
      <c r="E55" s="24" t="inlineStr">
        <is>
          <t>LOL</t>
        </is>
      </c>
      <c r="F55" s="24" t="inlineStr">
        <is>
          <t>Lupus Esports</t>
        </is>
      </c>
      <c r="G55" s="24" t="inlineStr">
        <is>
          <t>SPIKE Syndicate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-133</v>
      </c>
      <c r="M55" s="27" t="n">
        <v>1.75188</v>
      </c>
      <c r="N55" s="28" t="n">
        <v>0.570815</v>
      </c>
      <c r="O55" s="28" t="n">
        <v>0.554044</v>
      </c>
      <c r="P55" s="28" t="n"/>
      <c r="Q55" s="28" t="n">
        <v>-0.016771</v>
      </c>
      <c r="R55" s="26" t="n">
        <v>12</v>
      </c>
      <c r="S55" s="29" t="n">
        <v>0</v>
      </c>
      <c r="T55" s="24" t="inlineStr">
        <is>
          <t>lol-tiered-elo-v6</t>
        </is>
      </c>
      <c r="U55" s="24" t="inlineStr">
        <is>
          <t>open</t>
        </is>
      </c>
      <c r="V55" s="24" t="n"/>
      <c r="W55" s="26" t="n"/>
      <c r="X55" s="26" t="n"/>
      <c r="Y55" s="25" t="n"/>
      <c r="Z55" s="26" t="n"/>
      <c r="AA55" s="28" t="n"/>
      <c r="AB55" s="28" t="n"/>
      <c r="AC55" s="30" t="n"/>
      <c r="AD55" s="24" t="n"/>
      <c r="AE55" s="31" t="inlineStr">
        <is>
          <t>Neutral Elo baseline; executable ask 0.5700 (market_slug=aec-lol-spk-lps-2026-08-05).</t>
        </is>
      </c>
      <c r="AF55" s="31" t="inlineStr">
        <is>
          <t>Config-promoted esports baseline; gates enforced at log time.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NO_CALL_WINNER_OVERVALUED</t>
        </is>
      </c>
      <c r="AP55" s="24" t="inlineStr">
        <is>
          <t>Lupus Esports</t>
        </is>
      </c>
      <c r="AQ55" s="24" t="inlineStr">
        <is>
          <t>Lupus Esports</t>
        </is>
      </c>
      <c r="AR55" s="24" t="inlineStr">
        <is>
          <t>Lupus Esports</t>
        </is>
      </c>
      <c r="AS55" s="24" t="inlineStr">
        <is>
          <t>SPIKE Syndicate</t>
        </is>
      </c>
      <c r="AT55" s="24" t="inlineStr">
        <is>
          <t>SPIKE Syndicate</t>
        </is>
      </c>
      <c r="AU55" s="24" t="inlineStr">
        <is>
          <t>SPIKE Syndicate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4863ace20696b49ac8d86afb992436652bb1bb2b13aa3380a50818cc662a18c0</t>
        </is>
      </c>
      <c r="BB55" s="24" t="inlineStr">
        <is>
          <t>neutral_elo</t>
        </is>
      </c>
      <c r="BC55" s="24" t="inlineStr">
        <is>
          <t>lol-tiered-elo-v6</t>
        </is>
      </c>
      <c r="BD55" s="24" t="inlineStr">
        <is>
          <t>4863ace20696b49ac8d86afb992436652bb1bb2b13aa3380a50818cc662a18c0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lol-tiered-elo-v6</t>
        </is>
      </c>
      <c r="BH55" s="24" t="inlineStr">
        <is>
          <t>2026-08-05T17:04:42.614421Z</t>
        </is>
      </c>
      <c r="BI55" s="24" t="inlineStr">
        <is>
          <t>["same_event","same_team_same_day","same_league_same_day"]</t>
        </is>
      </c>
      <c r="BJ55" s="25" t="n"/>
      <c r="BK55" s="26" t="n">
        <v>-133</v>
      </c>
      <c r="BL55" s="27" t="n">
        <v>1.75188</v>
      </c>
      <c r="BM55" s="28" t="n">
        <v>0.570815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False</t>
        </is>
      </c>
    </row>
    <row r="56" ht="36" customHeight="1">
      <c r="A56" s="24" t="inlineStr">
        <is>
          <t>b04744a2dc5c4d96</t>
        </is>
      </c>
      <c r="B56" s="24" t="inlineStr">
        <is>
          <t>2026-08-05T17:05:09.750488Z</t>
        </is>
      </c>
      <c r="C56" s="24" t="inlineStr">
        <is>
          <t>2026-08-05T18:00:00Z</t>
        </is>
      </c>
      <c r="D56" s="24" t="inlineStr">
        <is>
          <t>69951</t>
        </is>
      </c>
      <c r="E56" s="24" t="inlineStr">
        <is>
          <t>LOL</t>
        </is>
      </c>
      <c r="F56" s="24" t="inlineStr">
        <is>
          <t>Rich Gang</t>
        </is>
      </c>
      <c r="G56" s="24" t="inlineStr">
        <is>
          <t>2 Massive</t>
        </is>
      </c>
      <c r="H56" s="24" t="inlineStr">
        <is>
          <t>moneyline</t>
        </is>
      </c>
      <c r="I56" s="24" t="inlineStr">
        <is>
          <t>away</t>
        </is>
      </c>
      <c r="J56" s="25" t="n"/>
      <c r="K56" s="24" t="inlineStr">
        <is>
          <t>polymarket_us</t>
        </is>
      </c>
      <c r="L56" s="26" t="n">
        <v>-127</v>
      </c>
      <c r="M56" s="27" t="n">
        <v>1.787402</v>
      </c>
      <c r="N56" s="28" t="n">
        <v>0.5594710000000001</v>
      </c>
      <c r="O56" s="28" t="n">
        <v>0.511567</v>
      </c>
      <c r="P56" s="28" t="n"/>
      <c r="Q56" s="28" t="n">
        <v>-0.047904</v>
      </c>
      <c r="R56" s="26" t="n">
        <v>0</v>
      </c>
      <c r="S56" s="29" t="n">
        <v>0</v>
      </c>
      <c r="T56" s="24" t="inlineStr">
        <is>
          <t>lol-tiered-elo-v6</t>
        </is>
      </c>
      <c r="U56" s="24" t="inlineStr">
        <is>
          <t>settled</t>
        </is>
      </c>
      <c r="V56" s="24" t="inlineStr">
        <is>
          <t>win</t>
        </is>
      </c>
      <c r="W56" s="26" t="n">
        <v>1</v>
      </c>
      <c r="X56" s="26" t="n">
        <v>0</v>
      </c>
      <c r="Y56" s="25" t="n"/>
      <c r="Z56" s="26" t="n">
        <v>-127</v>
      </c>
      <c r="AA56" s="28" t="n">
        <v>0.5600000000000001</v>
      </c>
      <c r="AB56" s="28" t="n">
        <v>0.000529</v>
      </c>
      <c r="AC56" s="30" t="n">
        <v>0</v>
      </c>
      <c r="AD56" s="24" t="inlineStr">
        <is>
          <t>2026-08-06T03:27:43.503872Z</t>
        </is>
      </c>
      <c r="AE56" s="31" t="inlineStr">
        <is>
          <t>Neutral Elo baseline; executable ask 0.5600 (market_slug=aec-lol-mas-rgi-2026-08-05).</t>
        </is>
      </c>
      <c r="AF56" s="31" t="inlineStr">
        <is>
          <t>Config-promoted esports baseline; gates enforced at log time.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NO_CALL_WINNER_OVERVALUED</t>
        </is>
      </c>
      <c r="AP56" s="24" t="inlineStr">
        <is>
          <t>Rich Gang</t>
        </is>
      </c>
      <c r="AQ56" s="24" t="inlineStr">
        <is>
          <t>Rich Gang</t>
        </is>
      </c>
      <c r="AR56" s="24" t="inlineStr">
        <is>
          <t>Rich Gang</t>
        </is>
      </c>
      <c r="AS56" s="24" t="inlineStr">
        <is>
          <t>2 Massive</t>
        </is>
      </c>
      <c r="AT56" s="24" t="inlineStr">
        <is>
          <t>2 Massive</t>
        </is>
      </c>
      <c r="AU56" s="24" t="inlineStr">
        <is>
          <t>2 Massive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4863ace20696b49ac8d86afb992436652bb1bb2b13aa3380a50818cc662a18c0</t>
        </is>
      </c>
      <c r="BB56" s="24" t="inlineStr">
        <is>
          <t>neutral_elo</t>
        </is>
      </c>
      <c r="BC56" s="24" t="inlineStr">
        <is>
          <t>lol-tiered-elo-v6</t>
        </is>
      </c>
      <c r="BD56" s="24" t="inlineStr">
        <is>
          <t>4863ace20696b49ac8d86afb992436652bb1bb2b13aa3380a50818cc662a18c0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lol-tiered-elo-v6</t>
        </is>
      </c>
      <c r="BH56" s="24" t="inlineStr">
        <is>
          <t>2026-08-05T17:04:43.228206Z</t>
        </is>
      </c>
      <c r="BI56" s="24" t="inlineStr">
        <is>
          <t>["same_event","same_team_same_day","same_league_same_day"]</t>
        </is>
      </c>
      <c r="BJ56" s="25" t="n"/>
      <c r="BK56" s="26" t="n">
        <v>-127</v>
      </c>
      <c r="BL56" s="27" t="n">
        <v>1.787402</v>
      </c>
      <c r="BM56" s="28" t="n">
        <v>0.5594710000000001</v>
      </c>
      <c r="BN56" s="28" t="n"/>
      <c r="BO56" s="28" t="n"/>
      <c r="BP56" s="25" t="n"/>
      <c r="BQ56" s="27" t="n">
        <v>1.787402</v>
      </c>
      <c r="BR56" s="28" t="n">
        <v>0.5600000000000001</v>
      </c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False</t>
        </is>
      </c>
    </row>
    <row r="57" ht="36" customHeight="1">
      <c r="A57" s="24" t="inlineStr">
        <is>
          <t>efeb2c2e3d1c4619</t>
        </is>
      </c>
      <c r="B57" s="24" t="inlineStr">
        <is>
          <t>2026-08-05T17:05:09.750488Z</t>
        </is>
      </c>
      <c r="C57" s="24" t="inlineStr">
        <is>
          <t>2026-08-05T18:00:00Z</t>
        </is>
      </c>
      <c r="D57" s="24" t="inlineStr">
        <is>
          <t>69948</t>
        </is>
      </c>
      <c r="E57" s="24" t="inlineStr">
        <is>
          <t>LOL</t>
        </is>
      </c>
      <c r="F57" s="24" t="inlineStr">
        <is>
          <t>Solary</t>
        </is>
      </c>
      <c r="G57" s="24" t="inlineStr">
        <is>
          <t>Karmine Corp Blue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203</v>
      </c>
      <c r="M57" s="27" t="n">
        <v>3.03</v>
      </c>
      <c r="N57" s="28" t="n">
        <v>0.330033</v>
      </c>
      <c r="O57" s="28" t="n">
        <v>0.506088</v>
      </c>
      <c r="P57" s="28" t="n"/>
      <c r="Q57" s="28" t="n">
        <v>0.176055</v>
      </c>
      <c r="R57" s="26" t="n">
        <v>100</v>
      </c>
      <c r="S57" s="29" t="n">
        <v>1</v>
      </c>
      <c r="T57" s="24" t="inlineStr">
        <is>
          <t>lol-tiered-elo-v6</t>
        </is>
      </c>
      <c r="U57" s="24" t="inlineStr">
        <is>
          <t>settled</t>
        </is>
      </c>
      <c r="V57" s="24" t="inlineStr">
        <is>
          <t>loss</t>
        </is>
      </c>
      <c r="W57" s="26" t="n">
        <v>1</v>
      </c>
      <c r="X57" s="26" t="n">
        <v>0</v>
      </c>
      <c r="Y57" s="25" t="n"/>
      <c r="Z57" s="26" t="n">
        <v>203</v>
      </c>
      <c r="AA57" s="28" t="n">
        <v>0.33</v>
      </c>
      <c r="AB57" s="28" t="n">
        <v>-3.3e-05</v>
      </c>
      <c r="AC57" s="30" t="n">
        <v>-1</v>
      </c>
      <c r="AD57" s="24" t="inlineStr">
        <is>
          <t>2026-08-05T20:59:46.654572Z</t>
        </is>
      </c>
      <c r="AE57" s="31" t="inlineStr">
        <is>
          <t>Neutral Elo baseline; executable ask 0.3300 (market_slug=aec-lol-kcb-sly-2026-08-05).</t>
        </is>
      </c>
      <c r="AF57" s="31" t="inlineStr">
        <is>
          <t>Config-promoted esports baseline; gates enforced at log time.</t>
        </is>
      </c>
      <c r="AG57" s="24" t="inlineStr">
        <is>
          <t>review_required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NO_CALL_LOW_EDGE</t>
        </is>
      </c>
      <c r="AP57" s="24" t="inlineStr">
        <is>
          <t>Solary</t>
        </is>
      </c>
      <c r="AQ57" s="24" t="inlineStr">
        <is>
          <t>Solary</t>
        </is>
      </c>
      <c r="AR57" s="24" t="inlineStr">
        <is>
          <t>Solary</t>
        </is>
      </c>
      <c r="AS57" s="24" t="inlineStr">
        <is>
          <t>Karmine Corp Blue</t>
        </is>
      </c>
      <c r="AT57" s="24" t="inlineStr">
        <is>
          <t>Karmine Corp Blue</t>
        </is>
      </c>
      <c r="AU57" s="24" t="inlineStr">
        <is>
          <t>Karmine Corp Blue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4863ace20696b49ac8d86afb992436652bb1bb2b13aa3380a50818cc662a18c0</t>
        </is>
      </c>
      <c r="BB57" s="24" t="inlineStr">
        <is>
          <t>neutral_elo</t>
        </is>
      </c>
      <c r="BC57" s="24" t="inlineStr">
        <is>
          <t>lol-tiered-elo-v6</t>
        </is>
      </c>
      <c r="BD57" s="24" t="inlineStr">
        <is>
          <t>4863ace20696b49ac8d86afb992436652bb1bb2b13aa3380a50818cc662a18c0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lol-tiered-elo-v6</t>
        </is>
      </c>
      <c r="BH57" s="24" t="inlineStr">
        <is>
          <t>2026-08-05T17:04:44.255380Z</t>
        </is>
      </c>
      <c r="BI57" s="24" t="inlineStr">
        <is>
          <t>["same_event","same_team_same_day","same_league_same_day"]</t>
        </is>
      </c>
      <c r="BJ57" s="25" t="n"/>
      <c r="BK57" s="26" t="n">
        <v>203</v>
      </c>
      <c r="BL57" s="27" t="n">
        <v>3.03</v>
      </c>
      <c r="BM57" s="28" t="n">
        <v>0.330033</v>
      </c>
      <c r="BN57" s="28" t="n"/>
      <c r="BO57" s="28" t="n"/>
      <c r="BP57" s="25" t="n"/>
      <c r="BQ57" s="27" t="n">
        <v>3.03</v>
      </c>
      <c r="BR57" s="28" t="n">
        <v>0.33</v>
      </c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True</t>
        </is>
      </c>
    </row>
    <row r="58" ht="36" customHeight="1">
      <c r="A58" s="24" t="inlineStr">
        <is>
          <t>fe439b06cd374812</t>
        </is>
      </c>
      <c r="B58" s="24" t="inlineStr">
        <is>
          <t>2026-08-05T17:05:09.750488Z</t>
        </is>
      </c>
      <c r="C58" s="24" t="inlineStr">
        <is>
          <t>2026-08-05T18:00:00Z</t>
        </is>
      </c>
      <c r="D58" s="24" t="inlineStr">
        <is>
          <t>69949</t>
        </is>
      </c>
      <c r="E58" s="24" t="inlineStr">
        <is>
          <t>LOL</t>
        </is>
      </c>
      <c r="F58" s="24" t="inlineStr">
        <is>
          <t>Hyperion</t>
        </is>
      </c>
      <c r="G58" s="24" t="inlineStr">
        <is>
          <t>Dominion Goblins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polymarket_us</t>
        </is>
      </c>
      <c r="L58" s="26" t="n">
        <v>104</v>
      </c>
      <c r="M58" s="27" t="n">
        <v>2.04</v>
      </c>
      <c r="N58" s="28" t="n">
        <v>0.490196</v>
      </c>
      <c r="O58" s="28" t="n">
        <v>0.519011</v>
      </c>
      <c r="P58" s="28" t="n"/>
      <c r="Q58" s="28" t="n">
        <v>0.028815</v>
      </c>
      <c r="R58" s="26" t="n">
        <v>34</v>
      </c>
      <c r="S58" s="29" t="n">
        <v>0</v>
      </c>
      <c r="T58" s="24" t="inlineStr">
        <is>
          <t>lol-tiered-elo-v6</t>
        </is>
      </c>
      <c r="U58" s="24" t="inlineStr">
        <is>
          <t>settled</t>
        </is>
      </c>
      <c r="V58" s="24" t="inlineStr">
        <is>
          <t>loss</t>
        </is>
      </c>
      <c r="W58" s="26" t="n">
        <v>1</v>
      </c>
      <c r="X58" s="26" t="n">
        <v>0</v>
      </c>
      <c r="Y58" s="25" t="n"/>
      <c r="Z58" s="26" t="n">
        <v>104</v>
      </c>
      <c r="AA58" s="28" t="n">
        <v>0.49</v>
      </c>
      <c r="AB58" s="28" t="n">
        <v>-0.000196</v>
      </c>
      <c r="AC58" s="30" t="n">
        <v>0</v>
      </c>
      <c r="AD58" s="24" t="inlineStr">
        <is>
          <t>2026-08-05T20:59:48.344345Z</t>
        </is>
      </c>
      <c r="AE58" s="31" t="inlineStr">
        <is>
          <t>Neutral Elo baseline; executable ask 0.4900 (market_slug=aec-lol-domi-hype-2026-08-05).</t>
        </is>
      </c>
      <c r="AF58" s="31" t="inlineStr">
        <is>
          <t>Config-promoted esports baseline; gates enforced at log time.</t>
        </is>
      </c>
      <c r="AG58" s="24" t="inlineStr">
        <is>
          <t>review_required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NO_CALL_WINNER_OVERVALUED</t>
        </is>
      </c>
      <c r="AP58" s="24" t="inlineStr">
        <is>
          <t>Hyperion</t>
        </is>
      </c>
      <c r="AQ58" s="24" t="inlineStr">
        <is>
          <t>Hyperion</t>
        </is>
      </c>
      <c r="AR58" s="24" t="inlineStr">
        <is>
          <t>Hyperion</t>
        </is>
      </c>
      <c r="AS58" s="24" t="inlineStr">
        <is>
          <t>Dominion Goblins</t>
        </is>
      </c>
      <c r="AT58" s="24" t="inlineStr">
        <is>
          <t>Dominion Goblins</t>
        </is>
      </c>
      <c r="AU58" s="24" t="inlineStr">
        <is>
          <t>Dominion Goblins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4863ace20696b49ac8d86afb992436652bb1bb2b13aa3380a50818cc662a18c0</t>
        </is>
      </c>
      <c r="BB58" s="24" t="inlineStr">
        <is>
          <t>neutral_elo</t>
        </is>
      </c>
      <c r="BC58" s="24" t="inlineStr">
        <is>
          <t>lol-tiered-elo-v6</t>
        </is>
      </c>
      <c r="BD58" s="24" t="inlineStr">
        <is>
          <t>4863ace20696b49ac8d86afb992436652bb1bb2b13aa3380a50818cc662a18c0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lol-tiered-elo-v6</t>
        </is>
      </c>
      <c r="BH58" s="24" t="inlineStr">
        <is>
          <t>2026-08-05T17:04:44.809528Z</t>
        </is>
      </c>
      <c r="BI58" s="24" t="inlineStr">
        <is>
          <t>["same_event","same_team_same_day","same_league_same_day"]</t>
        </is>
      </c>
      <c r="BJ58" s="25" t="n"/>
      <c r="BK58" s="26" t="n">
        <v>104</v>
      </c>
      <c r="BL58" s="27" t="n">
        <v>2.04</v>
      </c>
      <c r="BM58" s="28" t="n">
        <v>0.490196</v>
      </c>
      <c r="BN58" s="28" t="n"/>
      <c r="BO58" s="28" t="n"/>
      <c r="BP58" s="25" t="n"/>
      <c r="BQ58" s="27" t="n">
        <v>2.04</v>
      </c>
      <c r="BR58" s="28" t="n">
        <v>0.49</v>
      </c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True</t>
        </is>
      </c>
    </row>
    <row r="59" ht="36" customHeight="1">
      <c r="A59" s="24" t="inlineStr">
        <is>
          <t>e786b8cb2ee24dd6</t>
        </is>
      </c>
      <c r="B59" s="24" t="inlineStr">
        <is>
          <t>2026-08-05T17:05:09.750488Z</t>
        </is>
      </c>
      <c r="C59" s="24" t="inlineStr">
        <is>
          <t>2026-08-05T19:00:00Z</t>
        </is>
      </c>
      <c r="D59" s="24" t="inlineStr">
        <is>
          <t>70045</t>
        </is>
      </c>
      <c r="E59" s="24" t="inlineStr">
        <is>
          <t>LOL</t>
        </is>
      </c>
      <c r="F59" s="24" t="inlineStr">
        <is>
          <t>Ici Japon Corp. Esport</t>
        </is>
      </c>
      <c r="G59" s="24" t="inlineStr">
        <is>
          <t>ZYB Esport</t>
        </is>
      </c>
      <c r="H59" s="24" t="inlineStr">
        <is>
          <t>moneyline</t>
        </is>
      </c>
      <c r="I59" s="24" t="inlineStr">
        <is>
          <t>away</t>
        </is>
      </c>
      <c r="J59" s="25" t="n"/>
      <c r="K59" s="24" t="inlineStr">
        <is>
          <t>polymarket_us</t>
        </is>
      </c>
      <c r="L59" s="26" t="n">
        <v>104</v>
      </c>
      <c r="M59" s="27" t="n">
        <v>2.04</v>
      </c>
      <c r="N59" s="28" t="n">
        <v>0.490196</v>
      </c>
      <c r="O59" s="28" t="n">
        <v>0.598437</v>
      </c>
      <c r="P59" s="28" t="n"/>
      <c r="Q59" s="28" t="n">
        <v>0.108241</v>
      </c>
      <c r="R59" s="26" t="n">
        <v>74</v>
      </c>
      <c r="S59" s="29" t="n">
        <v>1.25</v>
      </c>
      <c r="T59" s="24" t="inlineStr">
        <is>
          <t>lol-tiered-elo-v6</t>
        </is>
      </c>
      <c r="U59" s="24" t="inlineStr">
        <is>
          <t>settled</t>
        </is>
      </c>
      <c r="V59" s="24" t="inlineStr">
        <is>
          <t>win</t>
        </is>
      </c>
      <c r="W59" s="26" t="n">
        <v>1</v>
      </c>
      <c r="X59" s="26" t="n">
        <v>0</v>
      </c>
      <c r="Y59" s="25" t="n"/>
      <c r="Z59" s="26" t="n">
        <v>104</v>
      </c>
      <c r="AA59" s="28" t="n">
        <v>0.49</v>
      </c>
      <c r="AB59" s="28" t="n">
        <v>-0.000196</v>
      </c>
      <c r="AC59" s="30" t="n">
        <v>1.3</v>
      </c>
      <c r="AD59" s="24" t="inlineStr">
        <is>
          <t>2026-08-05T20:59:50.087765Z</t>
        </is>
      </c>
      <c r="AE59" s="31" t="inlineStr">
        <is>
          <t>Neutral Elo baseline; executable ask 0.4900 (market_slug=aec-lol-zyb-ijc-2026-08-05).</t>
        </is>
      </c>
      <c r="AF59" s="31" t="inlineStr">
        <is>
          <t>Config-promoted esports baseline; gates enforced at log time.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model_qualified</t>
        </is>
      </c>
      <c r="AL59" s="26" t="n">
        <v>3</v>
      </c>
      <c r="AM59" s="24" t="inlineStr">
        <is>
          <t>QUALIFIED_SHADOW_CALL</t>
        </is>
      </c>
      <c r="AN59" s="24" t="inlineStr">
        <is>
          <t>CALL</t>
        </is>
      </c>
      <c r="AO59" s="24" t="inlineStr">
        <is>
          <t>QUALIFIED</t>
        </is>
      </c>
      <c r="AP59" s="24" t="inlineStr">
        <is>
          <t>Ici Japon Corp. Esport</t>
        </is>
      </c>
      <c r="AQ59" s="24" t="inlineStr">
        <is>
          <t>Ici Japon Corp. Esport</t>
        </is>
      </c>
      <c r="AR59" s="24" t="inlineStr">
        <is>
          <t>Ici Japon Corp. Esport</t>
        </is>
      </c>
      <c r="AS59" s="24" t="inlineStr">
        <is>
          <t>ZYB Esport</t>
        </is>
      </c>
      <c r="AT59" s="24" t="inlineStr">
        <is>
          <t>ZYB Esport</t>
        </is>
      </c>
      <c r="AU59" s="24" t="inlineStr">
        <is>
          <t>ZYB Esport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4863ace20696b49ac8d86afb992436652bb1bb2b13aa3380a50818cc662a18c0</t>
        </is>
      </c>
      <c r="BB59" s="24" t="inlineStr">
        <is>
          <t>neutral_elo</t>
        </is>
      </c>
      <c r="BC59" s="24" t="inlineStr">
        <is>
          <t>lol-tiered-elo-v6</t>
        </is>
      </c>
      <c r="BD59" s="24" t="inlineStr">
        <is>
          <t>4863ace20696b49ac8d86afb992436652bb1bb2b13aa3380a50818cc662a18c0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lol-tiered-elo-v6</t>
        </is>
      </c>
      <c r="BH59" s="24" t="inlineStr">
        <is>
          <t>2026-08-05T17:04:46.146013Z</t>
        </is>
      </c>
      <c r="BI59" s="24" t="inlineStr">
        <is>
          <t>["same_event","same_team_same_day","same_league_same_day"]</t>
        </is>
      </c>
      <c r="BJ59" s="25" t="n"/>
      <c r="BK59" s="26" t="n">
        <v>104</v>
      </c>
      <c r="BL59" s="27" t="n">
        <v>2.04</v>
      </c>
      <c r="BM59" s="28" t="n">
        <v>0.490196</v>
      </c>
      <c r="BN59" s="28" t="n"/>
      <c r="BO59" s="28" t="n"/>
      <c r="BP59" s="25" t="n"/>
      <c r="BQ59" s="27" t="n">
        <v>2.04</v>
      </c>
      <c r="BR59" s="28" t="n">
        <v>0.49</v>
      </c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True</t>
        </is>
      </c>
    </row>
    <row r="60" ht="36" customHeight="1">
      <c r="A60" s="24" t="inlineStr">
        <is>
          <t>333daeff6c914fb6</t>
        </is>
      </c>
      <c r="B60" s="24" t="inlineStr">
        <is>
          <t>2026-08-05T17:05:09.750488Z</t>
        </is>
      </c>
      <c r="C60" s="24" t="inlineStr">
        <is>
          <t>2026-08-05T20:00:00Z</t>
        </is>
      </c>
      <c r="D60" s="24" t="inlineStr">
        <is>
          <t>70301</t>
        </is>
      </c>
      <c r="E60" s="24" t="inlineStr">
        <is>
          <t>LOL</t>
        </is>
      </c>
      <c r="F60" s="24" t="inlineStr">
        <is>
          <t>Skillcamp Esport</t>
        </is>
      </c>
      <c r="G60" s="24" t="inlineStr">
        <is>
          <t>Vitality.Bee</t>
        </is>
      </c>
      <c r="H60" s="24" t="inlineStr">
        <is>
          <t>moneyline</t>
        </is>
      </c>
      <c r="I60" s="24" t="inlineStr">
        <is>
          <t>home</t>
        </is>
      </c>
      <c r="J60" s="25" t="n"/>
      <c r="K60" s="24" t="inlineStr">
        <is>
          <t>polymarket_us</t>
        </is>
      </c>
      <c r="L60" s="26" t="n">
        <v>-104</v>
      </c>
      <c r="M60" s="27" t="n">
        <v>1.961538</v>
      </c>
      <c r="N60" s="28" t="n">
        <v>0.509804</v>
      </c>
      <c r="O60" s="28" t="n">
        <v>0.583883</v>
      </c>
      <c r="P60" s="28" t="n"/>
      <c r="Q60" s="28" t="n">
        <v>0.07407900000000001</v>
      </c>
      <c r="R60" s="26" t="n">
        <v>57</v>
      </c>
      <c r="S60" s="29" t="n">
        <v>0</v>
      </c>
      <c r="T60" s="24" t="inlineStr">
        <is>
          <t>lol-tiered-elo-v6</t>
        </is>
      </c>
      <c r="U60" s="24" t="inlineStr">
        <is>
          <t>settled</t>
        </is>
      </c>
      <c r="V60" s="24" t="inlineStr">
        <is>
          <t>win</t>
        </is>
      </c>
      <c r="W60" s="26" t="n">
        <v>0</v>
      </c>
      <c r="X60" s="26" t="n">
        <v>1</v>
      </c>
      <c r="Y60" s="25" t="n"/>
      <c r="Z60" s="26" t="n">
        <v>-104</v>
      </c>
      <c r="AA60" s="28" t="n">
        <v>0.51</v>
      </c>
      <c r="AB60" s="28" t="n">
        <v>0.000196</v>
      </c>
      <c r="AC60" s="30" t="n">
        <v>0</v>
      </c>
      <c r="AD60" s="24" t="inlineStr">
        <is>
          <t>2026-08-05T20:59:51.857648Z</t>
        </is>
      </c>
      <c r="AE60" s="31" t="inlineStr">
        <is>
          <t>Neutral Elo baseline; executable ask 0.5100 (market_slug=aec-lol-vitb-sc-2026-08-05).</t>
        </is>
      </c>
      <c r="AF60" s="31" t="inlineStr">
        <is>
          <t>Config-promoted esports baseline; gates enforced at log time.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NO_CALL_WINNER_OVERVALUED</t>
        </is>
      </c>
      <c r="AP60" s="24" t="inlineStr">
        <is>
          <t>Skillcamp Esport</t>
        </is>
      </c>
      <c r="AQ60" s="24" t="inlineStr">
        <is>
          <t>Skillcamp Esport</t>
        </is>
      </c>
      <c r="AR60" s="24" t="inlineStr">
        <is>
          <t>Skillcamp Esport</t>
        </is>
      </c>
      <c r="AS60" s="24" t="inlineStr">
        <is>
          <t>Vitality.Bee</t>
        </is>
      </c>
      <c r="AT60" s="24" t="inlineStr">
        <is>
          <t>Vitality.Bee</t>
        </is>
      </c>
      <c r="AU60" s="24" t="inlineStr">
        <is>
          <t>Vitality.Bee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4863ace20696b49ac8d86afb992436652bb1bb2b13aa3380a50818cc662a18c0</t>
        </is>
      </c>
      <c r="BB60" s="24" t="inlineStr">
        <is>
          <t>neutral_elo</t>
        </is>
      </c>
      <c r="BC60" s="24" t="inlineStr">
        <is>
          <t>lol-tiered-elo-v6</t>
        </is>
      </c>
      <c r="BD60" s="24" t="inlineStr">
        <is>
          <t>4863ace20696b49ac8d86afb992436652bb1bb2b13aa3380a50818cc662a18c0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lol-tiered-elo-v6</t>
        </is>
      </c>
      <c r="BH60" s="24" t="inlineStr">
        <is>
          <t>2026-08-05T17:04:46.800572Z</t>
        </is>
      </c>
      <c r="BI60" s="24" t="inlineStr">
        <is>
          <t>["same_event","same_team_same_day","same_league_same_day"]</t>
        </is>
      </c>
      <c r="BJ60" s="25" t="n"/>
      <c r="BK60" s="26" t="n">
        <v>-104</v>
      </c>
      <c r="BL60" s="27" t="n">
        <v>1.961538</v>
      </c>
      <c r="BM60" s="28" t="n">
        <v>0.509804</v>
      </c>
      <c r="BN60" s="28" t="n"/>
      <c r="BO60" s="28" t="n"/>
      <c r="BP60" s="25" t="n"/>
      <c r="BQ60" s="27" t="n">
        <v>1.961538</v>
      </c>
      <c r="BR60" s="28" t="n">
        <v>0.51</v>
      </c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True</t>
        </is>
      </c>
    </row>
    <row r="61" ht="36" customHeight="1">
      <c r="A61" s="24" t="inlineStr">
        <is>
          <t>037f56454bb54060</t>
        </is>
      </c>
      <c r="B61" s="24" t="inlineStr">
        <is>
          <t>2026-08-05T17:05:09.750488Z</t>
        </is>
      </c>
      <c r="C61" s="24" t="inlineStr">
        <is>
          <t>2026-08-05T20:00:00Z</t>
        </is>
      </c>
      <c r="D61" s="24" t="inlineStr">
        <is>
          <t>70302</t>
        </is>
      </c>
      <c r="E61" s="24" t="inlineStr">
        <is>
          <t>LOL</t>
        </is>
      </c>
      <c r="F61" s="24" t="inlineStr">
        <is>
          <t>7REX</t>
        </is>
      </c>
      <c r="G61" s="24" t="inlineStr">
        <is>
          <t>Team Solid</t>
        </is>
      </c>
      <c r="H61" s="24" t="inlineStr">
        <is>
          <t>moneyline</t>
        </is>
      </c>
      <c r="I61" s="24" t="inlineStr">
        <is>
          <t>away</t>
        </is>
      </c>
      <c r="J61" s="25" t="n"/>
      <c r="K61" s="24" t="inlineStr">
        <is>
          <t>polymarket_us</t>
        </is>
      </c>
      <c r="L61" s="26" t="n">
        <v>113</v>
      </c>
      <c r="M61" s="27" t="n">
        <v>2.13</v>
      </c>
      <c r="N61" s="28" t="n">
        <v>0.469484</v>
      </c>
      <c r="O61" s="28" t="n">
        <v>0.523361</v>
      </c>
      <c r="P61" s="28" t="n"/>
      <c r="Q61" s="28" t="n">
        <v>0.053877</v>
      </c>
      <c r="R61" s="26" t="n">
        <v>47</v>
      </c>
      <c r="S61" s="29" t="n">
        <v>0</v>
      </c>
      <c r="T61" s="24" t="inlineStr">
        <is>
          <t>lol-tiered-elo-v6</t>
        </is>
      </c>
      <c r="U61" s="24" t="inlineStr">
        <is>
          <t>settled</t>
        </is>
      </c>
      <c r="V61" s="24" t="inlineStr">
        <is>
          <t>win</t>
        </is>
      </c>
      <c r="W61" s="26" t="n">
        <v>1</v>
      </c>
      <c r="X61" s="26" t="n">
        <v>0</v>
      </c>
      <c r="Y61" s="25" t="n"/>
      <c r="Z61" s="26" t="n">
        <v>113</v>
      </c>
      <c r="AA61" s="28" t="n">
        <v>0.47</v>
      </c>
      <c r="AB61" s="28" t="n">
        <v>0.000516</v>
      </c>
      <c r="AC61" s="30" t="n">
        <v>0</v>
      </c>
      <c r="AD61" s="24" t="inlineStr">
        <is>
          <t>2026-08-05T20:59:53.631061Z</t>
        </is>
      </c>
      <c r="AE61" s="31" t="inlineStr">
        <is>
          <t>Neutral Elo baseline; executable ask 0.4700 (market_slug=aec-lol-tse-7rex-2026-08-05).</t>
        </is>
      </c>
      <c r="AF61" s="31" t="inlineStr">
        <is>
          <t>Config-promoted esports baseline; gates enforced at log time.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NO_CALL_WINNER_OVERVALUED</t>
        </is>
      </c>
      <c r="AP61" s="24" t="inlineStr">
        <is>
          <t>7REX</t>
        </is>
      </c>
      <c r="AQ61" s="24" t="inlineStr">
        <is>
          <t>7REX</t>
        </is>
      </c>
      <c r="AR61" s="24" t="inlineStr">
        <is>
          <t>7REX</t>
        </is>
      </c>
      <c r="AS61" s="24" t="inlineStr">
        <is>
          <t>Team Solid</t>
        </is>
      </c>
      <c r="AT61" s="24" t="inlineStr">
        <is>
          <t>Team Solid</t>
        </is>
      </c>
      <c r="AU61" s="24" t="inlineStr">
        <is>
          <t>Team Solid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4863ace20696b49ac8d86afb992436652bb1bb2b13aa3380a50818cc662a18c0</t>
        </is>
      </c>
      <c r="BB61" s="24" t="inlineStr">
        <is>
          <t>neutral_elo</t>
        </is>
      </c>
      <c r="BC61" s="24" t="inlineStr">
        <is>
          <t>lol-tiered-elo-v6</t>
        </is>
      </c>
      <c r="BD61" s="24" t="inlineStr">
        <is>
          <t>4863ace20696b49ac8d86afb992436652bb1bb2b13aa3380a50818cc662a18c0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lol-tiered-elo-v6</t>
        </is>
      </c>
      <c r="BH61" s="24" t="inlineStr">
        <is>
          <t>2026-08-05T17:04:47.406557Z</t>
        </is>
      </c>
      <c r="BI61" s="24" t="inlineStr">
        <is>
          <t>["same_event","same_team_same_day","same_league_same_day"]</t>
        </is>
      </c>
      <c r="BJ61" s="25" t="n"/>
      <c r="BK61" s="26" t="n">
        <v>113</v>
      </c>
      <c r="BL61" s="27" t="n">
        <v>2.13</v>
      </c>
      <c r="BM61" s="28" t="n">
        <v>0.469484</v>
      </c>
      <c r="BN61" s="28" t="n"/>
      <c r="BO61" s="28" t="n"/>
      <c r="BP61" s="25" t="n"/>
      <c r="BQ61" s="27" t="n">
        <v>2.13</v>
      </c>
      <c r="BR61" s="28" t="n">
        <v>0.47</v>
      </c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True</t>
        </is>
      </c>
    </row>
    <row r="62" ht="36" customHeight="1">
      <c r="A62" s="24" t="inlineStr">
        <is>
          <t>6abda70e71e849ad</t>
        </is>
      </c>
      <c r="B62" s="24" t="inlineStr">
        <is>
          <t>2026-08-05T17:05:09.750488Z</t>
        </is>
      </c>
      <c r="C62" s="24" t="inlineStr">
        <is>
          <t>2026-08-05T21:00:00Z</t>
        </is>
      </c>
      <c r="D62" s="24" t="inlineStr">
        <is>
          <t>70348</t>
        </is>
      </c>
      <c r="E62" s="24" t="inlineStr">
        <is>
          <t>LOL</t>
        </is>
      </c>
      <c r="F62" s="24" t="inlineStr">
        <is>
          <t>White Dragons</t>
        </is>
      </c>
      <c r="G62" s="24" t="inlineStr">
        <is>
          <t>NORTHERNGRADE ESPORTS</t>
        </is>
      </c>
      <c r="H62" s="24" t="inlineStr">
        <is>
          <t>moneyline</t>
        </is>
      </c>
      <c r="I62" s="24" t="inlineStr">
        <is>
          <t>away</t>
        </is>
      </c>
      <c r="J62" s="25" t="n"/>
      <c r="K62" s="24" t="inlineStr">
        <is>
          <t>polymarket_us</t>
        </is>
      </c>
      <c r="L62" s="26" t="n">
        <v>-122</v>
      </c>
      <c r="M62" s="27" t="n">
        <v>1.819672</v>
      </c>
      <c r="N62" s="28" t="n">
        <v>0.54955</v>
      </c>
      <c r="O62" s="28" t="n">
        <v>0.503857</v>
      </c>
      <c r="P62" s="28" t="n"/>
      <c r="Q62" s="28" t="n">
        <v>-0.045693</v>
      </c>
      <c r="R62" s="26" t="n">
        <v>0</v>
      </c>
      <c r="S62" s="29" t="n">
        <v>0</v>
      </c>
      <c r="T62" s="24" t="inlineStr">
        <is>
          <t>lol-tiered-elo-v6</t>
        </is>
      </c>
      <c r="U62" s="24" t="inlineStr">
        <is>
          <t>settled</t>
        </is>
      </c>
      <c r="V62" s="24" t="inlineStr">
        <is>
          <t>win</t>
        </is>
      </c>
      <c r="W62" s="26" t="n">
        <v>1</v>
      </c>
      <c r="X62" s="26" t="n">
        <v>0</v>
      </c>
      <c r="Y62" s="25" t="n"/>
      <c r="Z62" s="26" t="n">
        <v>-122</v>
      </c>
      <c r="AA62" s="28" t="n">
        <v>0.55</v>
      </c>
      <c r="AB62" s="28" t="n">
        <v>0.00045</v>
      </c>
      <c r="AC62" s="30" t="n">
        <v>0</v>
      </c>
      <c r="AD62" s="24" t="inlineStr">
        <is>
          <t>2026-08-06T00:22:29.619395Z</t>
        </is>
      </c>
      <c r="AE62" s="31" t="inlineStr">
        <is>
          <t>Neutral Elo baseline; executable ask 0.5500 (market_slug=aec-lol-nort-wd-2026-08-05).</t>
        </is>
      </c>
      <c r="AF62" s="31" t="inlineStr">
        <is>
          <t>Config-promoted esports baseline; gates enforced at log time.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NO_CALL_WINNER_OVERVALUED</t>
        </is>
      </c>
      <c r="AP62" s="24" t="inlineStr">
        <is>
          <t>White Dragons</t>
        </is>
      </c>
      <c r="AQ62" s="24" t="inlineStr">
        <is>
          <t>White Dragons</t>
        </is>
      </c>
      <c r="AR62" s="24" t="inlineStr">
        <is>
          <t>White Dragons</t>
        </is>
      </c>
      <c r="AS62" s="24" t="inlineStr">
        <is>
          <t>NORTHERNGRADE ESPORTS</t>
        </is>
      </c>
      <c r="AT62" s="24" t="inlineStr">
        <is>
          <t>NORTHERNGRADE ESPORTS</t>
        </is>
      </c>
      <c r="AU62" s="24" t="inlineStr">
        <is>
          <t>NORTHERNGRADE ESPORTS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4863ace20696b49ac8d86afb992436652bb1bb2b13aa3380a50818cc662a18c0</t>
        </is>
      </c>
      <c r="BB62" s="24" t="inlineStr">
        <is>
          <t>neutral_elo</t>
        </is>
      </c>
      <c r="BC62" s="24" t="inlineStr">
        <is>
          <t>lol-tiered-elo-v6</t>
        </is>
      </c>
      <c r="BD62" s="24" t="inlineStr">
        <is>
          <t>4863ace20696b49ac8d86afb992436652bb1bb2b13aa3380a50818cc662a18c0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lol-tiered-elo-v6</t>
        </is>
      </c>
      <c r="BH62" s="24" t="inlineStr">
        <is>
          <t>2026-08-05T17:04:48.487044Z</t>
        </is>
      </c>
      <c r="BI62" s="24" t="inlineStr">
        <is>
          <t>["same_event","same_team_same_day","same_league_same_day"]</t>
        </is>
      </c>
      <c r="BJ62" s="25" t="n"/>
      <c r="BK62" s="26" t="n">
        <v>-122</v>
      </c>
      <c r="BL62" s="27" t="n">
        <v>1.819672</v>
      </c>
      <c r="BM62" s="28" t="n">
        <v>0.54955</v>
      </c>
      <c r="BN62" s="28" t="n"/>
      <c r="BO62" s="28" t="n"/>
      <c r="BP62" s="25" t="n"/>
      <c r="BQ62" s="27" t="n">
        <v>1.819672</v>
      </c>
      <c r="BR62" s="28" t="n">
        <v>0.55</v>
      </c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False</t>
        </is>
      </c>
    </row>
    <row r="63" ht="36" customHeight="1">
      <c r="A63" s="24" t="inlineStr">
        <is>
          <t>594d0859e09c4e3a</t>
        </is>
      </c>
      <c r="B63" s="24" t="inlineStr">
        <is>
          <t>2026-08-05T17:05:09.750488Z</t>
        </is>
      </c>
      <c r="C63" s="24" t="inlineStr">
        <is>
          <t>2026-08-05T21:00:00Z</t>
        </is>
      </c>
      <c r="D63" s="24" t="inlineStr">
        <is>
          <t>70349</t>
        </is>
      </c>
      <c r="E63" s="24" t="inlineStr">
        <is>
          <t>LOL</t>
        </is>
      </c>
      <c r="F63" s="24" t="inlineStr">
        <is>
          <t>Winthrop University</t>
        </is>
      </c>
      <c r="G63" s="24" t="inlineStr">
        <is>
          <t>Blue Otter</t>
        </is>
      </c>
      <c r="H63" s="24" t="inlineStr">
        <is>
          <t>moneyline</t>
        </is>
      </c>
      <c r="I63" s="24" t="inlineStr">
        <is>
          <t>away</t>
        </is>
      </c>
      <c r="J63" s="25" t="n"/>
      <c r="K63" s="24" t="inlineStr">
        <is>
          <t>polymarket_us</t>
        </is>
      </c>
      <c r="L63" s="26" t="n">
        <v>-138</v>
      </c>
      <c r="M63" s="27" t="n">
        <v>1.724638</v>
      </c>
      <c r="N63" s="28" t="n">
        <v>0.579832</v>
      </c>
      <c r="O63" s="28" t="n">
        <v>0.67052</v>
      </c>
      <c r="P63" s="28" t="n"/>
      <c r="Q63" s="28" t="n">
        <v>0.090688</v>
      </c>
      <c r="R63" s="26" t="n">
        <v>65</v>
      </c>
      <c r="S63" s="29" t="n">
        <v>1.75</v>
      </c>
      <c r="T63" s="24" t="inlineStr">
        <is>
          <t>lol-tiered-elo-v6</t>
        </is>
      </c>
      <c r="U63" s="24" t="inlineStr">
        <is>
          <t>settled</t>
        </is>
      </c>
      <c r="V63" s="24" t="inlineStr">
        <is>
          <t>win</t>
        </is>
      </c>
      <c r="W63" s="26" t="n">
        <v>1</v>
      </c>
      <c r="X63" s="26" t="n">
        <v>0</v>
      </c>
      <c r="Y63" s="25" t="n"/>
      <c r="Z63" s="26" t="n">
        <v>-138</v>
      </c>
      <c r="AA63" s="28" t="n">
        <v>0.58</v>
      </c>
      <c r="AB63" s="28" t="n">
        <v>0.000168</v>
      </c>
      <c r="AC63" s="30" t="n">
        <v>1.2681</v>
      </c>
      <c r="AD63" s="24" t="inlineStr">
        <is>
          <t>2026-08-06T00:22:31.341650Z</t>
        </is>
      </c>
      <c r="AE63" s="31" t="inlineStr">
        <is>
          <t>Neutral Elo baseline; executable ask 0.5800 (market_slug=aec-lol-blue-wu-2026-08-05).</t>
        </is>
      </c>
      <c r="AF63" s="31" t="inlineStr">
        <is>
          <t>Config-promoted esports baseline; gates enforced at log time.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Winthrop University</t>
        </is>
      </c>
      <c r="AQ63" s="24" t="inlineStr">
        <is>
          <t>Winthrop University</t>
        </is>
      </c>
      <c r="AR63" s="24" t="inlineStr">
        <is>
          <t>Winthrop University</t>
        </is>
      </c>
      <c r="AS63" s="24" t="inlineStr">
        <is>
          <t>Blue Otter</t>
        </is>
      </c>
      <c r="AT63" s="24" t="inlineStr">
        <is>
          <t>Blue Otter</t>
        </is>
      </c>
      <c r="AU63" s="24" t="inlineStr">
        <is>
          <t>Blue Otter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4863ace20696b49ac8d86afb992436652bb1bb2b13aa3380a50818cc662a18c0</t>
        </is>
      </c>
      <c r="BB63" s="24" t="inlineStr">
        <is>
          <t>neutral_elo</t>
        </is>
      </c>
      <c r="BC63" s="24" t="inlineStr">
        <is>
          <t>lol-tiered-elo-v6</t>
        </is>
      </c>
      <c r="BD63" s="24" t="inlineStr">
        <is>
          <t>4863ace20696b49ac8d86afb992436652bb1bb2b13aa3380a50818cc662a18c0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lol-tiered-elo-v6</t>
        </is>
      </c>
      <c r="BH63" s="24" t="inlineStr">
        <is>
          <t>2026-08-05T17:04:49.037567Z</t>
        </is>
      </c>
      <c r="BI63" s="24" t="inlineStr">
        <is>
          <t>["same_event","same_team_same_day","same_league_same_day"]</t>
        </is>
      </c>
      <c r="BJ63" s="25" t="n"/>
      <c r="BK63" s="26" t="n">
        <v>-138</v>
      </c>
      <c r="BL63" s="27" t="n">
        <v>1.724638</v>
      </c>
      <c r="BM63" s="28" t="n">
        <v>0.579832</v>
      </c>
      <c r="BN63" s="28" t="n"/>
      <c r="BO63" s="28" t="n"/>
      <c r="BP63" s="25" t="n"/>
      <c r="BQ63" s="27" t="n">
        <v>1.724638</v>
      </c>
      <c r="BR63" s="28" t="n">
        <v>0.58</v>
      </c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True</t>
        </is>
      </c>
    </row>
    <row r="64" ht="36" customHeight="1">
      <c r="A64" s="24" t="inlineStr">
        <is>
          <t>99b00467e14e459b</t>
        </is>
      </c>
      <c r="B64" s="24" t="inlineStr">
        <is>
          <t>2026-08-05T21:03:09.174525Z</t>
        </is>
      </c>
      <c r="C64" s="24" t="inlineStr">
        <is>
          <t>2026-08-05T22:00:00Z</t>
        </is>
      </c>
      <c r="D64" s="24" t="inlineStr">
        <is>
          <t>70379</t>
        </is>
      </c>
      <c r="E64" s="24" t="inlineStr">
        <is>
          <t>LOL</t>
        </is>
      </c>
      <c r="F64" s="24" t="inlineStr">
        <is>
          <t>KaBuM! Ilha das Lendas</t>
        </is>
      </c>
      <c r="G64" s="24" t="inlineStr">
        <is>
          <t>Ei Nerd Esports</t>
        </is>
      </c>
      <c r="H64" s="24" t="inlineStr">
        <is>
          <t>moneyline</t>
        </is>
      </c>
      <c r="I64" s="24" t="inlineStr">
        <is>
          <t>away</t>
        </is>
      </c>
      <c r="J64" s="25" t="n"/>
      <c r="K64" s="24" t="inlineStr">
        <is>
          <t>polymarket_us</t>
        </is>
      </c>
      <c r="L64" s="26" t="n">
        <v>-117</v>
      </c>
      <c r="M64" s="27" t="n">
        <v>1.854701</v>
      </c>
      <c r="N64" s="28" t="n">
        <v>0.539171</v>
      </c>
      <c r="O64" s="28" t="n">
        <v>0.617962</v>
      </c>
      <c r="P64" s="28" t="n"/>
      <c r="Q64" s="28" t="n">
        <v>0.078791</v>
      </c>
      <c r="R64" s="26" t="n">
        <v>59</v>
      </c>
      <c r="S64" s="29" t="n">
        <v>0</v>
      </c>
      <c r="T64" s="24" t="inlineStr">
        <is>
          <t>lol-tiered-elo-v6</t>
        </is>
      </c>
      <c r="U64" s="24" t="inlineStr">
        <is>
          <t>settled</t>
        </is>
      </c>
      <c r="V64" s="24" t="inlineStr">
        <is>
          <t>win</t>
        </is>
      </c>
      <c r="W64" s="26" t="n">
        <v>1</v>
      </c>
      <c r="X64" s="26" t="n">
        <v>0</v>
      </c>
      <c r="Y64" s="25" t="n"/>
      <c r="Z64" s="26" t="n">
        <v>-117</v>
      </c>
      <c r="AA64" s="28" t="n">
        <v>0.54</v>
      </c>
      <c r="AB64" s="28" t="n">
        <v>0.000829</v>
      </c>
      <c r="AC64" s="30" t="n">
        <v>0</v>
      </c>
      <c r="AD64" s="24" t="inlineStr">
        <is>
          <t>2026-08-06T00:22:33.072909Z</t>
        </is>
      </c>
      <c r="AE64" s="31" t="inlineStr">
        <is>
          <t>Neutral Elo baseline; executable ask 0.5400 (market_slug=aec-lol-nerd-kbm-2026-08-05).</t>
        </is>
      </c>
      <c r="AF64" s="31" t="inlineStr">
        <is>
          <t>Config-promoted esports baseline; gates enforced at log time.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NO_CALL_WINNER_OVERVALUED</t>
        </is>
      </c>
      <c r="AP64" s="24" t="inlineStr">
        <is>
          <t>KaBuM! Ilha das Lendas</t>
        </is>
      </c>
      <c r="AQ64" s="24" t="inlineStr">
        <is>
          <t>KaBuM! Ilha das Lendas</t>
        </is>
      </c>
      <c r="AR64" s="24" t="inlineStr">
        <is>
          <t>KaBuM! Ilha das Lendas</t>
        </is>
      </c>
      <c r="AS64" s="24" t="inlineStr">
        <is>
          <t>Ei Nerd Esports</t>
        </is>
      </c>
      <c r="AT64" s="24" t="inlineStr">
        <is>
          <t>Ei Nerd Esports</t>
        </is>
      </c>
      <c r="AU64" s="24" t="inlineStr">
        <is>
          <t>Ei Nerd Esports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15c411e044ffe51b6ddc3409c537ef2b1f842259403eab8a9ab62a4cd0e52b5d</t>
        </is>
      </c>
      <c r="BB64" s="24" t="inlineStr">
        <is>
          <t>neutral_elo</t>
        </is>
      </c>
      <c r="BC64" s="24" t="inlineStr">
        <is>
          <t>lol-tiered-elo-v6</t>
        </is>
      </c>
      <c r="BD64" s="24" t="inlineStr">
        <is>
          <t>15c411e044ffe51b6ddc3409c537ef2b1f842259403eab8a9ab62a4cd0e52b5d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lol-tiered-elo-v6</t>
        </is>
      </c>
      <c r="BH64" s="24" t="inlineStr">
        <is>
          <t>2026-08-05T21:02:48.352662Z</t>
        </is>
      </c>
      <c r="BI64" s="24" t="inlineStr">
        <is>
          <t>["same_event","same_team_same_day","same_league_same_day"]</t>
        </is>
      </c>
      <c r="BJ64" s="25" t="n"/>
      <c r="BK64" s="26" t="n">
        <v>-117</v>
      </c>
      <c r="BL64" s="27" t="n">
        <v>1.854701</v>
      </c>
      <c r="BM64" s="28" t="n">
        <v>0.539171</v>
      </c>
      <c r="BN64" s="28" t="n"/>
      <c r="BO64" s="28" t="n"/>
      <c r="BP64" s="25" t="n"/>
      <c r="BQ64" s="27" t="n">
        <v>1.854701</v>
      </c>
      <c r="BR64" s="28" t="n">
        <v>0.54</v>
      </c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True</t>
        </is>
      </c>
    </row>
    <row r="65" ht="36" customHeight="1">
      <c r="A65" s="24" t="inlineStr">
        <is>
          <t>62d231e699b148cb</t>
        </is>
      </c>
      <c r="B65" s="24" t="inlineStr">
        <is>
          <t>2026-08-05T21:03:09.174525Z</t>
        </is>
      </c>
      <c r="C65" s="24" t="inlineStr">
        <is>
          <t>2026-08-06T00:00:00Z</t>
        </is>
      </c>
      <c r="D65" s="24" t="inlineStr">
        <is>
          <t>70453</t>
        </is>
      </c>
      <c r="E65" s="24" t="inlineStr">
        <is>
          <t>LOL</t>
        </is>
      </c>
      <c r="F65" s="24" t="inlineStr">
        <is>
          <t>paiN Gaming Academy</t>
        </is>
      </c>
      <c r="G65" s="24" t="inlineStr">
        <is>
          <t>INTZ e-Sports</t>
        </is>
      </c>
      <c r="H65" s="24" t="inlineStr">
        <is>
          <t>moneyline</t>
        </is>
      </c>
      <c r="I65" s="24" t="inlineStr">
        <is>
          <t>away</t>
        </is>
      </c>
      <c r="J65" s="25" t="n"/>
      <c r="K65" s="24" t="inlineStr">
        <is>
          <t>polymarket_us</t>
        </is>
      </c>
      <c r="L65" s="26" t="n">
        <v>122</v>
      </c>
      <c r="M65" s="27" t="n">
        <v>2.22</v>
      </c>
      <c r="N65" s="28" t="n">
        <v>0.45045</v>
      </c>
      <c r="O65" s="28" t="n">
        <v>0.50062</v>
      </c>
      <c r="P65" s="28" t="n"/>
      <c r="Q65" s="28" t="n">
        <v>0.05017</v>
      </c>
      <c r="R65" s="26" t="n">
        <v>45</v>
      </c>
      <c r="S65" s="29" t="n">
        <v>0</v>
      </c>
      <c r="T65" s="24" t="inlineStr">
        <is>
          <t>lol-tiered-elo-v6</t>
        </is>
      </c>
      <c r="U65" s="24" t="inlineStr">
        <is>
          <t>settled</t>
        </is>
      </c>
      <c r="V65" s="24" t="inlineStr">
        <is>
          <t>loss</t>
        </is>
      </c>
      <c r="W65" s="26" t="n">
        <v>0</v>
      </c>
      <c r="X65" s="26" t="n">
        <v>1</v>
      </c>
      <c r="Y65" s="25" t="n"/>
      <c r="Z65" s="26" t="n">
        <v>122</v>
      </c>
      <c r="AA65" s="28" t="n">
        <v>0.45</v>
      </c>
      <c r="AB65" s="28" t="n">
        <v>-0.00045</v>
      </c>
      <c r="AC65" s="30" t="n">
        <v>0</v>
      </c>
      <c r="AD65" s="24" t="inlineStr">
        <is>
          <t>2026-08-06T00:22:34.831438Z</t>
        </is>
      </c>
      <c r="AE65" s="31" t="inlineStr">
        <is>
          <t>Neutral Elo baseline; executable ask 0.4500 (market_slug=aec-lol-itz-pnga-2026-08-06).</t>
        </is>
      </c>
      <c r="AF65" s="31" t="inlineStr">
        <is>
          <t>Config-promoted esports baseline; gates enforced at log time.</t>
        </is>
      </c>
      <c r="AG65" s="24" t="inlineStr">
        <is>
          <t>review_required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NO_CALL_WINNER_OVERVALUED</t>
        </is>
      </c>
      <c r="AP65" s="24" t="inlineStr">
        <is>
          <t>paiN Gaming Academy</t>
        </is>
      </c>
      <c r="AQ65" s="24" t="inlineStr">
        <is>
          <t>paiN Gaming Academy</t>
        </is>
      </c>
      <c r="AR65" s="24" t="inlineStr">
        <is>
          <t>paiN Gaming Academy</t>
        </is>
      </c>
      <c r="AS65" s="24" t="inlineStr">
        <is>
          <t>INTZ e-Sports</t>
        </is>
      </c>
      <c r="AT65" s="24" t="inlineStr">
        <is>
          <t>INTZ e-Sports</t>
        </is>
      </c>
      <c r="AU65" s="24" t="inlineStr">
        <is>
          <t>INTZ e-Sports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15c411e044ffe51b6ddc3409c537ef2b1f842259403eab8a9ab62a4cd0e52b5d</t>
        </is>
      </c>
      <c r="BB65" s="24" t="inlineStr">
        <is>
          <t>neutral_elo</t>
        </is>
      </c>
      <c r="BC65" s="24" t="inlineStr">
        <is>
          <t>lol-tiered-elo-v6</t>
        </is>
      </c>
      <c r="BD65" s="24" t="inlineStr">
        <is>
          <t>15c411e044ffe51b6ddc3409c537ef2b1f842259403eab8a9ab62a4cd0e52b5d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lol-tiered-elo-v6</t>
        </is>
      </c>
      <c r="BH65" s="24" t="inlineStr">
        <is>
          <t>2026-08-05T21:02:49.588927Z</t>
        </is>
      </c>
      <c r="BI65" s="24" t="inlineStr">
        <is>
          <t>["same_event","same_team_same_day","same_league_same_day"]</t>
        </is>
      </c>
      <c r="BJ65" s="25" t="n"/>
      <c r="BK65" s="26" t="n">
        <v>122</v>
      </c>
      <c r="BL65" s="27" t="n">
        <v>2.22</v>
      </c>
      <c r="BM65" s="28" t="n">
        <v>0.45045</v>
      </c>
      <c r="BN65" s="28" t="n"/>
      <c r="BO65" s="28" t="n"/>
      <c r="BP65" s="25" t="n"/>
      <c r="BQ65" s="27" t="n">
        <v>2.22</v>
      </c>
      <c r="BR65" s="28" t="n">
        <v>0.45</v>
      </c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True</t>
        </is>
      </c>
    </row>
    <row r="66" ht="36" customHeight="1">
      <c r="A66" s="24" t="inlineStr">
        <is>
          <t>4201f8e266524181</t>
        </is>
      </c>
      <c r="B66" s="24" t="inlineStr">
        <is>
          <t>2026-08-05T21:03:09.174525Z</t>
        </is>
      </c>
      <c r="C66" s="24" t="inlineStr">
        <is>
          <t>2026-08-06T00:00:00Z</t>
        </is>
      </c>
      <c r="D66" s="24" t="inlineStr">
        <is>
          <t>70454</t>
        </is>
      </c>
      <c r="E66" s="24" t="inlineStr">
        <is>
          <t>LOL</t>
        </is>
      </c>
      <c r="F66" s="24" t="inlineStr">
        <is>
          <t>Cupid Esports</t>
        </is>
      </c>
      <c r="G66" s="24" t="inlineStr">
        <is>
          <t>NRG Esports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108</v>
      </c>
      <c r="M66" s="27" t="n">
        <v>2.08</v>
      </c>
      <c r="N66" s="28" t="n">
        <v>0.480769</v>
      </c>
      <c r="O66" s="28" t="n">
        <v>0.516709</v>
      </c>
      <c r="P66" s="28" t="n"/>
      <c r="Q66" s="28" t="n">
        <v>0.03594</v>
      </c>
      <c r="R66" s="26" t="n">
        <v>38</v>
      </c>
      <c r="S66" s="29" t="n">
        <v>0</v>
      </c>
      <c r="T66" s="24" t="inlineStr">
        <is>
          <t>lol-tiered-elo-v6</t>
        </is>
      </c>
      <c r="U66" s="24" t="inlineStr">
        <is>
          <t>settled</t>
        </is>
      </c>
      <c r="V66" s="24" t="inlineStr">
        <is>
          <t>win</t>
        </is>
      </c>
      <c r="W66" s="26" t="n">
        <v>0</v>
      </c>
      <c r="X66" s="26" t="n">
        <v>1</v>
      </c>
      <c r="Y66" s="25" t="n"/>
      <c r="Z66" s="26" t="n">
        <v>108</v>
      </c>
      <c r="AA66" s="28" t="n">
        <v>0.48</v>
      </c>
      <c r="AB66" s="28" t="n">
        <v>-0.000769</v>
      </c>
      <c r="AC66" s="30" t="n">
        <v>0</v>
      </c>
      <c r="AD66" s="24" t="inlineStr">
        <is>
          <t>2026-08-06T03:27:45.918518Z</t>
        </is>
      </c>
      <c r="AE66" s="31" t="inlineStr">
        <is>
          <t>Neutral Elo baseline; executable ask 0.4800 (market_slug=aec-lol-nrg-cpd-2026-08-06).</t>
        </is>
      </c>
      <c r="AF66" s="31" t="inlineStr">
        <is>
          <t>Config-promoted esports baseline; gates enforced at log time.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NO_CALL_WINNER_OVERVALUED</t>
        </is>
      </c>
      <c r="AP66" s="24" t="inlineStr">
        <is>
          <t>Cupid Esports</t>
        </is>
      </c>
      <c r="AQ66" s="24" t="inlineStr">
        <is>
          <t>Cupid Esports</t>
        </is>
      </c>
      <c r="AR66" s="24" t="inlineStr">
        <is>
          <t>Cupid Esports</t>
        </is>
      </c>
      <c r="AS66" s="24" t="inlineStr">
        <is>
          <t>NRG Esports</t>
        </is>
      </c>
      <c r="AT66" s="24" t="inlineStr">
        <is>
          <t>NRG Esports</t>
        </is>
      </c>
      <c r="AU66" s="24" t="inlineStr">
        <is>
          <t>NRG Esports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15c411e044ffe51b6ddc3409c537ef2b1f842259403eab8a9ab62a4cd0e52b5d</t>
        </is>
      </c>
      <c r="BB66" s="24" t="inlineStr">
        <is>
          <t>neutral_elo</t>
        </is>
      </c>
      <c r="BC66" s="24" t="inlineStr">
        <is>
          <t>lol-tiered-elo-v6</t>
        </is>
      </c>
      <c r="BD66" s="24" t="inlineStr">
        <is>
          <t>15c411e044ffe51b6ddc3409c537ef2b1f842259403eab8a9ab62a4cd0e52b5d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lol-tiered-elo-v6</t>
        </is>
      </c>
      <c r="BH66" s="24" t="inlineStr">
        <is>
          <t>2026-08-05T21:02:50.357730Z</t>
        </is>
      </c>
      <c r="BI66" s="24" t="inlineStr">
        <is>
          <t>["same_event","same_team_same_day","same_league_same_day"]</t>
        </is>
      </c>
      <c r="BJ66" s="25" t="n"/>
      <c r="BK66" s="26" t="n">
        <v>108</v>
      </c>
      <c r="BL66" s="27" t="n">
        <v>2.08</v>
      </c>
      <c r="BM66" s="28" t="n">
        <v>0.480769</v>
      </c>
      <c r="BN66" s="28" t="n"/>
      <c r="BO66" s="28" t="n"/>
      <c r="BP66" s="25" t="n"/>
      <c r="BQ66" s="27" t="n">
        <v>2.08</v>
      </c>
      <c r="BR66" s="28" t="n">
        <v>0.48</v>
      </c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True</t>
        </is>
      </c>
    </row>
    <row r="67" ht="36" customHeight="1">
      <c r="A67" s="24" t="inlineStr">
        <is>
          <t>9ea5b2ad20ab430d</t>
        </is>
      </c>
      <c r="B67" s="24" t="inlineStr">
        <is>
          <t>2026-08-06T00:24:51.570056Z</t>
        </is>
      </c>
      <c r="C67" s="24" t="inlineStr">
        <is>
          <t>2026-08-06T05:00:00Z</t>
        </is>
      </c>
      <c r="D67" s="24" t="inlineStr">
        <is>
          <t>70551</t>
        </is>
      </c>
      <c r="E67" s="24" t="inlineStr">
        <is>
          <t>LOL</t>
        </is>
      </c>
      <c r="F67" s="24" t="inlineStr">
        <is>
          <t>Gen.G Global Academy</t>
        </is>
      </c>
      <c r="G67" s="24" t="inlineStr">
        <is>
          <t>HANJIN BRION Challengers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-223</v>
      </c>
      <c r="M67" s="27" t="n">
        <v>1.44843</v>
      </c>
      <c r="N67" s="28" t="n">
        <v>0.690402</v>
      </c>
      <c r="O67" s="28" t="n">
        <v>0.639365</v>
      </c>
      <c r="P67" s="28" t="n"/>
      <c r="Q67" s="28" t="n">
        <v>-0.051037</v>
      </c>
      <c r="R67" s="26" t="n">
        <v>0</v>
      </c>
      <c r="S67" s="29" t="n">
        <v>0</v>
      </c>
      <c r="T67" s="24" t="inlineStr">
        <is>
          <t>lol-tiered-elo-v6</t>
        </is>
      </c>
      <c r="U67" s="24" t="inlineStr">
        <is>
          <t>settled</t>
        </is>
      </c>
      <c r="V67" s="24" t="inlineStr">
        <is>
          <t>win</t>
        </is>
      </c>
      <c r="W67" s="26" t="n">
        <v>0</v>
      </c>
      <c r="X67" s="26" t="n">
        <v>1</v>
      </c>
      <c r="Y67" s="25" t="n"/>
      <c r="Z67" s="26" t="n"/>
      <c r="AA67" s="28" t="n"/>
      <c r="AB67" s="28" t="n"/>
      <c r="AC67" s="30" t="n">
        <v>0</v>
      </c>
      <c r="AD67" s="24" t="inlineStr">
        <is>
          <t>2026-08-06T18:56:07.504901Z</t>
        </is>
      </c>
      <c r="AE67" s="31" t="inlineStr">
        <is>
          <t>Neutral Elo baseline; executable ask 0.6900 (market_slug=aec-lol-hbc-genga-2026-08-06).</t>
        </is>
      </c>
      <c r="AF67" s="31" t="inlineStr">
        <is>
          <t>Config-promoted esports baseline; gates enforced at log time.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NO_CALL_WINNER_OVERVALUED</t>
        </is>
      </c>
      <c r="AP67" s="24" t="inlineStr">
        <is>
          <t>Gen.G Global Academy</t>
        </is>
      </c>
      <c r="AQ67" s="24" t="inlineStr">
        <is>
          <t>Gen.G Global Academy</t>
        </is>
      </c>
      <c r="AR67" s="24" t="inlineStr">
        <is>
          <t>Gen.G Global Academy</t>
        </is>
      </c>
      <c r="AS67" s="24" t="inlineStr">
        <is>
          <t>HANJIN BRION Challengers</t>
        </is>
      </c>
      <c r="AT67" s="24" t="inlineStr">
        <is>
          <t>HANJIN BRION Challengers</t>
        </is>
      </c>
      <c r="AU67" s="24" t="inlineStr">
        <is>
          <t>HANJIN BRION Challengers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4304963c152f1e881f634fa0b66ab59152f3edd6692257c1d27d76a5cb0a3df3</t>
        </is>
      </c>
      <c r="BB67" s="24" t="inlineStr">
        <is>
          <t>neutral_elo</t>
        </is>
      </c>
      <c r="BC67" s="24" t="inlineStr">
        <is>
          <t>lol-tiered-elo-v6</t>
        </is>
      </c>
      <c r="BD67" s="24" t="inlineStr">
        <is>
          <t>4304963c152f1e881f634fa0b66ab59152f3edd6692257c1d27d76a5cb0a3df3</t>
        </is>
      </c>
      <c r="BE67" s="24" t="inlineStr">
        <is>
          <t>1</t>
        </is>
      </c>
      <c r="BF67" s="24" t="inlineStr">
        <is>
          <t>1</t>
        </is>
      </c>
      <c r="BG67" s="24" t="inlineStr">
        <is>
          <t>lol-tiered-elo-v6</t>
        </is>
      </c>
      <c r="BH67" s="24" t="inlineStr">
        <is>
          <t>2026-08-06T00:24:35.775008Z</t>
        </is>
      </c>
      <c r="BI67" s="24" t="inlineStr">
        <is>
          <t>["same_event","same_team_same_day","same_league_same_day"]</t>
        </is>
      </c>
      <c r="BJ67" s="25" t="n"/>
      <c r="BK67" s="26" t="n">
        <v>-223</v>
      </c>
      <c r="BL67" s="27" t="n">
        <v>1.44843</v>
      </c>
      <c r="BM67" s="28" t="n">
        <v>0.690402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False</t>
        </is>
      </c>
    </row>
    <row r="68" ht="36" customHeight="1">
      <c r="A68" s="24" t="inlineStr">
        <is>
          <t>c01319a4e2914ad4</t>
        </is>
      </c>
      <c r="B68" s="24" t="inlineStr">
        <is>
          <t>2026-08-06T00:24:51.570056Z</t>
        </is>
      </c>
      <c r="C68" s="24" t="inlineStr">
        <is>
          <t>2026-08-06T07:00:00Z</t>
        </is>
      </c>
      <c r="D68" s="24" t="inlineStr">
        <is>
          <t>70560</t>
        </is>
      </c>
      <c r="E68" s="24" t="inlineStr">
        <is>
          <t>LOL</t>
        </is>
      </c>
      <c r="F68" s="24" t="inlineStr">
        <is>
          <t>ThunderTalk Gaming</t>
        </is>
      </c>
      <c r="G68" s="24" t="inlineStr">
        <is>
          <t>LGD Gaming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-108</v>
      </c>
      <c r="M68" s="27" t="n">
        <v>1.925926</v>
      </c>
      <c r="N68" s="28" t="n">
        <v>0.519231</v>
      </c>
      <c r="O68" s="28" t="n">
        <v>0.601292</v>
      </c>
      <c r="P68" s="28" t="n"/>
      <c r="Q68" s="28" t="n">
        <v>0.082061</v>
      </c>
      <c r="R68" s="26" t="n">
        <v>61</v>
      </c>
      <c r="S68" s="29" t="n">
        <v>1.25</v>
      </c>
      <c r="T68" s="24" t="inlineStr">
        <is>
          <t>lol-tiered-elo-v6</t>
        </is>
      </c>
      <c r="U68" s="24" t="inlineStr">
        <is>
          <t>settled</t>
        </is>
      </c>
      <c r="V68" s="24" t="inlineStr">
        <is>
          <t>loss</t>
        </is>
      </c>
      <c r="W68" s="26" t="n">
        <v>1</v>
      </c>
      <c r="X68" s="26" t="n">
        <v>0</v>
      </c>
      <c r="Y68" s="25" t="n"/>
      <c r="Z68" s="26" t="n"/>
      <c r="AA68" s="28" t="n"/>
      <c r="AB68" s="28" t="n"/>
      <c r="AC68" s="30" t="n">
        <v>-1.25</v>
      </c>
      <c r="AD68" s="24" t="inlineStr">
        <is>
          <t>2026-08-06T18:56:10.139579Z</t>
        </is>
      </c>
      <c r="AE68" s="31" t="inlineStr">
        <is>
          <t>Neutral Elo baseline; executable ask 0.5200 (market_slug=aec-lol-lgd-tt-2026-08-06).</t>
        </is>
      </c>
      <c r="AF68" s="31" t="inlineStr">
        <is>
          <t>Config-promoted esports baseline; gates enforced at log time.</t>
        </is>
      </c>
      <c r="AG68" s="24" t="inlineStr">
        <is>
          <t>review_required</t>
        </is>
      </c>
      <c r="AH68" s="24" t="n"/>
      <c r="AI68" s="31" t="n"/>
      <c r="AJ68" s="31" t="n"/>
      <c r="AK68" s="24" t="inlineStr">
        <is>
          <t>model_qualified</t>
        </is>
      </c>
      <c r="AL68" s="26" t="n">
        <v>3</v>
      </c>
      <c r="AM68" s="24" t="inlineStr">
        <is>
          <t>QUALIFIED_SHADOW_CALL</t>
        </is>
      </c>
      <c r="AN68" s="24" t="inlineStr">
        <is>
          <t>CALL</t>
        </is>
      </c>
      <c r="AO68" s="24" t="inlineStr">
        <is>
          <t>QUALIFIED</t>
        </is>
      </c>
      <c r="AP68" s="24" t="inlineStr">
        <is>
          <t>ThunderTalk Gaming</t>
        </is>
      </c>
      <c r="AQ68" s="24" t="inlineStr">
        <is>
          <t>ThunderTalk Gaming</t>
        </is>
      </c>
      <c r="AR68" s="24" t="inlineStr">
        <is>
          <t>ThunderTalk Gaming</t>
        </is>
      </c>
      <c r="AS68" s="24" t="inlineStr">
        <is>
          <t>LGD Gaming</t>
        </is>
      </c>
      <c r="AT68" s="24" t="inlineStr">
        <is>
          <t>LGD Gaming</t>
        </is>
      </c>
      <c r="AU68" s="24" t="inlineStr">
        <is>
          <t>LGD Gaming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4304963c152f1e881f634fa0b66ab59152f3edd6692257c1d27d76a5cb0a3df3</t>
        </is>
      </c>
      <c r="BB68" s="24" t="inlineStr">
        <is>
          <t>neutral_elo</t>
        </is>
      </c>
      <c r="BC68" s="24" t="inlineStr">
        <is>
          <t>lol-tiered-elo-v6</t>
        </is>
      </c>
      <c r="BD68" s="24" t="inlineStr">
        <is>
          <t>4304963c152f1e881f634fa0b66ab59152f3edd6692257c1d27d76a5cb0a3df3</t>
        </is>
      </c>
      <c r="BE68" s="24" t="inlineStr">
        <is>
          <t>1</t>
        </is>
      </c>
      <c r="BF68" s="24" t="inlineStr">
        <is>
          <t>1</t>
        </is>
      </c>
      <c r="BG68" s="24" t="inlineStr">
        <is>
          <t>lol-tiered-elo-v6</t>
        </is>
      </c>
      <c r="BH68" s="24" t="inlineStr">
        <is>
          <t>2026-08-06T00:24:36.724531Z</t>
        </is>
      </c>
      <c r="BI68" s="24" t="inlineStr">
        <is>
          <t>["same_event","same_team_same_day","same_league_same_day"]</t>
        </is>
      </c>
      <c r="BJ68" s="25" t="n"/>
      <c r="BK68" s="26" t="n">
        <v>-108</v>
      </c>
      <c r="BL68" s="27" t="n">
        <v>1.925926</v>
      </c>
      <c r="BM68" s="28" t="n">
        <v>0.519231</v>
      </c>
      <c r="BN68" s="28" t="n"/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True</t>
        </is>
      </c>
    </row>
    <row r="69" ht="36" customHeight="1">
      <c r="A69" s="24" t="inlineStr">
        <is>
          <t>623d84c7e45b4789</t>
        </is>
      </c>
      <c r="B69" s="24" t="inlineStr">
        <is>
          <t>2026-08-06T00:24:51.570056Z</t>
        </is>
      </c>
      <c r="C69" s="24" t="inlineStr">
        <is>
          <t>2026-08-06T08:00:00Z</t>
        </is>
      </c>
      <c r="D69" s="24" t="inlineStr">
        <is>
          <t>70563</t>
        </is>
      </c>
      <c r="E69" s="24" t="inlineStr">
        <is>
          <t>LOL</t>
        </is>
      </c>
      <c r="F69" s="24" t="inlineStr">
        <is>
          <t>DN SOOPers</t>
        </is>
      </c>
      <c r="G69" s="24" t="inlineStr">
        <is>
          <t>Kiwoom DRX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-223</v>
      </c>
      <c r="M69" s="27" t="n">
        <v>1.44843</v>
      </c>
      <c r="N69" s="28" t="n">
        <v>0.690402</v>
      </c>
      <c r="O69" s="28" t="n">
        <v>0.629338</v>
      </c>
      <c r="P69" s="28" t="n"/>
      <c r="Q69" s="28" t="n">
        <v>-0.061064</v>
      </c>
      <c r="R69" s="26" t="n">
        <v>0</v>
      </c>
      <c r="S69" s="29" t="n">
        <v>0</v>
      </c>
      <c r="T69" s="24" t="inlineStr">
        <is>
          <t>lol-tiered-elo-v6</t>
        </is>
      </c>
      <c r="U69" s="24" t="inlineStr">
        <is>
          <t>settled</t>
        </is>
      </c>
      <c r="V69" s="24" t="inlineStr">
        <is>
          <t>win</t>
        </is>
      </c>
      <c r="W69" s="26" t="n">
        <v>0</v>
      </c>
      <c r="X69" s="26" t="n">
        <v>1</v>
      </c>
      <c r="Y69" s="25" t="n"/>
      <c r="Z69" s="26" t="n"/>
      <c r="AA69" s="28" t="n"/>
      <c r="AB69" s="28" t="n"/>
      <c r="AC69" s="30" t="n">
        <v>0</v>
      </c>
      <c r="AD69" s="24" t="inlineStr">
        <is>
          <t>2026-08-06T18:56:12.623902Z</t>
        </is>
      </c>
      <c r="AE69" s="31" t="inlineStr">
        <is>
          <t>Neutral Elo baseline; executable ask 0.6900 (market_slug=aec-lol-krx-dns-2026-08-06).</t>
        </is>
      </c>
      <c r="AF69" s="31" t="inlineStr">
        <is>
          <t>Config-promoted esports baseline; gates enforced at log time.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NO_CALL_WINNER_OVERVALUED</t>
        </is>
      </c>
      <c r="AP69" s="24" t="inlineStr">
        <is>
          <t>DN SOOPers</t>
        </is>
      </c>
      <c r="AQ69" s="24" t="inlineStr">
        <is>
          <t>DN SOOPers</t>
        </is>
      </c>
      <c r="AR69" s="24" t="inlineStr">
        <is>
          <t>DN SOOPers</t>
        </is>
      </c>
      <c r="AS69" s="24" t="inlineStr">
        <is>
          <t>Kiwoom DRX</t>
        </is>
      </c>
      <c r="AT69" s="24" t="inlineStr">
        <is>
          <t>Kiwoom DRX</t>
        </is>
      </c>
      <c r="AU69" s="24" t="inlineStr">
        <is>
          <t>Kiwoom DRX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4304963c152f1e881f634fa0b66ab59152f3edd6692257c1d27d76a5cb0a3df3</t>
        </is>
      </c>
      <c r="BB69" s="24" t="inlineStr">
        <is>
          <t>neutral_elo</t>
        </is>
      </c>
      <c r="BC69" s="24" t="inlineStr">
        <is>
          <t>lol-tiered-elo-v6</t>
        </is>
      </c>
      <c r="BD69" s="24" t="inlineStr">
        <is>
          <t>4304963c152f1e881f634fa0b66ab59152f3edd6692257c1d27d76a5cb0a3df3</t>
        </is>
      </c>
      <c r="BE69" s="24" t="inlineStr">
        <is>
          <t>1</t>
        </is>
      </c>
      <c r="BF69" s="24" t="inlineStr">
        <is>
          <t>1</t>
        </is>
      </c>
      <c r="BG69" s="24" t="inlineStr">
        <is>
          <t>lol-tiered-elo-v6</t>
        </is>
      </c>
      <c r="BH69" s="24" t="inlineStr">
        <is>
          <t>2026-08-06T00:24:37.231594Z</t>
        </is>
      </c>
      <c r="BI69" s="24" t="inlineStr">
        <is>
          <t>["same_event","same_team_same_day","same_league_same_day"]</t>
        </is>
      </c>
      <c r="BJ69" s="25" t="n"/>
      <c r="BK69" s="26" t="n">
        <v>-223</v>
      </c>
      <c r="BL69" s="27" t="n">
        <v>1.44843</v>
      </c>
      <c r="BM69" s="28" t="n">
        <v>0.690402</v>
      </c>
      <c r="BN69" s="28" t="n"/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False</t>
        </is>
      </c>
    </row>
    <row r="70" ht="36" customHeight="1">
      <c r="A70" s="24" t="inlineStr">
        <is>
          <t>e7a4bcc796a440b8</t>
        </is>
      </c>
      <c r="B70" s="24" t="inlineStr">
        <is>
          <t>2026-08-06T00:24:51.570056Z</t>
        </is>
      </c>
      <c r="C70" s="24" t="inlineStr">
        <is>
          <t>2026-08-06T09:00:00Z</t>
        </is>
      </c>
      <c r="D70" s="24" t="inlineStr">
        <is>
          <t>70573</t>
        </is>
      </c>
      <c r="E70" s="24" t="inlineStr">
        <is>
          <t>LOL</t>
        </is>
      </c>
      <c r="F70" s="24" t="inlineStr">
        <is>
          <t>Ground Zero Gaming</t>
        </is>
      </c>
      <c r="G70" s="24" t="inlineStr">
        <is>
          <t>Fukuoka SoftBank Hawks Gaming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117</v>
      </c>
      <c r="M70" s="27" t="n">
        <v>2.17</v>
      </c>
      <c r="N70" s="28" t="n">
        <v>0.460829</v>
      </c>
      <c r="O70" s="28" t="n">
        <v>0.677029</v>
      </c>
      <c r="P70" s="28" t="n"/>
      <c r="Q70" s="28" t="n">
        <v>0.2162</v>
      </c>
      <c r="R70" s="26" t="n">
        <v>100</v>
      </c>
      <c r="S70" s="29" t="n">
        <v>1.75</v>
      </c>
      <c r="T70" s="24" t="inlineStr">
        <is>
          <t>lol-tiered-elo-v6</t>
        </is>
      </c>
      <c r="U70" s="24" t="inlineStr">
        <is>
          <t>settled</t>
        </is>
      </c>
      <c r="V70" s="24" t="inlineStr">
        <is>
          <t>loss</t>
        </is>
      </c>
      <c r="W70" s="26" t="n">
        <v>1</v>
      </c>
      <c r="X70" s="26" t="n">
        <v>0</v>
      </c>
      <c r="Y70" s="25" t="n"/>
      <c r="Z70" s="26" t="n"/>
      <c r="AA70" s="28" t="n"/>
      <c r="AB70" s="28" t="n"/>
      <c r="AC70" s="30" t="n">
        <v>-1.75</v>
      </c>
      <c r="AD70" s="24" t="inlineStr">
        <is>
          <t>2026-08-06T18:56:15.151967Z</t>
        </is>
      </c>
      <c r="AE70" s="31" t="inlineStr">
        <is>
          <t>Neutral Elo baseline; executable ask 0.4600 (market_slug=aec-lol-shg-gz-2026-08-06).</t>
        </is>
      </c>
      <c r="AF70" s="31" t="inlineStr">
        <is>
          <t>Config-promoted esports baseline; gates enforced at log time.</t>
        </is>
      </c>
      <c r="AG70" s="24" t="inlineStr">
        <is>
          <t>review_required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3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Ground Zero Gaming</t>
        </is>
      </c>
      <c r="AQ70" s="24" t="inlineStr">
        <is>
          <t>Ground Zero Gaming</t>
        </is>
      </c>
      <c r="AR70" s="24" t="inlineStr">
        <is>
          <t>Ground Zero Gaming</t>
        </is>
      </c>
      <c r="AS70" s="24" t="inlineStr">
        <is>
          <t>Fukuoka SoftBank Hawks Gaming</t>
        </is>
      </c>
      <c r="AT70" s="24" t="inlineStr">
        <is>
          <t>Fukuoka SoftBank Hawks Gaming</t>
        </is>
      </c>
      <c r="AU70" s="24" t="inlineStr">
        <is>
          <t>Fukuoka SoftBank Hawks Gaming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4304963c152f1e881f634fa0b66ab59152f3edd6692257c1d27d76a5cb0a3df3</t>
        </is>
      </c>
      <c r="BB70" s="24" t="inlineStr">
        <is>
          <t>neutral_elo</t>
        </is>
      </c>
      <c r="BC70" s="24" t="inlineStr">
        <is>
          <t>lol-tiered-elo-v6</t>
        </is>
      </c>
      <c r="BD70" s="24" t="inlineStr">
        <is>
          <t>4304963c152f1e881f634fa0b66ab59152f3edd6692257c1d27d76a5cb0a3df3</t>
        </is>
      </c>
      <c r="BE70" s="24" t="inlineStr">
        <is>
          <t>1</t>
        </is>
      </c>
      <c r="BF70" s="24" t="inlineStr">
        <is>
          <t>1</t>
        </is>
      </c>
      <c r="BG70" s="24" t="inlineStr">
        <is>
          <t>lol-tiered-elo-v6</t>
        </is>
      </c>
      <c r="BH70" s="24" t="inlineStr">
        <is>
          <t>2026-08-06T00:24:37.742493Z</t>
        </is>
      </c>
      <c r="BI70" s="24" t="inlineStr">
        <is>
          <t>["same_event","same_team_same_day","same_league_same_day"]</t>
        </is>
      </c>
      <c r="BJ70" s="25" t="n"/>
      <c r="BK70" s="26" t="n">
        <v>117</v>
      </c>
      <c r="BL70" s="27" t="n">
        <v>2.17</v>
      </c>
      <c r="BM70" s="28" t="n">
        <v>0.460829</v>
      </c>
      <c r="BN70" s="28" t="n"/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True</t>
        </is>
      </c>
    </row>
    <row r="71" ht="36" customHeight="1">
      <c r="A71" s="24" t="inlineStr">
        <is>
          <t>9b2eb8d2819940b8</t>
        </is>
      </c>
      <c r="B71" s="24" t="inlineStr">
        <is>
          <t>2026-08-06T00:24:51.570056Z</t>
        </is>
      </c>
      <c r="C71" s="24" t="inlineStr">
        <is>
          <t>2026-08-06T09:00:00Z</t>
        </is>
      </c>
      <c r="D71" s="24" t="inlineStr">
        <is>
          <t>70574</t>
        </is>
      </c>
      <c r="E71" s="24" t="inlineStr">
        <is>
          <t>LOL</t>
        </is>
      </c>
      <c r="F71" s="24" t="inlineStr">
        <is>
          <t>Ninjas in Pyjamas</t>
        </is>
      </c>
      <c r="G71" s="24" t="inlineStr">
        <is>
          <t>Invictus Gaming</t>
        </is>
      </c>
      <c r="H71" s="24" t="inlineStr">
        <is>
          <t>moneyline</t>
        </is>
      </c>
      <c r="I71" s="24" t="inlineStr">
        <is>
          <t>away</t>
        </is>
      </c>
      <c r="J71" s="25" t="n"/>
      <c r="K71" s="24" t="inlineStr">
        <is>
          <t>polymarket_us</t>
        </is>
      </c>
      <c r="L71" s="26" t="n">
        <v>156</v>
      </c>
      <c r="M71" s="27" t="n">
        <v>2.56</v>
      </c>
      <c r="N71" s="28" t="n">
        <v>0.390625</v>
      </c>
      <c r="O71" s="28" t="n">
        <v>0.5103259999999999</v>
      </c>
      <c r="P71" s="28" t="n"/>
      <c r="Q71" s="28" t="n">
        <v>0.119701</v>
      </c>
      <c r="R71" s="26" t="n">
        <v>80</v>
      </c>
      <c r="S71" s="29" t="n">
        <v>1</v>
      </c>
      <c r="T71" s="24" t="inlineStr">
        <is>
          <t>lol-tiered-elo-v6</t>
        </is>
      </c>
      <c r="U71" s="24" t="inlineStr">
        <is>
          <t>settled</t>
        </is>
      </c>
      <c r="V71" s="24" t="inlineStr">
        <is>
          <t>win</t>
        </is>
      </c>
      <c r="W71" s="26" t="n">
        <v>1</v>
      </c>
      <c r="X71" s="26" t="n">
        <v>0</v>
      </c>
      <c r="Y71" s="25" t="n"/>
      <c r="Z71" s="26" t="n"/>
      <c r="AA71" s="28" t="n"/>
      <c r="AB71" s="28" t="n"/>
      <c r="AC71" s="30" t="n">
        <v>1.56</v>
      </c>
      <c r="AD71" s="24" t="inlineStr">
        <is>
          <t>2026-08-06T18:56:17.667744Z</t>
        </is>
      </c>
      <c r="AE71" s="31" t="inlineStr">
        <is>
          <t>Neutral Elo baseline; executable ask 0.3900 (market_slug=aec-lol-ig-nip-2026-08-06).</t>
        </is>
      </c>
      <c r="AF71" s="31" t="inlineStr">
        <is>
          <t>Config-promoted esports baseline; gates enforced at log time.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NO_CALL_LOW_EDGE</t>
        </is>
      </c>
      <c r="AP71" s="24" t="inlineStr">
        <is>
          <t>Ninjas in Pyjamas</t>
        </is>
      </c>
      <c r="AQ71" s="24" t="inlineStr">
        <is>
          <t>Ninjas in Pyjamas</t>
        </is>
      </c>
      <c r="AR71" s="24" t="inlineStr">
        <is>
          <t>Ninjas in Pyjamas</t>
        </is>
      </c>
      <c r="AS71" s="24" t="inlineStr">
        <is>
          <t>Invictus Gaming</t>
        </is>
      </c>
      <c r="AT71" s="24" t="inlineStr">
        <is>
          <t>Invictus Gaming</t>
        </is>
      </c>
      <c r="AU71" s="24" t="inlineStr">
        <is>
          <t>Invictus Gaming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4304963c152f1e881f634fa0b66ab59152f3edd6692257c1d27d76a5cb0a3df3</t>
        </is>
      </c>
      <c r="BB71" s="24" t="inlineStr">
        <is>
          <t>neutral_elo</t>
        </is>
      </c>
      <c r="BC71" s="24" t="inlineStr">
        <is>
          <t>lol-tiered-elo-v6</t>
        </is>
      </c>
      <c r="BD71" s="24" t="inlineStr">
        <is>
          <t>4304963c152f1e881f634fa0b66ab59152f3edd6692257c1d27d76a5cb0a3df3</t>
        </is>
      </c>
      <c r="BE71" s="24" t="inlineStr">
        <is>
          <t>1</t>
        </is>
      </c>
      <c r="BF71" s="24" t="inlineStr">
        <is>
          <t>1</t>
        </is>
      </c>
      <c r="BG71" s="24" t="inlineStr">
        <is>
          <t>lol-tiered-elo-v6</t>
        </is>
      </c>
      <c r="BH71" s="24" t="inlineStr">
        <is>
          <t>2026-08-06T00:24:38.252962Z</t>
        </is>
      </c>
      <c r="BI71" s="24" t="inlineStr">
        <is>
          <t>["same_event","same_team_same_day","same_league_same_day"]</t>
        </is>
      </c>
      <c r="BJ71" s="25" t="n"/>
      <c r="BK71" s="26" t="n">
        <v>156</v>
      </c>
      <c r="BL71" s="27" t="n">
        <v>2.56</v>
      </c>
      <c r="BM71" s="28" t="n">
        <v>0.390625</v>
      </c>
      <c r="BN71" s="28" t="n"/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True</t>
        </is>
      </c>
    </row>
    <row r="72" ht="36" customHeight="1">
      <c r="A72" s="24" t="inlineStr">
        <is>
          <t>252d9198e9914f85</t>
        </is>
      </c>
      <c r="B72" s="24" t="inlineStr">
        <is>
          <t>2026-08-06T00:24:51.570056Z</t>
        </is>
      </c>
      <c r="C72" s="24" t="inlineStr">
        <is>
          <t>2026-08-06T10:00:00Z</t>
        </is>
      </c>
      <c r="D72" s="24" t="inlineStr">
        <is>
          <t>70594</t>
        </is>
      </c>
      <c r="E72" s="24" t="inlineStr">
        <is>
          <t>LOL</t>
        </is>
      </c>
      <c r="F72" s="24" t="inlineStr">
        <is>
          <t>T1</t>
        </is>
      </c>
      <c r="G72" s="24" t="inlineStr">
        <is>
          <t>Dplus KIA</t>
        </is>
      </c>
      <c r="H72" s="24" t="inlineStr">
        <is>
          <t>moneyline</t>
        </is>
      </c>
      <c r="I72" s="24" t="inlineStr">
        <is>
          <t>away</t>
        </is>
      </c>
      <c r="J72" s="25" t="n"/>
      <c r="K72" s="24" t="inlineStr">
        <is>
          <t>polymarket_us</t>
        </is>
      </c>
      <c r="L72" s="26" t="n">
        <v>-113</v>
      </c>
      <c r="M72" s="27" t="n">
        <v>1.884956</v>
      </c>
      <c r="N72" s="28" t="n">
        <v>0.530516</v>
      </c>
      <c r="O72" s="28" t="n">
        <v>0.554077</v>
      </c>
      <c r="P72" s="28" t="n"/>
      <c r="Q72" s="28" t="n">
        <v>0.023561</v>
      </c>
      <c r="R72" s="26" t="n">
        <v>32</v>
      </c>
      <c r="S72" s="29" t="n">
        <v>0</v>
      </c>
      <c r="T72" s="24" t="inlineStr">
        <is>
          <t>lol-tiered-elo-v6</t>
        </is>
      </c>
      <c r="U72" s="24" t="inlineStr">
        <is>
          <t>settled</t>
        </is>
      </c>
      <c r="V72" s="24" t="inlineStr">
        <is>
          <t>win</t>
        </is>
      </c>
      <c r="W72" s="26" t="n">
        <v>1</v>
      </c>
      <c r="X72" s="26" t="n">
        <v>0</v>
      </c>
      <c r="Y72" s="25" t="n"/>
      <c r="Z72" s="26" t="n"/>
      <c r="AA72" s="28" t="n"/>
      <c r="AB72" s="28" t="n"/>
      <c r="AC72" s="30" t="n">
        <v>0</v>
      </c>
      <c r="AD72" s="24" t="inlineStr">
        <is>
          <t>2026-08-06T18:56:20.215158Z</t>
        </is>
      </c>
      <c r="AE72" s="31" t="inlineStr">
        <is>
          <t>Neutral Elo baseline; executable ask 0.5300 (market_slug=aec-lol-dk-t1-2026-08-06).</t>
        </is>
      </c>
      <c r="AF72" s="31" t="inlineStr">
        <is>
          <t>Config-promoted esports baseline; gates enforced at log time.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research_observation</t>
        </is>
      </c>
      <c r="AL72" s="26" t="n">
        <v>3</v>
      </c>
      <c r="AM72" s="24" t="inlineStr">
        <is>
          <t>RESEARCH_OBSERVATION</t>
        </is>
      </c>
      <c r="AN72" s="24" t="inlineStr">
        <is>
          <t>NO_CALL</t>
        </is>
      </c>
      <c r="AO72" s="24" t="inlineStr">
        <is>
          <t>NO_CALL_WINNER_OVERVALUED</t>
        </is>
      </c>
      <c r="AP72" s="24" t="inlineStr">
        <is>
          <t>T1</t>
        </is>
      </c>
      <c r="AQ72" s="24" t="inlineStr">
        <is>
          <t>T1</t>
        </is>
      </c>
      <c r="AR72" s="24" t="inlineStr">
        <is>
          <t>T1</t>
        </is>
      </c>
      <c r="AS72" s="24" t="inlineStr">
        <is>
          <t>Dplus KIA</t>
        </is>
      </c>
      <c r="AT72" s="24" t="inlineStr">
        <is>
          <t>Dplus KIA</t>
        </is>
      </c>
      <c r="AU72" s="24" t="inlineStr">
        <is>
          <t>Dplus KIA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4304963c152f1e881f634fa0b66ab59152f3edd6692257c1d27d76a5cb0a3df3</t>
        </is>
      </c>
      <c r="BB72" s="24" t="inlineStr">
        <is>
          <t>neutral_elo</t>
        </is>
      </c>
      <c r="BC72" s="24" t="inlineStr">
        <is>
          <t>lol-tiered-elo-v6</t>
        </is>
      </c>
      <c r="BD72" s="24" t="inlineStr">
        <is>
          <t>4304963c152f1e881f634fa0b66ab59152f3edd6692257c1d27d76a5cb0a3df3</t>
        </is>
      </c>
      <c r="BE72" s="24" t="inlineStr">
        <is>
          <t>1</t>
        </is>
      </c>
      <c r="BF72" s="24" t="inlineStr">
        <is>
          <t>1</t>
        </is>
      </c>
      <c r="BG72" s="24" t="inlineStr">
        <is>
          <t>lol-tiered-elo-v6</t>
        </is>
      </c>
      <c r="BH72" s="24" t="inlineStr">
        <is>
          <t>2026-08-06T00:24:38.757841Z</t>
        </is>
      </c>
      <c r="BI72" s="24" t="inlineStr">
        <is>
          <t>["same_event","same_team_same_day","same_league_same_day"]</t>
        </is>
      </c>
      <c r="BJ72" s="25" t="n"/>
      <c r="BK72" s="26" t="n">
        <v>-113</v>
      </c>
      <c r="BL72" s="27" t="n">
        <v>1.884956</v>
      </c>
      <c r="BM72" s="28" t="n">
        <v>0.530516</v>
      </c>
      <c r="BN72" s="28" t="n"/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True</t>
        </is>
      </c>
    </row>
    <row r="73" ht="36" customHeight="1">
      <c r="A73" s="24" t="inlineStr">
        <is>
          <t>aa7ff76cf71f478f</t>
        </is>
      </c>
      <c r="B73" s="24" t="inlineStr">
        <is>
          <t>2026-08-06T00:24:51.570056Z</t>
        </is>
      </c>
      <c r="C73" s="24" t="inlineStr">
        <is>
          <t>2026-08-06T16:00:00Z</t>
        </is>
      </c>
      <c r="D73" s="24" t="inlineStr">
        <is>
          <t>70789</t>
        </is>
      </c>
      <c r="E73" s="24" t="inlineStr">
        <is>
          <t>LOL</t>
        </is>
      </c>
      <c r="F73" s="24" t="inlineStr">
        <is>
          <t>Lupus Esports</t>
        </is>
      </c>
      <c r="G73" s="24" t="inlineStr">
        <is>
          <t>The Secret Club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-194</v>
      </c>
      <c r="M73" s="27" t="n">
        <v>1.515464</v>
      </c>
      <c r="N73" s="28" t="n">
        <v>0.659864</v>
      </c>
      <c r="O73" s="28" t="n">
        <v>0.659932</v>
      </c>
      <c r="P73" s="28" t="n"/>
      <c r="Q73" s="28" t="n">
        <v>6.8e-05</v>
      </c>
      <c r="R73" s="26" t="n">
        <v>20</v>
      </c>
      <c r="S73" s="29" t="n">
        <v>0</v>
      </c>
      <c r="T73" s="24" t="inlineStr">
        <is>
          <t>lol-tiered-elo-v6</t>
        </is>
      </c>
      <c r="U73" s="24" t="inlineStr">
        <is>
          <t>settled</t>
        </is>
      </c>
      <c r="V73" s="24" t="inlineStr">
        <is>
          <t>win</t>
        </is>
      </c>
      <c r="W73" s="26" t="n">
        <v>0</v>
      </c>
      <c r="X73" s="26" t="n">
        <v>1</v>
      </c>
      <c r="Y73" s="25" t="n"/>
      <c r="Z73" s="26" t="n"/>
      <c r="AA73" s="28" t="n"/>
      <c r="AB73" s="28" t="n"/>
      <c r="AC73" s="30" t="n">
        <v>0</v>
      </c>
      <c r="AD73" s="24" t="inlineStr">
        <is>
          <t>2026-08-06T18:56:22.705506Z</t>
        </is>
      </c>
      <c r="AE73" s="31" t="inlineStr">
        <is>
          <t>Neutral Elo baseline; executable ask 0.6600 (market_slug=aec-lol-tsc-lps-2026-08-06).</t>
        </is>
      </c>
      <c r="AF73" s="31" t="inlineStr">
        <is>
          <t>Config-promoted esports baseline; gates enforced at log time.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NO_CALL_WINNER_OVERVALUED</t>
        </is>
      </c>
      <c r="AP73" s="24" t="inlineStr">
        <is>
          <t>Lupus Esports</t>
        </is>
      </c>
      <c r="AQ73" s="24" t="inlineStr">
        <is>
          <t>Lupus Esports</t>
        </is>
      </c>
      <c r="AR73" s="24" t="inlineStr">
        <is>
          <t>Lupus Esports</t>
        </is>
      </c>
      <c r="AS73" s="24" t="inlineStr">
        <is>
          <t>The Secret Club</t>
        </is>
      </c>
      <c r="AT73" s="24" t="inlineStr">
        <is>
          <t>The Secret Club</t>
        </is>
      </c>
      <c r="AU73" s="24" t="inlineStr">
        <is>
          <t>The Secret Club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4304963c152f1e881f634fa0b66ab59152f3edd6692257c1d27d76a5cb0a3df3</t>
        </is>
      </c>
      <c r="BB73" s="24" t="inlineStr">
        <is>
          <t>neutral_elo</t>
        </is>
      </c>
      <c r="BC73" s="24" t="inlineStr">
        <is>
          <t>lol-tiered-elo-v6</t>
        </is>
      </c>
      <c r="BD73" s="24" t="inlineStr">
        <is>
          <t>4304963c152f1e881f634fa0b66ab59152f3edd6692257c1d27d76a5cb0a3df3</t>
        </is>
      </c>
      <c r="BE73" s="24" t="inlineStr">
        <is>
          <t>1</t>
        </is>
      </c>
      <c r="BF73" s="24" t="inlineStr">
        <is>
          <t>1</t>
        </is>
      </c>
      <c r="BG73" s="24" t="inlineStr">
        <is>
          <t>lol-tiered-elo-v6</t>
        </is>
      </c>
      <c r="BH73" s="24" t="inlineStr">
        <is>
          <t>2026-08-06T00:24:41.808312Z</t>
        </is>
      </c>
      <c r="BI73" s="24" t="inlineStr">
        <is>
          <t>["same_event","same_team_same_day","same_league_same_day"]</t>
        </is>
      </c>
      <c r="BJ73" s="25" t="n"/>
      <c r="BK73" s="26" t="n">
        <v>-194</v>
      </c>
      <c r="BL73" s="27" t="n">
        <v>1.515464</v>
      </c>
      <c r="BM73" s="28" t="n">
        <v>0.659864</v>
      </c>
      <c r="BN73" s="28" t="n"/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True</t>
        </is>
      </c>
    </row>
    <row r="74" ht="36" customHeight="1">
      <c r="A74" s="24" t="inlineStr">
        <is>
          <t>aac66cb881df4bc9</t>
        </is>
      </c>
      <c r="B74" s="24" t="inlineStr">
        <is>
          <t>2026-08-06T00:24:51.570056Z</t>
        </is>
      </c>
      <c r="C74" s="24" t="inlineStr">
        <is>
          <t>2026-08-06T16:00:00Z</t>
        </is>
      </c>
      <c r="D74" s="24" t="inlineStr">
        <is>
          <t>70790</t>
        </is>
      </c>
      <c r="E74" s="24" t="inlineStr">
        <is>
          <t>LOL</t>
        </is>
      </c>
      <c r="F74" s="24" t="inlineStr">
        <is>
          <t>Baam Esports</t>
        </is>
      </c>
      <c r="G74" s="24" t="inlineStr">
        <is>
          <t>One More Esports</t>
        </is>
      </c>
      <c r="H74" s="24" t="inlineStr">
        <is>
          <t>moneyline</t>
        </is>
      </c>
      <c r="I74" s="24" t="inlineStr">
        <is>
          <t>away</t>
        </is>
      </c>
      <c r="J74" s="25" t="n"/>
      <c r="K74" s="24" t="inlineStr">
        <is>
          <t>polymarket_us</t>
        </is>
      </c>
      <c r="L74" s="26" t="n">
        <v>-144</v>
      </c>
      <c r="M74" s="27" t="n">
        <v>1.694444</v>
      </c>
      <c r="N74" s="28" t="n">
        <v>0.590164</v>
      </c>
      <c r="O74" s="28" t="n">
        <v>0.764249</v>
      </c>
      <c r="P74" s="28" t="n"/>
      <c r="Q74" s="28" t="n">
        <v>0.174085</v>
      </c>
      <c r="R74" s="26" t="n">
        <v>100</v>
      </c>
      <c r="S74" s="29" t="n">
        <v>2</v>
      </c>
      <c r="T74" s="24" t="inlineStr">
        <is>
          <t>lol-tiered-elo-v6</t>
        </is>
      </c>
      <c r="U74" s="24" t="inlineStr">
        <is>
          <t>settled</t>
        </is>
      </c>
      <c r="V74" s="24" t="inlineStr">
        <is>
          <t>win</t>
        </is>
      </c>
      <c r="W74" s="26" t="n">
        <v>1</v>
      </c>
      <c r="X74" s="26" t="n">
        <v>0</v>
      </c>
      <c r="Y74" s="25" t="n"/>
      <c r="Z74" s="26" t="n"/>
      <c r="AA74" s="28" t="n"/>
      <c r="AB74" s="28" t="n"/>
      <c r="AC74" s="30" t="n">
        <v>1.3889</v>
      </c>
      <c r="AD74" s="24" t="inlineStr">
        <is>
          <t>2026-08-06T18:56:25.172905Z</t>
        </is>
      </c>
      <c r="AE74" s="31" t="inlineStr">
        <is>
          <t>Neutral Elo baseline; executable ask 0.5900 (market_slug=aec-lol-one-bam-2026-08-06).</t>
        </is>
      </c>
      <c r="AF74" s="31" t="inlineStr">
        <is>
          <t>Config-promoted esports baseline; gates enforced at log time.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model_qualified</t>
        </is>
      </c>
      <c r="AL74" s="26" t="n">
        <v>3</v>
      </c>
      <c r="AM74" s="24" t="inlineStr">
        <is>
          <t>QUALIFIED_SHADOW_CALL</t>
        </is>
      </c>
      <c r="AN74" s="24" t="inlineStr">
        <is>
          <t>CALL</t>
        </is>
      </c>
      <c r="AO74" s="24" t="inlineStr">
        <is>
          <t>QUALIFIED</t>
        </is>
      </c>
      <c r="AP74" s="24" t="inlineStr">
        <is>
          <t>Baam Esports</t>
        </is>
      </c>
      <c r="AQ74" s="24" t="inlineStr">
        <is>
          <t>Baam Esports</t>
        </is>
      </c>
      <c r="AR74" s="24" t="inlineStr">
        <is>
          <t>Baam Esports</t>
        </is>
      </c>
      <c r="AS74" s="24" t="inlineStr">
        <is>
          <t>One More Esports</t>
        </is>
      </c>
      <c r="AT74" s="24" t="inlineStr">
        <is>
          <t>One More Esports</t>
        </is>
      </c>
      <c r="AU74" s="24" t="inlineStr">
        <is>
          <t>One More Esports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4304963c152f1e881f634fa0b66ab59152f3edd6692257c1d27d76a5cb0a3df3</t>
        </is>
      </c>
      <c r="BB74" s="24" t="inlineStr">
        <is>
          <t>neutral_elo</t>
        </is>
      </c>
      <c r="BC74" s="24" t="inlineStr">
        <is>
          <t>lol-tiered-elo-v6</t>
        </is>
      </c>
      <c r="BD74" s="24" t="inlineStr">
        <is>
          <t>4304963c152f1e881f634fa0b66ab59152f3edd6692257c1d27d76a5cb0a3df3</t>
        </is>
      </c>
      <c r="BE74" s="24" t="inlineStr">
        <is>
          <t>1</t>
        </is>
      </c>
      <c r="BF74" s="24" t="inlineStr">
        <is>
          <t>1</t>
        </is>
      </c>
      <c r="BG74" s="24" t="inlineStr">
        <is>
          <t>lol-tiered-elo-v6</t>
        </is>
      </c>
      <c r="BH74" s="24" t="inlineStr">
        <is>
          <t>2026-08-06T00:24:42.381233Z</t>
        </is>
      </c>
      <c r="BI74" s="24" t="inlineStr">
        <is>
          <t>["same_event","same_team_same_day","same_league_same_day"]</t>
        </is>
      </c>
      <c r="BJ74" s="25" t="n"/>
      <c r="BK74" s="26" t="n">
        <v>-144</v>
      </c>
      <c r="BL74" s="27" t="n">
        <v>1.694444</v>
      </c>
      <c r="BM74" s="28" t="n">
        <v>0.590164</v>
      </c>
      <c r="BN74" s="28" t="n"/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True</t>
        </is>
      </c>
    </row>
    <row r="75" ht="36" customHeight="1">
      <c r="A75" s="24" t="inlineStr">
        <is>
          <t>ebabad64b5bd47f4</t>
        </is>
      </c>
      <c r="B75" s="24" t="inlineStr">
        <is>
          <t>2026-08-06T00:24:51.570056Z</t>
        </is>
      </c>
      <c r="C75" s="24" t="inlineStr">
        <is>
          <t>2026-08-06T17:00:00Z</t>
        </is>
      </c>
      <c r="D75" s="24" t="inlineStr">
        <is>
          <t>70860</t>
        </is>
      </c>
      <c r="E75" s="24" t="inlineStr">
        <is>
          <t>LOL</t>
        </is>
      </c>
      <c r="F75" s="24" t="inlineStr">
        <is>
          <t>Skillcamp Esport</t>
        </is>
      </c>
      <c r="G75" s="24" t="inlineStr">
        <is>
          <t>Karmine Corp Blue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-150</v>
      </c>
      <c r="M75" s="27" t="n">
        <v>1.666667</v>
      </c>
      <c r="N75" s="28" t="n">
        <v>0.6</v>
      </c>
      <c r="O75" s="28" t="n">
        <v>0.742815</v>
      </c>
      <c r="P75" s="28" t="n"/>
      <c r="Q75" s="28" t="n">
        <v>0.142815</v>
      </c>
      <c r="R75" s="26" t="n">
        <v>91</v>
      </c>
      <c r="S75" s="29" t="n">
        <v>2</v>
      </c>
      <c r="T75" s="24" t="inlineStr">
        <is>
          <t>lol-tiered-elo-v6</t>
        </is>
      </c>
      <c r="U75" s="24" t="inlineStr">
        <is>
          <t>settled</t>
        </is>
      </c>
      <c r="V75" s="24" t="inlineStr">
        <is>
          <t>loss</t>
        </is>
      </c>
      <c r="W75" s="26" t="n">
        <v>1</v>
      </c>
      <c r="X75" s="26" t="n">
        <v>0</v>
      </c>
      <c r="Y75" s="25" t="n"/>
      <c r="Z75" s="26" t="n"/>
      <c r="AA75" s="28" t="n"/>
      <c r="AB75" s="28" t="n"/>
      <c r="AC75" s="30" t="n">
        <v>-2</v>
      </c>
      <c r="AD75" s="24" t="inlineStr">
        <is>
          <t>2026-08-06T18:56:27.727773Z</t>
        </is>
      </c>
      <c r="AE75" s="31" t="inlineStr">
        <is>
          <t>Neutral Elo baseline; executable ask 0.6000 (market_slug=aec-lol-kcb-sc-2026-08-06).</t>
        </is>
      </c>
      <c r="AF75" s="31" t="inlineStr">
        <is>
          <t>Config-promoted esports baseline; gates enforced at log time.</t>
        </is>
      </c>
      <c r="AG75" s="24" t="inlineStr">
        <is>
          <t>review_required</t>
        </is>
      </c>
      <c r="AH75" s="24" t="n"/>
      <c r="AI75" s="31" t="n"/>
      <c r="AJ75" s="31" t="n"/>
      <c r="AK75" s="24" t="inlineStr">
        <is>
          <t>model_qualified</t>
        </is>
      </c>
      <c r="AL75" s="26" t="n">
        <v>3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inlineStr">
        <is>
          <t>Skillcamp Esport</t>
        </is>
      </c>
      <c r="AQ75" s="24" t="inlineStr">
        <is>
          <t>Skillcamp Esport</t>
        </is>
      </c>
      <c r="AR75" s="24" t="inlineStr">
        <is>
          <t>Skillcamp Esport</t>
        </is>
      </c>
      <c r="AS75" s="24" t="inlineStr">
        <is>
          <t>Karmine Corp Blue</t>
        </is>
      </c>
      <c r="AT75" s="24" t="inlineStr">
        <is>
          <t>Karmine Corp Blue</t>
        </is>
      </c>
      <c r="AU75" s="24" t="inlineStr">
        <is>
          <t>Karmine Corp Blue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4304963c152f1e881f634fa0b66ab59152f3edd6692257c1d27d76a5cb0a3df3</t>
        </is>
      </c>
      <c r="BB75" s="24" t="inlineStr">
        <is>
          <t>neutral_elo</t>
        </is>
      </c>
      <c r="BC75" s="24" t="inlineStr">
        <is>
          <t>lol-tiered-elo-v6</t>
        </is>
      </c>
      <c r="BD75" s="24" t="inlineStr">
        <is>
          <t>4304963c152f1e881f634fa0b66ab59152f3edd6692257c1d27d76a5cb0a3df3</t>
        </is>
      </c>
      <c r="BE75" s="24" t="inlineStr">
        <is>
          <t>1</t>
        </is>
      </c>
      <c r="BF75" s="24" t="inlineStr">
        <is>
          <t>1</t>
        </is>
      </c>
      <c r="BG75" s="24" t="inlineStr">
        <is>
          <t>lol-tiered-elo-v6</t>
        </is>
      </c>
      <c r="BH75" s="24" t="inlineStr">
        <is>
          <t>2026-08-06T00:24:43.466107Z</t>
        </is>
      </c>
      <c r="BI75" s="24" t="inlineStr">
        <is>
          <t>["same_event","same_team_same_day","same_league_same_day"]</t>
        </is>
      </c>
      <c r="BJ75" s="25" t="n"/>
      <c r="BK75" s="26" t="n">
        <v>-150</v>
      </c>
      <c r="BL75" s="27" t="n">
        <v>1.666667</v>
      </c>
      <c r="BM75" s="28" t="n">
        <v>0.6</v>
      </c>
      <c r="BN75" s="28" t="n"/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True</t>
        </is>
      </c>
    </row>
    <row r="76" ht="36" customHeight="1">
      <c r="A76" s="24" t="inlineStr">
        <is>
          <t>88de860f81a54ba6</t>
        </is>
      </c>
      <c r="B76" s="24" t="inlineStr">
        <is>
          <t>2026-08-06T00:24:51.570056Z</t>
        </is>
      </c>
      <c r="C76" s="24" t="inlineStr">
        <is>
          <t>2026-08-06T17:00:00Z</t>
        </is>
      </c>
      <c r="D76" s="24" t="inlineStr">
        <is>
          <t>70862</t>
        </is>
      </c>
      <c r="E76" s="24" t="inlineStr">
        <is>
          <t>LOL</t>
        </is>
      </c>
      <c r="F76" s="24" t="inlineStr">
        <is>
          <t>EKO Esports</t>
        </is>
      </c>
      <c r="G76" s="24" t="inlineStr">
        <is>
          <t>Colossal Gaming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-194</v>
      </c>
      <c r="M76" s="27" t="n">
        <v>1.515464</v>
      </c>
      <c r="N76" s="28" t="n">
        <v>0.659864</v>
      </c>
      <c r="O76" s="28" t="n">
        <v>0.696928</v>
      </c>
      <c r="P76" s="28" t="n"/>
      <c r="Q76" s="28" t="n">
        <v>0.037064</v>
      </c>
      <c r="R76" s="26" t="n">
        <v>39</v>
      </c>
      <c r="S76" s="29" t="n">
        <v>0</v>
      </c>
      <c r="T76" s="24" t="inlineStr">
        <is>
          <t>lol-tiered-elo-v6</t>
        </is>
      </c>
      <c r="U76" s="24" t="inlineStr">
        <is>
          <t>settled</t>
        </is>
      </c>
      <c r="V76" s="24" t="inlineStr">
        <is>
          <t>loss</t>
        </is>
      </c>
      <c r="W76" s="26" t="n">
        <v>1</v>
      </c>
      <c r="X76" s="26" t="n">
        <v>0</v>
      </c>
      <c r="Y76" s="25" t="n"/>
      <c r="Z76" s="26" t="n"/>
      <c r="AA76" s="28" t="n"/>
      <c r="AB76" s="28" t="n"/>
      <c r="AC76" s="30" t="n">
        <v>0</v>
      </c>
      <c r="AD76" s="24" t="inlineStr">
        <is>
          <t>2026-08-06T18:56:30.210457Z</t>
        </is>
      </c>
      <c r="AE76" s="31" t="inlineStr">
        <is>
          <t>Neutral Elo baseline; executable ask 0.6600 (market_slug=aec-lol-cg-eko-2026-08-06).</t>
        </is>
      </c>
      <c r="AF76" s="31" t="inlineStr">
        <is>
          <t>Config-promoted esports baseline; gates enforced at log time.</t>
        </is>
      </c>
      <c r="AG76" s="24" t="inlineStr">
        <is>
          <t>review_required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NO_CALL_WINNER_OVERVALUED</t>
        </is>
      </c>
      <c r="AP76" s="24" t="inlineStr">
        <is>
          <t>EKO Esports</t>
        </is>
      </c>
      <c r="AQ76" s="24" t="inlineStr">
        <is>
          <t>EKO Esports</t>
        </is>
      </c>
      <c r="AR76" s="24" t="inlineStr">
        <is>
          <t>EKO Esports</t>
        </is>
      </c>
      <c r="AS76" s="24" t="inlineStr">
        <is>
          <t>Colossal Gaming</t>
        </is>
      </c>
      <c r="AT76" s="24" t="inlineStr">
        <is>
          <t>Colossal Gaming</t>
        </is>
      </c>
      <c r="AU76" s="24" t="inlineStr">
        <is>
          <t>Colossal Gaming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4304963c152f1e881f634fa0b66ab59152f3edd6692257c1d27d76a5cb0a3df3</t>
        </is>
      </c>
      <c r="BB76" s="24" t="inlineStr">
        <is>
          <t>neutral_elo</t>
        </is>
      </c>
      <c r="BC76" s="24" t="inlineStr">
        <is>
          <t>lol-tiered-elo-v6</t>
        </is>
      </c>
      <c r="BD76" s="24" t="inlineStr">
        <is>
          <t>4304963c152f1e881f634fa0b66ab59152f3edd6692257c1d27d76a5cb0a3df3</t>
        </is>
      </c>
      <c r="BE76" s="24" t="inlineStr">
        <is>
          <t>1</t>
        </is>
      </c>
      <c r="BF76" s="24" t="inlineStr">
        <is>
          <t>1</t>
        </is>
      </c>
      <c r="BG76" s="24" t="inlineStr">
        <is>
          <t>lol-tiered-elo-v6</t>
        </is>
      </c>
      <c r="BH76" s="24" t="inlineStr">
        <is>
          <t>2026-08-06T00:24:44.031854Z</t>
        </is>
      </c>
      <c r="BI76" s="24" t="inlineStr">
        <is>
          <t>["same_event","same_team_same_day","same_league_same_day"]</t>
        </is>
      </c>
      <c r="BJ76" s="25" t="n"/>
      <c r="BK76" s="26" t="n">
        <v>-194</v>
      </c>
      <c r="BL76" s="27" t="n">
        <v>1.515464</v>
      </c>
      <c r="BM76" s="28" t="n">
        <v>0.659864</v>
      </c>
      <c r="BN76" s="28" t="n"/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True</t>
        </is>
      </c>
    </row>
    <row r="77" ht="36" customHeight="1">
      <c r="A77" s="24" t="inlineStr">
        <is>
          <t>8b2688c8a93d4dcc</t>
        </is>
      </c>
      <c r="B77" s="24" t="inlineStr">
        <is>
          <t>2026-08-06T00:24:51.570056Z</t>
        </is>
      </c>
      <c r="C77" s="24" t="inlineStr">
        <is>
          <t>2026-08-06T17:00:00Z</t>
        </is>
      </c>
      <c r="D77" s="24" t="inlineStr">
        <is>
          <t>70863</t>
        </is>
      </c>
      <c r="E77" s="24" t="inlineStr">
        <is>
          <t>LOL</t>
        </is>
      </c>
      <c r="F77" s="24" t="inlineStr">
        <is>
          <t>Senshi Esports</t>
        </is>
      </c>
      <c r="G77" s="24" t="inlineStr">
        <is>
          <t>Myth Esports</t>
        </is>
      </c>
      <c r="H77" s="24" t="inlineStr">
        <is>
          <t>moneyline</t>
        </is>
      </c>
      <c r="I77" s="24" t="inlineStr">
        <is>
          <t>away</t>
        </is>
      </c>
      <c r="J77" s="25" t="n"/>
      <c r="K77" s="24" t="inlineStr">
        <is>
          <t>polymarket_us</t>
        </is>
      </c>
      <c r="L77" s="26" t="n">
        <v>-108</v>
      </c>
      <c r="M77" s="27" t="n">
        <v>1.925926</v>
      </c>
      <c r="N77" s="28" t="n">
        <v>0.519231</v>
      </c>
      <c r="O77" s="28" t="n">
        <v>0.515418</v>
      </c>
      <c r="P77" s="28" t="n"/>
      <c r="Q77" s="28" t="n">
        <v>-0.003813</v>
      </c>
      <c r="R77" s="26" t="n">
        <v>18</v>
      </c>
      <c r="S77" s="29" t="n">
        <v>0</v>
      </c>
      <c r="T77" s="24" t="inlineStr">
        <is>
          <t>lol-tiered-elo-v6</t>
        </is>
      </c>
      <c r="U77" s="24" t="inlineStr">
        <is>
          <t>settled</t>
        </is>
      </c>
      <c r="V77" s="24" t="inlineStr">
        <is>
          <t>win</t>
        </is>
      </c>
      <c r="W77" s="26" t="n">
        <v>1</v>
      </c>
      <c r="X77" s="26" t="n">
        <v>0</v>
      </c>
      <c r="Y77" s="25" t="n"/>
      <c r="Z77" s="26" t="n"/>
      <c r="AA77" s="28" t="n"/>
      <c r="AB77" s="28" t="n"/>
      <c r="AC77" s="30" t="n">
        <v>0</v>
      </c>
      <c r="AD77" s="24" t="inlineStr">
        <is>
          <t>2026-08-06T18:56:32.689409Z</t>
        </is>
      </c>
      <c r="AE77" s="31" t="inlineStr">
        <is>
          <t>Neutral Elo baseline; executable ask 0.5200 (market_slug=aec-lol-myth-sec-2026-08-06).</t>
        </is>
      </c>
      <c r="AF77" s="31" t="inlineStr">
        <is>
          <t>Config-promoted esports baseline; gates enforced at log time.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NO_CALL_WINNER_OVERVALUED</t>
        </is>
      </c>
      <c r="AP77" s="24" t="inlineStr">
        <is>
          <t>Senshi Esports</t>
        </is>
      </c>
      <c r="AQ77" s="24" t="inlineStr">
        <is>
          <t>Senshi Esports</t>
        </is>
      </c>
      <c r="AR77" s="24" t="inlineStr">
        <is>
          <t>Senshi Esports</t>
        </is>
      </c>
      <c r="AS77" s="24" t="inlineStr">
        <is>
          <t>Myth Esports</t>
        </is>
      </c>
      <c r="AT77" s="24" t="inlineStr">
        <is>
          <t>Myth Esports</t>
        </is>
      </c>
      <c r="AU77" s="24" t="inlineStr">
        <is>
          <t>Myth Esports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4304963c152f1e881f634fa0b66ab59152f3edd6692257c1d27d76a5cb0a3df3</t>
        </is>
      </c>
      <c r="BB77" s="24" t="inlineStr">
        <is>
          <t>neutral_elo</t>
        </is>
      </c>
      <c r="BC77" s="24" t="inlineStr">
        <is>
          <t>lol-tiered-elo-v6</t>
        </is>
      </c>
      <c r="BD77" s="24" t="inlineStr">
        <is>
          <t>4304963c152f1e881f634fa0b66ab59152f3edd6692257c1d27d76a5cb0a3df3</t>
        </is>
      </c>
      <c r="BE77" s="24" t="inlineStr">
        <is>
          <t>1</t>
        </is>
      </c>
      <c r="BF77" s="24" t="inlineStr">
        <is>
          <t>1</t>
        </is>
      </c>
      <c r="BG77" s="24" t="inlineStr">
        <is>
          <t>lol-tiered-elo-v6</t>
        </is>
      </c>
      <c r="BH77" s="24" t="inlineStr">
        <is>
          <t>2026-08-06T00:24:44.630123Z</t>
        </is>
      </c>
      <c r="BI77" s="24" t="inlineStr">
        <is>
          <t>["same_event","same_team_same_day","same_league_same_day"]</t>
        </is>
      </c>
      <c r="BJ77" s="25" t="n"/>
      <c r="BK77" s="26" t="n">
        <v>-108</v>
      </c>
      <c r="BL77" s="27" t="n">
        <v>1.925926</v>
      </c>
      <c r="BM77" s="28" t="n">
        <v>0.519231</v>
      </c>
      <c r="BN77" s="28" t="n"/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False</t>
        </is>
      </c>
    </row>
    <row r="78" ht="36" customHeight="1">
      <c r="A78" s="24" t="inlineStr">
        <is>
          <t>dcfff4acdd9f4be4</t>
        </is>
      </c>
      <c r="B78" s="24" t="inlineStr">
        <is>
          <t>2026-08-06T00:24:51.570056Z</t>
        </is>
      </c>
      <c r="C78" s="24" t="inlineStr">
        <is>
          <t>2026-08-06T18:00:00Z</t>
        </is>
      </c>
      <c r="D78" s="24" t="inlineStr">
        <is>
          <t>70899</t>
        </is>
      </c>
      <c r="E78" s="24" t="inlineStr">
        <is>
          <t>LOL</t>
        </is>
      </c>
      <c r="F78" s="24" t="inlineStr">
        <is>
          <t>Joblife</t>
        </is>
      </c>
      <c r="G78" s="24" t="inlineStr">
        <is>
          <t>TLN Pirates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-133</v>
      </c>
      <c r="M78" s="27" t="n">
        <v>1.75188</v>
      </c>
      <c r="N78" s="28" t="n">
        <v>0.570815</v>
      </c>
      <c r="O78" s="28" t="n">
        <v>0.620982</v>
      </c>
      <c r="P78" s="28" t="n"/>
      <c r="Q78" s="28" t="n">
        <v>0.050167</v>
      </c>
      <c r="R78" s="26" t="n">
        <v>45</v>
      </c>
      <c r="S78" s="29" t="n">
        <v>0</v>
      </c>
      <c r="T78" s="24" t="inlineStr">
        <is>
          <t>lol-tiered-elo-v6</t>
        </is>
      </c>
      <c r="U78" s="24" t="inlineStr">
        <is>
          <t>settled</t>
        </is>
      </c>
      <c r="V78" s="24" t="inlineStr">
        <is>
          <t>win</t>
        </is>
      </c>
      <c r="W78" s="26" t="n">
        <v>0</v>
      </c>
      <c r="X78" s="26" t="n">
        <v>1</v>
      </c>
      <c r="Y78" s="25" t="n"/>
      <c r="Z78" s="26" t="n"/>
      <c r="AA78" s="28" t="n"/>
      <c r="AB78" s="28" t="n"/>
      <c r="AC78" s="30" t="n">
        <v>0</v>
      </c>
      <c r="AD78" s="24" t="inlineStr">
        <is>
          <t>2026-08-06T18:56:35.224039Z</t>
        </is>
      </c>
      <c r="AE78" s="31" t="inlineStr">
        <is>
          <t>Neutral Elo baseline; executable ask 0.5700 (market_slug=aec-lol-tlnp-jl-2026-08-06).</t>
        </is>
      </c>
      <c r="AF78" s="31" t="inlineStr">
        <is>
          <t>Config-promoted esports baseline; gates enforced at log time.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NO_CALL_WINNER_OVERVALUED</t>
        </is>
      </c>
      <c r="AP78" s="24" t="inlineStr">
        <is>
          <t>Joblife</t>
        </is>
      </c>
      <c r="AQ78" s="24" t="inlineStr">
        <is>
          <t>Joblife</t>
        </is>
      </c>
      <c r="AR78" s="24" t="inlineStr">
        <is>
          <t>Joblife</t>
        </is>
      </c>
      <c r="AS78" s="24" t="inlineStr">
        <is>
          <t>TLN Pirates</t>
        </is>
      </c>
      <c r="AT78" s="24" t="inlineStr">
        <is>
          <t>TLN Pirates</t>
        </is>
      </c>
      <c r="AU78" s="24" t="inlineStr">
        <is>
          <t>TLN Pirates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4304963c152f1e881f634fa0b66ab59152f3edd6692257c1d27d76a5cb0a3df3</t>
        </is>
      </c>
      <c r="BB78" s="24" t="inlineStr">
        <is>
          <t>neutral_elo</t>
        </is>
      </c>
      <c r="BC78" s="24" t="inlineStr">
        <is>
          <t>lol-tiered-elo-v6</t>
        </is>
      </c>
      <c r="BD78" s="24" t="inlineStr">
        <is>
          <t>4304963c152f1e881f634fa0b66ab59152f3edd6692257c1d27d76a5cb0a3df3</t>
        </is>
      </c>
      <c r="BE78" s="24" t="inlineStr">
        <is>
          <t>1</t>
        </is>
      </c>
      <c r="BF78" s="24" t="inlineStr">
        <is>
          <t>1</t>
        </is>
      </c>
      <c r="BG78" s="24" t="inlineStr">
        <is>
          <t>lol-tiered-elo-v6</t>
        </is>
      </c>
      <c r="BH78" s="24" t="inlineStr">
        <is>
          <t>2026-08-06T00:24:46.117972Z</t>
        </is>
      </c>
      <c r="BI78" s="24" t="inlineStr">
        <is>
          <t>["same_event","same_team_same_day","same_league_same_day"]</t>
        </is>
      </c>
      <c r="BJ78" s="25" t="n"/>
      <c r="BK78" s="26" t="n">
        <v>-133</v>
      </c>
      <c r="BL78" s="27" t="n">
        <v>1.75188</v>
      </c>
      <c r="BM78" s="28" t="n">
        <v>0.570815</v>
      </c>
      <c r="BN78" s="28" t="n"/>
      <c r="BO78" s="28" t="n"/>
      <c r="BP78" s="25" t="n"/>
      <c r="BQ78" s="27" t="n"/>
      <c r="BR78" s="28" t="n"/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True</t>
        </is>
      </c>
    </row>
    <row r="79" ht="36" customHeight="1">
      <c r="A79" s="24" t="inlineStr">
        <is>
          <t>c19c823351654694</t>
        </is>
      </c>
      <c r="B79" s="24" t="inlineStr">
        <is>
          <t>2026-08-06T00:24:51.570056Z</t>
        </is>
      </c>
      <c r="C79" s="24" t="inlineStr">
        <is>
          <t>2026-08-06T18:00:00Z</t>
        </is>
      </c>
      <c r="D79" s="24" t="inlineStr">
        <is>
          <t>70900</t>
        </is>
      </c>
      <c r="E79" s="24" t="inlineStr">
        <is>
          <t>LOL</t>
        </is>
      </c>
      <c r="F79" s="24" t="inlineStr">
        <is>
          <t>EXSAD Gaming</t>
        </is>
      </c>
      <c r="G79" s="24" t="inlineStr">
        <is>
          <t>ZeroZone Gaming</t>
        </is>
      </c>
      <c r="H79" s="24" t="inlineStr">
        <is>
          <t>moneyline</t>
        </is>
      </c>
      <c r="I79" s="24" t="inlineStr">
        <is>
          <t>away</t>
        </is>
      </c>
      <c r="J79" s="25" t="n"/>
      <c r="K79" s="24" t="inlineStr">
        <is>
          <t>polymarket_us</t>
        </is>
      </c>
      <c r="L79" s="26" t="n">
        <v>-127</v>
      </c>
      <c r="M79" s="27" t="n">
        <v>1.787402</v>
      </c>
      <c r="N79" s="28" t="n">
        <v>0.5594710000000001</v>
      </c>
      <c r="O79" s="28" t="n">
        <v>0.584918</v>
      </c>
      <c r="P79" s="28" t="n"/>
      <c r="Q79" s="28" t="n">
        <v>0.025447</v>
      </c>
      <c r="R79" s="26" t="n">
        <v>33</v>
      </c>
      <c r="S79" s="29" t="n">
        <v>0</v>
      </c>
      <c r="T79" s="24" t="inlineStr">
        <is>
          <t>lol-tiered-elo-v6</t>
        </is>
      </c>
      <c r="U79" s="24" t="inlineStr">
        <is>
          <t>settled</t>
        </is>
      </c>
      <c r="V79" s="24" t="inlineStr">
        <is>
          <t>loss</t>
        </is>
      </c>
      <c r="W79" s="26" t="n">
        <v>0</v>
      </c>
      <c r="X79" s="26" t="n">
        <v>1</v>
      </c>
      <c r="Y79" s="25" t="n"/>
      <c r="Z79" s="26" t="n"/>
      <c r="AA79" s="28" t="n"/>
      <c r="AB79" s="28" t="n"/>
      <c r="AC79" s="30" t="n">
        <v>0</v>
      </c>
      <c r="AD79" s="24" t="inlineStr">
        <is>
          <t>2026-08-07T06:01:32.072120Z</t>
        </is>
      </c>
      <c r="AE79" s="31" t="inlineStr">
        <is>
          <t>Neutral Elo baseline; executable ask 0.5600 (market_slug=aec-lol-zzg-exg-2026-08-06).</t>
        </is>
      </c>
      <c r="AF79" s="31" t="inlineStr">
        <is>
          <t>Config-promoted esports baseline; gates enforced at log time.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research_observation</t>
        </is>
      </c>
      <c r="AL79" s="26" t="n">
        <v>3</v>
      </c>
      <c r="AM79" s="24" t="inlineStr">
        <is>
          <t>RESEARCH_OBSERVATION</t>
        </is>
      </c>
      <c r="AN79" s="24" t="inlineStr">
        <is>
          <t>NO_CALL</t>
        </is>
      </c>
      <c r="AO79" s="24" t="inlineStr">
        <is>
          <t>NO_CALL_WINNER_OVERVALUED</t>
        </is>
      </c>
      <c r="AP79" s="24" t="inlineStr">
        <is>
          <t>EXSAD Gaming</t>
        </is>
      </c>
      <c r="AQ79" s="24" t="inlineStr">
        <is>
          <t>EXSAD Gaming</t>
        </is>
      </c>
      <c r="AR79" s="24" t="inlineStr">
        <is>
          <t>EXSAD Gaming</t>
        </is>
      </c>
      <c r="AS79" s="24" t="inlineStr">
        <is>
          <t>ZeroZone Gaming</t>
        </is>
      </c>
      <c r="AT79" s="24" t="inlineStr">
        <is>
          <t>ZeroZone Gaming</t>
        </is>
      </c>
      <c r="AU79" s="24" t="inlineStr">
        <is>
          <t>ZeroZone Gaming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4304963c152f1e881f634fa0b66ab59152f3edd6692257c1d27d76a5cb0a3df3</t>
        </is>
      </c>
      <c r="BB79" s="24" t="inlineStr">
        <is>
          <t>neutral_elo</t>
        </is>
      </c>
      <c r="BC79" s="24" t="inlineStr">
        <is>
          <t>lol-tiered-elo-v6</t>
        </is>
      </c>
      <c r="BD79" s="24" t="inlineStr">
        <is>
          <t>4304963c152f1e881f634fa0b66ab59152f3edd6692257c1d27d76a5cb0a3df3</t>
        </is>
      </c>
      <c r="BE79" s="24" t="inlineStr">
        <is>
          <t>1</t>
        </is>
      </c>
      <c r="BF79" s="24" t="inlineStr">
        <is>
          <t>1</t>
        </is>
      </c>
      <c r="BG79" s="24" t="inlineStr">
        <is>
          <t>lol-tiered-elo-v6</t>
        </is>
      </c>
      <c r="BH79" s="24" t="inlineStr">
        <is>
          <t>2026-08-06T00:24:46.574518Z</t>
        </is>
      </c>
      <c r="BI79" s="24" t="inlineStr">
        <is>
          <t>["same_event","same_team_same_day","same_league_same_day"]</t>
        </is>
      </c>
      <c r="BJ79" s="25" t="n"/>
      <c r="BK79" s="26" t="n">
        <v>-127</v>
      </c>
      <c r="BL79" s="27" t="n">
        <v>1.787402</v>
      </c>
      <c r="BM79" s="28" t="n">
        <v>0.5594710000000001</v>
      </c>
      <c r="BN79" s="28" t="n"/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True</t>
        </is>
      </c>
    </row>
    <row r="80" ht="36" customHeight="1">
      <c r="A80" s="24" t="inlineStr">
        <is>
          <t>7762cfab6f664222</t>
        </is>
      </c>
      <c r="B80" s="24" t="inlineStr">
        <is>
          <t>2026-08-06T00:24:51.570056Z</t>
        </is>
      </c>
      <c r="C80" s="24" t="inlineStr">
        <is>
          <t>2026-08-06T18:00:00Z</t>
        </is>
      </c>
      <c r="D80" s="24" t="inlineStr">
        <is>
          <t>70902</t>
        </is>
      </c>
      <c r="E80" s="24" t="inlineStr">
        <is>
          <t>LOL</t>
        </is>
      </c>
      <c r="F80" s="24" t="inlineStr">
        <is>
          <t xml:space="preserve">Croatian Flair x RLX </t>
        </is>
      </c>
      <c r="G80" s="24" t="inlineStr">
        <is>
          <t>SPIKE Syndicate</t>
        </is>
      </c>
      <c r="H80" s="24" t="inlineStr">
        <is>
          <t>moneyline</t>
        </is>
      </c>
      <c r="I80" s="24" t="inlineStr">
        <is>
          <t>away</t>
        </is>
      </c>
      <c r="J80" s="25" t="n"/>
      <c r="K80" s="24" t="inlineStr">
        <is>
          <t>polymarket_us</t>
        </is>
      </c>
      <c r="L80" s="26" t="n">
        <v>-117</v>
      </c>
      <c r="M80" s="27" t="n">
        <v>1.854701</v>
      </c>
      <c r="N80" s="28" t="n">
        <v>0.539171</v>
      </c>
      <c r="O80" s="28" t="n">
        <v>0.526701</v>
      </c>
      <c r="P80" s="28" t="n"/>
      <c r="Q80" s="28" t="n">
        <v>-0.01247</v>
      </c>
      <c r="R80" s="26" t="n">
        <v>14</v>
      </c>
      <c r="S80" s="29" t="n">
        <v>0</v>
      </c>
      <c r="T80" s="24" t="inlineStr">
        <is>
          <t>lol-tiered-elo-v6</t>
        </is>
      </c>
      <c r="U80" s="24" t="inlineStr">
        <is>
          <t>settled</t>
        </is>
      </c>
      <c r="V80" s="24" t="inlineStr">
        <is>
          <t>loss</t>
        </is>
      </c>
      <c r="W80" s="26" t="n">
        <v>0</v>
      </c>
      <c r="X80" s="26" t="n">
        <v>1</v>
      </c>
      <c r="Y80" s="25" t="n"/>
      <c r="Z80" s="26" t="n"/>
      <c r="AA80" s="28" t="n"/>
      <c r="AB80" s="28" t="n"/>
      <c r="AC80" s="30" t="n">
        <v>0</v>
      </c>
      <c r="AD80" s="24" t="inlineStr">
        <is>
          <t>2026-08-07T06:01:34.117276Z</t>
        </is>
      </c>
      <c r="AE80" s="31" t="inlineStr">
        <is>
          <t>Neutral Elo baseline; executable ask 0.5400 (market_slug=aec-lol-spk-cfxr-2026-08-06).</t>
        </is>
      </c>
      <c r="AF80" s="31" t="inlineStr">
        <is>
          <t>Config-promoted esports baseline; gates enforced at log time.</t>
        </is>
      </c>
      <c r="AG80" s="24" t="inlineStr">
        <is>
          <t>review_required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NO_CALL_WINNER_OVERVALUED</t>
        </is>
      </c>
      <c r="AP80" s="24" t="inlineStr">
        <is>
          <t xml:space="preserve">Croatian Flair x RLX </t>
        </is>
      </c>
      <c r="AQ80" s="24" t="inlineStr">
        <is>
          <t xml:space="preserve">Croatian Flair x RLX </t>
        </is>
      </c>
      <c r="AR80" s="24" t="inlineStr">
        <is>
          <t xml:space="preserve">Croatian Flair x RLX </t>
        </is>
      </c>
      <c r="AS80" s="24" t="inlineStr">
        <is>
          <t>SPIKE Syndicate</t>
        </is>
      </c>
      <c r="AT80" s="24" t="inlineStr">
        <is>
          <t>SPIKE Syndicate</t>
        </is>
      </c>
      <c r="AU80" s="24" t="inlineStr">
        <is>
          <t>SPIKE Syndicate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4304963c152f1e881f634fa0b66ab59152f3edd6692257c1d27d76a5cb0a3df3</t>
        </is>
      </c>
      <c r="BB80" s="24" t="inlineStr">
        <is>
          <t>neutral_elo</t>
        </is>
      </c>
      <c r="BC80" s="24" t="inlineStr">
        <is>
          <t>lol-tiered-elo-v6</t>
        </is>
      </c>
      <c r="BD80" s="24" t="inlineStr">
        <is>
          <t>4304963c152f1e881f634fa0b66ab59152f3edd6692257c1d27d76a5cb0a3df3</t>
        </is>
      </c>
      <c r="BE80" s="24" t="inlineStr">
        <is>
          <t>1</t>
        </is>
      </c>
      <c r="BF80" s="24" t="inlineStr">
        <is>
          <t>1</t>
        </is>
      </c>
      <c r="BG80" s="24" t="inlineStr">
        <is>
          <t>lol-tiered-elo-v6</t>
        </is>
      </c>
      <c r="BH80" s="24" t="inlineStr">
        <is>
          <t>2026-08-06T00:24:47.035129Z</t>
        </is>
      </c>
      <c r="BI80" s="24" t="inlineStr">
        <is>
          <t>["same_event","same_team_same_day","same_league_same_day"]</t>
        </is>
      </c>
      <c r="BJ80" s="25" t="n"/>
      <c r="BK80" s="26" t="n">
        <v>-117</v>
      </c>
      <c r="BL80" s="27" t="n">
        <v>1.854701</v>
      </c>
      <c r="BM80" s="28" t="n">
        <v>0.539171</v>
      </c>
      <c r="BN80" s="28" t="n"/>
      <c r="BO80" s="28" t="n"/>
      <c r="BP80" s="25" t="n"/>
      <c r="BQ80" s="27" t="n"/>
      <c r="BR80" s="28" t="n"/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False</t>
        </is>
      </c>
    </row>
    <row r="81" ht="36" customHeight="1">
      <c r="A81" s="24" t="inlineStr">
        <is>
          <t>13eb8c51dc9647ac</t>
        </is>
      </c>
      <c r="B81" s="24" t="inlineStr">
        <is>
          <t>2026-08-06T00:24:51.570056Z</t>
        </is>
      </c>
      <c r="C81" s="24" t="inlineStr">
        <is>
          <t>2026-08-06T18:00:00Z</t>
        </is>
      </c>
      <c r="D81" s="24" t="inlineStr">
        <is>
          <t>70903</t>
        </is>
      </c>
      <c r="E81" s="24" t="inlineStr">
        <is>
          <t>LOL</t>
        </is>
      </c>
      <c r="F81" s="24" t="inlineStr">
        <is>
          <t>Zena Esports</t>
        </is>
      </c>
      <c r="G81" s="24" t="inlineStr">
        <is>
          <t>GMBLERS ESPORTS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polymarket_us</t>
        </is>
      </c>
      <c r="L81" s="26" t="n">
        <v>113</v>
      </c>
      <c r="M81" s="27" t="n">
        <v>2.13</v>
      </c>
      <c r="N81" s="28" t="n">
        <v>0.469484</v>
      </c>
      <c r="O81" s="28" t="n">
        <v>0.630956</v>
      </c>
      <c r="P81" s="28" t="n"/>
      <c r="Q81" s="28" t="n">
        <v>0.161472</v>
      </c>
      <c r="R81" s="26" t="n">
        <v>100</v>
      </c>
      <c r="S81" s="29" t="n">
        <v>1.5</v>
      </c>
      <c r="T81" s="24" t="inlineStr">
        <is>
          <t>lol-tiered-elo-v6</t>
        </is>
      </c>
      <c r="U81" s="24" t="inlineStr">
        <is>
          <t>settled</t>
        </is>
      </c>
      <c r="V81" s="24" t="inlineStr">
        <is>
          <t>win</t>
        </is>
      </c>
      <c r="W81" s="26" t="n">
        <v>0</v>
      </c>
      <c r="X81" s="26" t="n">
        <v>1</v>
      </c>
      <c r="Y81" s="25" t="n"/>
      <c r="Z81" s="26" t="n"/>
      <c r="AA81" s="28" t="n"/>
      <c r="AB81" s="28" t="n"/>
      <c r="AC81" s="30" t="n">
        <v>1.695</v>
      </c>
      <c r="AD81" s="24" t="inlineStr">
        <is>
          <t>2026-08-06T18:56:40.419369Z</t>
        </is>
      </c>
      <c r="AE81" s="31" t="inlineStr">
        <is>
          <t>Neutral Elo baseline; executable ask 0.4700 (market_slug=aec-lol-gmb-zena-2026-08-06).</t>
        </is>
      </c>
      <c r="AF81" s="31" t="inlineStr">
        <is>
          <t>Config-promoted esports baseline; gates enforced at log time.</t>
        </is>
      </c>
      <c r="AG81" s="24" t="inlineStr">
        <is>
          <t>not_applicable</t>
        </is>
      </c>
      <c r="AH81" s="24" t="n"/>
      <c r="AI81" s="31" t="n"/>
      <c r="AJ81" s="31" t="n"/>
      <c r="AK81" s="24" t="inlineStr">
        <is>
          <t>model_qualified</t>
        </is>
      </c>
      <c r="AL81" s="26" t="n">
        <v>3</v>
      </c>
      <c r="AM81" s="24" t="inlineStr">
        <is>
          <t>QUALIFIED_SHADOW_CALL</t>
        </is>
      </c>
      <c r="AN81" s="24" t="inlineStr">
        <is>
          <t>CALL</t>
        </is>
      </c>
      <c r="AO81" s="24" t="inlineStr">
        <is>
          <t>QUALIFIED</t>
        </is>
      </c>
      <c r="AP81" s="24" t="inlineStr">
        <is>
          <t>Zena Esports</t>
        </is>
      </c>
      <c r="AQ81" s="24" t="inlineStr">
        <is>
          <t>Zena Esports</t>
        </is>
      </c>
      <c r="AR81" s="24" t="inlineStr">
        <is>
          <t>Zena Esports</t>
        </is>
      </c>
      <c r="AS81" s="24" t="inlineStr">
        <is>
          <t>GMBLERS ESPORTS</t>
        </is>
      </c>
      <c r="AT81" s="24" t="inlineStr">
        <is>
          <t>GMBLERS ESPORTS</t>
        </is>
      </c>
      <c r="AU81" s="24" t="inlineStr">
        <is>
          <t>GMBLERS ESPORTS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4304963c152f1e881f634fa0b66ab59152f3edd6692257c1d27d76a5cb0a3df3</t>
        </is>
      </c>
      <c r="BB81" s="24" t="inlineStr">
        <is>
          <t>neutral_elo</t>
        </is>
      </c>
      <c r="BC81" s="24" t="inlineStr">
        <is>
          <t>lol-tiered-elo-v6</t>
        </is>
      </c>
      <c r="BD81" s="24" t="inlineStr">
        <is>
          <t>4304963c152f1e881f634fa0b66ab59152f3edd6692257c1d27d76a5cb0a3df3</t>
        </is>
      </c>
      <c r="BE81" s="24" t="inlineStr">
        <is>
          <t>1</t>
        </is>
      </c>
      <c r="BF81" s="24" t="inlineStr">
        <is>
          <t>1</t>
        </is>
      </c>
      <c r="BG81" s="24" t="inlineStr">
        <is>
          <t>lol-tiered-elo-v6</t>
        </is>
      </c>
      <c r="BH81" s="24" t="inlineStr">
        <is>
          <t>2026-08-06T00:24:47.491847Z</t>
        </is>
      </c>
      <c r="BI81" s="24" t="inlineStr">
        <is>
          <t>["same_event","same_team_same_day","same_league_same_day"]</t>
        </is>
      </c>
      <c r="BJ81" s="25" t="n"/>
      <c r="BK81" s="26" t="n">
        <v>113</v>
      </c>
      <c r="BL81" s="27" t="n">
        <v>2.13</v>
      </c>
      <c r="BM81" s="28" t="n">
        <v>0.469484</v>
      </c>
      <c r="BN81" s="28" t="n"/>
      <c r="BO81" s="28" t="n"/>
      <c r="BP81" s="25" t="n"/>
      <c r="BQ81" s="27" t="n"/>
      <c r="BR81" s="28" t="n"/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True</t>
        </is>
      </c>
    </row>
    <row r="82" ht="36" customHeight="1">
      <c r="A82" s="24" t="inlineStr">
        <is>
          <t>45958a0ec00d4c43</t>
        </is>
      </c>
      <c r="B82" s="24" t="inlineStr">
        <is>
          <t>2026-08-06T00:24:51.570056Z</t>
        </is>
      </c>
      <c r="C82" s="24" t="inlineStr">
        <is>
          <t>2026-08-06T18:30:00Z</t>
        </is>
      </c>
      <c r="D82" s="24" t="inlineStr">
        <is>
          <t>70944</t>
        </is>
      </c>
      <c r="E82" s="24" t="inlineStr">
        <is>
          <t>LOL</t>
        </is>
      </c>
      <c r="F82" s="24" t="inlineStr">
        <is>
          <t>GnG Amazigh</t>
        </is>
      </c>
      <c r="G82" s="24" t="inlineStr">
        <is>
          <t>3BL Esports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-104</v>
      </c>
      <c r="M82" s="27" t="n">
        <v>1.961538</v>
      </c>
      <c r="N82" s="28" t="n">
        <v>0.509804</v>
      </c>
      <c r="O82" s="28" t="n">
        <v>0.503252</v>
      </c>
      <c r="P82" s="28" t="n"/>
      <c r="Q82" s="28" t="n">
        <v>-0.006552</v>
      </c>
      <c r="R82" s="26" t="n">
        <v>17</v>
      </c>
      <c r="S82" s="29" t="n">
        <v>0</v>
      </c>
      <c r="T82" s="24" t="inlineStr">
        <is>
          <t>lol-tiered-elo-v6</t>
        </is>
      </c>
      <c r="U82" s="24" t="inlineStr">
        <is>
          <t>settled</t>
        </is>
      </c>
      <c r="V82" s="24" t="inlineStr">
        <is>
          <t>loss</t>
        </is>
      </c>
      <c r="W82" s="26" t="n">
        <v>1</v>
      </c>
      <c r="X82" s="26" t="n">
        <v>0</v>
      </c>
      <c r="Y82" s="25" t="n"/>
      <c r="Z82" s="26" t="n"/>
      <c r="AA82" s="28" t="n"/>
      <c r="AB82" s="28" t="n"/>
      <c r="AC82" s="30" t="n">
        <v>0</v>
      </c>
      <c r="AD82" s="24" t="inlineStr">
        <is>
          <t>2026-08-07T06:01:36.066905Z</t>
        </is>
      </c>
      <c r="AE82" s="31" t="inlineStr">
        <is>
          <t>Neutral Elo baseline; executable ask 0.5100 (market_slug=aec-lol-3bl-gng-2026-08-06).</t>
        </is>
      </c>
      <c r="AF82" s="31" t="inlineStr">
        <is>
          <t>Config-promoted esports baseline; gates enforced at log time.</t>
        </is>
      </c>
      <c r="AG82" s="24" t="inlineStr">
        <is>
          <t>review_required</t>
        </is>
      </c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RESEARCH_OBSERVATION</t>
        </is>
      </c>
      <c r="AN82" s="24" t="inlineStr">
        <is>
          <t>NO_CALL</t>
        </is>
      </c>
      <c r="AO82" s="24" t="inlineStr">
        <is>
          <t>NO_CALL_WINNER_OVERVALUED</t>
        </is>
      </c>
      <c r="AP82" s="24" t="inlineStr">
        <is>
          <t>GnG Amazigh</t>
        </is>
      </c>
      <c r="AQ82" s="24" t="inlineStr">
        <is>
          <t>GnG Amazigh</t>
        </is>
      </c>
      <c r="AR82" s="24" t="inlineStr">
        <is>
          <t>GnG Amazigh</t>
        </is>
      </c>
      <c r="AS82" s="24" t="inlineStr">
        <is>
          <t>3BL Esports</t>
        </is>
      </c>
      <c r="AT82" s="24" t="inlineStr">
        <is>
          <t>3BL Esports</t>
        </is>
      </c>
      <c r="AU82" s="24" t="inlineStr">
        <is>
          <t>3BL Esports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4304963c152f1e881f634fa0b66ab59152f3edd6692257c1d27d76a5cb0a3df3</t>
        </is>
      </c>
      <c r="BB82" s="24" t="inlineStr">
        <is>
          <t>neutral_elo</t>
        </is>
      </c>
      <c r="BC82" s="24" t="inlineStr">
        <is>
          <t>lol-tiered-elo-v6</t>
        </is>
      </c>
      <c r="BD82" s="24" t="inlineStr">
        <is>
          <t>4304963c152f1e881f634fa0b66ab59152f3edd6692257c1d27d76a5cb0a3df3</t>
        </is>
      </c>
      <c r="BE82" s="24" t="inlineStr">
        <is>
          <t>1</t>
        </is>
      </c>
      <c r="BF82" s="24" t="inlineStr">
        <is>
          <t>1</t>
        </is>
      </c>
      <c r="BG82" s="24" t="inlineStr">
        <is>
          <t>lol-tiered-elo-v6</t>
        </is>
      </c>
      <c r="BH82" s="24" t="inlineStr">
        <is>
          <t>2026-08-06T00:24:48.482758Z</t>
        </is>
      </c>
      <c r="BI82" s="24" t="inlineStr">
        <is>
          <t>["same_event","same_team_same_day","same_league_same_day"]</t>
        </is>
      </c>
      <c r="BJ82" s="25" t="n"/>
      <c r="BK82" s="26" t="n">
        <v>-104</v>
      </c>
      <c r="BL82" s="27" t="n">
        <v>1.961538</v>
      </c>
      <c r="BM82" s="28" t="n">
        <v>0.509804</v>
      </c>
      <c r="BN82" s="28" t="n"/>
      <c r="BO82" s="28" t="n"/>
      <c r="BP82" s="25" t="n"/>
      <c r="BQ82" s="27" t="n"/>
      <c r="BR82" s="28" t="n"/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False</t>
        </is>
      </c>
    </row>
    <row r="83" ht="36" customHeight="1">
      <c r="A83" s="24" t="inlineStr">
        <is>
          <t>a61f5714f228441f</t>
        </is>
      </c>
      <c r="B83" s="24" t="inlineStr">
        <is>
          <t>2026-08-06T19:00:25.399605Z</t>
        </is>
      </c>
      <c r="C83" s="24" t="inlineStr">
        <is>
          <t>2026-08-06T20:00:00Z</t>
        </is>
      </c>
      <c r="D83" s="24" t="inlineStr">
        <is>
          <t>71214</t>
        </is>
      </c>
      <c r="E83" s="24" t="inlineStr">
        <is>
          <t>LOL</t>
        </is>
      </c>
      <c r="F83" s="24" t="inlineStr">
        <is>
          <t>Vitality.Bee</t>
        </is>
      </c>
      <c r="G83" s="24" t="inlineStr">
        <is>
          <t>ZYB Esport</t>
        </is>
      </c>
      <c r="H83" s="24" t="inlineStr">
        <is>
          <t>moneyline</t>
        </is>
      </c>
      <c r="I83" s="24" t="inlineStr">
        <is>
          <t>away</t>
        </is>
      </c>
      <c r="J83" s="25" t="n"/>
      <c r="K83" s="24" t="inlineStr">
        <is>
          <t>polymarket_us</t>
        </is>
      </c>
      <c r="L83" s="26" t="n">
        <v>-163</v>
      </c>
      <c r="M83" s="27" t="n">
        <v>1.613497</v>
      </c>
      <c r="N83" s="28" t="n">
        <v>0.619772</v>
      </c>
      <c r="O83" s="28" t="n">
        <v>0.679525</v>
      </c>
      <c r="P83" s="28" t="n"/>
      <c r="Q83" s="28" t="n">
        <v>0.059753</v>
      </c>
      <c r="R83" s="26" t="n">
        <v>50</v>
      </c>
      <c r="S83" s="29" t="n">
        <v>0</v>
      </c>
      <c r="T83" s="24" t="inlineStr">
        <is>
          <t>lol-tiered-elo-v6</t>
        </is>
      </c>
      <c r="U83" s="24" t="inlineStr">
        <is>
          <t>settled</t>
        </is>
      </c>
      <c r="V83" s="24" t="inlineStr">
        <is>
          <t>win</t>
        </is>
      </c>
      <c r="W83" s="26" t="n">
        <v>1</v>
      </c>
      <c r="X83" s="26" t="n">
        <v>0</v>
      </c>
      <c r="Y83" s="25" t="n"/>
      <c r="Z83" s="26" t="n">
        <v>-163</v>
      </c>
      <c r="AA83" s="28" t="n">
        <v>0.62</v>
      </c>
      <c r="AB83" s="28" t="n">
        <v>0.000228</v>
      </c>
      <c r="AC83" s="30" t="n">
        <v>0</v>
      </c>
      <c r="AD83" s="24" t="inlineStr">
        <is>
          <t>2026-08-07T06:01:38.017573Z</t>
        </is>
      </c>
      <c r="AE83" s="31" t="inlineStr">
        <is>
          <t>Neutral Elo baseline; executable ask 0.6200 (market_slug=aec-lol-zyb-vitb-2026-08-06).</t>
        </is>
      </c>
      <c r="AF83" s="31" t="inlineStr">
        <is>
          <t>Config-promoted esports baseline; gates enforced at log time.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research_observation</t>
        </is>
      </c>
      <c r="AL83" s="26" t="n">
        <v>3</v>
      </c>
      <c r="AM83" s="24" t="inlineStr">
        <is>
          <t>RESEARCH_OBSERVATION</t>
        </is>
      </c>
      <c r="AN83" s="24" t="inlineStr">
        <is>
          <t>NO_CALL</t>
        </is>
      </c>
      <c r="AO83" s="24" t="inlineStr">
        <is>
          <t>NO_CALL_WINNER_OVERVALUED</t>
        </is>
      </c>
      <c r="AP83" s="24" t="inlineStr">
        <is>
          <t>Vitality.Bee</t>
        </is>
      </c>
      <c r="AQ83" s="24" t="inlineStr">
        <is>
          <t>Vitality.Bee</t>
        </is>
      </c>
      <c r="AR83" s="24" t="inlineStr">
        <is>
          <t>Vitality.Bee</t>
        </is>
      </c>
      <c r="AS83" s="24" t="inlineStr">
        <is>
          <t>ZYB Esport</t>
        </is>
      </c>
      <c r="AT83" s="24" t="inlineStr">
        <is>
          <t>ZYB Esport</t>
        </is>
      </c>
      <c r="AU83" s="24" t="inlineStr">
        <is>
          <t>ZYB Esport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5e9799a515295e9b079eacaa53a2e35352183239a18c1b173f4a540a52770140</t>
        </is>
      </c>
      <c r="BB83" s="24" t="inlineStr">
        <is>
          <t>neutral_elo</t>
        </is>
      </c>
      <c r="BC83" s="24" t="inlineStr">
        <is>
          <t>lol-tiered-elo-v6</t>
        </is>
      </c>
      <c r="BD83" s="24" t="inlineStr">
        <is>
          <t>5e9799a515295e9b079eacaa53a2e35352183239a18c1b173f4a540a52770140</t>
        </is>
      </c>
      <c r="BE83" s="24" t="inlineStr">
        <is>
          <t>1</t>
        </is>
      </c>
      <c r="BF83" s="24" t="inlineStr">
        <is>
          <t>1</t>
        </is>
      </c>
      <c r="BG83" s="24" t="inlineStr">
        <is>
          <t>lol-tiered-elo-v6</t>
        </is>
      </c>
      <c r="BH83" s="24" t="inlineStr">
        <is>
          <t>2026-08-06T19:00:13.353895Z</t>
        </is>
      </c>
      <c r="BI83" s="24" t="inlineStr">
        <is>
          <t>["same_event","same_team_same_day","same_league_same_day"]</t>
        </is>
      </c>
      <c r="BJ83" s="25" t="n"/>
      <c r="BK83" s="26" t="n">
        <v>-163</v>
      </c>
      <c r="BL83" s="27" t="n">
        <v>1.613497</v>
      </c>
      <c r="BM83" s="28" t="n">
        <v>0.619772</v>
      </c>
      <c r="BN83" s="28" t="n"/>
      <c r="BO83" s="28" t="n"/>
      <c r="BP83" s="25" t="n"/>
      <c r="BQ83" s="27" t="n">
        <v>1.613497</v>
      </c>
      <c r="BR83" s="28" t="n">
        <v>0.62</v>
      </c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True</t>
        </is>
      </c>
    </row>
    <row r="84" ht="36" customHeight="1">
      <c r="A84" s="24" t="inlineStr">
        <is>
          <t>0ccd89fcee2349fe</t>
        </is>
      </c>
      <c r="B84" s="24" t="inlineStr">
        <is>
          <t>2026-08-06T19:00:25.399605Z</t>
        </is>
      </c>
      <c r="C84" s="24" t="inlineStr">
        <is>
          <t>2026-08-06T21:00:00Z</t>
        </is>
      </c>
      <c r="D84" s="24" t="inlineStr">
        <is>
          <t>71313</t>
        </is>
      </c>
      <c r="E84" s="24" t="inlineStr">
        <is>
          <t>LOL</t>
        </is>
      </c>
      <c r="F84" s="24" t="inlineStr">
        <is>
          <t>Panelão LHC</t>
        </is>
      </c>
      <c r="G84" s="24" t="inlineStr">
        <is>
          <t>Tung Tung Bogi</t>
        </is>
      </c>
      <c r="H84" s="24" t="inlineStr">
        <is>
          <t>moneyline</t>
        </is>
      </c>
      <c r="I84" s="24" t="inlineStr">
        <is>
          <t>home</t>
        </is>
      </c>
      <c r="J84" s="25" t="n"/>
      <c r="K84" s="24" t="inlineStr">
        <is>
          <t>polymarket_us</t>
        </is>
      </c>
      <c r="L84" s="26" t="n">
        <v>-133</v>
      </c>
      <c r="M84" s="27" t="n">
        <v>1.75188</v>
      </c>
      <c r="N84" s="28" t="n">
        <v>0.570815</v>
      </c>
      <c r="O84" s="28" t="n">
        <v>0.502926</v>
      </c>
      <c r="P84" s="28" t="n"/>
      <c r="Q84" s="28" t="n">
        <v>-0.067889</v>
      </c>
      <c r="R84" s="26" t="n">
        <v>0</v>
      </c>
      <c r="S84" s="29" t="n">
        <v>0</v>
      </c>
      <c r="T84" s="24" t="inlineStr">
        <is>
          <t>lol-tiered-elo-v6</t>
        </is>
      </c>
      <c r="U84" s="24" t="inlineStr">
        <is>
          <t>settled</t>
        </is>
      </c>
      <c r="V84" s="24" t="inlineStr">
        <is>
          <t>win</t>
        </is>
      </c>
      <c r="W84" s="26" t="n">
        <v>0</v>
      </c>
      <c r="X84" s="26" t="n">
        <v>1</v>
      </c>
      <c r="Y84" s="25" t="n"/>
      <c r="Z84" s="26" t="n">
        <v>-133</v>
      </c>
      <c r="AA84" s="28" t="n">
        <v>0.57</v>
      </c>
      <c r="AB84" s="28" t="n">
        <v>-0.000815</v>
      </c>
      <c r="AC84" s="30" t="n">
        <v>0</v>
      </c>
      <c r="AD84" s="24" t="inlineStr">
        <is>
          <t>2026-08-07T06:01:39.953165Z</t>
        </is>
      </c>
      <c r="AE84" s="31" t="inlineStr">
        <is>
          <t>Neutral Elo baseline; executable ask 0.5700 (market_slug=aec-lol-tung-pane-2026-08-06).</t>
        </is>
      </c>
      <c r="AF84" s="31" t="inlineStr">
        <is>
          <t>Config-promoted esports baseline; gates enforced at log time.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RESEARCH_OBSERVATION</t>
        </is>
      </c>
      <c r="AN84" s="24" t="inlineStr">
        <is>
          <t>NO_CALL</t>
        </is>
      </c>
      <c r="AO84" s="24" t="inlineStr">
        <is>
          <t>NO_CALL_WINNER_OVERVALUED</t>
        </is>
      </c>
      <c r="AP84" s="24" t="inlineStr">
        <is>
          <t>Panelão LHC</t>
        </is>
      </c>
      <c r="AQ84" s="24" t="inlineStr">
        <is>
          <t>Panelão LHC</t>
        </is>
      </c>
      <c r="AR84" s="24" t="inlineStr">
        <is>
          <t>Panelão LHC</t>
        </is>
      </c>
      <c r="AS84" s="24" t="inlineStr">
        <is>
          <t>Tung Tung Bogi</t>
        </is>
      </c>
      <c r="AT84" s="24" t="inlineStr">
        <is>
          <t>Tung Tung Bogi</t>
        </is>
      </c>
      <c r="AU84" s="24" t="inlineStr">
        <is>
          <t>Tung Tung Bogi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5e9799a515295e9b079eacaa53a2e35352183239a18c1b173f4a540a52770140</t>
        </is>
      </c>
      <c r="BB84" s="24" t="inlineStr">
        <is>
          <t>neutral_elo</t>
        </is>
      </c>
      <c r="BC84" s="24" t="inlineStr">
        <is>
          <t>lol-tiered-elo-v6</t>
        </is>
      </c>
      <c r="BD84" s="24" t="inlineStr">
        <is>
          <t>5e9799a515295e9b079eacaa53a2e35352183239a18c1b173f4a540a52770140</t>
        </is>
      </c>
      <c r="BE84" s="24" t="inlineStr">
        <is>
          <t>1</t>
        </is>
      </c>
      <c r="BF84" s="24" t="inlineStr">
        <is>
          <t>1</t>
        </is>
      </c>
      <c r="BG84" s="24" t="inlineStr">
        <is>
          <t>lol-tiered-elo-v6</t>
        </is>
      </c>
      <c r="BH84" s="24" t="inlineStr">
        <is>
          <t>2026-08-06T19:00:13.983504Z</t>
        </is>
      </c>
      <c r="BI84" s="24" t="inlineStr">
        <is>
          <t>["same_event","same_team_same_day","same_league_same_day"]</t>
        </is>
      </c>
      <c r="BJ84" s="25" t="n"/>
      <c r="BK84" s="26" t="n">
        <v>-133</v>
      </c>
      <c r="BL84" s="27" t="n">
        <v>1.75188</v>
      </c>
      <c r="BM84" s="28" t="n">
        <v>0.570815</v>
      </c>
      <c r="BN84" s="28" t="n"/>
      <c r="BO84" s="28" t="n"/>
      <c r="BP84" s="25" t="n"/>
      <c r="BQ84" s="27" t="n">
        <v>1.75188</v>
      </c>
      <c r="BR84" s="28" t="n">
        <v>0.57</v>
      </c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inlineStr">
        <is>
          <t>False</t>
        </is>
      </c>
    </row>
    <row r="85" ht="36" customHeight="1">
      <c r="A85" s="24" t="inlineStr">
        <is>
          <t>0231b19970844149</t>
        </is>
      </c>
      <c r="B85" s="24" t="inlineStr">
        <is>
          <t>2026-08-06T19:00:25.399605Z</t>
        </is>
      </c>
      <c r="C85" s="24" t="inlineStr">
        <is>
          <t>2026-08-06T21:00:00Z</t>
        </is>
      </c>
      <c r="D85" s="24" t="inlineStr">
        <is>
          <t>71314</t>
        </is>
      </c>
      <c r="E85" s="24" t="inlineStr">
        <is>
          <t>LOL</t>
        </is>
      </c>
      <c r="F85" s="24" t="inlineStr">
        <is>
          <t>CCG Esports</t>
        </is>
      </c>
      <c r="G85" s="24" t="inlineStr">
        <is>
          <t>Maryville University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-144</v>
      </c>
      <c r="M85" s="27" t="n">
        <v>1.694444</v>
      </c>
      <c r="N85" s="28" t="n">
        <v>0.590164</v>
      </c>
      <c r="O85" s="28" t="n">
        <v>0.557526</v>
      </c>
      <c r="P85" s="28" t="n"/>
      <c r="Q85" s="28" t="n">
        <v>-0.032638</v>
      </c>
      <c r="R85" s="26" t="n">
        <v>4</v>
      </c>
      <c r="S85" s="29" t="n">
        <v>0</v>
      </c>
      <c r="T85" s="24" t="inlineStr">
        <is>
          <t>lol-tiered-elo-v6</t>
        </is>
      </c>
      <c r="U85" s="24" t="inlineStr">
        <is>
          <t>settled</t>
        </is>
      </c>
      <c r="V85" s="24" t="inlineStr">
        <is>
          <t>win</t>
        </is>
      </c>
      <c r="W85" s="26" t="n">
        <v>0</v>
      </c>
      <c r="X85" s="26" t="n">
        <v>1</v>
      </c>
      <c r="Y85" s="25" t="n"/>
      <c r="Z85" s="26" t="n">
        <v>-144</v>
      </c>
      <c r="AA85" s="28" t="n">
        <v>0.59</v>
      </c>
      <c r="AB85" s="28" t="n">
        <v>-0.000164</v>
      </c>
      <c r="AC85" s="30" t="n">
        <v>0</v>
      </c>
      <c r="AD85" s="24" t="inlineStr">
        <is>
          <t>2026-08-07T06:01:42.011440Z</t>
        </is>
      </c>
      <c r="AE85" s="31" t="inlineStr">
        <is>
          <t>Neutral Elo baseline; executable ask 0.5900 (market_slug=aec-lol-mvu-ccg-2026-08-06).</t>
        </is>
      </c>
      <c r="AF85" s="31" t="inlineStr">
        <is>
          <t>Config-promoted esports baseline; gates enforced at log time.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research_observation</t>
        </is>
      </c>
      <c r="AL85" s="26" t="n">
        <v>3</v>
      </c>
      <c r="AM85" s="24" t="inlineStr">
        <is>
          <t>RESEARCH_OBSERVATION</t>
        </is>
      </c>
      <c r="AN85" s="24" t="inlineStr">
        <is>
          <t>NO_CALL</t>
        </is>
      </c>
      <c r="AO85" s="24" t="inlineStr">
        <is>
          <t>NO_CALL_WINNER_OVERVALUED</t>
        </is>
      </c>
      <c r="AP85" s="24" t="inlineStr">
        <is>
          <t>CCG Esports</t>
        </is>
      </c>
      <c r="AQ85" s="24" t="inlineStr">
        <is>
          <t>CCG Esports</t>
        </is>
      </c>
      <c r="AR85" s="24" t="inlineStr">
        <is>
          <t>CCG Esports</t>
        </is>
      </c>
      <c r="AS85" s="24" t="inlineStr">
        <is>
          <t>Maryville University</t>
        </is>
      </c>
      <c r="AT85" s="24" t="inlineStr">
        <is>
          <t>Maryville University</t>
        </is>
      </c>
      <c r="AU85" s="24" t="inlineStr">
        <is>
          <t>Maryville University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5e9799a515295e9b079eacaa53a2e35352183239a18c1b173f4a540a52770140</t>
        </is>
      </c>
      <c r="BB85" s="24" t="inlineStr">
        <is>
          <t>neutral_elo</t>
        </is>
      </c>
      <c r="BC85" s="24" t="inlineStr">
        <is>
          <t>lol-tiered-elo-v6</t>
        </is>
      </c>
      <c r="BD85" s="24" t="inlineStr">
        <is>
          <t>5e9799a515295e9b079eacaa53a2e35352183239a18c1b173f4a540a52770140</t>
        </is>
      </c>
      <c r="BE85" s="24" t="inlineStr">
        <is>
          <t>1</t>
        </is>
      </c>
      <c r="BF85" s="24" t="inlineStr">
        <is>
          <t>1</t>
        </is>
      </c>
      <c r="BG85" s="24" t="inlineStr">
        <is>
          <t>lol-tiered-elo-v6</t>
        </is>
      </c>
      <c r="BH85" s="24" t="inlineStr">
        <is>
          <t>2026-08-06T19:00:14.541758Z</t>
        </is>
      </c>
      <c r="BI85" s="24" t="inlineStr">
        <is>
          <t>["same_event","same_team_same_day","same_league_same_day"]</t>
        </is>
      </c>
      <c r="BJ85" s="25" t="n"/>
      <c r="BK85" s="26" t="n">
        <v>-144</v>
      </c>
      <c r="BL85" s="27" t="n">
        <v>1.694444</v>
      </c>
      <c r="BM85" s="28" t="n">
        <v>0.590164</v>
      </c>
      <c r="BN85" s="28" t="n"/>
      <c r="BO85" s="28" t="n"/>
      <c r="BP85" s="25" t="n"/>
      <c r="BQ85" s="27" t="n">
        <v>1.694444</v>
      </c>
      <c r="BR85" s="28" t="n">
        <v>0.59</v>
      </c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False</t>
        </is>
      </c>
    </row>
    <row r="86" ht="36" customHeight="1">
      <c r="A86" s="24" t="inlineStr">
        <is>
          <t>8364391a5d6747ed</t>
        </is>
      </c>
      <c r="B86" s="24" t="inlineStr">
        <is>
          <t>2026-08-06T19:00:25.399605Z</t>
        </is>
      </c>
      <c r="C86" s="24" t="inlineStr">
        <is>
          <t>2026-08-07T00:00:00Z</t>
        </is>
      </c>
      <c r="D86" s="24" t="inlineStr">
        <is>
          <t>71538</t>
        </is>
      </c>
      <c r="E86" s="24" t="inlineStr">
        <is>
          <t>LOL</t>
        </is>
      </c>
      <c r="F86" s="24" t="inlineStr">
        <is>
          <t>Contingent Esports</t>
        </is>
      </c>
      <c r="G86" s="24" t="inlineStr">
        <is>
          <t>Conviction</t>
        </is>
      </c>
      <c r="H86" s="24" t="inlineStr">
        <is>
          <t>moneyline</t>
        </is>
      </c>
      <c r="I86" s="24" t="inlineStr">
        <is>
          <t>home</t>
        </is>
      </c>
      <c r="J86" s="25" t="n"/>
      <c r="K86" s="24" t="inlineStr">
        <is>
          <t>polymarket_us</t>
        </is>
      </c>
      <c r="L86" s="26" t="n">
        <v>-233</v>
      </c>
      <c r="M86" s="27" t="n">
        <v>1.429185</v>
      </c>
      <c r="N86" s="28" t="n">
        <v>0.6997</v>
      </c>
      <c r="O86" s="28" t="n">
        <v>0.513518</v>
      </c>
      <c r="P86" s="28" t="n"/>
      <c r="Q86" s="28" t="n">
        <v>-0.186182</v>
      </c>
      <c r="R86" s="26" t="n">
        <v>0</v>
      </c>
      <c r="S86" s="29" t="n">
        <v>0</v>
      </c>
      <c r="T86" s="24" t="inlineStr">
        <is>
          <t>lol-tiered-elo-v6</t>
        </is>
      </c>
      <c r="U86" s="24" t="inlineStr">
        <is>
          <t>settled</t>
        </is>
      </c>
      <c r="V86" s="24" t="inlineStr">
        <is>
          <t>win</t>
        </is>
      </c>
      <c r="W86" s="26" t="n">
        <v>0</v>
      </c>
      <c r="X86" s="26" t="n">
        <v>1</v>
      </c>
      <c r="Y86" s="25" t="n"/>
      <c r="Z86" s="26" t="n">
        <v>-233</v>
      </c>
      <c r="AA86" s="28" t="n">
        <v>0.7</v>
      </c>
      <c r="AB86" s="28" t="n">
        <v>0.0003</v>
      </c>
      <c r="AC86" s="30" t="n">
        <v>0</v>
      </c>
      <c r="AD86" s="24" t="inlineStr">
        <is>
          <t>2026-08-07T06:01:43.858141Z</t>
        </is>
      </c>
      <c r="AE86" s="31" t="inlineStr">
        <is>
          <t>Neutral Elo baseline; executable ask 0.7000 (market_slug=aec-lol-cnv-cont-2026-08-07).</t>
        </is>
      </c>
      <c r="AF86" s="31" t="inlineStr">
        <is>
          <t>Config-promoted esports baseline; gates enforced at log time.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research_observation</t>
        </is>
      </c>
      <c r="AL86" s="26" t="n">
        <v>3</v>
      </c>
      <c r="AM86" s="24" t="inlineStr">
        <is>
          <t>RESEARCH_OBSERVATION</t>
        </is>
      </c>
      <c r="AN86" s="24" t="inlineStr">
        <is>
          <t>NO_CALL</t>
        </is>
      </c>
      <c r="AO86" s="24" t="inlineStr">
        <is>
          <t>NO_CALL_WINNER_OVERVALUED</t>
        </is>
      </c>
      <c r="AP86" s="24" t="inlineStr">
        <is>
          <t>Contingent Esports</t>
        </is>
      </c>
      <c r="AQ86" s="24" t="inlineStr">
        <is>
          <t>Contingent Esports</t>
        </is>
      </c>
      <c r="AR86" s="24" t="inlineStr">
        <is>
          <t>Contingent Esports</t>
        </is>
      </c>
      <c r="AS86" s="24" t="inlineStr">
        <is>
          <t>Conviction</t>
        </is>
      </c>
      <c r="AT86" s="24" t="inlineStr">
        <is>
          <t>Conviction</t>
        </is>
      </c>
      <c r="AU86" s="24" t="inlineStr">
        <is>
          <t>Conviction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5e9799a515295e9b079eacaa53a2e35352183239a18c1b173f4a540a52770140</t>
        </is>
      </c>
      <c r="BB86" s="24" t="inlineStr">
        <is>
          <t>neutral_elo</t>
        </is>
      </c>
      <c r="BC86" s="24" t="inlineStr">
        <is>
          <t>lol-tiered-elo-v6</t>
        </is>
      </c>
      <c r="BD86" s="24" t="inlineStr">
        <is>
          <t>5e9799a515295e9b079eacaa53a2e35352183239a18c1b173f4a540a52770140</t>
        </is>
      </c>
      <c r="BE86" s="24" t="inlineStr">
        <is>
          <t>1</t>
        </is>
      </c>
      <c r="BF86" s="24" t="inlineStr">
        <is>
          <t>1</t>
        </is>
      </c>
      <c r="BG86" s="24" t="inlineStr">
        <is>
          <t>lol-tiered-elo-v6</t>
        </is>
      </c>
      <c r="BH86" s="24" t="inlineStr">
        <is>
          <t>2026-08-06T19:00:15.092901Z</t>
        </is>
      </c>
      <c r="BI86" s="24" t="inlineStr">
        <is>
          <t>["same_event","same_team_same_day","same_league_same_day"]</t>
        </is>
      </c>
      <c r="BJ86" s="25" t="n"/>
      <c r="BK86" s="26" t="n">
        <v>-233</v>
      </c>
      <c r="BL86" s="27" t="n">
        <v>1.429185</v>
      </c>
      <c r="BM86" s="28" t="n">
        <v>0.6997</v>
      </c>
      <c r="BN86" s="28" t="n"/>
      <c r="BO86" s="28" t="n"/>
      <c r="BP86" s="25" t="n"/>
      <c r="BQ86" s="27" t="n">
        <v>1.429185</v>
      </c>
      <c r="BR86" s="28" t="n">
        <v>0.7</v>
      </c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False</t>
        </is>
      </c>
    </row>
    <row r="87" ht="36" customHeight="1">
      <c r="A87" s="24" t="inlineStr">
        <is>
          <t>c946a1750ee443c4</t>
        </is>
      </c>
      <c r="B87" s="24" t="inlineStr">
        <is>
          <t>2026-08-06T19:00:25.399605Z</t>
        </is>
      </c>
      <c r="C87" s="24" t="inlineStr">
        <is>
          <t>2026-08-07T05:00:00Z</t>
        </is>
      </c>
      <c r="D87" s="24" t="inlineStr">
        <is>
          <t>71661</t>
        </is>
      </c>
      <c r="E87" s="24" t="inlineStr">
        <is>
          <t>LOL</t>
        </is>
      </c>
      <c r="F87" s="24" t="inlineStr">
        <is>
          <t>KT Rolster Challengers</t>
        </is>
      </c>
      <c r="G87" s="24" t="inlineStr">
        <is>
          <t>Nongshim Esports Academy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117</v>
      </c>
      <c r="M87" s="27" t="n">
        <v>2.17</v>
      </c>
      <c r="N87" s="28" t="n">
        <v>0.460829</v>
      </c>
      <c r="O87" s="28" t="n">
        <v>0.502757</v>
      </c>
      <c r="P87" s="28" t="n"/>
      <c r="Q87" s="28" t="n">
        <v>0.041928</v>
      </c>
      <c r="R87" s="26" t="n">
        <v>41</v>
      </c>
      <c r="S87" s="29" t="n">
        <v>0</v>
      </c>
      <c r="T87" s="24" t="inlineStr">
        <is>
          <t>lol-tiered-elo-v6</t>
        </is>
      </c>
      <c r="U87" s="24" t="inlineStr">
        <is>
          <t>settled</t>
        </is>
      </c>
      <c r="V87" s="24" t="inlineStr">
        <is>
          <t>loss</t>
        </is>
      </c>
      <c r="W87" s="26" t="n">
        <v>0</v>
      </c>
      <c r="X87" s="26" t="n">
        <v>1</v>
      </c>
      <c r="Y87" s="25" t="n"/>
      <c r="Z87" s="26" t="n"/>
      <c r="AA87" s="28" t="n"/>
      <c r="AB87" s="28" t="n"/>
      <c r="AC87" s="30" t="n">
        <v>0</v>
      </c>
      <c r="AD87" s="24" t="inlineStr">
        <is>
          <t>2026-08-07T09:07:51.795962Z</t>
        </is>
      </c>
      <c r="AE87" s="31" t="inlineStr">
        <is>
          <t>Neutral Elo baseline; executable ask 0.4600 (market_slug=aec-lol-nsea-ktc-2026-08-07).</t>
        </is>
      </c>
      <c r="AF87" s="31" t="inlineStr">
        <is>
          <t>Config-promoted esports baseline; gates enforced at log time.</t>
        </is>
      </c>
      <c r="AG87" s="24" t="inlineStr">
        <is>
          <t>review_required</t>
        </is>
      </c>
      <c r="AH87" s="24" t="n"/>
      <c r="AI87" s="31" t="n"/>
      <c r="AJ87" s="31" t="n"/>
      <c r="AK87" s="24" t="inlineStr">
        <is>
          <t>research_observation</t>
        </is>
      </c>
      <c r="AL87" s="26" t="n">
        <v>3</v>
      </c>
      <c r="AM87" s="24" t="inlineStr">
        <is>
          <t>RESEARCH_OBSERVATION</t>
        </is>
      </c>
      <c r="AN87" s="24" t="inlineStr">
        <is>
          <t>NO_CALL</t>
        </is>
      </c>
      <c r="AO87" s="24" t="inlineStr">
        <is>
          <t>NO_CALL_WINNER_OVERVALUED</t>
        </is>
      </c>
      <c r="AP87" s="24" t="inlineStr">
        <is>
          <t>KT Rolster Challengers</t>
        </is>
      </c>
      <c r="AQ87" s="24" t="inlineStr">
        <is>
          <t>KT Rolster Challengers</t>
        </is>
      </c>
      <c r="AR87" s="24" t="inlineStr">
        <is>
          <t>KT Rolster Challengers</t>
        </is>
      </c>
      <c r="AS87" s="24" t="inlineStr">
        <is>
          <t>Nongshim Esports Academy</t>
        </is>
      </c>
      <c r="AT87" s="24" t="inlineStr">
        <is>
          <t>Nongshim Esports Academy</t>
        </is>
      </c>
      <c r="AU87" s="24" t="inlineStr">
        <is>
          <t>Nongshim Esports Academy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5e9799a515295e9b079eacaa53a2e35352183239a18c1b173f4a540a52770140</t>
        </is>
      </c>
      <c r="BB87" s="24" t="inlineStr">
        <is>
          <t>neutral_elo</t>
        </is>
      </c>
      <c r="BC87" s="24" t="inlineStr">
        <is>
          <t>lol-tiered-elo-v6</t>
        </is>
      </c>
      <c r="BD87" s="24" t="inlineStr">
        <is>
          <t>5e9799a515295e9b079eacaa53a2e35352183239a18c1b173f4a540a52770140</t>
        </is>
      </c>
      <c r="BE87" s="24" t="inlineStr">
        <is>
          <t>1</t>
        </is>
      </c>
      <c r="BF87" s="24" t="inlineStr">
        <is>
          <t>1</t>
        </is>
      </c>
      <c r="BG87" s="24" t="inlineStr">
        <is>
          <t>lol-tiered-elo-v6</t>
        </is>
      </c>
      <c r="BH87" s="24" t="inlineStr">
        <is>
          <t>2026-08-06T19:00:16.295547Z</t>
        </is>
      </c>
      <c r="BI87" s="24" t="inlineStr">
        <is>
          <t>["same_event","same_team_same_day","same_league_same_day"]</t>
        </is>
      </c>
      <c r="BJ87" s="25" t="n"/>
      <c r="BK87" s="26" t="n">
        <v>117</v>
      </c>
      <c r="BL87" s="27" t="n">
        <v>2.17</v>
      </c>
      <c r="BM87" s="28" t="n">
        <v>0.460829</v>
      </c>
      <c r="BN87" s="28" t="n"/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inlineStr">
        <is>
          <t>True</t>
        </is>
      </c>
    </row>
    <row r="88" ht="36" customHeight="1">
      <c r="A88" s="24" t="inlineStr">
        <is>
          <t>a9bfe0a588404ce7</t>
        </is>
      </c>
      <c r="B88" s="24" t="inlineStr">
        <is>
          <t>2026-08-06T19:00:25.399605Z</t>
        </is>
      </c>
      <c r="C88" s="24" t="inlineStr">
        <is>
          <t>2026-08-08T00:00:00Z</t>
        </is>
      </c>
      <c r="D88" s="24" t="inlineStr">
        <is>
          <t>72608</t>
        </is>
      </c>
      <c r="E88" s="24" t="inlineStr">
        <is>
          <t>LOL</t>
        </is>
      </c>
      <c r="F88" s="24" t="inlineStr">
        <is>
          <t>Contingent Esports</t>
        </is>
      </c>
      <c r="G88" s="24" t="inlineStr">
        <is>
          <t>Maryville University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-156</v>
      </c>
      <c r="M88" s="27" t="n">
        <v>1.641026</v>
      </c>
      <c r="N88" s="28" t="n">
        <v>0.609375</v>
      </c>
      <c r="O88" s="28" t="n">
        <v>0.500736</v>
      </c>
      <c r="P88" s="28" t="n"/>
      <c r="Q88" s="28" t="n">
        <v>-0.108639</v>
      </c>
      <c r="R88" s="26" t="n">
        <v>0</v>
      </c>
      <c r="S88" s="29" t="n">
        <v>0</v>
      </c>
      <c r="T88" s="24" t="inlineStr">
        <is>
          <t>lol-tiered-elo-v6</t>
        </is>
      </c>
      <c r="U88" s="24" t="inlineStr">
        <is>
          <t>open</t>
        </is>
      </c>
      <c r="V88" s="24" t="n"/>
      <c r="W88" s="26" t="n"/>
      <c r="X88" s="26" t="n"/>
      <c r="Y88" s="25" t="n"/>
      <c r="Z88" s="26" t="n"/>
      <c r="AA88" s="28" t="n"/>
      <c r="AB88" s="28" t="n"/>
      <c r="AC88" s="30" t="n"/>
      <c r="AD88" s="24" t="n"/>
      <c r="AE88" s="31" t="inlineStr">
        <is>
          <t>Neutral Elo baseline; executable ask 0.6100 (market_slug=aec-lol-mvu-cont-2026-08-08).</t>
        </is>
      </c>
      <c r="AF88" s="31" t="inlineStr">
        <is>
          <t>Config-promoted esports baseline; gates enforced at log time.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research_observation</t>
        </is>
      </c>
      <c r="AL88" s="26" t="n">
        <v>3</v>
      </c>
      <c r="AM88" s="24" t="inlineStr">
        <is>
          <t>RESEARCH_OBSERVATION</t>
        </is>
      </c>
      <c r="AN88" s="24" t="inlineStr">
        <is>
          <t>NO_CALL</t>
        </is>
      </c>
      <c r="AO88" s="24" t="inlineStr">
        <is>
          <t>NO_CALL_WINNER_OVERVALUED</t>
        </is>
      </c>
      <c r="AP88" s="24" t="inlineStr">
        <is>
          <t>Contingent Esports</t>
        </is>
      </c>
      <c r="AQ88" s="24" t="inlineStr">
        <is>
          <t>Contingent Esports</t>
        </is>
      </c>
      <c r="AR88" s="24" t="inlineStr">
        <is>
          <t>Contingent Esports</t>
        </is>
      </c>
      <c r="AS88" s="24" t="inlineStr">
        <is>
          <t>Maryville University</t>
        </is>
      </c>
      <c r="AT88" s="24" t="inlineStr">
        <is>
          <t>Maryville University</t>
        </is>
      </c>
      <c r="AU88" s="24" t="inlineStr">
        <is>
          <t>Maryville University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5e9799a515295e9b079eacaa53a2e35352183239a18c1b173f4a540a52770140</t>
        </is>
      </c>
      <c r="BB88" s="24" t="inlineStr">
        <is>
          <t>neutral_elo</t>
        </is>
      </c>
      <c r="BC88" s="24" t="inlineStr">
        <is>
          <t>lol-tiered-elo-v6</t>
        </is>
      </c>
      <c r="BD88" s="24" t="inlineStr">
        <is>
          <t>5e9799a515295e9b079eacaa53a2e35352183239a18c1b173f4a540a52770140</t>
        </is>
      </c>
      <c r="BE88" s="24" t="inlineStr">
        <is>
          <t>1</t>
        </is>
      </c>
      <c r="BF88" s="24" t="inlineStr">
        <is>
          <t>1</t>
        </is>
      </c>
      <c r="BG88" s="24" t="inlineStr">
        <is>
          <t>lol-tiered-elo-v6</t>
        </is>
      </c>
      <c r="BH88" s="24" t="inlineStr">
        <is>
          <t>2026-08-06T19:00:25.397889Z</t>
        </is>
      </c>
      <c r="BI88" s="24" t="inlineStr">
        <is>
          <t>["same_event","same_team_same_day","same_league_same_day"]</t>
        </is>
      </c>
      <c r="BJ88" s="25" t="n"/>
      <c r="BK88" s="26" t="n">
        <v>-156</v>
      </c>
      <c r="BL88" s="27" t="n">
        <v>1.641026</v>
      </c>
      <c r="BM88" s="28" t="n">
        <v>0.609375</v>
      </c>
      <c r="BN88" s="28" t="n"/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False</t>
        </is>
      </c>
    </row>
    <row r="89" ht="36" customHeight="1">
      <c r="A89" s="24" t="inlineStr">
        <is>
          <t>44228dd6d26149ca</t>
        </is>
      </c>
      <c r="B89" s="24" t="inlineStr">
        <is>
          <t>2026-08-07T06:05:25.960229Z</t>
        </is>
      </c>
      <c r="C89" s="24" t="inlineStr">
        <is>
          <t>2026-08-07T08:00:00Z</t>
        </is>
      </c>
      <c r="D89" s="24" t="inlineStr">
        <is>
          <t>71674</t>
        </is>
      </c>
      <c r="E89" s="24" t="inlineStr">
        <is>
          <t>LOL</t>
        </is>
      </c>
      <c r="F89" s="24" t="inlineStr">
        <is>
          <t>Gen.G</t>
        </is>
      </c>
      <c r="G89" s="24" t="inlineStr">
        <is>
          <t>KT Rolster</t>
        </is>
      </c>
      <c r="H89" s="24" t="inlineStr">
        <is>
          <t>moneyline</t>
        </is>
      </c>
      <c r="I89" s="24" t="inlineStr">
        <is>
          <t>away</t>
        </is>
      </c>
      <c r="J89" s="25" t="n"/>
      <c r="K89" s="24" t="inlineStr">
        <is>
          <t>polymarket_us</t>
        </is>
      </c>
      <c r="L89" s="26" t="n">
        <v>-213</v>
      </c>
      <c r="M89" s="27" t="n">
        <v>1.469484</v>
      </c>
      <c r="N89" s="28" t="n">
        <v>0.680511</v>
      </c>
      <c r="O89" s="28" t="n">
        <v>0.59845</v>
      </c>
      <c r="P89" s="28" t="n"/>
      <c r="Q89" s="28" t="n">
        <v>-0.082061</v>
      </c>
      <c r="R89" s="26" t="n">
        <v>0</v>
      </c>
      <c r="S89" s="29" t="n">
        <v>0</v>
      </c>
      <c r="T89" s="24" t="inlineStr">
        <is>
          <t>lol-tiered-elo-v6</t>
        </is>
      </c>
      <c r="U89" s="24" t="inlineStr">
        <is>
          <t>settled</t>
        </is>
      </c>
      <c r="V89" s="24" t="inlineStr">
        <is>
          <t>win</t>
        </is>
      </c>
      <c r="W89" s="26" t="n">
        <v>1</v>
      </c>
      <c r="X89" s="26" t="n">
        <v>0</v>
      </c>
      <c r="Y89" s="25" t="n"/>
      <c r="Z89" s="26" t="n">
        <v>-213</v>
      </c>
      <c r="AA89" s="28" t="n">
        <v>0.68</v>
      </c>
      <c r="AB89" s="28" t="n">
        <v>-0.000511</v>
      </c>
      <c r="AC89" s="30" t="n">
        <v>0</v>
      </c>
      <c r="AD89" s="24" t="inlineStr">
        <is>
          <t>2026-08-07T12:13:50.727295Z</t>
        </is>
      </c>
      <c r="AE89" s="31" t="inlineStr">
        <is>
          <t>Neutral Elo baseline; executable ask 0.6800 (market_slug=aec-lol-kt-gen-2026-08-07).</t>
        </is>
      </c>
      <c r="AF89" s="31" t="inlineStr">
        <is>
          <t>Config-promoted esports baseline; gates enforced at log time.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research_observation</t>
        </is>
      </c>
      <c r="AL89" s="26" t="n">
        <v>3</v>
      </c>
      <c r="AM89" s="24" t="inlineStr">
        <is>
          <t>RESEARCH_OBSERVATION</t>
        </is>
      </c>
      <c r="AN89" s="24" t="inlineStr">
        <is>
          <t>NO_CALL</t>
        </is>
      </c>
      <c r="AO89" s="24" t="inlineStr">
        <is>
          <t>NO_CALL_WINNER_OVERVALUED</t>
        </is>
      </c>
      <c r="AP89" s="24" t="inlineStr">
        <is>
          <t>Gen.G</t>
        </is>
      </c>
      <c r="AQ89" s="24" t="inlineStr">
        <is>
          <t>Gen.G</t>
        </is>
      </c>
      <c r="AR89" s="24" t="inlineStr">
        <is>
          <t>Gen.G</t>
        </is>
      </c>
      <c r="AS89" s="24" t="inlineStr">
        <is>
          <t>KT Rolster</t>
        </is>
      </c>
      <c r="AT89" s="24" t="inlineStr">
        <is>
          <t>KT Rolster</t>
        </is>
      </c>
      <c r="AU89" s="24" t="inlineStr">
        <is>
          <t>KT Rolster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a435118c0d96357d246620424b583b0e8bb85e7581f7dfaff6a1a2190d73a589</t>
        </is>
      </c>
      <c r="BB89" s="24" t="inlineStr">
        <is>
          <t>neutral_elo</t>
        </is>
      </c>
      <c r="BC89" s="24" t="inlineStr">
        <is>
          <t>lol-tiered-elo-v6</t>
        </is>
      </c>
      <c r="BD89" s="24" t="inlineStr">
        <is>
          <t>a435118c0d96357d246620424b583b0e8bb85e7581f7dfaff6a1a2190d73a589</t>
        </is>
      </c>
      <c r="BE89" s="24" t="inlineStr">
        <is>
          <t>1</t>
        </is>
      </c>
      <c r="BF89" s="24" t="inlineStr">
        <is>
          <t>1</t>
        </is>
      </c>
      <c r="BG89" s="24" t="inlineStr">
        <is>
          <t>lol-tiered-elo-v6</t>
        </is>
      </c>
      <c r="BH89" s="24" t="inlineStr">
        <is>
          <t>2026-08-07T06:05:01.264270Z</t>
        </is>
      </c>
      <c r="BI89" s="24" t="inlineStr">
        <is>
          <t>["same_event","same_team_same_day","same_league_same_day"]</t>
        </is>
      </c>
      <c r="BJ89" s="25" t="n"/>
      <c r="BK89" s="26" t="n">
        <v>-213</v>
      </c>
      <c r="BL89" s="27" t="n">
        <v>1.469484</v>
      </c>
      <c r="BM89" s="28" t="n">
        <v>0.680511</v>
      </c>
      <c r="BN89" s="28" t="n"/>
      <c r="BO89" s="28" t="n"/>
      <c r="BP89" s="25" t="n"/>
      <c r="BQ89" s="27" t="n">
        <v>1.469484</v>
      </c>
      <c r="BR89" s="28" t="n">
        <v>0.68</v>
      </c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False</t>
        </is>
      </c>
    </row>
    <row r="90" ht="36" customHeight="1">
      <c r="A90" s="24" t="inlineStr">
        <is>
          <t>d1011fd7d94f4cb0</t>
        </is>
      </c>
      <c r="B90" s="24" t="inlineStr">
        <is>
          <t>2026-08-07T09:11:37.538758Z</t>
        </is>
      </c>
      <c r="C90" s="24" t="inlineStr">
        <is>
          <t>2026-08-07T10:00:00Z</t>
        </is>
      </c>
      <c r="D90" s="24" t="inlineStr">
        <is>
          <t>71714</t>
        </is>
      </c>
      <c r="E90" s="24" t="inlineStr">
        <is>
          <t>LOL</t>
        </is>
      </c>
      <c r="F90" s="24" t="inlineStr">
        <is>
          <t>HANJIN BRION</t>
        </is>
      </c>
      <c r="G90" s="24" t="inlineStr">
        <is>
          <t>BNK FEARX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-163</v>
      </c>
      <c r="M90" s="27" t="n">
        <v>1.613497</v>
      </c>
      <c r="N90" s="28" t="n">
        <v>0.619772</v>
      </c>
      <c r="O90" s="28" t="n">
        <v>0.652133</v>
      </c>
      <c r="P90" s="28" t="n"/>
      <c r="Q90" s="28" t="n">
        <v>0.032361</v>
      </c>
      <c r="R90" s="26" t="n">
        <v>36</v>
      </c>
      <c r="S90" s="29" t="n">
        <v>0</v>
      </c>
      <c r="T90" s="24" t="inlineStr">
        <is>
          <t>lol-tiered-elo-v6</t>
        </is>
      </c>
      <c r="U90" s="24" t="inlineStr">
        <is>
          <t>settled</t>
        </is>
      </c>
      <c r="V90" s="24" t="inlineStr">
        <is>
          <t>loss</t>
        </is>
      </c>
      <c r="W90" s="26" t="n">
        <v>1</v>
      </c>
      <c r="X90" s="26" t="n">
        <v>0</v>
      </c>
      <c r="Y90" s="25" t="n"/>
      <c r="Z90" s="26" t="n">
        <v>-163</v>
      </c>
      <c r="AA90" s="28" t="n">
        <v>0.62</v>
      </c>
      <c r="AB90" s="28" t="n">
        <v>0.000228</v>
      </c>
      <c r="AC90" s="30" t="n">
        <v>0</v>
      </c>
      <c r="AD90" s="24" t="inlineStr">
        <is>
          <t>2026-08-07T12:13:52.710746Z</t>
        </is>
      </c>
      <c r="AE90" s="31" t="inlineStr">
        <is>
          <t>Neutral Elo baseline; executable ask 0.6200 (market_slug=aec-lol-bfx-bro-2026-08-07).</t>
        </is>
      </c>
      <c r="AF90" s="31" t="inlineStr">
        <is>
          <t>Config-promoted esports baseline; gates enforced at log time.</t>
        </is>
      </c>
      <c r="AG90" s="24" t="inlineStr">
        <is>
          <t>review_required</t>
        </is>
      </c>
      <c r="AH90" s="24" t="n"/>
      <c r="AI90" s="31" t="n"/>
      <c r="AJ90" s="31" t="n"/>
      <c r="AK90" s="24" t="inlineStr">
        <is>
          <t>research_observation</t>
        </is>
      </c>
      <c r="AL90" s="26" t="n">
        <v>3</v>
      </c>
      <c r="AM90" s="24" t="inlineStr">
        <is>
          <t>RESEARCH_OBSERVATION</t>
        </is>
      </c>
      <c r="AN90" s="24" t="inlineStr">
        <is>
          <t>NO_CALL</t>
        </is>
      </c>
      <c r="AO90" s="24" t="inlineStr">
        <is>
          <t>NO_CALL_WINNER_OVERVALUED</t>
        </is>
      </c>
      <c r="AP90" s="24" t="inlineStr">
        <is>
          <t>HANJIN BRION</t>
        </is>
      </c>
      <c r="AQ90" s="24" t="inlineStr">
        <is>
          <t>HANJIN BRION</t>
        </is>
      </c>
      <c r="AR90" s="24" t="inlineStr">
        <is>
          <t>HANJIN BRION</t>
        </is>
      </c>
      <c r="AS90" s="24" t="inlineStr">
        <is>
          <t>BNK FEARX</t>
        </is>
      </c>
      <c r="AT90" s="24" t="inlineStr">
        <is>
          <t>BNK FEARX</t>
        </is>
      </c>
      <c r="AU90" s="24" t="inlineStr">
        <is>
          <t>BNK FEARX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20c3e63bf190142bb6f2572c6657565aa9ec5e7d6e42d68fb9f7442c3368e41c</t>
        </is>
      </c>
      <c r="BB90" s="24" t="inlineStr">
        <is>
          <t>neutral_elo</t>
        </is>
      </c>
      <c r="BC90" s="24" t="inlineStr">
        <is>
          <t>lol-tiered-elo-v6</t>
        </is>
      </c>
      <c r="BD90" s="24" t="inlineStr">
        <is>
          <t>20c3e63bf190142bb6f2572c6657565aa9ec5e7d6e42d68fb9f7442c3368e41c</t>
        </is>
      </c>
      <c r="BE90" s="24" t="inlineStr">
        <is>
          <t>1</t>
        </is>
      </c>
      <c r="BF90" s="24" t="inlineStr">
        <is>
          <t>1</t>
        </is>
      </c>
      <c r="BG90" s="24" t="inlineStr">
        <is>
          <t>lol-tiered-elo-v6</t>
        </is>
      </c>
      <c r="BH90" s="24" t="inlineStr">
        <is>
          <t>2026-08-07T09:11:20.433612Z</t>
        </is>
      </c>
      <c r="BI90" s="24" t="inlineStr">
        <is>
          <t>["same_event","same_team_same_day","same_league_same_day"]</t>
        </is>
      </c>
      <c r="BJ90" s="25" t="n"/>
      <c r="BK90" s="26" t="n">
        <v>-163</v>
      </c>
      <c r="BL90" s="27" t="n">
        <v>1.613497</v>
      </c>
      <c r="BM90" s="28" t="n">
        <v>0.619772</v>
      </c>
      <c r="BN90" s="28" t="n"/>
      <c r="BO90" s="28" t="n"/>
      <c r="BP90" s="25" t="n"/>
      <c r="BQ90" s="27" t="n">
        <v>1.613497</v>
      </c>
      <c r="BR90" s="28" t="n">
        <v>0.62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True</t>
        </is>
      </c>
    </row>
    <row r="91" ht="36" customHeight="1">
      <c r="A91" s="24" t="inlineStr">
        <is>
          <t>e1321571684f4e1d</t>
        </is>
      </c>
      <c r="B91" s="24" t="inlineStr">
        <is>
          <t>2026-08-07T12:17:25.524231Z</t>
        </is>
      </c>
      <c r="C91" s="24" t="inlineStr">
        <is>
          <t>2026-08-07T15:00:00Z</t>
        </is>
      </c>
      <c r="D91" s="24" t="inlineStr">
        <is>
          <t>71904</t>
        </is>
      </c>
      <c r="E91" s="24" t="inlineStr">
        <is>
          <t>LOL</t>
        </is>
      </c>
      <c r="F91" s="24" t="inlineStr">
        <is>
          <t>GIANTX</t>
        </is>
      </c>
      <c r="G91" s="24" t="inlineStr">
        <is>
          <t>Shifters</t>
        </is>
      </c>
      <c r="H91" s="24" t="inlineStr">
        <is>
          <t>moneyline</t>
        </is>
      </c>
      <c r="I91" s="24" t="inlineStr">
        <is>
          <t>away</t>
        </is>
      </c>
      <c r="J91" s="25" t="n"/>
      <c r="K91" s="24" t="inlineStr">
        <is>
          <t>polymarket_us</t>
        </is>
      </c>
      <c r="L91" s="26" t="n">
        <v>-170</v>
      </c>
      <c r="M91" s="27" t="n">
        <v>1.588235</v>
      </c>
      <c r="N91" s="28" t="n">
        <v>0.62963</v>
      </c>
      <c r="O91" s="28" t="n">
        <v>0.676935</v>
      </c>
      <c r="P91" s="28" t="n"/>
      <c r="Q91" s="28" t="n">
        <v>0.047305</v>
      </c>
      <c r="R91" s="26" t="n">
        <v>44</v>
      </c>
      <c r="S91" s="29" t="n">
        <v>0</v>
      </c>
      <c r="T91" s="24" t="inlineStr">
        <is>
          <t>lol-tiered-elo-v6</t>
        </is>
      </c>
      <c r="U91" s="24" t="inlineStr">
        <is>
          <t>settled</t>
        </is>
      </c>
      <c r="V91" s="24" t="inlineStr">
        <is>
          <t>win</t>
        </is>
      </c>
      <c r="W91" s="26" t="n">
        <v>1</v>
      </c>
      <c r="X91" s="26" t="n">
        <v>0</v>
      </c>
      <c r="Y91" s="25" t="n"/>
      <c r="Z91" s="26" t="n">
        <v>-170</v>
      </c>
      <c r="AA91" s="28" t="n">
        <v>0.63</v>
      </c>
      <c r="AB91" s="28" t="n">
        <v>0.00037</v>
      </c>
      <c r="AC91" s="30" t="n">
        <v>0</v>
      </c>
      <c r="AD91" s="24" t="inlineStr">
        <is>
          <t>2026-08-07T18:27:13.780824Z</t>
        </is>
      </c>
      <c r="AE91" s="31" t="inlineStr">
        <is>
          <t>Neutral Elo baseline; executable ask 0.6300 (market_slug=aec-lol-shft-gx-2026-08-07).</t>
        </is>
      </c>
      <c r="AF91" s="31" t="inlineStr">
        <is>
          <t>Config-promoted esports baseline; gates enforced at log time.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research_observation</t>
        </is>
      </c>
      <c r="AL91" s="26" t="n">
        <v>3</v>
      </c>
      <c r="AM91" s="24" t="inlineStr">
        <is>
          <t>RESEARCH_OBSERVATION</t>
        </is>
      </c>
      <c r="AN91" s="24" t="inlineStr">
        <is>
          <t>NO_CALL</t>
        </is>
      </c>
      <c r="AO91" s="24" t="inlineStr">
        <is>
          <t>NO_CALL_WINNER_OVERVALUED</t>
        </is>
      </c>
      <c r="AP91" s="24" t="inlineStr">
        <is>
          <t>GIANTX</t>
        </is>
      </c>
      <c r="AQ91" s="24" t="inlineStr">
        <is>
          <t>GIANTX</t>
        </is>
      </c>
      <c r="AR91" s="24" t="inlineStr">
        <is>
          <t>GIANTX</t>
        </is>
      </c>
      <c r="AS91" s="24" t="inlineStr">
        <is>
          <t>Shifters</t>
        </is>
      </c>
      <c r="AT91" s="24" t="inlineStr">
        <is>
          <t>Shifters</t>
        </is>
      </c>
      <c r="AU91" s="24" t="inlineStr">
        <is>
          <t>Shifters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0ce178a4c74d95939d4859ae617369533b2f8010eb3d4b4914c35d385598199f</t>
        </is>
      </c>
      <c r="BB91" s="24" t="inlineStr">
        <is>
          <t>neutral_elo</t>
        </is>
      </c>
      <c r="BC91" s="24" t="inlineStr">
        <is>
          <t>lol-tiered-elo-v6</t>
        </is>
      </c>
      <c r="BD91" s="24" t="inlineStr">
        <is>
          <t>0ce178a4c74d95939d4859ae617369533b2f8010eb3d4b4914c35d385598199f</t>
        </is>
      </c>
      <c r="BE91" s="24" t="inlineStr">
        <is>
          <t>1</t>
        </is>
      </c>
      <c r="BF91" s="24" t="inlineStr">
        <is>
          <t>1</t>
        </is>
      </c>
      <c r="BG91" s="24" t="inlineStr">
        <is>
          <t>lol-tiered-elo-v6</t>
        </is>
      </c>
      <c r="BH91" s="24" t="inlineStr">
        <is>
          <t>2026-08-07T12:17:10.022972Z</t>
        </is>
      </c>
      <c r="BI91" s="24" t="inlineStr">
        <is>
          <t>["same_event","same_team_same_day","same_league_same_day"]</t>
        </is>
      </c>
      <c r="BJ91" s="25" t="n"/>
      <c r="BK91" s="26" t="n">
        <v>-170</v>
      </c>
      <c r="BL91" s="27" t="n">
        <v>1.588235</v>
      </c>
      <c r="BM91" s="28" t="n">
        <v>0.62963</v>
      </c>
      <c r="BN91" s="28" t="n"/>
      <c r="BO91" s="28" t="n"/>
      <c r="BP91" s="25" t="n"/>
      <c r="BQ91" s="27" t="n">
        <v>1.588235</v>
      </c>
      <c r="BR91" s="28" t="n">
        <v>0.63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inlineStr">
        <is>
          <t>True</t>
        </is>
      </c>
    </row>
    <row r="92" ht="36" customHeight="1">
      <c r="A92" s="24" t="inlineStr">
        <is>
          <t>7ce3d4b911bc41f4</t>
        </is>
      </c>
      <c r="B92" s="24" t="inlineStr">
        <is>
          <t>2026-08-07T15:24:10.407714Z</t>
        </is>
      </c>
      <c r="C92" s="24" t="inlineStr">
        <is>
          <t>2026-08-07T16:00:00Z</t>
        </is>
      </c>
      <c r="D92" s="24" t="inlineStr">
        <is>
          <t>71980</t>
        </is>
      </c>
      <c r="E92" s="24" t="inlineStr">
        <is>
          <t>LOL</t>
        </is>
      </c>
      <c r="F92" s="24" t="inlineStr">
        <is>
          <t>TITANS</t>
        </is>
      </c>
      <c r="G92" s="24" t="inlineStr">
        <is>
          <t>Aeterna Esports</t>
        </is>
      </c>
      <c r="H92" s="24" t="inlineStr">
        <is>
          <t>moneyline</t>
        </is>
      </c>
      <c r="I92" s="24" t="inlineStr">
        <is>
          <t>home</t>
        </is>
      </c>
      <c r="J92" s="25" t="n"/>
      <c r="K92" s="24" t="inlineStr">
        <is>
          <t>polymarket_us</t>
        </is>
      </c>
      <c r="L92" s="26" t="n">
        <v>-117</v>
      </c>
      <c r="M92" s="27" t="n">
        <v>1.854701</v>
      </c>
      <c r="N92" s="28" t="n">
        <v>0.539171</v>
      </c>
      <c r="O92" s="28" t="n">
        <v>0.637212</v>
      </c>
      <c r="P92" s="28" t="n"/>
      <c r="Q92" s="28" t="n">
        <v>0.098041</v>
      </c>
      <c r="R92" s="26" t="n">
        <v>69</v>
      </c>
      <c r="S92" s="29" t="n">
        <v>1.5</v>
      </c>
      <c r="T92" s="24" t="inlineStr">
        <is>
          <t>lol-tiered-elo-v6</t>
        </is>
      </c>
      <c r="U92" s="24" t="inlineStr">
        <is>
          <t>settled</t>
        </is>
      </c>
      <c r="V92" s="24" t="inlineStr">
        <is>
          <t>win</t>
        </is>
      </c>
      <c r="W92" s="26" t="n">
        <v>0</v>
      </c>
      <c r="X92" s="26" t="n">
        <v>1</v>
      </c>
      <c r="Y92" s="25" t="n"/>
      <c r="Z92" s="26" t="n">
        <v>-117</v>
      </c>
      <c r="AA92" s="28" t="n">
        <v>0.54</v>
      </c>
      <c r="AB92" s="28" t="n">
        <v>0.000829</v>
      </c>
      <c r="AC92" s="30" t="n">
        <v>1.2821</v>
      </c>
      <c r="AD92" s="24" t="inlineStr">
        <is>
          <t>2026-08-07T18:27:16.469279Z</t>
        </is>
      </c>
      <c r="AE92" s="31" t="inlineStr">
        <is>
          <t>Neutral Elo baseline; executable ask 0.5400 (market_slug=aec-lol-aee-tts-2026-08-07).</t>
        </is>
      </c>
      <c r="AF92" s="31" t="inlineStr">
        <is>
          <t>Config-promoted esports baseline; gates enforced at log time.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model_qualified</t>
        </is>
      </c>
      <c r="AL92" s="26" t="n">
        <v>3</v>
      </c>
      <c r="AM92" s="24" t="inlineStr">
        <is>
          <t>QUALIFIED_SHADOW_CALL</t>
        </is>
      </c>
      <c r="AN92" s="24" t="inlineStr">
        <is>
          <t>CALL</t>
        </is>
      </c>
      <c r="AO92" s="24" t="inlineStr">
        <is>
          <t>QUALIFIED</t>
        </is>
      </c>
      <c r="AP92" s="24" t="inlineStr">
        <is>
          <t>TITANS</t>
        </is>
      </c>
      <c r="AQ92" s="24" t="inlineStr">
        <is>
          <t>TITANS</t>
        </is>
      </c>
      <c r="AR92" s="24" t="inlineStr">
        <is>
          <t>TITANS</t>
        </is>
      </c>
      <c r="AS92" s="24" t="inlineStr">
        <is>
          <t>Aeterna Esports</t>
        </is>
      </c>
      <c r="AT92" s="24" t="inlineStr">
        <is>
          <t>Aeterna Esports</t>
        </is>
      </c>
      <c r="AU92" s="24" t="inlineStr">
        <is>
          <t>Aeterna Esports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326a42c58f2a208dee1dc4f634e9901156f475883f7f16a3237a5e1b513fa5f9</t>
        </is>
      </c>
      <c r="BB92" s="24" t="inlineStr">
        <is>
          <t>neutral_elo</t>
        </is>
      </c>
      <c r="BC92" s="24" t="inlineStr">
        <is>
          <t>lol-tiered-elo-v6</t>
        </is>
      </c>
      <c r="BD92" s="24" t="inlineStr">
        <is>
          <t>326a42c58f2a208dee1dc4f634e9901156f475883f7f16a3237a5e1b513fa5f9</t>
        </is>
      </c>
      <c r="BE92" s="24" t="inlineStr">
        <is>
          <t>1</t>
        </is>
      </c>
      <c r="BF92" s="24" t="inlineStr">
        <is>
          <t>1</t>
        </is>
      </c>
      <c r="BG92" s="24" t="inlineStr">
        <is>
          <t>lol-tiered-elo-v6</t>
        </is>
      </c>
      <c r="BH92" s="24" t="inlineStr">
        <is>
          <t>2026-08-07T15:23:54.049058Z</t>
        </is>
      </c>
      <c r="BI92" s="24" t="inlineStr">
        <is>
          <t>["same_event","same_team_same_day","same_league_same_day"]</t>
        </is>
      </c>
      <c r="BJ92" s="25" t="n"/>
      <c r="BK92" s="26" t="n">
        <v>-117</v>
      </c>
      <c r="BL92" s="27" t="n">
        <v>1.854701</v>
      </c>
      <c r="BM92" s="28" t="n">
        <v>0.539171</v>
      </c>
      <c r="BN92" s="28" t="n"/>
      <c r="BO92" s="28" t="n"/>
      <c r="BP92" s="25" t="n"/>
      <c r="BQ92" s="27" t="n">
        <v>1.854701</v>
      </c>
      <c r="BR92" s="28" t="n">
        <v>0.54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inlineStr">
        <is>
          <t>True</t>
        </is>
      </c>
    </row>
    <row r="93" ht="36" customHeight="1">
      <c r="A93" s="24" t="inlineStr">
        <is>
          <t>861721ef7a3c4975</t>
        </is>
      </c>
      <c r="B93" s="24" t="inlineStr">
        <is>
          <t>2026-08-07T18:31:20.691239Z</t>
        </is>
      </c>
      <c r="C93" s="24" t="inlineStr">
        <is>
          <t>2026-08-07T19:00:00Z</t>
        </is>
      </c>
      <c r="D93" s="24" t="inlineStr">
        <is>
          <t>72342</t>
        </is>
      </c>
      <c r="E93" s="24" t="inlineStr">
        <is>
          <t>LOL</t>
        </is>
      </c>
      <c r="F93" s="24" t="inlineStr">
        <is>
          <t>Colossal Gaming</t>
        </is>
      </c>
      <c r="G93" s="24" t="inlineStr">
        <is>
          <t>GMBLERS ESPORTS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117</v>
      </c>
      <c r="M93" s="27" t="n">
        <v>2.17</v>
      </c>
      <c r="N93" s="28" t="n">
        <v>0.460829</v>
      </c>
      <c r="O93" s="28" t="n">
        <v>0.576862</v>
      </c>
      <c r="P93" s="28" t="n"/>
      <c r="Q93" s="28" t="n">
        <v>0.116033</v>
      </c>
      <c r="R93" s="26" t="n">
        <v>78</v>
      </c>
      <c r="S93" s="29" t="n">
        <v>1.25</v>
      </c>
      <c r="T93" s="24" t="inlineStr">
        <is>
          <t>lol-tiered-elo-v6</t>
        </is>
      </c>
      <c r="U93" s="24" t="inlineStr">
        <is>
          <t>open</t>
        </is>
      </c>
      <c r="V93" s="24" t="n"/>
      <c r="W93" s="26" t="n"/>
      <c r="X93" s="26" t="n"/>
      <c r="Y93" s="25" t="n"/>
      <c r="Z93" s="26" t="n"/>
      <c r="AA93" s="28" t="n"/>
      <c r="AB93" s="28" t="n"/>
      <c r="AC93" s="30" t="n"/>
      <c r="AD93" s="24" t="n"/>
      <c r="AE93" s="31" t="inlineStr">
        <is>
          <t>Neutral Elo baseline; executable ask 0.4600 (market_slug=aec-lol-gmb-cg-2026-08-07).</t>
        </is>
      </c>
      <c r="AF93" s="31" t="inlineStr">
        <is>
          <t>Config-promoted esports baseline; gates enforced at log time.</t>
        </is>
      </c>
      <c r="AG93" s="24" t="inlineStr">
        <is>
          <t>not_applicable</t>
        </is>
      </c>
      <c r="AH93" s="24" t="n"/>
      <c r="AI93" s="31" t="n"/>
      <c r="AJ93" s="31" t="n"/>
      <c r="AK93" s="24" t="inlineStr">
        <is>
          <t>model_qualified</t>
        </is>
      </c>
      <c r="AL93" s="26" t="n">
        <v>3</v>
      </c>
      <c r="AM93" s="24" t="inlineStr">
        <is>
          <t>QUALIFIED_SHADOW_CALL</t>
        </is>
      </c>
      <c r="AN93" s="24" t="inlineStr">
        <is>
          <t>CALL</t>
        </is>
      </c>
      <c r="AO93" s="24" t="inlineStr">
        <is>
          <t>QUALIFIED</t>
        </is>
      </c>
      <c r="AP93" s="24" t="inlineStr">
        <is>
          <t>Colossal Gaming</t>
        </is>
      </c>
      <c r="AQ93" s="24" t="inlineStr">
        <is>
          <t>Colossal Gaming</t>
        </is>
      </c>
      <c r="AR93" s="24" t="inlineStr">
        <is>
          <t>Colossal Gaming</t>
        </is>
      </c>
      <c r="AS93" s="24" t="inlineStr">
        <is>
          <t>GMBLERS ESPORTS</t>
        </is>
      </c>
      <c r="AT93" s="24" t="inlineStr">
        <is>
          <t>GMBLERS ESPORTS</t>
        </is>
      </c>
      <c r="AU93" s="24" t="inlineStr">
        <is>
          <t>GMBLERS ESPORTS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d3791916ff32605dd2265e280637577dccc694ea8768ae90edb98370e9029821</t>
        </is>
      </c>
      <c r="BB93" s="24" t="inlineStr">
        <is>
          <t>neutral_elo</t>
        </is>
      </c>
      <c r="BC93" s="24" t="inlineStr">
        <is>
          <t>lol-tiered-elo-v6</t>
        </is>
      </c>
      <c r="BD93" s="24" t="inlineStr">
        <is>
          <t>d3791916ff32605dd2265e280637577dccc694ea8768ae90edb98370e9029821</t>
        </is>
      </c>
      <c r="BE93" s="24" t="inlineStr">
        <is>
          <t>1</t>
        </is>
      </c>
      <c r="BF93" s="24" t="inlineStr">
        <is>
          <t>1</t>
        </is>
      </c>
      <c r="BG93" s="24" t="inlineStr">
        <is>
          <t>lol-tiered-elo-v6</t>
        </is>
      </c>
      <c r="BH93" s="24" t="inlineStr">
        <is>
          <t>2026-08-07T18:31:07.695348Z</t>
        </is>
      </c>
      <c r="BI93" s="24" t="inlineStr">
        <is>
          <t>["same_event","same_team_same_day","same_league_same_day"]</t>
        </is>
      </c>
      <c r="BJ93" s="25" t="n"/>
      <c r="BK93" s="26" t="n">
        <v>117</v>
      </c>
      <c r="BL93" s="27" t="n">
        <v>2.17</v>
      </c>
      <c r="BM93" s="28" t="n">
        <v>0.460829</v>
      </c>
      <c r="BN93" s="28" t="n"/>
      <c r="BO93" s="28" t="n"/>
      <c r="BP93" s="25" t="n"/>
      <c r="BQ93" s="27" t="n"/>
      <c r="BR93" s="28" t="n"/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inlineStr">
        <is>
          <t>True</t>
        </is>
      </c>
    </row>
    <row r="94" ht="36" customHeight="1">
      <c r="A94" s="24" t="inlineStr">
        <is>
          <t>caf03d09757343f2</t>
        </is>
      </c>
      <c r="B94" s="24" t="inlineStr">
        <is>
          <t>2026-08-07T18:31:20.691239Z</t>
        </is>
      </c>
      <c r="C94" s="24" t="inlineStr">
        <is>
          <t>2026-08-07T21:00:00Z</t>
        </is>
      </c>
      <c r="D94" s="24" t="inlineStr">
        <is>
          <t>72428</t>
        </is>
      </c>
      <c r="E94" s="24" t="inlineStr">
        <is>
          <t>LOL</t>
        </is>
      </c>
      <c r="F94" s="24" t="inlineStr">
        <is>
          <t>Fluxo W7M</t>
        </is>
      </c>
      <c r="G94" s="24" t="inlineStr">
        <is>
          <t>Vivo Keyd Stars</t>
        </is>
      </c>
      <c r="H94" s="24" t="inlineStr">
        <is>
          <t>moneyline</t>
        </is>
      </c>
      <c r="I94" s="24" t="inlineStr">
        <is>
          <t>home</t>
        </is>
      </c>
      <c r="J94" s="25" t="n"/>
      <c r="K94" s="24" t="inlineStr">
        <is>
          <t>polymarket_us</t>
        </is>
      </c>
      <c r="L94" s="26" t="n">
        <v>108</v>
      </c>
      <c r="M94" s="27" t="n">
        <v>2.08</v>
      </c>
      <c r="N94" s="28" t="n">
        <v>0.480769</v>
      </c>
      <c r="O94" s="28" t="n">
        <v>0.695648</v>
      </c>
      <c r="P94" s="28" t="n"/>
      <c r="Q94" s="28" t="n">
        <v>0.214879</v>
      </c>
      <c r="R94" s="26" t="n">
        <v>100</v>
      </c>
      <c r="S94" s="29" t="n">
        <v>2</v>
      </c>
      <c r="T94" s="24" t="inlineStr">
        <is>
          <t>lol-tiered-elo-v6</t>
        </is>
      </c>
      <c r="U94" s="24" t="inlineStr">
        <is>
          <t>open</t>
        </is>
      </c>
      <c r="V94" s="24" t="n"/>
      <c r="W94" s="26" t="n"/>
      <c r="X94" s="26" t="n"/>
      <c r="Y94" s="25" t="n"/>
      <c r="Z94" s="26" t="n"/>
      <c r="AA94" s="28" t="n"/>
      <c r="AB94" s="28" t="n"/>
      <c r="AC94" s="30" t="n"/>
      <c r="AD94" s="24" t="n"/>
      <c r="AE94" s="31" t="inlineStr">
        <is>
          <t>Neutral Elo baseline; executable ask 0.4800 (market_slug=aec-lol-vks-fxw7-2026-08-07).</t>
        </is>
      </c>
      <c r="AF94" s="31" t="inlineStr">
        <is>
          <t>Config-promoted esports baseline; gates enforced at log time.</t>
        </is>
      </c>
      <c r="AG94" s="24" t="inlineStr">
        <is>
          <t>not_applicable</t>
        </is>
      </c>
      <c r="AH94" s="24" t="n"/>
      <c r="AI94" s="31" t="n"/>
      <c r="AJ94" s="31" t="n"/>
      <c r="AK94" s="24" t="inlineStr">
        <is>
          <t>model_qualified</t>
        </is>
      </c>
      <c r="AL94" s="26" t="n">
        <v>3</v>
      </c>
      <c r="AM94" s="24" t="inlineStr">
        <is>
          <t>QUALIFIED_SHADOW_CALL</t>
        </is>
      </c>
      <c r="AN94" s="24" t="inlineStr">
        <is>
          <t>CALL</t>
        </is>
      </c>
      <c r="AO94" s="24" t="inlineStr">
        <is>
          <t>QUALIFIED</t>
        </is>
      </c>
      <c r="AP94" s="24" t="inlineStr">
        <is>
          <t>Fluxo W7M</t>
        </is>
      </c>
      <c r="AQ94" s="24" t="inlineStr">
        <is>
          <t>Fluxo W7M</t>
        </is>
      </c>
      <c r="AR94" s="24" t="inlineStr">
        <is>
          <t>Fluxo W7M</t>
        </is>
      </c>
      <c r="AS94" s="24" t="inlineStr">
        <is>
          <t>Vivo Keyd Stars</t>
        </is>
      </c>
      <c r="AT94" s="24" t="inlineStr">
        <is>
          <t>Vivo Keyd Stars</t>
        </is>
      </c>
      <c r="AU94" s="24" t="inlineStr">
        <is>
          <t>Vivo Keyd Stars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d3791916ff32605dd2265e280637577dccc694ea8768ae90edb98370e9029821</t>
        </is>
      </c>
      <c r="BB94" s="24" t="inlineStr">
        <is>
          <t>neutral_elo</t>
        </is>
      </c>
      <c r="BC94" s="24" t="inlineStr">
        <is>
          <t>lol-tiered-elo-v6</t>
        </is>
      </c>
      <c r="BD94" s="24" t="inlineStr">
        <is>
          <t>d3791916ff32605dd2265e280637577dccc694ea8768ae90edb98370e9029821</t>
        </is>
      </c>
      <c r="BE94" s="24" t="inlineStr">
        <is>
          <t>1</t>
        </is>
      </c>
      <c r="BF94" s="24" t="inlineStr">
        <is>
          <t>1</t>
        </is>
      </c>
      <c r="BG94" s="24" t="inlineStr">
        <is>
          <t>lol-tiered-elo-v6</t>
        </is>
      </c>
      <c r="BH94" s="24" t="inlineStr">
        <is>
          <t>2026-08-07T18:31:08.212012Z</t>
        </is>
      </c>
      <c r="BI94" s="24" t="inlineStr">
        <is>
          <t>["same_event","same_team_same_day","same_league_same_day"]</t>
        </is>
      </c>
      <c r="BJ94" s="25" t="n"/>
      <c r="BK94" s="26" t="n">
        <v>108</v>
      </c>
      <c r="BL94" s="27" t="n">
        <v>2.08</v>
      </c>
      <c r="BM94" s="28" t="n">
        <v>0.480769</v>
      </c>
      <c r="BN94" s="28" t="n"/>
      <c r="BO94" s="28" t="n"/>
      <c r="BP94" s="25" t="n"/>
      <c r="BQ94" s="27" t="n"/>
      <c r="BR94" s="28" t="n"/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inlineStr">
        <is>
          <t>True</t>
        </is>
      </c>
    </row>
    <row r="95" ht="36" customHeight="1">
      <c r="A95" s="24" t="inlineStr">
        <is>
          <t>a594ede30371457f</t>
        </is>
      </c>
      <c r="B95" s="24" t="inlineStr">
        <is>
          <t>2026-08-07T18:31:20.691239Z</t>
        </is>
      </c>
      <c r="C95" s="24" t="inlineStr">
        <is>
          <t>2026-08-07T21:00:00Z</t>
        </is>
      </c>
      <c r="D95" s="24" t="inlineStr">
        <is>
          <t>72438</t>
        </is>
      </c>
      <c r="E95" s="24" t="inlineStr">
        <is>
          <t>LOL</t>
        </is>
      </c>
      <c r="F95" s="24" t="inlineStr">
        <is>
          <t>Dorado Gaming</t>
        </is>
      </c>
      <c r="G95" s="24" t="inlineStr">
        <is>
          <t>Blue Otter</t>
        </is>
      </c>
      <c r="H95" s="24" t="inlineStr">
        <is>
          <t>moneyline</t>
        </is>
      </c>
      <c r="I95" s="24" t="inlineStr">
        <is>
          <t>away</t>
        </is>
      </c>
      <c r="J95" s="25" t="n"/>
      <c r="K95" s="24" t="inlineStr">
        <is>
          <t>polymarket_us</t>
        </is>
      </c>
      <c r="L95" s="26" t="n">
        <v>108</v>
      </c>
      <c r="M95" s="27" t="n">
        <v>2.08</v>
      </c>
      <c r="N95" s="28" t="n">
        <v>0.480769</v>
      </c>
      <c r="O95" s="28" t="n">
        <v>0.627171</v>
      </c>
      <c r="P95" s="28" t="n"/>
      <c r="Q95" s="28" t="n">
        <v>0.146402</v>
      </c>
      <c r="R95" s="26" t="n">
        <v>93</v>
      </c>
      <c r="S95" s="29" t="n">
        <v>1.5</v>
      </c>
      <c r="T95" s="24" t="inlineStr">
        <is>
          <t>lol-tiered-elo-v6</t>
        </is>
      </c>
      <c r="U95" s="24" t="inlineStr">
        <is>
          <t>open</t>
        </is>
      </c>
      <c r="V95" s="24" t="n"/>
      <c r="W95" s="26" t="n"/>
      <c r="X95" s="26" t="n"/>
      <c r="Y95" s="25" t="n"/>
      <c r="Z95" s="26" t="n"/>
      <c r="AA95" s="28" t="n"/>
      <c r="AB95" s="28" t="n"/>
      <c r="AC95" s="30" t="n"/>
      <c r="AD95" s="24" t="n"/>
      <c r="AE95" s="31" t="inlineStr">
        <is>
          <t>Neutral Elo baseline; executable ask 0.4800 (market_slug=aec-lol-blue-dog-2026-08-07).</t>
        </is>
      </c>
      <c r="AF95" s="31" t="inlineStr">
        <is>
          <t>Config-promoted esports baseline; gates enforced at log time.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model_qualified</t>
        </is>
      </c>
      <c r="AL95" s="26" t="n">
        <v>3</v>
      </c>
      <c r="AM95" s="24" t="inlineStr">
        <is>
          <t>QUALIFIED_SHADOW_CALL</t>
        </is>
      </c>
      <c r="AN95" s="24" t="inlineStr">
        <is>
          <t>CALL</t>
        </is>
      </c>
      <c r="AO95" s="24" t="inlineStr">
        <is>
          <t>QUALIFIED</t>
        </is>
      </c>
      <c r="AP95" s="24" t="inlineStr">
        <is>
          <t>Dorado Gaming</t>
        </is>
      </c>
      <c r="AQ95" s="24" t="inlineStr">
        <is>
          <t>Dorado Gaming</t>
        </is>
      </c>
      <c r="AR95" s="24" t="inlineStr">
        <is>
          <t>Dorado Gaming</t>
        </is>
      </c>
      <c r="AS95" s="24" t="inlineStr">
        <is>
          <t>Blue Otter</t>
        </is>
      </c>
      <c r="AT95" s="24" t="inlineStr">
        <is>
          <t>Blue Otter</t>
        </is>
      </c>
      <c r="AU95" s="24" t="inlineStr">
        <is>
          <t>Blue Otter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d3791916ff32605dd2265e280637577dccc694ea8768ae90edb98370e9029821</t>
        </is>
      </c>
      <c r="BB95" s="24" t="inlineStr">
        <is>
          <t>neutral_elo</t>
        </is>
      </c>
      <c r="BC95" s="24" t="inlineStr">
        <is>
          <t>lol-tiered-elo-v6</t>
        </is>
      </c>
      <c r="BD95" s="24" t="inlineStr">
        <is>
          <t>d3791916ff32605dd2265e280637577dccc694ea8768ae90edb98370e9029821</t>
        </is>
      </c>
      <c r="BE95" s="24" t="inlineStr">
        <is>
          <t>1</t>
        </is>
      </c>
      <c r="BF95" s="24" t="inlineStr">
        <is>
          <t>1</t>
        </is>
      </c>
      <c r="BG95" s="24" t="inlineStr">
        <is>
          <t>lol-tiered-elo-v6</t>
        </is>
      </c>
      <c r="BH95" s="24" t="inlineStr">
        <is>
          <t>2026-08-07T18:31:08.974236Z</t>
        </is>
      </c>
      <c r="BI95" s="24" t="inlineStr">
        <is>
          <t>["same_event","same_team_same_day","same_league_same_day"]</t>
        </is>
      </c>
      <c r="BJ95" s="25" t="n"/>
      <c r="BK95" s="26" t="n">
        <v>108</v>
      </c>
      <c r="BL95" s="27" t="n">
        <v>2.08</v>
      </c>
      <c r="BM95" s="28" t="n">
        <v>0.480769</v>
      </c>
      <c r="BN95" s="28" t="n"/>
      <c r="BO95" s="28" t="n"/>
      <c r="BP95" s="25" t="n"/>
      <c r="BQ95" s="27" t="n"/>
      <c r="BR95" s="28" t="n"/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inlineStr">
        <is>
          <t>True</t>
        </is>
      </c>
    </row>
    <row r="96" ht="36" customHeight="1">
      <c r="A96" s="24" t="inlineStr">
        <is>
          <t>17f0547a70a14a3d</t>
        </is>
      </c>
      <c r="B96" s="24" t="inlineStr">
        <is>
          <t>2026-08-07T18:31:20.691239Z</t>
        </is>
      </c>
      <c r="C96" s="24" t="inlineStr">
        <is>
          <t>2026-08-07T23:00:00Z</t>
        </is>
      </c>
      <c r="D96" s="24" t="inlineStr">
        <is>
          <t>72584</t>
        </is>
      </c>
      <c r="E96" s="24" t="inlineStr">
        <is>
          <t>LOL</t>
        </is>
      </c>
      <c r="F96" s="24" t="inlineStr">
        <is>
          <t>LOUD</t>
        </is>
      </c>
      <c r="G96" s="24" t="inlineStr">
        <is>
          <t>FURIA Esports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-138</v>
      </c>
      <c r="M96" s="27" t="n">
        <v>1.724638</v>
      </c>
      <c r="N96" s="28" t="n">
        <v>0.579832</v>
      </c>
      <c r="O96" s="28" t="n">
        <v>0.588376</v>
      </c>
      <c r="P96" s="28" t="n"/>
      <c r="Q96" s="28" t="n">
        <v>0.008544</v>
      </c>
      <c r="R96" s="26" t="n">
        <v>24</v>
      </c>
      <c r="S96" s="29" t="n">
        <v>0</v>
      </c>
      <c r="T96" s="24" t="inlineStr">
        <is>
          <t>lol-tiered-elo-v6</t>
        </is>
      </c>
      <c r="U96" s="24" t="inlineStr">
        <is>
          <t>open</t>
        </is>
      </c>
      <c r="V96" s="24" t="n"/>
      <c r="W96" s="26" t="n"/>
      <c r="X96" s="26" t="n"/>
      <c r="Y96" s="25" t="n"/>
      <c r="Z96" s="26" t="n"/>
      <c r="AA96" s="28" t="n"/>
      <c r="AB96" s="28" t="n"/>
      <c r="AC96" s="30" t="n"/>
      <c r="AD96" s="24" t="n"/>
      <c r="AE96" s="31" t="inlineStr">
        <is>
          <t>Neutral Elo baseline; executable ask 0.5800 (market_slug=aec-lol-fur-lll-2026-08-07).</t>
        </is>
      </c>
      <c r="AF96" s="31" t="inlineStr">
        <is>
          <t>Config-promoted esports baseline; gates enforced at log time.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research_observation</t>
        </is>
      </c>
      <c r="AL96" s="26" t="n">
        <v>3</v>
      </c>
      <c r="AM96" s="24" t="inlineStr">
        <is>
          <t>RESEARCH_OBSERVATION</t>
        </is>
      </c>
      <c r="AN96" s="24" t="inlineStr">
        <is>
          <t>NO_CALL</t>
        </is>
      </c>
      <c r="AO96" s="24" t="inlineStr">
        <is>
          <t>NO_CALL_WINNER_OVERVALUED</t>
        </is>
      </c>
      <c r="AP96" s="24" t="inlineStr">
        <is>
          <t>LOUD</t>
        </is>
      </c>
      <c r="AQ96" s="24" t="inlineStr">
        <is>
          <t>LOUD</t>
        </is>
      </c>
      <c r="AR96" s="24" t="inlineStr">
        <is>
          <t>LOUD</t>
        </is>
      </c>
      <c r="AS96" s="24" t="inlineStr">
        <is>
          <t>FURIA Esports</t>
        </is>
      </c>
      <c r="AT96" s="24" t="inlineStr">
        <is>
          <t>FURIA Esports</t>
        </is>
      </c>
      <c r="AU96" s="24" t="inlineStr">
        <is>
          <t>FURIA Esports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d3791916ff32605dd2265e280637577dccc694ea8768ae90edb98370e9029821</t>
        </is>
      </c>
      <c r="BB96" s="24" t="inlineStr">
        <is>
          <t>neutral_elo</t>
        </is>
      </c>
      <c r="BC96" s="24" t="inlineStr">
        <is>
          <t>lol-tiered-elo-v6</t>
        </is>
      </c>
      <c r="BD96" s="24" t="inlineStr">
        <is>
          <t>d3791916ff32605dd2265e280637577dccc694ea8768ae90edb98370e9029821</t>
        </is>
      </c>
      <c r="BE96" s="24" t="inlineStr">
        <is>
          <t>1</t>
        </is>
      </c>
      <c r="BF96" s="24" t="inlineStr">
        <is>
          <t>1</t>
        </is>
      </c>
      <c r="BG96" s="24" t="inlineStr">
        <is>
          <t>lol-tiered-elo-v6</t>
        </is>
      </c>
      <c r="BH96" s="24" t="inlineStr">
        <is>
          <t>2026-08-07T18:31:09.548140Z</t>
        </is>
      </c>
      <c r="BI96" s="24" t="inlineStr">
        <is>
          <t>["same_event","same_team_same_day","same_league_same_day"]</t>
        </is>
      </c>
      <c r="BJ96" s="25" t="n"/>
      <c r="BK96" s="26" t="n">
        <v>-138</v>
      </c>
      <c r="BL96" s="27" t="n">
        <v>1.724638</v>
      </c>
      <c r="BM96" s="28" t="n">
        <v>0.579832</v>
      </c>
      <c r="BN96" s="28" t="n"/>
      <c r="BO96" s="28" t="n"/>
      <c r="BP96" s="25" t="n"/>
      <c r="BQ96" s="27" t="n"/>
      <c r="BR96" s="28" t="n"/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inlineStr">
        <is>
          <t>True</t>
        </is>
      </c>
    </row>
    <row r="97" ht="36" customHeight="1">
      <c r="A97" s="24" t="inlineStr">
        <is>
          <t>d58565aa96cd4a8c</t>
        </is>
      </c>
      <c r="B97" s="24" t="inlineStr">
        <is>
          <t>2026-08-07T18:31:20.691239Z</t>
        </is>
      </c>
      <c r="C97" s="24" t="inlineStr">
        <is>
          <t>2026-08-08T07:00:00Z</t>
        </is>
      </c>
      <c r="D97" s="24" t="inlineStr">
        <is>
          <t>72713</t>
        </is>
      </c>
      <c r="E97" s="24" t="inlineStr">
        <is>
          <t>LOL</t>
        </is>
      </c>
      <c r="F97" s="24" t="inlineStr">
        <is>
          <t>LNG Esports</t>
        </is>
      </c>
      <c r="G97" s="24" t="inlineStr">
        <is>
          <t>Weibo Gaming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-223</v>
      </c>
      <c r="M97" s="27" t="n">
        <v>1.44843</v>
      </c>
      <c r="N97" s="28" t="n">
        <v>0.690402</v>
      </c>
      <c r="O97" s="28" t="n">
        <v>0.650938</v>
      </c>
      <c r="P97" s="28" t="n"/>
      <c r="Q97" s="28" t="n">
        <v>-0.039464</v>
      </c>
      <c r="R97" s="26" t="n">
        <v>0</v>
      </c>
      <c r="S97" s="29" t="n">
        <v>0</v>
      </c>
      <c r="T97" s="24" t="inlineStr">
        <is>
          <t>lol-tiered-elo-v6</t>
        </is>
      </c>
      <c r="U97" s="24" t="inlineStr">
        <is>
          <t>open</t>
        </is>
      </c>
      <c r="V97" s="24" t="n"/>
      <c r="W97" s="26" t="n"/>
      <c r="X97" s="26" t="n"/>
      <c r="Y97" s="25" t="n"/>
      <c r="Z97" s="26" t="n"/>
      <c r="AA97" s="28" t="n"/>
      <c r="AB97" s="28" t="n"/>
      <c r="AC97" s="30" t="n"/>
      <c r="AD97" s="24" t="n"/>
      <c r="AE97" s="31" t="inlineStr">
        <is>
          <t>Neutral Elo baseline; executable ask 0.6900 (market_slug=aec-lol-wb-lng-2026-08-08).</t>
        </is>
      </c>
      <c r="AF97" s="31" t="inlineStr">
        <is>
          <t>Config-promoted esports baseline; gates enforced at log time.</t>
        </is>
      </c>
      <c r="AG97" s="24" t="inlineStr">
        <is>
          <t>not_applicable</t>
        </is>
      </c>
      <c r="AH97" s="24" t="n"/>
      <c r="AI97" s="31" t="n"/>
      <c r="AJ97" s="31" t="n"/>
      <c r="AK97" s="24" t="inlineStr">
        <is>
          <t>research_observation</t>
        </is>
      </c>
      <c r="AL97" s="26" t="n">
        <v>3</v>
      </c>
      <c r="AM97" s="24" t="inlineStr">
        <is>
          <t>RESEARCH_OBSERVATION</t>
        </is>
      </c>
      <c r="AN97" s="24" t="inlineStr">
        <is>
          <t>NO_CALL</t>
        </is>
      </c>
      <c r="AO97" s="24" t="inlineStr">
        <is>
          <t>NO_CALL_WINNER_OVERVALUED</t>
        </is>
      </c>
      <c r="AP97" s="24" t="inlineStr">
        <is>
          <t>LNG Esports</t>
        </is>
      </c>
      <c r="AQ97" s="24" t="inlineStr">
        <is>
          <t>LNG Esports</t>
        </is>
      </c>
      <c r="AR97" s="24" t="inlineStr">
        <is>
          <t>LNG Esports</t>
        </is>
      </c>
      <c r="AS97" s="24" t="inlineStr">
        <is>
          <t>Weibo Gaming</t>
        </is>
      </c>
      <c r="AT97" s="24" t="inlineStr">
        <is>
          <t>Weibo Gaming</t>
        </is>
      </c>
      <c r="AU97" s="24" t="inlineStr">
        <is>
          <t>Weibo Gaming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d3791916ff32605dd2265e280637577dccc694ea8768ae90edb98370e9029821</t>
        </is>
      </c>
      <c r="BB97" s="24" t="inlineStr">
        <is>
          <t>neutral_elo</t>
        </is>
      </c>
      <c r="BC97" s="24" t="inlineStr">
        <is>
          <t>lol-tiered-elo-v6</t>
        </is>
      </c>
      <c r="BD97" s="24" t="inlineStr">
        <is>
          <t>d3791916ff32605dd2265e280637577dccc694ea8768ae90edb98370e9029821</t>
        </is>
      </c>
      <c r="BE97" s="24" t="inlineStr">
        <is>
          <t>1</t>
        </is>
      </c>
      <c r="BF97" s="24" t="inlineStr">
        <is>
          <t>1</t>
        </is>
      </c>
      <c r="BG97" s="24" t="inlineStr">
        <is>
          <t>lol-tiered-elo-v6</t>
        </is>
      </c>
      <c r="BH97" s="24" t="inlineStr">
        <is>
          <t>2026-08-07T18:31:10.581328Z</t>
        </is>
      </c>
      <c r="BI97" s="24" t="inlineStr">
        <is>
          <t>["same_event","same_team_same_day","same_league_same_day"]</t>
        </is>
      </c>
      <c r="BJ97" s="25" t="n"/>
      <c r="BK97" s="26" t="n">
        <v>-223</v>
      </c>
      <c r="BL97" s="27" t="n">
        <v>1.44843</v>
      </c>
      <c r="BM97" s="28" t="n">
        <v>0.690402</v>
      </c>
      <c r="BN97" s="28" t="n"/>
      <c r="BO97" s="28" t="n"/>
      <c r="BP97" s="25" t="n"/>
      <c r="BQ97" s="27" t="n"/>
      <c r="BR97" s="28" t="n"/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inlineStr">
        <is>
          <t>False</t>
        </is>
      </c>
    </row>
    <row r="98" ht="36" customHeight="1">
      <c r="A98" s="24" t="inlineStr">
        <is>
          <t>54e2eb768a9e49e9</t>
        </is>
      </c>
      <c r="B98" s="24" t="inlineStr">
        <is>
          <t>2026-08-07T18:31:20.691239Z</t>
        </is>
      </c>
      <c r="C98" s="24" t="inlineStr">
        <is>
          <t>2026-08-08T08:00:00Z</t>
        </is>
      </c>
      <c r="D98" s="24" t="inlineStr">
        <is>
          <t>72722</t>
        </is>
      </c>
      <c r="E98" s="24" t="inlineStr">
        <is>
          <t>LOL</t>
        </is>
      </c>
      <c r="F98" s="24" t="inlineStr">
        <is>
          <t>Hanwha Life Esports</t>
        </is>
      </c>
      <c r="G98" s="24" t="inlineStr">
        <is>
          <t>T1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104</v>
      </c>
      <c r="M98" s="27" t="n">
        <v>2.04</v>
      </c>
      <c r="N98" s="28" t="n">
        <v>0.490196</v>
      </c>
      <c r="O98" s="28" t="n">
        <v>0.605845</v>
      </c>
      <c r="P98" s="28" t="n"/>
      <c r="Q98" s="28" t="n">
        <v>0.115649</v>
      </c>
      <c r="R98" s="26" t="n">
        <v>78</v>
      </c>
      <c r="S98" s="29" t="n">
        <v>1.25</v>
      </c>
      <c r="T98" s="24" t="inlineStr">
        <is>
          <t>lol-tiered-elo-v6</t>
        </is>
      </c>
      <c r="U98" s="24" t="inlineStr">
        <is>
          <t>open</t>
        </is>
      </c>
      <c r="V98" s="24" t="n"/>
      <c r="W98" s="26" t="n"/>
      <c r="X98" s="26" t="n"/>
      <c r="Y98" s="25" t="n"/>
      <c r="Z98" s="26" t="n"/>
      <c r="AA98" s="28" t="n"/>
      <c r="AB98" s="28" t="n"/>
      <c r="AC98" s="30" t="n"/>
      <c r="AD98" s="24" t="n"/>
      <c r="AE98" s="31" t="inlineStr">
        <is>
          <t>Neutral Elo baseline; executable ask 0.4900 (market_slug=aec-lol-t1-hle-2026-08-08).</t>
        </is>
      </c>
      <c r="AF98" s="31" t="inlineStr">
        <is>
          <t>Config-promoted esports baseline; gates enforced at log time.</t>
        </is>
      </c>
      <c r="AG98" s="24" t="inlineStr">
        <is>
          <t>not_applicable</t>
        </is>
      </c>
      <c r="AH98" s="24" t="n"/>
      <c r="AI98" s="31" t="n"/>
      <c r="AJ98" s="31" t="n"/>
      <c r="AK98" s="24" t="inlineStr">
        <is>
          <t>model_qualified</t>
        </is>
      </c>
      <c r="AL98" s="26" t="n">
        <v>3</v>
      </c>
      <c r="AM98" s="24" t="inlineStr">
        <is>
          <t>QUALIFIED_SHADOW_CALL</t>
        </is>
      </c>
      <c r="AN98" s="24" t="inlineStr">
        <is>
          <t>CALL</t>
        </is>
      </c>
      <c r="AO98" s="24" t="inlineStr">
        <is>
          <t>QUALIFIED</t>
        </is>
      </c>
      <c r="AP98" s="24" t="inlineStr">
        <is>
          <t>Hanwha Life Esports</t>
        </is>
      </c>
      <c r="AQ98" s="24" t="inlineStr">
        <is>
          <t>Hanwha Life Esports</t>
        </is>
      </c>
      <c r="AR98" s="24" t="inlineStr">
        <is>
          <t>Hanwha Life Esports</t>
        </is>
      </c>
      <c r="AS98" s="24" t="inlineStr">
        <is>
          <t>T1</t>
        </is>
      </c>
      <c r="AT98" s="24" t="inlineStr">
        <is>
          <t>T1</t>
        </is>
      </c>
      <c r="AU98" s="24" t="inlineStr">
        <is>
          <t>T1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d3791916ff32605dd2265e280637577dccc694ea8768ae90edb98370e9029821</t>
        </is>
      </c>
      <c r="BB98" s="24" t="inlineStr">
        <is>
          <t>neutral_elo</t>
        </is>
      </c>
      <c r="BC98" s="24" t="inlineStr">
        <is>
          <t>lol-tiered-elo-v6</t>
        </is>
      </c>
      <c r="BD98" s="24" t="inlineStr">
        <is>
          <t>d3791916ff32605dd2265e280637577dccc694ea8768ae90edb98370e9029821</t>
        </is>
      </c>
      <c r="BE98" s="24" t="inlineStr">
        <is>
          <t>1</t>
        </is>
      </c>
      <c r="BF98" s="24" t="inlineStr">
        <is>
          <t>1</t>
        </is>
      </c>
      <c r="BG98" s="24" t="inlineStr">
        <is>
          <t>lol-tiered-elo-v6</t>
        </is>
      </c>
      <c r="BH98" s="24" t="inlineStr">
        <is>
          <t>2026-08-07T18:31:11.080798Z</t>
        </is>
      </c>
      <c r="BI98" s="24" t="inlineStr">
        <is>
          <t>["same_event","same_team_same_day","same_league_same_day"]</t>
        </is>
      </c>
      <c r="BJ98" s="25" t="n"/>
      <c r="BK98" s="26" t="n">
        <v>104</v>
      </c>
      <c r="BL98" s="27" t="n">
        <v>2.04</v>
      </c>
      <c r="BM98" s="28" t="n">
        <v>0.490196</v>
      </c>
      <c r="BN98" s="28" t="n"/>
      <c r="BO98" s="28" t="n"/>
      <c r="BP98" s="25" t="n"/>
      <c r="BQ98" s="27" t="n"/>
      <c r="BR98" s="28" t="n"/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inlineStr">
        <is>
          <t>True</t>
        </is>
      </c>
    </row>
    <row r="99" ht="36" customHeight="1">
      <c r="A99" s="24" t="inlineStr">
        <is>
          <t>ec7b84f1b105483f</t>
        </is>
      </c>
      <c r="B99" s="24" t="inlineStr">
        <is>
          <t>2026-08-07T18:31:20.691239Z</t>
        </is>
      </c>
      <c r="C99" s="24" t="inlineStr">
        <is>
          <t>2026-08-08T09:00:00Z</t>
        </is>
      </c>
      <c r="D99" s="24" t="inlineStr">
        <is>
          <t>72727</t>
        </is>
      </c>
      <c r="E99" s="24" t="inlineStr">
        <is>
          <t>LOL</t>
        </is>
      </c>
      <c r="F99" s="24" t="inlineStr">
        <is>
          <t>MVK Esports</t>
        </is>
      </c>
      <c r="G99" s="24" t="inlineStr">
        <is>
          <t>Deep Cross Gaming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-150</v>
      </c>
      <c r="M99" s="27" t="n">
        <v>1.666667</v>
      </c>
      <c r="N99" s="28" t="n">
        <v>0.6</v>
      </c>
      <c r="O99" s="28" t="n">
        <v>0.540926</v>
      </c>
      <c r="P99" s="28" t="n"/>
      <c r="Q99" s="28" t="n">
        <v>-0.059074</v>
      </c>
      <c r="R99" s="26" t="n">
        <v>0</v>
      </c>
      <c r="S99" s="29" t="n">
        <v>0</v>
      </c>
      <c r="T99" s="24" t="inlineStr">
        <is>
          <t>lol-tiered-elo-v6</t>
        </is>
      </c>
      <c r="U99" s="24" t="inlineStr">
        <is>
          <t>open</t>
        </is>
      </c>
      <c r="V99" s="24" t="n"/>
      <c r="W99" s="26" t="n"/>
      <c r="X99" s="26" t="n"/>
      <c r="Y99" s="25" t="n"/>
      <c r="Z99" s="26" t="n"/>
      <c r="AA99" s="28" t="n"/>
      <c r="AB99" s="28" t="n"/>
      <c r="AC99" s="30" t="n"/>
      <c r="AD99" s="24" t="n"/>
      <c r="AE99" s="31" t="inlineStr">
        <is>
          <t>Neutral Elo baseline; executable ask 0.6000 (market_slug=aec-lol-dcg-mvk-2026-08-08).</t>
        </is>
      </c>
      <c r="AF99" s="31" t="inlineStr">
        <is>
          <t>Config-promoted esports baseline; gates enforced at log time.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research_observation</t>
        </is>
      </c>
      <c r="AL99" s="26" t="n">
        <v>3</v>
      </c>
      <c r="AM99" s="24" t="inlineStr">
        <is>
          <t>RESEARCH_OBSERVATION</t>
        </is>
      </c>
      <c r="AN99" s="24" t="inlineStr">
        <is>
          <t>NO_CALL</t>
        </is>
      </c>
      <c r="AO99" s="24" t="inlineStr">
        <is>
          <t>NO_CALL_WINNER_OVERVALUED</t>
        </is>
      </c>
      <c r="AP99" s="24" t="inlineStr">
        <is>
          <t>MVK Esports</t>
        </is>
      </c>
      <c r="AQ99" s="24" t="inlineStr">
        <is>
          <t>MVK Esports</t>
        </is>
      </c>
      <c r="AR99" s="24" t="inlineStr">
        <is>
          <t>MVK Esports</t>
        </is>
      </c>
      <c r="AS99" s="24" t="inlineStr">
        <is>
          <t>Deep Cross Gaming</t>
        </is>
      </c>
      <c r="AT99" s="24" t="inlineStr">
        <is>
          <t>Deep Cross Gaming</t>
        </is>
      </c>
      <c r="AU99" s="24" t="inlineStr">
        <is>
          <t>Deep Cross Gaming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d3791916ff32605dd2265e280637577dccc694ea8768ae90edb98370e9029821</t>
        </is>
      </c>
      <c r="BB99" s="24" t="inlineStr">
        <is>
          <t>neutral_elo</t>
        </is>
      </c>
      <c r="BC99" s="24" t="inlineStr">
        <is>
          <t>lol-tiered-elo-v6</t>
        </is>
      </c>
      <c r="BD99" s="24" t="inlineStr">
        <is>
          <t>d3791916ff32605dd2265e280637577dccc694ea8768ae90edb98370e9029821</t>
        </is>
      </c>
      <c r="BE99" s="24" t="inlineStr">
        <is>
          <t>1</t>
        </is>
      </c>
      <c r="BF99" s="24" t="inlineStr">
        <is>
          <t>1</t>
        </is>
      </c>
      <c r="BG99" s="24" t="inlineStr">
        <is>
          <t>lol-tiered-elo-v6</t>
        </is>
      </c>
      <c r="BH99" s="24" t="inlineStr">
        <is>
          <t>2026-08-07T18:31:11.745061Z</t>
        </is>
      </c>
      <c r="BI99" s="24" t="inlineStr">
        <is>
          <t>["same_event","same_team_same_day","same_league_same_day"]</t>
        </is>
      </c>
      <c r="BJ99" s="25" t="n"/>
      <c r="BK99" s="26" t="n">
        <v>-150</v>
      </c>
      <c r="BL99" s="27" t="n">
        <v>1.666667</v>
      </c>
      <c r="BM99" s="28" t="n">
        <v>0.6</v>
      </c>
      <c r="BN99" s="28" t="n"/>
      <c r="BO99" s="28" t="n"/>
      <c r="BP99" s="25" t="n"/>
      <c r="BQ99" s="27" t="n"/>
      <c r="BR99" s="28" t="n"/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inlineStr">
        <is>
          <t>False</t>
        </is>
      </c>
    </row>
    <row r="100" ht="36" customHeight="1">
      <c r="A100" s="24" t="inlineStr">
        <is>
          <t>cff7e6536d5345a7</t>
        </is>
      </c>
      <c r="B100" s="24" t="inlineStr">
        <is>
          <t>2026-08-07T18:31:20.691239Z</t>
        </is>
      </c>
      <c r="C100" s="24" t="inlineStr">
        <is>
          <t>2026-08-08T11:00:00Z</t>
        </is>
      </c>
      <c r="D100" s="24" t="inlineStr">
        <is>
          <t>72752</t>
        </is>
      </c>
      <c r="E100" s="24" t="inlineStr">
        <is>
          <t>LOL</t>
        </is>
      </c>
      <c r="F100" s="24" t="inlineStr">
        <is>
          <t>Lausanne-Sport Esports</t>
        </is>
      </c>
      <c r="G100" s="24" t="inlineStr">
        <is>
          <t>Galions Sharks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-138</v>
      </c>
      <c r="M100" s="27" t="n">
        <v>1.724638</v>
      </c>
      <c r="N100" s="28" t="n">
        <v>0.579832</v>
      </c>
      <c r="O100" s="28" t="n">
        <v>0.675074</v>
      </c>
      <c r="P100" s="28" t="n"/>
      <c r="Q100" s="28" t="n">
        <v>0.09524199999999999</v>
      </c>
      <c r="R100" s="26" t="n">
        <v>68</v>
      </c>
      <c r="S100" s="29" t="n">
        <v>1.75</v>
      </c>
      <c r="T100" s="24" t="inlineStr">
        <is>
          <t>lol-tiered-elo-v6</t>
        </is>
      </c>
      <c r="U100" s="24" t="inlineStr">
        <is>
          <t>open</t>
        </is>
      </c>
      <c r="V100" s="24" t="n"/>
      <c r="W100" s="26" t="n"/>
      <c r="X100" s="26" t="n"/>
      <c r="Y100" s="25" t="n"/>
      <c r="Z100" s="26" t="n"/>
      <c r="AA100" s="28" t="n"/>
      <c r="AB100" s="28" t="n"/>
      <c r="AC100" s="30" t="n"/>
      <c r="AD100" s="24" t="n"/>
      <c r="AE100" s="31" t="inlineStr">
        <is>
          <t>Neutral Elo baseline; executable ask 0.5800 (market_slug=aec-lol-gls-els-2026-08-08).</t>
        </is>
      </c>
      <c r="AF100" s="31" t="inlineStr">
        <is>
          <t>Config-promoted esports baseline; gates enforced at log time.</t>
        </is>
      </c>
      <c r="AG100" s="24" t="inlineStr">
        <is>
          <t>not_applicable</t>
        </is>
      </c>
      <c r="AH100" s="24" t="n"/>
      <c r="AI100" s="31" t="n"/>
      <c r="AJ100" s="31" t="n"/>
      <c r="AK100" s="24" t="inlineStr">
        <is>
          <t>model_qualified</t>
        </is>
      </c>
      <c r="AL100" s="26" t="n">
        <v>3</v>
      </c>
      <c r="AM100" s="24" t="inlineStr">
        <is>
          <t>QUALIFIED_SHADOW_CALL</t>
        </is>
      </c>
      <c r="AN100" s="24" t="inlineStr">
        <is>
          <t>CALL</t>
        </is>
      </c>
      <c r="AO100" s="24" t="inlineStr">
        <is>
          <t>QUALIFIED</t>
        </is>
      </c>
      <c r="AP100" s="24" t="inlineStr">
        <is>
          <t>Lausanne-Sport Esports</t>
        </is>
      </c>
      <c r="AQ100" s="24" t="inlineStr">
        <is>
          <t>Lausanne-Sport Esports</t>
        </is>
      </c>
      <c r="AR100" s="24" t="inlineStr">
        <is>
          <t>Lausanne-Sport Esports</t>
        </is>
      </c>
      <c r="AS100" s="24" t="inlineStr">
        <is>
          <t>Galions Sharks</t>
        </is>
      </c>
      <c r="AT100" s="24" t="inlineStr">
        <is>
          <t>Galions Sharks</t>
        </is>
      </c>
      <c r="AU100" s="24" t="inlineStr">
        <is>
          <t>Galions Sharks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d3791916ff32605dd2265e280637577dccc694ea8768ae90edb98370e9029821</t>
        </is>
      </c>
      <c r="BB100" s="24" t="inlineStr">
        <is>
          <t>neutral_elo</t>
        </is>
      </c>
      <c r="BC100" s="24" t="inlineStr">
        <is>
          <t>lol-tiered-elo-v6</t>
        </is>
      </c>
      <c r="BD100" s="24" t="inlineStr">
        <is>
          <t>d3791916ff32605dd2265e280637577dccc694ea8768ae90edb98370e9029821</t>
        </is>
      </c>
      <c r="BE100" s="24" t="inlineStr">
        <is>
          <t>1</t>
        </is>
      </c>
      <c r="BF100" s="24" t="inlineStr">
        <is>
          <t>1</t>
        </is>
      </c>
      <c r="BG100" s="24" t="inlineStr">
        <is>
          <t>lol-tiered-elo-v6</t>
        </is>
      </c>
      <c r="BH100" s="24" t="inlineStr">
        <is>
          <t>2026-08-07T18:31:14.111862Z</t>
        </is>
      </c>
      <c r="BI100" s="24" t="inlineStr">
        <is>
          <t>["same_event","same_team_same_day","same_league_same_day"]</t>
        </is>
      </c>
      <c r="BJ100" s="25" t="n"/>
      <c r="BK100" s="26" t="n">
        <v>-138</v>
      </c>
      <c r="BL100" s="27" t="n">
        <v>1.724638</v>
      </c>
      <c r="BM100" s="28" t="n">
        <v>0.579832</v>
      </c>
      <c r="BN100" s="28" t="n"/>
      <c r="BO100" s="28" t="n"/>
      <c r="BP100" s="25" t="n"/>
      <c r="BQ100" s="27" t="n"/>
      <c r="BR100" s="28" t="n"/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True</t>
        </is>
      </c>
    </row>
    <row r="101" ht="36" customHeight="1">
      <c r="A101" s="24" t="inlineStr">
        <is>
          <t>2a5f1289c7644293</t>
        </is>
      </c>
      <c r="B101" s="24" t="inlineStr">
        <is>
          <t>2026-08-07T18:31:20.691239Z</t>
        </is>
      </c>
      <c r="C101" s="24" t="inlineStr">
        <is>
          <t>2026-08-08T12:00:00Z</t>
        </is>
      </c>
      <c r="D101" s="24" t="inlineStr">
        <is>
          <t>72774</t>
        </is>
      </c>
      <c r="E101" s="24" t="inlineStr">
        <is>
          <t>LOL</t>
        </is>
      </c>
      <c r="F101" s="24" t="inlineStr">
        <is>
          <t>Project Conquerors</t>
        </is>
      </c>
      <c r="G101" s="24" t="inlineStr">
        <is>
          <t>Karmine Corp Blue Stars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-127</v>
      </c>
      <c r="M101" s="27" t="n">
        <v>1.787402</v>
      </c>
      <c r="N101" s="28" t="n">
        <v>0.5594710000000001</v>
      </c>
      <c r="O101" s="28" t="n">
        <v>0.518025</v>
      </c>
      <c r="P101" s="28" t="n"/>
      <c r="Q101" s="28" t="n">
        <v>-0.041446</v>
      </c>
      <c r="R101" s="26" t="n">
        <v>0</v>
      </c>
      <c r="S101" s="29" t="n">
        <v>0</v>
      </c>
      <c r="T101" s="24" t="inlineStr">
        <is>
          <t>lol-tiered-elo-v6</t>
        </is>
      </c>
      <c r="U101" s="24" t="inlineStr">
        <is>
          <t>open</t>
        </is>
      </c>
      <c r="V101" s="24" t="n"/>
      <c r="W101" s="26" t="n"/>
      <c r="X101" s="26" t="n"/>
      <c r="Y101" s="25" t="n"/>
      <c r="Z101" s="26" t="n"/>
      <c r="AA101" s="28" t="n"/>
      <c r="AB101" s="28" t="n"/>
      <c r="AC101" s="30" t="n"/>
      <c r="AD101" s="24" t="n"/>
      <c r="AE101" s="31" t="inlineStr">
        <is>
          <t>Neutral Elo baseline; executable ask 0.5600 (market_slug=aec-lol-kcbs-pcs-2026-08-08).</t>
        </is>
      </c>
      <c r="AF101" s="31" t="inlineStr">
        <is>
          <t>Config-promoted esports baseline; gates enforced at log time.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research_observation</t>
        </is>
      </c>
      <c r="AL101" s="26" t="n">
        <v>3</v>
      </c>
      <c r="AM101" s="24" t="inlineStr">
        <is>
          <t>RESEARCH_OBSERVATION</t>
        </is>
      </c>
      <c r="AN101" s="24" t="inlineStr">
        <is>
          <t>NO_CALL</t>
        </is>
      </c>
      <c r="AO101" s="24" t="inlineStr">
        <is>
          <t>NO_CALL_WINNER_OVERVALUED</t>
        </is>
      </c>
      <c r="AP101" s="24" t="inlineStr">
        <is>
          <t>Project Conquerors</t>
        </is>
      </c>
      <c r="AQ101" s="24" t="inlineStr">
        <is>
          <t>Project Conquerors</t>
        </is>
      </c>
      <c r="AR101" s="24" t="inlineStr">
        <is>
          <t>Project Conquerors</t>
        </is>
      </c>
      <c r="AS101" s="24" t="inlineStr">
        <is>
          <t>Karmine Corp Blue Stars</t>
        </is>
      </c>
      <c r="AT101" s="24" t="inlineStr">
        <is>
          <t>Karmine Corp Blue Stars</t>
        </is>
      </c>
      <c r="AU101" s="24" t="inlineStr">
        <is>
          <t>Karmine Corp Blue Stars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d3791916ff32605dd2265e280637577dccc694ea8768ae90edb98370e9029821</t>
        </is>
      </c>
      <c r="BB101" s="24" t="inlineStr">
        <is>
          <t>neutral_elo</t>
        </is>
      </c>
      <c r="BC101" s="24" t="inlineStr">
        <is>
          <t>lol-tiered-elo-v6</t>
        </is>
      </c>
      <c r="BD101" s="24" t="inlineStr">
        <is>
          <t>d3791916ff32605dd2265e280637577dccc694ea8768ae90edb98370e9029821</t>
        </is>
      </c>
      <c r="BE101" s="24" t="inlineStr">
        <is>
          <t>1</t>
        </is>
      </c>
      <c r="BF101" s="24" t="inlineStr">
        <is>
          <t>1</t>
        </is>
      </c>
      <c r="BG101" s="24" t="inlineStr">
        <is>
          <t>lol-tiered-elo-v6</t>
        </is>
      </c>
      <c r="BH101" s="24" t="inlineStr">
        <is>
          <t>2026-08-07T18:31:15.520994Z</t>
        </is>
      </c>
      <c r="BI101" s="24" t="inlineStr">
        <is>
          <t>["same_event","same_team_same_day","same_league_same_day"]</t>
        </is>
      </c>
      <c r="BJ101" s="25" t="n"/>
      <c r="BK101" s="26" t="n">
        <v>-127</v>
      </c>
      <c r="BL101" s="27" t="n">
        <v>1.787402</v>
      </c>
      <c r="BM101" s="28" t="n">
        <v>0.5594710000000001</v>
      </c>
      <c r="BN101" s="28" t="n"/>
      <c r="BO101" s="28" t="n"/>
      <c r="BP101" s="25" t="n"/>
      <c r="BQ101" s="27" t="n"/>
      <c r="BR101" s="28" t="n"/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False</t>
        </is>
      </c>
    </row>
    <row r="102" ht="36" customHeight="1">
      <c r="A102" s="24" t="inlineStr">
        <is>
          <t>a78a6552bcc84faf</t>
        </is>
      </c>
      <c r="B102" s="24" t="inlineStr">
        <is>
          <t>2026-08-07T18:31:20.691239Z</t>
        </is>
      </c>
      <c r="C102" s="24" t="inlineStr">
        <is>
          <t>2026-08-08T13:00:00Z</t>
        </is>
      </c>
      <c r="D102" s="24" t="inlineStr">
        <is>
          <t>72797</t>
        </is>
      </c>
      <c r="E102" s="24" t="inlineStr">
        <is>
          <t>LOL</t>
        </is>
      </c>
      <c r="F102" s="24" t="inlineStr">
        <is>
          <t>Team High Ground</t>
        </is>
      </c>
      <c r="G102" s="24" t="inlineStr">
        <is>
          <t>Ancient Ones</t>
        </is>
      </c>
      <c r="H102" s="24" t="inlineStr">
        <is>
          <t>moneyline</t>
        </is>
      </c>
      <c r="I102" s="24" t="inlineStr">
        <is>
          <t>home</t>
        </is>
      </c>
      <c r="J102" s="25" t="n"/>
      <c r="K102" s="24" t="inlineStr">
        <is>
          <t>polymarket_us</t>
        </is>
      </c>
      <c r="L102" s="26" t="n">
        <v>-156</v>
      </c>
      <c r="M102" s="27" t="n">
        <v>1.641026</v>
      </c>
      <c r="N102" s="28" t="n">
        <v>0.609375</v>
      </c>
      <c r="O102" s="28" t="n">
        <v>0.63815</v>
      </c>
      <c r="P102" s="28" t="n"/>
      <c r="Q102" s="28" t="n">
        <v>0.028775</v>
      </c>
      <c r="R102" s="26" t="n">
        <v>34</v>
      </c>
      <c r="S102" s="29" t="n">
        <v>0</v>
      </c>
      <c r="T102" s="24" t="inlineStr">
        <is>
          <t>lol-tiered-elo-v6</t>
        </is>
      </c>
      <c r="U102" s="24" t="inlineStr">
        <is>
          <t>open</t>
        </is>
      </c>
      <c r="V102" s="24" t="n"/>
      <c r="W102" s="26" t="n"/>
      <c r="X102" s="26" t="n"/>
      <c r="Y102" s="25" t="n"/>
      <c r="Z102" s="26" t="n"/>
      <c r="AA102" s="28" t="n"/>
      <c r="AB102" s="28" t="n"/>
      <c r="AC102" s="30" t="n"/>
      <c r="AD102" s="24" t="n"/>
      <c r="AE102" s="31" t="inlineStr">
        <is>
          <t>Neutral Elo baseline; executable ask 0.6100 (market_slug=aec-lol-ao-thg-2026-08-08).</t>
        </is>
      </c>
      <c r="AF102" s="31" t="inlineStr">
        <is>
          <t>Config-promoted esports baseline; gates enforced at log time.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research_observation</t>
        </is>
      </c>
      <c r="AL102" s="26" t="n">
        <v>3</v>
      </c>
      <c r="AM102" s="24" t="inlineStr">
        <is>
          <t>RESEARCH_OBSERVATION</t>
        </is>
      </c>
      <c r="AN102" s="24" t="inlineStr">
        <is>
          <t>NO_CALL</t>
        </is>
      </c>
      <c r="AO102" s="24" t="inlineStr">
        <is>
          <t>NO_CALL_WINNER_OVERVALUED</t>
        </is>
      </c>
      <c r="AP102" s="24" t="inlineStr">
        <is>
          <t>Team High Ground</t>
        </is>
      </c>
      <c r="AQ102" s="24" t="inlineStr">
        <is>
          <t>Team High Ground</t>
        </is>
      </c>
      <c r="AR102" s="24" t="inlineStr">
        <is>
          <t>Team High Ground</t>
        </is>
      </c>
      <c r="AS102" s="24" t="inlineStr">
        <is>
          <t>Ancient Ones</t>
        </is>
      </c>
      <c r="AT102" s="24" t="inlineStr">
        <is>
          <t>Ancient Ones</t>
        </is>
      </c>
      <c r="AU102" s="24" t="inlineStr">
        <is>
          <t>Ancient Ones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d3791916ff32605dd2265e280637577dccc694ea8768ae90edb98370e9029821</t>
        </is>
      </c>
      <c r="BB102" s="24" t="inlineStr">
        <is>
          <t>neutral_elo</t>
        </is>
      </c>
      <c r="BC102" s="24" t="inlineStr">
        <is>
          <t>lol-tiered-elo-v6</t>
        </is>
      </c>
      <c r="BD102" s="24" t="inlineStr">
        <is>
          <t>d3791916ff32605dd2265e280637577dccc694ea8768ae90edb98370e9029821</t>
        </is>
      </c>
      <c r="BE102" s="24" t="inlineStr">
        <is>
          <t>1</t>
        </is>
      </c>
      <c r="BF102" s="24" t="inlineStr">
        <is>
          <t>1</t>
        </is>
      </c>
      <c r="BG102" s="24" t="inlineStr">
        <is>
          <t>lol-tiered-elo-v6</t>
        </is>
      </c>
      <c r="BH102" s="24" t="inlineStr">
        <is>
          <t>2026-08-07T18:31:16.025918Z</t>
        </is>
      </c>
      <c r="BI102" s="24" t="inlineStr">
        <is>
          <t>["same_event","same_team_same_day","same_league_same_day"]</t>
        </is>
      </c>
      <c r="BJ102" s="25" t="n"/>
      <c r="BK102" s="26" t="n">
        <v>-156</v>
      </c>
      <c r="BL102" s="27" t="n">
        <v>1.641026</v>
      </c>
      <c r="BM102" s="28" t="n">
        <v>0.609375</v>
      </c>
      <c r="BN102" s="28" t="n"/>
      <c r="BO102" s="28" t="n"/>
      <c r="BP102" s="25" t="n"/>
      <c r="BQ102" s="27" t="n"/>
      <c r="BR102" s="28" t="n"/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True</t>
        </is>
      </c>
    </row>
    <row r="103" ht="36" customHeight="1">
      <c r="A103" s="24" t="inlineStr">
        <is>
          <t>3ad7acaef68745a4</t>
        </is>
      </c>
      <c r="B103" s="24" t="inlineStr">
        <is>
          <t>2026-08-07T18:31:20.691239Z</t>
        </is>
      </c>
      <c r="C103" s="24" t="inlineStr">
        <is>
          <t>2026-08-08T15:00:00Z</t>
        </is>
      </c>
      <c r="D103" s="24" t="inlineStr">
        <is>
          <t>72842</t>
        </is>
      </c>
      <c r="E103" s="24" t="inlineStr">
        <is>
          <t>LOL</t>
        </is>
      </c>
      <c r="F103" s="24" t="inlineStr">
        <is>
          <t>Natus Vincere</t>
        </is>
      </c>
      <c r="G103" s="24" t="inlineStr">
        <is>
          <t>SK Gaming</t>
        </is>
      </c>
      <c r="H103" s="24" t="inlineStr">
        <is>
          <t>moneyline</t>
        </is>
      </c>
      <c r="I103" s="24" t="inlineStr">
        <is>
          <t>away</t>
        </is>
      </c>
      <c r="J103" s="25" t="n"/>
      <c r="K103" s="24" t="inlineStr">
        <is>
          <t>polymarket_us</t>
        </is>
      </c>
      <c r="L103" s="26" t="n">
        <v>-186</v>
      </c>
      <c r="M103" s="27" t="n">
        <v>1.537634</v>
      </c>
      <c r="N103" s="28" t="n">
        <v>0.65035</v>
      </c>
      <c r="O103" s="28" t="n">
        <v>0.6757919999999999</v>
      </c>
      <c r="P103" s="28" t="n"/>
      <c r="Q103" s="28" t="n">
        <v>0.025442</v>
      </c>
      <c r="R103" s="26" t="n">
        <v>33</v>
      </c>
      <c r="S103" s="29" t="n">
        <v>0</v>
      </c>
      <c r="T103" s="24" t="inlineStr">
        <is>
          <t>lol-tiered-elo-v6</t>
        </is>
      </c>
      <c r="U103" s="24" t="inlineStr">
        <is>
          <t>open</t>
        </is>
      </c>
      <c r="V103" s="24" t="n"/>
      <c r="W103" s="26" t="n"/>
      <c r="X103" s="26" t="n"/>
      <c r="Y103" s="25" t="n"/>
      <c r="Z103" s="26" t="n"/>
      <c r="AA103" s="28" t="n"/>
      <c r="AB103" s="28" t="n"/>
      <c r="AC103" s="30" t="n"/>
      <c r="AD103" s="24" t="n"/>
      <c r="AE103" s="31" t="inlineStr">
        <is>
          <t>Neutral Elo baseline; executable ask 0.6500 (market_slug=aec-lol-sk-navi-2026-08-08).</t>
        </is>
      </c>
      <c r="AF103" s="31" t="inlineStr">
        <is>
          <t>Config-promoted esports baseline; gates enforced at log time.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research_observation</t>
        </is>
      </c>
      <c r="AL103" s="26" t="n">
        <v>3</v>
      </c>
      <c r="AM103" s="24" t="inlineStr">
        <is>
          <t>RESEARCH_OBSERVATION</t>
        </is>
      </c>
      <c r="AN103" s="24" t="inlineStr">
        <is>
          <t>NO_CALL</t>
        </is>
      </c>
      <c r="AO103" s="24" t="inlineStr">
        <is>
          <t>NO_CALL_WINNER_OVERVALUED</t>
        </is>
      </c>
      <c r="AP103" s="24" t="inlineStr">
        <is>
          <t>Natus Vincere</t>
        </is>
      </c>
      <c r="AQ103" s="24" t="inlineStr">
        <is>
          <t>Natus Vincere</t>
        </is>
      </c>
      <c r="AR103" s="24" t="inlineStr">
        <is>
          <t>Natus Vincere</t>
        </is>
      </c>
      <c r="AS103" s="24" t="inlineStr">
        <is>
          <t>SK Gaming</t>
        </is>
      </c>
      <c r="AT103" s="24" t="inlineStr">
        <is>
          <t>SK Gaming</t>
        </is>
      </c>
      <c r="AU103" s="24" t="inlineStr">
        <is>
          <t>SK Gaming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d3791916ff32605dd2265e280637577dccc694ea8768ae90edb98370e9029821</t>
        </is>
      </c>
      <c r="BB103" s="24" t="inlineStr">
        <is>
          <t>neutral_elo</t>
        </is>
      </c>
      <c r="BC103" s="24" t="inlineStr">
        <is>
          <t>lol-tiered-elo-v6</t>
        </is>
      </c>
      <c r="BD103" s="24" t="inlineStr">
        <is>
          <t>d3791916ff32605dd2265e280637577dccc694ea8768ae90edb98370e9029821</t>
        </is>
      </c>
      <c r="BE103" s="24" t="inlineStr">
        <is>
          <t>1</t>
        </is>
      </c>
      <c r="BF103" s="24" t="inlineStr">
        <is>
          <t>1</t>
        </is>
      </c>
      <c r="BG103" s="24" t="inlineStr">
        <is>
          <t>lol-tiered-elo-v6</t>
        </is>
      </c>
      <c r="BH103" s="24" t="inlineStr">
        <is>
          <t>2026-08-07T18:31:17.358650Z</t>
        </is>
      </c>
      <c r="BI103" s="24" t="inlineStr">
        <is>
          <t>["same_event","same_team_same_day","same_league_same_day"]</t>
        </is>
      </c>
      <c r="BJ103" s="25" t="n"/>
      <c r="BK103" s="26" t="n">
        <v>-186</v>
      </c>
      <c r="BL103" s="27" t="n">
        <v>1.537634</v>
      </c>
      <c r="BM103" s="28" t="n">
        <v>0.65035</v>
      </c>
      <c r="BN103" s="28" t="n"/>
      <c r="BO103" s="28" t="n"/>
      <c r="BP103" s="25" t="n"/>
      <c r="BQ103" s="27" t="n"/>
      <c r="BR103" s="28" t="n"/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True</t>
        </is>
      </c>
    </row>
    <row r="104" ht="36" customHeight="1">
      <c r="A104" s="24" t="inlineStr">
        <is>
          <t>dc866fe058bf46cd</t>
        </is>
      </c>
      <c r="B104" s="24" t="inlineStr">
        <is>
          <t>2026-08-07T18:31:20.691239Z</t>
        </is>
      </c>
      <c r="C104" s="24" t="inlineStr">
        <is>
          <t>2026-08-08T16:00:00Z</t>
        </is>
      </c>
      <c r="D104" s="24" t="inlineStr">
        <is>
          <t>72871</t>
        </is>
      </c>
      <c r="E104" s="24" t="inlineStr">
        <is>
          <t>LOL</t>
        </is>
      </c>
      <c r="F104" s="24" t="inlineStr">
        <is>
          <t>paiN Gaming</t>
        </is>
      </c>
      <c r="G104" s="24" t="inlineStr">
        <is>
          <t>RED Canids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polymarket_us</t>
        </is>
      </c>
      <c r="L104" s="26" t="n">
        <v>104</v>
      </c>
      <c r="M104" s="27" t="n">
        <v>2.04</v>
      </c>
      <c r="N104" s="28" t="n">
        <v>0.490196</v>
      </c>
      <c r="O104" s="28" t="n">
        <v>0.6928530000000001</v>
      </c>
      <c r="P104" s="28" t="n"/>
      <c r="Q104" s="28" t="n">
        <v>0.202657</v>
      </c>
      <c r="R104" s="26" t="n">
        <v>100</v>
      </c>
      <c r="S104" s="29" t="n">
        <v>2</v>
      </c>
      <c r="T104" s="24" t="inlineStr">
        <is>
          <t>lol-tiered-elo-v6</t>
        </is>
      </c>
      <c r="U104" s="24" t="inlineStr">
        <is>
          <t>open</t>
        </is>
      </c>
      <c r="V104" s="24" t="n"/>
      <c r="W104" s="26" t="n"/>
      <c r="X104" s="26" t="n"/>
      <c r="Y104" s="25" t="n"/>
      <c r="Z104" s="26" t="n"/>
      <c r="AA104" s="28" t="n"/>
      <c r="AB104" s="28" t="n"/>
      <c r="AC104" s="30" t="n"/>
      <c r="AD104" s="24" t="n"/>
      <c r="AE104" s="31" t="inlineStr">
        <is>
          <t>Neutral Elo baseline; executable ask 0.4900 (market_slug=aec-lol-red-png-2026-08-08).</t>
        </is>
      </c>
      <c r="AF104" s="31" t="inlineStr">
        <is>
          <t>Config-promoted esports baseline; gates enforced at log time.</t>
        </is>
      </c>
      <c r="AG104" s="24" t="inlineStr">
        <is>
          <t>not_applicable</t>
        </is>
      </c>
      <c r="AH104" s="24" t="n"/>
      <c r="AI104" s="31" t="n"/>
      <c r="AJ104" s="31" t="n"/>
      <c r="AK104" s="24" t="inlineStr">
        <is>
          <t>model_qualified</t>
        </is>
      </c>
      <c r="AL104" s="26" t="n">
        <v>3</v>
      </c>
      <c r="AM104" s="24" t="inlineStr">
        <is>
          <t>QUALIFIED_SHADOW_CALL</t>
        </is>
      </c>
      <c r="AN104" s="24" t="inlineStr">
        <is>
          <t>CALL</t>
        </is>
      </c>
      <c r="AO104" s="24" t="inlineStr">
        <is>
          <t>QUALIFIED</t>
        </is>
      </c>
      <c r="AP104" s="24" t="inlineStr">
        <is>
          <t>paiN Gaming</t>
        </is>
      </c>
      <c r="AQ104" s="24" t="inlineStr">
        <is>
          <t>paiN Gaming</t>
        </is>
      </c>
      <c r="AR104" s="24" t="inlineStr">
        <is>
          <t>paiN Gaming</t>
        </is>
      </c>
      <c r="AS104" s="24" t="inlineStr">
        <is>
          <t>RED Canids</t>
        </is>
      </c>
      <c r="AT104" s="24" t="inlineStr">
        <is>
          <t>RED Canids</t>
        </is>
      </c>
      <c r="AU104" s="24" t="inlineStr">
        <is>
          <t>RED Canids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d3791916ff32605dd2265e280637577dccc694ea8768ae90edb98370e9029821</t>
        </is>
      </c>
      <c r="BB104" s="24" t="inlineStr">
        <is>
          <t>neutral_elo</t>
        </is>
      </c>
      <c r="BC104" s="24" t="inlineStr">
        <is>
          <t>lol-tiered-elo-v6</t>
        </is>
      </c>
      <c r="BD104" s="24" t="inlineStr">
        <is>
          <t>d3791916ff32605dd2265e280637577dccc694ea8768ae90edb98370e9029821</t>
        </is>
      </c>
      <c r="BE104" s="24" t="inlineStr">
        <is>
          <t>1</t>
        </is>
      </c>
      <c r="BF104" s="24" t="inlineStr">
        <is>
          <t>1</t>
        </is>
      </c>
      <c r="BG104" s="24" t="inlineStr">
        <is>
          <t>lol-tiered-elo-v6</t>
        </is>
      </c>
      <c r="BH104" s="24" t="inlineStr">
        <is>
          <t>2026-08-07T18:31:18.039096Z</t>
        </is>
      </c>
      <c r="BI104" s="24" t="inlineStr">
        <is>
          <t>["same_event","same_team_same_day","same_league_same_day"]</t>
        </is>
      </c>
      <c r="BJ104" s="25" t="n"/>
      <c r="BK104" s="26" t="n">
        <v>104</v>
      </c>
      <c r="BL104" s="27" t="n">
        <v>2.04</v>
      </c>
      <c r="BM104" s="28" t="n">
        <v>0.490196</v>
      </c>
      <c r="BN104" s="28" t="n"/>
      <c r="BO104" s="28" t="n"/>
      <c r="BP104" s="25" t="n"/>
      <c r="BQ104" s="27" t="n"/>
      <c r="BR104" s="28" t="n"/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True</t>
        </is>
      </c>
    </row>
    <row r="105" ht="36" customHeight="1">
      <c r="A105" s="24" t="inlineStr">
        <is>
          <t>fb3f04cdc01d491c</t>
        </is>
      </c>
      <c r="B105" s="24" t="inlineStr">
        <is>
          <t>2026-08-07T18:31:20.691239Z</t>
        </is>
      </c>
      <c r="C105" s="24" t="inlineStr">
        <is>
          <t>2026-08-08T17:15:00Z</t>
        </is>
      </c>
      <c r="D105" s="24" t="inlineStr">
        <is>
          <t>73015</t>
        </is>
      </c>
      <c r="E105" s="24" t="inlineStr">
        <is>
          <t>LOL</t>
        </is>
      </c>
      <c r="F105" s="24" t="inlineStr">
        <is>
          <t>GIANTX</t>
        </is>
      </c>
      <c r="G105" s="24" t="inlineStr">
        <is>
          <t>Movistar KOI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-223</v>
      </c>
      <c r="M105" s="27" t="n">
        <v>1.44843</v>
      </c>
      <c r="N105" s="28" t="n">
        <v>0.690402</v>
      </c>
      <c r="O105" s="28" t="n">
        <v>0.564656</v>
      </c>
      <c r="P105" s="28" t="n"/>
      <c r="Q105" s="28" t="n">
        <v>-0.125746</v>
      </c>
      <c r="R105" s="26" t="n">
        <v>0</v>
      </c>
      <c r="S105" s="29" t="n">
        <v>0</v>
      </c>
      <c r="T105" s="24" t="inlineStr">
        <is>
          <t>lol-tiered-elo-v6</t>
        </is>
      </c>
      <c r="U105" s="24" t="inlineStr">
        <is>
          <t>open</t>
        </is>
      </c>
      <c r="V105" s="24" t="n"/>
      <c r="W105" s="26" t="n"/>
      <c r="X105" s="26" t="n"/>
      <c r="Y105" s="25" t="n"/>
      <c r="Z105" s="26" t="n"/>
      <c r="AA105" s="28" t="n"/>
      <c r="AB105" s="28" t="n"/>
      <c r="AC105" s="30" t="n"/>
      <c r="AD105" s="24" t="n"/>
      <c r="AE105" s="31" t="inlineStr">
        <is>
          <t>Neutral Elo baseline; executable ask 0.6900 (market_slug=aec-lol-mkoi-gx-2026-08-08).</t>
        </is>
      </c>
      <c r="AF105" s="31" t="inlineStr">
        <is>
          <t>Config-promoted esports baseline; gates enforced at log time.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research_observation</t>
        </is>
      </c>
      <c r="AL105" s="26" t="n">
        <v>3</v>
      </c>
      <c r="AM105" s="24" t="inlineStr">
        <is>
          <t>RESEARCH_OBSERVATION</t>
        </is>
      </c>
      <c r="AN105" s="24" t="inlineStr">
        <is>
          <t>NO_CALL</t>
        </is>
      </c>
      <c r="AO105" s="24" t="inlineStr">
        <is>
          <t>NO_CALL_WINNER_OVERVALUED</t>
        </is>
      </c>
      <c r="AP105" s="24" t="inlineStr">
        <is>
          <t>GIANTX</t>
        </is>
      </c>
      <c r="AQ105" s="24" t="inlineStr">
        <is>
          <t>GIANTX</t>
        </is>
      </c>
      <c r="AR105" s="24" t="inlineStr">
        <is>
          <t>GIANTX</t>
        </is>
      </c>
      <c r="AS105" s="24" t="inlineStr">
        <is>
          <t>Movistar KOI</t>
        </is>
      </c>
      <c r="AT105" s="24" t="inlineStr">
        <is>
          <t>Movistar KOI</t>
        </is>
      </c>
      <c r="AU105" s="24" t="inlineStr">
        <is>
          <t>Movistar KOI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d3791916ff32605dd2265e280637577dccc694ea8768ae90edb98370e9029821</t>
        </is>
      </c>
      <c r="BB105" s="24" t="inlineStr">
        <is>
          <t>neutral_elo</t>
        </is>
      </c>
      <c r="BC105" s="24" t="inlineStr">
        <is>
          <t>lol-tiered-elo-v6</t>
        </is>
      </c>
      <c r="BD105" s="24" t="inlineStr">
        <is>
          <t>d3791916ff32605dd2265e280637577dccc694ea8768ae90edb98370e9029821</t>
        </is>
      </c>
      <c r="BE105" s="24" t="inlineStr">
        <is>
          <t>1</t>
        </is>
      </c>
      <c r="BF105" s="24" t="inlineStr">
        <is>
          <t>1</t>
        </is>
      </c>
      <c r="BG105" s="24" t="inlineStr">
        <is>
          <t>lol-tiered-elo-v6</t>
        </is>
      </c>
      <c r="BH105" s="24" t="inlineStr">
        <is>
          <t>2026-08-07T18:31:18.546666Z</t>
        </is>
      </c>
      <c r="BI105" s="24" t="inlineStr">
        <is>
          <t>["same_event","same_team_same_day","same_league_same_day"]</t>
        </is>
      </c>
      <c r="BJ105" s="25" t="n"/>
      <c r="BK105" s="26" t="n">
        <v>-223</v>
      </c>
      <c r="BL105" s="27" t="n">
        <v>1.44843</v>
      </c>
      <c r="BM105" s="28" t="n">
        <v>0.690402</v>
      </c>
      <c r="BN105" s="28" t="n"/>
      <c r="BO105" s="28" t="n"/>
      <c r="BP105" s="25" t="n"/>
      <c r="BQ105" s="27" t="n"/>
      <c r="BR105" s="28" t="n"/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False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2026-08-07T18:32:23Z</dcterms:created>
  <dcterms:modified xmlns:dcterms="http://purl.org/dc/terms/" xmlns:xsi="http://www.w3.org/2001/XMLSchema-instance" xsi:type="dcterms:W3CDTF">2026-08-07T18:32:24Z</dcterms:modified>
</cp:coreProperties>
</file>