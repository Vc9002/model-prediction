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86" headerRowCount="1">
  <autoFilter ref="A1:CS8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COUNTA('Picks'!$A$2:$A$86)</f>
        <v/>
      </c>
      <c r="C4" s="6">
        <f>COUNTIF('Picks'!$U$2:$U$86,"open")</f>
        <v/>
      </c>
      <c r="E4" s="6">
        <f>COUNTIF('Picks'!$U$2:$U$86,"settled")</f>
        <v/>
      </c>
      <c r="G4" s="6">
        <f>IF(COUNTIFS('Picks'!$U$2:$U$86,"settled",'Picks'!$V$2:$V$86,"win")+COUNTIFS('Picks'!$U$2:$U$86,"settled",'Picks'!$V$2:$V$86,"loss")&gt;=$L$2,"Ready","Insufficient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COUNTIF('Picks'!$BX$2:$BX$86,"&gt;0")</f>
        <v/>
      </c>
      <c r="C7" s="6">
        <f>COUNTIFS('Picks'!$BX$2:$BX$86,"&gt;0",'Picks'!$V$2:$V$86,"win")&amp;"-"&amp;COUNTIFS('Picks'!$BX$2:$BX$86,"&gt;0",'Picks'!$V$2:$V$86,"loss")</f>
        <v/>
      </c>
      <c r="E7" s="7">
        <f>IFERROR(COUNTIFS('Picks'!$BX$2:$BX$86,"&gt;0",'Picks'!$V$2:$V$86,"win")/(COUNTIFS('Picks'!$BX$2:$BX$86,"&gt;0",'Picks'!$V$2:$V$86,"win")+COUNTIFS('Picks'!$BX$2:$BX$86,"&gt;0",'Picks'!$V$2:$V$86,"loss")),0)</f>
        <v/>
      </c>
      <c r="G7" s="7">
        <f>IFERROR(SUM('Picks'!$BY$2:$BY$86)/SUM('Picks'!$BX$2:$BX$86),0)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SUM('Picks'!$BY$2:$BY$86)</f>
        <v/>
      </c>
      <c r="C10" s="9">
        <f>IFERROR(AVERAGEIF('Picks'!$AB$2:$AB$86,"&lt;&gt;",'Picks'!$AB$2:$AB$86),0)</f>
        <v/>
      </c>
      <c r="E10" s="6">
        <f>COUNTIFS('Picks'!$AM$2:$AM$86,"QUALIFIED_SHADOW_CALL",'Picks'!$U$2:$U$86,"settled")</f>
        <v/>
      </c>
      <c r="G10" s="8">
        <f>SUMIFS('Picks'!$AC$2:$AC$86,'Picks'!$AM$2:$AM$86,"QUALIFIED_SHADOW_CALL")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COUNTIFS('Picks'!$H$2:$H$86,$A14,'Picks'!$U$2:$U$86,"settled")</f>
        <v/>
      </c>
      <c r="C14" s="13">
        <f>COUNTIFS('Picks'!$H$2:$H$86,$A14,'Picks'!$U$2:$U$86,"settled",'Picks'!$V$2:$V$86,"win")</f>
        <v/>
      </c>
      <c r="D14" s="13">
        <f>COUNTIFS('Picks'!$H$2:$H$86,$A14,'Picks'!$U$2:$U$86,"settled",'Picks'!$V$2:$V$86,"loss")</f>
        <v/>
      </c>
      <c r="E14" s="14">
        <f>IFERROR(C14/(C14+D14),0)</f>
        <v/>
      </c>
      <c r="F14" s="15">
        <f>SUMIFS('Picks'!$BY$2:$BY$86,'Picks'!$H$2:$H$86,$A14)</f>
        <v/>
      </c>
      <c r="G14" s="16">
        <f>IFERROR(AVERAGEIFS('Picks'!$AB$2:$AB$86,'Picks'!$H$2:$H$86,$A14,'Picks'!$U$2:$U$86,"settled"),0)</f>
        <v/>
      </c>
    </row>
    <row r="15">
      <c r="A15" s="17" t="inlineStr">
        <is>
          <t>spread</t>
        </is>
      </c>
      <c r="B15" s="18">
        <f>COUNTIFS('Picks'!$H$2:$H$86,$A15,'Picks'!$U$2:$U$86,"settled")</f>
        <v/>
      </c>
      <c r="C15" s="18">
        <f>COUNTIFS('Picks'!$H$2:$H$86,$A15,'Picks'!$U$2:$U$86,"settled",'Picks'!$V$2:$V$86,"win")</f>
        <v/>
      </c>
      <c r="D15" s="18">
        <f>COUNTIFS('Picks'!$H$2:$H$86,$A15,'Picks'!$U$2:$U$86,"settled",'Picks'!$V$2:$V$86,"loss")</f>
        <v/>
      </c>
      <c r="E15" s="19">
        <f>IFERROR(C15/(C15+D15),0)</f>
        <v/>
      </c>
      <c r="F15" s="20">
        <f>SUMIFS('Picks'!$BY$2:$BY$86,'Picks'!$H$2:$H$86,$A15)</f>
        <v/>
      </c>
      <c r="G15" s="21">
        <f>IFERROR(AVERAGEIFS('Picks'!$AB$2:$AB$86,'Picks'!$H$2:$H$86,$A15,'Picks'!$U$2:$U$86,"settled"),0)</f>
        <v/>
      </c>
    </row>
    <row r="16">
      <c r="A16" s="12" t="inlineStr">
        <is>
          <t>total</t>
        </is>
      </c>
      <c r="B16" s="13">
        <f>COUNTIFS('Picks'!$H$2:$H$86,$A16,'Picks'!$U$2:$U$86,"settled")</f>
        <v/>
      </c>
      <c r="C16" s="13">
        <f>COUNTIFS('Picks'!$H$2:$H$86,$A16,'Picks'!$U$2:$U$86,"settled",'Picks'!$V$2:$V$86,"win")</f>
        <v/>
      </c>
      <c r="D16" s="13">
        <f>COUNTIFS('Picks'!$H$2:$H$86,$A16,'Picks'!$U$2:$U$86,"settled",'Picks'!$V$2:$V$86,"loss")</f>
        <v/>
      </c>
      <c r="E16" s="14">
        <f>IFERROR(C16/(C16+D16),0)</f>
        <v/>
      </c>
      <c r="F16" s="15">
        <f>SUMIFS('Picks'!$BY$2:$BY$86,'Picks'!$H$2:$H$86,$A16)</f>
        <v/>
      </c>
      <c r="G16" s="16">
        <f>IFERROR(AVERAGEIFS('Picks'!$AB$2:$AB$86,'Picks'!$H$2:$H$86,$A16,'Picks'!$U$2:$U$86,"settled"),0)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2026-08-04T11:58:03.728171Z</t>
        </is>
      </c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-223</v>
      </c>
      <c r="AA30" s="28" t="n">
        <v>0.6899999999999999</v>
      </c>
      <c r="AB30" s="28" t="n">
        <v>-0.000402</v>
      </c>
      <c r="AC30" s="30" t="n">
        <v>0.6726</v>
      </c>
      <c r="AD30" s="24" t="inlineStr">
        <is>
          <t>2026-08-04T14:03:37.106120Z</t>
        </is>
      </c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>
        <v>1.44843</v>
      </c>
      <c r="BR30" s="28" t="n">
        <v>0.6899999999999999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-170</v>
      </c>
      <c r="AA31" s="28" t="n">
        <v>0.63</v>
      </c>
      <c r="AB31" s="28" t="n">
        <v>0.00037</v>
      </c>
      <c r="AC31" s="30" t="n">
        <v>0.7353</v>
      </c>
      <c r="AD31" s="24" t="inlineStr">
        <is>
          <t>2026-08-04T14:03:38.702339Z</t>
        </is>
      </c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>
        <v>1.588235</v>
      </c>
      <c r="BR31" s="28" t="n">
        <v>0.63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4c360ccf92304cd4</t>
        </is>
      </c>
      <c r="B32" s="24" t="inlineStr">
        <is>
          <t>2026-08-04T15:04:56.339784Z</t>
        </is>
      </c>
      <c r="C32" s="24" t="inlineStr">
        <is>
          <t>2026-08-04T16:00:00Z</t>
        </is>
      </c>
      <c r="D32" s="24" t="inlineStr">
        <is>
          <t>68509</t>
        </is>
      </c>
      <c r="E32" s="24" t="inlineStr">
        <is>
          <t>LOL</t>
        </is>
      </c>
      <c r="F32" s="24" t="inlineStr">
        <is>
          <t>Skillcamp Esport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0.631258</v>
      </c>
      <c r="P32" s="28" t="n"/>
      <c r="Q32" s="28" t="n">
        <v>0.051426</v>
      </c>
      <c r="R32" s="26" t="n">
        <v>46</v>
      </c>
      <c r="S32" s="29" t="n">
        <v>1.5</v>
      </c>
      <c r="T32" s="24" t="inlineStr">
        <is>
          <t>lol-tiered-elo-v5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-1.5</v>
      </c>
      <c r="AD32" s="24" t="inlineStr">
        <is>
          <t>2026-08-04T18:04:33.404399Z</t>
        </is>
      </c>
      <c r="AE32" s="31" t="inlineStr">
        <is>
          <t>Neutral Elo baseline; executable ask 0.5800 (market_slug=aec-lol-ijc-sc-2026-08-04).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Skillcamp Esport</t>
        </is>
      </c>
      <c r="AQ32" s="24" t="inlineStr">
        <is>
          <t>Skillcamp Esport</t>
        </is>
      </c>
      <c r="AR32" s="24" t="inlineStr">
        <is>
          <t>Skillcamp Esport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70926375efdbac84dce8c51337c5a10529e7ee005d64ab556a8536dd0bdf8d2f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70926375efdbac84dce8c51337c5a10529e7ee005d64ab556a8536dd0bdf8d2f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2026-08-04T15:04:19.459782Z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16e38b0f2055496b</t>
        </is>
      </c>
      <c r="B33" s="24" t="inlineStr">
        <is>
          <t>2026-08-04T16:54:52.896251Z</t>
        </is>
      </c>
      <c r="C33" s="24" t="inlineStr">
        <is>
          <t>2026-08-04T17:00:00Z</t>
        </is>
      </c>
      <c r="D33" s="24" t="inlineStr">
        <is>
          <t>70567</t>
        </is>
      </c>
      <c r="E33" s="24" t="inlineStr">
        <is>
          <t>LOL</t>
        </is>
      </c>
      <c r="F33" s="24" t="inlineStr">
        <is>
          <t>Anonymo Esports</t>
        </is>
      </c>
      <c r="G33" s="24" t="inlineStr">
        <is>
          <t>DOCISK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163</v>
      </c>
      <c r="M33" s="27" t="n">
        <v>2.63</v>
      </c>
      <c r="N33" s="28" t="n">
        <v>0.380228</v>
      </c>
      <c r="O33" s="28" t="n">
        <v>0.522312</v>
      </c>
      <c r="P33" s="28" t="n"/>
      <c r="Q33" s="28" t="n">
        <v>0.142084</v>
      </c>
      <c r="R33" s="26" t="n">
        <v>91</v>
      </c>
      <c r="S33" s="29" t="n">
        <v>1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163</v>
      </c>
      <c r="AA33" s="28" t="n">
        <v>0.38</v>
      </c>
      <c r="AB33" s="28" t="n">
        <v>-0.000228</v>
      </c>
      <c r="AC33" s="30" t="n">
        <v>-1</v>
      </c>
      <c r="AD33" s="24" t="inlineStr">
        <is>
          <t>2026-08-04T21:59:44.576139Z</t>
        </is>
      </c>
      <c r="AE33" s="31" t="inlineStr">
        <is>
          <t>Neutral Elo baseline; executable ask 0.3800 (market_slug=aec-lol-doc-ae-2026-08-04).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Anonymo Esports</t>
        </is>
      </c>
      <c r="AQ33" s="24" t="inlineStr">
        <is>
          <t>Anonymo Esports</t>
        </is>
      </c>
      <c r="AR33" s="24" t="inlineStr">
        <is>
          <t>Anonymo Esports</t>
        </is>
      </c>
      <c r="AS33" s="24" t="inlineStr">
        <is>
          <t>DOCISK</t>
        </is>
      </c>
      <c r="AT33" s="24" t="inlineStr">
        <is>
          <t>DOCISK</t>
        </is>
      </c>
      <c r="AU33" s="24" t="inlineStr">
        <is>
          <t>DOCISK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5bcf4e232e6e233164ffd78633a5487d986e0433e7ea70b93f7ff1c53933694d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5bcf4e232e6e233164ffd78633a5487d986e0433e7ea70b93f7ff1c53933694d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2026-08-04T16:54:15.758258Z</t>
        </is>
      </c>
      <c r="BI33" s="24" t="inlineStr">
        <is>
          <t>["same_event","same_team_same_day","same_league_same_day"]</t>
        </is>
      </c>
      <c r="BJ33" s="25" t="n"/>
      <c r="BK33" s="26" t="n">
        <v>163</v>
      </c>
      <c r="BL33" s="27" t="n">
        <v>2.63</v>
      </c>
      <c r="BM33" s="28" t="n">
        <v>0.380228</v>
      </c>
      <c r="BN33" s="28" t="n"/>
      <c r="BO33" s="28" t="n"/>
      <c r="BP33" s="25" t="n"/>
      <c r="BQ33" s="27" t="n">
        <v>2.63</v>
      </c>
      <c r="BR33" s="28" t="n">
        <v>0.38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a7eb426f0acf438c</t>
        </is>
      </c>
      <c r="B34" s="24" t="inlineStr">
        <is>
          <t>2026-08-04T16:54:52.896251Z</t>
        </is>
      </c>
      <c r="C34" s="24" t="inlineStr">
        <is>
          <t>2026-08-04T18:00:00Z</t>
        </is>
      </c>
      <c r="D34" s="24" t="inlineStr">
        <is>
          <t>68690</t>
        </is>
      </c>
      <c r="E34" s="24" t="inlineStr">
        <is>
          <t>LOL</t>
        </is>
      </c>
      <c r="F34" s="24" t="inlineStr">
        <is>
          <t>Lupus Esports</t>
        </is>
      </c>
      <c r="G34" s="24" t="inlineStr">
        <is>
          <t xml:space="preserve">Croatian Flair x RLX 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0.5257230000000001</v>
      </c>
      <c r="P34" s="28" t="n"/>
      <c r="Q34" s="28" t="n">
        <v>-0.013448</v>
      </c>
      <c r="R34" s="26" t="n">
        <v>13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-117</v>
      </c>
      <c r="AA34" s="28" t="n">
        <v>0.54</v>
      </c>
      <c r="AB34" s="28" t="n">
        <v>0.000829</v>
      </c>
      <c r="AC34" s="30" t="n">
        <v>0.8547</v>
      </c>
      <c r="AD34" s="24" t="inlineStr">
        <is>
          <t>2026-08-04T21:59:46.124530Z</t>
        </is>
      </c>
      <c r="AE34" s="31" t="inlineStr">
        <is>
          <t>Neutral Elo baseline; executable ask 0.5400 (market_slug=aec-lol-cfxr-lps-2026-08-04).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Lupus Esports</t>
        </is>
      </c>
      <c r="AQ34" s="24" t="inlineStr">
        <is>
          <t>Lupus Esports</t>
        </is>
      </c>
      <c r="AR34" s="24" t="inlineStr">
        <is>
          <t>Lupus Esports</t>
        </is>
      </c>
      <c r="AS34" s="24" t="inlineStr">
        <is>
          <t xml:space="preserve">Croatian Flair x RLX </t>
        </is>
      </c>
      <c r="AT34" s="24" t="inlineStr">
        <is>
          <t xml:space="preserve">Croatian Flair x RLX </t>
        </is>
      </c>
      <c r="AU34" s="24" t="inlineStr">
        <is>
          <t xml:space="preserve">Croatian Flair x RLX 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5bcf4e232e6e233164ffd78633a5487d986e0433e7ea70b93f7ff1c53933694d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5bcf4e232e6e233164ffd78633a5487d986e0433e7ea70b93f7ff1c53933694d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2026-08-04T16:54:17.856775Z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>
        <v>1.854701</v>
      </c>
      <c r="BR34" s="28" t="n">
        <v>0.54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4c2f3fc7bb604d61</t>
        </is>
      </c>
      <c r="B35" s="24" t="inlineStr">
        <is>
          <t>2026-08-04T16:54:52.896251Z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0.531852</v>
      </c>
      <c r="P35" s="28" t="n"/>
      <c r="Q35" s="28" t="n">
        <v>-0.15855</v>
      </c>
      <c r="R35" s="26" t="n">
        <v>0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-223</v>
      </c>
      <c r="AA35" s="28" t="n">
        <v>0.6899999999999999</v>
      </c>
      <c r="AB35" s="28" t="n">
        <v>-0.000402</v>
      </c>
      <c r="AC35" s="30" t="n">
        <v>0.4484</v>
      </c>
      <c r="AD35" s="24" t="inlineStr">
        <is>
          <t>2026-08-04T21:59:47.648454Z</t>
        </is>
      </c>
      <c r="AE35" s="31" t="inlineStr">
        <is>
          <t>Neutral Elo baseline; executable ask 0.6900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5bcf4e232e6e233164ffd78633a5487d986e0433e7ea70b93f7ff1c53933694d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5bcf4e232e6e233164ffd78633a5487d986e0433e7ea70b93f7ff1c53933694d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2026-08-04T16:54:18.441971Z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/>
      <c r="BO35" s="28" t="n"/>
      <c r="BP35" s="25" t="n"/>
      <c r="BQ35" s="27" t="n">
        <v>1.44843</v>
      </c>
      <c r="BR35" s="28" t="n">
        <v>0.6899999999999999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312fecbe196f42f3</t>
        </is>
      </c>
      <c r="B36" s="24" t="inlineStr">
        <is>
          <t>2026-08-04T16:54:52.896251Z</t>
        </is>
      </c>
      <c r="C36" s="24" t="inlineStr">
        <is>
          <t>2026-08-04T18:00:00Z</t>
        </is>
      </c>
      <c r="D36" s="24" t="inlineStr">
        <is>
          <t>68689</t>
        </is>
      </c>
      <c r="E36" s="24" t="inlineStr">
        <is>
          <t>LOL</t>
        </is>
      </c>
      <c r="F36" s="24" t="inlineStr">
        <is>
          <t>Way Gaming Esports</t>
        </is>
      </c>
      <c r="G36" s="24" t="inlineStr">
        <is>
          <t>Capybara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0.550211</v>
      </c>
      <c r="P36" s="28" t="n"/>
      <c r="Q36" s="28" t="n">
        <v>-0.109653</v>
      </c>
      <c r="R36" s="26" t="n">
        <v>0</v>
      </c>
      <c r="S36" s="29" t="n">
        <v>1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-194</v>
      </c>
      <c r="AA36" s="28" t="n">
        <v>0.66</v>
      </c>
      <c r="AB36" s="28" t="n">
        <v>0.000136</v>
      </c>
      <c r="AC36" s="30" t="n">
        <v>0.5155</v>
      </c>
      <c r="AD36" s="24" t="inlineStr">
        <is>
          <t>2026-08-04T21:59:49.170570Z</t>
        </is>
      </c>
      <c r="AE36" s="31" t="inlineStr">
        <is>
          <t>Neutral Elo baseline; executable ask 0.6600 (market_slug=aec-lol-capy-wge-2026-08-04).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Way Gaming Esports</t>
        </is>
      </c>
      <c r="AQ36" s="24" t="inlineStr">
        <is>
          <t>Way Gaming Esports</t>
        </is>
      </c>
      <c r="AR36" s="24" t="inlineStr">
        <is>
          <t>Way Gaming Esports</t>
        </is>
      </c>
      <c r="AS36" s="24" t="inlineStr">
        <is>
          <t>Capybara Esports</t>
        </is>
      </c>
      <c r="AT36" s="24" t="inlineStr">
        <is>
          <t>Capybara Esports</t>
        </is>
      </c>
      <c r="AU36" s="24" t="inlineStr">
        <is>
          <t>Capybara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5bcf4e232e6e233164ffd78633a5487d986e0433e7ea70b93f7ff1c53933694d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5bcf4e232e6e233164ffd78633a5487d986e0433e7ea70b93f7ff1c53933694d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2026-08-04T16:54:19.015867Z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>
        <v>1.515464</v>
      </c>
      <c r="BR36" s="28" t="n">
        <v>0.66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b6b9be5e88d64498</t>
        </is>
      </c>
      <c r="B37" s="24" t="inlineStr">
        <is>
          <t>2026-08-04T16:54:52.896251Z</t>
        </is>
      </c>
      <c r="C37" s="24" t="inlineStr">
        <is>
          <t>2026-08-04T18:00:00Z</t>
        </is>
      </c>
      <c r="D37" s="24" t="inlineStr">
        <is>
          <t>68688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0.530674</v>
      </c>
      <c r="P37" s="28" t="n"/>
      <c r="Q37" s="28" t="n">
        <v>0.02087</v>
      </c>
      <c r="R37" s="26" t="n">
        <v>30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2026-08-04T21:59:50.731143Z</t>
        </is>
      </c>
      <c r="AE37" s="31" t="inlineStr">
        <is>
          <t>Neutral Elo baseline; executable ask 0.5100 (market_slug=aec-lol-zyb-jl-2026-08-04).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5bcf4e232e6e233164ffd78633a5487d986e0433e7ea70b93f7ff1c53933694d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5bcf4e232e6e233164ffd78633a5487d986e0433e7ea70b93f7ff1c53933694d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2026-08-04T16:54:19.630031Z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3985a2309660461e</t>
        </is>
      </c>
      <c r="B38" s="24" t="inlineStr">
        <is>
          <t>2026-08-04T18:08:50.279200Z</t>
        </is>
      </c>
      <c r="C38" s="24" t="inlineStr">
        <is>
          <t>2026-08-04T20:00:00Z</t>
        </is>
      </c>
      <c r="D38" s="24" t="inlineStr">
        <is>
          <t>69143</t>
        </is>
      </c>
      <c r="E38" s="24" t="inlineStr">
        <is>
          <t>LOL</t>
        </is>
      </c>
      <c r="F38" s="24" t="inlineStr">
        <is>
          <t>Malvinas Gaming</t>
        </is>
      </c>
      <c r="G38" s="24" t="inlineStr">
        <is>
          <t>Maze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0.6271600000000001</v>
      </c>
      <c r="P38" s="28" t="n"/>
      <c r="Q38" s="28" t="n">
        <v>-0.053351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-213</v>
      </c>
      <c r="AA38" s="28" t="n">
        <v>0.68</v>
      </c>
      <c r="AB38" s="28" t="n">
        <v>-0.000511</v>
      </c>
      <c r="AC38" s="30" t="n">
        <v>0.7042</v>
      </c>
      <c r="AD38" s="24" t="inlineStr">
        <is>
          <t>2026-08-05T01:06:23.548766Z</t>
        </is>
      </c>
      <c r="AE38" s="31" t="inlineStr">
        <is>
          <t>Neutral Elo baseline; executable ask 0.6800 (market_slug=aec-lol-maz-mg-2026-08-04).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Malvinas Gaming</t>
        </is>
      </c>
      <c r="AQ38" s="24" t="inlineStr">
        <is>
          <t>Malvinas Gaming</t>
        </is>
      </c>
      <c r="AR38" s="24" t="inlineStr">
        <is>
          <t>Malvinas Gaming</t>
        </is>
      </c>
      <c r="AS38" s="24" t="inlineStr">
        <is>
          <t>Maze Gaming</t>
        </is>
      </c>
      <c r="AT38" s="24" t="inlineStr">
        <is>
          <t>Maze Gaming</t>
        </is>
      </c>
      <c r="AU38" s="24" t="inlineStr">
        <is>
          <t>Maze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581bb511aff842f9af01d132a2c739b65878388c9d1d8f1182f28b3c271e9a2c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581bb511aff842f9af01d132a2c739b65878388c9d1d8f1182f28b3c271e9a2c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2026-08-04T18:08:13.789004Z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>
        <v>1.469484</v>
      </c>
      <c r="BR38" s="28" t="n">
        <v>0.68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bd39184336f843dd</t>
        </is>
      </c>
      <c r="B39" s="24" t="inlineStr">
        <is>
          <t>2026-08-04T18:08:50.279200Z</t>
        </is>
      </c>
      <c r="C39" s="24" t="inlineStr">
        <is>
          <t>2026-08-04T20:00:00Z</t>
        </is>
      </c>
      <c r="D39" s="24" t="inlineStr">
        <is>
          <t>69144</t>
        </is>
      </c>
      <c r="E39" s="24" t="inlineStr">
        <is>
          <t>LOL</t>
        </is>
      </c>
      <c r="F39" s="24" t="inlineStr">
        <is>
          <t>INTZ e-Sports</t>
        </is>
      </c>
      <c r="G39" s="24" t="inlineStr">
        <is>
          <t>Vivo Keyd Stars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122</v>
      </c>
      <c r="M39" s="27" t="n">
        <v>2.22</v>
      </c>
      <c r="N39" s="28" t="n">
        <v>0.45045</v>
      </c>
      <c r="O39" s="28" t="n">
        <v>0.56541</v>
      </c>
      <c r="P39" s="28" t="n"/>
      <c r="Q39" s="28" t="n">
        <v>0.11496</v>
      </c>
      <c r="R39" s="26" t="n">
        <v>77</v>
      </c>
      <c r="S39" s="29" t="n">
        <v>1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122</v>
      </c>
      <c r="AA39" s="28" t="n">
        <v>0.45</v>
      </c>
      <c r="AB39" s="28" t="n">
        <v>-0.00045</v>
      </c>
      <c r="AC39" s="30" t="n">
        <v>-1</v>
      </c>
      <c r="AD39" s="24" t="inlineStr">
        <is>
          <t>2026-08-04T21:59:53.354486Z</t>
        </is>
      </c>
      <c r="AE39" s="31" t="inlineStr">
        <is>
          <t>Neutral Elo baseline; executable ask 0.4500 (market_slug=aec-lol-vksa-itz-2026-08-04).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INTZ e-Sports</t>
        </is>
      </c>
      <c r="AQ39" s="24" t="inlineStr">
        <is>
          <t>INTZ e-Sports</t>
        </is>
      </c>
      <c r="AR39" s="24" t="inlineStr">
        <is>
          <t>INTZ e-Sports</t>
        </is>
      </c>
      <c r="AS39" s="24" t="inlineStr">
        <is>
          <t>Vivo Keyd Stars Academy</t>
        </is>
      </c>
      <c r="AT39" s="24" t="inlineStr">
        <is>
          <t>Vivo Keyd Stars Academy</t>
        </is>
      </c>
      <c r="AU39" s="24" t="inlineStr">
        <is>
          <t>Vivo Keyd Stars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581bb511aff842f9af01d132a2c739b65878388c9d1d8f1182f28b3c271e9a2c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581bb511aff842f9af01d132a2c739b65878388c9d1d8f1182f28b3c271e9a2c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2026-08-04T18:08:14.538966Z</t>
        </is>
      </c>
      <c r="BI39" s="24" t="inlineStr">
        <is>
          <t>["same_event","same_team_same_day","same_league_same_day"]</t>
        </is>
      </c>
      <c r="BJ39" s="25" t="n"/>
      <c r="BK39" s="26" t="n">
        <v>122</v>
      </c>
      <c r="BL39" s="27" t="n">
        <v>2.22</v>
      </c>
      <c r="BM39" s="28" t="n">
        <v>0.45045</v>
      </c>
      <c r="BN39" s="28" t="n"/>
      <c r="BO39" s="28" t="n"/>
      <c r="BP39" s="25" t="n"/>
      <c r="BQ39" s="27" t="n">
        <v>2.22</v>
      </c>
      <c r="BR39" s="28" t="n">
        <v>0.45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64fa4023946d4aeb</t>
        </is>
      </c>
      <c r="B40" s="24" t="inlineStr">
        <is>
          <t>2026-08-04T18:08:50.279200Z</t>
        </is>
      </c>
      <c r="C40" s="24" t="inlineStr">
        <is>
          <t>2026-08-04T20:00:00Z</t>
        </is>
      </c>
      <c r="D40" s="24" t="inlineStr">
        <is>
          <t>69141</t>
        </is>
      </c>
      <c r="E40" s="24" t="inlineStr">
        <is>
          <t>LOL</t>
        </is>
      </c>
      <c r="F40" s="24" t="inlineStr">
        <is>
          <t>Vitality.Bee</t>
        </is>
      </c>
      <c r="G40" s="24" t="inlineStr">
        <is>
          <t>Karmine Corp Blue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-194</v>
      </c>
      <c r="M40" s="27" t="n">
        <v>1.515464</v>
      </c>
      <c r="N40" s="28" t="n">
        <v>0.659864</v>
      </c>
      <c r="O40" s="28" t="n">
        <v>0.663313</v>
      </c>
      <c r="P40" s="28" t="n"/>
      <c r="Q40" s="28" t="n">
        <v>0.003449</v>
      </c>
      <c r="R40" s="26" t="n">
        <v>22</v>
      </c>
      <c r="S40" s="29" t="n">
        <v>1.75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-194</v>
      </c>
      <c r="AA40" s="28" t="n">
        <v>0.66</v>
      </c>
      <c r="AB40" s="28" t="n">
        <v>0.000136</v>
      </c>
      <c r="AC40" s="30" t="n">
        <v>0.9021</v>
      </c>
      <c r="AD40" s="24" t="inlineStr">
        <is>
          <t>2026-08-04T21:59:54.893203Z</t>
        </is>
      </c>
      <c r="AE40" s="31" t="inlineStr">
        <is>
          <t>Neutral Elo baseline; executable ask 0.6600 (market_slug=aec-lol-kcb-vitb-2026-08-04).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Vitality.Bee</t>
        </is>
      </c>
      <c r="AQ40" s="24" t="inlineStr">
        <is>
          <t>Vitality.Bee</t>
        </is>
      </c>
      <c r="AR40" s="24" t="inlineStr">
        <is>
          <t>Vitality.Bee</t>
        </is>
      </c>
      <c r="AS40" s="24" t="inlineStr">
        <is>
          <t>Karmine Corp Blue</t>
        </is>
      </c>
      <c r="AT40" s="24" t="inlineStr">
        <is>
          <t>Karmine Corp Blue</t>
        </is>
      </c>
      <c r="AU40" s="24" t="inlineStr">
        <is>
          <t>Karmine Corp Blue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581bb511aff842f9af01d132a2c739b65878388c9d1d8f1182f28b3c271e9a2c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581bb511aff842f9af01d132a2c739b65878388c9d1d8f1182f28b3c271e9a2c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2026-08-04T18:08:15.286337Z</t>
        </is>
      </c>
      <c r="BI40" s="24" t="inlineStr">
        <is>
          <t>["same_event","same_team_same_day","same_league_same_day"]</t>
        </is>
      </c>
      <c r="BJ40" s="25" t="n"/>
      <c r="BK40" s="26" t="n">
        <v>-194</v>
      </c>
      <c r="BL40" s="27" t="n">
        <v>1.515464</v>
      </c>
      <c r="BM40" s="28" t="n">
        <v>0.659864</v>
      </c>
      <c r="BN40" s="28" t="n"/>
      <c r="BO40" s="28" t="n"/>
      <c r="BP40" s="25" t="n"/>
      <c r="BQ40" s="27" t="n">
        <v>1.515464</v>
      </c>
      <c r="BR40" s="28" t="n">
        <v>0.66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a4b03c6c306f403b</t>
        </is>
      </c>
      <c r="B41" s="24" t="inlineStr">
        <is>
          <t>2026-08-04T18:08:50.279200Z</t>
        </is>
      </c>
      <c r="C41" s="24" t="inlineStr">
        <is>
          <t>2026-08-04T21:00:00Z</t>
        </is>
      </c>
      <c r="D41" s="24" t="inlineStr">
        <is>
          <t>69234</t>
        </is>
      </c>
      <c r="E41" s="24" t="inlineStr">
        <is>
          <t>LOL</t>
        </is>
      </c>
      <c r="F41" s="24" t="inlineStr">
        <is>
          <t>Bubliki</t>
        </is>
      </c>
      <c r="G41" s="24" t="inlineStr">
        <is>
          <t>Francesinhas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0.518543</v>
      </c>
      <c r="P41" s="28" t="n"/>
      <c r="Q41" s="28" t="n">
        <v>0.078014</v>
      </c>
      <c r="R41" s="26" t="n">
        <v>59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127</v>
      </c>
      <c r="AA41" s="28" t="n">
        <v>0.44</v>
      </c>
      <c r="AB41" s="28" t="n">
        <v>-0.000529</v>
      </c>
      <c r="AC41" s="30" t="n">
        <v>-1</v>
      </c>
      <c r="AD41" s="24" t="inlineStr">
        <is>
          <t>2026-08-04T21:59:56.428752Z</t>
        </is>
      </c>
      <c r="AE41" s="31" t="inlineStr">
        <is>
          <t>Neutral Elo baseline; executable ask 0.4400 (market_slug=aec-lol-fcn-bub-2026-08-04).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Bubliki</t>
        </is>
      </c>
      <c r="AQ41" s="24" t="inlineStr">
        <is>
          <t>Bubliki</t>
        </is>
      </c>
      <c r="AR41" s="24" t="inlineStr">
        <is>
          <t>Bubliki</t>
        </is>
      </c>
      <c r="AS41" s="24" t="inlineStr">
        <is>
          <t>Francesinhas</t>
        </is>
      </c>
      <c r="AT41" s="24" t="inlineStr">
        <is>
          <t>Francesinhas</t>
        </is>
      </c>
      <c r="AU41" s="24" t="inlineStr">
        <is>
          <t>Francesinhas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581bb511aff842f9af01d132a2c739b65878388c9d1d8f1182f28b3c271e9a2c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581bb511aff842f9af01d132a2c739b65878388c9d1d8f1182f28b3c271e9a2c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2026-08-04T18:08:16.046088Z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>
        <v>2.27</v>
      </c>
      <c r="BR41" s="28" t="n">
        <v>0.44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7c589802e1654dae</t>
        </is>
      </c>
      <c r="B42" s="24" t="inlineStr">
        <is>
          <t>2026-08-04T18:08:50.279200Z</t>
        </is>
      </c>
      <c r="C42" s="24" t="inlineStr">
        <is>
          <t>2026-08-04T21:00:00Z</t>
        </is>
      </c>
      <c r="D42" s="24" t="inlineStr">
        <is>
          <t>69233</t>
        </is>
      </c>
      <c r="E42" s="24" t="inlineStr">
        <is>
          <t>LOL</t>
        </is>
      </c>
      <c r="F42" s="24" t="inlineStr">
        <is>
          <t>Team Solid</t>
        </is>
      </c>
      <c r="G42" s="24" t="inlineStr">
        <is>
          <t>RED Academy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203</v>
      </c>
      <c r="M42" s="27" t="n">
        <v>3.03</v>
      </c>
      <c r="N42" s="28" t="n">
        <v>0.330033</v>
      </c>
      <c r="O42" s="28" t="n">
        <v>0.552115</v>
      </c>
      <c r="P42" s="28" t="n"/>
      <c r="Q42" s="28" t="n">
        <v>0.222082</v>
      </c>
      <c r="R42" s="26" t="n">
        <v>100</v>
      </c>
      <c r="S42" s="29" t="n">
        <v>1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203</v>
      </c>
      <c r="AA42" s="28" t="n">
        <v>0.33</v>
      </c>
      <c r="AB42" s="28" t="n">
        <v>-3.3e-05</v>
      </c>
      <c r="AC42" s="30" t="n">
        <v>-1</v>
      </c>
      <c r="AD42" s="24" t="inlineStr">
        <is>
          <t>2026-08-05T01:06:26.072414Z</t>
        </is>
      </c>
      <c r="AE42" s="31" t="inlineStr">
        <is>
          <t>Neutral Elo baseline; executable ask 0.3300 (market_slug=aec-lol-reda-tse-2026-08-04).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Solid</t>
        </is>
      </c>
      <c r="AQ42" s="24" t="inlineStr">
        <is>
          <t>Team Solid</t>
        </is>
      </c>
      <c r="AR42" s="24" t="inlineStr">
        <is>
          <t>Team Solid</t>
        </is>
      </c>
      <c r="AS42" s="24" t="inlineStr">
        <is>
          <t>RED Academy</t>
        </is>
      </c>
      <c r="AT42" s="24" t="inlineStr">
        <is>
          <t>RED Academy</t>
        </is>
      </c>
      <c r="AU42" s="24" t="inlineStr">
        <is>
          <t>RED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581bb511aff842f9af01d132a2c739b65878388c9d1d8f1182f28b3c271e9a2c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581bb511aff842f9af01d132a2c739b65878388c9d1d8f1182f28b3c271e9a2c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2026-08-04T18:08:16.814975Z</t>
        </is>
      </c>
      <c r="BI42" s="24" t="inlineStr">
        <is>
          <t>["same_event","same_team_same_day","same_league_same_day"]</t>
        </is>
      </c>
      <c r="BJ42" s="25" t="n"/>
      <c r="BK42" s="26" t="n">
        <v>203</v>
      </c>
      <c r="BL42" s="27" t="n">
        <v>3.03</v>
      </c>
      <c r="BM42" s="28" t="n">
        <v>0.330033</v>
      </c>
      <c r="BN42" s="28" t="n"/>
      <c r="BO42" s="28" t="n"/>
      <c r="BP42" s="25" t="n"/>
      <c r="BQ42" s="27" t="n">
        <v>3.03</v>
      </c>
      <c r="BR42" s="28" t="n">
        <v>0.33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b93c869bd9034b6b</t>
        </is>
      </c>
      <c r="B43" s="24" t="inlineStr">
        <is>
          <t>2026-08-04T18:08:50.279200Z</t>
        </is>
      </c>
      <c r="C43" s="24" t="inlineStr">
        <is>
          <t>2026-08-04T22:00:00Z</t>
        </is>
      </c>
      <c r="D43" s="24" t="inlineStr">
        <is>
          <t>69273</t>
        </is>
      </c>
      <c r="E43" s="24" t="inlineStr">
        <is>
          <t>LOL</t>
        </is>
      </c>
      <c r="F43" s="24" t="inlineStr">
        <is>
          <t>RMD Gaming</t>
        </is>
      </c>
      <c r="G43" s="24" t="inlineStr">
        <is>
          <t>7REX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0.610688</v>
      </c>
      <c r="P43" s="28" t="n"/>
      <c r="Q43" s="28" t="n">
        <v>0.08017199999999999</v>
      </c>
      <c r="R43" s="26" t="n">
        <v>60</v>
      </c>
      <c r="S43" s="29" t="n">
        <v>1.5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1.3274</v>
      </c>
      <c r="AD43" s="24" t="inlineStr">
        <is>
          <t>2026-08-05T01:06:28.260008Z</t>
        </is>
      </c>
      <c r="AE43" s="31" t="inlineStr">
        <is>
          <t>Neutral Elo baseline; executable ask 0.5300 (market_slug=aec-lol-7rex-rmd-2026-08-04).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RMD Gaming</t>
        </is>
      </c>
      <c r="AQ43" s="24" t="inlineStr">
        <is>
          <t>RMD Gaming</t>
        </is>
      </c>
      <c r="AR43" s="24" t="inlineStr">
        <is>
          <t>RMD Gaming</t>
        </is>
      </c>
      <c r="AS43" s="24" t="inlineStr">
        <is>
          <t>7REX</t>
        </is>
      </c>
      <c r="AT43" s="24" t="inlineStr">
        <is>
          <t>7REX</t>
        </is>
      </c>
      <c r="AU43" s="24" t="inlineStr">
        <is>
          <t>7REX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581bb511aff842f9af01d132a2c739b65878388c9d1d8f1182f28b3c271e9a2c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581bb511aff842f9af01d132a2c739b65878388c9d1d8f1182f28b3c271e9a2c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2026-08-04T18:08:17.591273Z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c139e1599b324f74</t>
        </is>
      </c>
      <c r="B44" s="24" t="inlineStr">
        <is>
          <t>2026-08-04T22:03:07.434111Z</t>
        </is>
      </c>
      <c r="C44" s="24" t="inlineStr">
        <is>
          <t>2026-08-04T23:00:00Z</t>
        </is>
      </c>
      <c r="D44" s="24" t="inlineStr">
        <is>
          <t>69304</t>
        </is>
      </c>
      <c r="E44" s="24" t="inlineStr">
        <is>
          <t>LOL</t>
        </is>
      </c>
      <c r="F44" s="24" t="inlineStr">
        <is>
          <t>paiN Gaming Academy</t>
        </is>
      </c>
      <c r="G44" s="24" t="inlineStr">
        <is>
          <t>KaBuM! Ilha das Lendas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0.542093</v>
      </c>
      <c r="P44" s="28" t="n"/>
      <c r="Q44" s="28" t="n">
        <v>0.002922</v>
      </c>
      <c r="R44" s="26" t="n">
        <v>21</v>
      </c>
      <c r="S44" s="29" t="n">
        <v>1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-117</v>
      </c>
      <c r="AA44" s="28" t="n">
        <v>0.54</v>
      </c>
      <c r="AB44" s="28" t="n">
        <v>0.000829</v>
      </c>
      <c r="AC44" s="30" t="n">
        <v>-1</v>
      </c>
      <c r="AD44" s="24" t="inlineStr">
        <is>
          <t>2026-08-05T01:06:31.023142Z</t>
        </is>
      </c>
      <c r="AE44" s="31" t="inlineStr">
        <is>
          <t>Neutral Elo baseline; executable ask 0.5400 (market_slug=aec-lol-kbm-pnga-2026-08-04).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paiN Gaming Academy</t>
        </is>
      </c>
      <c r="AQ44" s="24" t="inlineStr">
        <is>
          <t>paiN Gaming Academy</t>
        </is>
      </c>
      <c r="AR44" s="24" t="inlineStr">
        <is>
          <t>paiN Gaming Academy</t>
        </is>
      </c>
      <c r="AS44" s="24" t="inlineStr">
        <is>
          <t>KaBuM! Ilha das Lendas</t>
        </is>
      </c>
      <c r="AT44" s="24" t="inlineStr">
        <is>
          <t>KaBuM! Ilha das Lendas</t>
        </is>
      </c>
      <c r="AU44" s="24" t="inlineStr">
        <is>
          <t>KaBuM! Ilha das Lendas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97b6e7d388d98e9492a794fb2cdef05114fd516a988a71f95285158326a46434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97b6e7d388d98e9492a794fb2cdef05114fd516a988a71f95285158326a46434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2026-08-04T22:02:38.695907Z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b2a95723c8aa4852</t>
        </is>
      </c>
      <c r="B45" s="24" t="inlineStr">
        <is>
          <t>2026-08-05T04:39:12.089327Z</t>
        </is>
      </c>
      <c r="C45" s="24" t="inlineStr">
        <is>
          <t>2026-08-05T05:00:00Z</t>
        </is>
      </c>
      <c r="D45" s="24" t="inlineStr">
        <is>
          <t>69506</t>
        </is>
      </c>
      <c r="E45" s="24" t="inlineStr">
        <is>
          <t>LOL</t>
        </is>
      </c>
      <c r="F45" s="24" t="inlineStr">
        <is>
          <t>Kiwoom DRX Challengers</t>
        </is>
      </c>
      <c r="G45" s="24" t="inlineStr">
        <is>
          <t>BNK FearX Youth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0.5592200000000001</v>
      </c>
      <c r="P45" s="28" t="n"/>
      <c r="Q45" s="28" t="n">
        <v>0.139052</v>
      </c>
      <c r="R45" s="26" t="n">
        <v>90</v>
      </c>
      <c r="S45" s="29" t="n">
        <v>1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144</v>
      </c>
      <c r="AA45" s="28" t="n">
        <v>0.41</v>
      </c>
      <c r="AB45" s="28" t="n">
        <v>-0.010168</v>
      </c>
      <c r="AC45" s="30" t="n">
        <v>-1</v>
      </c>
      <c r="AD45" s="24" t="inlineStr">
        <is>
          <t>2026-08-05T10:17:46.347305Z</t>
        </is>
      </c>
      <c r="AE45" s="31" t="inlineStr">
        <is>
          <t>Neutral Elo baseline; executable ask 0.4200 (market_slug=aec-lol-foxy-krxc-2026-08-05).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Kiwoom DRX Challengers</t>
        </is>
      </c>
      <c r="AQ45" s="24" t="inlineStr">
        <is>
          <t>Kiwoom DRX Challengers</t>
        </is>
      </c>
      <c r="AR45" s="24" t="inlineStr">
        <is>
          <t>Kiwoom DRX Challengers</t>
        </is>
      </c>
      <c r="AS45" s="24" t="inlineStr">
        <is>
          <t>BNK FearX Youth</t>
        </is>
      </c>
      <c r="AT45" s="24" t="inlineStr">
        <is>
          <t>BNK FearX Youth</t>
        </is>
      </c>
      <c r="AU45" s="24" t="inlineStr">
        <is>
          <t>BNK FearX Youth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9a8d5ad7f045de5eb1cb17aea82bbcf9812b40ca30a6256eba6436fea9a94482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9a8d5ad7f045de5eb1cb17aea82bbcf9812b40ca30a6256eba6436fea9a94482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2026-08-05T04:38:09.799050Z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a8af35d46d754d4b</t>
        </is>
      </c>
      <c r="B46" s="24" t="inlineStr">
        <is>
          <t>2026-08-05T04:39:12.089327Z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0.675544</v>
      </c>
      <c r="P46" s="28" t="n"/>
      <c r="Q46" s="28" t="n">
        <v>0.16574</v>
      </c>
      <c r="R46" s="26" t="n">
        <v>100</v>
      </c>
      <c r="S46" s="29" t="n">
        <v>1.75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-104</v>
      </c>
      <c r="AA46" s="28" t="n">
        <v>0.51</v>
      </c>
      <c r="AB46" s="28" t="n">
        <v>0.000196</v>
      </c>
      <c r="AC46" s="30" t="n">
        <v>1.6827</v>
      </c>
      <c r="AD46" s="24" t="inlineStr">
        <is>
          <t>2026-08-05T10:17:48.746724Z</t>
        </is>
      </c>
      <c r="AE46" s="31" t="inlineStr">
        <is>
          <t>Neutral Elo baseline; executable ask 0.5100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9a8d5ad7f045de5eb1cb17aea82bbcf9812b40ca30a6256eba6436fea9a94482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9a8d5ad7f045de5eb1cb17aea82bbcf9812b40ca30a6256eba6436fea9a94482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2026-08-05T04:38:10.815485Z</t>
        </is>
      </c>
      <c r="BI46" s="24" t="inlineStr">
        <is>
          <t>["same_event","same_team_same_day","same_league_same_day"]</t>
        </is>
      </c>
      <c r="BJ46" s="25" t="n"/>
      <c r="BK46" s="26" t="n">
        <v>-104</v>
      </c>
      <c r="BL46" s="27" t="n">
        <v>1.961538</v>
      </c>
      <c r="BM46" s="28" t="n">
        <v>0.509804</v>
      </c>
      <c r="BN46" s="28" t="n"/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60355cfdd4f64949</t>
        </is>
      </c>
      <c r="B47" s="24" t="inlineStr">
        <is>
          <t>2026-08-05T04:39:12.089327Z</t>
        </is>
      </c>
      <c r="C47" s="24" t="inlineStr">
        <is>
          <t>2026-08-05T08:00:00Z</t>
        </is>
      </c>
      <c r="D47" s="24" t="inlineStr">
        <is>
          <t>69511</t>
        </is>
      </c>
      <c r="E47" s="24" t="inlineStr">
        <is>
          <t>LOL</t>
        </is>
      </c>
      <c r="F47" s="24" t="inlineStr">
        <is>
          <t>New Meta</t>
        </is>
      </c>
      <c r="G47" s="24" t="inlineStr">
        <is>
          <t>FENNEL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0.692195</v>
      </c>
      <c r="P47" s="28" t="n"/>
      <c r="Q47" s="28" t="n">
        <v>0.001793</v>
      </c>
      <c r="R47" s="26" t="n">
        <v>21</v>
      </c>
      <c r="S47" s="29" t="n">
        <v>2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2026-08-05T10:41:19.592577Z</t>
        </is>
      </c>
      <c r="AE47" s="31" t="inlineStr">
        <is>
          <t>Neutral Elo baseline; executable ask 0.6900 (market_slug=aec-lol-fnl-nme-2026-08-05).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New Meta</t>
        </is>
      </c>
      <c r="AQ47" s="24" t="inlineStr">
        <is>
          <t>New Meta</t>
        </is>
      </c>
      <c r="AR47" s="24" t="inlineStr">
        <is>
          <t>New Meta</t>
        </is>
      </c>
      <c r="AS47" s="24" t="inlineStr">
        <is>
          <t>FENNEL</t>
        </is>
      </c>
      <c r="AT47" s="24" t="inlineStr">
        <is>
          <t>FENNEL</t>
        </is>
      </c>
      <c r="AU47" s="24" t="inlineStr">
        <is>
          <t>FENNEL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9a8d5ad7f045de5eb1cb17aea82bbcf9812b40ca30a6256eba6436fea9a94482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9a8d5ad7f045de5eb1cb17aea82bbcf9812b40ca30a6256eba6436fea9a94482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2026-08-05T04:38:12.003217Z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ad28733883f34051</t>
        </is>
      </c>
      <c r="B48" s="24" t="inlineStr">
        <is>
          <t>2026-08-05T04:39:12.089327Z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-233</v>
      </c>
      <c r="M48" s="27" t="n">
        <v>1.429185</v>
      </c>
      <c r="N48" s="28" t="n">
        <v>0.6997</v>
      </c>
      <c r="O48" s="28" t="n">
        <v>0.7818929999999999</v>
      </c>
      <c r="P48" s="28" t="n"/>
      <c r="Q48" s="28" t="n">
        <v>0.082193</v>
      </c>
      <c r="R48" s="26" t="n">
        <v>61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-233</v>
      </c>
      <c r="AA48" s="28" t="n">
        <v>0.7</v>
      </c>
      <c r="AB48" s="28" t="n">
        <v>0.0003</v>
      </c>
      <c r="AC48" s="30" t="n">
        <v>-2</v>
      </c>
      <c r="AD48" s="24" t="inlineStr">
        <is>
          <t>2026-08-05T10:41:21.920279Z</t>
        </is>
      </c>
      <c r="AE48" s="31" t="inlineStr">
        <is>
          <t>Neutral Elo baseline; executable ask 0.7000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9a8d5ad7f045de5eb1cb17aea82bbcf9812b40ca30a6256eba6436fea9a94482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9a8d5ad7f045de5eb1cb17aea82bbcf9812b40ca30a6256eba6436fea9a94482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2026-08-05T04:38:12.947438Z</t>
        </is>
      </c>
      <c r="BI48" s="24" t="inlineStr">
        <is>
          <t>["same_event","same_team_same_day","same_league_same_day"]</t>
        </is>
      </c>
      <c r="BJ48" s="25" t="n"/>
      <c r="BK48" s="26" t="n">
        <v>-233</v>
      </c>
      <c r="BL48" s="27" t="n">
        <v>1.429185</v>
      </c>
      <c r="BM48" s="28" t="n">
        <v>0.6997</v>
      </c>
      <c r="BN48" s="28" t="n"/>
      <c r="BO48" s="28" t="n"/>
      <c r="BP48" s="25" t="n"/>
      <c r="BQ48" s="27" t="n">
        <v>1.429185</v>
      </c>
      <c r="BR48" s="28" t="n">
        <v>0.7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1b6389cb8a3749e3</t>
        </is>
      </c>
      <c r="B49" s="24" t="inlineStr">
        <is>
          <t>2026-08-05T04:39:12.089327Z</t>
        </is>
      </c>
      <c r="C49" s="24" t="inlineStr">
        <is>
          <t>2026-08-05T10:00:00Z</t>
        </is>
      </c>
      <c r="D49" s="24" t="inlineStr">
        <is>
          <t>69539</t>
        </is>
      </c>
      <c r="E49" s="24" t="inlineStr">
        <is>
          <t>LOL</t>
        </is>
      </c>
      <c r="F49" s="24" t="inlineStr">
        <is>
          <t>Gen.G</t>
        </is>
      </c>
      <c r="G49" s="24" t="inlineStr">
        <is>
          <t>Hanwha Life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0.6212029999999999</v>
      </c>
      <c r="P49" s="28" t="n"/>
      <c r="Q49" s="28" t="n">
        <v>0.101972</v>
      </c>
      <c r="R49" s="26" t="n">
        <v>71</v>
      </c>
      <c r="S49" s="29" t="n">
        <v>1.5</v>
      </c>
      <c r="T49" s="24" t="inlineStr">
        <is>
          <t>lol-tiered-elo-v6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0.5200 (market_slug=aec-lol-hle-gen-2026-08-05).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Gen.G</t>
        </is>
      </c>
      <c r="AQ49" s="24" t="inlineStr">
        <is>
          <t>Gen.G</t>
        </is>
      </c>
      <c r="AR49" s="24" t="inlineStr">
        <is>
          <t>Gen.G</t>
        </is>
      </c>
      <c r="AS49" s="24" t="inlineStr">
        <is>
          <t>Hanwha Life Esports</t>
        </is>
      </c>
      <c r="AT49" s="24" t="inlineStr">
        <is>
          <t>Hanwha Life Esports</t>
        </is>
      </c>
      <c r="AU49" s="24" t="inlineStr">
        <is>
          <t>Hanwha Life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9a8d5ad7f045de5eb1cb17aea82bbcf9812b40ca30a6256eba6436fea9a94482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9a8d5ad7f045de5eb1cb17aea82bbcf9812b40ca30a6256eba6436fea9a94482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2026-08-05T04:38:15.141988Z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244e97086bfd444f</t>
        </is>
      </c>
      <c r="B50" s="24" t="inlineStr">
        <is>
          <t>2026-08-05T13:56:43.896254Z</t>
        </is>
      </c>
      <c r="C50" s="24" t="inlineStr">
        <is>
          <t>2026-08-05T16:00:00Z</t>
        </is>
      </c>
      <c r="D50" s="24" t="inlineStr">
        <is>
          <t>69818</t>
        </is>
      </c>
      <c r="E50" s="24" t="inlineStr">
        <is>
          <t>LOL</t>
        </is>
      </c>
      <c r="F50" s="24" t="inlineStr">
        <is>
          <t>Pyramid IV Esports</t>
        </is>
      </c>
      <c r="G50" s="24" t="inlineStr">
        <is>
          <t>JSK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138</v>
      </c>
      <c r="M50" s="27" t="n">
        <v>2.38</v>
      </c>
      <c r="N50" s="28" t="n">
        <v>0.420168</v>
      </c>
      <c r="O50" s="28" t="n">
        <v>0.513767</v>
      </c>
      <c r="P50" s="28" t="n"/>
      <c r="Q50" s="28" t="n">
        <v>0.093599</v>
      </c>
      <c r="R50" s="26" t="n">
        <v>67</v>
      </c>
      <c r="S50" s="29" t="n">
        <v>1</v>
      </c>
      <c r="T50" s="24" t="inlineStr">
        <is>
          <t>lol-tiered-elo-v6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0.4200 (market_slug=aec-lol-jsk-piv-2026-08-05).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Pyramid IV Esports</t>
        </is>
      </c>
      <c r="AQ50" s="24" t="inlineStr">
        <is>
          <t>Pyramid IV Esports</t>
        </is>
      </c>
      <c r="AR50" s="24" t="inlineStr">
        <is>
          <t>Pyramid IV Esports</t>
        </is>
      </c>
      <c r="AS50" s="24" t="inlineStr">
        <is>
          <t>JSK Esports</t>
        </is>
      </c>
      <c r="AT50" s="24" t="inlineStr">
        <is>
          <t>JSK Esports</t>
        </is>
      </c>
      <c r="AU50" s="24" t="inlineStr">
        <is>
          <t>JSK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3b2b7fa569f62411a6dc2753c695e98717a67f225e8074aac963d117b250c28b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3b2b7fa569f62411a6dc2753c695e98717a67f225e8074aac963d117b250c28b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2026-08-05T13:56:11.509518Z</t>
        </is>
      </c>
      <c r="BI50" s="24" t="inlineStr">
        <is>
          <t>["same_event","same_team_same_day","same_league_same_day"]</t>
        </is>
      </c>
      <c r="BJ50" s="25" t="n"/>
      <c r="BK50" s="26" t="n">
        <v>138</v>
      </c>
      <c r="BL50" s="27" t="n">
        <v>2.38</v>
      </c>
      <c r="BM50" s="28" t="n">
        <v>0.420168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00dd5007324144cb</t>
        </is>
      </c>
      <c r="B51" s="24" t="inlineStr">
        <is>
          <t>2026-08-05T13:56:43.896254Z</t>
        </is>
      </c>
      <c r="C51" s="24" t="inlineStr">
        <is>
          <t>2026-08-05T16:00:00Z</t>
        </is>
      </c>
      <c r="D51" s="24" t="inlineStr">
        <is>
          <t>69819</t>
        </is>
      </c>
      <c r="E51" s="24" t="inlineStr">
        <is>
          <t>LOL</t>
        </is>
      </c>
      <c r="F51" s="24" t="inlineStr">
        <is>
          <t>Epic Avalanche</t>
        </is>
      </c>
      <c r="G51" s="24" t="inlineStr">
        <is>
          <t>Brod n Friends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0.530813</v>
      </c>
      <c r="P51" s="28" t="n"/>
      <c r="Q51" s="28" t="n">
        <v>-0.109475</v>
      </c>
      <c r="R51" s="26" t="n">
        <v>0</v>
      </c>
      <c r="S51" s="29" t="n">
        <v>1</v>
      </c>
      <c r="T51" s="24" t="inlineStr">
        <is>
          <t>lol-tiered-elo-v6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0.6400 (market_slug=aec-lol-bnf-ea-2026-08-05).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Epic Avalanche</t>
        </is>
      </c>
      <c r="AQ51" s="24" t="inlineStr">
        <is>
          <t>Epic Avalanche</t>
        </is>
      </c>
      <c r="AR51" s="24" t="inlineStr">
        <is>
          <t>Epic Avalanche</t>
        </is>
      </c>
      <c r="AS51" s="24" t="inlineStr">
        <is>
          <t>Brod n Friends</t>
        </is>
      </c>
      <c r="AT51" s="24" t="inlineStr">
        <is>
          <t>Brod n Friends</t>
        </is>
      </c>
      <c r="AU51" s="24" t="inlineStr">
        <is>
          <t>Brod n Friends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3b2b7fa569f62411a6dc2753c695e98717a67f225e8074aac963d117b250c28b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3b2b7fa569f62411a6dc2753c695e98717a67f225e8074aac963d117b250c28b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2026-08-05T13:56:12.050160Z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e600d12fed3b4a7c</t>
        </is>
      </c>
      <c r="B52" s="24" t="inlineStr">
        <is>
          <t>2026-08-05T13:56:43.896254Z</t>
        </is>
      </c>
      <c r="C52" s="24" t="inlineStr">
        <is>
          <t>2026-08-05T17:00:00Z</t>
        </is>
      </c>
      <c r="D52" s="24" t="inlineStr">
        <is>
          <t>69871</t>
        </is>
      </c>
      <c r="E52" s="24" t="inlineStr">
        <is>
          <t>LOL</t>
        </is>
      </c>
      <c r="F52" s="24" t="inlineStr">
        <is>
          <t>Kaufland Hangry Knights</t>
        </is>
      </c>
      <c r="G52" s="24" t="inlineStr">
        <is>
          <t>TeamOrangeGaming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104</v>
      </c>
      <c r="M52" s="27" t="n">
        <v>2.04</v>
      </c>
      <c r="N52" s="28" t="n">
        <v>0.490196</v>
      </c>
      <c r="O52" s="28" t="n">
        <v>0.54899</v>
      </c>
      <c r="P52" s="28" t="n"/>
      <c r="Q52" s="28" t="n">
        <v>0.058794</v>
      </c>
      <c r="R52" s="26" t="n">
        <v>49</v>
      </c>
      <c r="S52" s="29" t="n">
        <v>1</v>
      </c>
      <c r="T52" s="24" t="inlineStr">
        <is>
          <t>lol-tiered-elo-v6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0.4900 (market_slug=aec-lol-tog-khk-2026-08-05).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Kaufland Hangry Knights</t>
        </is>
      </c>
      <c r="AQ52" s="24" t="inlineStr">
        <is>
          <t>Kaufland Hangry Knights</t>
        </is>
      </c>
      <c r="AR52" s="24" t="inlineStr">
        <is>
          <t>Kaufland Hangry Knights</t>
        </is>
      </c>
      <c r="AS52" s="24" t="inlineStr">
        <is>
          <t>TeamOrangeGaming</t>
        </is>
      </c>
      <c r="AT52" s="24" t="inlineStr">
        <is>
          <t>TeamOrangeGaming</t>
        </is>
      </c>
      <c r="AU52" s="24" t="inlineStr">
        <is>
          <t>TeamOrangeGaming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3b2b7fa569f62411a6dc2753c695e98717a67f225e8074aac963d117b250c28b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3b2b7fa569f62411a6dc2753c695e98717a67f225e8074aac963d117b250c28b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2026-08-05T13:56:13.554249Z</t>
        </is>
      </c>
      <c r="BI52" s="24" t="inlineStr">
        <is>
          <t>["same_event","same_team_same_day","same_league_same_day"]</t>
        </is>
      </c>
      <c r="BJ52" s="25" t="n"/>
      <c r="BK52" s="26" t="n">
        <v>104</v>
      </c>
      <c r="BL52" s="27" t="n">
        <v>2.04</v>
      </c>
      <c r="BM52" s="28" t="n">
        <v>0.490196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d64b7da574c04576</t>
        </is>
      </c>
      <c r="B53" s="24" t="inlineStr">
        <is>
          <t>2026-08-05T13:56:43.896254Z</t>
        </is>
      </c>
      <c r="C53" s="24" t="inlineStr">
        <is>
          <t>2026-08-05T17:00:00Z</t>
        </is>
      </c>
      <c r="D53" s="24" t="inlineStr">
        <is>
          <t>70569</t>
        </is>
      </c>
      <c r="E53" s="24" t="inlineStr">
        <is>
          <t>LOL</t>
        </is>
      </c>
      <c r="F53" s="24" t="inlineStr">
        <is>
          <t>devils.one inStreamly</t>
        </is>
      </c>
      <c r="G53" s="24" t="inlineStr">
        <is>
          <t>BOMBA Team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0.761043</v>
      </c>
      <c r="P53" s="28" t="n"/>
      <c r="Q53" s="28" t="n">
        <v>0.230527</v>
      </c>
      <c r="R53" s="26" t="n">
        <v>100</v>
      </c>
      <c r="S53" s="29" t="n">
        <v>2</v>
      </c>
      <c r="T53" s="24" t="inlineStr">
        <is>
          <t>lol-tiered-elo-v6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0.5300 (market_slug=aec-lol-boom-dv1-2026-08-05).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devils.one inStreamly</t>
        </is>
      </c>
      <c r="AQ53" s="24" t="inlineStr">
        <is>
          <t>devils.one inStreamly</t>
        </is>
      </c>
      <c r="AR53" s="24" t="inlineStr">
        <is>
          <t>devils.one inStreamly</t>
        </is>
      </c>
      <c r="AS53" s="24" t="inlineStr">
        <is>
          <t>BOMBA Team</t>
        </is>
      </c>
      <c r="AT53" s="24" t="inlineStr">
        <is>
          <t>BOMBA Team</t>
        </is>
      </c>
      <c r="AU53" s="24" t="inlineStr">
        <is>
          <t>BOMBA Team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3b2b7fa569f62411a6dc2753c695e98717a67f225e8074aac963d117b250c28b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3b2b7fa569f62411a6dc2753c695e98717a67f225e8074aac963d117b250c28b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2026-08-05T13:56:15.101150Z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ea1a9cb1deda4861</t>
        </is>
      </c>
      <c r="B54" s="24" t="inlineStr">
        <is>
          <t>2026-08-05T13:56:43.896254Z</t>
        </is>
      </c>
      <c r="C54" s="24" t="inlineStr">
        <is>
          <t>2026-08-05T17:30:00Z</t>
        </is>
      </c>
      <c r="D54" s="24" t="inlineStr">
        <is>
          <t>69930</t>
        </is>
      </c>
      <c r="E54" s="24" t="inlineStr">
        <is>
          <t>LOL</t>
        </is>
      </c>
      <c r="F54" s="24" t="inlineStr">
        <is>
          <t>Bushido Wildcats</t>
        </is>
      </c>
      <c r="G54" s="24" t="inlineStr">
        <is>
          <t xml:space="preserve">PCIFIC 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133</v>
      </c>
      <c r="M54" s="27" t="n">
        <v>2.33</v>
      </c>
      <c r="N54" s="28" t="n">
        <v>0.429185</v>
      </c>
      <c r="O54" s="28" t="n">
        <v>0.559679</v>
      </c>
      <c r="P54" s="28" t="n"/>
      <c r="Q54" s="28" t="n">
        <v>0.130494</v>
      </c>
      <c r="R54" s="26" t="n">
        <v>85</v>
      </c>
      <c r="S54" s="29" t="n">
        <v>1</v>
      </c>
      <c r="T54" s="24" t="inlineStr">
        <is>
          <t>lol-tiered-elo-v6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0.4300 (market_slug=aec-lol-pcific-bw-2026-08-05).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Bushido Wildcats</t>
        </is>
      </c>
      <c r="AQ54" s="24" t="inlineStr">
        <is>
          <t>Bushido Wildcats</t>
        </is>
      </c>
      <c r="AR54" s="24" t="inlineStr">
        <is>
          <t>Bushido Wildcats</t>
        </is>
      </c>
      <c r="AS54" s="24" t="inlineStr">
        <is>
          <t xml:space="preserve">PCIFIC </t>
        </is>
      </c>
      <c r="AT54" s="24" t="inlineStr">
        <is>
          <t xml:space="preserve">PCIFIC </t>
        </is>
      </c>
      <c r="AU54" s="24" t="inlineStr">
        <is>
          <t xml:space="preserve">PCIFIC 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3b2b7fa569f62411a6dc2753c695e98717a67f225e8074aac963d117b250c28b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3b2b7fa569f62411a6dc2753c695e98717a67f225e8074aac963d117b250c28b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2026-08-05T13:56:15.697510Z</t>
        </is>
      </c>
      <c r="BI54" s="24" t="inlineStr">
        <is>
          <t>["same_event","same_team_same_day","same_league_same_day"]</t>
        </is>
      </c>
      <c r="BJ54" s="25" t="n"/>
      <c r="BK54" s="26" t="n">
        <v>133</v>
      </c>
      <c r="BL54" s="27" t="n">
        <v>2.33</v>
      </c>
      <c r="BM54" s="28" t="n">
        <v>0.429185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334ee7fa77d041d8</t>
        </is>
      </c>
      <c r="B55" s="24" t="inlineStr">
        <is>
          <t>2026-08-05T13:56:43.896254Z</t>
        </is>
      </c>
      <c r="C55" s="24" t="inlineStr">
        <is>
          <t>2026-08-05T17:30:00Z</t>
        </is>
      </c>
      <c r="D55" s="24" t="inlineStr">
        <is>
          <t>69931</t>
        </is>
      </c>
      <c r="E55" s="24" t="inlineStr">
        <is>
          <t>LOL</t>
        </is>
      </c>
      <c r="F55" s="24" t="inlineStr">
        <is>
          <t>⁠Movistar KOI Fénix</t>
        </is>
      </c>
      <c r="G55" s="24" t="inlineStr">
        <is>
          <t>UCAM Esports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0.598983</v>
      </c>
      <c r="P55" s="28" t="n"/>
      <c r="Q55" s="28" t="n">
        <v>0.118214</v>
      </c>
      <c r="R55" s="26" t="n">
        <v>79</v>
      </c>
      <c r="S55" s="29" t="n">
        <v>1.25</v>
      </c>
      <c r="T55" s="24" t="inlineStr">
        <is>
          <t>lol-tiered-elo-v6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0.4800 (market_slug=aec-lol-ucam-mkf-2026-08-05).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⁠Movistar KOI Fénix</t>
        </is>
      </c>
      <c r="AQ55" s="24" t="inlineStr">
        <is>
          <t>⁠Movistar KOI Fénix</t>
        </is>
      </c>
      <c r="AR55" s="24" t="inlineStr">
        <is>
          <t>⁠Movistar KOI Fénix</t>
        </is>
      </c>
      <c r="AS55" s="24" t="inlineStr">
        <is>
          <t>UCAM Esports Club</t>
        </is>
      </c>
      <c r="AT55" s="24" t="inlineStr">
        <is>
          <t>UCAM Esports Club</t>
        </is>
      </c>
      <c r="AU55" s="24" t="inlineStr">
        <is>
          <t>UCAM Esports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3b2b7fa569f62411a6dc2753c695e98717a67f225e8074aac963d117b250c28b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3b2b7fa569f62411a6dc2753c695e98717a67f225e8074aac963d117b250c28b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2026-08-05T13:56:16.191719Z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02854e5b0ccf499c</t>
        </is>
      </c>
      <c r="B56" s="24" t="inlineStr">
        <is>
          <t>2026-08-05T13:56:43.896254Z</t>
        </is>
      </c>
      <c r="C56" s="24" t="inlineStr">
        <is>
          <t>2026-08-05T18:00:00Z</t>
        </is>
      </c>
      <c r="D56" s="24" t="inlineStr">
        <is>
          <t>69950</t>
        </is>
      </c>
      <c r="E56" s="24" t="inlineStr">
        <is>
          <t>LOL</t>
        </is>
      </c>
      <c r="F56" s="24" t="inlineStr">
        <is>
          <t>Lupus Esports</t>
        </is>
      </c>
      <c r="G56" s="24" t="inlineStr">
        <is>
          <t>SPIKE Syndicate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-133</v>
      </c>
      <c r="M56" s="27" t="n">
        <v>1.75188</v>
      </c>
      <c r="N56" s="28" t="n">
        <v>0.570815</v>
      </c>
      <c r="O56" s="28" t="n">
        <v>0.554999</v>
      </c>
      <c r="P56" s="28" t="n"/>
      <c r="Q56" s="28" t="n">
        <v>-0.015816</v>
      </c>
      <c r="R56" s="26" t="n">
        <v>12</v>
      </c>
      <c r="S56" s="29" t="n">
        <v>1</v>
      </c>
      <c r="T56" s="24" t="inlineStr">
        <is>
          <t>lol-tiered-elo-v6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0.5700 (market_slug=aec-lol-spk-lps-2026-08-05).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Lupus Esports</t>
        </is>
      </c>
      <c r="AQ56" s="24" t="inlineStr">
        <is>
          <t>Lupus Esports</t>
        </is>
      </c>
      <c r="AR56" s="24" t="inlineStr">
        <is>
          <t>Lupus Esports</t>
        </is>
      </c>
      <c r="AS56" s="24" t="inlineStr">
        <is>
          <t>SPIKE Syndicate</t>
        </is>
      </c>
      <c r="AT56" s="24" t="inlineStr">
        <is>
          <t>SPIKE Syndicate</t>
        </is>
      </c>
      <c r="AU56" s="24" t="inlineStr">
        <is>
          <t>SPIKE Syndicate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3b2b7fa569f62411a6dc2753c695e98717a67f225e8074aac963d117b250c28b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3b2b7fa569f62411a6dc2753c695e98717a67f225e8074aac963d117b250c28b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2026-08-05T13:56:16.816487Z</t>
        </is>
      </c>
      <c r="BI56" s="24" t="inlineStr">
        <is>
          <t>["same_event","same_team_same_day","same_league_same_day"]</t>
        </is>
      </c>
      <c r="BJ56" s="25" t="n"/>
      <c r="BK56" s="26" t="n">
        <v>-133</v>
      </c>
      <c r="BL56" s="27" t="n">
        <v>1.75188</v>
      </c>
      <c r="BM56" s="28" t="n">
        <v>0.570815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</row>
    <row r="57" ht="36" customHeight="1">
      <c r="A57" s="24" t="inlineStr">
        <is>
          <t>0b80d9a6fb9c47e7</t>
        </is>
      </c>
      <c r="B57" s="24" t="inlineStr">
        <is>
          <t>2026-08-05T13:56:43.896254Z</t>
        </is>
      </c>
      <c r="C57" s="24" t="inlineStr">
        <is>
          <t>2026-08-05T18:00:00Z</t>
        </is>
      </c>
      <c r="D57" s="24" t="inlineStr">
        <is>
          <t>69951</t>
        </is>
      </c>
      <c r="E57" s="24" t="inlineStr">
        <is>
          <t>LOL</t>
        </is>
      </c>
      <c r="F57" s="24" t="inlineStr">
        <is>
          <t>Rich Gang</t>
        </is>
      </c>
      <c r="G57" s="24" t="inlineStr">
        <is>
          <t>2 Massive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0.511164</v>
      </c>
      <c r="P57" s="28" t="n"/>
      <c r="Q57" s="28" t="n">
        <v>-0.048307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0.5600 (market_slug=aec-lol-mas-rgi-2026-08-05).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Rich Gang</t>
        </is>
      </c>
      <c r="AQ57" s="24" t="inlineStr">
        <is>
          <t>Rich Gang</t>
        </is>
      </c>
      <c r="AR57" s="24" t="inlineStr">
        <is>
          <t>Rich Gang</t>
        </is>
      </c>
      <c r="AS57" s="24" t="inlineStr">
        <is>
          <t>2 Massive</t>
        </is>
      </c>
      <c r="AT57" s="24" t="inlineStr">
        <is>
          <t>2 Massive</t>
        </is>
      </c>
      <c r="AU57" s="24" t="inlineStr">
        <is>
          <t>2 Massive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3b2b7fa569f62411a6dc2753c695e98717a67f225e8074aac963d117b250c28b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3b2b7fa569f62411a6dc2753c695e98717a67f225e8074aac963d117b250c28b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2026-08-05T13:56:17.349853Z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</row>
    <row r="58" ht="36" customHeight="1">
      <c r="A58" s="24" t="inlineStr">
        <is>
          <t>1221baeedb01499c</t>
        </is>
      </c>
      <c r="B58" s="24" t="inlineStr">
        <is>
          <t>2026-08-05T13:56:43.896254Z</t>
        </is>
      </c>
      <c r="C58" s="24" t="inlineStr">
        <is>
          <t>2026-08-05T18:00:00Z</t>
        </is>
      </c>
      <c r="D58" s="24" t="inlineStr">
        <is>
          <t>69948</t>
        </is>
      </c>
      <c r="E58" s="24" t="inlineStr">
        <is>
          <t>LOL</t>
        </is>
      </c>
      <c r="F58" s="24" t="inlineStr">
        <is>
          <t>Solary</t>
        </is>
      </c>
      <c r="G58" s="24" t="inlineStr">
        <is>
          <t>Karmine Corp Blue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203</v>
      </c>
      <c r="M58" s="27" t="n">
        <v>3.03</v>
      </c>
      <c r="N58" s="28" t="n">
        <v>0.330033</v>
      </c>
      <c r="O58" s="28" t="n">
        <v>0.506691</v>
      </c>
      <c r="P58" s="28" t="n"/>
      <c r="Q58" s="28" t="n">
        <v>0.176658</v>
      </c>
      <c r="R58" s="26" t="n">
        <v>100</v>
      </c>
      <c r="S58" s="29" t="n">
        <v>1</v>
      </c>
      <c r="T58" s="24" t="inlineStr">
        <is>
          <t>lol-tiered-elo-v6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0.3300 (market_slug=aec-lol-kcb-sly-2026-08-05).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Solary</t>
        </is>
      </c>
      <c r="AQ58" s="24" t="inlineStr">
        <is>
          <t>Solary</t>
        </is>
      </c>
      <c r="AR58" s="24" t="inlineStr">
        <is>
          <t>Solary</t>
        </is>
      </c>
      <c r="AS58" s="24" t="inlineStr">
        <is>
          <t>Karmine Corp Blue</t>
        </is>
      </c>
      <c r="AT58" s="24" t="inlineStr">
        <is>
          <t>Karmine Corp Blue</t>
        </is>
      </c>
      <c r="AU58" s="24" t="inlineStr">
        <is>
          <t>Karmine Corp Blue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3b2b7fa569f62411a6dc2753c695e98717a67f225e8074aac963d117b250c28b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3b2b7fa569f62411a6dc2753c695e98717a67f225e8074aac963d117b250c28b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2026-08-05T13:56:17.916988Z</t>
        </is>
      </c>
      <c r="BI58" s="24" t="inlineStr">
        <is>
          <t>["same_event","same_team_same_day","same_league_same_day"]</t>
        </is>
      </c>
      <c r="BJ58" s="25" t="n"/>
      <c r="BK58" s="26" t="n">
        <v>203</v>
      </c>
      <c r="BL58" s="27" t="n">
        <v>3.03</v>
      </c>
      <c r="BM58" s="28" t="n">
        <v>0.330033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a46007789896424d</t>
        </is>
      </c>
      <c r="B59" s="24" t="inlineStr">
        <is>
          <t>2026-08-05T13:56:43.896254Z</t>
        </is>
      </c>
      <c r="C59" s="24" t="inlineStr">
        <is>
          <t>2026-08-05T18:00:00Z</t>
        </is>
      </c>
      <c r="D59" s="24" t="inlineStr">
        <is>
          <t>69952</t>
        </is>
      </c>
      <c r="E59" s="24" t="inlineStr">
        <is>
          <t>LOL</t>
        </is>
      </c>
      <c r="F59" s="24" t="inlineStr">
        <is>
          <t>Absolved</t>
        </is>
      </c>
      <c r="G59" s="24" t="inlineStr">
        <is>
          <t>Sørby eSport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-108</v>
      </c>
      <c r="M59" s="27" t="n">
        <v>1.925926</v>
      </c>
      <c r="N59" s="28" t="n">
        <v>0.519231</v>
      </c>
      <c r="O59" s="28" t="n">
        <v>0.515608</v>
      </c>
      <c r="P59" s="28" t="n"/>
      <c r="Q59" s="28" t="n">
        <v>-0.003623</v>
      </c>
      <c r="R59" s="26" t="n">
        <v>18</v>
      </c>
      <c r="S59" s="29" t="n">
        <v>1</v>
      </c>
      <c r="T59" s="24" t="inlineStr">
        <is>
          <t>lol-tiered-elo-v6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0.5200 (market_slug=aec-lol-sre-abs-2026-08-05).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Absolved</t>
        </is>
      </c>
      <c r="AQ59" s="24" t="inlineStr">
        <is>
          <t>Absolved</t>
        </is>
      </c>
      <c r="AR59" s="24" t="inlineStr">
        <is>
          <t>Absolved</t>
        </is>
      </c>
      <c r="AS59" s="24" t="inlineStr">
        <is>
          <t>Sørby eSport</t>
        </is>
      </c>
      <c r="AT59" s="24" t="inlineStr">
        <is>
          <t>Sørby eSport</t>
        </is>
      </c>
      <c r="AU59" s="24" t="inlineStr">
        <is>
          <t>Sørby eSport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3b2b7fa569f62411a6dc2753c695e98717a67f225e8074aac963d117b250c28b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3b2b7fa569f62411a6dc2753c695e98717a67f225e8074aac963d117b250c28b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2026-08-05T13:56:18.398327Z</t>
        </is>
      </c>
      <c r="BI59" s="24" t="inlineStr">
        <is>
          <t>["same_event","same_team_same_day","same_league_same_day"]</t>
        </is>
      </c>
      <c r="BJ59" s="25" t="n"/>
      <c r="BK59" s="26" t="n">
        <v>-108</v>
      </c>
      <c r="BL59" s="27" t="n">
        <v>1.925926</v>
      </c>
      <c r="BM59" s="28" t="n">
        <v>0.519231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cc7b564f763a4aa8</t>
        </is>
      </c>
      <c r="B60" s="24" t="inlineStr">
        <is>
          <t>2026-08-05T13:56:43.896254Z</t>
        </is>
      </c>
      <c r="C60" s="24" t="inlineStr">
        <is>
          <t>2026-08-05T18:00:00Z</t>
        </is>
      </c>
      <c r="D60" s="24" t="inlineStr">
        <is>
          <t>69949</t>
        </is>
      </c>
      <c r="E60" s="24" t="inlineStr">
        <is>
          <t>LOL</t>
        </is>
      </c>
      <c r="F60" s="24" t="inlineStr">
        <is>
          <t>Hyperion</t>
        </is>
      </c>
      <c r="G60" s="24" t="inlineStr">
        <is>
          <t>Dominion Goblins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-108</v>
      </c>
      <c r="M60" s="27" t="n">
        <v>1.925926</v>
      </c>
      <c r="N60" s="28" t="n">
        <v>0.519231</v>
      </c>
      <c r="O60" s="28" t="n">
        <v>0.519527</v>
      </c>
      <c r="P60" s="28" t="n"/>
      <c r="Q60" s="28" t="n">
        <v>0.000296</v>
      </c>
      <c r="R60" s="26" t="n">
        <v>20</v>
      </c>
      <c r="S60" s="29" t="n">
        <v>1</v>
      </c>
      <c r="T60" s="24" t="inlineStr">
        <is>
          <t>lol-tiered-elo-v6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0.5200 (market_slug=aec-lol-domi-hype-2026-08-05).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Hyperion</t>
        </is>
      </c>
      <c r="AQ60" s="24" t="inlineStr">
        <is>
          <t>Hyperion</t>
        </is>
      </c>
      <c r="AR60" s="24" t="inlineStr">
        <is>
          <t>Hyperion</t>
        </is>
      </c>
      <c r="AS60" s="24" t="inlineStr">
        <is>
          <t>Dominion Goblins</t>
        </is>
      </c>
      <c r="AT60" s="24" t="inlineStr">
        <is>
          <t>Dominion Goblins</t>
        </is>
      </c>
      <c r="AU60" s="24" t="inlineStr">
        <is>
          <t>Dominion Goblins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3b2b7fa569f62411a6dc2753c695e98717a67f225e8074aac963d117b250c28b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3b2b7fa569f62411a6dc2753c695e98717a67f225e8074aac963d117b250c28b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2026-08-05T13:56:19.086046Z</t>
        </is>
      </c>
      <c r="BI60" s="24" t="inlineStr">
        <is>
          <t>["same_event","same_team_same_day","same_league_same_day"]</t>
        </is>
      </c>
      <c r="BJ60" s="25" t="n"/>
      <c r="BK60" s="26" t="n">
        <v>-108</v>
      </c>
      <c r="BL60" s="27" t="n">
        <v>1.925926</v>
      </c>
      <c r="BM60" s="28" t="n">
        <v>0.519231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0ea73003b4944980</t>
        </is>
      </c>
      <c r="B61" s="24" t="inlineStr">
        <is>
          <t>2026-08-05T13:56:43.896254Z</t>
        </is>
      </c>
      <c r="C61" s="24" t="inlineStr">
        <is>
          <t>2026-08-05T19:00:00Z</t>
        </is>
      </c>
      <c r="D61" s="24" t="inlineStr">
        <is>
          <t>70045</t>
        </is>
      </c>
      <c r="E61" s="24" t="inlineStr">
        <is>
          <t>LOL</t>
        </is>
      </c>
      <c r="F61" s="24" t="inlineStr">
        <is>
          <t>Ici Japon Corp. Esport</t>
        </is>
      </c>
      <c r="G61" s="24" t="inlineStr">
        <is>
          <t>ZYB Esport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0.598175</v>
      </c>
      <c r="P61" s="28" t="n"/>
      <c r="Q61" s="28" t="n">
        <v>0.147725</v>
      </c>
      <c r="R61" s="26" t="n">
        <v>94</v>
      </c>
      <c r="S61" s="29" t="n">
        <v>1.25</v>
      </c>
      <c r="T61" s="24" t="inlineStr">
        <is>
          <t>lol-tiered-elo-v6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0.4500 (market_slug=aec-lol-zyb-ijc-2026-08-05).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Ici Japon Corp. Esport</t>
        </is>
      </c>
      <c r="AQ61" s="24" t="inlineStr">
        <is>
          <t>Ici Japon Corp. Esport</t>
        </is>
      </c>
      <c r="AR61" s="24" t="inlineStr">
        <is>
          <t>Ici Japon Corp. Esport</t>
        </is>
      </c>
      <c r="AS61" s="24" t="inlineStr">
        <is>
          <t>ZYB Esport</t>
        </is>
      </c>
      <c r="AT61" s="24" t="inlineStr">
        <is>
          <t>ZYB Esport</t>
        </is>
      </c>
      <c r="AU61" s="24" t="inlineStr">
        <is>
          <t>ZYB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3b2b7fa569f62411a6dc2753c695e98717a67f225e8074aac963d117b250c28b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3b2b7fa569f62411a6dc2753c695e98717a67f225e8074aac963d117b250c28b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2026-08-05T13:56:20.348944Z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79aa5a9d72d94085</t>
        </is>
      </c>
      <c r="B62" s="24" t="inlineStr">
        <is>
          <t>2026-08-05T13:56:43.896254Z</t>
        </is>
      </c>
      <c r="C62" s="24" t="inlineStr">
        <is>
          <t>2026-08-05T20:00:00Z</t>
        </is>
      </c>
      <c r="D62" s="24" t="inlineStr">
        <is>
          <t>70301</t>
        </is>
      </c>
      <c r="E62" s="24" t="inlineStr">
        <is>
          <t>LOL</t>
        </is>
      </c>
      <c r="F62" s="24" t="inlineStr">
        <is>
          <t>Skillcamp Esport</t>
        </is>
      </c>
      <c r="G62" s="24" t="inlineStr">
        <is>
          <t>Vitality.Bee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-104</v>
      </c>
      <c r="M62" s="27" t="n">
        <v>1.961538</v>
      </c>
      <c r="N62" s="28" t="n">
        <v>0.509804</v>
      </c>
      <c r="O62" s="28" t="n">
        <v>0.584761</v>
      </c>
      <c r="P62" s="28" t="n"/>
      <c r="Q62" s="28" t="n">
        <v>0.074957</v>
      </c>
      <c r="R62" s="26" t="n">
        <v>57</v>
      </c>
      <c r="S62" s="29" t="n">
        <v>1.25</v>
      </c>
      <c r="T62" s="24" t="inlineStr">
        <is>
          <t>lol-tiered-elo-v6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0.5100 (market_slug=aec-lol-vitb-sc-2026-08-05).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Skillcamp Esport</t>
        </is>
      </c>
      <c r="AQ62" s="24" t="inlineStr">
        <is>
          <t>Skillcamp Esport</t>
        </is>
      </c>
      <c r="AR62" s="24" t="inlineStr">
        <is>
          <t>Skillcamp Esport</t>
        </is>
      </c>
      <c r="AS62" s="24" t="inlineStr">
        <is>
          <t>Vitality.Bee</t>
        </is>
      </c>
      <c r="AT62" s="24" t="inlineStr">
        <is>
          <t>Vitality.Bee</t>
        </is>
      </c>
      <c r="AU62" s="24" t="inlineStr">
        <is>
          <t>Vitality.Bee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3b2b7fa569f62411a6dc2753c695e98717a67f225e8074aac963d117b250c28b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3b2b7fa569f62411a6dc2753c695e98717a67f225e8074aac963d117b250c28b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2026-08-05T13:56:20.853410Z</t>
        </is>
      </c>
      <c r="BI62" s="24" t="inlineStr">
        <is>
          <t>["same_event","same_team_same_day","same_league_same_day"]</t>
        </is>
      </c>
      <c r="BJ62" s="25" t="n"/>
      <c r="BK62" s="26" t="n">
        <v>-104</v>
      </c>
      <c r="BL62" s="27" t="n">
        <v>1.961538</v>
      </c>
      <c r="BM62" s="28" t="n">
        <v>0.509804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524a71f595cf4a80</t>
        </is>
      </c>
      <c r="B63" s="24" t="inlineStr">
        <is>
          <t>2026-08-05T13:56:43.896254Z</t>
        </is>
      </c>
      <c r="C63" s="24" t="inlineStr">
        <is>
          <t>2026-08-05T20:00:00Z</t>
        </is>
      </c>
      <c r="D63" s="24" t="inlineStr">
        <is>
          <t>70302</t>
        </is>
      </c>
      <c r="E63" s="24" t="inlineStr">
        <is>
          <t>LOL</t>
        </is>
      </c>
      <c r="F63" s="24" t="inlineStr">
        <is>
          <t>7REX</t>
        </is>
      </c>
      <c r="G63" s="24" t="inlineStr">
        <is>
          <t>Team Solid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113</v>
      </c>
      <c r="M63" s="27" t="n">
        <v>2.13</v>
      </c>
      <c r="N63" s="28" t="n">
        <v>0.469484</v>
      </c>
      <c r="O63" s="28" t="n">
        <v>0.52275</v>
      </c>
      <c r="P63" s="28" t="n"/>
      <c r="Q63" s="28" t="n">
        <v>0.053266</v>
      </c>
      <c r="R63" s="26" t="n">
        <v>47</v>
      </c>
      <c r="S63" s="29" t="n">
        <v>1</v>
      </c>
      <c r="T63" s="24" t="inlineStr">
        <is>
          <t>lol-tiered-elo-v6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0.4700 (market_slug=aec-lol-tse-7rex-2026-08-05).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7REX</t>
        </is>
      </c>
      <c r="AQ63" s="24" t="inlineStr">
        <is>
          <t>7REX</t>
        </is>
      </c>
      <c r="AR63" s="24" t="inlineStr">
        <is>
          <t>7REX</t>
        </is>
      </c>
      <c r="AS63" s="24" t="inlineStr">
        <is>
          <t>Team Solid</t>
        </is>
      </c>
      <c r="AT63" s="24" t="inlineStr">
        <is>
          <t>Team Solid</t>
        </is>
      </c>
      <c r="AU63" s="24" t="inlineStr">
        <is>
          <t>Team Solid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3b2b7fa569f62411a6dc2753c695e98717a67f225e8074aac963d117b250c28b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3b2b7fa569f62411a6dc2753c695e98717a67f225e8074aac963d117b250c28b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2026-08-05T13:56:21.335184Z</t>
        </is>
      </c>
      <c r="BI63" s="24" t="inlineStr">
        <is>
          <t>["same_event","same_team_same_day","same_league_same_day"]</t>
        </is>
      </c>
      <c r="BJ63" s="25" t="n"/>
      <c r="BK63" s="26" t="n">
        <v>113</v>
      </c>
      <c r="BL63" s="27" t="n">
        <v>2.13</v>
      </c>
      <c r="BM63" s="28" t="n">
        <v>0.469484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f8aeec43779a4395</t>
        </is>
      </c>
      <c r="B64" s="24" t="inlineStr">
        <is>
          <t>2026-08-05T13:56:43.896254Z</t>
        </is>
      </c>
      <c r="C64" s="24" t="inlineStr">
        <is>
          <t>2026-08-05T21:00:00Z</t>
        </is>
      </c>
      <c r="D64" s="24" t="inlineStr">
        <is>
          <t>70349</t>
        </is>
      </c>
      <c r="E64" s="24" t="inlineStr">
        <is>
          <t>LOL</t>
        </is>
      </c>
      <c r="F64" s="24" t="inlineStr">
        <is>
          <t>Winthrop University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-170</v>
      </c>
      <c r="M64" s="27" t="n">
        <v>1.588235</v>
      </c>
      <c r="N64" s="28" t="n">
        <v>0.62963</v>
      </c>
      <c r="O64" s="28" t="n">
        <v>0.670593</v>
      </c>
      <c r="P64" s="28" t="n"/>
      <c r="Q64" s="28" t="n">
        <v>0.040963</v>
      </c>
      <c r="R64" s="26" t="n">
        <v>40</v>
      </c>
      <c r="S64" s="29" t="n">
        <v>1.75</v>
      </c>
      <c r="T64" s="24" t="inlineStr">
        <is>
          <t>lol-tiered-elo-v6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0.6300 (market_slug=aec-lol-blue-wu-2026-08-05).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Winthrop University</t>
        </is>
      </c>
      <c r="AQ64" s="24" t="inlineStr">
        <is>
          <t>Winthrop University</t>
        </is>
      </c>
      <c r="AR64" s="24" t="inlineStr">
        <is>
          <t>Winthrop University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3b2b7fa569f62411a6dc2753c695e98717a67f225e8074aac963d117b250c28b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3b2b7fa569f62411a6dc2753c695e98717a67f225e8074aac963d117b250c28b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2026-08-05T13:56:22.599351Z</t>
        </is>
      </c>
      <c r="BI64" s="24" t="inlineStr">
        <is>
          <t>["same_event","same_team_same_day","same_league_same_day"]</t>
        </is>
      </c>
      <c r="BJ64" s="25" t="n"/>
      <c r="BK64" s="26" t="n">
        <v>-170</v>
      </c>
      <c r="BL64" s="27" t="n">
        <v>1.588235</v>
      </c>
      <c r="BM64" s="28" t="n">
        <v>0.62963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30f259327ee24786</t>
        </is>
      </c>
      <c r="B65" s="24" t="inlineStr">
        <is>
          <t>2026-08-05T13:56:43.896254Z</t>
        </is>
      </c>
      <c r="C65" s="24" t="inlineStr">
        <is>
          <t>2026-08-05T21:00:00Z</t>
        </is>
      </c>
      <c r="D65" s="24" t="inlineStr">
        <is>
          <t>70348</t>
        </is>
      </c>
      <c r="E65" s="24" t="inlineStr">
        <is>
          <t>LOL</t>
        </is>
      </c>
      <c r="F65" s="24" t="inlineStr">
        <is>
          <t>White Dragons</t>
        </is>
      </c>
      <c r="G65" s="24" t="inlineStr">
        <is>
          <t>NORTHERNGRADE ESPORTS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0.503441</v>
      </c>
      <c r="P65" s="28" t="n"/>
      <c r="Q65" s="28" t="n">
        <v>0.013245</v>
      </c>
      <c r="R65" s="26" t="n">
        <v>27</v>
      </c>
      <c r="S65" s="29" t="n">
        <v>1</v>
      </c>
      <c r="T65" s="24" t="inlineStr">
        <is>
          <t>lol-tiered-elo-v6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0.4900 (market_slug=aec-lol-nort-wd-2026-08-05).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White Dragons</t>
        </is>
      </c>
      <c r="AQ65" s="24" t="inlineStr">
        <is>
          <t>White Dragons</t>
        </is>
      </c>
      <c r="AR65" s="24" t="inlineStr">
        <is>
          <t>White Dragons</t>
        </is>
      </c>
      <c r="AS65" s="24" t="inlineStr">
        <is>
          <t>NORTHERNGRADE ESPORTS</t>
        </is>
      </c>
      <c r="AT65" s="24" t="inlineStr">
        <is>
          <t>NORTHERNGRADE ESPORTS</t>
        </is>
      </c>
      <c r="AU65" s="24" t="inlineStr">
        <is>
          <t>NORTHERNGRADE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3b2b7fa569f62411a6dc2753c695e98717a67f225e8074aac963d117b250c28b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3b2b7fa569f62411a6dc2753c695e98717a67f225e8074aac963d117b250c28b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2026-08-05T13:56:23.085592Z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10dd5479febd4f3b</t>
        </is>
      </c>
      <c r="B66" s="24" t="inlineStr">
        <is>
          <t>2026-08-05T13:56:43.896254Z</t>
        </is>
      </c>
      <c r="C66" s="24" t="inlineStr">
        <is>
          <t>2026-08-05T22:00:00Z</t>
        </is>
      </c>
      <c r="D66" s="24" t="inlineStr">
        <is>
          <t>70379</t>
        </is>
      </c>
      <c r="E66" s="24" t="inlineStr">
        <is>
          <t>LOL</t>
        </is>
      </c>
      <c r="F66" s="24" t="inlineStr">
        <is>
          <t>KaBuM! Ilha das Lendas</t>
        </is>
      </c>
      <c r="G66" s="24" t="inlineStr">
        <is>
          <t>Ei Nerd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0.616429</v>
      </c>
      <c r="P66" s="28" t="n"/>
      <c r="Q66" s="28" t="n">
        <v>0.1759</v>
      </c>
      <c r="R66" s="26" t="n">
        <v>100</v>
      </c>
      <c r="S66" s="29" t="n">
        <v>1.5</v>
      </c>
      <c r="T66" s="24" t="inlineStr">
        <is>
          <t>lol-tiered-elo-v6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0.4400 (market_slug=aec-lol-nerd-kbm-2026-08-05).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KaBuM! Ilha das Lendas</t>
        </is>
      </c>
      <c r="AQ66" s="24" t="inlineStr">
        <is>
          <t>KaBuM! Ilha das Lendas</t>
        </is>
      </c>
      <c r="AR66" s="24" t="inlineStr">
        <is>
          <t>KaBuM! Ilha das Lendas</t>
        </is>
      </c>
      <c r="AS66" s="24" t="inlineStr">
        <is>
          <t>Ei Nerd Esports</t>
        </is>
      </c>
      <c r="AT66" s="24" t="inlineStr">
        <is>
          <t>Ei Nerd Esports</t>
        </is>
      </c>
      <c r="AU66" s="24" t="inlineStr">
        <is>
          <t>Ei Nerd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3b2b7fa569f62411a6dc2753c695e98717a67f225e8074aac963d117b250c28b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3b2b7fa569f62411a6dc2753c695e98717a67f225e8074aac963d117b250c28b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2026-08-05T13:56:23.555880Z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3a7524f6209d4fe1</t>
        </is>
      </c>
      <c r="B67" s="24" t="inlineStr">
        <is>
          <t>2026-08-05T13:56:43.896254Z</t>
        </is>
      </c>
      <c r="C67" s="24" t="inlineStr">
        <is>
          <t>2026-08-06T00:00:00Z</t>
        </is>
      </c>
      <c r="D67" s="24" t="inlineStr">
        <is>
          <t>70453</t>
        </is>
      </c>
      <c r="E67" s="24" t="inlineStr">
        <is>
          <t>LOL</t>
        </is>
      </c>
      <c r="F67" s="24" t="inlineStr">
        <is>
          <t>paiN Gaming Academy</t>
        </is>
      </c>
      <c r="G67" s="24" t="inlineStr">
        <is>
          <t>INTZ e-Sports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0.501166</v>
      </c>
      <c r="P67" s="28" t="n"/>
      <c r="Q67" s="28" t="n">
        <v>-0.018065</v>
      </c>
      <c r="R67" s="26" t="n">
        <v>11</v>
      </c>
      <c r="S67" s="29" t="n">
        <v>1</v>
      </c>
      <c r="T67" s="24" t="inlineStr">
        <is>
          <t>lol-tiered-elo-v6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0.5200 (market_slug=aec-lol-itz-pnga-2026-08-06).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paiN Gaming Academy</t>
        </is>
      </c>
      <c r="AQ67" s="24" t="inlineStr">
        <is>
          <t>paiN Gaming Academy</t>
        </is>
      </c>
      <c r="AR67" s="24" t="inlineStr">
        <is>
          <t>paiN Gaming Academy</t>
        </is>
      </c>
      <c r="AS67" s="24" t="inlineStr">
        <is>
          <t>INTZ e-Sports</t>
        </is>
      </c>
      <c r="AT67" s="24" t="inlineStr">
        <is>
          <t>INTZ e-Sports</t>
        </is>
      </c>
      <c r="AU67" s="24" t="inlineStr">
        <is>
          <t>INTZ e-Sports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3b2b7fa569f62411a6dc2753c695e98717a67f225e8074aac963d117b250c28b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3b2b7fa569f62411a6dc2753c695e98717a67f225e8074aac963d117b250c28b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2026-08-05T13:56:24.877539Z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3d411f35637542e8</t>
        </is>
      </c>
      <c r="B68" s="24" t="inlineStr">
        <is>
          <t>2026-08-05T13:56:43.896254Z</t>
        </is>
      </c>
      <c r="C68" s="24" t="inlineStr">
        <is>
          <t>2026-08-06T00:00:00Z</t>
        </is>
      </c>
      <c r="D68" s="24" t="inlineStr">
        <is>
          <t>70454</t>
        </is>
      </c>
      <c r="E68" s="24" t="inlineStr">
        <is>
          <t>LOL</t>
        </is>
      </c>
      <c r="F68" s="24" t="inlineStr">
        <is>
          <t>Cupid Esports</t>
        </is>
      </c>
      <c r="G68" s="24" t="inlineStr">
        <is>
          <t>NRG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-117</v>
      </c>
      <c r="M68" s="27" t="n">
        <v>1.854701</v>
      </c>
      <c r="N68" s="28" t="n">
        <v>0.539171</v>
      </c>
      <c r="O68" s="28" t="n">
        <v>0.517701</v>
      </c>
      <c r="P68" s="28" t="n"/>
      <c r="Q68" s="28" t="n">
        <v>-0.02147</v>
      </c>
      <c r="R68" s="26" t="n">
        <v>9</v>
      </c>
      <c r="S68" s="29" t="n">
        <v>1</v>
      </c>
      <c r="T68" s="24" t="inlineStr">
        <is>
          <t>lol-tiered-elo-v6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0.5400 (market_slug=aec-lol-nrg-cpd-2026-08-06).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Cupid Esports</t>
        </is>
      </c>
      <c r="AQ68" s="24" t="inlineStr">
        <is>
          <t>Cupid Esports</t>
        </is>
      </c>
      <c r="AR68" s="24" t="inlineStr">
        <is>
          <t>Cupid Esports</t>
        </is>
      </c>
      <c r="AS68" s="24" t="inlineStr">
        <is>
          <t>NRG Esports</t>
        </is>
      </c>
      <c r="AT68" s="24" t="inlineStr">
        <is>
          <t>NRG Esports</t>
        </is>
      </c>
      <c r="AU68" s="24" t="inlineStr">
        <is>
          <t>NRG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3b2b7fa569f62411a6dc2753c695e98717a67f225e8074aac963d117b250c28b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3b2b7fa569f62411a6dc2753c695e98717a67f225e8074aac963d117b250c28b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2026-08-05T13:56:25.480320Z</t>
        </is>
      </c>
      <c r="BI68" s="24" t="inlineStr">
        <is>
          <t>["same_event","same_team_same_day","same_league_same_day"]</t>
        </is>
      </c>
      <c r="BJ68" s="25" t="n"/>
      <c r="BK68" s="26" t="n">
        <v>-117</v>
      </c>
      <c r="BL68" s="27" t="n">
        <v>1.854701</v>
      </c>
      <c r="BM68" s="28" t="n">
        <v>0.539171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</row>
    <row r="69" ht="36" customHeight="1">
      <c r="A69" s="24" t="inlineStr">
        <is>
          <t>dc3869dd1c354276</t>
        </is>
      </c>
      <c r="B69" s="24" t="inlineStr">
        <is>
          <t>2026-08-05T13:56:43.896254Z</t>
        </is>
      </c>
      <c r="C69" s="24" t="inlineStr">
        <is>
          <t>2026-08-06T07:00:00Z</t>
        </is>
      </c>
      <c r="D69" s="24" t="inlineStr">
        <is>
          <t>70560</t>
        </is>
      </c>
      <c r="E69" s="24" t="inlineStr">
        <is>
          <t>LOL</t>
        </is>
      </c>
      <c r="F69" s="24" t="inlineStr">
        <is>
          <t>ThunderTalk Gaming</t>
        </is>
      </c>
      <c r="G69" s="24" t="inlineStr">
        <is>
          <t>LGD Gaming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0.6021260000000001</v>
      </c>
      <c r="P69" s="28" t="n"/>
      <c r="Q69" s="28" t="n">
        <v>0.092322</v>
      </c>
      <c r="R69" s="26" t="n">
        <v>66</v>
      </c>
      <c r="S69" s="29" t="n">
        <v>1.25</v>
      </c>
      <c r="T69" s="24" t="inlineStr">
        <is>
          <t>lol-tiered-elo-v6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0.5100 (market_slug=aec-lol-lgd-tt-2026-08-06).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ThunderTalk Gaming</t>
        </is>
      </c>
      <c r="AQ69" s="24" t="inlineStr">
        <is>
          <t>ThunderTalk Gaming</t>
        </is>
      </c>
      <c r="AR69" s="24" t="inlineStr">
        <is>
          <t>ThunderTalk Gaming</t>
        </is>
      </c>
      <c r="AS69" s="24" t="inlineStr">
        <is>
          <t>LGD Gaming</t>
        </is>
      </c>
      <c r="AT69" s="24" t="inlineStr">
        <is>
          <t>LGD Gaming</t>
        </is>
      </c>
      <c r="AU69" s="24" t="inlineStr">
        <is>
          <t>LGD Gaming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3b2b7fa569f62411a6dc2753c695e98717a67f225e8074aac963d117b250c28b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3b2b7fa569f62411a6dc2753c695e98717a67f225e8074aac963d117b250c28b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2026-08-05T13:56:26.928954Z</t>
        </is>
      </c>
      <c r="BI69" s="24" t="inlineStr">
        <is>
          <t>["same_event","same_team_same_day","same_league_same_day"]</t>
        </is>
      </c>
      <c r="BJ69" s="25" t="n"/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453181e81f714d23</t>
        </is>
      </c>
      <c r="B70" s="24" t="inlineStr">
        <is>
          <t>2026-08-05T13:56:43.896254Z</t>
        </is>
      </c>
      <c r="C70" s="24" t="inlineStr">
        <is>
          <t>2026-08-06T08:00:00Z</t>
        </is>
      </c>
      <c r="D70" s="24" t="inlineStr">
        <is>
          <t>70563</t>
        </is>
      </c>
      <c r="E70" s="24" t="inlineStr">
        <is>
          <t>LOL</t>
        </is>
      </c>
      <c r="F70" s="24" t="inlineStr">
        <is>
          <t>DN SOOPers</t>
        </is>
      </c>
      <c r="G70" s="24" t="inlineStr">
        <is>
          <t>Kiwoom DRX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-213</v>
      </c>
      <c r="M70" s="27" t="n">
        <v>1.469484</v>
      </c>
      <c r="N70" s="28" t="n">
        <v>0.680511</v>
      </c>
      <c r="O70" s="28" t="n">
        <v>0.630332</v>
      </c>
      <c r="P70" s="28" t="n"/>
      <c r="Q70" s="28" t="n">
        <v>-0.050179</v>
      </c>
      <c r="R70" s="26" t="n">
        <v>0</v>
      </c>
      <c r="S70" s="29" t="n">
        <v>1.5</v>
      </c>
      <c r="T70" s="24" t="inlineStr">
        <is>
          <t>lol-tiered-elo-v6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0.6800 (market_slug=aec-lol-krx-dns-2026-08-06).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DN SOOPers</t>
        </is>
      </c>
      <c r="AQ70" s="24" t="inlineStr">
        <is>
          <t>DN SOOPers</t>
        </is>
      </c>
      <c r="AR70" s="24" t="inlineStr">
        <is>
          <t>DN SOOPers</t>
        </is>
      </c>
      <c r="AS70" s="24" t="inlineStr">
        <is>
          <t>Kiwoom DRX</t>
        </is>
      </c>
      <c r="AT70" s="24" t="inlineStr">
        <is>
          <t>Kiwoom DRX</t>
        </is>
      </c>
      <c r="AU70" s="24" t="inlineStr">
        <is>
          <t>Kiwoom DRX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3b2b7fa569f62411a6dc2753c695e98717a67f225e8074aac963d117b250c28b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3b2b7fa569f62411a6dc2753c695e98717a67f225e8074aac963d117b250c28b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2026-08-05T13:56:27.626295Z</t>
        </is>
      </c>
      <c r="BI70" s="24" t="inlineStr">
        <is>
          <t>["same_event","same_team_same_day","same_league_same_day"]</t>
        </is>
      </c>
      <c r="BJ70" s="25" t="n"/>
      <c r="BK70" s="26" t="n">
        <v>-213</v>
      </c>
      <c r="BL70" s="27" t="n">
        <v>1.469484</v>
      </c>
      <c r="BM70" s="28" t="n">
        <v>0.680511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2c2dc68a422045ed</t>
        </is>
      </c>
      <c r="B71" s="24" t="inlineStr">
        <is>
          <t>2026-08-05T13:56:43.896254Z</t>
        </is>
      </c>
      <c r="C71" s="24" t="inlineStr">
        <is>
          <t>2026-08-06T09:00:00Z</t>
        </is>
      </c>
      <c r="D71" s="24" t="inlineStr">
        <is>
          <t>70573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Fukuoka SoftBank Hawks Gaming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144</v>
      </c>
      <c r="M71" s="27" t="n">
        <v>2.44</v>
      </c>
      <c r="N71" s="28" t="n">
        <v>0.409836</v>
      </c>
      <c r="O71" s="28" t="n">
        <v>0.678118</v>
      </c>
      <c r="P71" s="28" t="n"/>
      <c r="Q71" s="28" t="n">
        <v>0.268282</v>
      </c>
      <c r="R71" s="26" t="n">
        <v>100</v>
      </c>
      <c r="S71" s="29" t="n">
        <v>1.75</v>
      </c>
      <c r="T71" s="24" t="inlineStr">
        <is>
          <t>lol-tiered-elo-v6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0.4100 (market_slug=aec-lol-shg-gz-2026-08-06).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Fukuoka SoftBank Hawks Gaming</t>
        </is>
      </c>
      <c r="AT71" s="24" t="inlineStr">
        <is>
          <t>Fukuoka SoftBank Hawks Gaming</t>
        </is>
      </c>
      <c r="AU71" s="24" t="inlineStr">
        <is>
          <t>Fukuoka SoftBank Hawks Gaming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3b2b7fa569f62411a6dc2753c695e98717a67f225e8074aac963d117b250c28b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3b2b7fa569f62411a6dc2753c695e98717a67f225e8074aac963d117b250c28b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2026-08-05T13:56:28.210290Z</t>
        </is>
      </c>
      <c r="BI71" s="24" t="inlineStr">
        <is>
          <t>["same_event","same_team_same_day","same_league_same_day"]</t>
        </is>
      </c>
      <c r="BJ71" s="25" t="n"/>
      <c r="BK71" s="26" t="n">
        <v>144</v>
      </c>
      <c r="BL71" s="27" t="n">
        <v>2.44</v>
      </c>
      <c r="BM71" s="28" t="n">
        <v>0.409836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73bd27b85249459b</t>
        </is>
      </c>
      <c r="B72" s="24" t="inlineStr">
        <is>
          <t>2026-08-05T13:56:43.896254Z</t>
        </is>
      </c>
      <c r="C72" s="24" t="inlineStr">
        <is>
          <t>2026-08-06T09:00:00Z</t>
        </is>
      </c>
      <c r="D72" s="24" t="inlineStr">
        <is>
          <t>70574</t>
        </is>
      </c>
      <c r="E72" s="24" t="inlineStr">
        <is>
          <t>LOL</t>
        </is>
      </c>
      <c r="F72" s="24" t="inlineStr">
        <is>
          <t>Ninjas in Pyjamas</t>
        </is>
      </c>
      <c r="G72" s="24" t="inlineStr">
        <is>
          <t>Invictus Gaming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150</v>
      </c>
      <c r="M72" s="27" t="n">
        <v>2.5</v>
      </c>
      <c r="N72" s="28" t="n">
        <v>0.4</v>
      </c>
      <c r="O72" s="28" t="n">
        <v>0.509796</v>
      </c>
      <c r="P72" s="28" t="n"/>
      <c r="Q72" s="28" t="n">
        <v>0.109796</v>
      </c>
      <c r="R72" s="26" t="n">
        <v>75</v>
      </c>
      <c r="S72" s="29" t="n">
        <v>1</v>
      </c>
      <c r="T72" s="24" t="inlineStr">
        <is>
          <t>lol-tiered-elo-v6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0.4000 (market_slug=aec-lol-ig-nip-2026-08-06).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Ninjas in Pyjamas</t>
        </is>
      </c>
      <c r="AQ72" s="24" t="inlineStr">
        <is>
          <t>Ninjas in Pyjamas</t>
        </is>
      </c>
      <c r="AR72" s="24" t="inlineStr">
        <is>
          <t>Ninjas in Pyjamas</t>
        </is>
      </c>
      <c r="AS72" s="24" t="inlineStr">
        <is>
          <t>Invictus Gaming</t>
        </is>
      </c>
      <c r="AT72" s="24" t="inlineStr">
        <is>
          <t>Invictus Gaming</t>
        </is>
      </c>
      <c r="AU72" s="24" t="inlineStr">
        <is>
          <t>Invictus Gaming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3b2b7fa569f62411a6dc2753c695e98717a67f225e8074aac963d117b250c28b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3b2b7fa569f62411a6dc2753c695e98717a67f225e8074aac963d117b250c28b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2026-08-05T13:56:28.798597Z</t>
        </is>
      </c>
      <c r="BI72" s="24" t="inlineStr">
        <is>
          <t>["same_event","same_team_same_day","same_league_same_day"]</t>
        </is>
      </c>
      <c r="BJ72" s="25" t="n"/>
      <c r="BK72" s="26" t="n">
        <v>150</v>
      </c>
      <c r="BL72" s="27" t="n">
        <v>2.5</v>
      </c>
      <c r="BM72" s="28" t="n">
        <v>0.4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a04f986f516f4ccd</t>
        </is>
      </c>
      <c r="B73" s="24" t="inlineStr">
        <is>
          <t>2026-08-05T13:56:43.896254Z</t>
        </is>
      </c>
      <c r="C73" s="24" t="inlineStr">
        <is>
          <t>2026-08-06T10:00:00Z</t>
        </is>
      </c>
      <c r="D73" s="24" t="inlineStr">
        <is>
          <t>70594</t>
        </is>
      </c>
      <c r="E73" s="24" t="inlineStr">
        <is>
          <t>LOL</t>
        </is>
      </c>
      <c r="F73" s="24" t="inlineStr">
        <is>
          <t>T1</t>
        </is>
      </c>
      <c r="G73" s="24" t="inlineStr">
        <is>
          <t>Dplus KIA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-108</v>
      </c>
      <c r="M73" s="27" t="n">
        <v>1.925926</v>
      </c>
      <c r="N73" s="28" t="n">
        <v>0.519231</v>
      </c>
      <c r="O73" s="28" t="n">
        <v>0.553149</v>
      </c>
      <c r="P73" s="28" t="n"/>
      <c r="Q73" s="28" t="n">
        <v>0.033918</v>
      </c>
      <c r="R73" s="26" t="n">
        <v>37</v>
      </c>
      <c r="S73" s="29" t="n">
        <v>1</v>
      </c>
      <c r="T73" s="24" t="inlineStr">
        <is>
          <t>lol-tiered-elo-v6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0.5200 (market_slug=aec-lol-dk-t1-2026-08-06).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T1</t>
        </is>
      </c>
      <c r="AQ73" s="24" t="inlineStr">
        <is>
          <t>T1</t>
        </is>
      </c>
      <c r="AR73" s="24" t="inlineStr">
        <is>
          <t>T1</t>
        </is>
      </c>
      <c r="AS73" s="24" t="inlineStr">
        <is>
          <t>Dplus KIA</t>
        </is>
      </c>
      <c r="AT73" s="24" t="inlineStr">
        <is>
          <t>Dplus KIA</t>
        </is>
      </c>
      <c r="AU73" s="24" t="inlineStr">
        <is>
          <t>Dplus KIA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3b2b7fa569f62411a6dc2753c695e98717a67f225e8074aac963d117b250c28b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3b2b7fa569f62411a6dc2753c695e98717a67f225e8074aac963d117b250c28b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2026-08-05T13:56:29.341663Z</t>
        </is>
      </c>
      <c r="BI73" s="24" t="inlineStr">
        <is>
          <t>["same_event","same_team_same_day","same_league_same_day"]</t>
        </is>
      </c>
      <c r="BJ73" s="25" t="n"/>
      <c r="BK73" s="26" t="n">
        <v>-108</v>
      </c>
      <c r="BL73" s="27" t="n">
        <v>1.925926</v>
      </c>
      <c r="BM73" s="28" t="n">
        <v>0.519231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c8158b6023de4f94</t>
        </is>
      </c>
      <c r="B74" s="24" t="inlineStr">
        <is>
          <t>2026-08-05T13:56:43.896254Z</t>
        </is>
      </c>
      <c r="C74" s="24" t="inlineStr">
        <is>
          <t>2026-08-06T16:00:00Z</t>
        </is>
      </c>
      <c r="D74" s="24" t="inlineStr">
        <is>
          <t>70788</t>
        </is>
      </c>
      <c r="E74" s="24" t="inlineStr">
        <is>
          <t>LOL</t>
        </is>
      </c>
      <c r="F74" s="24" t="inlineStr">
        <is>
          <t>Esprit Shōnen</t>
        </is>
      </c>
      <c r="G74" s="24" t="inlineStr">
        <is>
          <t>Ici Japon Corp. Esport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0.692554</v>
      </c>
      <c r="P74" s="28" t="n"/>
      <c r="Q74" s="28" t="n">
        <v>0.012043</v>
      </c>
      <c r="R74" s="26" t="n">
        <v>26</v>
      </c>
      <c r="S74" s="29" t="n">
        <v>2</v>
      </c>
      <c r="T74" s="24" t="inlineStr">
        <is>
          <t>lol-tiered-elo-v6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0.6800 (market_slug=aec-lol-ijc-ess-2026-08-06).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Esprit Shōnen</t>
        </is>
      </c>
      <c r="AQ74" s="24" t="inlineStr">
        <is>
          <t>Esprit Shōnen</t>
        </is>
      </c>
      <c r="AR74" s="24" t="inlineStr">
        <is>
          <t>Esprit Shōnen</t>
        </is>
      </c>
      <c r="AS74" s="24" t="inlineStr">
        <is>
          <t>Ici Japon Corp. Esport</t>
        </is>
      </c>
      <c r="AT74" s="24" t="inlineStr">
        <is>
          <t>Ici Japon Corp. Esport</t>
        </is>
      </c>
      <c r="AU74" s="24" t="inlineStr">
        <is>
          <t>Ici Japon Corp. Esport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3b2b7fa569f62411a6dc2753c695e98717a67f225e8074aac963d117b250c28b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3b2b7fa569f62411a6dc2753c695e98717a67f225e8074aac963d117b250c28b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2026-08-05T13:56:33.192924Z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119fecc2562f44ea</t>
        </is>
      </c>
      <c r="B75" s="24" t="inlineStr">
        <is>
          <t>2026-08-05T13:56:43.896254Z</t>
        </is>
      </c>
      <c r="C75" s="24" t="inlineStr">
        <is>
          <t>2026-08-06T16:00:00Z</t>
        </is>
      </c>
      <c r="D75" s="24" t="inlineStr">
        <is>
          <t>70790</t>
        </is>
      </c>
      <c r="E75" s="24" t="inlineStr">
        <is>
          <t>LOL</t>
        </is>
      </c>
      <c r="F75" s="24" t="inlineStr">
        <is>
          <t>Baam Esports</t>
        </is>
      </c>
      <c r="G75" s="24" t="inlineStr">
        <is>
          <t>One More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0.764526</v>
      </c>
      <c r="P75" s="28" t="n"/>
      <c r="Q75" s="28" t="n">
        <v>0.174362</v>
      </c>
      <c r="R75" s="26" t="n">
        <v>100</v>
      </c>
      <c r="S75" s="29" t="n">
        <v>2</v>
      </c>
      <c r="T75" s="24" t="inlineStr">
        <is>
          <t>lol-tiered-elo-v6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0.5900 (market_slug=aec-lol-one-bam-2026-08-06).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Baam Esports</t>
        </is>
      </c>
      <c r="AQ75" s="24" t="inlineStr">
        <is>
          <t>Baam Esports</t>
        </is>
      </c>
      <c r="AR75" s="24" t="inlineStr">
        <is>
          <t>Baam Esports</t>
        </is>
      </c>
      <c r="AS75" s="24" t="inlineStr">
        <is>
          <t>One More Esports</t>
        </is>
      </c>
      <c r="AT75" s="24" t="inlineStr">
        <is>
          <t>One More Esports</t>
        </is>
      </c>
      <c r="AU75" s="24" t="inlineStr">
        <is>
          <t>One More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3b2b7fa569f62411a6dc2753c695e98717a67f225e8074aac963d117b250c28b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3b2b7fa569f62411a6dc2753c695e98717a67f225e8074aac963d117b250c28b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2026-08-05T13:56:34.263579Z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a78e68f5bc634585</t>
        </is>
      </c>
      <c r="B76" s="24" t="inlineStr">
        <is>
          <t>2026-08-05T13:56:43.896254Z</t>
        </is>
      </c>
      <c r="C76" s="24" t="inlineStr">
        <is>
          <t>2026-08-06T17:00:00Z</t>
        </is>
      </c>
      <c r="D76" s="24" t="inlineStr">
        <is>
          <t>70860</t>
        </is>
      </c>
      <c r="E76" s="24" t="inlineStr">
        <is>
          <t>LOL</t>
        </is>
      </c>
      <c r="F76" s="24" t="inlineStr">
        <is>
          <t>Skillcamp Esport</t>
        </is>
      </c>
      <c r="G76" s="24" t="inlineStr">
        <is>
          <t>Karmine Corp Blue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0.744077</v>
      </c>
      <c r="P76" s="28" t="n"/>
      <c r="Q76" s="28" t="n">
        <v>0.144077</v>
      </c>
      <c r="R76" s="26" t="n">
        <v>92</v>
      </c>
      <c r="S76" s="29" t="n">
        <v>2</v>
      </c>
      <c r="T76" s="24" t="inlineStr">
        <is>
          <t>lol-tiered-elo-v6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0.6000 (market_slug=aec-lol-kcb-sc-2026-08-06).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Skillcamp Esport</t>
        </is>
      </c>
      <c r="AQ76" s="24" t="inlineStr">
        <is>
          <t>Skillcamp Esport</t>
        </is>
      </c>
      <c r="AR76" s="24" t="inlineStr">
        <is>
          <t>Skillcamp Esport</t>
        </is>
      </c>
      <c r="AS76" s="24" t="inlineStr">
        <is>
          <t>Karmine Corp Blue</t>
        </is>
      </c>
      <c r="AT76" s="24" t="inlineStr">
        <is>
          <t>Karmine Corp Blue</t>
        </is>
      </c>
      <c r="AU76" s="24" t="inlineStr">
        <is>
          <t>Karmine Corp Blue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3b2b7fa569f62411a6dc2753c695e98717a67f225e8074aac963d117b250c28b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3b2b7fa569f62411a6dc2753c695e98717a67f225e8074aac963d117b250c28b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2026-08-05T13:56:34.906561Z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b95bbd9bf4b04d4d</t>
        </is>
      </c>
      <c r="B77" s="24" t="inlineStr">
        <is>
          <t>2026-08-05T13:56:43.896254Z</t>
        </is>
      </c>
      <c r="C77" s="24" t="inlineStr">
        <is>
          <t>2026-08-06T17:00:00Z</t>
        </is>
      </c>
      <c r="D77" s="24" t="inlineStr">
        <is>
          <t>70862</t>
        </is>
      </c>
      <c r="E77" s="24" t="inlineStr">
        <is>
          <t>LOL</t>
        </is>
      </c>
      <c r="F77" s="24" t="inlineStr">
        <is>
          <t>EKO Esports</t>
        </is>
      </c>
      <c r="G77" s="24" t="inlineStr">
        <is>
          <t>Colossal Gaming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-186</v>
      </c>
      <c r="M77" s="27" t="n">
        <v>1.537634</v>
      </c>
      <c r="N77" s="28" t="n">
        <v>0.65035</v>
      </c>
      <c r="O77" s="28" t="n">
        <v>0.697999</v>
      </c>
      <c r="P77" s="28" t="n"/>
      <c r="Q77" s="28" t="n">
        <v>0.047649</v>
      </c>
      <c r="R77" s="26" t="n">
        <v>44</v>
      </c>
      <c r="S77" s="29" t="n">
        <v>2</v>
      </c>
      <c r="T77" s="24" t="inlineStr">
        <is>
          <t>lol-tiered-elo-v6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0.6500 (market_slug=aec-lol-cg-eko-2026-08-06).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EKO Esports</t>
        </is>
      </c>
      <c r="AQ77" s="24" t="inlineStr">
        <is>
          <t>EKO Esports</t>
        </is>
      </c>
      <c r="AR77" s="24" t="inlineStr">
        <is>
          <t>EKO Esports</t>
        </is>
      </c>
      <c r="AS77" s="24" t="inlineStr">
        <is>
          <t>Colossal Gaming</t>
        </is>
      </c>
      <c r="AT77" s="24" t="inlineStr">
        <is>
          <t>Colossal Gaming</t>
        </is>
      </c>
      <c r="AU77" s="24" t="inlineStr">
        <is>
          <t>Colossal Gaming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3b2b7fa569f62411a6dc2753c695e98717a67f225e8074aac963d117b250c28b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3b2b7fa569f62411a6dc2753c695e98717a67f225e8074aac963d117b250c28b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2026-08-05T13:56:35.496841Z</t>
        </is>
      </c>
      <c r="BI77" s="24" t="inlineStr">
        <is>
          <t>["same_event","same_team_same_day","same_league_same_day"]</t>
        </is>
      </c>
      <c r="BJ77" s="25" t="n"/>
      <c r="BK77" s="26" t="n">
        <v>-186</v>
      </c>
      <c r="BL77" s="27" t="n">
        <v>1.537634</v>
      </c>
      <c r="BM77" s="28" t="n">
        <v>0.65035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a1f7eb6913514b48</t>
        </is>
      </c>
      <c r="B78" s="24" t="inlineStr">
        <is>
          <t>2026-08-05T13:56:43.896254Z</t>
        </is>
      </c>
      <c r="C78" s="24" t="inlineStr">
        <is>
          <t>2026-08-06T17:00:00Z</t>
        </is>
      </c>
      <c r="D78" s="24" t="inlineStr">
        <is>
          <t>70863</t>
        </is>
      </c>
      <c r="E78" s="24" t="inlineStr">
        <is>
          <t>LOL</t>
        </is>
      </c>
      <c r="F78" s="24" t="inlineStr">
        <is>
          <t>Senshi Esports</t>
        </is>
      </c>
      <c r="G78" s="24" t="inlineStr">
        <is>
          <t>Myth Esports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127</v>
      </c>
      <c r="M78" s="27" t="n">
        <v>2.27</v>
      </c>
      <c r="N78" s="28" t="n">
        <v>0.440529</v>
      </c>
      <c r="O78" s="28" t="n">
        <v>0.514652</v>
      </c>
      <c r="P78" s="28" t="n"/>
      <c r="Q78" s="28" t="n">
        <v>0.07412299999999999</v>
      </c>
      <c r="R78" s="26" t="n">
        <v>57</v>
      </c>
      <c r="S78" s="29" t="n">
        <v>1</v>
      </c>
      <c r="T78" s="24" t="inlineStr">
        <is>
          <t>lol-tiered-elo-v6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0.4400 (market_slug=aec-lol-myth-sec-2026-08-06).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Senshi Esports</t>
        </is>
      </c>
      <c r="AQ78" s="24" t="inlineStr">
        <is>
          <t>Senshi Esports</t>
        </is>
      </c>
      <c r="AR78" s="24" t="inlineStr">
        <is>
          <t>Senshi Esports</t>
        </is>
      </c>
      <c r="AS78" s="24" t="inlineStr">
        <is>
          <t>Myth Esports</t>
        </is>
      </c>
      <c r="AT78" s="24" t="inlineStr">
        <is>
          <t>Myth Esports</t>
        </is>
      </c>
      <c r="AU78" s="24" t="inlineStr">
        <is>
          <t>Myth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3b2b7fa569f62411a6dc2753c695e98717a67f225e8074aac963d117b250c28b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3b2b7fa569f62411a6dc2753c695e98717a67f225e8074aac963d117b250c28b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2026-08-05T13:56:36.074282Z</t>
        </is>
      </c>
      <c r="BI78" s="24" t="inlineStr">
        <is>
          <t>["same_event","same_team_same_day","same_league_same_day"]</t>
        </is>
      </c>
      <c r="BJ78" s="25" t="n"/>
      <c r="BK78" s="26" t="n">
        <v>127</v>
      </c>
      <c r="BL78" s="27" t="n">
        <v>2.27</v>
      </c>
      <c r="BM78" s="28" t="n">
        <v>0.440529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9ff5f6581a014255</t>
        </is>
      </c>
      <c r="B79" s="24" t="inlineStr">
        <is>
          <t>2026-08-05T13:56:43.896254Z</t>
        </is>
      </c>
      <c r="C79" s="24" t="inlineStr">
        <is>
          <t>2026-08-06T18:00:00Z</t>
        </is>
      </c>
      <c r="D79" s="24" t="inlineStr">
        <is>
          <t>70899</t>
        </is>
      </c>
      <c r="E79" s="24" t="inlineStr">
        <is>
          <t>LOL</t>
        </is>
      </c>
      <c r="F79" s="24" t="inlineStr">
        <is>
          <t>Joblife</t>
        </is>
      </c>
      <c r="G79" s="24" t="inlineStr">
        <is>
          <t>TLN Pirates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-133</v>
      </c>
      <c r="M79" s="27" t="n">
        <v>1.75188</v>
      </c>
      <c r="N79" s="28" t="n">
        <v>0.570815</v>
      </c>
      <c r="O79" s="28" t="n">
        <v>0.6554720000000001</v>
      </c>
      <c r="P79" s="28" t="n"/>
      <c r="Q79" s="28" t="n">
        <v>0.084657</v>
      </c>
      <c r="R79" s="26" t="n">
        <v>62</v>
      </c>
      <c r="S79" s="29" t="n">
        <v>1.75</v>
      </c>
      <c r="T79" s="24" t="inlineStr">
        <is>
          <t>lol-tiered-elo-v6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0.5700 (market_slug=aec-lol-tlnp-jl-2026-08-06).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Joblife</t>
        </is>
      </c>
      <c r="AQ79" s="24" t="inlineStr">
        <is>
          <t>Joblife</t>
        </is>
      </c>
      <c r="AR79" s="24" t="inlineStr">
        <is>
          <t>Joblife</t>
        </is>
      </c>
      <c r="AS79" s="24" t="inlineStr">
        <is>
          <t>TLN Pirates</t>
        </is>
      </c>
      <c r="AT79" s="24" t="inlineStr">
        <is>
          <t>TLN Pirates</t>
        </is>
      </c>
      <c r="AU79" s="24" t="inlineStr">
        <is>
          <t>TLN Pirates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3b2b7fa569f62411a6dc2753c695e98717a67f225e8074aac963d117b250c28b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3b2b7fa569f62411a6dc2753c695e98717a67f225e8074aac963d117b250c28b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2026-08-05T13:56:37.925941Z</t>
        </is>
      </c>
      <c r="BI79" s="24" t="inlineStr">
        <is>
          <t>["same_event","same_team_same_day","same_league_same_day"]</t>
        </is>
      </c>
      <c r="BJ79" s="25" t="n"/>
      <c r="BK79" s="26" t="n">
        <v>-133</v>
      </c>
      <c r="BL79" s="27" t="n">
        <v>1.75188</v>
      </c>
      <c r="BM79" s="28" t="n">
        <v>0.570815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5044fda3950d4746</t>
        </is>
      </c>
      <c r="B80" s="24" t="inlineStr">
        <is>
          <t>2026-08-05T13:56:43.896254Z</t>
        </is>
      </c>
      <c r="C80" s="24" t="inlineStr">
        <is>
          <t>2026-08-06T18:00:00Z</t>
        </is>
      </c>
      <c r="D80" s="24" t="inlineStr">
        <is>
          <t>70903</t>
        </is>
      </c>
      <c r="E80" s="24" t="inlineStr">
        <is>
          <t>LOL</t>
        </is>
      </c>
      <c r="F80" s="24" t="inlineStr">
        <is>
          <t>Zena Esports</t>
        </is>
      </c>
      <c r="G80" s="24" t="inlineStr">
        <is>
          <t>GMBLERS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0.631922</v>
      </c>
      <c r="P80" s="28" t="n"/>
      <c r="Q80" s="28" t="n">
        <v>0.112691</v>
      </c>
      <c r="R80" s="26" t="n">
        <v>76</v>
      </c>
      <c r="S80" s="29" t="n">
        <v>1.5</v>
      </c>
      <c r="T80" s="24" t="inlineStr">
        <is>
          <t>lol-tiered-elo-v6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0.5200 (market_slug=aec-lol-gmb-zena-2026-08-06).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Zena Esports</t>
        </is>
      </c>
      <c r="AQ80" s="24" t="inlineStr">
        <is>
          <t>Zena Esports</t>
        </is>
      </c>
      <c r="AR80" s="24" t="inlineStr">
        <is>
          <t>Zena Esports</t>
        </is>
      </c>
      <c r="AS80" s="24" t="inlineStr">
        <is>
          <t>GMBLERS ESPORTS</t>
        </is>
      </c>
      <c r="AT80" s="24" t="inlineStr">
        <is>
          <t>GMBLERS ESPORTS</t>
        </is>
      </c>
      <c r="AU80" s="24" t="inlineStr">
        <is>
          <t>GMBLERS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3b2b7fa569f62411a6dc2753c695e98717a67f225e8074aac963d117b250c28b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3b2b7fa569f62411a6dc2753c695e98717a67f225e8074aac963d117b250c28b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2026-08-05T13:56:39.588429Z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</row>
    <row r="81" ht="36" customHeight="1">
      <c r="A81" s="24" t="inlineStr">
        <is>
          <t>b05ee965656b45c2</t>
        </is>
      </c>
      <c r="B81" s="24" t="inlineStr">
        <is>
          <t>2026-08-05T13:56:43.896254Z</t>
        </is>
      </c>
      <c r="C81" s="24" t="inlineStr">
        <is>
          <t>2026-08-06T18:30:00Z</t>
        </is>
      </c>
      <c r="D81" s="24" t="inlineStr">
        <is>
          <t>70944</t>
        </is>
      </c>
      <c r="E81" s="24" t="inlineStr">
        <is>
          <t>LOL</t>
        </is>
      </c>
      <c r="F81" s="24" t="inlineStr">
        <is>
          <t>GnG Amazigh</t>
        </is>
      </c>
      <c r="G81" s="24" t="inlineStr">
        <is>
          <t>3BL Esports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0.503829</v>
      </c>
      <c r="P81" s="28" t="n"/>
      <c r="Q81" s="28" t="n">
        <v>0.003829</v>
      </c>
      <c r="R81" s="26" t="n">
        <v>22</v>
      </c>
      <c r="S81" s="29" t="n">
        <v>1</v>
      </c>
      <c r="T81" s="24" t="inlineStr">
        <is>
          <t>lol-tiered-elo-v6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0.5000 (market_slug=aec-lol-3bl-gng-2026-08-06).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GnG Amazigh</t>
        </is>
      </c>
      <c r="AQ81" s="24" t="inlineStr">
        <is>
          <t>GnG Amazigh</t>
        </is>
      </c>
      <c r="AR81" s="24" t="inlineStr">
        <is>
          <t>GnG Amazigh</t>
        </is>
      </c>
      <c r="AS81" s="24" t="inlineStr">
        <is>
          <t>3BL Esports</t>
        </is>
      </c>
      <c r="AT81" s="24" t="inlineStr">
        <is>
          <t>3BL Esports</t>
        </is>
      </c>
      <c r="AU81" s="24" t="inlineStr">
        <is>
          <t>3BL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3b2b7fa569f62411a6dc2753c695e98717a67f225e8074aac963d117b250c28b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3b2b7fa569f62411a6dc2753c695e98717a67f225e8074aac963d117b250c28b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2026-08-05T13:56:40.648836Z</t>
        </is>
      </c>
      <c r="BI81" s="24" t="inlineStr">
        <is>
          <t>["same_event","same_team_same_day","same_league_same_day"]</t>
        </is>
      </c>
      <c r="BJ81" s="25" t="n"/>
      <c r="BK81" s="26" t="n">
        <v>100</v>
      </c>
      <c r="BL81" s="27" t="n">
        <v>2</v>
      </c>
      <c r="BM81" s="28" t="n">
        <v>0.5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78bb5d658f3e43ec</t>
        </is>
      </c>
      <c r="B82" s="24" t="inlineStr">
        <is>
          <t>2026-08-05T13:56:43.896254Z</t>
        </is>
      </c>
      <c r="C82" s="24" t="inlineStr">
        <is>
          <t>2026-08-06T19:00:00Z</t>
        </is>
      </c>
      <c r="D82" s="24" t="inlineStr">
        <is>
          <t>71181</t>
        </is>
      </c>
      <c r="E82" s="24" t="inlineStr">
        <is>
          <t>LOL</t>
        </is>
      </c>
      <c r="F82" s="24" t="inlineStr">
        <is>
          <t>Galions</t>
        </is>
      </c>
      <c r="G82" s="24" t="inlineStr">
        <is>
          <t>Solary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0.513031</v>
      </c>
      <c r="P82" s="28" t="n"/>
      <c r="Q82" s="28" t="n">
        <v>-0.04644</v>
      </c>
      <c r="R82" s="26" t="n">
        <v>0</v>
      </c>
      <c r="S82" s="29" t="n">
        <v>1</v>
      </c>
      <c r="T82" s="24" t="inlineStr">
        <is>
          <t>lol-tiered-elo-v6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0.5600 (market_slug=aec-lol-sly-gal-2026-08-06).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Galions</t>
        </is>
      </c>
      <c r="AQ82" s="24" t="inlineStr">
        <is>
          <t>Galions</t>
        </is>
      </c>
      <c r="AR82" s="24" t="inlineStr">
        <is>
          <t>Galions</t>
        </is>
      </c>
      <c r="AS82" s="24" t="inlineStr">
        <is>
          <t>Solary</t>
        </is>
      </c>
      <c r="AT82" s="24" t="inlineStr">
        <is>
          <t>Solary</t>
        </is>
      </c>
      <c r="AU82" s="24" t="inlineStr">
        <is>
          <t>Solary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3b2b7fa569f62411a6dc2753c695e98717a67f225e8074aac963d117b250c28b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3b2b7fa569f62411a6dc2753c695e98717a67f225e8074aac963d117b250c28b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2026-08-05T13:56:41.196285Z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3c4d4088ba1f4c0d</t>
        </is>
      </c>
      <c r="B83" s="24" t="inlineStr">
        <is>
          <t>2026-08-05T13:56:43.896254Z</t>
        </is>
      </c>
      <c r="C83" s="24" t="inlineStr">
        <is>
          <t>2026-08-06T20:00:00Z</t>
        </is>
      </c>
      <c r="D83" s="24" t="inlineStr">
        <is>
          <t>71214</t>
        </is>
      </c>
      <c r="E83" s="24" t="inlineStr">
        <is>
          <t>LOL</t>
        </is>
      </c>
      <c r="F83" s="24" t="inlineStr">
        <is>
          <t>Vitality.Bee</t>
        </is>
      </c>
      <c r="G83" s="24" t="inlineStr">
        <is>
          <t>ZYB Esport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-127</v>
      </c>
      <c r="M83" s="27" t="n">
        <v>1.787402</v>
      </c>
      <c r="N83" s="28" t="n">
        <v>0.5594710000000001</v>
      </c>
      <c r="O83" s="28" t="n">
        <v>0.638828</v>
      </c>
      <c r="P83" s="28" t="n"/>
      <c r="Q83" s="28" t="n">
        <v>0.079357</v>
      </c>
      <c r="R83" s="26" t="n">
        <v>60</v>
      </c>
      <c r="S83" s="29" t="n">
        <v>1.5</v>
      </c>
      <c r="T83" s="24" t="inlineStr">
        <is>
          <t>lol-tiered-elo-v6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0.5600 (market_slug=aec-lol-zyb-vitb-2026-08-06).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Vitality.Bee</t>
        </is>
      </c>
      <c r="AQ83" s="24" t="inlineStr">
        <is>
          <t>Vitality.Bee</t>
        </is>
      </c>
      <c r="AR83" s="24" t="inlineStr">
        <is>
          <t>Vitality.Bee</t>
        </is>
      </c>
      <c r="AS83" s="24" t="inlineStr">
        <is>
          <t>ZYB Esport</t>
        </is>
      </c>
      <c r="AT83" s="24" t="inlineStr">
        <is>
          <t>ZYB Esport</t>
        </is>
      </c>
      <c r="AU83" s="24" t="inlineStr">
        <is>
          <t>ZYB Esport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3b2b7fa569f62411a6dc2753c695e98717a67f225e8074aac963d117b250c28b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3b2b7fa569f62411a6dc2753c695e98717a67f225e8074aac963d117b250c28b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2026-08-05T13:56:42.235304Z</t>
        </is>
      </c>
      <c r="BI83" s="24" t="inlineStr">
        <is>
          <t>["same_event","same_team_same_day","same_league_same_day"]</t>
        </is>
      </c>
      <c r="BJ83" s="25" t="n"/>
      <c r="BK83" s="26" t="n">
        <v>-127</v>
      </c>
      <c r="BL83" s="27" t="n">
        <v>1.787402</v>
      </c>
      <c r="BM83" s="28" t="n">
        <v>0.5594710000000001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0dea460519894e1a</t>
        </is>
      </c>
      <c r="B84" s="24" t="inlineStr">
        <is>
          <t>2026-08-05T13:56:43.896254Z</t>
        </is>
      </c>
      <c r="C84" s="24" t="inlineStr">
        <is>
          <t>2026-08-06T21:00:00Z</t>
        </is>
      </c>
      <c r="D84" s="24" t="inlineStr">
        <is>
          <t>71313</t>
        </is>
      </c>
      <c r="E84" s="24" t="inlineStr">
        <is>
          <t>LOL</t>
        </is>
      </c>
      <c r="F84" s="24" t="inlineStr">
        <is>
          <t>Panelão LHC</t>
        </is>
      </c>
      <c r="G84" s="24" t="inlineStr">
        <is>
          <t>Tung Tung Bogi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-156</v>
      </c>
      <c r="M84" s="27" t="n">
        <v>1.641026</v>
      </c>
      <c r="N84" s="28" t="n">
        <v>0.609375</v>
      </c>
      <c r="O84" s="28" t="n">
        <v>0.502932</v>
      </c>
      <c r="P84" s="28" t="n"/>
      <c r="Q84" s="28" t="n">
        <v>-0.106443</v>
      </c>
      <c r="R84" s="26" t="n">
        <v>0</v>
      </c>
      <c r="S84" s="29" t="n">
        <v>1</v>
      </c>
      <c r="T84" s="24" t="inlineStr">
        <is>
          <t>lol-tiered-elo-v6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0.6100 (market_slug=aec-lol-tung-pane-2026-08-06).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Panelão LHC</t>
        </is>
      </c>
      <c r="AQ84" s="24" t="inlineStr">
        <is>
          <t>Panelão LHC</t>
        </is>
      </c>
      <c r="AR84" s="24" t="inlineStr">
        <is>
          <t>Panelão LHC</t>
        </is>
      </c>
      <c r="AS84" s="24" t="inlineStr">
        <is>
          <t>Tung Tung Bogi</t>
        </is>
      </c>
      <c r="AT84" s="24" t="inlineStr">
        <is>
          <t>Tung Tung Bogi</t>
        </is>
      </c>
      <c r="AU84" s="24" t="inlineStr">
        <is>
          <t>Tung Tung Bogi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3b2b7fa569f62411a6dc2753c695e98717a67f225e8074aac963d117b250c28b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3b2b7fa569f62411a6dc2753c695e98717a67f225e8074aac963d117b250c28b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2026-08-05T13:56:42.849817Z</t>
        </is>
      </c>
      <c r="BI84" s="24" t="inlineStr">
        <is>
          <t>["same_event","same_team_same_day","same_league_same_day"]</t>
        </is>
      </c>
      <c r="BJ84" s="25" t="n"/>
      <c r="BK84" s="26" t="n">
        <v>-156</v>
      </c>
      <c r="BL84" s="27" t="n">
        <v>1.641026</v>
      </c>
      <c r="BM84" s="28" t="n">
        <v>0.609375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1e8fd46f19714faa</t>
        </is>
      </c>
      <c r="B85" s="24" t="inlineStr">
        <is>
          <t>2026-08-05T13:56:43.896254Z</t>
        </is>
      </c>
      <c r="C85" s="24" t="inlineStr">
        <is>
          <t>2026-08-06T21:00:00Z</t>
        </is>
      </c>
      <c r="D85" s="24" t="inlineStr">
        <is>
          <t>71314</t>
        </is>
      </c>
      <c r="E85" s="24" t="inlineStr">
        <is>
          <t>LOL</t>
        </is>
      </c>
      <c r="F85" s="24" t="inlineStr">
        <is>
          <t>CCG Esports</t>
        </is>
      </c>
      <c r="G85" s="24" t="inlineStr">
        <is>
          <t>Maryville University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-133</v>
      </c>
      <c r="M85" s="27" t="n">
        <v>1.75188</v>
      </c>
      <c r="N85" s="28" t="n">
        <v>0.570815</v>
      </c>
      <c r="O85" s="28" t="n">
        <v>0.558487</v>
      </c>
      <c r="P85" s="28" t="n"/>
      <c r="Q85" s="28" t="n">
        <v>-0.012328</v>
      </c>
      <c r="R85" s="26" t="n">
        <v>14</v>
      </c>
      <c r="S85" s="29" t="n">
        <v>1</v>
      </c>
      <c r="T85" s="24" t="inlineStr">
        <is>
          <t>lol-tiered-elo-v6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0.5700 (market_slug=aec-lol-mvu-ccg-2026-08-06).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CCG Esports</t>
        </is>
      </c>
      <c r="AQ85" s="24" t="inlineStr">
        <is>
          <t>CCG Esports</t>
        </is>
      </c>
      <c r="AR85" s="24" t="inlineStr">
        <is>
          <t>CCG Esports</t>
        </is>
      </c>
      <c r="AS85" s="24" t="inlineStr">
        <is>
          <t>Maryville University</t>
        </is>
      </c>
      <c r="AT85" s="24" t="inlineStr">
        <is>
          <t>Maryville University</t>
        </is>
      </c>
      <c r="AU85" s="24" t="inlineStr">
        <is>
          <t>Maryville University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3b2b7fa569f62411a6dc2753c695e98717a67f225e8074aac963d117b250c28b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3b2b7fa569f62411a6dc2753c695e98717a67f225e8074aac963d117b250c28b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2026-08-05T13:56:43.373932Z</t>
        </is>
      </c>
      <c r="BI85" s="24" t="inlineStr">
        <is>
          <t>["same_event","same_team_same_day","same_league_same_day"]</t>
        </is>
      </c>
      <c r="BJ85" s="25" t="n"/>
      <c r="BK85" s="26" t="n">
        <v>-133</v>
      </c>
      <c r="BL85" s="27" t="n">
        <v>1.75188</v>
      </c>
      <c r="BM85" s="28" t="n">
        <v>0.570815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</row>
    <row r="86" ht="36" customHeight="1">
      <c r="A86" s="24" t="inlineStr">
        <is>
          <t>10b0058b288e4618</t>
        </is>
      </c>
      <c r="B86" s="24" t="inlineStr">
        <is>
          <t>2026-08-05T13:56:43.896254Z</t>
        </is>
      </c>
      <c r="C86" s="24" t="inlineStr">
        <is>
          <t>2026-08-07T00:00:00Z</t>
        </is>
      </c>
      <c r="D86" s="24" t="inlineStr">
        <is>
          <t>71538</t>
        </is>
      </c>
      <c r="E86" s="24" t="inlineStr">
        <is>
          <t>LOL</t>
        </is>
      </c>
      <c r="F86" s="24" t="inlineStr">
        <is>
          <t>Contingent Esports</t>
        </is>
      </c>
      <c r="G86" s="24" t="inlineStr">
        <is>
          <t>Conviction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-213</v>
      </c>
      <c r="M86" s="27" t="n">
        <v>1.469484</v>
      </c>
      <c r="N86" s="28" t="n">
        <v>0.680511</v>
      </c>
      <c r="O86" s="28" t="n">
        <v>0.513663</v>
      </c>
      <c r="P86" s="28" t="n"/>
      <c r="Q86" s="28" t="n">
        <v>-0.166848</v>
      </c>
      <c r="R86" s="26" t="n">
        <v>0</v>
      </c>
      <c r="S86" s="29" t="n">
        <v>1</v>
      </c>
      <c r="T86" s="24" t="inlineStr">
        <is>
          <t>lol-tiered-elo-v6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0.6800 (market_slug=aec-lol-cnv-cont-2026-08-07).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Contingent Esports</t>
        </is>
      </c>
      <c r="AQ86" s="24" t="inlineStr">
        <is>
          <t>Contingent Esports</t>
        </is>
      </c>
      <c r="AR86" s="24" t="inlineStr">
        <is>
          <t>Contingent Esports</t>
        </is>
      </c>
      <c r="AS86" s="24" t="inlineStr">
        <is>
          <t>Conviction</t>
        </is>
      </c>
      <c r="AT86" s="24" t="inlineStr">
        <is>
          <t>Conviction</t>
        </is>
      </c>
      <c r="AU86" s="24" t="inlineStr">
        <is>
          <t>Conviction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3b2b7fa569f62411a6dc2753c695e98717a67f225e8074aac963d117b250c28b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3b2b7fa569f62411a6dc2753c695e98717a67f225e8074aac963d117b250c28b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2026-08-05T13:56:43.895788Z</t>
        </is>
      </c>
      <c r="BI86" s="24" t="inlineStr">
        <is>
          <t>["same_event","same_team_same_day","same_league_same_day"]</t>
        </is>
      </c>
      <c r="BJ86" s="25" t="n"/>
      <c r="BK86" s="26" t="n">
        <v>-213</v>
      </c>
      <c r="BL86" s="27" t="n">
        <v>1.469484</v>
      </c>
      <c r="BM86" s="28" t="n">
        <v>0.680511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2026-08-05T13:59:32Z</dcterms:created>
  <dcterms:modified xmlns:dcterms="http://purl.org/dc/terms/" xmlns:xsi="http://www.w3.org/2001/XMLSchema-instance" xsi:type="dcterms:W3CDTF">2026-08-05T13:59:32Z</dcterms:modified>
</cp:coreProperties>
</file>