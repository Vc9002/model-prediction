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2" headerRowCount="1">
  <autoFilter ref="A1:CO2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COUNTA('Picks'!$A$2:$A$22)</f>
        <v/>
      </c>
      <c r="C4" s="6">
        <f>COUNTIF('Picks'!$U$2:$U$22,"open")</f>
        <v/>
      </c>
      <c r="E4" s="6">
        <f>COUNTIF('Picks'!$U$2:$U$22,"settled")</f>
        <v/>
      </c>
      <c r="G4" s="6">
        <f>IF(COUNTIFS('Picks'!$U$2:$U$22,"settled",'Picks'!$V$2:$V$22,"win")+COUNTIFS('Picks'!$U$2:$U$22,"settled",'Picks'!$V$2:$V$22,"loss")&gt;=$L$2,"Ready","Insufficient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COUNTIF('Picks'!$BX$2:$BX$22,"&gt;0")</f>
        <v/>
      </c>
      <c r="C7" s="6">
        <f>COUNTIFS('Picks'!$BX$2:$BX$22,"&gt;0",'Picks'!$V$2:$V$22,"win")&amp;"-"&amp;COUNTIFS('Picks'!$BX$2:$BX$22,"&gt;0",'Picks'!$V$2:$V$22,"loss")</f>
        <v/>
      </c>
      <c r="E7" s="7">
        <f>IFERROR(COUNTIFS('Picks'!$BX$2:$BX$22,"&gt;0",'Picks'!$V$2:$V$22,"win")/(COUNTIFS('Picks'!$BX$2:$BX$22,"&gt;0",'Picks'!$V$2:$V$22,"win")+COUNTIFS('Picks'!$BX$2:$BX$22,"&gt;0",'Picks'!$V$2:$V$22,"loss")),0)</f>
        <v/>
      </c>
      <c r="G7" s="7">
        <f>IFERROR(SUM('Picks'!$BY$2:$BY$22)/SUM('Picks'!$BX$2:$BX$22),0)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SUM('Picks'!$BY$2:$BY$22)</f>
        <v/>
      </c>
      <c r="C10" s="9">
        <f>IFERROR(AVERAGEIF('Picks'!$AB$2:$AB$22,"&lt;&gt;",'Picks'!$AB$2:$AB$22),0)</f>
        <v/>
      </c>
      <c r="E10" s="6">
        <f>COUNTIFS('Picks'!$AM$2:$AM$22,"QUALIFIED_SHADOW_CALL",'Picks'!$U$2:$U$22,"settled")</f>
        <v/>
      </c>
      <c r="G10" s="8">
        <f>SUMIFS('Picks'!$AC$2:$AC$22,'Picks'!$AM$2:$AM$22,"QUALIFIED_SHADOW_CALL")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COUNTIFS('Picks'!$H$2:$H$22,$A14,'Picks'!$U$2:$U$22,"settled")</f>
        <v/>
      </c>
      <c r="C14" s="13">
        <f>COUNTIFS('Picks'!$H$2:$H$22,$A14,'Picks'!$U$2:$U$22,"settled",'Picks'!$V$2:$V$22,"win")</f>
        <v/>
      </c>
      <c r="D14" s="13">
        <f>COUNTIFS('Picks'!$H$2:$H$22,$A14,'Picks'!$U$2:$U$22,"settled",'Picks'!$V$2:$V$22,"loss")</f>
        <v/>
      </c>
      <c r="E14" s="14">
        <f>IFERROR(C14/(C14+D14),0)</f>
        <v/>
      </c>
      <c r="F14" s="15">
        <f>SUMIFS('Picks'!$BY$2:$BY$22,'Picks'!$H$2:$H$22,$A14)</f>
        <v/>
      </c>
      <c r="G14" s="16">
        <f>IFERROR(AVERAGEIFS('Picks'!$AB$2:$AB$22,'Picks'!$H$2:$H$22,$A14,'Picks'!$U$2:$U$22,"settled"),0)</f>
        <v/>
      </c>
    </row>
    <row r="15">
      <c r="A15" s="17" t="inlineStr">
        <is>
          <t>spread</t>
        </is>
      </c>
      <c r="B15" s="18">
        <f>COUNTIFS('Picks'!$H$2:$H$22,$A15,'Picks'!$U$2:$U$22,"settled")</f>
        <v/>
      </c>
      <c r="C15" s="18">
        <f>COUNTIFS('Picks'!$H$2:$H$22,$A15,'Picks'!$U$2:$U$22,"settled",'Picks'!$V$2:$V$22,"win")</f>
        <v/>
      </c>
      <c r="D15" s="18">
        <f>COUNTIFS('Picks'!$H$2:$H$22,$A15,'Picks'!$U$2:$U$22,"settled",'Picks'!$V$2:$V$22,"loss")</f>
        <v/>
      </c>
      <c r="E15" s="19">
        <f>IFERROR(C15/(C15+D15),0)</f>
        <v/>
      </c>
      <c r="F15" s="20">
        <f>SUMIFS('Picks'!$BY$2:$BY$22,'Picks'!$H$2:$H$22,$A15)</f>
        <v/>
      </c>
      <c r="G15" s="21">
        <f>IFERROR(AVERAGEIFS('Picks'!$AB$2:$AB$22,'Picks'!$H$2:$H$22,$A15,'Picks'!$U$2:$U$22,"settled"),0)</f>
        <v/>
      </c>
    </row>
    <row r="16">
      <c r="A16" s="12" t="inlineStr">
        <is>
          <t>total</t>
        </is>
      </c>
      <c r="B16" s="13">
        <f>COUNTIFS('Picks'!$H$2:$H$22,$A16,'Picks'!$U$2:$U$22,"settled")</f>
        <v/>
      </c>
      <c r="C16" s="13">
        <f>COUNTIFS('Picks'!$H$2:$H$22,$A16,'Picks'!$U$2:$U$22,"settled",'Picks'!$V$2:$V$22,"win")</f>
        <v/>
      </c>
      <c r="D16" s="13">
        <f>COUNTIFS('Picks'!$H$2:$H$22,$A16,'Picks'!$U$2:$U$22,"settled",'Picks'!$V$2:$V$22,"loss")</f>
        <v/>
      </c>
      <c r="E16" s="14">
        <f>IFERROR(C16/(C16+D16),0)</f>
        <v/>
      </c>
      <c r="F16" s="15">
        <f>SUMIFS('Picks'!$BY$2:$BY$22,'Picks'!$H$2:$H$22,$A16)</f>
        <v/>
      </c>
      <c r="G16" s="16">
        <f>IFERROR(AVERAGEIFS('Picks'!$AB$2:$AB$22,'Picks'!$H$2:$H$22,$A16,'Picks'!$U$2:$U$22,"settled"),0)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2.625</v>
      </c>
      <c r="AD7" s="24" t="inlineStr">
        <is>
          <t>2026-07-27T01:51:59.451937Z</t>
        </is>
      </c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1.3889</v>
      </c>
      <c r="AD8" s="24" t="inlineStr">
        <is>
          <t>2026-07-27T01:52:01.961047Z</t>
        </is>
      </c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609696ae2e8245cf</t>
        </is>
      </c>
      <c r="B9" s="24" t="inlineStr">
        <is>
          <t>2026-07-26T20:10:52.122105Z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2026-07-27T01:52:03.138650Z</t>
        </is>
      </c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2026-07-26T20:10:41.893354Z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fd1d1301189448ab</t>
        </is>
      </c>
      <c r="B10" s="24" t="inlineStr">
        <is>
          <t>2026-07-27T05:24:25.946584Z</t>
        </is>
      </c>
      <c r="C10" s="24" t="inlineStr">
        <is>
          <t>2026-07-27T06:45:00Z</t>
        </is>
      </c>
      <c r="D10" s="24" t="inlineStr">
        <is>
          <t>60706</t>
        </is>
      </c>
      <c r="E10" s="24" t="inlineStr">
        <is>
          <t>LOL</t>
        </is>
      </c>
      <c r="F10" s="24" t="inlineStr">
        <is>
          <t>Hanwha Life Esports</t>
        </is>
      </c>
      <c r="G10" s="24" t="inlineStr">
        <is>
          <t>Dplus KIA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0.608349</v>
      </c>
      <c r="P10" s="28" t="n"/>
      <c r="Q10" s="28" t="n">
        <v>-0.051515</v>
      </c>
      <c r="R10" s="26" t="n">
        <v>0</v>
      </c>
      <c r="S10" s="29" t="n">
        <v>0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2026-07-27T10:24:44.763051Z</t>
        </is>
      </c>
      <c r="AE10" s="31" t="inlineStr">
        <is>
          <t>Neutral Elo baseline; executable ask 0.6600 (market_slug=aec-lol-dk-hle-2026-07-27).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Hanwha Life Esports</t>
        </is>
      </c>
      <c r="AQ10" s="24" t="inlineStr">
        <is>
          <t>Hanwha Life Esports</t>
        </is>
      </c>
      <c r="AR10" s="24" t="inlineStr">
        <is>
          <t>Hanwha Life Esports</t>
        </is>
      </c>
      <c r="AS10" s="24" t="inlineStr">
        <is>
          <t>Dplus KIA</t>
        </is>
      </c>
      <c r="AT10" s="24" t="inlineStr">
        <is>
          <t>Dplus KIA</t>
        </is>
      </c>
      <c r="AU10" s="24" t="inlineStr">
        <is>
          <t>Dplus KIA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2026-07-27T05:24:02.567595Z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75fe356302e240e0</t>
        </is>
      </c>
      <c r="B11" s="24" t="inlineStr">
        <is>
          <t>2026-07-27T17:37:52.168845Z</t>
        </is>
      </c>
      <c r="C11" s="24" t="inlineStr">
        <is>
          <t>2026-07-27T18:00:00Z</t>
        </is>
      </c>
      <c r="D11" s="24" t="inlineStr">
        <is>
          <t>60818</t>
        </is>
      </c>
      <c r="E11" s="24" t="inlineStr">
        <is>
          <t>LOL</t>
        </is>
      </c>
      <c r="F11" s="24" t="inlineStr">
        <is>
          <t>Bulldog Esports</t>
        </is>
      </c>
      <c r="G11" s="24" t="inlineStr">
        <is>
          <t>Arctic Pandas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0.596094</v>
      </c>
      <c r="P11" s="28" t="n"/>
      <c r="Q11" s="28" t="n">
        <v>0.08629000000000001</v>
      </c>
      <c r="R11" s="26" t="n">
        <v>63</v>
      </c>
      <c r="S11" s="29" t="n">
        <v>1.5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2026-07-27T19:47:25.392207Z</t>
        </is>
      </c>
      <c r="AE11" s="31" t="inlineStr">
        <is>
          <t>Neutral Elo baseline; executable ask 0.5100 (market_slug=aec-lol-ap-bld-2026-07-27).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Bulldog Esports</t>
        </is>
      </c>
      <c r="AQ11" s="24" t="inlineStr">
        <is>
          <t>Bulldog Esports</t>
        </is>
      </c>
      <c r="AR11" s="24" t="inlineStr">
        <is>
          <t>Bulldog Esports</t>
        </is>
      </c>
      <c r="AS11" s="24" t="inlineStr">
        <is>
          <t>Arctic Pandas</t>
        </is>
      </c>
      <c r="AT11" s="24" t="inlineStr">
        <is>
          <t>Arctic Pandas</t>
        </is>
      </c>
      <c r="AU11" s="24" t="inlineStr">
        <is>
          <t>Arctic Pandas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181f161eadbc9c7936d57f0cb930b26b3363dbf664c19f1b39e954282aa7d3a8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181f161eadbc9c7936d57f0cb930b26b3363dbf664c19f1b39e954282aa7d3a8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2026-07-27T17:37:32.913782Z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ca40c6c8e3314622</t>
        </is>
      </c>
      <c r="B12" s="24" t="inlineStr">
        <is>
          <t>2026-07-27T19:51:04.764967Z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0.654099</v>
      </c>
      <c r="P12" s="28" t="n"/>
      <c r="Q12" s="28" t="n">
        <v>0.013811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1.1236</v>
      </c>
      <c r="AD12" s="24" t="inlineStr">
        <is>
          <t>2026-07-27T22:51:53.746120Z</t>
        </is>
      </c>
      <c r="AE12" s="31" t="inlineStr">
        <is>
          <t>Neutral Elo baseline; executable ask 0.6400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a1ec01e655fe8c74e1a10624d033e1ed3a28f75c65521824090c359f6c375c81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a1ec01e655fe8c74e1a10624d033e1ed3a28f75c65521824090c359f6c375c81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2026-07-27T19:50:48.466474Z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083f617e8c574600</t>
        </is>
      </c>
      <c r="B13" s="24" t="inlineStr">
        <is>
          <t>2026-07-28T01:59:34.734702Z</t>
        </is>
      </c>
      <c r="C13" s="24" t="inlineStr">
        <is>
          <t>2026-07-28T08:00:00Z</t>
        </is>
      </c>
      <c r="D13" s="24" t="inlineStr">
        <is>
          <t>61376</t>
        </is>
      </c>
      <c r="E13" s="24" t="inlineStr">
        <is>
          <t>LOL</t>
        </is>
      </c>
      <c r="F13" s="24" t="inlineStr">
        <is>
          <t>HANJIN BRION Challengers</t>
        </is>
      </c>
      <c r="G13" s="24" t="inlineStr">
        <is>
          <t>Hanwha Life Esports Challengers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0.65045</v>
      </c>
      <c r="P13" s="28" t="n"/>
      <c r="Q13" s="28" t="n">
        <v>0.010162</v>
      </c>
      <c r="R13" s="26" t="n">
        <v>25</v>
      </c>
      <c r="S13" s="29" t="n">
        <v>2</v>
      </c>
      <c r="T13" s="24" t="inlineStr">
        <is>
          <t>lol-tiered-elo-v4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0.6400 (market_slug=aec-lol-hlec-hbc-2026-07-28).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HANJIN BRION Challengers</t>
        </is>
      </c>
      <c r="AQ13" s="24" t="inlineStr">
        <is>
          <t>HANJIN BRION Challengers</t>
        </is>
      </c>
      <c r="AR13" s="24" t="inlineStr">
        <is>
          <t>HANJIN BRION Challengers</t>
        </is>
      </c>
      <c r="AS13" s="24" t="inlineStr">
        <is>
          <t>Hanwha Life Esports Challengers</t>
        </is>
      </c>
      <c r="AT13" s="24" t="inlineStr">
        <is>
          <t>Hanwha Life Esports Challengers</t>
        </is>
      </c>
      <c r="AU13" s="24" t="inlineStr">
        <is>
          <t>Hanwha Life Esports Challengers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2f948fcee62eca618a11bc0cb9497f84d840dda34097b011ec969d83ce1b8586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2f948fcee62eca618a11bc0cb9497f84d840dda34097b011ec969d83ce1b8586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2026-07-28T01:59:21.480440Z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a1e66f405280442c</t>
        </is>
      </c>
      <c r="B14" s="24" t="inlineStr">
        <is>
          <t>2026-07-28T01:59:34.734702Z</t>
        </is>
      </c>
      <c r="C14" s="24" t="inlineStr">
        <is>
          <t>2026-07-28T10:00:00Z</t>
        </is>
      </c>
      <c r="D14" s="24" t="inlineStr">
        <is>
          <t>61400</t>
        </is>
      </c>
      <c r="E14" s="24" t="inlineStr">
        <is>
          <t>LOL</t>
        </is>
      </c>
      <c r="F14" s="24" t="inlineStr">
        <is>
          <t>Dplus KIA Challengers</t>
        </is>
      </c>
      <c r="G14" s="24" t="inlineStr">
        <is>
          <t>KT Rolster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117</v>
      </c>
      <c r="M14" s="27" t="n">
        <v>2.17</v>
      </c>
      <c r="N14" s="28" t="n">
        <v>0.460829</v>
      </c>
      <c r="O14" s="28" t="n">
        <v>0.659148</v>
      </c>
      <c r="P14" s="28" t="n"/>
      <c r="Q14" s="28" t="n">
        <v>0.198319</v>
      </c>
      <c r="R14" s="26" t="n">
        <v>100</v>
      </c>
      <c r="S14" s="29" t="n">
        <v>2</v>
      </c>
      <c r="T14" s="24" t="inlineStr">
        <is>
          <t>lol-tiered-elo-v4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0.4600 (market_slug=aec-lol-ktc-dkc-2026-07-28).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Dplus KIA Challengers</t>
        </is>
      </c>
      <c r="AQ14" s="24" t="inlineStr">
        <is>
          <t>Dplus KIA Challengers</t>
        </is>
      </c>
      <c r="AR14" s="24" t="inlineStr">
        <is>
          <t>Dplus KIA Challengers</t>
        </is>
      </c>
      <c r="AS14" s="24" t="inlineStr">
        <is>
          <t>KT Rolster Challengers</t>
        </is>
      </c>
      <c r="AT14" s="24" t="inlineStr">
        <is>
          <t>KT Rolster Challengers</t>
        </is>
      </c>
      <c r="AU14" s="24" t="inlineStr">
        <is>
          <t>KT Rolster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2f948fcee62eca618a11bc0cb9497f84d840dda34097b011ec969d83ce1b8586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2f948fcee62eca618a11bc0cb9497f84d840dda34097b011ec969d83ce1b8586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2026-07-28T01:59:21.952203Z</t>
        </is>
      </c>
      <c r="BI14" s="24" t="inlineStr">
        <is>
          <t>["same_event","same_team_same_day","same_league_same_day"]</t>
        </is>
      </c>
      <c r="BJ14" s="25" t="n"/>
      <c r="BK14" s="26" t="n">
        <v>117</v>
      </c>
      <c r="BL14" s="27" t="n">
        <v>2.17</v>
      </c>
      <c r="BM14" s="28" t="n">
        <v>0.460829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3aa7acb2b30a4bd4</t>
        </is>
      </c>
      <c r="B15" s="24" t="inlineStr">
        <is>
          <t>2026-07-28T01:59:34.734702Z</t>
        </is>
      </c>
      <c r="C15" s="24" t="inlineStr">
        <is>
          <t>2026-07-28T17:00:00Z</t>
        </is>
      </c>
      <c r="D15" s="24" t="inlineStr">
        <is>
          <t>61612</t>
        </is>
      </c>
      <c r="E15" s="24" t="inlineStr">
        <is>
          <t>LOL</t>
        </is>
      </c>
      <c r="F15" s="24" t="inlineStr">
        <is>
          <t>Dynasty</t>
        </is>
      </c>
      <c r="G15" s="24" t="inlineStr">
        <is>
          <t>ZennIT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0.523131</v>
      </c>
      <c r="P15" s="28" t="n"/>
      <c r="Q15" s="28" t="n">
        <v>0.062302</v>
      </c>
      <c r="R15" s="26" t="n">
        <v>51</v>
      </c>
      <c r="S15" s="29" t="n">
        <v>0.75</v>
      </c>
      <c r="T15" s="24" t="inlineStr">
        <is>
          <t>lol-tiered-elo-v4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0.4600 (market_slug=aec-lol-znt-dyn-2026-07-28).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Dynasty</t>
        </is>
      </c>
      <c r="AQ15" s="24" t="inlineStr">
        <is>
          <t>Dynasty</t>
        </is>
      </c>
      <c r="AR15" s="24" t="inlineStr">
        <is>
          <t>Dynasty</t>
        </is>
      </c>
      <c r="AS15" s="24" t="inlineStr">
        <is>
          <t>ZennIT</t>
        </is>
      </c>
      <c r="AT15" s="24" t="inlineStr">
        <is>
          <t>ZennIT</t>
        </is>
      </c>
      <c r="AU15" s="24" t="inlineStr">
        <is>
          <t>ZennIT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2f948fcee62eca618a11bc0cb9497f84d840dda34097b011ec969d83ce1b8586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2f948fcee62eca618a11bc0cb9497f84d840dda34097b011ec969d83ce1b8586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2026-07-28T01:59:25.235547Z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e10f26c1e8834e53</t>
        </is>
      </c>
      <c r="B16" s="24" t="inlineStr">
        <is>
          <t>2026-07-28T01:59:34.734702Z</t>
        </is>
      </c>
      <c r="C16" s="24" t="inlineStr">
        <is>
          <t>2026-07-28T17:00:00Z</t>
        </is>
      </c>
      <c r="D16" s="24" t="inlineStr">
        <is>
          <t>61611</t>
        </is>
      </c>
      <c r="E16" s="24" t="inlineStr">
        <is>
          <t>LOL</t>
        </is>
      </c>
      <c r="F16" s="24" t="inlineStr">
        <is>
          <t>Esprit Shōnen</t>
        </is>
      </c>
      <c r="G16" s="24" t="inlineStr">
        <is>
          <t>ZYB Esport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178</v>
      </c>
      <c r="M16" s="27" t="n">
        <v>2.78</v>
      </c>
      <c r="N16" s="28" t="n">
        <v>0.359712</v>
      </c>
      <c r="O16" s="28" t="n">
        <v>0.513552</v>
      </c>
      <c r="P16" s="28" t="n"/>
      <c r="Q16" s="28" t="n">
        <v>0.15384</v>
      </c>
      <c r="R16" s="26" t="n">
        <v>97</v>
      </c>
      <c r="S16" s="29" t="n">
        <v>0.75</v>
      </c>
      <c r="T16" s="24" t="inlineStr">
        <is>
          <t>lol-tiered-elo-v4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0.3600 (market_slug=aec-lol-zyb-ess-2026-07-28).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Esprit Shōnen</t>
        </is>
      </c>
      <c r="AQ16" s="24" t="inlineStr">
        <is>
          <t>Esprit Shōnen</t>
        </is>
      </c>
      <c r="AR16" s="24" t="inlineStr">
        <is>
          <t>Esprit Shōnen</t>
        </is>
      </c>
      <c r="AS16" s="24" t="inlineStr">
        <is>
          <t>ZYB Esport</t>
        </is>
      </c>
      <c r="AT16" s="24" t="inlineStr">
        <is>
          <t>ZYB Esport</t>
        </is>
      </c>
      <c r="AU16" s="24" t="inlineStr">
        <is>
          <t>ZYB Esport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2f948fcee62eca618a11bc0cb9497f84d840dda34097b011ec969d83ce1b8586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2f948fcee62eca618a11bc0cb9497f84d840dda34097b011ec969d83ce1b8586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2026-07-28T01:59:25.710837Z</t>
        </is>
      </c>
      <c r="BI16" s="24" t="inlineStr">
        <is>
          <t>["same_event","same_team_same_day","same_league_same_day"]</t>
        </is>
      </c>
      <c r="BJ16" s="25" t="n"/>
      <c r="BK16" s="26" t="n">
        <v>178</v>
      </c>
      <c r="BL16" s="27" t="n">
        <v>2.78</v>
      </c>
      <c r="BM16" s="28" t="n">
        <v>0.359712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bd120340d8634830</t>
        </is>
      </c>
      <c r="B17" s="24" t="inlineStr">
        <is>
          <t>2026-07-28T01:59:34.734702Z</t>
        </is>
      </c>
      <c r="C17" s="24" t="inlineStr">
        <is>
          <t>2026-07-28T18:00:00Z</t>
        </is>
      </c>
      <c r="D17" s="24" t="inlineStr">
        <is>
          <t>61724</t>
        </is>
      </c>
      <c r="E17" s="24" t="inlineStr">
        <is>
          <t>LOL</t>
        </is>
      </c>
      <c r="F17" s="24" t="inlineStr">
        <is>
          <t>Myth Esports</t>
        </is>
      </c>
      <c r="G17" s="24" t="inlineStr">
        <is>
          <t>The Bandits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0.622675</v>
      </c>
      <c r="P17" s="28" t="n"/>
      <c r="Q17" s="28" t="n">
        <v>0.073125</v>
      </c>
      <c r="R17" s="26" t="n">
        <v>57</v>
      </c>
      <c r="S17" s="29" t="n">
        <v>1.75</v>
      </c>
      <c r="T17" s="24" t="inlineStr">
        <is>
          <t>lol-tiered-elo-v4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0.5500 (market_slug=aec-lol-ban-myth-2026-07-28).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Myth Esports</t>
        </is>
      </c>
      <c r="AQ17" s="24" t="inlineStr">
        <is>
          <t>Myth Esports</t>
        </is>
      </c>
      <c r="AR17" s="24" t="inlineStr">
        <is>
          <t>Myth Esports</t>
        </is>
      </c>
      <c r="AS17" s="24" t="inlineStr">
        <is>
          <t>The Bandits</t>
        </is>
      </c>
      <c r="AT17" s="24" t="inlineStr">
        <is>
          <t>The Bandits</t>
        </is>
      </c>
      <c r="AU17" s="24" t="inlineStr">
        <is>
          <t>The Bandits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2f948fcee62eca618a11bc0cb9497f84d840dda34097b011ec969d83ce1b8586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2f948fcee62eca618a11bc0cb9497f84d840dda34097b011ec969d83ce1b8586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2026-07-28T01:59:26.636317Z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46688e47acf14a13</t>
        </is>
      </c>
      <c r="B18" s="24" t="inlineStr">
        <is>
          <t>2026-07-28T01:59:34.734702Z</t>
        </is>
      </c>
      <c r="C18" s="24" t="inlineStr">
        <is>
          <t>2026-07-28T18:00:00Z</t>
        </is>
      </c>
      <c r="D18" s="24" t="inlineStr">
        <is>
          <t>61721</t>
        </is>
      </c>
      <c r="E18" s="24" t="inlineStr">
        <is>
          <t>LOL</t>
        </is>
      </c>
      <c r="F18" s="24" t="inlineStr">
        <is>
          <t>Galions</t>
        </is>
      </c>
      <c r="G18" s="24" t="inlineStr">
        <is>
          <t>Karmine Corp Blue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0.636694</v>
      </c>
      <c r="P18" s="28" t="n"/>
      <c r="Q18" s="28" t="n">
        <v>-0.033273</v>
      </c>
      <c r="R18" s="26" t="n">
        <v>3</v>
      </c>
      <c r="S18" s="29" t="n">
        <v>0</v>
      </c>
      <c r="T18" s="24" t="inlineStr">
        <is>
          <t>lol-tiered-elo-v4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0.6700 (market_slug=aec-lol-kcb-gal-2026-07-28).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Galions</t>
        </is>
      </c>
      <c r="AQ18" s="24" t="inlineStr">
        <is>
          <t>Galions</t>
        </is>
      </c>
      <c r="AR18" s="24" t="inlineStr">
        <is>
          <t>Galions</t>
        </is>
      </c>
      <c r="AS18" s="24" t="inlineStr">
        <is>
          <t>Karmine Corp Blue</t>
        </is>
      </c>
      <c r="AT18" s="24" t="inlineStr">
        <is>
          <t>Karmine Corp Blue</t>
        </is>
      </c>
      <c r="AU18" s="24" t="inlineStr">
        <is>
          <t>Karmine Corp Blue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2f948fcee62eca618a11bc0cb9497f84d840dda34097b011ec969d83ce1b8586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2f948fcee62eca618a11bc0cb9497f84d840dda34097b011ec969d83ce1b8586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2026-07-28T01:59:27.090438Z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3b7ea83318fb45cd</t>
        </is>
      </c>
      <c r="B19" s="24" t="inlineStr">
        <is>
          <t>2026-07-28T01:59:34.734702Z</t>
        </is>
      </c>
      <c r="C19" s="24" t="inlineStr">
        <is>
          <t>2026-07-28T19:00:00Z</t>
        </is>
      </c>
      <c r="D19" s="24" t="inlineStr">
        <is>
          <t>61851</t>
        </is>
      </c>
      <c r="E19" s="24" t="inlineStr">
        <is>
          <t>LOL</t>
        </is>
      </c>
      <c r="F19" s="24" t="inlineStr">
        <is>
          <t>Vitality.Bee</t>
        </is>
      </c>
      <c r="G19" s="24" t="inlineStr">
        <is>
          <t>Joblife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150</v>
      </c>
      <c r="M19" s="27" t="n">
        <v>2.5</v>
      </c>
      <c r="N19" s="28" t="n">
        <v>0.4</v>
      </c>
      <c r="O19" s="28" t="n">
        <v>0.547957</v>
      </c>
      <c r="P19" s="28" t="n"/>
      <c r="Q19" s="28" t="n">
        <v>0.147957</v>
      </c>
      <c r="R19" s="26" t="n">
        <v>94</v>
      </c>
      <c r="S19" s="29" t="n">
        <v>1</v>
      </c>
      <c r="T19" s="24" t="inlineStr">
        <is>
          <t>lol-tiered-elo-v4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0.4000 (market_slug=aec-lol-jl-vitb-2026-07-28).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Vitality.Bee</t>
        </is>
      </c>
      <c r="AQ19" s="24" t="inlineStr">
        <is>
          <t>Vitality.Bee</t>
        </is>
      </c>
      <c r="AR19" s="24" t="inlineStr">
        <is>
          <t>Vitality.Bee</t>
        </is>
      </c>
      <c r="AS19" s="24" t="inlineStr">
        <is>
          <t>Joblife</t>
        </is>
      </c>
      <c r="AT19" s="24" t="inlineStr">
        <is>
          <t>Joblife</t>
        </is>
      </c>
      <c r="AU19" s="24" t="inlineStr">
        <is>
          <t>Joblife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2f948fcee62eca618a11bc0cb9497f84d840dda34097b011ec969d83ce1b8586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2f948fcee62eca618a11bc0cb9497f84d840dda34097b011ec969d83ce1b8586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2026-07-28T01:59:30.117610Z</t>
        </is>
      </c>
      <c r="BI19" s="24" t="inlineStr">
        <is>
          <t>["same_event","same_team_same_day","same_league_same_day"]</t>
        </is>
      </c>
      <c r="BJ19" s="25" t="n"/>
      <c r="BK19" s="26" t="n">
        <v>150</v>
      </c>
      <c r="BL19" s="27" t="n">
        <v>2.5</v>
      </c>
      <c r="BM19" s="28" t="n">
        <v>0.4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b4160e9e9fa44095</t>
        </is>
      </c>
      <c r="B20" s="24" t="inlineStr">
        <is>
          <t>2026-07-28T01:59:34.734702Z</t>
        </is>
      </c>
      <c r="C20" s="24" t="inlineStr">
        <is>
          <t>2026-07-28T20:00:00Z</t>
        </is>
      </c>
      <c r="D20" s="24" t="inlineStr">
        <is>
          <t>62170</t>
        </is>
      </c>
      <c r="E20" s="24" t="inlineStr">
        <is>
          <t>LOL</t>
        </is>
      </c>
      <c r="F20" s="24" t="inlineStr">
        <is>
          <t>Maze Gaming</t>
        </is>
      </c>
      <c r="G20" s="24" t="inlineStr">
        <is>
          <t>9z Globant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0.61673</v>
      </c>
      <c r="P20" s="28" t="n"/>
      <c r="Q20" s="28" t="n">
        <v>-0.08297</v>
      </c>
      <c r="R20" s="26" t="n">
        <v>0</v>
      </c>
      <c r="S20" s="29" t="n">
        <v>0</v>
      </c>
      <c r="T20" s="24" t="inlineStr">
        <is>
          <t>lol-tiered-elo-v4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0.7000 (market_slug=aec-lol-9zg-maz-2026-07-28).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Maze Gaming</t>
        </is>
      </c>
      <c r="AQ20" s="24" t="inlineStr">
        <is>
          <t>Maze Gaming</t>
        </is>
      </c>
      <c r="AR20" s="24" t="inlineStr">
        <is>
          <t>Maze Gaming</t>
        </is>
      </c>
      <c r="AS20" s="24" t="inlineStr">
        <is>
          <t>9z Globant</t>
        </is>
      </c>
      <c r="AT20" s="24" t="inlineStr">
        <is>
          <t>9z Globant</t>
        </is>
      </c>
      <c r="AU20" s="24" t="inlineStr">
        <is>
          <t>9z Globant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2f948fcee62eca618a11bc0cb9497f84d840dda34097b011ec969d83ce1b8586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2f948fcee62eca618a11bc0cb9497f84d840dda34097b011ec969d83ce1b8586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2026-07-28T01:59:30.596949Z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864c55aaf87b4f05</t>
        </is>
      </c>
      <c r="B21" s="24" t="inlineStr">
        <is>
          <t>2026-07-28T01:59:34.734702Z</t>
        </is>
      </c>
      <c r="C21" s="24" t="inlineStr">
        <is>
          <t>2026-07-28T20:00:00Z</t>
        </is>
      </c>
      <c r="D21" s="24" t="inlineStr">
        <is>
          <t>62171</t>
        </is>
      </c>
      <c r="E21" s="24" t="inlineStr">
        <is>
          <t>LOL</t>
        </is>
      </c>
      <c r="F21" s="24" t="inlineStr">
        <is>
          <t>Team Solid</t>
        </is>
      </c>
      <c r="G21" s="24" t="inlineStr">
        <is>
          <t>paiN Gaming Academy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-186</v>
      </c>
      <c r="M21" s="27" t="n">
        <v>1.537634</v>
      </c>
      <c r="N21" s="28" t="n">
        <v>0.65035</v>
      </c>
      <c r="O21" s="28" t="n">
        <v>0.773255</v>
      </c>
      <c r="P21" s="28" t="n"/>
      <c r="Q21" s="28" t="n">
        <v>0.122905</v>
      </c>
      <c r="R21" s="26" t="n">
        <v>81</v>
      </c>
      <c r="S21" s="29" t="n">
        <v>2</v>
      </c>
      <c r="T21" s="24" t="inlineStr">
        <is>
          <t>lol-tiered-elo-v4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0.6500 (market_slug=aec-lol-pnga-tse-2026-07-28).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Solid</t>
        </is>
      </c>
      <c r="AQ21" s="24" t="inlineStr">
        <is>
          <t>Team Solid</t>
        </is>
      </c>
      <c r="AR21" s="24" t="inlineStr">
        <is>
          <t>Team Solid</t>
        </is>
      </c>
      <c r="AS21" s="24" t="inlineStr">
        <is>
          <t>paiN Gaming Academy</t>
        </is>
      </c>
      <c r="AT21" s="24" t="inlineStr">
        <is>
          <t>paiN Gaming Academy</t>
        </is>
      </c>
      <c r="AU21" s="24" t="inlineStr">
        <is>
          <t>paiN Gaming Academy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2f948fcee62eca618a11bc0cb9497f84d840dda34097b011ec969d83ce1b8586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2f948fcee62eca618a11bc0cb9497f84d840dda34097b011ec969d83ce1b8586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2026-07-28T01:59:32.137972Z</t>
        </is>
      </c>
      <c r="BI21" s="24" t="inlineStr">
        <is>
          <t>["same_event","same_team_same_day","same_league_same_day"]</t>
        </is>
      </c>
      <c r="BJ21" s="25" t="n"/>
      <c r="BK21" s="26" t="n">
        <v>-186</v>
      </c>
      <c r="BL21" s="27" t="n">
        <v>1.537634</v>
      </c>
      <c r="BM21" s="28" t="n">
        <v>0.65035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437857d8a6ca4908</t>
        </is>
      </c>
      <c r="B22" s="24" t="inlineStr">
        <is>
          <t>2026-07-28T01:59:34.734702Z</t>
        </is>
      </c>
      <c r="C22" s="24" t="inlineStr">
        <is>
          <t>2026-07-28T23:00:00Z</t>
        </is>
      </c>
      <c r="D22" s="24" t="inlineStr">
        <is>
          <t>62314</t>
        </is>
      </c>
      <c r="E22" s="24" t="inlineStr">
        <is>
          <t>LOL</t>
        </is>
      </c>
      <c r="F22" s="24" t="inlineStr">
        <is>
          <t>KaBuM! Ilha das Lendas</t>
        </is>
      </c>
      <c r="G22" s="24" t="inlineStr">
        <is>
          <t>7REX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127</v>
      </c>
      <c r="M22" s="27" t="n">
        <v>2.27</v>
      </c>
      <c r="N22" s="28" t="n">
        <v>0.440529</v>
      </c>
      <c r="O22" s="28" t="n">
        <v>0.517575</v>
      </c>
      <c r="P22" s="28" t="n"/>
      <c r="Q22" s="28" t="n">
        <v>0.077046</v>
      </c>
      <c r="R22" s="26" t="n">
        <v>59</v>
      </c>
      <c r="S22" s="29" t="n">
        <v>0.75</v>
      </c>
      <c r="T22" s="24" t="inlineStr">
        <is>
          <t>lol-tiered-elo-v4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0.4400 (market_slug=aec-lol-7rex-kbm-2026-07-28).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KaBuM! Ilha das Lendas</t>
        </is>
      </c>
      <c r="AQ22" s="24" t="inlineStr">
        <is>
          <t>KaBuM! Ilha das Lendas</t>
        </is>
      </c>
      <c r="AR22" s="24" t="inlineStr">
        <is>
          <t>KaBuM! Ilha das Lendas</t>
        </is>
      </c>
      <c r="AS22" s="24" t="inlineStr">
        <is>
          <t>7REX</t>
        </is>
      </c>
      <c r="AT22" s="24" t="inlineStr">
        <is>
          <t>7REX</t>
        </is>
      </c>
      <c r="AU22" s="24" t="inlineStr">
        <is>
          <t>7REX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2f948fcee62eca618a11bc0cb9497f84d840dda34097b011ec969d83ce1b8586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2f948fcee62eca618a11bc0cb9497f84d840dda34097b011ec969d83ce1b8586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2026-07-28T01:59:34.228061Z</t>
        </is>
      </c>
      <c r="BI22" s="24" t="inlineStr">
        <is>
          <t>["same_event","same_team_same_day","same_league_same_day"]</t>
        </is>
      </c>
      <c r="BJ22" s="25" t="n"/>
      <c r="BK22" s="26" t="n">
        <v>127</v>
      </c>
      <c r="BL22" s="27" t="n">
        <v>2.27</v>
      </c>
      <c r="BM22" s="28" t="n">
        <v>0.440529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2026-07-28T01:59:35Z</dcterms:created>
  <dcterms:modified xsi:type="dcterms:W3CDTF">2026-07-28T01:59:35Z</dcterms:modified>
</cp:coreProperties>
</file>