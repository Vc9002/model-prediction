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23" headerRowCount="1">
  <autoFilter ref="A1:CS12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COUNTA('Picks'!$A$2:$A$123)</f>
        <v/>
      </c>
      <c r="C4" s="6">
        <f>COUNTIF('Picks'!$U$2:$U$123,"open")</f>
        <v/>
      </c>
      <c r="E4" s="6">
        <f>COUNTIF('Picks'!$U$2:$U$123,"settled")</f>
        <v/>
      </c>
      <c r="G4" s="6">
        <f>IF(COUNTIFS('Picks'!$U$2:$U$123,"settled",'Picks'!$V$2:$V$123,"win")+COUNTIFS('Picks'!$U$2:$U$123,"settled",'Picks'!$V$2:$V$123,"loss")&gt;=$L$2,"Ready","Insufficient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COUNTIF('Picks'!$BX$2:$BX$123,"&gt;0")</f>
        <v/>
      </c>
      <c r="C7" s="6">
        <f>COUNTIFS('Picks'!$BX$2:$BX$123,"&gt;0",'Picks'!$V$2:$V$123,"win")&amp;"-"&amp;COUNTIFS('Picks'!$BX$2:$BX$123,"&gt;0",'Picks'!$V$2:$V$123,"loss")</f>
        <v/>
      </c>
      <c r="E7" s="7">
        <f>IFERROR(COUNTIFS('Picks'!$BX$2:$BX$123,"&gt;0",'Picks'!$V$2:$V$123,"win")/(COUNTIFS('Picks'!$BX$2:$BX$123,"&gt;0",'Picks'!$V$2:$V$123,"win")+COUNTIFS('Picks'!$BX$2:$BX$123,"&gt;0",'Picks'!$V$2:$V$123,"loss")),0)</f>
        <v/>
      </c>
      <c r="G7" s="7">
        <f>IFERROR(SUM('Picks'!$BY$2:$BY$123)/SUM('Picks'!$BX$2:$BX$123),0)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SUM('Picks'!$BY$2:$BY$123)</f>
        <v/>
      </c>
      <c r="C10" s="9">
        <f>IFERROR(AVERAGEIF('Picks'!$AB$2:$AB$123,"&lt;&gt;",'Picks'!$AB$2:$AB$123),0)</f>
        <v/>
      </c>
      <c r="E10" s="6">
        <f>COUNTIFS('Picks'!$AM$2:$AM$123,"QUALIFIED_SHADOW_CALL",'Picks'!$U$2:$U$123,"settled")</f>
        <v/>
      </c>
      <c r="G10" s="8">
        <f>SUMIFS('Picks'!$AC$2:$AC$123,'Picks'!$AM$2:$AM$123,"QUALIFIED_SHADOW_CALL")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COUNTIFS('Picks'!$H$2:$H$123,$A14,'Picks'!$U$2:$U$123,"settled")</f>
        <v/>
      </c>
      <c r="C14" s="13">
        <f>COUNTIFS('Picks'!$H$2:$H$123,$A14,'Picks'!$U$2:$U$123,"settled",'Picks'!$V$2:$V$123,"win")</f>
        <v/>
      </c>
      <c r="D14" s="13">
        <f>COUNTIFS('Picks'!$H$2:$H$123,$A14,'Picks'!$U$2:$U$123,"settled",'Picks'!$V$2:$V$123,"loss")</f>
        <v/>
      </c>
      <c r="E14" s="14">
        <f>IFERROR(C14/(C14+D14),0)</f>
        <v/>
      </c>
      <c r="F14" s="15">
        <f>SUMIFS('Picks'!$BY$2:$BY$123,'Picks'!$H$2:$H$123,$A14)</f>
        <v/>
      </c>
      <c r="G14" s="16">
        <f>IFERROR(AVERAGEIFS('Picks'!$AB$2:$AB$123,'Picks'!$H$2:$H$123,$A14,'Picks'!$U$2:$U$123,"settled"),0)</f>
        <v/>
      </c>
    </row>
    <row r="15">
      <c r="A15" s="17" t="inlineStr">
        <is>
          <t>spread</t>
        </is>
      </c>
      <c r="B15" s="18">
        <f>COUNTIFS('Picks'!$H$2:$H$123,$A15,'Picks'!$U$2:$U$123,"settled")</f>
        <v/>
      </c>
      <c r="C15" s="18">
        <f>COUNTIFS('Picks'!$H$2:$H$123,$A15,'Picks'!$U$2:$U$123,"settled",'Picks'!$V$2:$V$123,"win")</f>
        <v/>
      </c>
      <c r="D15" s="18">
        <f>COUNTIFS('Picks'!$H$2:$H$123,$A15,'Picks'!$U$2:$U$123,"settled",'Picks'!$V$2:$V$123,"loss")</f>
        <v/>
      </c>
      <c r="E15" s="19">
        <f>IFERROR(C15/(C15+D15),0)</f>
        <v/>
      </c>
      <c r="F15" s="20">
        <f>SUMIFS('Picks'!$BY$2:$BY$123,'Picks'!$H$2:$H$123,$A15)</f>
        <v/>
      </c>
      <c r="G15" s="21">
        <f>IFERROR(AVERAGEIFS('Picks'!$AB$2:$AB$123,'Picks'!$H$2:$H$123,$A15,'Picks'!$U$2:$U$123,"settled"),0)</f>
        <v/>
      </c>
    </row>
    <row r="16">
      <c r="A16" s="12" t="inlineStr">
        <is>
          <t>total</t>
        </is>
      </c>
      <c r="B16" s="13">
        <f>COUNTIFS('Picks'!$H$2:$H$123,$A16,'Picks'!$U$2:$U$123,"settled")</f>
        <v/>
      </c>
      <c r="C16" s="13">
        <f>COUNTIFS('Picks'!$H$2:$H$123,$A16,'Picks'!$U$2:$U$123,"settled",'Picks'!$V$2:$V$123,"win")</f>
        <v/>
      </c>
      <c r="D16" s="13">
        <f>COUNTIFS('Picks'!$H$2:$H$123,$A16,'Picks'!$U$2:$U$123,"settled",'Picks'!$V$2:$V$123,"loss")</f>
        <v/>
      </c>
      <c r="E16" s="14">
        <f>IFERROR(C16/(C16+D16),0)</f>
        <v/>
      </c>
      <c r="F16" s="15">
        <f>SUMIFS('Picks'!$BY$2:$BY$123,'Picks'!$H$2:$H$123,$A16)</f>
        <v/>
      </c>
      <c r="G16" s="16">
        <f>IFERROR(AVERAGEIFS('Picks'!$AB$2:$AB$123,'Picks'!$H$2:$H$123,$A16,'Picks'!$U$2:$U$123,"settled"),0)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16e38b0f2055496b</t>
        </is>
      </c>
      <c r="B2" s="24" t="inlineStr">
        <is>
          <t>2026-08-04T16:54:52.896251Z</t>
        </is>
      </c>
      <c r="C2" s="24" t="inlineStr">
        <is>
          <t>2026-08-04T17:00:00Z</t>
        </is>
      </c>
      <c r="D2" s="24" t="inlineStr">
        <is>
          <t>70567</t>
        </is>
      </c>
      <c r="E2" s="24" t="inlineStr">
        <is>
          <t>LOL</t>
        </is>
      </c>
      <c r="F2" s="24" t="inlineStr">
        <is>
          <t>Anonymo Esports</t>
        </is>
      </c>
      <c r="G2" s="24" t="inlineStr">
        <is>
          <t>DOCISK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0.522312</v>
      </c>
      <c r="P2" s="28" t="n"/>
      <c r="Q2" s="28" t="n">
        <v>0.142084</v>
      </c>
      <c r="R2" s="26" t="n">
        <v>91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163</v>
      </c>
      <c r="AA2" s="28" t="n">
        <v>0.38</v>
      </c>
      <c r="AB2" s="28" t="n">
        <v>-0.000228</v>
      </c>
      <c r="AC2" s="30" t="n">
        <v>-1</v>
      </c>
      <c r="AD2" s="24" t="inlineStr">
        <is>
          <t>2026-08-04T21:59:44.576139Z</t>
        </is>
      </c>
      <c r="AE2" s="31" t="inlineStr">
        <is>
          <t>Neutral Elo baseline; executable ask 0.3800 (market_slug=aec-lol-doc-ae-2026-08-04).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Anonymo Esports</t>
        </is>
      </c>
      <c r="AQ2" s="24" t="inlineStr">
        <is>
          <t>Anonymo Esports</t>
        </is>
      </c>
      <c r="AR2" s="24" t="inlineStr">
        <is>
          <t>Anonymo Esports</t>
        </is>
      </c>
      <c r="AS2" s="24" t="inlineStr">
        <is>
          <t>DOCISK</t>
        </is>
      </c>
      <c r="AT2" s="24" t="inlineStr">
        <is>
          <t>DOCISK</t>
        </is>
      </c>
      <c r="AU2" s="24" t="inlineStr">
        <is>
          <t>DOCISK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2026-08-04T16:54:15.758258Z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2.63</v>
      </c>
      <c r="BR2" s="28" t="n">
        <v>0.38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a7eb426f0acf438c</t>
        </is>
      </c>
      <c r="B3" s="24" t="inlineStr">
        <is>
          <t>2026-08-04T16:54:52.896251Z</t>
        </is>
      </c>
      <c r="C3" s="24" t="inlineStr">
        <is>
          <t>2026-08-04T18:00:00Z</t>
        </is>
      </c>
      <c r="D3" s="24" t="inlineStr">
        <is>
          <t>68690</t>
        </is>
      </c>
      <c r="E3" s="24" t="inlineStr">
        <is>
          <t>LOL</t>
        </is>
      </c>
      <c r="F3" s="24" t="inlineStr">
        <is>
          <t>Lupus Esports</t>
        </is>
      </c>
      <c r="G3" s="24" t="inlineStr">
        <is>
          <t xml:space="preserve">Croatian Flair x RLX 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-117</v>
      </c>
      <c r="M3" s="27" t="n">
        <v>1.854701</v>
      </c>
      <c r="N3" s="28" t="n">
        <v>0.539171</v>
      </c>
      <c r="O3" s="28" t="n">
        <v>0.5257230000000001</v>
      </c>
      <c r="P3" s="28" t="n"/>
      <c r="Q3" s="28" t="n">
        <v>-0.013448</v>
      </c>
      <c r="R3" s="26" t="n">
        <v>13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-117</v>
      </c>
      <c r="AA3" s="28" t="n">
        <v>0.54</v>
      </c>
      <c r="AB3" s="28" t="n">
        <v>0.000829</v>
      </c>
      <c r="AC3" s="30" t="n">
        <v>0.8547</v>
      </c>
      <c r="AD3" s="24" t="inlineStr">
        <is>
          <t>2026-08-04T21:59:46.124530Z</t>
        </is>
      </c>
      <c r="AE3" s="31" t="inlineStr">
        <is>
          <t>Neutral Elo baseline; executable ask 0.5400 (market_slug=aec-lol-cfxr-lps-2026-08-04).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Lupus Esports</t>
        </is>
      </c>
      <c r="AQ3" s="24" t="inlineStr">
        <is>
          <t>Lupus Esports</t>
        </is>
      </c>
      <c r="AR3" s="24" t="inlineStr">
        <is>
          <t>Lupus Esports</t>
        </is>
      </c>
      <c r="AS3" s="24" t="inlineStr">
        <is>
          <t xml:space="preserve">Croatian Flair x RLX </t>
        </is>
      </c>
      <c r="AT3" s="24" t="inlineStr">
        <is>
          <t xml:space="preserve">Croatian Flair x RLX </t>
        </is>
      </c>
      <c r="AU3" s="24" t="inlineStr">
        <is>
          <t xml:space="preserve">Croatian Flair x RLX 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5bcf4e232e6e233164ffd78633a5487d986e0433e7ea70b93f7ff1c53933694d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5bcf4e232e6e233164ffd78633a5487d986e0433e7ea70b93f7ff1c53933694d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2026-08-04T16:54:17.856775Z</t>
        </is>
      </c>
      <c r="BI3" s="24" t="inlineStr">
        <is>
          <t>["same_event","same_team_same_day","same_league_same_day"]</t>
        </is>
      </c>
      <c r="BJ3" s="25" t="n"/>
      <c r="BK3" s="26" t="n">
        <v>-117</v>
      </c>
      <c r="BL3" s="27" t="n">
        <v>1.854701</v>
      </c>
      <c r="BM3" s="28" t="n">
        <v>0.539171</v>
      </c>
      <c r="BN3" s="28" t="n"/>
      <c r="BO3" s="28" t="n"/>
      <c r="BP3" s="25" t="n"/>
      <c r="BQ3" s="27" t="n">
        <v>1.854701</v>
      </c>
      <c r="BR3" s="28" t="n">
        <v>0.54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</row>
    <row r="4" ht="36" customHeight="1">
      <c r="A4" s="24" t="inlineStr">
        <is>
          <t>4c2f3fc7bb604d61</t>
        </is>
      </c>
      <c r="B4" s="24" t="inlineStr">
        <is>
          <t>2026-08-04T16:54:52.896251Z</t>
        </is>
      </c>
      <c r="C4" s="24" t="inlineStr">
        <is>
          <t>2026-08-04T18:00:00Z</t>
        </is>
      </c>
      <c r="D4" s="24" t="inlineStr">
        <is>
          <t>68691</t>
        </is>
      </c>
      <c r="E4" s="24" t="inlineStr">
        <is>
          <t>LOL</t>
        </is>
      </c>
      <c r="F4" s="24" t="inlineStr">
        <is>
          <t>ZennIT</t>
        </is>
      </c>
      <c r="G4" s="24" t="inlineStr">
        <is>
          <t>Once Upon A Team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-223</v>
      </c>
      <c r="M4" s="27" t="n">
        <v>1.44843</v>
      </c>
      <c r="N4" s="28" t="n">
        <v>0.690402</v>
      </c>
      <c r="O4" s="28" t="n">
        <v>0.531852</v>
      </c>
      <c r="P4" s="28" t="n"/>
      <c r="Q4" s="28" t="n">
        <v>-0.15855</v>
      </c>
      <c r="R4" s="26" t="n">
        <v>0</v>
      </c>
      <c r="S4" s="29" t="n">
        <v>1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-223</v>
      </c>
      <c r="AA4" s="28" t="n">
        <v>0.6899999999999999</v>
      </c>
      <c r="AB4" s="28" t="n">
        <v>-0.000402</v>
      </c>
      <c r="AC4" s="30" t="n">
        <v>0.4484</v>
      </c>
      <c r="AD4" s="24" t="inlineStr">
        <is>
          <t>2026-08-04T21:59:47.648454Z</t>
        </is>
      </c>
      <c r="AE4" s="31" t="inlineStr">
        <is>
          <t>Neutral Elo baseline; executable ask 0.6900 (market_slug=aec-lol-ouat-znt-2026-08-04).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ZennIT</t>
        </is>
      </c>
      <c r="AQ4" s="24" t="inlineStr">
        <is>
          <t>ZennIT</t>
        </is>
      </c>
      <c r="AR4" s="24" t="inlineStr">
        <is>
          <t>ZennIT</t>
        </is>
      </c>
      <c r="AS4" s="24" t="inlineStr">
        <is>
          <t>Once Upon A Team</t>
        </is>
      </c>
      <c r="AT4" s="24" t="inlineStr">
        <is>
          <t>Once Upon A Team</t>
        </is>
      </c>
      <c r="AU4" s="24" t="inlineStr">
        <is>
          <t>Once Upon A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5bcf4e232e6e233164ffd78633a5487d986e0433e7ea70b93f7ff1c53933694d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5bcf4e232e6e233164ffd78633a5487d986e0433e7ea70b93f7ff1c53933694d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2026-08-04T16:54:18.441971Z</t>
        </is>
      </c>
      <c r="BI4" s="24" t="inlineStr">
        <is>
          <t>["same_event","same_team_same_day","same_league_same_day"]</t>
        </is>
      </c>
      <c r="BJ4" s="25" t="n"/>
      <c r="BK4" s="26" t="n">
        <v>-223</v>
      </c>
      <c r="BL4" s="27" t="n">
        <v>1.44843</v>
      </c>
      <c r="BM4" s="28" t="n">
        <v>0.690402</v>
      </c>
      <c r="BN4" s="28" t="n"/>
      <c r="BO4" s="28" t="n"/>
      <c r="BP4" s="25" t="n"/>
      <c r="BQ4" s="27" t="n">
        <v>1.44843</v>
      </c>
      <c r="BR4" s="28" t="n">
        <v>0.6899999999999999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312fecbe196f42f3</t>
        </is>
      </c>
      <c r="B5" s="24" t="inlineStr">
        <is>
          <t>2026-08-04T16:54:52.896251Z</t>
        </is>
      </c>
      <c r="C5" s="24" t="inlineStr">
        <is>
          <t>2026-08-04T18:00:00Z</t>
        </is>
      </c>
      <c r="D5" s="24" t="inlineStr">
        <is>
          <t>68689</t>
        </is>
      </c>
      <c r="E5" s="24" t="inlineStr">
        <is>
          <t>LOL</t>
        </is>
      </c>
      <c r="F5" s="24" t="inlineStr">
        <is>
          <t>Way Gaming Esports</t>
        </is>
      </c>
      <c r="G5" s="24" t="inlineStr">
        <is>
          <t>Capybara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0.550211</v>
      </c>
      <c r="P5" s="28" t="n"/>
      <c r="Q5" s="28" t="n">
        <v>-0.109653</v>
      </c>
      <c r="R5" s="26" t="n">
        <v>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-194</v>
      </c>
      <c r="AA5" s="28" t="n">
        <v>0.66</v>
      </c>
      <c r="AB5" s="28" t="n">
        <v>0.000136</v>
      </c>
      <c r="AC5" s="30" t="n">
        <v>0.5155</v>
      </c>
      <c r="AD5" s="24" t="inlineStr">
        <is>
          <t>2026-08-04T21:59:49.170570Z</t>
        </is>
      </c>
      <c r="AE5" s="31" t="inlineStr">
        <is>
          <t>Neutral Elo baseline; executable ask 0.6600 (market_slug=aec-lol-capy-wge-2026-08-04).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Way Gaming Esports</t>
        </is>
      </c>
      <c r="AQ5" s="24" t="inlineStr">
        <is>
          <t>Way Gaming Esports</t>
        </is>
      </c>
      <c r="AR5" s="24" t="inlineStr">
        <is>
          <t>Way Gaming Esports</t>
        </is>
      </c>
      <c r="AS5" s="24" t="inlineStr">
        <is>
          <t>Capybara Esports</t>
        </is>
      </c>
      <c r="AT5" s="24" t="inlineStr">
        <is>
          <t>Capybara Esports</t>
        </is>
      </c>
      <c r="AU5" s="24" t="inlineStr">
        <is>
          <t>Capybara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5bcf4e232e6e233164ffd78633a5487d986e0433e7ea70b93f7ff1c53933694d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5bcf4e232e6e233164ffd78633a5487d986e0433e7ea70b93f7ff1c53933694d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2026-08-04T16:54:19.015867Z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>
        <v>1.515464</v>
      </c>
      <c r="BR5" s="28" t="n">
        <v>0.66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b6b9be5e88d64498</t>
        </is>
      </c>
      <c r="B6" s="24" t="inlineStr">
        <is>
          <t>2026-08-04T16:54:52.896251Z</t>
        </is>
      </c>
      <c r="C6" s="24" t="inlineStr">
        <is>
          <t>2026-08-04T18:00:00Z</t>
        </is>
      </c>
      <c r="D6" s="24" t="inlineStr">
        <is>
          <t>68688</t>
        </is>
      </c>
      <c r="E6" s="24" t="inlineStr">
        <is>
          <t>LOL</t>
        </is>
      </c>
      <c r="F6" s="24" t="inlineStr">
        <is>
          <t>Joblife</t>
        </is>
      </c>
      <c r="G6" s="24" t="inlineStr">
        <is>
          <t>ZYB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0.530674</v>
      </c>
      <c r="P6" s="28" t="n"/>
      <c r="Q6" s="28" t="n">
        <v>0.02087</v>
      </c>
      <c r="R6" s="26" t="n">
        <v>30</v>
      </c>
      <c r="S6" s="29" t="n">
        <v>1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-104</v>
      </c>
      <c r="AA6" s="28" t="n">
        <v>0.51</v>
      </c>
      <c r="AB6" s="28" t="n">
        <v>0.000196</v>
      </c>
      <c r="AC6" s="30" t="n">
        <v>0.9615</v>
      </c>
      <c r="AD6" s="24" t="inlineStr">
        <is>
          <t>2026-08-04T21:59:50.731143Z</t>
        </is>
      </c>
      <c r="AE6" s="31" t="inlineStr">
        <is>
          <t>Neutral Elo baseline; executable ask 0.5100 (market_slug=aec-lol-zyb-jl-2026-08-04).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Joblife</t>
        </is>
      </c>
      <c r="AQ6" s="24" t="inlineStr">
        <is>
          <t>Joblife</t>
        </is>
      </c>
      <c r="AR6" s="24" t="inlineStr">
        <is>
          <t>Joblife</t>
        </is>
      </c>
      <c r="AS6" s="24" t="inlineStr">
        <is>
          <t>ZYB Esport</t>
        </is>
      </c>
      <c r="AT6" s="24" t="inlineStr">
        <is>
          <t>ZYB Esport</t>
        </is>
      </c>
      <c r="AU6" s="24" t="inlineStr">
        <is>
          <t>ZYB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5bcf4e232e6e233164ffd78633a5487d986e0433e7ea70b93f7ff1c53933694d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5bcf4e232e6e233164ffd78633a5487d986e0433e7ea70b93f7ff1c53933694d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2026-08-04T16:54:19.630031Z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>
        <v>1.961538</v>
      </c>
      <c r="BR6" s="28" t="n">
        <v>0.51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3985a2309660461e</t>
        </is>
      </c>
      <c r="B7" s="24" t="inlineStr">
        <is>
          <t>2026-08-04T18:08:50.279200Z</t>
        </is>
      </c>
      <c r="C7" s="24" t="inlineStr">
        <is>
          <t>2026-08-04T20:00:00Z</t>
        </is>
      </c>
      <c r="D7" s="24" t="inlineStr">
        <is>
          <t>69143</t>
        </is>
      </c>
      <c r="E7" s="24" t="inlineStr">
        <is>
          <t>LOL</t>
        </is>
      </c>
      <c r="F7" s="24" t="inlineStr">
        <is>
          <t>Malvinas Gaming</t>
        </is>
      </c>
      <c r="G7" s="24" t="inlineStr">
        <is>
          <t>Maze Gaming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-213</v>
      </c>
      <c r="M7" s="27" t="n">
        <v>1.469484</v>
      </c>
      <c r="N7" s="28" t="n">
        <v>0.680511</v>
      </c>
      <c r="O7" s="28" t="n">
        <v>0.6271600000000001</v>
      </c>
      <c r="P7" s="28" t="n"/>
      <c r="Q7" s="28" t="n">
        <v>-0.053351</v>
      </c>
      <c r="R7" s="26" t="n">
        <v>0</v>
      </c>
      <c r="S7" s="29" t="n">
        <v>1.5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-213</v>
      </c>
      <c r="AA7" s="28" t="n">
        <v>0.68</v>
      </c>
      <c r="AB7" s="28" t="n">
        <v>-0.000511</v>
      </c>
      <c r="AC7" s="30" t="n">
        <v>0.7042</v>
      </c>
      <c r="AD7" s="24" t="inlineStr">
        <is>
          <t>2026-08-05T01:06:23.548766Z</t>
        </is>
      </c>
      <c r="AE7" s="31" t="inlineStr">
        <is>
          <t>Neutral Elo baseline; executable ask 0.6800 (market_slug=aec-lol-maz-mg-2026-08-04).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Malvinas Gaming</t>
        </is>
      </c>
      <c r="AQ7" s="24" t="inlineStr">
        <is>
          <t>Malvinas Gaming</t>
        </is>
      </c>
      <c r="AR7" s="24" t="inlineStr">
        <is>
          <t>Malvinas Gaming</t>
        </is>
      </c>
      <c r="AS7" s="24" t="inlineStr">
        <is>
          <t>Maze Gaming</t>
        </is>
      </c>
      <c r="AT7" s="24" t="inlineStr">
        <is>
          <t>Maze Gaming</t>
        </is>
      </c>
      <c r="AU7" s="24" t="inlineStr">
        <is>
          <t>Maze Gaming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581bb511aff842f9af01d132a2c739b65878388c9d1d8f1182f28b3c271e9a2c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581bb511aff842f9af01d132a2c739b65878388c9d1d8f1182f28b3c271e9a2c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2026-08-04T18:08:13.789004Z</t>
        </is>
      </c>
      <c r="BI7" s="24" t="inlineStr">
        <is>
          <t>["same_event","same_team_same_day","same_league_same_day"]</t>
        </is>
      </c>
      <c r="BJ7" s="25" t="n"/>
      <c r="BK7" s="26" t="n">
        <v>-213</v>
      </c>
      <c r="BL7" s="27" t="n">
        <v>1.469484</v>
      </c>
      <c r="BM7" s="28" t="n">
        <v>0.680511</v>
      </c>
      <c r="BN7" s="28" t="n"/>
      <c r="BO7" s="28" t="n"/>
      <c r="BP7" s="25" t="n"/>
      <c r="BQ7" s="27" t="n">
        <v>1.469484</v>
      </c>
      <c r="BR7" s="28" t="n">
        <v>0.68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bd39184336f843dd</t>
        </is>
      </c>
      <c r="B8" s="24" t="inlineStr">
        <is>
          <t>2026-08-04T18:08:50.279200Z</t>
        </is>
      </c>
      <c r="C8" s="24" t="inlineStr">
        <is>
          <t>2026-08-04T20:00:00Z</t>
        </is>
      </c>
      <c r="D8" s="24" t="inlineStr">
        <is>
          <t>69144</t>
        </is>
      </c>
      <c r="E8" s="24" t="inlineStr">
        <is>
          <t>LOL</t>
        </is>
      </c>
      <c r="F8" s="24" t="inlineStr">
        <is>
          <t>INTZ e-Sports</t>
        </is>
      </c>
      <c r="G8" s="24" t="inlineStr">
        <is>
          <t>Vivo Keyd Stars Academy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0.56541</v>
      </c>
      <c r="P8" s="28" t="n"/>
      <c r="Q8" s="28" t="n">
        <v>0.11496</v>
      </c>
      <c r="R8" s="26" t="n">
        <v>77</v>
      </c>
      <c r="S8" s="29" t="n">
        <v>1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-1</v>
      </c>
      <c r="AD8" s="24" t="inlineStr">
        <is>
          <t>2026-08-04T21:59:53.354486Z</t>
        </is>
      </c>
      <c r="AE8" s="31" t="inlineStr">
        <is>
          <t>Neutral Elo baseline; executable ask 0.4500 (market_slug=aec-lol-vksa-itz-2026-08-04).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INTZ e-Sports</t>
        </is>
      </c>
      <c r="AQ8" s="24" t="inlineStr">
        <is>
          <t>INTZ e-Sports</t>
        </is>
      </c>
      <c r="AR8" s="24" t="inlineStr">
        <is>
          <t>INTZ e-Sports</t>
        </is>
      </c>
      <c r="AS8" s="24" t="inlineStr">
        <is>
          <t>Vivo Keyd Stars Academy</t>
        </is>
      </c>
      <c r="AT8" s="24" t="inlineStr">
        <is>
          <t>Vivo Keyd Stars Academy</t>
        </is>
      </c>
      <c r="AU8" s="24" t="inlineStr">
        <is>
          <t>Vivo Keyd Stars Academy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581bb511aff842f9af01d132a2c739b65878388c9d1d8f1182f28b3c271e9a2c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581bb511aff842f9af01d132a2c739b65878388c9d1d8f1182f28b3c271e9a2c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2026-08-04T18:08:14.538966Z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64fa4023946d4aeb</t>
        </is>
      </c>
      <c r="B9" s="24" t="inlineStr">
        <is>
          <t>2026-08-04T18:08:50.279200Z</t>
        </is>
      </c>
      <c r="C9" s="24" t="inlineStr">
        <is>
          <t>2026-08-04T20:00:00Z</t>
        </is>
      </c>
      <c r="D9" s="24" t="inlineStr">
        <is>
          <t>69141</t>
        </is>
      </c>
      <c r="E9" s="24" t="inlineStr">
        <is>
          <t>LOL</t>
        </is>
      </c>
      <c r="F9" s="24" t="inlineStr">
        <is>
          <t>Vitality.Bee</t>
        </is>
      </c>
      <c r="G9" s="24" t="inlineStr">
        <is>
          <t>Karmine Corp Blue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0.663313</v>
      </c>
      <c r="P9" s="28" t="n"/>
      <c r="Q9" s="28" t="n">
        <v>0.003449</v>
      </c>
      <c r="R9" s="26" t="n">
        <v>22</v>
      </c>
      <c r="S9" s="29" t="n">
        <v>1.75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0.9021</v>
      </c>
      <c r="AD9" s="24" t="inlineStr">
        <is>
          <t>2026-08-04T21:59:54.893203Z</t>
        </is>
      </c>
      <c r="AE9" s="31" t="inlineStr">
        <is>
          <t>Neutral Elo baseline; executable ask 0.6600 (market_slug=aec-lol-kcb-vitb-2026-08-04).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Vitality.Bee</t>
        </is>
      </c>
      <c r="AQ9" s="24" t="inlineStr">
        <is>
          <t>Vitality.Bee</t>
        </is>
      </c>
      <c r="AR9" s="24" t="inlineStr">
        <is>
          <t>Vitality.Bee</t>
        </is>
      </c>
      <c r="AS9" s="24" t="inlineStr">
        <is>
          <t>Karmine Corp Blue</t>
        </is>
      </c>
      <c r="AT9" s="24" t="inlineStr">
        <is>
          <t>Karmine Corp Blue</t>
        </is>
      </c>
      <c r="AU9" s="24" t="inlineStr">
        <is>
          <t>Karmine Corp Blue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581bb511aff842f9af01d132a2c739b65878388c9d1d8f1182f28b3c271e9a2c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581bb511aff842f9af01d132a2c739b65878388c9d1d8f1182f28b3c271e9a2c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2026-08-04T18:08:15.286337Z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>
        <v>1</v>
      </c>
      <c r="BY9" s="27" t="n">
        <v>0.91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a4b03c6c306f403b</t>
        </is>
      </c>
      <c r="B10" s="24" t="inlineStr">
        <is>
          <t>2026-08-04T18:08:50.279200Z</t>
        </is>
      </c>
      <c r="C10" s="24" t="inlineStr">
        <is>
          <t>2026-08-04T21:00:00Z</t>
        </is>
      </c>
      <c r="D10" s="24" t="inlineStr">
        <is>
          <t>69234</t>
        </is>
      </c>
      <c r="E10" s="24" t="inlineStr">
        <is>
          <t>LOL</t>
        </is>
      </c>
      <c r="F10" s="24" t="inlineStr">
        <is>
          <t>Bubliki</t>
        </is>
      </c>
      <c r="G10" s="24" t="inlineStr">
        <is>
          <t>Francesinhas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0.518543</v>
      </c>
      <c r="P10" s="28" t="n"/>
      <c r="Q10" s="28" t="n">
        <v>0.078014</v>
      </c>
      <c r="R10" s="26" t="n">
        <v>59</v>
      </c>
      <c r="S10" s="29" t="n">
        <v>1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127</v>
      </c>
      <c r="AA10" s="28" t="n">
        <v>0.44</v>
      </c>
      <c r="AB10" s="28" t="n">
        <v>-0.000529</v>
      </c>
      <c r="AC10" s="30" t="n">
        <v>-1</v>
      </c>
      <c r="AD10" s="24" t="inlineStr">
        <is>
          <t>2026-08-04T21:59:56.428752Z</t>
        </is>
      </c>
      <c r="AE10" s="31" t="inlineStr">
        <is>
          <t>Neutral Elo baseline; executable ask 0.4400 (market_slug=aec-lol-fcn-bub-2026-08-04).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Bubliki</t>
        </is>
      </c>
      <c r="AQ10" s="24" t="inlineStr">
        <is>
          <t>Bubliki</t>
        </is>
      </c>
      <c r="AR10" s="24" t="inlineStr">
        <is>
          <t>Bubliki</t>
        </is>
      </c>
      <c r="AS10" s="24" t="inlineStr">
        <is>
          <t>Francesinhas</t>
        </is>
      </c>
      <c r="AT10" s="24" t="inlineStr">
        <is>
          <t>Francesinhas</t>
        </is>
      </c>
      <c r="AU10" s="24" t="inlineStr">
        <is>
          <t>Francesinhas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581bb511aff842f9af01d132a2c739b65878388c9d1d8f1182f28b3c271e9a2c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581bb511aff842f9af01d132a2c739b65878388c9d1d8f1182f28b3c271e9a2c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2026-08-04T18:08:16.046088Z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>
        <v>2.27</v>
      </c>
      <c r="BR10" s="28" t="n">
        <v>0.44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7c589802e1654dae</t>
        </is>
      </c>
      <c r="B11" s="24" t="inlineStr">
        <is>
          <t>2026-08-04T18:08:50.279200Z</t>
        </is>
      </c>
      <c r="C11" s="24" t="inlineStr">
        <is>
          <t>2026-08-04T21:00:00Z</t>
        </is>
      </c>
      <c r="D11" s="24" t="inlineStr">
        <is>
          <t>69233</t>
        </is>
      </c>
      <c r="E11" s="24" t="inlineStr">
        <is>
          <t>LOL</t>
        </is>
      </c>
      <c r="F11" s="24" t="inlineStr">
        <is>
          <t>Team Solid</t>
        </is>
      </c>
      <c r="G11" s="24" t="inlineStr">
        <is>
          <t>RED Academy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203</v>
      </c>
      <c r="M11" s="27" t="n">
        <v>3.03</v>
      </c>
      <c r="N11" s="28" t="n">
        <v>0.330033</v>
      </c>
      <c r="O11" s="28" t="n">
        <v>0.552115</v>
      </c>
      <c r="P11" s="28" t="n"/>
      <c r="Q11" s="28" t="n">
        <v>0.222082</v>
      </c>
      <c r="R11" s="26" t="n">
        <v>100</v>
      </c>
      <c r="S11" s="29" t="n">
        <v>1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203</v>
      </c>
      <c r="AA11" s="28" t="n">
        <v>0.33</v>
      </c>
      <c r="AB11" s="28" t="n">
        <v>-3.3e-05</v>
      </c>
      <c r="AC11" s="30" t="n">
        <v>-1</v>
      </c>
      <c r="AD11" s="24" t="inlineStr">
        <is>
          <t>2026-08-05T01:06:26.072414Z</t>
        </is>
      </c>
      <c r="AE11" s="31" t="inlineStr">
        <is>
          <t>Neutral Elo baseline; executable ask 0.3300 (market_slug=aec-lol-reda-tse-2026-08-04).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Team Solid</t>
        </is>
      </c>
      <c r="AQ11" s="24" t="inlineStr">
        <is>
          <t>Team Solid</t>
        </is>
      </c>
      <c r="AR11" s="24" t="inlineStr">
        <is>
          <t>Team Solid</t>
        </is>
      </c>
      <c r="AS11" s="24" t="inlineStr">
        <is>
          <t>RED Academy</t>
        </is>
      </c>
      <c r="AT11" s="24" t="inlineStr">
        <is>
          <t>RED Academy</t>
        </is>
      </c>
      <c r="AU11" s="24" t="inlineStr">
        <is>
          <t>RED Academy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581bb511aff842f9af01d132a2c739b65878388c9d1d8f1182f28b3c271e9a2c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581bb511aff842f9af01d132a2c739b65878388c9d1d8f1182f28b3c271e9a2c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2026-08-04T18:08:16.814975Z</t>
        </is>
      </c>
      <c r="BI11" s="24" t="inlineStr">
        <is>
          <t>["same_event","same_team_same_day","same_league_same_day"]</t>
        </is>
      </c>
      <c r="BJ11" s="25" t="n"/>
      <c r="BK11" s="26" t="n">
        <v>203</v>
      </c>
      <c r="BL11" s="27" t="n">
        <v>3.03</v>
      </c>
      <c r="BM11" s="28" t="n">
        <v>0.330033</v>
      </c>
      <c r="BN11" s="28" t="n"/>
      <c r="BO11" s="28" t="n"/>
      <c r="BP11" s="25" t="n"/>
      <c r="BQ11" s="27" t="n">
        <v>3.03</v>
      </c>
      <c r="BR11" s="28" t="n">
        <v>0.33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b93c869bd9034b6b</t>
        </is>
      </c>
      <c r="B12" s="24" t="inlineStr">
        <is>
          <t>2026-08-04T18:08:50.279200Z</t>
        </is>
      </c>
      <c r="C12" s="24" t="inlineStr">
        <is>
          <t>2026-08-04T22:00:00Z</t>
        </is>
      </c>
      <c r="D12" s="24" t="inlineStr">
        <is>
          <t>69273</t>
        </is>
      </c>
      <c r="E12" s="24" t="inlineStr">
        <is>
          <t>LOL</t>
        </is>
      </c>
      <c r="F12" s="24" t="inlineStr">
        <is>
          <t>RMD Gaming</t>
        </is>
      </c>
      <c r="G12" s="24" t="inlineStr">
        <is>
          <t>7REX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0.610688</v>
      </c>
      <c r="P12" s="28" t="n"/>
      <c r="Q12" s="28" t="n">
        <v>0.08017199999999999</v>
      </c>
      <c r="R12" s="26" t="n">
        <v>60</v>
      </c>
      <c r="S12" s="29" t="n">
        <v>1.5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1.3274</v>
      </c>
      <c r="AD12" s="24" t="inlineStr">
        <is>
          <t>2026-08-05T01:06:28.260008Z</t>
        </is>
      </c>
      <c r="AE12" s="31" t="inlineStr">
        <is>
          <t>Neutral Elo baseline; executable ask 0.5300 (market_slug=aec-lol-7rex-rmd-2026-08-04).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RMD Gaming</t>
        </is>
      </c>
      <c r="AQ12" s="24" t="inlineStr">
        <is>
          <t>RMD Gaming</t>
        </is>
      </c>
      <c r="AR12" s="24" t="inlineStr">
        <is>
          <t>RMD Gaming</t>
        </is>
      </c>
      <c r="AS12" s="24" t="inlineStr">
        <is>
          <t>7REX</t>
        </is>
      </c>
      <c r="AT12" s="24" t="inlineStr">
        <is>
          <t>7REX</t>
        </is>
      </c>
      <c r="AU12" s="24" t="inlineStr">
        <is>
          <t>7REX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581bb511aff842f9af01d132a2c739b65878388c9d1d8f1182f28b3c271e9a2c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581bb511aff842f9af01d132a2c739b65878388c9d1d8f1182f28b3c271e9a2c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2026-08-04T18:08:17.591273Z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c139e1599b324f74</t>
        </is>
      </c>
      <c r="B13" s="24" t="inlineStr">
        <is>
          <t>2026-08-04T22:03:07.434111Z</t>
        </is>
      </c>
      <c r="C13" s="24" t="inlineStr">
        <is>
          <t>2026-08-04T23:00:00Z</t>
        </is>
      </c>
      <c r="D13" s="24" t="inlineStr">
        <is>
          <t>69304</t>
        </is>
      </c>
      <c r="E13" s="24" t="inlineStr">
        <is>
          <t>LOL</t>
        </is>
      </c>
      <c r="F13" s="24" t="inlineStr">
        <is>
          <t>paiN Gaming Academy</t>
        </is>
      </c>
      <c r="G13" s="24" t="inlineStr">
        <is>
          <t>KaBuM! Ilha das Lendas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0.542093</v>
      </c>
      <c r="P13" s="28" t="n"/>
      <c r="Q13" s="28" t="n">
        <v>0.002922</v>
      </c>
      <c r="R13" s="26" t="n">
        <v>21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2026-08-05T01:06:31.023142Z</t>
        </is>
      </c>
      <c r="AE13" s="31" t="inlineStr">
        <is>
          <t>Neutral Elo baseline; executable ask 0.5400 (market_slug=aec-lol-kbm-pnga-2026-08-04).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paiN Gaming Academy</t>
        </is>
      </c>
      <c r="AQ13" s="24" t="inlineStr">
        <is>
          <t>paiN Gaming Academy</t>
        </is>
      </c>
      <c r="AR13" s="24" t="inlineStr">
        <is>
          <t>paiN Gaming Academy</t>
        </is>
      </c>
      <c r="AS13" s="24" t="inlineStr">
        <is>
          <t>KaBuM! Ilha das Lendas</t>
        </is>
      </c>
      <c r="AT13" s="24" t="inlineStr">
        <is>
          <t>KaBuM! Ilha das Lendas</t>
        </is>
      </c>
      <c r="AU13" s="24" t="inlineStr">
        <is>
          <t>KaBuM! Ilha das Lendas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97b6e7d388d98e9492a794fb2cdef05114fd516a988a71f95285158326a46434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97b6e7d388d98e9492a794fb2cdef05114fd516a988a71f95285158326a46434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2026-08-04T22:02:38.695907Z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b2a95723c8aa4852</t>
        </is>
      </c>
      <c r="B14" s="24" t="inlineStr">
        <is>
          <t>2026-08-05T04:39:12.089327Z</t>
        </is>
      </c>
      <c r="C14" s="24" t="inlineStr">
        <is>
          <t>2026-08-05T05:00:00Z</t>
        </is>
      </c>
      <c r="D14" s="24" t="inlineStr">
        <is>
          <t>69506</t>
        </is>
      </c>
      <c r="E14" s="24" t="inlineStr">
        <is>
          <t>LOL</t>
        </is>
      </c>
      <c r="F14" s="24" t="inlineStr">
        <is>
          <t>Kiwoom DRX Challengers</t>
        </is>
      </c>
      <c r="G14" s="24" t="inlineStr">
        <is>
          <t>BNK FearX Youth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138</v>
      </c>
      <c r="M14" s="27" t="n">
        <v>2.38</v>
      </c>
      <c r="N14" s="28" t="n">
        <v>0.420168</v>
      </c>
      <c r="O14" s="28" t="n">
        <v>0.5592200000000001</v>
      </c>
      <c r="P14" s="28" t="n"/>
      <c r="Q14" s="28" t="n">
        <v>0.139052</v>
      </c>
      <c r="R14" s="26" t="n">
        <v>90</v>
      </c>
      <c r="S14" s="29" t="n">
        <v>1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-0.010168</v>
      </c>
      <c r="AC14" s="30" t="n">
        <v>-1</v>
      </c>
      <c r="AD14" s="24" t="inlineStr">
        <is>
          <t>2026-08-05T10:17:46.347305Z</t>
        </is>
      </c>
      <c r="AE14" s="31" t="inlineStr">
        <is>
          <t>Neutral Elo baseline; executable ask 0.4200 (market_slug=aec-lol-foxy-krxc-2026-08-05).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Kiwoom DRX Challengers</t>
        </is>
      </c>
      <c r="AQ14" s="24" t="inlineStr">
        <is>
          <t>Kiwoom DRX Challengers</t>
        </is>
      </c>
      <c r="AR14" s="24" t="inlineStr">
        <is>
          <t>Kiwoom DRX Challengers</t>
        </is>
      </c>
      <c r="AS14" s="24" t="inlineStr">
        <is>
          <t>BNK FearX Youth</t>
        </is>
      </c>
      <c r="AT14" s="24" t="inlineStr">
        <is>
          <t>BNK FearX Youth</t>
        </is>
      </c>
      <c r="AU14" s="24" t="inlineStr">
        <is>
          <t>BNK FearX Youth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9a8d5ad7f045de5eb1cb17aea82bbcf9812b40ca30a6256eba6436fea9a94482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9a8d5ad7f045de5eb1cb17aea82bbcf9812b40ca30a6256eba6436fea9a94482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2026-08-05T04:38:09.799050Z</t>
        </is>
      </c>
      <c r="BI14" s="24" t="inlineStr">
        <is>
          <t>["same_event","same_team_same_day","same_league_same_day"]</t>
        </is>
      </c>
      <c r="BJ14" s="25" t="n"/>
      <c r="BK14" s="26" t="n">
        <v>138</v>
      </c>
      <c r="BL14" s="27" t="n">
        <v>2.38</v>
      </c>
      <c r="BM14" s="28" t="n">
        <v>0.420168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a8af35d46d754d4b</t>
        </is>
      </c>
      <c r="B15" s="24" t="inlineStr">
        <is>
          <t>2026-08-05T04:39:12.089327Z</t>
        </is>
      </c>
      <c r="C15" s="24" t="inlineStr">
        <is>
          <t>2026-08-05T05:00:00Z</t>
        </is>
      </c>
      <c r="D15" s="24" t="inlineStr">
        <is>
          <t>69507</t>
        </is>
      </c>
      <c r="E15" s="24" t="inlineStr">
        <is>
          <t>LOL</t>
        </is>
      </c>
      <c r="F15" s="24" t="inlineStr">
        <is>
          <t>Nongshim Esports Academy</t>
        </is>
      </c>
      <c r="G15" s="24" t="inlineStr">
        <is>
          <t>Dplus KIA Challengers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0.675544</v>
      </c>
      <c r="P15" s="28" t="n"/>
      <c r="Q15" s="28" t="n">
        <v>0.16574</v>
      </c>
      <c r="R15" s="26" t="n">
        <v>100</v>
      </c>
      <c r="S15" s="29" t="n">
        <v>1.75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-104</v>
      </c>
      <c r="AA15" s="28" t="n">
        <v>0.51</v>
      </c>
      <c r="AB15" s="28" t="n">
        <v>0.000196</v>
      </c>
      <c r="AC15" s="30" t="n">
        <v>1.6827</v>
      </c>
      <c r="AD15" s="24" t="inlineStr">
        <is>
          <t>2026-08-05T10:17:48.746724Z</t>
        </is>
      </c>
      <c r="AE15" s="31" t="inlineStr">
        <is>
          <t>Neutral Elo baseline; executable ask 0.5100 (market_slug=aec-lol-dkc-nsea-2026-08-05).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Nongshim Esports Academy</t>
        </is>
      </c>
      <c r="AQ15" s="24" t="inlineStr">
        <is>
          <t>Nongshim Esports Academy</t>
        </is>
      </c>
      <c r="AR15" s="24" t="inlineStr">
        <is>
          <t>Nongshim Esports Academy</t>
        </is>
      </c>
      <c r="AS15" s="24" t="inlineStr">
        <is>
          <t>Dplus KIA Challengers</t>
        </is>
      </c>
      <c r="AT15" s="24" t="inlineStr">
        <is>
          <t>Dplus KIA Challengers</t>
        </is>
      </c>
      <c r="AU15" s="24" t="inlineStr">
        <is>
          <t>Dplus KIA Challengers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9a8d5ad7f045de5eb1cb17aea82bbcf9812b40ca30a6256eba6436fea9a94482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9a8d5ad7f045de5eb1cb17aea82bbcf9812b40ca30a6256eba6436fea9a94482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2026-08-05T04:38:10.815485Z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>
        <v>1.961538</v>
      </c>
      <c r="BR15" s="28" t="n">
        <v>0.51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60355cfdd4f64949</t>
        </is>
      </c>
      <c r="B16" s="24" t="inlineStr">
        <is>
          <t>2026-08-05T04:39:12.089327Z</t>
        </is>
      </c>
      <c r="C16" s="24" t="inlineStr">
        <is>
          <t>2026-08-05T08:00:00Z</t>
        </is>
      </c>
      <c r="D16" s="24" t="inlineStr">
        <is>
          <t>69511</t>
        </is>
      </c>
      <c r="E16" s="24" t="inlineStr">
        <is>
          <t>LOL</t>
        </is>
      </c>
      <c r="F16" s="24" t="inlineStr">
        <is>
          <t>New Meta</t>
        </is>
      </c>
      <c r="G16" s="24" t="inlineStr">
        <is>
          <t>FENNEL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-223</v>
      </c>
      <c r="M16" s="27" t="n">
        <v>1.44843</v>
      </c>
      <c r="N16" s="28" t="n">
        <v>0.690402</v>
      </c>
      <c r="O16" s="28" t="n">
        <v>0.692195</v>
      </c>
      <c r="P16" s="28" t="n"/>
      <c r="Q16" s="28" t="n">
        <v>0.001793</v>
      </c>
      <c r="R16" s="26" t="n">
        <v>21</v>
      </c>
      <c r="S16" s="29" t="n">
        <v>2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-223</v>
      </c>
      <c r="AA16" s="28" t="n">
        <v>0.6899999999999999</v>
      </c>
      <c r="AB16" s="28" t="n">
        <v>-0.000402</v>
      </c>
      <c r="AC16" s="30" t="n">
        <v>0.8969</v>
      </c>
      <c r="AD16" s="24" t="inlineStr">
        <is>
          <t>2026-08-05T10:41:19.592577Z</t>
        </is>
      </c>
      <c r="AE16" s="31" t="inlineStr">
        <is>
          <t>Neutral Elo baseline; executable ask 0.6900 (market_slug=aec-lol-fnl-nme-2026-08-05).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New Meta</t>
        </is>
      </c>
      <c r="AQ16" s="24" t="inlineStr">
        <is>
          <t>New Meta</t>
        </is>
      </c>
      <c r="AR16" s="24" t="inlineStr">
        <is>
          <t>New Meta</t>
        </is>
      </c>
      <c r="AS16" s="24" t="inlineStr">
        <is>
          <t>FENNEL</t>
        </is>
      </c>
      <c r="AT16" s="24" t="inlineStr">
        <is>
          <t>FENNEL</t>
        </is>
      </c>
      <c r="AU16" s="24" t="inlineStr">
        <is>
          <t>FENNEL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9a8d5ad7f045de5eb1cb17aea82bbcf9812b40ca30a6256eba6436fea9a94482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9a8d5ad7f045de5eb1cb17aea82bbcf9812b40ca30a6256eba6436fea9a94482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2026-08-05T04:38:12.003217Z</t>
        </is>
      </c>
      <c r="BI16" s="24" t="inlineStr">
        <is>
          <t>["same_event","same_team_same_day","same_league_same_day"]</t>
        </is>
      </c>
      <c r="BJ16" s="25" t="n"/>
      <c r="BK16" s="26" t="n">
        <v>-223</v>
      </c>
      <c r="BL16" s="27" t="n">
        <v>1.44843</v>
      </c>
      <c r="BM16" s="28" t="n">
        <v>0.690402</v>
      </c>
      <c r="BN16" s="28" t="n"/>
      <c r="BO16" s="28" t="n"/>
      <c r="BP16" s="25" t="n"/>
      <c r="BQ16" s="27" t="n">
        <v>1.44843</v>
      </c>
      <c r="BR16" s="28" t="n">
        <v>0.6899999999999999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ad28733883f34051</t>
        </is>
      </c>
      <c r="B17" s="24" t="inlineStr">
        <is>
          <t>2026-08-05T04:39:12.089327Z</t>
        </is>
      </c>
      <c r="C17" s="24" t="inlineStr">
        <is>
          <t>2026-08-05T08:00:00Z</t>
        </is>
      </c>
      <c r="D17" s="24" t="inlineStr">
        <is>
          <t>69512</t>
        </is>
      </c>
      <c r="E17" s="24" t="inlineStr">
        <is>
          <t>LOL</t>
        </is>
      </c>
      <c r="F17" s="24" t="inlineStr">
        <is>
          <t>Nongshim Red Force</t>
        </is>
      </c>
      <c r="G17" s="24" t="inlineStr">
        <is>
          <t>HANJIN BRION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0.7818929999999999</v>
      </c>
      <c r="P17" s="28" t="n"/>
      <c r="Q17" s="28" t="n">
        <v>0.082193</v>
      </c>
      <c r="R17" s="26" t="n">
        <v>61</v>
      </c>
      <c r="S17" s="29" t="n">
        <v>2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-2</v>
      </c>
      <c r="AD17" s="24" t="inlineStr">
        <is>
          <t>2026-08-05T10:41:21.920279Z</t>
        </is>
      </c>
      <c r="AE17" s="31" t="inlineStr">
        <is>
          <t>Neutral Elo baseline; executable ask 0.7000 (market_slug=aec-lol-bro-ns-2026-08-05).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Red Force</t>
        </is>
      </c>
      <c r="AQ17" s="24" t="inlineStr">
        <is>
          <t>Nongshim Red Force</t>
        </is>
      </c>
      <c r="AR17" s="24" t="inlineStr">
        <is>
          <t>Nongshim Red Force</t>
        </is>
      </c>
      <c r="AS17" s="24" t="inlineStr">
        <is>
          <t>HANJIN BRION</t>
        </is>
      </c>
      <c r="AT17" s="24" t="inlineStr">
        <is>
          <t>HANJIN BRION</t>
        </is>
      </c>
      <c r="AU17" s="24" t="inlineStr">
        <is>
          <t>HANJIN BRION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9a8d5ad7f045de5eb1cb17aea82bbcf9812b40ca30a6256eba6436fea9a94482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9a8d5ad7f045de5eb1cb17aea82bbcf9812b40ca30a6256eba6436fea9a94482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2026-08-05T04:38:12.947438Z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1b6389cb8a3749e3</t>
        </is>
      </c>
      <c r="B18" s="24" t="inlineStr">
        <is>
          <t>2026-08-05T04:39:12.089327Z</t>
        </is>
      </c>
      <c r="C18" s="24" t="inlineStr">
        <is>
          <t>2026-08-05T10:00:00Z</t>
        </is>
      </c>
      <c r="D18" s="24" t="inlineStr">
        <is>
          <t>69539</t>
        </is>
      </c>
      <c r="E18" s="24" t="inlineStr">
        <is>
          <t>LOL</t>
        </is>
      </c>
      <c r="F18" s="24" t="inlineStr">
        <is>
          <t>Gen.G</t>
        </is>
      </c>
      <c r="G18" s="24" t="inlineStr">
        <is>
          <t>Hanwha Life Esports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0.6212029999999999</v>
      </c>
      <c r="P18" s="28" t="n"/>
      <c r="Q18" s="28" t="n">
        <v>0.101972</v>
      </c>
      <c r="R18" s="26" t="n">
        <v>71</v>
      </c>
      <c r="S18" s="29" t="n">
        <v>1.5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-108</v>
      </c>
      <c r="AA18" s="28" t="n">
        <v>0.52</v>
      </c>
      <c r="AB18" s="28" t="n">
        <v>0.000769</v>
      </c>
      <c r="AC18" s="30" t="n">
        <v>-1.5</v>
      </c>
      <c r="AD18" s="24" t="inlineStr">
        <is>
          <t>2026-08-05T17:00:47.637235Z</t>
        </is>
      </c>
      <c r="AE18" s="31" t="inlineStr">
        <is>
          <t>Neutral Elo baseline; executable ask 0.5200 (market_slug=aec-lol-hle-gen-2026-08-05).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</t>
        </is>
      </c>
      <c r="AQ18" s="24" t="inlineStr">
        <is>
          <t>Gen.G</t>
        </is>
      </c>
      <c r="AR18" s="24" t="inlineStr">
        <is>
          <t>Gen.G</t>
        </is>
      </c>
      <c r="AS18" s="24" t="inlineStr">
        <is>
          <t>Hanwha Life Esports</t>
        </is>
      </c>
      <c r="AT18" s="24" t="inlineStr">
        <is>
          <t>Hanwha Life Esports</t>
        </is>
      </c>
      <c r="AU18" s="24" t="inlineStr">
        <is>
          <t>Hanwha Life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2026-08-05T04:38:15.141988Z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>
        <v>1.925926</v>
      </c>
      <c r="BR18" s="28" t="n">
        <v>0.52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244e97086bfd444f</t>
        </is>
      </c>
      <c r="B19" s="24" t="inlineStr">
        <is>
          <t>2026-08-05T13:56:43.896254Z</t>
        </is>
      </c>
      <c r="C19" s="24" t="inlineStr">
        <is>
          <t>2026-08-05T16:00:00Z</t>
        </is>
      </c>
      <c r="D19" s="24" t="inlineStr">
        <is>
          <t>69818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JSK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138</v>
      </c>
      <c r="M19" s="27" t="n">
        <v>2.38</v>
      </c>
      <c r="N19" s="28" t="n">
        <v>0.420168</v>
      </c>
      <c r="O19" s="28" t="n">
        <v>0.513767</v>
      </c>
      <c r="P19" s="28" t="n"/>
      <c r="Q19" s="28" t="n">
        <v>0.093599</v>
      </c>
      <c r="R19" s="26" t="n">
        <v>67</v>
      </c>
      <c r="S19" s="29" t="n">
        <v>1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138</v>
      </c>
      <c r="AA19" s="28" t="n">
        <v>0.42</v>
      </c>
      <c r="AB19" s="28" t="n">
        <v>-0.000168</v>
      </c>
      <c r="AC19" s="30" t="n">
        <v>-1</v>
      </c>
      <c r="AD19" s="24" t="inlineStr">
        <is>
          <t>2026-08-05T20:59:36.529356Z</t>
        </is>
      </c>
      <c r="AE19" s="31" t="inlineStr">
        <is>
          <t>Neutral Elo baseline; executable ask 0.4200 (market_slug=aec-lol-jsk-piv-2026-08-05).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JSK Esports</t>
        </is>
      </c>
      <c r="AT19" s="24" t="inlineStr">
        <is>
          <t>JSK Esports</t>
        </is>
      </c>
      <c r="AU19" s="24" t="inlineStr">
        <is>
          <t>JSK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3b2b7fa569f62411a6dc2753c695e98717a67f225e8074aac963d117b250c28b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3b2b7fa569f62411a6dc2753c695e98717a67f225e8074aac963d117b250c28b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2026-08-05T13:56:11.509518Z</t>
        </is>
      </c>
      <c r="BI19" s="24" t="inlineStr">
        <is>
          <t>["same_event","same_team_same_day","same_league_same_day"]</t>
        </is>
      </c>
      <c r="BJ19" s="25" t="n"/>
      <c r="BK19" s="26" t="n">
        <v>138</v>
      </c>
      <c r="BL19" s="27" t="n">
        <v>2.38</v>
      </c>
      <c r="BM19" s="28" t="n">
        <v>0.420168</v>
      </c>
      <c r="BN19" s="28" t="n"/>
      <c r="BO19" s="28" t="n"/>
      <c r="BP19" s="25" t="n"/>
      <c r="BQ19" s="27" t="n">
        <v>2.38</v>
      </c>
      <c r="BR19" s="28" t="n">
        <v>0.42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00dd5007324144cb</t>
        </is>
      </c>
      <c r="B20" s="24" t="inlineStr">
        <is>
          <t>2026-08-05T13:56:43.896254Z</t>
        </is>
      </c>
      <c r="C20" s="24" t="inlineStr">
        <is>
          <t>2026-08-05T16:00:00Z</t>
        </is>
      </c>
      <c r="D20" s="24" t="inlineStr">
        <is>
          <t>69819</t>
        </is>
      </c>
      <c r="E20" s="24" t="inlineStr">
        <is>
          <t>LOL</t>
        </is>
      </c>
      <c r="F20" s="24" t="inlineStr">
        <is>
          <t>Epic Avalanche</t>
        </is>
      </c>
      <c r="G20" s="24" t="inlineStr">
        <is>
          <t>Brod n Friends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0.530813</v>
      </c>
      <c r="P20" s="28" t="n"/>
      <c r="Q20" s="28" t="n">
        <v>-0.109475</v>
      </c>
      <c r="R20" s="26" t="n">
        <v>0</v>
      </c>
      <c r="S20" s="29" t="n">
        <v>1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-178</v>
      </c>
      <c r="AA20" s="28" t="n">
        <v>0.64</v>
      </c>
      <c r="AB20" s="28" t="n">
        <v>-0.000288</v>
      </c>
      <c r="AC20" s="30" t="n">
        <v>0.5618</v>
      </c>
      <c r="AD20" s="24" t="inlineStr">
        <is>
          <t>2026-08-05T20:59:38.302579Z</t>
        </is>
      </c>
      <c r="AE20" s="31" t="inlineStr">
        <is>
          <t>Neutral Elo baseline; executable ask 0.6400 (market_slug=aec-lol-bnf-ea-2026-08-05).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Epic Avalanche</t>
        </is>
      </c>
      <c r="AQ20" s="24" t="inlineStr">
        <is>
          <t>Epic Avalanche</t>
        </is>
      </c>
      <c r="AR20" s="24" t="inlineStr">
        <is>
          <t>Epic Avalanche</t>
        </is>
      </c>
      <c r="AS20" s="24" t="inlineStr">
        <is>
          <t>Brod n Friends</t>
        </is>
      </c>
      <c r="AT20" s="24" t="inlineStr">
        <is>
          <t>Brod n Friends</t>
        </is>
      </c>
      <c r="AU20" s="24" t="inlineStr">
        <is>
          <t>Brod n Friends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3b2b7fa569f62411a6dc2753c695e98717a67f225e8074aac963d117b250c28b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3b2b7fa569f62411a6dc2753c695e98717a67f225e8074aac963d117b250c28b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2026-08-05T13:56:12.050160Z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>
        <v>1.561798</v>
      </c>
      <c r="BR20" s="28" t="n">
        <v>0.64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e600d12fed3b4a7c</t>
        </is>
      </c>
      <c r="B21" s="24" t="inlineStr">
        <is>
          <t>2026-08-05T13:56:43.896254Z</t>
        </is>
      </c>
      <c r="C21" s="24" t="inlineStr">
        <is>
          <t>2026-08-05T17:00:00Z</t>
        </is>
      </c>
      <c r="D21" s="24" t="inlineStr">
        <is>
          <t>69871</t>
        </is>
      </c>
      <c r="E21" s="24" t="inlineStr">
        <is>
          <t>LOL</t>
        </is>
      </c>
      <c r="F21" s="24" t="inlineStr">
        <is>
          <t>Kaufland Hangry Knights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0.54899</v>
      </c>
      <c r="P21" s="28" t="n"/>
      <c r="Q21" s="28" t="n">
        <v>0.058794</v>
      </c>
      <c r="R21" s="26" t="n">
        <v>49</v>
      </c>
      <c r="S21" s="29" t="n">
        <v>1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104</v>
      </c>
      <c r="AA21" s="28" t="n">
        <v>0.49</v>
      </c>
      <c r="AB21" s="28" t="n">
        <v>-0.000196</v>
      </c>
      <c r="AC21" s="30" t="n">
        <v>1.04</v>
      </c>
      <c r="AD21" s="24" t="inlineStr">
        <is>
          <t>2026-08-05T20:59:40.019407Z</t>
        </is>
      </c>
      <c r="AE21" s="31" t="inlineStr">
        <is>
          <t>Neutral Elo baseline; executable ask 0.4900 (market_slug=aec-lol-tog-khk-2026-08-05).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Kaufland Hangry Knights</t>
        </is>
      </c>
      <c r="AQ21" s="24" t="inlineStr">
        <is>
          <t>Kaufland Hangry Knights</t>
        </is>
      </c>
      <c r="AR21" s="24" t="inlineStr">
        <is>
          <t>Kaufland Hangry Knights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3b2b7fa569f62411a6dc2753c695e98717a67f225e8074aac963d117b250c28b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3b2b7fa569f62411a6dc2753c695e98717a67f225e8074aac963d117b250c28b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2026-08-05T13:56:13.554249Z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>
        <v>2.04</v>
      </c>
      <c r="BR21" s="28" t="n">
        <v>0.49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d64b7da574c04576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70569</t>
        </is>
      </c>
      <c r="E22" s="24" t="inlineStr">
        <is>
          <t>LOL</t>
        </is>
      </c>
      <c r="F22" s="24" t="inlineStr">
        <is>
          <t>devils.one inStreamly</t>
        </is>
      </c>
      <c r="G22" s="24" t="inlineStr">
        <is>
          <t>BOMBA Team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0.761043</v>
      </c>
      <c r="P22" s="28" t="n"/>
      <c r="Q22" s="28" t="n">
        <v>0.230527</v>
      </c>
      <c r="R22" s="26" t="n">
        <v>100</v>
      </c>
      <c r="S22" s="29" t="n">
        <v>2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-2</v>
      </c>
      <c r="AD22" s="24" t="inlineStr">
        <is>
          <t>2026-08-05T20:59:41.741741Z</t>
        </is>
      </c>
      <c r="AE22" s="31" t="inlineStr">
        <is>
          <t>Neutral Elo baseline; executable ask 0.5300 (market_slug=aec-lol-boom-dv1-2026-08-05).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devils.one inStreamly</t>
        </is>
      </c>
      <c r="AQ22" s="24" t="inlineStr">
        <is>
          <t>devils.one inStreamly</t>
        </is>
      </c>
      <c r="AR22" s="24" t="inlineStr">
        <is>
          <t>devils.one inStreamly</t>
        </is>
      </c>
      <c r="AS22" s="24" t="inlineStr">
        <is>
          <t>BOMBA Team</t>
        </is>
      </c>
      <c r="AT22" s="24" t="inlineStr">
        <is>
          <t>BOMBA Team</t>
        </is>
      </c>
      <c r="AU22" s="24" t="inlineStr">
        <is>
          <t>BOMBA Team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2026-08-05T13:56:15.101150Z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3ec88eeb906b4de5</t>
        </is>
      </c>
      <c r="B23" s="24" t="inlineStr">
        <is>
          <t>2026-08-05T17:05:09.750488Z</t>
        </is>
      </c>
      <c r="C23" s="24" t="inlineStr">
        <is>
          <t>2026-08-05T17:30:00Z</t>
        </is>
      </c>
      <c r="D23" s="24" t="inlineStr">
        <is>
          <t>69931</t>
        </is>
      </c>
      <c r="E23" s="24" t="inlineStr">
        <is>
          <t>LOL</t>
        </is>
      </c>
      <c r="F23" s="24" t="inlineStr">
        <is>
          <t>⁠Movistar KOI Fénix</t>
        </is>
      </c>
      <c r="G23" s="24" t="inlineStr">
        <is>
          <t>UCAM Esports 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104</v>
      </c>
      <c r="M23" s="27" t="n">
        <v>2.04</v>
      </c>
      <c r="N23" s="28" t="n">
        <v>0.490196</v>
      </c>
      <c r="O23" s="28" t="n">
        <v>0.597761</v>
      </c>
      <c r="P23" s="28" t="n"/>
      <c r="Q23" s="28" t="n">
        <v>0.107565</v>
      </c>
      <c r="R23" s="26" t="n">
        <v>74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104</v>
      </c>
      <c r="AA23" s="28" t="n">
        <v>0.49</v>
      </c>
      <c r="AB23" s="28" t="n">
        <v>-0.000196</v>
      </c>
      <c r="AC23" s="30" t="n">
        <v>-1.25</v>
      </c>
      <c r="AD23" s="24" t="inlineStr">
        <is>
          <t>2026-08-06T00:22:25.721709Z</t>
        </is>
      </c>
      <c r="AE23" s="31" t="inlineStr">
        <is>
          <t>Neutral Elo baseline; executable ask 0.4900 (market_slug=aec-lol-ucam-mkf-2026-08-05).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⁠Movistar KOI Fénix</t>
        </is>
      </c>
      <c r="AQ23" s="24" t="inlineStr">
        <is>
          <t>⁠Movistar KOI Fénix</t>
        </is>
      </c>
      <c r="AR23" s="24" t="inlineStr">
        <is>
          <t>⁠Movistar KOI Fénix</t>
        </is>
      </c>
      <c r="AS23" s="24" t="inlineStr">
        <is>
          <t>UCAM Esports Club</t>
        </is>
      </c>
      <c r="AT23" s="24" t="inlineStr">
        <is>
          <t>UCAM Esports Club</t>
        </is>
      </c>
      <c r="AU23" s="24" t="inlineStr">
        <is>
          <t>UCAM Esports 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4863ace20696b49ac8d86afb992436652bb1bb2b13aa3380a50818cc662a18c0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4863ace20696b49ac8d86afb992436652bb1bb2b13aa3380a50818cc662a18c0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2026-08-05T17:04:41.345485Z</t>
        </is>
      </c>
      <c r="BI23" s="24" t="inlineStr">
        <is>
          <t>["same_event","same_team_same_day","same_league_same_day"]</t>
        </is>
      </c>
      <c r="BJ23" s="25" t="n"/>
      <c r="BK23" s="26" t="n">
        <v>104</v>
      </c>
      <c r="BL23" s="27" t="n">
        <v>2.04</v>
      </c>
      <c r="BM23" s="28" t="n">
        <v>0.490196</v>
      </c>
      <c r="BN23" s="28" t="n"/>
      <c r="BO23" s="28" t="n"/>
      <c r="BP23" s="25" t="n"/>
      <c r="BQ23" s="27" t="n">
        <v>2.04</v>
      </c>
      <c r="BR23" s="28" t="n">
        <v>0.49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d200cf1b86d042c8</t>
        </is>
      </c>
      <c r="B24" s="24" t="inlineStr">
        <is>
          <t>2026-08-05T17:05:09.750488Z</t>
        </is>
      </c>
      <c r="C24" s="24" t="inlineStr">
        <is>
          <t>2026-08-05T18:00:00Z</t>
        </is>
      </c>
      <c r="D24" s="24" t="inlineStr">
        <is>
          <t>69950</t>
        </is>
      </c>
      <c r="E24" s="24" t="inlineStr">
        <is>
          <t>LOL</t>
        </is>
      </c>
      <c r="F24" s="24" t="inlineStr">
        <is>
          <t>Lupus Esports</t>
        </is>
      </c>
      <c r="G24" s="24" t="inlineStr">
        <is>
          <t>SPIKE Syndicate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-133</v>
      </c>
      <c r="M24" s="27" t="n">
        <v>1.75188</v>
      </c>
      <c r="N24" s="28" t="n">
        <v>0.570815</v>
      </c>
      <c r="O24" s="28" t="n">
        <v>0.554044</v>
      </c>
      <c r="P24" s="28" t="n"/>
      <c r="Q24" s="28" t="n">
        <v>-0.016771</v>
      </c>
      <c r="R24" s="26" t="n">
        <v>12</v>
      </c>
      <c r="S24" s="29" t="n">
        <v>1</v>
      </c>
      <c r="T24" s="24" t="inlineStr">
        <is>
          <t>lol-tiered-elo-v6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0.5700 (market_slug=aec-lol-spk-lps-2026-08-05).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NO_CALL_WINNER_OVERVALUED</t>
        </is>
      </c>
      <c r="AP24" s="24" t="inlineStr">
        <is>
          <t>Lupus Esports</t>
        </is>
      </c>
      <c r="AQ24" s="24" t="inlineStr">
        <is>
          <t>Lupus Esports</t>
        </is>
      </c>
      <c r="AR24" s="24" t="inlineStr">
        <is>
          <t>Lupus Esports</t>
        </is>
      </c>
      <c r="AS24" s="24" t="inlineStr">
        <is>
          <t>SPIKE Syndicate</t>
        </is>
      </c>
      <c r="AT24" s="24" t="inlineStr">
        <is>
          <t>SPIKE Syndicate</t>
        </is>
      </c>
      <c r="AU24" s="24" t="inlineStr">
        <is>
          <t>SPIKE Syndicate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2026-08-05T17:04:42.614421Z</t>
        </is>
      </c>
      <c r="BI24" s="24" t="inlineStr">
        <is>
          <t>["same_event","same_team_same_day","same_league_same_day"]</t>
        </is>
      </c>
      <c r="BJ24" s="25" t="n"/>
      <c r="BK24" s="26" t="n">
        <v>-133</v>
      </c>
      <c r="BL24" s="27" t="n">
        <v>1.75188</v>
      </c>
      <c r="BM24" s="28" t="n">
        <v>0.570815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b04744a2dc5c4d96</t>
        </is>
      </c>
      <c r="B25" s="24" t="inlineStr">
        <is>
          <t>2026-08-05T17:05:09.750488Z</t>
        </is>
      </c>
      <c r="C25" s="24" t="inlineStr">
        <is>
          <t>2026-08-05T18:00:00Z</t>
        </is>
      </c>
      <c r="D25" s="24" t="inlineStr">
        <is>
          <t>69951</t>
        </is>
      </c>
      <c r="E25" s="24" t="inlineStr">
        <is>
          <t>LOL</t>
        </is>
      </c>
      <c r="F25" s="24" t="inlineStr">
        <is>
          <t>Rich Gang</t>
        </is>
      </c>
      <c r="G25" s="24" t="inlineStr">
        <is>
          <t>2 Massive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0.511567</v>
      </c>
      <c r="P25" s="28" t="n"/>
      <c r="Q25" s="28" t="n">
        <v>-0.047904</v>
      </c>
      <c r="R25" s="26" t="n">
        <v>0</v>
      </c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0.7874</v>
      </c>
      <c r="AD25" s="24" t="inlineStr">
        <is>
          <t>2026-08-06T03:27:43.503872Z</t>
        </is>
      </c>
      <c r="AE25" s="31" t="inlineStr">
        <is>
          <t>Neutral Elo baseline; executable ask 0.5600 (market_slug=aec-lol-mas-rgi-2026-08-05).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Rich Gang</t>
        </is>
      </c>
      <c r="AQ25" s="24" t="inlineStr">
        <is>
          <t>Rich Gang</t>
        </is>
      </c>
      <c r="AR25" s="24" t="inlineStr">
        <is>
          <t>Rich Gang</t>
        </is>
      </c>
      <c r="AS25" s="24" t="inlineStr">
        <is>
          <t>2 Massive</t>
        </is>
      </c>
      <c r="AT25" s="24" t="inlineStr">
        <is>
          <t>2 Massive</t>
        </is>
      </c>
      <c r="AU25" s="24" t="inlineStr">
        <is>
          <t>2 Massive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2026-08-05T17:04:43.228206Z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efeb2c2e3d1c4619</t>
        </is>
      </c>
      <c r="B26" s="24" t="inlineStr">
        <is>
          <t>2026-08-05T17:05:09.750488Z</t>
        </is>
      </c>
      <c r="C26" s="24" t="inlineStr">
        <is>
          <t>2026-08-05T18:00:00Z</t>
        </is>
      </c>
      <c r="D26" s="24" t="inlineStr">
        <is>
          <t>69948</t>
        </is>
      </c>
      <c r="E26" s="24" t="inlineStr">
        <is>
          <t>LOL</t>
        </is>
      </c>
      <c r="F26" s="24" t="inlineStr">
        <is>
          <t>Solary</t>
        </is>
      </c>
      <c r="G26" s="24" t="inlineStr">
        <is>
          <t>Karmine Corp Blue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203</v>
      </c>
      <c r="M26" s="27" t="n">
        <v>3.03</v>
      </c>
      <c r="N26" s="28" t="n">
        <v>0.330033</v>
      </c>
      <c r="O26" s="28" t="n">
        <v>0.506088</v>
      </c>
      <c r="P26" s="28" t="n"/>
      <c r="Q26" s="28" t="n">
        <v>0.176055</v>
      </c>
      <c r="R26" s="26" t="n">
        <v>100</v>
      </c>
      <c r="S26" s="29" t="n">
        <v>1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203</v>
      </c>
      <c r="AA26" s="28" t="n">
        <v>0.33</v>
      </c>
      <c r="AB26" s="28" t="n">
        <v>-3.3e-05</v>
      </c>
      <c r="AC26" s="30" t="n">
        <v>-1</v>
      </c>
      <c r="AD26" s="24" t="inlineStr">
        <is>
          <t>2026-08-05T20:59:46.654572Z</t>
        </is>
      </c>
      <c r="AE26" s="31" t="inlineStr">
        <is>
          <t>Neutral Elo baseline; executable ask 0.3300 (market_slug=aec-lol-kcb-sly-2026-08-05).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Solary</t>
        </is>
      </c>
      <c r="AQ26" s="24" t="inlineStr">
        <is>
          <t>Solary</t>
        </is>
      </c>
      <c r="AR26" s="24" t="inlineStr">
        <is>
          <t>Solary</t>
        </is>
      </c>
      <c r="AS26" s="24" t="inlineStr">
        <is>
          <t>Karmine Corp Blue</t>
        </is>
      </c>
      <c r="AT26" s="24" t="inlineStr">
        <is>
          <t>Karmine Corp Blue</t>
        </is>
      </c>
      <c r="AU26" s="24" t="inlineStr">
        <is>
          <t>Karmine Corp Blue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2026-08-05T17:04:44.255380Z</t>
        </is>
      </c>
      <c r="BI26" s="24" t="inlineStr">
        <is>
          <t>["same_event","same_team_same_day","same_league_same_day"]</t>
        </is>
      </c>
      <c r="BJ26" s="25" t="n"/>
      <c r="BK26" s="26" t="n">
        <v>203</v>
      </c>
      <c r="BL26" s="27" t="n">
        <v>3.03</v>
      </c>
      <c r="BM26" s="28" t="n">
        <v>0.330033</v>
      </c>
      <c r="BN26" s="28" t="n"/>
      <c r="BO26" s="28" t="n"/>
      <c r="BP26" s="25" t="n"/>
      <c r="BQ26" s="27" t="n">
        <v>3.03</v>
      </c>
      <c r="BR26" s="28" t="n">
        <v>0.33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fe439b06cd374812</t>
        </is>
      </c>
      <c r="B27" s="24" t="inlineStr">
        <is>
          <t>2026-08-05T17:05:09.750488Z</t>
        </is>
      </c>
      <c r="C27" s="24" t="inlineStr">
        <is>
          <t>2026-08-05T18:00:00Z</t>
        </is>
      </c>
      <c r="D27" s="24" t="inlineStr">
        <is>
          <t>69949</t>
        </is>
      </c>
      <c r="E27" s="24" t="inlineStr">
        <is>
          <t>LOL</t>
        </is>
      </c>
      <c r="F27" s="24" t="inlineStr">
        <is>
          <t>Hyperion</t>
        </is>
      </c>
      <c r="G27" s="24" t="inlineStr">
        <is>
          <t>Dominion Goblins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104</v>
      </c>
      <c r="M27" s="27" t="n">
        <v>2.04</v>
      </c>
      <c r="N27" s="28" t="n">
        <v>0.490196</v>
      </c>
      <c r="O27" s="28" t="n">
        <v>0.519011</v>
      </c>
      <c r="P27" s="28" t="n"/>
      <c r="Q27" s="28" t="n">
        <v>0.028815</v>
      </c>
      <c r="R27" s="26" t="n">
        <v>34</v>
      </c>
      <c r="S27" s="29" t="n">
        <v>1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104</v>
      </c>
      <c r="AA27" s="28" t="n">
        <v>0.49</v>
      </c>
      <c r="AB27" s="28" t="n">
        <v>-0.000196</v>
      </c>
      <c r="AC27" s="30" t="n">
        <v>-1</v>
      </c>
      <c r="AD27" s="24" t="inlineStr">
        <is>
          <t>2026-08-05T20:59:48.344345Z</t>
        </is>
      </c>
      <c r="AE27" s="31" t="inlineStr">
        <is>
          <t>Neutral Elo baseline; executable ask 0.4900 (market_slug=aec-lol-domi-hype-2026-08-05).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Hyperion</t>
        </is>
      </c>
      <c r="AQ27" s="24" t="inlineStr">
        <is>
          <t>Hyperion</t>
        </is>
      </c>
      <c r="AR27" s="24" t="inlineStr">
        <is>
          <t>Hyperion</t>
        </is>
      </c>
      <c r="AS27" s="24" t="inlineStr">
        <is>
          <t>Dominion Goblins</t>
        </is>
      </c>
      <c r="AT27" s="24" t="inlineStr">
        <is>
          <t>Dominion Goblins</t>
        </is>
      </c>
      <c r="AU27" s="24" t="inlineStr">
        <is>
          <t>Dominion Goblins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4863ace20696b49ac8d86afb992436652bb1bb2b13aa3380a50818cc662a18c0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4863ace20696b49ac8d86afb992436652bb1bb2b13aa3380a50818cc662a18c0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2026-08-05T17:04:44.809528Z</t>
        </is>
      </c>
      <c r="BI27" s="24" t="inlineStr">
        <is>
          <t>["same_event","same_team_same_day","same_league_same_day"]</t>
        </is>
      </c>
      <c r="BJ27" s="25" t="n"/>
      <c r="BK27" s="26" t="n">
        <v>104</v>
      </c>
      <c r="BL27" s="27" t="n">
        <v>2.04</v>
      </c>
      <c r="BM27" s="28" t="n">
        <v>0.490196</v>
      </c>
      <c r="BN27" s="28" t="n"/>
      <c r="BO27" s="28" t="n"/>
      <c r="BP27" s="25" t="n"/>
      <c r="BQ27" s="27" t="n">
        <v>2.04</v>
      </c>
      <c r="BR27" s="28" t="n">
        <v>0.49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e786b8cb2ee24dd6</t>
        </is>
      </c>
      <c r="B28" s="24" t="inlineStr">
        <is>
          <t>2026-08-05T17:05:09.750488Z</t>
        </is>
      </c>
      <c r="C28" s="24" t="inlineStr">
        <is>
          <t>2026-08-05T19:00:00Z</t>
        </is>
      </c>
      <c r="D28" s="24" t="inlineStr">
        <is>
          <t>70045</t>
        </is>
      </c>
      <c r="E28" s="24" t="inlineStr">
        <is>
          <t>LOL</t>
        </is>
      </c>
      <c r="F28" s="24" t="inlineStr">
        <is>
          <t>Ici Japon Corp. Esport</t>
        </is>
      </c>
      <c r="G28" s="24" t="inlineStr">
        <is>
          <t>ZYB Esport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104</v>
      </c>
      <c r="M28" s="27" t="n">
        <v>2.04</v>
      </c>
      <c r="N28" s="28" t="n">
        <v>0.490196</v>
      </c>
      <c r="O28" s="28" t="n">
        <v>0.598437</v>
      </c>
      <c r="P28" s="28" t="n"/>
      <c r="Q28" s="28" t="n">
        <v>0.108241</v>
      </c>
      <c r="R28" s="26" t="n">
        <v>74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104</v>
      </c>
      <c r="AA28" s="28" t="n">
        <v>0.49</v>
      </c>
      <c r="AB28" s="28" t="n">
        <v>-0.000196</v>
      </c>
      <c r="AC28" s="30" t="n">
        <v>1.3</v>
      </c>
      <c r="AD28" s="24" t="inlineStr">
        <is>
          <t>2026-08-05T20:59:50.087765Z</t>
        </is>
      </c>
      <c r="AE28" s="31" t="inlineStr">
        <is>
          <t>Neutral Elo baseline; executable ask 0.4900 (market_slug=aec-lol-zyb-ijc-2026-08-05).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Ici Japon Corp. Esport</t>
        </is>
      </c>
      <c r="AQ28" s="24" t="inlineStr">
        <is>
          <t>Ici Japon Corp. Esport</t>
        </is>
      </c>
      <c r="AR28" s="24" t="inlineStr">
        <is>
          <t>Ici Japon Corp. Esport</t>
        </is>
      </c>
      <c r="AS28" s="24" t="inlineStr">
        <is>
          <t>ZYB Esport</t>
        </is>
      </c>
      <c r="AT28" s="24" t="inlineStr">
        <is>
          <t>ZYB Esport</t>
        </is>
      </c>
      <c r="AU28" s="24" t="inlineStr">
        <is>
          <t>ZYB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4863ace20696b49ac8d86afb992436652bb1bb2b13aa3380a50818cc662a18c0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4863ace20696b49ac8d86afb992436652bb1bb2b13aa3380a50818cc662a18c0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2026-08-05T17:04:46.146013Z</t>
        </is>
      </c>
      <c r="BI28" s="24" t="inlineStr">
        <is>
          <t>["same_event","same_team_same_day","same_league_same_day"]</t>
        </is>
      </c>
      <c r="BJ28" s="25" t="n"/>
      <c r="BK28" s="26" t="n">
        <v>104</v>
      </c>
      <c r="BL28" s="27" t="n">
        <v>2.04</v>
      </c>
      <c r="BM28" s="28" t="n">
        <v>0.490196</v>
      </c>
      <c r="BN28" s="28" t="n"/>
      <c r="BO28" s="28" t="n"/>
      <c r="BP28" s="25" t="n"/>
      <c r="BQ28" s="27" t="n">
        <v>2.04</v>
      </c>
      <c r="BR28" s="28" t="n">
        <v>0.49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333daeff6c914fb6</t>
        </is>
      </c>
      <c r="B29" s="24" t="inlineStr">
        <is>
          <t>2026-08-05T17:05:09.750488Z</t>
        </is>
      </c>
      <c r="C29" s="24" t="inlineStr">
        <is>
          <t>2026-08-05T20:00:00Z</t>
        </is>
      </c>
      <c r="D29" s="24" t="inlineStr">
        <is>
          <t>70301</t>
        </is>
      </c>
      <c r="E29" s="24" t="inlineStr">
        <is>
          <t>LOL</t>
        </is>
      </c>
      <c r="F29" s="24" t="inlineStr">
        <is>
          <t>Skillcamp Esport</t>
        </is>
      </c>
      <c r="G29" s="24" t="inlineStr">
        <is>
          <t>Vitality.Bee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0.583883</v>
      </c>
      <c r="P29" s="28" t="n"/>
      <c r="Q29" s="28" t="n">
        <v>0.07407900000000001</v>
      </c>
      <c r="R29" s="26" t="n">
        <v>57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1.2019</v>
      </c>
      <c r="AD29" s="24" t="inlineStr">
        <is>
          <t>2026-08-05T20:59:51.857648Z</t>
        </is>
      </c>
      <c r="AE29" s="31" t="inlineStr">
        <is>
          <t>Neutral Elo baseline; executable ask 0.5100 (market_slug=aec-lol-vitb-sc-2026-08-05).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Skillcamp Esport</t>
        </is>
      </c>
      <c r="AQ29" s="24" t="inlineStr">
        <is>
          <t>Skillcamp Esport</t>
        </is>
      </c>
      <c r="AR29" s="24" t="inlineStr">
        <is>
          <t>Skillcamp Esport</t>
        </is>
      </c>
      <c r="AS29" s="24" t="inlineStr">
        <is>
          <t>Vitality.Bee</t>
        </is>
      </c>
      <c r="AT29" s="24" t="inlineStr">
        <is>
          <t>Vitality.Bee</t>
        </is>
      </c>
      <c r="AU29" s="24" t="inlineStr">
        <is>
          <t>Vitality.Bee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4863ace20696b49ac8d86afb992436652bb1bb2b13aa3380a50818cc662a18c0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4863ace20696b49ac8d86afb992436652bb1bb2b13aa3380a50818cc662a18c0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2026-08-05T17:04:46.800572Z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037f56454bb54060</t>
        </is>
      </c>
      <c r="B30" s="24" t="inlineStr">
        <is>
          <t>2026-08-05T17:05:09.750488Z</t>
        </is>
      </c>
      <c r="C30" s="24" t="inlineStr">
        <is>
          <t>2026-08-05T20:00:00Z</t>
        </is>
      </c>
      <c r="D30" s="24" t="inlineStr">
        <is>
          <t>70302</t>
        </is>
      </c>
      <c r="E30" s="24" t="inlineStr">
        <is>
          <t>LOL</t>
        </is>
      </c>
      <c r="F30" s="24" t="inlineStr">
        <is>
          <t>7REX</t>
        </is>
      </c>
      <c r="G30" s="24" t="inlineStr">
        <is>
          <t>Team Solid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113</v>
      </c>
      <c r="M30" s="27" t="n">
        <v>2.13</v>
      </c>
      <c r="N30" s="28" t="n">
        <v>0.469484</v>
      </c>
      <c r="O30" s="28" t="n">
        <v>0.523361</v>
      </c>
      <c r="P30" s="28" t="n"/>
      <c r="Q30" s="28" t="n">
        <v>0.053877</v>
      </c>
      <c r="R30" s="26" t="n">
        <v>47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113</v>
      </c>
      <c r="AA30" s="28" t="n">
        <v>0.47</v>
      </c>
      <c r="AB30" s="28" t="n">
        <v>0.000516</v>
      </c>
      <c r="AC30" s="30" t="n">
        <v>1.13</v>
      </c>
      <c r="AD30" s="24" t="inlineStr">
        <is>
          <t>2026-08-05T20:59:53.631061Z</t>
        </is>
      </c>
      <c r="AE30" s="31" t="inlineStr">
        <is>
          <t>Neutral Elo baseline; executable ask 0.4700 (market_slug=aec-lol-tse-7rex-2026-08-05).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7REX</t>
        </is>
      </c>
      <c r="AQ30" s="24" t="inlineStr">
        <is>
          <t>7REX</t>
        </is>
      </c>
      <c r="AR30" s="24" t="inlineStr">
        <is>
          <t>7REX</t>
        </is>
      </c>
      <c r="AS30" s="24" t="inlineStr">
        <is>
          <t>Team Solid</t>
        </is>
      </c>
      <c r="AT30" s="24" t="inlineStr">
        <is>
          <t>Team Solid</t>
        </is>
      </c>
      <c r="AU30" s="24" t="inlineStr">
        <is>
          <t>Team Solid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4863ace20696b49ac8d86afb992436652bb1bb2b13aa3380a50818cc662a18c0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4863ace20696b49ac8d86afb992436652bb1bb2b13aa3380a50818cc662a18c0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2026-08-05T17:04:47.406557Z</t>
        </is>
      </c>
      <c r="BI30" s="24" t="inlineStr">
        <is>
          <t>["same_event","same_team_same_day","same_league_same_day"]</t>
        </is>
      </c>
      <c r="BJ30" s="25" t="n"/>
      <c r="BK30" s="26" t="n">
        <v>113</v>
      </c>
      <c r="BL30" s="27" t="n">
        <v>2.13</v>
      </c>
      <c r="BM30" s="28" t="n">
        <v>0.469484</v>
      </c>
      <c r="BN30" s="28" t="n"/>
      <c r="BO30" s="28" t="n"/>
      <c r="BP30" s="25" t="n"/>
      <c r="BQ30" s="27" t="n">
        <v>2.13</v>
      </c>
      <c r="BR30" s="28" t="n">
        <v>0.47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6abda70e71e849ad</t>
        </is>
      </c>
      <c r="B31" s="24" t="inlineStr">
        <is>
          <t>2026-08-05T17:05:09.750488Z</t>
        </is>
      </c>
      <c r="C31" s="24" t="inlineStr">
        <is>
          <t>2026-08-05T21:00:00Z</t>
        </is>
      </c>
      <c r="D31" s="24" t="inlineStr">
        <is>
          <t>70348</t>
        </is>
      </c>
      <c r="E31" s="24" t="inlineStr">
        <is>
          <t>LOL</t>
        </is>
      </c>
      <c r="F31" s="24" t="inlineStr">
        <is>
          <t>White Dragons</t>
        </is>
      </c>
      <c r="G31" s="24" t="inlineStr">
        <is>
          <t>NORTHERNGRADE ESPORTS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-122</v>
      </c>
      <c r="M31" s="27" t="n">
        <v>1.819672</v>
      </c>
      <c r="N31" s="28" t="n">
        <v>0.54955</v>
      </c>
      <c r="O31" s="28" t="n">
        <v>0.503857</v>
      </c>
      <c r="P31" s="28" t="n"/>
      <c r="Q31" s="28" t="n">
        <v>-0.045693</v>
      </c>
      <c r="R31" s="26" t="n">
        <v>0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-122</v>
      </c>
      <c r="AA31" s="28" t="n">
        <v>0.55</v>
      </c>
      <c r="AB31" s="28" t="n">
        <v>0.00045</v>
      </c>
      <c r="AC31" s="30" t="n">
        <v>0.8197</v>
      </c>
      <c r="AD31" s="24" t="inlineStr">
        <is>
          <t>2026-08-06T00:22:29.619395Z</t>
        </is>
      </c>
      <c r="AE31" s="31" t="inlineStr">
        <is>
          <t>Neutral Elo baseline; executable ask 0.5500 (market_slug=aec-lol-nort-wd-2026-08-05).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White Dragons</t>
        </is>
      </c>
      <c r="AQ31" s="24" t="inlineStr">
        <is>
          <t>White Dragons</t>
        </is>
      </c>
      <c r="AR31" s="24" t="inlineStr">
        <is>
          <t>White Dragons</t>
        </is>
      </c>
      <c r="AS31" s="24" t="inlineStr">
        <is>
          <t>NORTHERNGRADE ESPORTS</t>
        </is>
      </c>
      <c r="AT31" s="24" t="inlineStr">
        <is>
          <t>NORTHERNGRADE ESPORTS</t>
        </is>
      </c>
      <c r="AU31" s="24" t="inlineStr">
        <is>
          <t>NORTHERNGRADE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4863ace20696b49ac8d86afb992436652bb1bb2b13aa3380a50818cc662a18c0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4863ace20696b49ac8d86afb992436652bb1bb2b13aa3380a50818cc662a18c0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2026-08-05T17:04:48.487044Z</t>
        </is>
      </c>
      <c r="BI31" s="24" t="inlineStr">
        <is>
          <t>["same_event","same_team_same_day","same_league_same_day"]</t>
        </is>
      </c>
      <c r="BJ31" s="25" t="n"/>
      <c r="BK31" s="26" t="n">
        <v>-122</v>
      </c>
      <c r="BL31" s="27" t="n">
        <v>1.819672</v>
      </c>
      <c r="BM31" s="28" t="n">
        <v>0.54955</v>
      </c>
      <c r="BN31" s="28" t="n"/>
      <c r="BO31" s="28" t="n"/>
      <c r="BP31" s="25" t="n"/>
      <c r="BQ31" s="27" t="n">
        <v>1.819672</v>
      </c>
      <c r="BR31" s="28" t="n">
        <v>0.55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594d0859e09c4e3a</t>
        </is>
      </c>
      <c r="B32" s="24" t="inlineStr">
        <is>
          <t>2026-08-05T17:05:09.750488Z</t>
        </is>
      </c>
      <c r="C32" s="24" t="inlineStr">
        <is>
          <t>2026-08-05T21:00:00Z</t>
        </is>
      </c>
      <c r="D32" s="24" t="inlineStr">
        <is>
          <t>70349</t>
        </is>
      </c>
      <c r="E32" s="24" t="inlineStr">
        <is>
          <t>LOL</t>
        </is>
      </c>
      <c r="F32" s="24" t="inlineStr">
        <is>
          <t>Winthrop University</t>
        </is>
      </c>
      <c r="G32" s="24" t="inlineStr">
        <is>
          <t>Blue Otter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0.67052</v>
      </c>
      <c r="P32" s="28" t="n"/>
      <c r="Q32" s="28" t="n">
        <v>0.090688</v>
      </c>
      <c r="R32" s="26" t="n">
        <v>65</v>
      </c>
      <c r="S32" s="29" t="n">
        <v>1.75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1.2681</v>
      </c>
      <c r="AD32" s="24" t="inlineStr">
        <is>
          <t>2026-08-06T00:22:31.341650Z</t>
        </is>
      </c>
      <c r="AE32" s="31" t="inlineStr">
        <is>
          <t>Neutral Elo baseline; executable ask 0.5800 (market_slug=aec-lol-blue-wu-2026-08-05).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Winthrop University</t>
        </is>
      </c>
      <c r="AQ32" s="24" t="inlineStr">
        <is>
          <t>Winthrop University</t>
        </is>
      </c>
      <c r="AR32" s="24" t="inlineStr">
        <is>
          <t>Winthrop University</t>
        </is>
      </c>
      <c r="AS32" s="24" t="inlineStr">
        <is>
          <t>Blue Otter</t>
        </is>
      </c>
      <c r="AT32" s="24" t="inlineStr">
        <is>
          <t>Blue Otter</t>
        </is>
      </c>
      <c r="AU32" s="24" t="inlineStr">
        <is>
          <t>Blue Otter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4863ace20696b49ac8d86afb992436652bb1bb2b13aa3380a50818cc662a18c0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4863ace20696b49ac8d86afb992436652bb1bb2b13aa3380a50818cc662a18c0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2026-08-05T17:04:49.037567Z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99b00467e14e459b</t>
        </is>
      </c>
      <c r="B33" s="24" t="inlineStr">
        <is>
          <t>2026-08-05T21:03:09.174525Z</t>
        </is>
      </c>
      <c r="C33" s="24" t="inlineStr">
        <is>
          <t>2026-08-05T22:00:00Z</t>
        </is>
      </c>
      <c r="D33" s="24" t="inlineStr">
        <is>
          <t>70379</t>
        </is>
      </c>
      <c r="E33" s="24" t="inlineStr">
        <is>
          <t>LOL</t>
        </is>
      </c>
      <c r="F33" s="24" t="inlineStr">
        <is>
          <t>KaBuM! Ilha das Lendas</t>
        </is>
      </c>
      <c r="G33" s="24" t="inlineStr">
        <is>
          <t>Ei Nerd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0.617962</v>
      </c>
      <c r="P33" s="28" t="n"/>
      <c r="Q33" s="28" t="n">
        <v>0.078791</v>
      </c>
      <c r="R33" s="26" t="n">
        <v>59</v>
      </c>
      <c r="S33" s="29" t="n">
        <v>1.5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-117</v>
      </c>
      <c r="AA33" s="28" t="n">
        <v>0.54</v>
      </c>
      <c r="AB33" s="28" t="n">
        <v>0.000829</v>
      </c>
      <c r="AC33" s="30" t="n">
        <v>1.2821</v>
      </c>
      <c r="AD33" s="24" t="inlineStr">
        <is>
          <t>2026-08-06T00:22:33.072909Z</t>
        </is>
      </c>
      <c r="AE33" s="31" t="inlineStr">
        <is>
          <t>Neutral Elo baseline; executable ask 0.5400 (market_slug=aec-lol-nerd-kbm-2026-08-05).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NO_CALL_WINNER_OVERVALUED</t>
        </is>
      </c>
      <c r="AP33" s="24" t="inlineStr">
        <is>
          <t>KaBuM! Ilha das Lendas</t>
        </is>
      </c>
      <c r="AQ33" s="24" t="inlineStr">
        <is>
          <t>KaBuM! Ilha das Lendas</t>
        </is>
      </c>
      <c r="AR33" s="24" t="inlineStr">
        <is>
          <t>KaBuM! Ilha das Lendas</t>
        </is>
      </c>
      <c r="AS33" s="24" t="inlineStr">
        <is>
          <t>Ei Nerd Esports</t>
        </is>
      </c>
      <c r="AT33" s="24" t="inlineStr">
        <is>
          <t>Ei Nerd Esports</t>
        </is>
      </c>
      <c r="AU33" s="24" t="inlineStr">
        <is>
          <t>Ei Nerd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15c411e044ffe51b6ddc3409c537ef2b1f842259403eab8a9ab62a4cd0e52b5d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15c411e044ffe51b6ddc3409c537ef2b1f842259403eab8a9ab62a4cd0e52b5d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2026-08-05T21:02:48.352662Z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/>
      <c r="BO33" s="28" t="n"/>
      <c r="BP33" s="25" t="n"/>
      <c r="BQ33" s="27" t="n">
        <v>1.854701</v>
      </c>
      <c r="BR33" s="28" t="n">
        <v>0.54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62d231e699b148cb</t>
        </is>
      </c>
      <c r="B34" s="24" t="inlineStr">
        <is>
          <t>2026-08-05T21:03:09.174525Z</t>
        </is>
      </c>
      <c r="C34" s="24" t="inlineStr">
        <is>
          <t>2026-08-06T00:00:00Z</t>
        </is>
      </c>
      <c r="D34" s="24" t="inlineStr">
        <is>
          <t>70453</t>
        </is>
      </c>
      <c r="E34" s="24" t="inlineStr">
        <is>
          <t>LOL</t>
        </is>
      </c>
      <c r="F34" s="24" t="inlineStr">
        <is>
          <t>paiN Gaming Academy</t>
        </is>
      </c>
      <c r="G34" s="24" t="inlineStr">
        <is>
          <t>INTZ e-Sports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122</v>
      </c>
      <c r="M34" s="27" t="n">
        <v>2.22</v>
      </c>
      <c r="N34" s="28" t="n">
        <v>0.45045</v>
      </c>
      <c r="O34" s="28" t="n">
        <v>0.50062</v>
      </c>
      <c r="P34" s="28" t="n"/>
      <c r="Q34" s="28" t="n">
        <v>0.05017</v>
      </c>
      <c r="R34" s="26" t="n">
        <v>45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122</v>
      </c>
      <c r="AA34" s="28" t="n">
        <v>0.45</v>
      </c>
      <c r="AB34" s="28" t="n">
        <v>-0.00045</v>
      </c>
      <c r="AC34" s="30" t="n">
        <v>-1</v>
      </c>
      <c r="AD34" s="24" t="inlineStr">
        <is>
          <t>2026-08-06T00:22:34.831438Z</t>
        </is>
      </c>
      <c r="AE34" s="31" t="inlineStr">
        <is>
          <t>Neutral Elo baseline; executable ask 0.4500 (market_slug=aec-lol-itz-pnga-2026-08-06).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paiN Gaming Academy</t>
        </is>
      </c>
      <c r="AQ34" s="24" t="inlineStr">
        <is>
          <t>paiN Gaming Academy</t>
        </is>
      </c>
      <c r="AR34" s="24" t="inlineStr">
        <is>
          <t>paiN Gaming Academy</t>
        </is>
      </c>
      <c r="AS34" s="24" t="inlineStr">
        <is>
          <t>INTZ e-Sports</t>
        </is>
      </c>
      <c r="AT34" s="24" t="inlineStr">
        <is>
          <t>INTZ e-Sports</t>
        </is>
      </c>
      <c r="AU34" s="24" t="inlineStr">
        <is>
          <t>INTZ e-Sports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15c411e044ffe51b6ddc3409c537ef2b1f842259403eab8a9ab62a4cd0e52b5d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15c411e044ffe51b6ddc3409c537ef2b1f842259403eab8a9ab62a4cd0e52b5d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2026-08-05T21:02:49.588927Z</t>
        </is>
      </c>
      <c r="BI34" s="24" t="inlineStr">
        <is>
          <t>["same_event","same_team_same_day","same_league_same_day"]</t>
        </is>
      </c>
      <c r="BJ34" s="25" t="n"/>
      <c r="BK34" s="26" t="n">
        <v>122</v>
      </c>
      <c r="BL34" s="27" t="n">
        <v>2.22</v>
      </c>
      <c r="BM34" s="28" t="n">
        <v>0.45045</v>
      </c>
      <c r="BN34" s="28" t="n"/>
      <c r="BO34" s="28" t="n"/>
      <c r="BP34" s="25" t="n"/>
      <c r="BQ34" s="27" t="n">
        <v>2.22</v>
      </c>
      <c r="BR34" s="28" t="n">
        <v>0.45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4201f8e266524181</t>
        </is>
      </c>
      <c r="B35" s="24" t="inlineStr">
        <is>
          <t>2026-08-05T21:03:09.174525Z</t>
        </is>
      </c>
      <c r="C35" s="24" t="inlineStr">
        <is>
          <t>2026-08-06T00:00:00Z</t>
        </is>
      </c>
      <c r="D35" s="24" t="inlineStr">
        <is>
          <t>70454</t>
        </is>
      </c>
      <c r="E35" s="24" t="inlineStr">
        <is>
          <t>LOL</t>
        </is>
      </c>
      <c r="F35" s="24" t="inlineStr">
        <is>
          <t>Cupid Esports</t>
        </is>
      </c>
      <c r="G35" s="24" t="inlineStr">
        <is>
          <t>NRG Esports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0.516709</v>
      </c>
      <c r="P35" s="28" t="n"/>
      <c r="Q35" s="28" t="n">
        <v>0.03594</v>
      </c>
      <c r="R35" s="26" t="n">
        <v>38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108</v>
      </c>
      <c r="AA35" s="28" t="n">
        <v>0.48</v>
      </c>
      <c r="AB35" s="28" t="n">
        <v>-0.000769</v>
      </c>
      <c r="AC35" s="30" t="n">
        <v>1.08</v>
      </c>
      <c r="AD35" s="24" t="inlineStr">
        <is>
          <t>2026-08-06T03:27:45.918518Z</t>
        </is>
      </c>
      <c r="AE35" s="31" t="inlineStr">
        <is>
          <t>Neutral Elo baseline; executable ask 0.4800 (market_slug=aec-lol-nrg-cpd-2026-08-06).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Cupid Esports</t>
        </is>
      </c>
      <c r="AQ35" s="24" t="inlineStr">
        <is>
          <t>Cupid Esports</t>
        </is>
      </c>
      <c r="AR35" s="24" t="inlineStr">
        <is>
          <t>Cupid Esports</t>
        </is>
      </c>
      <c r="AS35" s="24" t="inlineStr">
        <is>
          <t>NRG Esports</t>
        </is>
      </c>
      <c r="AT35" s="24" t="inlineStr">
        <is>
          <t>NRG Esports</t>
        </is>
      </c>
      <c r="AU35" s="24" t="inlineStr">
        <is>
          <t>NRG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15c411e044ffe51b6ddc3409c537ef2b1f842259403eab8a9ab62a4cd0e52b5d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15c411e044ffe51b6ddc3409c537ef2b1f842259403eab8a9ab62a4cd0e52b5d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2026-08-05T21:02:50.357730Z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>
        <v>2.08</v>
      </c>
      <c r="BR35" s="28" t="n">
        <v>0.48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9ea5b2ad20ab430d</t>
        </is>
      </c>
      <c r="B36" s="24" t="inlineStr">
        <is>
          <t>2026-08-06T00:24:51.570056Z</t>
        </is>
      </c>
      <c r="C36" s="24" t="inlineStr">
        <is>
          <t>2026-08-06T05:00:00Z</t>
        </is>
      </c>
      <c r="D36" s="24" t="inlineStr">
        <is>
          <t>70551</t>
        </is>
      </c>
      <c r="E36" s="24" t="inlineStr">
        <is>
          <t>LOL</t>
        </is>
      </c>
      <c r="F36" s="24" t="inlineStr">
        <is>
          <t>Gen.G Global Academy</t>
        </is>
      </c>
      <c r="G36" s="24" t="inlineStr">
        <is>
          <t>HANJIN BRION Challengers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0.639365</v>
      </c>
      <c r="P36" s="28" t="n"/>
      <c r="Q36" s="28" t="n">
        <v>-0.051037</v>
      </c>
      <c r="R36" s="26" t="n">
        <v>0</v>
      </c>
      <c r="S36" s="29" t="n">
        <v>1.5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0.6726</v>
      </c>
      <c r="AD36" s="24" t="inlineStr">
        <is>
          <t>2026-08-06T18:56:07.504901Z</t>
        </is>
      </c>
      <c r="AE36" s="31" t="inlineStr">
        <is>
          <t>Neutral Elo baseline; executable ask 0.6900 (market_slug=aec-lol-hbc-genga-2026-08-06).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Gen.G Global Academy</t>
        </is>
      </c>
      <c r="AQ36" s="24" t="inlineStr">
        <is>
          <t>Gen.G Global Academy</t>
        </is>
      </c>
      <c r="AR36" s="24" t="inlineStr">
        <is>
          <t>Gen.G Global Academy</t>
        </is>
      </c>
      <c r="AS36" s="24" t="inlineStr">
        <is>
          <t>HANJIN BRION Challengers</t>
        </is>
      </c>
      <c r="AT36" s="24" t="inlineStr">
        <is>
          <t>HANJIN BRION Challengers</t>
        </is>
      </c>
      <c r="AU36" s="24" t="inlineStr">
        <is>
          <t>HANJIN BRION Challengers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4304963c152f1e881f634fa0b66ab59152f3edd6692257c1d27d76a5cb0a3df3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4304963c152f1e881f634fa0b66ab59152f3edd6692257c1d27d76a5cb0a3df3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2026-08-06T00:24:35.775008Z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c01319a4e2914ad4</t>
        </is>
      </c>
      <c r="B37" s="24" t="inlineStr">
        <is>
          <t>2026-08-06T00:24:51.570056Z</t>
        </is>
      </c>
      <c r="C37" s="24" t="inlineStr">
        <is>
          <t>2026-08-06T07:00:00Z</t>
        </is>
      </c>
      <c r="D37" s="24" t="inlineStr">
        <is>
          <t>70560</t>
        </is>
      </c>
      <c r="E37" s="24" t="inlineStr">
        <is>
          <t>LOL</t>
        </is>
      </c>
      <c r="F37" s="24" t="inlineStr">
        <is>
          <t>ThunderTalk Gaming</t>
        </is>
      </c>
      <c r="G37" s="24" t="inlineStr">
        <is>
          <t>LGD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0.601292</v>
      </c>
      <c r="P37" s="28" t="n"/>
      <c r="Q37" s="28" t="n">
        <v>0.082061</v>
      </c>
      <c r="R37" s="26" t="n">
        <v>61</v>
      </c>
      <c r="S37" s="29" t="n">
        <v>1.25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2026-08-06T18:56:10.139579Z</t>
        </is>
      </c>
      <c r="AE37" s="31" t="inlineStr">
        <is>
          <t>Neutral Elo baseline; executable ask 0.5200 (market_slug=aec-lol-lgd-tt-2026-08-06).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ThunderTalk Gaming</t>
        </is>
      </c>
      <c r="AQ37" s="24" t="inlineStr">
        <is>
          <t>ThunderTalk Gaming</t>
        </is>
      </c>
      <c r="AR37" s="24" t="inlineStr">
        <is>
          <t>ThunderTalk Gaming</t>
        </is>
      </c>
      <c r="AS37" s="24" t="inlineStr">
        <is>
          <t>LGD Gaming</t>
        </is>
      </c>
      <c r="AT37" s="24" t="inlineStr">
        <is>
          <t>LGD Gaming</t>
        </is>
      </c>
      <c r="AU37" s="24" t="inlineStr">
        <is>
          <t>LGD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4304963c152f1e881f634fa0b66ab59152f3edd6692257c1d27d76a5cb0a3df3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4304963c152f1e881f634fa0b66ab59152f3edd6692257c1d27d76a5cb0a3df3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2026-08-06T00:24:36.724531Z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623d84c7e45b4789</t>
        </is>
      </c>
      <c r="B38" s="24" t="inlineStr">
        <is>
          <t>2026-08-06T00:24:51.570056Z</t>
        </is>
      </c>
      <c r="C38" s="24" t="inlineStr">
        <is>
          <t>2026-08-06T08:00:00Z</t>
        </is>
      </c>
      <c r="D38" s="24" t="inlineStr">
        <is>
          <t>70563</t>
        </is>
      </c>
      <c r="E38" s="24" t="inlineStr">
        <is>
          <t>LOL</t>
        </is>
      </c>
      <c r="F38" s="24" t="inlineStr">
        <is>
          <t>DN SOOPers</t>
        </is>
      </c>
      <c r="G38" s="24" t="inlineStr">
        <is>
          <t>Kiwoom DRX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0.629338</v>
      </c>
      <c r="P38" s="28" t="n"/>
      <c r="Q38" s="28" t="n">
        <v>-0.061064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0.6726</v>
      </c>
      <c r="AD38" s="24" t="inlineStr">
        <is>
          <t>2026-08-06T18:56:12.623902Z</t>
        </is>
      </c>
      <c r="AE38" s="31" t="inlineStr">
        <is>
          <t>Neutral Elo baseline; executable ask 0.6900 (market_slug=aec-lol-krx-dns-2026-08-06).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NO_CALL_WINNER_OVERVALUED</t>
        </is>
      </c>
      <c r="AP38" s="24" t="inlineStr">
        <is>
          <t>DN SOOPers</t>
        </is>
      </c>
      <c r="AQ38" s="24" t="inlineStr">
        <is>
          <t>DN SOOPers</t>
        </is>
      </c>
      <c r="AR38" s="24" t="inlineStr">
        <is>
          <t>DN SOOPers</t>
        </is>
      </c>
      <c r="AS38" s="24" t="inlineStr">
        <is>
          <t>Kiwoom DRX</t>
        </is>
      </c>
      <c r="AT38" s="24" t="inlineStr">
        <is>
          <t>Kiwoom DRX</t>
        </is>
      </c>
      <c r="AU38" s="24" t="inlineStr">
        <is>
          <t>Kiwoom DRX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4304963c152f1e881f634fa0b66ab59152f3edd6692257c1d27d76a5cb0a3df3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4304963c152f1e881f634fa0b66ab59152f3edd6692257c1d27d76a5cb0a3df3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2026-08-06T00:24:37.231594Z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e7a4bcc796a440b8</t>
        </is>
      </c>
      <c r="B39" s="24" t="inlineStr">
        <is>
          <t>2026-08-06T00:24:51.570056Z</t>
        </is>
      </c>
      <c r="C39" s="24" t="inlineStr">
        <is>
          <t>2026-08-06T09:00:00Z</t>
        </is>
      </c>
      <c r="D39" s="24" t="inlineStr">
        <is>
          <t>70573</t>
        </is>
      </c>
      <c r="E39" s="24" t="inlineStr">
        <is>
          <t>LOL</t>
        </is>
      </c>
      <c r="F39" s="24" t="inlineStr">
        <is>
          <t>Ground Zero Gaming</t>
        </is>
      </c>
      <c r="G39" s="24" t="inlineStr">
        <is>
          <t>Fukuoka SoftBank Hawks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0.677029</v>
      </c>
      <c r="P39" s="28" t="n"/>
      <c r="Q39" s="28" t="n">
        <v>0.2162</v>
      </c>
      <c r="R39" s="26" t="n">
        <v>100</v>
      </c>
      <c r="S39" s="29" t="n">
        <v>1.75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2026-08-06T18:56:15.151967Z</t>
        </is>
      </c>
      <c r="AE39" s="31" t="inlineStr">
        <is>
          <t>Neutral Elo baseline; executable ask 0.4600 (market_slug=aec-lol-shg-gz-2026-08-06).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Ground Zero Gaming</t>
        </is>
      </c>
      <c r="AQ39" s="24" t="inlineStr">
        <is>
          <t>Ground Zero Gaming</t>
        </is>
      </c>
      <c r="AR39" s="24" t="inlineStr">
        <is>
          <t>Ground Zero Gaming</t>
        </is>
      </c>
      <c r="AS39" s="24" t="inlineStr">
        <is>
          <t>Fukuoka SoftBank Hawks Gaming</t>
        </is>
      </c>
      <c r="AT39" s="24" t="inlineStr">
        <is>
          <t>Fukuoka SoftBank Hawks Gaming</t>
        </is>
      </c>
      <c r="AU39" s="24" t="inlineStr">
        <is>
          <t>Fukuoka SoftBank Hawks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4304963c152f1e881f634fa0b66ab59152f3edd6692257c1d27d76a5cb0a3df3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4304963c152f1e881f634fa0b66ab59152f3edd6692257c1d27d76a5cb0a3df3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2026-08-06T00:24:37.742493Z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9b2eb8d2819940b8</t>
        </is>
      </c>
      <c r="B40" s="24" t="inlineStr">
        <is>
          <t>2026-08-06T00:24:51.570056Z</t>
        </is>
      </c>
      <c r="C40" s="24" t="inlineStr">
        <is>
          <t>2026-08-06T09:00:00Z</t>
        </is>
      </c>
      <c r="D40" s="24" t="inlineStr">
        <is>
          <t>70574</t>
        </is>
      </c>
      <c r="E40" s="24" t="inlineStr">
        <is>
          <t>LOL</t>
        </is>
      </c>
      <c r="F40" s="24" t="inlineStr">
        <is>
          <t>Ninjas in Pyjamas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156</v>
      </c>
      <c r="M40" s="27" t="n">
        <v>2.56</v>
      </c>
      <c r="N40" s="28" t="n">
        <v>0.390625</v>
      </c>
      <c r="O40" s="28" t="n">
        <v>0.5103259999999999</v>
      </c>
      <c r="P40" s="28" t="n"/>
      <c r="Q40" s="28" t="n">
        <v>0.119701</v>
      </c>
      <c r="R40" s="26" t="n">
        <v>80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1.56</v>
      </c>
      <c r="AD40" s="24" t="inlineStr">
        <is>
          <t>2026-08-06T18:56:17.667744Z</t>
        </is>
      </c>
      <c r="AE40" s="31" t="inlineStr">
        <is>
          <t>Neutral Elo baseline; executable ask 0.3900 (market_slug=aec-lol-ig-nip-2026-08-06).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Ninjas in Pyjamas</t>
        </is>
      </c>
      <c r="AQ40" s="24" t="inlineStr">
        <is>
          <t>Ninjas in Pyjamas</t>
        </is>
      </c>
      <c r="AR40" s="24" t="inlineStr">
        <is>
          <t>Ninjas in Pyjamas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4304963c152f1e881f634fa0b66ab59152f3edd6692257c1d27d76a5cb0a3df3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4304963c152f1e881f634fa0b66ab59152f3edd6692257c1d27d76a5cb0a3df3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2026-08-06T00:24:38.252962Z</t>
        </is>
      </c>
      <c r="BI40" s="24" t="inlineStr">
        <is>
          <t>["same_event","same_team_same_day","same_league_same_day"]</t>
        </is>
      </c>
      <c r="BJ40" s="25" t="n"/>
      <c r="BK40" s="26" t="n">
        <v>156</v>
      </c>
      <c r="BL40" s="27" t="n">
        <v>2.56</v>
      </c>
      <c r="BM40" s="28" t="n">
        <v>0.390625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252d9198e9914f85</t>
        </is>
      </c>
      <c r="B41" s="24" t="inlineStr">
        <is>
          <t>2026-08-06T00:24:51.570056Z</t>
        </is>
      </c>
      <c r="C41" s="24" t="inlineStr">
        <is>
          <t>2026-08-06T10:00:00Z</t>
        </is>
      </c>
      <c r="D41" s="24" t="inlineStr">
        <is>
          <t>70594</t>
        </is>
      </c>
      <c r="E41" s="24" t="inlineStr">
        <is>
          <t>LOL</t>
        </is>
      </c>
      <c r="F41" s="24" t="inlineStr">
        <is>
          <t>T1</t>
        </is>
      </c>
      <c r="G41" s="24" t="inlineStr">
        <is>
          <t>Dplus KIA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0.554077</v>
      </c>
      <c r="P41" s="28" t="n"/>
      <c r="Q41" s="28" t="n">
        <v>0.023561</v>
      </c>
      <c r="R41" s="26" t="n">
        <v>32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2026-08-06T18:56:20.215158Z</t>
        </is>
      </c>
      <c r="AE41" s="31" t="inlineStr">
        <is>
          <t>Neutral Elo baseline; executable ask 0.5300 (market_slug=aec-lol-dk-t1-2026-08-06).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NO_CALL_WINNER_OVERVALUED</t>
        </is>
      </c>
      <c r="AP41" s="24" t="inlineStr">
        <is>
          <t>T1</t>
        </is>
      </c>
      <c r="AQ41" s="24" t="inlineStr">
        <is>
          <t>T1</t>
        </is>
      </c>
      <c r="AR41" s="24" t="inlineStr">
        <is>
          <t>T1</t>
        </is>
      </c>
      <c r="AS41" s="24" t="inlineStr">
        <is>
          <t>Dplus KIA</t>
        </is>
      </c>
      <c r="AT41" s="24" t="inlineStr">
        <is>
          <t>Dplus KIA</t>
        </is>
      </c>
      <c r="AU41" s="24" t="inlineStr">
        <is>
          <t>Dplus KIA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4304963c152f1e881f634fa0b66ab59152f3edd6692257c1d27d76a5cb0a3df3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4304963c152f1e881f634fa0b66ab59152f3edd6692257c1d27d76a5cb0a3df3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2026-08-06T00:24:38.757841Z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aa7ff76cf71f478f</t>
        </is>
      </c>
      <c r="B42" s="24" t="inlineStr">
        <is>
          <t>2026-08-06T00:24:51.570056Z</t>
        </is>
      </c>
      <c r="C42" s="24" t="inlineStr">
        <is>
          <t>2026-08-06T16:00:00Z</t>
        </is>
      </c>
      <c r="D42" s="24" t="inlineStr">
        <is>
          <t>70789</t>
        </is>
      </c>
      <c r="E42" s="24" t="inlineStr">
        <is>
          <t>LOL</t>
        </is>
      </c>
      <c r="F42" s="24" t="inlineStr">
        <is>
          <t>Lupus Esports</t>
        </is>
      </c>
      <c r="G42" s="24" t="inlineStr">
        <is>
          <t>The Secret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0.659932</v>
      </c>
      <c r="P42" s="28" t="n"/>
      <c r="Q42" s="28" t="n">
        <v>6.8e-05</v>
      </c>
      <c r="R42" s="26" t="n">
        <v>20</v>
      </c>
      <c r="S42" s="29" t="n">
        <v>1.75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0.9021</v>
      </c>
      <c r="AD42" s="24" t="inlineStr">
        <is>
          <t>2026-08-06T18:56:22.705506Z</t>
        </is>
      </c>
      <c r="AE42" s="31" t="inlineStr">
        <is>
          <t>Neutral Elo baseline; executable ask 0.6600 (market_slug=aec-lol-tsc-lps-2026-08-06).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NO_CALL_WINNER_OVERVALUED</t>
        </is>
      </c>
      <c r="AP42" s="24" t="inlineStr">
        <is>
          <t>Lupus Esports</t>
        </is>
      </c>
      <c r="AQ42" s="24" t="inlineStr">
        <is>
          <t>Lupus Esports</t>
        </is>
      </c>
      <c r="AR42" s="24" t="inlineStr">
        <is>
          <t>Lupus Esports</t>
        </is>
      </c>
      <c r="AS42" s="24" t="inlineStr">
        <is>
          <t>The Secret Club</t>
        </is>
      </c>
      <c r="AT42" s="24" t="inlineStr">
        <is>
          <t>The Secret Club</t>
        </is>
      </c>
      <c r="AU42" s="24" t="inlineStr">
        <is>
          <t>The Secret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4304963c152f1e881f634fa0b66ab59152f3edd6692257c1d27d76a5cb0a3df3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4304963c152f1e881f634fa0b66ab59152f3edd6692257c1d27d76a5cb0a3df3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2026-08-06T00:24:41.808312Z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0.91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aac66cb881df4bc9</t>
        </is>
      </c>
      <c r="B43" s="24" t="inlineStr">
        <is>
          <t>2026-08-06T00:24:51.570056Z</t>
        </is>
      </c>
      <c r="C43" s="24" t="inlineStr">
        <is>
          <t>2026-08-06T16:00:00Z</t>
        </is>
      </c>
      <c r="D43" s="24" t="inlineStr">
        <is>
          <t>70790</t>
        </is>
      </c>
      <c r="E43" s="24" t="inlineStr">
        <is>
          <t>LOL</t>
        </is>
      </c>
      <c r="F43" s="24" t="inlineStr">
        <is>
          <t>Baam Esports</t>
        </is>
      </c>
      <c r="G43" s="24" t="inlineStr">
        <is>
          <t>One More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0.764249</v>
      </c>
      <c r="P43" s="28" t="n"/>
      <c r="Q43" s="28" t="n">
        <v>0.174085</v>
      </c>
      <c r="R43" s="26" t="n">
        <v>100</v>
      </c>
      <c r="S43" s="29" t="n">
        <v>2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1.3889</v>
      </c>
      <c r="AD43" s="24" t="inlineStr">
        <is>
          <t>2026-08-06T18:56:25.172905Z</t>
        </is>
      </c>
      <c r="AE43" s="31" t="inlineStr">
        <is>
          <t>Neutral Elo baseline; executable ask 0.5900 (market_slug=aec-lol-one-bam-2026-08-06).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Baam Esports</t>
        </is>
      </c>
      <c r="AQ43" s="24" t="inlineStr">
        <is>
          <t>Baam Esports</t>
        </is>
      </c>
      <c r="AR43" s="24" t="inlineStr">
        <is>
          <t>Baam Esports</t>
        </is>
      </c>
      <c r="AS43" s="24" t="inlineStr">
        <is>
          <t>One More Esports</t>
        </is>
      </c>
      <c r="AT43" s="24" t="inlineStr">
        <is>
          <t>One More Esports</t>
        </is>
      </c>
      <c r="AU43" s="24" t="inlineStr">
        <is>
          <t>One More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4304963c152f1e881f634fa0b66ab59152f3edd6692257c1d27d76a5cb0a3df3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4304963c152f1e881f634fa0b66ab59152f3edd6692257c1d27d76a5cb0a3df3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2026-08-06T00:24:42.381233Z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ebabad64b5bd47f4</t>
        </is>
      </c>
      <c r="B44" s="24" t="inlineStr">
        <is>
          <t>2026-08-06T00:24:51.570056Z</t>
        </is>
      </c>
      <c r="C44" s="24" t="inlineStr">
        <is>
          <t>2026-08-06T17:00:00Z</t>
        </is>
      </c>
      <c r="D44" s="24" t="inlineStr">
        <is>
          <t>70860</t>
        </is>
      </c>
      <c r="E44" s="24" t="inlineStr">
        <is>
          <t>LOL</t>
        </is>
      </c>
      <c r="F44" s="24" t="inlineStr">
        <is>
          <t>Skillcamp Esport</t>
        </is>
      </c>
      <c r="G44" s="24" t="inlineStr">
        <is>
          <t>Karmine Corp Blue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0.742815</v>
      </c>
      <c r="P44" s="28" t="n"/>
      <c r="Q44" s="28" t="n">
        <v>0.142815</v>
      </c>
      <c r="R44" s="26" t="n">
        <v>91</v>
      </c>
      <c r="S44" s="29" t="n">
        <v>2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-2</v>
      </c>
      <c r="AD44" s="24" t="inlineStr">
        <is>
          <t>2026-08-06T18:56:27.727773Z</t>
        </is>
      </c>
      <c r="AE44" s="31" t="inlineStr">
        <is>
          <t>Neutral Elo baseline; executable ask 0.6000 (market_slug=aec-lol-kcb-sc-2026-08-06).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Skillcamp Esport</t>
        </is>
      </c>
      <c r="AQ44" s="24" t="inlineStr">
        <is>
          <t>Skillcamp Esport</t>
        </is>
      </c>
      <c r="AR44" s="24" t="inlineStr">
        <is>
          <t>Skillcamp Esport</t>
        </is>
      </c>
      <c r="AS44" s="24" t="inlineStr">
        <is>
          <t>Karmine Corp Blue</t>
        </is>
      </c>
      <c r="AT44" s="24" t="inlineStr">
        <is>
          <t>Karmine Corp Blue</t>
        </is>
      </c>
      <c r="AU44" s="24" t="inlineStr">
        <is>
          <t>Karmine Corp Blue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4304963c152f1e881f634fa0b66ab59152f3edd6692257c1d27d76a5cb0a3df3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4304963c152f1e881f634fa0b66ab59152f3edd6692257c1d27d76a5cb0a3df3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2026-08-06T00:24:43.466107Z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88de860f81a54ba6</t>
        </is>
      </c>
      <c r="B45" s="24" t="inlineStr">
        <is>
          <t>2026-08-06T00:24:51.570056Z</t>
        </is>
      </c>
      <c r="C45" s="24" t="inlineStr">
        <is>
          <t>2026-08-06T17:00:00Z</t>
        </is>
      </c>
      <c r="D45" s="24" t="inlineStr">
        <is>
          <t>70862</t>
        </is>
      </c>
      <c r="E45" s="24" t="inlineStr">
        <is>
          <t>LOL</t>
        </is>
      </c>
      <c r="F45" s="24" t="inlineStr">
        <is>
          <t>EKO Esports</t>
        </is>
      </c>
      <c r="G45" s="24" t="inlineStr">
        <is>
          <t>Colossal Gaming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0.696928</v>
      </c>
      <c r="P45" s="28" t="n"/>
      <c r="Q45" s="28" t="n">
        <v>0.037064</v>
      </c>
      <c r="R45" s="26" t="n">
        <v>39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-2</v>
      </c>
      <c r="AD45" s="24" t="inlineStr">
        <is>
          <t>2026-08-06T18:56:30.210457Z</t>
        </is>
      </c>
      <c r="AE45" s="31" t="inlineStr">
        <is>
          <t>Neutral Elo baseline; executable ask 0.6600 (market_slug=aec-lol-cg-eko-2026-08-06).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NO_CALL_WINNER_OVERVALUED</t>
        </is>
      </c>
      <c r="AP45" s="24" t="inlineStr">
        <is>
          <t>EKO Esports</t>
        </is>
      </c>
      <c r="AQ45" s="24" t="inlineStr">
        <is>
          <t>EKO Esports</t>
        </is>
      </c>
      <c r="AR45" s="24" t="inlineStr">
        <is>
          <t>EKO Esports</t>
        </is>
      </c>
      <c r="AS45" s="24" t="inlineStr">
        <is>
          <t>Colossal Gaming</t>
        </is>
      </c>
      <c r="AT45" s="24" t="inlineStr">
        <is>
          <t>Colossal Gaming</t>
        </is>
      </c>
      <c r="AU45" s="24" t="inlineStr">
        <is>
          <t>Colossal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4304963c152f1e881f634fa0b66ab59152f3edd6692257c1d27d76a5cb0a3df3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4304963c152f1e881f634fa0b66ab59152f3edd6692257c1d27d76a5cb0a3df3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2026-08-06T00:24:44.031854Z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8b2688c8a93d4dcc</t>
        </is>
      </c>
      <c r="B46" s="24" t="inlineStr">
        <is>
          <t>2026-08-06T00:24:51.570056Z</t>
        </is>
      </c>
      <c r="C46" s="24" t="inlineStr">
        <is>
          <t>2026-08-06T17:00:00Z</t>
        </is>
      </c>
      <c r="D46" s="24" t="inlineStr">
        <is>
          <t>70863</t>
        </is>
      </c>
      <c r="E46" s="24" t="inlineStr">
        <is>
          <t>LOL</t>
        </is>
      </c>
      <c r="F46" s="24" t="inlineStr">
        <is>
          <t>Senshi Esports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0.515418</v>
      </c>
      <c r="P46" s="28" t="n"/>
      <c r="Q46" s="28" t="n">
        <v>-0.003813</v>
      </c>
      <c r="R46" s="26" t="n">
        <v>18</v>
      </c>
      <c r="S46" s="29" t="n">
        <v>1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0.9258999999999999</v>
      </c>
      <c r="AD46" s="24" t="inlineStr">
        <is>
          <t>2026-08-06T18:56:32.689409Z</t>
        </is>
      </c>
      <c r="AE46" s="31" t="inlineStr">
        <is>
          <t>Neutral Elo baseline; executable ask 0.5200 (market_slug=aec-lol-myth-sec-2026-08-06).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NO_CALL_WINNER_OVERVALUED</t>
        </is>
      </c>
      <c r="AP46" s="24" t="inlineStr">
        <is>
          <t>Senshi Esports</t>
        </is>
      </c>
      <c r="AQ46" s="24" t="inlineStr">
        <is>
          <t>Senshi Esports</t>
        </is>
      </c>
      <c r="AR46" s="24" t="inlineStr">
        <is>
          <t>Senshi Esports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4304963c152f1e881f634fa0b66ab59152f3edd6692257c1d27d76a5cb0a3df3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4304963c152f1e881f634fa0b66ab59152f3edd6692257c1d27d76a5cb0a3df3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2026-08-06T00:24:44.630123Z</t>
        </is>
      </c>
      <c r="BI46" s="24" t="inlineStr">
        <is>
          <t>["same_event","same_team_same_day","same_league_same_day"]</t>
        </is>
      </c>
      <c r="BJ46" s="25" t="n"/>
      <c r="BK46" s="26" t="n">
        <v>-108</v>
      </c>
      <c r="BL46" s="27" t="n">
        <v>1.925926</v>
      </c>
      <c r="BM46" s="28" t="n">
        <v>0.519231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</row>
    <row r="47" ht="36" customHeight="1">
      <c r="A47" s="24" t="inlineStr">
        <is>
          <t>dcfff4acdd9f4be4</t>
        </is>
      </c>
      <c r="B47" s="24" t="inlineStr">
        <is>
          <t>2026-08-06T00:24:51.570056Z</t>
        </is>
      </c>
      <c r="C47" s="24" t="inlineStr">
        <is>
          <t>2026-08-06T18:00:00Z</t>
        </is>
      </c>
      <c r="D47" s="24" t="inlineStr">
        <is>
          <t>70899</t>
        </is>
      </c>
      <c r="E47" s="24" t="inlineStr">
        <is>
          <t>LOL</t>
        </is>
      </c>
      <c r="F47" s="24" t="inlineStr">
        <is>
          <t>Joblife</t>
        </is>
      </c>
      <c r="G47" s="24" t="inlineStr">
        <is>
          <t>TLN Pirates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0.620982</v>
      </c>
      <c r="P47" s="28" t="n"/>
      <c r="Q47" s="28" t="n">
        <v>0.050167</v>
      </c>
      <c r="R47" s="26" t="n">
        <v>45</v>
      </c>
      <c r="S47" s="29" t="n">
        <v>1.5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1.1278</v>
      </c>
      <c r="AD47" s="24" t="inlineStr">
        <is>
          <t>2026-08-06T18:56:35.224039Z</t>
        </is>
      </c>
      <c r="AE47" s="31" t="inlineStr">
        <is>
          <t>Neutral Elo baseline; executable ask 0.5700 (market_slug=aec-lol-tlnp-jl-2026-08-06).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NO_CALL_WINNER_OVERVALUED</t>
        </is>
      </c>
      <c r="AP47" s="24" t="inlineStr">
        <is>
          <t>Joblife</t>
        </is>
      </c>
      <c r="AQ47" s="24" t="inlineStr">
        <is>
          <t>Joblife</t>
        </is>
      </c>
      <c r="AR47" s="24" t="inlineStr">
        <is>
          <t>Joblife</t>
        </is>
      </c>
      <c r="AS47" s="24" t="inlineStr">
        <is>
          <t>TLN Pirates</t>
        </is>
      </c>
      <c r="AT47" s="24" t="inlineStr">
        <is>
          <t>TLN Pirates</t>
        </is>
      </c>
      <c r="AU47" s="24" t="inlineStr">
        <is>
          <t>TLN Pirates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4304963c152f1e881f634fa0b66ab59152f3edd6692257c1d27d76a5cb0a3df3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4304963c152f1e881f634fa0b66ab59152f3edd6692257c1d27d76a5cb0a3df3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2026-08-06T00:24:46.117972Z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c19c823351654694</t>
        </is>
      </c>
      <c r="B48" s="24" t="inlineStr">
        <is>
          <t>2026-08-06T00:24:51.570056Z</t>
        </is>
      </c>
      <c r="C48" s="24" t="inlineStr">
        <is>
          <t>2026-08-06T18:00:00Z</t>
        </is>
      </c>
      <c r="D48" s="24" t="inlineStr">
        <is>
          <t>70900</t>
        </is>
      </c>
      <c r="E48" s="24" t="inlineStr">
        <is>
          <t>LOL</t>
        </is>
      </c>
      <c r="F48" s="24" t="inlineStr">
        <is>
          <t>EXSAD Gaming</t>
        </is>
      </c>
      <c r="G48" s="24" t="inlineStr">
        <is>
          <t>ZeroZone Gaming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0.584918</v>
      </c>
      <c r="P48" s="28" t="n"/>
      <c r="Q48" s="28" t="n">
        <v>0.025447</v>
      </c>
      <c r="R48" s="26" t="n">
        <v>33</v>
      </c>
      <c r="S48" s="29" t="n">
        <v>1.25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-1.25</v>
      </c>
      <c r="AD48" s="24" t="inlineStr">
        <is>
          <t>2026-08-07T06:01:32.072120Z</t>
        </is>
      </c>
      <c r="AE48" s="31" t="inlineStr">
        <is>
          <t>Neutral Elo baseline; executable ask 0.5600 (market_slug=aec-lol-zzg-exg-2026-08-06).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NO_CALL_WINNER_OVERVALUED</t>
        </is>
      </c>
      <c r="AP48" s="24" t="inlineStr">
        <is>
          <t>EXSAD Gaming</t>
        </is>
      </c>
      <c r="AQ48" s="24" t="inlineStr">
        <is>
          <t>EXSAD Gaming</t>
        </is>
      </c>
      <c r="AR48" s="24" t="inlineStr">
        <is>
          <t>EXSAD Gaming</t>
        </is>
      </c>
      <c r="AS48" s="24" t="inlineStr">
        <is>
          <t>ZeroZone Gaming</t>
        </is>
      </c>
      <c r="AT48" s="24" t="inlineStr">
        <is>
          <t>ZeroZone Gaming</t>
        </is>
      </c>
      <c r="AU48" s="24" t="inlineStr">
        <is>
          <t>ZeroZone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4304963c152f1e881f634fa0b66ab59152f3edd6692257c1d27d76a5cb0a3df3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4304963c152f1e881f634fa0b66ab59152f3edd6692257c1d27d76a5cb0a3df3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2026-08-06T00:24:46.574518Z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7762cfab6f664222</t>
        </is>
      </c>
      <c r="B49" s="24" t="inlineStr">
        <is>
          <t>2026-08-06T00:24:51.570056Z</t>
        </is>
      </c>
      <c r="C49" s="24" t="inlineStr">
        <is>
          <t>2026-08-06T18:00:00Z</t>
        </is>
      </c>
      <c r="D49" s="24" t="inlineStr">
        <is>
          <t>70902</t>
        </is>
      </c>
      <c r="E49" s="24" t="inlineStr">
        <is>
          <t>LOL</t>
        </is>
      </c>
      <c r="F49" s="24" t="inlineStr">
        <is>
          <t xml:space="preserve">Croatian Flair x RLX </t>
        </is>
      </c>
      <c r="G49" s="24" t="inlineStr">
        <is>
          <t>SPIKE Syndicate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0.526701</v>
      </c>
      <c r="P49" s="28" t="n"/>
      <c r="Q49" s="28" t="n">
        <v>-0.01247</v>
      </c>
      <c r="R49" s="26" t="n">
        <v>14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2026-08-07T06:01:34.117276Z</t>
        </is>
      </c>
      <c r="AE49" s="31" t="inlineStr">
        <is>
          <t>Neutral Elo baseline; executable ask 0.5400 (market_slug=aec-lol-spk-cfxr-2026-08-06).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NO_CALL_WINNER_OVERVALUED</t>
        </is>
      </c>
      <c r="AP49" s="24" t="inlineStr">
        <is>
          <t xml:space="preserve">Croatian Flair x RLX </t>
        </is>
      </c>
      <c r="AQ49" s="24" t="inlineStr">
        <is>
          <t xml:space="preserve">Croatian Flair x RLX </t>
        </is>
      </c>
      <c r="AR49" s="24" t="inlineStr">
        <is>
          <t xml:space="preserve">Croatian Flair x RLX </t>
        </is>
      </c>
      <c r="AS49" s="24" t="inlineStr">
        <is>
          <t>SPIKE Syndicate</t>
        </is>
      </c>
      <c r="AT49" s="24" t="inlineStr">
        <is>
          <t>SPIKE Syndicate</t>
        </is>
      </c>
      <c r="AU49" s="24" t="inlineStr">
        <is>
          <t>SPIKE Syndicate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4304963c152f1e881f634fa0b66ab59152f3edd6692257c1d27d76a5cb0a3df3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4304963c152f1e881f634fa0b66ab59152f3edd6692257c1d27d76a5cb0a3df3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2026-08-06T00:24:47.035129Z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</row>
    <row r="50" ht="36" customHeight="1">
      <c r="A50" s="24" t="inlineStr">
        <is>
          <t>13eb8c51dc9647ac</t>
        </is>
      </c>
      <c r="B50" s="24" t="inlineStr">
        <is>
          <t>2026-08-06T00:24:51.570056Z</t>
        </is>
      </c>
      <c r="C50" s="24" t="inlineStr">
        <is>
          <t>2026-08-06T18:00:00Z</t>
        </is>
      </c>
      <c r="D50" s="24" t="inlineStr">
        <is>
          <t>70903</t>
        </is>
      </c>
      <c r="E50" s="24" t="inlineStr">
        <is>
          <t>LOL</t>
        </is>
      </c>
      <c r="F50" s="24" t="inlineStr">
        <is>
          <t>Zena Esports</t>
        </is>
      </c>
      <c r="G50" s="24" t="inlineStr">
        <is>
          <t>GMBLERS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113</v>
      </c>
      <c r="M50" s="27" t="n">
        <v>2.13</v>
      </c>
      <c r="N50" s="28" t="n">
        <v>0.469484</v>
      </c>
      <c r="O50" s="28" t="n">
        <v>0.630956</v>
      </c>
      <c r="P50" s="28" t="n"/>
      <c r="Q50" s="28" t="n">
        <v>0.161472</v>
      </c>
      <c r="R50" s="26" t="n">
        <v>100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1.695</v>
      </c>
      <c r="AD50" s="24" t="inlineStr">
        <is>
          <t>2026-08-06T18:56:40.419369Z</t>
        </is>
      </c>
      <c r="AE50" s="31" t="inlineStr">
        <is>
          <t>Neutral Elo baseline; executable ask 0.4700 (market_slug=aec-lol-gmb-zena-2026-08-06).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Zena Esports</t>
        </is>
      </c>
      <c r="AQ50" s="24" t="inlineStr">
        <is>
          <t>Zena Esports</t>
        </is>
      </c>
      <c r="AR50" s="24" t="inlineStr">
        <is>
          <t>Zena Esports</t>
        </is>
      </c>
      <c r="AS50" s="24" t="inlineStr">
        <is>
          <t>GMBLERS ESPORTS</t>
        </is>
      </c>
      <c r="AT50" s="24" t="inlineStr">
        <is>
          <t>GMBLERS ESPORTS</t>
        </is>
      </c>
      <c r="AU50" s="24" t="inlineStr">
        <is>
          <t>GMBLERS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4304963c152f1e881f634fa0b66ab59152f3edd6692257c1d27d76a5cb0a3df3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4304963c152f1e881f634fa0b66ab59152f3edd6692257c1d27d76a5cb0a3df3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2026-08-06T00:24:47.491847Z</t>
        </is>
      </c>
      <c r="BI50" s="24" t="inlineStr">
        <is>
          <t>["same_event","same_team_same_day","same_league_same_day"]</t>
        </is>
      </c>
      <c r="BJ50" s="25" t="n"/>
      <c r="BK50" s="26" t="n">
        <v>113</v>
      </c>
      <c r="BL50" s="27" t="n">
        <v>2.13</v>
      </c>
      <c r="BM50" s="28" t="n">
        <v>0.469484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45958a0ec00d4c43</t>
        </is>
      </c>
      <c r="B51" s="24" t="inlineStr">
        <is>
          <t>2026-08-06T00:24:51.570056Z</t>
        </is>
      </c>
      <c r="C51" s="24" t="inlineStr">
        <is>
          <t>2026-08-06T18:30:00Z</t>
        </is>
      </c>
      <c r="D51" s="24" t="inlineStr">
        <is>
          <t>70944</t>
        </is>
      </c>
      <c r="E51" s="24" t="inlineStr">
        <is>
          <t>LOL</t>
        </is>
      </c>
      <c r="F51" s="24" t="inlineStr">
        <is>
          <t>GnG Amazigh</t>
        </is>
      </c>
      <c r="G51" s="24" t="inlineStr">
        <is>
          <t>3BL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0.503252</v>
      </c>
      <c r="P51" s="28" t="n"/>
      <c r="Q51" s="28" t="n">
        <v>-0.006552</v>
      </c>
      <c r="R51" s="26" t="n">
        <v>17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2026-08-07T06:01:36.066905Z</t>
        </is>
      </c>
      <c r="AE51" s="31" t="inlineStr">
        <is>
          <t>Neutral Elo baseline; executable ask 0.5100 (market_slug=aec-lol-3bl-gng-2026-08-06).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NO_CALL_WINNER_OVERVALUED</t>
        </is>
      </c>
      <c r="AP51" s="24" t="inlineStr">
        <is>
          <t>GnG Amazigh</t>
        </is>
      </c>
      <c r="AQ51" s="24" t="inlineStr">
        <is>
          <t>GnG Amazigh</t>
        </is>
      </c>
      <c r="AR51" s="24" t="inlineStr">
        <is>
          <t>GnG Amazigh</t>
        </is>
      </c>
      <c r="AS51" s="24" t="inlineStr">
        <is>
          <t>3BL Esports</t>
        </is>
      </c>
      <c r="AT51" s="24" t="inlineStr">
        <is>
          <t>3BL Esports</t>
        </is>
      </c>
      <c r="AU51" s="24" t="inlineStr">
        <is>
          <t>3BL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4304963c152f1e881f634fa0b66ab59152f3edd6692257c1d27d76a5cb0a3df3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4304963c152f1e881f634fa0b66ab59152f3edd6692257c1d27d76a5cb0a3df3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2026-08-06T00:24:48.482758Z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a61f5714f228441f</t>
        </is>
      </c>
      <c r="B52" s="24" t="inlineStr">
        <is>
          <t>2026-08-06T19:00:25.399605Z</t>
        </is>
      </c>
      <c r="C52" s="24" t="inlineStr">
        <is>
          <t>2026-08-06T20:00:00Z</t>
        </is>
      </c>
      <c r="D52" s="24" t="inlineStr">
        <is>
          <t>71214</t>
        </is>
      </c>
      <c r="E52" s="24" t="inlineStr">
        <is>
          <t>LOL</t>
        </is>
      </c>
      <c r="F52" s="24" t="inlineStr">
        <is>
          <t>Vitality.Bee</t>
        </is>
      </c>
      <c r="G52" s="24" t="inlineStr">
        <is>
          <t>ZYB Esport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0.679525</v>
      </c>
      <c r="P52" s="28" t="n"/>
      <c r="Q52" s="28" t="n">
        <v>0.059753</v>
      </c>
      <c r="R52" s="26" t="n">
        <v>50</v>
      </c>
      <c r="S52" s="29" t="n">
        <v>1.75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1.0736</v>
      </c>
      <c r="AD52" s="24" t="inlineStr">
        <is>
          <t>2026-08-07T06:01:38.017573Z</t>
        </is>
      </c>
      <c r="AE52" s="31" t="inlineStr">
        <is>
          <t>Neutral Elo baseline; executable ask 0.6200 (market_slug=aec-lol-zyb-vitb-2026-08-06).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NO_CALL_WINNER_OVERVALUED</t>
        </is>
      </c>
      <c r="AP52" s="24" t="inlineStr">
        <is>
          <t>Vitality.Bee</t>
        </is>
      </c>
      <c r="AQ52" s="24" t="inlineStr">
        <is>
          <t>Vitality.Bee</t>
        </is>
      </c>
      <c r="AR52" s="24" t="inlineStr">
        <is>
          <t>Vitality.Bee</t>
        </is>
      </c>
      <c r="AS52" s="24" t="inlineStr">
        <is>
          <t>ZYB Esport</t>
        </is>
      </c>
      <c r="AT52" s="24" t="inlineStr">
        <is>
          <t>ZYB Esport</t>
        </is>
      </c>
      <c r="AU52" s="24" t="inlineStr">
        <is>
          <t>ZYB Esport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5e9799a515295e9b079eacaa53a2e35352183239a18c1b173f4a540a52770140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5e9799a515295e9b079eacaa53a2e35352183239a18c1b173f4a540a52770140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2026-08-06T19:00:13.353895Z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0ccd89fcee2349fe</t>
        </is>
      </c>
      <c r="B53" s="24" t="inlineStr">
        <is>
          <t>2026-08-06T19:00:25.399605Z</t>
        </is>
      </c>
      <c r="C53" s="24" t="inlineStr">
        <is>
          <t>2026-08-06T21:00:00Z</t>
        </is>
      </c>
      <c r="D53" s="24" t="inlineStr">
        <is>
          <t>71313</t>
        </is>
      </c>
      <c r="E53" s="24" t="inlineStr">
        <is>
          <t>LOL</t>
        </is>
      </c>
      <c r="F53" s="24" t="inlineStr">
        <is>
          <t>Panelão LHC</t>
        </is>
      </c>
      <c r="G53" s="24" t="inlineStr">
        <is>
          <t>Tung Tung Bogi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0.502926</v>
      </c>
      <c r="P53" s="28" t="n"/>
      <c r="Q53" s="28" t="n">
        <v>-0.067889</v>
      </c>
      <c r="R53" s="26" t="n">
        <v>0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-133</v>
      </c>
      <c r="AA53" s="28" t="n">
        <v>0.57</v>
      </c>
      <c r="AB53" s="28" t="n">
        <v>-0.000815</v>
      </c>
      <c r="AC53" s="30" t="n">
        <v>0.7519</v>
      </c>
      <c r="AD53" s="24" t="inlineStr">
        <is>
          <t>2026-08-07T06:01:39.953165Z</t>
        </is>
      </c>
      <c r="AE53" s="31" t="inlineStr">
        <is>
          <t>Neutral Elo baseline; executable ask 0.5700 (market_slug=aec-lol-tung-pane-2026-08-06).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NO_CALL_WINNER_OVERVALUED</t>
        </is>
      </c>
      <c r="AP53" s="24" t="inlineStr">
        <is>
          <t>Panelão LHC</t>
        </is>
      </c>
      <c r="AQ53" s="24" t="inlineStr">
        <is>
          <t>Panelão LHC</t>
        </is>
      </c>
      <c r="AR53" s="24" t="inlineStr">
        <is>
          <t>Panelão LHC</t>
        </is>
      </c>
      <c r="AS53" s="24" t="inlineStr">
        <is>
          <t>Tung Tung Bogi</t>
        </is>
      </c>
      <c r="AT53" s="24" t="inlineStr">
        <is>
          <t>Tung Tung Bogi</t>
        </is>
      </c>
      <c r="AU53" s="24" t="inlineStr">
        <is>
          <t>Tung Tung Bogi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5e9799a515295e9b079eacaa53a2e35352183239a18c1b173f4a540a52770140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5e9799a515295e9b079eacaa53a2e35352183239a18c1b173f4a540a52770140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2026-08-06T19:00:13.983504Z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>
        <v>1.75188</v>
      </c>
      <c r="BR53" s="28" t="n">
        <v>0.57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0.91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</row>
    <row r="54" ht="36" customHeight="1">
      <c r="A54" s="24" t="inlineStr">
        <is>
          <t>0231b19970844149</t>
        </is>
      </c>
      <c r="B54" s="24" t="inlineStr">
        <is>
          <t>2026-08-06T19:00:25.399605Z</t>
        </is>
      </c>
      <c r="C54" s="24" t="inlineStr">
        <is>
          <t>2026-08-06T21:00:00Z</t>
        </is>
      </c>
      <c r="D54" s="24" t="inlineStr">
        <is>
          <t>71314</t>
        </is>
      </c>
      <c r="E54" s="24" t="inlineStr">
        <is>
          <t>LOL</t>
        </is>
      </c>
      <c r="F54" s="24" t="inlineStr">
        <is>
          <t>CCG Esports</t>
        </is>
      </c>
      <c r="G54" s="24" t="inlineStr">
        <is>
          <t>Maryville University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0.557526</v>
      </c>
      <c r="P54" s="28" t="n"/>
      <c r="Q54" s="28" t="n">
        <v>-0.032638</v>
      </c>
      <c r="R54" s="26" t="n">
        <v>4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-144</v>
      </c>
      <c r="AA54" s="28" t="n">
        <v>0.59</v>
      </c>
      <c r="AB54" s="28" t="n">
        <v>-0.000164</v>
      </c>
      <c r="AC54" s="30" t="n">
        <v>0.6944</v>
      </c>
      <c r="AD54" s="24" t="inlineStr">
        <is>
          <t>2026-08-07T06:01:42.011440Z</t>
        </is>
      </c>
      <c r="AE54" s="31" t="inlineStr">
        <is>
          <t>Neutral Elo baseline; executable ask 0.5900 (market_slug=aec-lol-mvu-ccg-2026-08-06).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NO_CALL_WINNER_OVERVALUED</t>
        </is>
      </c>
      <c r="AP54" s="24" t="inlineStr">
        <is>
          <t>CCG Esports</t>
        </is>
      </c>
      <c r="AQ54" s="24" t="inlineStr">
        <is>
          <t>CCG Esports</t>
        </is>
      </c>
      <c r="AR54" s="24" t="inlineStr">
        <is>
          <t>CCG Esports</t>
        </is>
      </c>
      <c r="AS54" s="24" t="inlineStr">
        <is>
          <t>Maryville University</t>
        </is>
      </c>
      <c r="AT54" s="24" t="inlineStr">
        <is>
          <t>Maryville University</t>
        </is>
      </c>
      <c r="AU54" s="24" t="inlineStr">
        <is>
          <t>Maryville University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5e9799a515295e9b079eacaa53a2e35352183239a18c1b173f4a540a52770140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5e9799a515295e9b079eacaa53a2e35352183239a18c1b173f4a540a52770140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2026-08-06T19:00:14.541758Z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>
        <v>1.694444</v>
      </c>
      <c r="BR54" s="28" t="n">
        <v>0.59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8364391a5d6747ed</t>
        </is>
      </c>
      <c r="B55" s="24" t="inlineStr">
        <is>
          <t>2026-08-06T19:00:25.399605Z</t>
        </is>
      </c>
      <c r="C55" s="24" t="inlineStr">
        <is>
          <t>2026-08-07T00:00:00Z</t>
        </is>
      </c>
      <c r="D55" s="24" t="inlineStr">
        <is>
          <t>71538</t>
        </is>
      </c>
      <c r="E55" s="24" t="inlineStr">
        <is>
          <t>LOL</t>
        </is>
      </c>
      <c r="F55" s="24" t="inlineStr">
        <is>
          <t>Contingent Esports</t>
        </is>
      </c>
      <c r="G55" s="24" t="inlineStr">
        <is>
          <t>Conviction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0.513518</v>
      </c>
      <c r="P55" s="28" t="n"/>
      <c r="Q55" s="28" t="n">
        <v>-0.186182</v>
      </c>
      <c r="R55" s="26" t="n">
        <v>0</v>
      </c>
      <c r="S55" s="29" t="n">
        <v>1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2026-08-07T06:01:43.858141Z</t>
        </is>
      </c>
      <c r="AE55" s="31" t="inlineStr">
        <is>
          <t>Neutral Elo baseline; executable ask 0.7000 (market_slug=aec-lol-cnv-cont-2026-08-07).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NO_CALL_WINNER_OVERVALUED</t>
        </is>
      </c>
      <c r="AP55" s="24" t="inlineStr">
        <is>
          <t>Contingent Esports</t>
        </is>
      </c>
      <c r="AQ55" s="24" t="inlineStr">
        <is>
          <t>Contingent Esports</t>
        </is>
      </c>
      <c r="AR55" s="24" t="inlineStr">
        <is>
          <t>Contingent Esports</t>
        </is>
      </c>
      <c r="AS55" s="24" t="inlineStr">
        <is>
          <t>Conviction</t>
        </is>
      </c>
      <c r="AT55" s="24" t="inlineStr">
        <is>
          <t>Conviction</t>
        </is>
      </c>
      <c r="AU55" s="24" t="inlineStr">
        <is>
          <t>Conviction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5e9799a515295e9b079eacaa53a2e35352183239a18c1b173f4a540a52770140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5e9799a515295e9b079eacaa53a2e35352183239a18c1b173f4a540a52770140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2026-08-06T19:00:15.092901Z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0.91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</row>
    <row r="56" ht="36" customHeight="1">
      <c r="A56" s="24" t="inlineStr">
        <is>
          <t>c946a1750ee443c4</t>
        </is>
      </c>
      <c r="B56" s="24" t="inlineStr">
        <is>
          <t>2026-08-06T19:00:25.399605Z</t>
        </is>
      </c>
      <c r="C56" s="24" t="inlineStr">
        <is>
          <t>2026-08-07T05:00:00Z</t>
        </is>
      </c>
      <c r="D56" s="24" t="inlineStr">
        <is>
          <t>71661</t>
        </is>
      </c>
      <c r="E56" s="24" t="inlineStr">
        <is>
          <t>LOL</t>
        </is>
      </c>
      <c r="F56" s="24" t="inlineStr">
        <is>
          <t>KT Rolster Challengers</t>
        </is>
      </c>
      <c r="G56" s="24" t="inlineStr">
        <is>
          <t>Nongshim Esports Academy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117</v>
      </c>
      <c r="M56" s="27" t="n">
        <v>2.17</v>
      </c>
      <c r="N56" s="28" t="n">
        <v>0.460829</v>
      </c>
      <c r="O56" s="28" t="n">
        <v>0.502757</v>
      </c>
      <c r="P56" s="28" t="n"/>
      <c r="Q56" s="28" t="n">
        <v>0.041928</v>
      </c>
      <c r="R56" s="26" t="n">
        <v>41</v>
      </c>
      <c r="S56" s="29" t="n">
        <v>1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2026-08-07T09:07:51.795962Z</t>
        </is>
      </c>
      <c r="AE56" s="31" t="inlineStr">
        <is>
          <t>Neutral Elo baseline; executable ask 0.4600 (market_slug=aec-lol-nsea-ktc-2026-08-07).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NO_CALL_WINNER_OVERVALUED</t>
        </is>
      </c>
      <c r="AP56" s="24" t="inlineStr">
        <is>
          <t>KT Rolster Challengers</t>
        </is>
      </c>
      <c r="AQ56" s="24" t="inlineStr">
        <is>
          <t>KT Rolster Challengers</t>
        </is>
      </c>
      <c r="AR56" s="24" t="inlineStr">
        <is>
          <t>KT Rolster Challengers</t>
        </is>
      </c>
      <c r="AS56" s="24" t="inlineStr">
        <is>
          <t>Nongshim Esports Academy</t>
        </is>
      </c>
      <c r="AT56" s="24" t="inlineStr">
        <is>
          <t>Nongshim Esports Academy</t>
        </is>
      </c>
      <c r="AU56" s="24" t="inlineStr">
        <is>
          <t>Nongshim Esports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5e9799a515295e9b079eacaa53a2e35352183239a18c1b173f4a540a52770140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5e9799a515295e9b079eacaa53a2e35352183239a18c1b173f4a540a52770140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2026-08-06T19:00:16.295547Z</t>
        </is>
      </c>
      <c r="BI56" s="24" t="inlineStr">
        <is>
          <t>["same_event","same_team_same_day","same_league_same_day"]</t>
        </is>
      </c>
      <c r="BJ56" s="25" t="n"/>
      <c r="BK56" s="26" t="n">
        <v>117</v>
      </c>
      <c r="BL56" s="27" t="n">
        <v>2.17</v>
      </c>
      <c r="BM56" s="28" t="n">
        <v>0.460829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-1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a9bfe0a588404ce7</t>
        </is>
      </c>
      <c r="B57" s="24" t="inlineStr">
        <is>
          <t>2026-08-06T19:00:25.399605Z</t>
        </is>
      </c>
      <c r="C57" s="24" t="inlineStr">
        <is>
          <t>2026-08-08T00:00:00Z</t>
        </is>
      </c>
      <c r="D57" s="24" t="inlineStr">
        <is>
          <t>72608</t>
        </is>
      </c>
      <c r="E57" s="24" t="inlineStr">
        <is>
          <t>LOL</t>
        </is>
      </c>
      <c r="F57" s="24" t="inlineStr">
        <is>
          <t>Contingent Esports</t>
        </is>
      </c>
      <c r="G57" s="24" t="inlineStr">
        <is>
          <t>Maryville University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0.500736</v>
      </c>
      <c r="P57" s="28" t="n"/>
      <c r="Q57" s="28" t="n">
        <v>-0.108639</v>
      </c>
      <c r="R57" s="26" t="n">
        <v>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-257</v>
      </c>
      <c r="AA57" s="28" t="n">
        <v>0.72</v>
      </c>
      <c r="AB57" s="28" t="n">
        <v>0.110625</v>
      </c>
      <c r="AC57" s="30" t="n">
        <v>0.641</v>
      </c>
      <c r="AD57" s="24" t="inlineStr">
        <is>
          <t>2026-08-08T01:00:15.844608Z</t>
        </is>
      </c>
      <c r="AE57" s="31" t="inlineStr">
        <is>
          <t>Neutral Elo baseline; executable ask 0.6100 (market_slug=aec-lol-mvu-cont-2026-08-08).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NO_CALL_WINNER_OVERVALUED</t>
        </is>
      </c>
      <c r="AP57" s="24" t="inlineStr">
        <is>
          <t>Contingent Esports</t>
        </is>
      </c>
      <c r="AQ57" s="24" t="inlineStr">
        <is>
          <t>Contingent Esports</t>
        </is>
      </c>
      <c r="AR57" s="24" t="inlineStr">
        <is>
          <t>Contingent Esports</t>
        </is>
      </c>
      <c r="AS57" s="24" t="inlineStr">
        <is>
          <t>Maryville University</t>
        </is>
      </c>
      <c r="AT57" s="24" t="inlineStr">
        <is>
          <t>Maryville University</t>
        </is>
      </c>
      <c r="AU57" s="24" t="inlineStr">
        <is>
          <t>Maryville University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5e9799a515295e9b079eacaa53a2e35352183239a18c1b173f4a540a52770140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5e9799a515295e9b079eacaa53a2e35352183239a18c1b173f4a540a52770140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2026-08-06T19:00:25.397889Z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1.389105</v>
      </c>
      <c r="BR57" s="28" t="n">
        <v>0.72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</row>
    <row r="58" ht="36" customHeight="1">
      <c r="A58" s="24" t="inlineStr">
        <is>
          <t>44228dd6d26149ca</t>
        </is>
      </c>
      <c r="B58" s="24" t="inlineStr">
        <is>
          <t>2026-08-07T06:05:25.960229Z</t>
        </is>
      </c>
      <c r="C58" s="24" t="inlineStr">
        <is>
          <t>2026-08-07T08:00:00Z</t>
        </is>
      </c>
      <c r="D58" s="24" t="inlineStr">
        <is>
          <t>71674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KT Rolster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-213</v>
      </c>
      <c r="M58" s="27" t="n">
        <v>1.469484</v>
      </c>
      <c r="N58" s="28" t="n">
        <v>0.680511</v>
      </c>
      <c r="O58" s="28" t="n">
        <v>0.59845</v>
      </c>
      <c r="P58" s="28" t="n"/>
      <c r="Q58" s="28" t="n">
        <v>-0.082061</v>
      </c>
      <c r="R58" s="26" t="n">
        <v>0</v>
      </c>
      <c r="S58" s="29" t="n">
        <v>1.25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-213</v>
      </c>
      <c r="AA58" s="28" t="n">
        <v>0.68</v>
      </c>
      <c r="AB58" s="28" t="n">
        <v>-0.000511</v>
      </c>
      <c r="AC58" s="30" t="n">
        <v>0.5869</v>
      </c>
      <c r="AD58" s="24" t="inlineStr">
        <is>
          <t>2026-08-07T12:13:50.727295Z</t>
        </is>
      </c>
      <c r="AE58" s="31" t="inlineStr">
        <is>
          <t>Neutral Elo baseline; executable ask 0.6800 (market_slug=aec-lol-kt-gen-2026-08-07).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NO_CALL_WINNER_OVERVALUED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KT Rolster</t>
        </is>
      </c>
      <c r="AT58" s="24" t="inlineStr">
        <is>
          <t>KT Rolster</t>
        </is>
      </c>
      <c r="AU58" s="24" t="inlineStr">
        <is>
          <t>KT Rolster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a435118c0d96357d246620424b583b0e8bb85e7581f7dfaff6a1a2190d73a589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a435118c0d96357d246620424b583b0e8bb85e7581f7dfaff6a1a2190d73a589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2026-08-07T06:05:01.264270Z</t>
        </is>
      </c>
      <c r="BI58" s="24" t="inlineStr">
        <is>
          <t>["same_event","same_team_same_day","same_league_same_day"]</t>
        </is>
      </c>
      <c r="BJ58" s="25" t="n"/>
      <c r="BK58" s="26" t="n">
        <v>-213</v>
      </c>
      <c r="BL58" s="27" t="n">
        <v>1.469484</v>
      </c>
      <c r="BM58" s="28" t="n">
        <v>0.680511</v>
      </c>
      <c r="BN58" s="28" t="n"/>
      <c r="BO58" s="28" t="n"/>
      <c r="BP58" s="25" t="n"/>
      <c r="BQ58" s="27" t="n">
        <v>1.469484</v>
      </c>
      <c r="BR58" s="28" t="n">
        <v>0.68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d1011fd7d94f4cb0</t>
        </is>
      </c>
      <c r="B59" s="24" t="inlineStr">
        <is>
          <t>2026-08-07T09:11:37.538758Z</t>
        </is>
      </c>
      <c r="C59" s="24" t="inlineStr">
        <is>
          <t>2026-08-07T10:00:00Z</t>
        </is>
      </c>
      <c r="D59" s="24" t="inlineStr">
        <is>
          <t>71714</t>
        </is>
      </c>
      <c r="E59" s="24" t="inlineStr">
        <is>
          <t>LOL</t>
        </is>
      </c>
      <c r="F59" s="24" t="inlineStr">
        <is>
          <t>HANJIN BRION</t>
        </is>
      </c>
      <c r="G59" s="24" t="inlineStr">
        <is>
          <t>BNK FEARX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0.652133</v>
      </c>
      <c r="P59" s="28" t="n"/>
      <c r="Q59" s="28" t="n">
        <v>0.032361</v>
      </c>
      <c r="R59" s="26" t="n">
        <v>36</v>
      </c>
      <c r="S59" s="29" t="n">
        <v>1.75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-163</v>
      </c>
      <c r="AA59" s="28" t="n">
        <v>0.62</v>
      </c>
      <c r="AB59" s="28" t="n">
        <v>0.000228</v>
      </c>
      <c r="AC59" s="30" t="n">
        <v>-1.75</v>
      </c>
      <c r="AD59" s="24" t="inlineStr">
        <is>
          <t>2026-08-07T12:13:52.710746Z</t>
        </is>
      </c>
      <c r="AE59" s="31" t="inlineStr">
        <is>
          <t>Neutral Elo baseline; executable ask 0.6200 (market_slug=aec-lol-bfx-bro-2026-08-07).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NO_CALL_WINNER_OVERVALUED</t>
        </is>
      </c>
      <c r="AP59" s="24" t="inlineStr">
        <is>
          <t>HANJIN BRION</t>
        </is>
      </c>
      <c r="AQ59" s="24" t="inlineStr">
        <is>
          <t>HANJIN BRION</t>
        </is>
      </c>
      <c r="AR59" s="24" t="inlineStr">
        <is>
          <t>HANJIN BRION</t>
        </is>
      </c>
      <c r="AS59" s="24" t="inlineStr">
        <is>
          <t>BNK FEARX</t>
        </is>
      </c>
      <c r="AT59" s="24" t="inlineStr">
        <is>
          <t>BNK FEARX</t>
        </is>
      </c>
      <c r="AU59" s="24" t="inlineStr">
        <is>
          <t>BNK FEARX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20c3e63bf190142bb6f2572c6657565aa9ec5e7d6e42d68fb9f7442c3368e41c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20c3e63bf190142bb6f2572c6657565aa9ec5e7d6e42d68fb9f7442c3368e41c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2026-08-07T09:11:20.433612Z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>
        <v>1.613497</v>
      </c>
      <c r="BR59" s="28" t="n">
        <v>0.62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e1321571684f4e1d</t>
        </is>
      </c>
      <c r="B60" s="24" t="inlineStr">
        <is>
          <t>2026-08-07T12:17:25.524231Z</t>
        </is>
      </c>
      <c r="C60" s="24" t="inlineStr">
        <is>
          <t>2026-08-07T15:00:00Z</t>
        </is>
      </c>
      <c r="D60" s="24" t="inlineStr">
        <is>
          <t>71904</t>
        </is>
      </c>
      <c r="E60" s="24" t="inlineStr">
        <is>
          <t>LOL</t>
        </is>
      </c>
      <c r="F60" s="24" t="inlineStr">
        <is>
          <t>GIANTX</t>
        </is>
      </c>
      <c r="G60" s="24" t="inlineStr">
        <is>
          <t>Shifters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0.676935</v>
      </c>
      <c r="P60" s="28" t="n"/>
      <c r="Q60" s="28" t="n">
        <v>0.047305</v>
      </c>
      <c r="R60" s="26" t="n">
        <v>44</v>
      </c>
      <c r="S60" s="29" t="n">
        <v>1.75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-170</v>
      </c>
      <c r="AA60" s="28" t="n">
        <v>0.63</v>
      </c>
      <c r="AB60" s="28" t="n">
        <v>0.00037</v>
      </c>
      <c r="AC60" s="30" t="n">
        <v>1.0294</v>
      </c>
      <c r="AD60" s="24" t="inlineStr">
        <is>
          <t>2026-08-07T18:27:13.780824Z</t>
        </is>
      </c>
      <c r="AE60" s="31" t="inlineStr">
        <is>
          <t>Neutral Elo baseline; executable ask 0.6300 (market_slug=aec-lol-shft-gx-2026-08-07).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NO_CALL_WINNER_OVERVALUED</t>
        </is>
      </c>
      <c r="AP60" s="24" t="inlineStr">
        <is>
          <t>GIANTX</t>
        </is>
      </c>
      <c r="AQ60" s="24" t="inlineStr">
        <is>
          <t>GIANTX</t>
        </is>
      </c>
      <c r="AR60" s="24" t="inlineStr">
        <is>
          <t>GIANTX</t>
        </is>
      </c>
      <c r="AS60" s="24" t="inlineStr">
        <is>
          <t>Shifters</t>
        </is>
      </c>
      <c r="AT60" s="24" t="inlineStr">
        <is>
          <t>Shifters</t>
        </is>
      </c>
      <c r="AU60" s="24" t="inlineStr">
        <is>
          <t>Shifters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0ce178a4c74d95939d4859ae617369533b2f8010eb3d4b4914c35d385598199f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0ce178a4c74d95939d4859ae617369533b2f8010eb3d4b4914c35d385598199f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2026-08-07T12:17:10.022972Z</t>
        </is>
      </c>
      <c r="BI60" s="24" t="inlineStr">
        <is>
          <t>["same_event","same_team_same_day","same_league_same_day"]</t>
        </is>
      </c>
      <c r="BJ60" s="25" t="n"/>
      <c r="BK60" s="26" t="n">
        <v>-170</v>
      </c>
      <c r="BL60" s="27" t="n">
        <v>1.588235</v>
      </c>
      <c r="BM60" s="28" t="n">
        <v>0.62963</v>
      </c>
      <c r="BN60" s="28" t="n"/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7ce3d4b911bc41f4</t>
        </is>
      </c>
      <c r="B61" s="24" t="inlineStr">
        <is>
          <t>2026-08-07T15:24:10.407714Z</t>
        </is>
      </c>
      <c r="C61" s="24" t="inlineStr">
        <is>
          <t>2026-08-07T16:00:00Z</t>
        </is>
      </c>
      <c r="D61" s="24" t="inlineStr">
        <is>
          <t>71980</t>
        </is>
      </c>
      <c r="E61" s="24" t="inlineStr">
        <is>
          <t>LOL</t>
        </is>
      </c>
      <c r="F61" s="24" t="inlineStr">
        <is>
          <t>TITANS</t>
        </is>
      </c>
      <c r="G61" s="24" t="inlineStr">
        <is>
          <t>Aeterna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0.637212</v>
      </c>
      <c r="P61" s="28" t="n"/>
      <c r="Q61" s="28" t="n">
        <v>0.098041</v>
      </c>
      <c r="R61" s="26" t="n">
        <v>69</v>
      </c>
      <c r="S61" s="29" t="n">
        <v>1.5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-117</v>
      </c>
      <c r="AA61" s="28" t="n">
        <v>0.54</v>
      </c>
      <c r="AB61" s="28" t="n">
        <v>0.000829</v>
      </c>
      <c r="AC61" s="30" t="n">
        <v>1.2821</v>
      </c>
      <c r="AD61" s="24" t="inlineStr">
        <is>
          <t>2026-08-07T18:27:16.469279Z</t>
        </is>
      </c>
      <c r="AE61" s="31" t="inlineStr">
        <is>
          <t>Neutral Elo baseline; executable ask 0.5400 (market_slug=aec-lol-aee-tts-2026-08-07).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TITANS</t>
        </is>
      </c>
      <c r="AQ61" s="24" t="inlineStr">
        <is>
          <t>TITANS</t>
        </is>
      </c>
      <c r="AR61" s="24" t="inlineStr">
        <is>
          <t>TITANS</t>
        </is>
      </c>
      <c r="AS61" s="24" t="inlineStr">
        <is>
          <t>Aeterna Esports</t>
        </is>
      </c>
      <c r="AT61" s="24" t="inlineStr">
        <is>
          <t>Aeterna Esports</t>
        </is>
      </c>
      <c r="AU61" s="24" t="inlineStr">
        <is>
          <t>Aeterna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326a42c58f2a208dee1dc4f634e9901156f475883f7f16a3237a5e1b513fa5f9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326a42c58f2a208dee1dc4f634e9901156f475883f7f16a3237a5e1b513fa5f9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2026-08-07T15:23:54.049058Z</t>
        </is>
      </c>
      <c r="BI61" s="24" t="inlineStr">
        <is>
          <t>["same_event","same_team_same_day","same_league_same_day"]</t>
        </is>
      </c>
      <c r="BJ61" s="25" t="n"/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>
        <v>1.854701</v>
      </c>
      <c r="BR61" s="28" t="n">
        <v>0.54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861721ef7a3c4975</t>
        </is>
      </c>
      <c r="B62" s="24" t="inlineStr">
        <is>
          <t>2026-08-07T18:31:20.691239Z</t>
        </is>
      </c>
      <c r="C62" s="24" t="inlineStr">
        <is>
          <t>2026-08-07T19:00:00Z</t>
        </is>
      </c>
      <c r="D62" s="24" t="inlineStr">
        <is>
          <t>72342</t>
        </is>
      </c>
      <c r="E62" s="24" t="inlineStr">
        <is>
          <t>LOL</t>
        </is>
      </c>
      <c r="F62" s="24" t="inlineStr">
        <is>
          <t>Colossal Gaming</t>
        </is>
      </c>
      <c r="G62" s="24" t="inlineStr">
        <is>
          <t>GMBLERS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0.576862</v>
      </c>
      <c r="P62" s="28" t="n"/>
      <c r="Q62" s="28" t="n">
        <v>0.116033</v>
      </c>
      <c r="R62" s="26" t="n">
        <v>78</v>
      </c>
      <c r="S62" s="29" t="n">
        <v>1.25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117</v>
      </c>
      <c r="AA62" s="28" t="n">
        <v>0.46</v>
      </c>
      <c r="AB62" s="28" t="n">
        <v>-0.000829</v>
      </c>
      <c r="AC62" s="30" t="n">
        <v>-1.25</v>
      </c>
      <c r="AD62" s="24" t="inlineStr">
        <is>
          <t>2026-08-07T21:55:28.261554Z</t>
        </is>
      </c>
      <c r="AE62" s="31" t="inlineStr">
        <is>
          <t>Neutral Elo baseline; executable ask 0.4600 (market_slug=aec-lol-gmb-cg-2026-08-07).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Colossal Gaming</t>
        </is>
      </c>
      <c r="AQ62" s="24" t="inlineStr">
        <is>
          <t>Colossal Gaming</t>
        </is>
      </c>
      <c r="AR62" s="24" t="inlineStr">
        <is>
          <t>Colossal Gaming</t>
        </is>
      </c>
      <c r="AS62" s="24" t="inlineStr">
        <is>
          <t>GMBLERS ESPORTS</t>
        </is>
      </c>
      <c r="AT62" s="24" t="inlineStr">
        <is>
          <t>GMBLERS ESPORTS</t>
        </is>
      </c>
      <c r="AU62" s="24" t="inlineStr">
        <is>
          <t>GMBLERS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d3791916ff32605dd2265e280637577dccc694ea8768ae90edb98370e9029821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d3791916ff32605dd2265e280637577dccc694ea8768ae90edb98370e9029821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2026-08-07T18:31:07.695348Z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>
        <v>2.17</v>
      </c>
      <c r="BR62" s="28" t="n">
        <v>0.46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caf03d09757343f2</t>
        </is>
      </c>
      <c r="B63" s="24" t="inlineStr">
        <is>
          <t>2026-08-07T18:31:20.691239Z</t>
        </is>
      </c>
      <c r="C63" s="24" t="inlineStr">
        <is>
          <t>2026-08-07T21:00:00Z</t>
        </is>
      </c>
      <c r="D63" s="24" t="inlineStr">
        <is>
          <t>72428</t>
        </is>
      </c>
      <c r="E63" s="24" t="inlineStr">
        <is>
          <t>LOL</t>
        </is>
      </c>
      <c r="F63" s="24" t="inlineStr">
        <is>
          <t>Fluxo W7M</t>
        </is>
      </c>
      <c r="G63" s="24" t="inlineStr">
        <is>
          <t>Vivo Keyd 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0.695648</v>
      </c>
      <c r="P63" s="28" t="n"/>
      <c r="Q63" s="28" t="n">
        <v>0.214879</v>
      </c>
      <c r="R63" s="26" t="n">
        <v>100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108</v>
      </c>
      <c r="AA63" s="28" t="n">
        <v>0.48</v>
      </c>
      <c r="AB63" s="28" t="n">
        <v>-0.000769</v>
      </c>
      <c r="AC63" s="30" t="n">
        <v>2.16</v>
      </c>
      <c r="AD63" s="24" t="inlineStr">
        <is>
          <t>2026-08-08T01:00:17.751991Z</t>
        </is>
      </c>
      <c r="AE63" s="31" t="inlineStr">
        <is>
          <t>Neutral Elo baseline; executable ask 0.4800 (market_slug=aec-lol-vks-fxw7-2026-08-07).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Fluxo W7M</t>
        </is>
      </c>
      <c r="AQ63" s="24" t="inlineStr">
        <is>
          <t>Fluxo W7M</t>
        </is>
      </c>
      <c r="AR63" s="24" t="inlineStr">
        <is>
          <t>Fluxo W7M</t>
        </is>
      </c>
      <c r="AS63" s="24" t="inlineStr">
        <is>
          <t>Vivo Keyd Stars</t>
        </is>
      </c>
      <c r="AT63" s="24" t="inlineStr">
        <is>
          <t>Vivo Keyd Stars</t>
        </is>
      </c>
      <c r="AU63" s="24" t="inlineStr">
        <is>
          <t>Vivo Keyd 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d3791916ff32605dd2265e280637577dccc694ea8768ae90edb98370e9029821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d3791916ff32605dd2265e280637577dccc694ea8768ae90edb98370e9029821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2026-08-07T18:31:08.212012Z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a594ede30371457f</t>
        </is>
      </c>
      <c r="B64" s="24" t="inlineStr">
        <is>
          <t>2026-08-07T18:31:20.691239Z</t>
        </is>
      </c>
      <c r="C64" s="24" t="inlineStr">
        <is>
          <t>2026-08-07T21:00:00Z</t>
        </is>
      </c>
      <c r="D64" s="24" t="inlineStr">
        <is>
          <t>72438</t>
        </is>
      </c>
      <c r="E64" s="24" t="inlineStr">
        <is>
          <t>LOL</t>
        </is>
      </c>
      <c r="F64" s="24" t="inlineStr">
        <is>
          <t>Dorado Gaming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108</v>
      </c>
      <c r="M64" s="27" t="n">
        <v>2.08</v>
      </c>
      <c r="N64" s="28" t="n">
        <v>0.480769</v>
      </c>
      <c r="O64" s="28" t="n">
        <v>0.627171</v>
      </c>
      <c r="P64" s="28" t="n"/>
      <c r="Q64" s="28" t="n">
        <v>0.146402</v>
      </c>
      <c r="R64" s="26" t="n">
        <v>93</v>
      </c>
      <c r="S64" s="29" t="n">
        <v>1.5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108</v>
      </c>
      <c r="AA64" s="28" t="n">
        <v>0.48</v>
      </c>
      <c r="AB64" s="28" t="n">
        <v>-0.000769</v>
      </c>
      <c r="AC64" s="30" t="n">
        <v>1.62</v>
      </c>
      <c r="AD64" s="24" t="inlineStr">
        <is>
          <t>2026-08-08T01:00:19.734185Z</t>
        </is>
      </c>
      <c r="AE64" s="31" t="inlineStr">
        <is>
          <t>Neutral Elo baseline; executable ask 0.4800 (market_slug=aec-lol-blue-dog-2026-08-07).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Dorado Gaming</t>
        </is>
      </c>
      <c r="AQ64" s="24" t="inlineStr">
        <is>
          <t>Dorado Gaming</t>
        </is>
      </c>
      <c r="AR64" s="24" t="inlineStr">
        <is>
          <t>Dorado Gaming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d3791916ff32605dd2265e280637577dccc694ea8768ae90edb98370e9029821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d3791916ff32605dd2265e280637577dccc694ea8768ae90edb98370e9029821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2026-08-07T18:31:08.974236Z</t>
        </is>
      </c>
      <c r="BI64" s="24" t="inlineStr">
        <is>
          <t>["same_event","same_team_same_day","same_league_same_day"]</t>
        </is>
      </c>
      <c r="BJ64" s="25" t="n"/>
      <c r="BK64" s="26" t="n">
        <v>108</v>
      </c>
      <c r="BL64" s="27" t="n">
        <v>2.08</v>
      </c>
      <c r="BM64" s="28" t="n">
        <v>0.480769</v>
      </c>
      <c r="BN64" s="28" t="n"/>
      <c r="BO64" s="28" t="n"/>
      <c r="BP64" s="25" t="n"/>
      <c r="BQ64" s="27" t="n">
        <v>2.08</v>
      </c>
      <c r="BR64" s="28" t="n">
        <v>0.48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b1028e3e19d74cc5</t>
        </is>
      </c>
      <c r="B65" s="24" t="inlineStr">
        <is>
          <t>2026-08-07T21:58:17.628261Z</t>
        </is>
      </c>
      <c r="C65" s="24" t="inlineStr">
        <is>
          <t>2026-08-07T23:00:00Z</t>
        </is>
      </c>
      <c r="D65" s="24" t="inlineStr">
        <is>
          <t>72584</t>
        </is>
      </c>
      <c r="E65" s="24" t="inlineStr">
        <is>
          <t>LOL</t>
        </is>
      </c>
      <c r="F65" s="24" t="inlineStr">
        <is>
          <t>LOUD</t>
        </is>
      </c>
      <c r="G65" s="24" t="inlineStr">
        <is>
          <t>FURIA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-138</v>
      </c>
      <c r="M65" s="27" t="n">
        <v>1.724638</v>
      </c>
      <c r="N65" s="28" t="n">
        <v>0.579832</v>
      </c>
      <c r="O65" s="28" t="n">
        <v>0.587748</v>
      </c>
      <c r="P65" s="28" t="n"/>
      <c r="Q65" s="28" t="n">
        <v>0.007915999999999999</v>
      </c>
      <c r="R65" s="26" t="n">
        <v>24</v>
      </c>
      <c r="S65" s="29" t="n">
        <v>1.25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-138</v>
      </c>
      <c r="AA65" s="28" t="n">
        <v>0.58</v>
      </c>
      <c r="AB65" s="28" t="n">
        <v>0.000168</v>
      </c>
      <c r="AC65" s="30" t="n">
        <v>0.9058</v>
      </c>
      <c r="AD65" s="24" t="inlineStr">
        <is>
          <t>2026-08-08T04:04:48.117690Z</t>
        </is>
      </c>
      <c r="AE65" s="31" t="inlineStr">
        <is>
          <t>Neutral Elo baseline; executable ask 0.5800 (market_slug=aec-lol-fur-lll-2026-08-07).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NO_CALL_WINNER_OVERVALUED</t>
        </is>
      </c>
      <c r="AP65" s="24" t="inlineStr">
        <is>
          <t>LOUD</t>
        </is>
      </c>
      <c r="AQ65" s="24" t="inlineStr">
        <is>
          <t>LOUD</t>
        </is>
      </c>
      <c r="AR65" s="24" t="inlineStr">
        <is>
          <t>LOUD</t>
        </is>
      </c>
      <c r="AS65" s="24" t="inlineStr">
        <is>
          <t>FURIA Esports</t>
        </is>
      </c>
      <c r="AT65" s="24" t="inlineStr">
        <is>
          <t>FURIA Esports</t>
        </is>
      </c>
      <c r="AU65" s="24" t="inlineStr">
        <is>
          <t>FURIA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f3d24e09a0d0d802dee424cae9684a5d804786070b34d13fa878c70f19ddb870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f3d24e09a0d0d802dee424cae9684a5d804786070b34d13fa878c70f19ddb870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2026-08-07T21:58:06.067509Z</t>
        </is>
      </c>
      <c r="BI65" s="24" t="inlineStr">
        <is>
          <t>["same_event","same_team_same_day","same_league_same_day"]</t>
        </is>
      </c>
      <c r="BJ65" s="25" t="n"/>
      <c r="BK65" s="26" t="n">
        <v>-138</v>
      </c>
      <c r="BL65" s="27" t="n">
        <v>1.724638</v>
      </c>
      <c r="BM65" s="28" t="n">
        <v>0.579832</v>
      </c>
      <c r="BN65" s="28" t="n"/>
      <c r="BO65" s="28" t="n"/>
      <c r="BP65" s="25" t="n"/>
      <c r="BQ65" s="27" t="n">
        <v>1.724638</v>
      </c>
      <c r="BR65" s="28" t="n">
        <v>0.58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60e18e055fd245fd</t>
        </is>
      </c>
      <c r="B66" s="24" t="inlineStr">
        <is>
          <t>2026-08-08T04:08:13.997006Z</t>
        </is>
      </c>
      <c r="C66" s="24" t="inlineStr">
        <is>
          <t>2026-08-08T07:00:00Z</t>
        </is>
      </c>
      <c r="D66" s="24" t="inlineStr">
        <is>
          <t>72713</t>
        </is>
      </c>
      <c r="E66" s="24" t="inlineStr">
        <is>
          <t>LOL</t>
        </is>
      </c>
      <c r="F66" s="24" t="inlineStr">
        <is>
          <t>LNG Esports</t>
        </is>
      </c>
      <c r="G66" s="24" t="inlineStr">
        <is>
          <t>Weibo Gaming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-233</v>
      </c>
      <c r="M66" s="27" t="n">
        <v>1.429185</v>
      </c>
      <c r="N66" s="28" t="n">
        <v>0.6997</v>
      </c>
      <c r="O66" s="28" t="n">
        <v>0.649014</v>
      </c>
      <c r="P66" s="28" t="n"/>
      <c r="Q66" s="28" t="n">
        <v>-0.050686</v>
      </c>
      <c r="R66" s="26" t="n">
        <v>0</v>
      </c>
      <c r="S66" s="29" t="n">
        <v>1.75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-233</v>
      </c>
      <c r="AA66" s="28" t="n">
        <v>0.7</v>
      </c>
      <c r="AB66" s="28" t="n">
        <v>0.0003</v>
      </c>
      <c r="AC66" s="30" t="n">
        <v>0.7511</v>
      </c>
      <c r="AD66" s="24" t="inlineStr">
        <is>
          <t>2026-08-08T18:34:51.945919Z</t>
        </is>
      </c>
      <c r="AE66" s="31" t="inlineStr">
        <is>
          <t>Neutral Elo baseline; executable ask 0.7000 (market_slug=aec-lol-wb-lng-2026-08-08).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NO_CALL_WINNER_OVERVALUED</t>
        </is>
      </c>
      <c r="AP66" s="24" t="inlineStr">
        <is>
          <t>LNG Esports</t>
        </is>
      </c>
      <c r="AQ66" s="24" t="inlineStr">
        <is>
          <t>LNG Esports</t>
        </is>
      </c>
      <c r="AR66" s="24" t="inlineStr">
        <is>
          <t>LNG Esports</t>
        </is>
      </c>
      <c r="AS66" s="24" t="inlineStr">
        <is>
          <t>Weibo Gaming</t>
        </is>
      </c>
      <c r="AT66" s="24" t="inlineStr">
        <is>
          <t>Weibo Gaming</t>
        </is>
      </c>
      <c r="AU66" s="24" t="inlineStr">
        <is>
          <t>Weibo Gaming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bf9cdce4c802d1882a68b32132fa41472ff922cbbe74a73c6db7662d3c059566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bf9cdce4c802d1882a68b32132fa41472ff922cbbe74a73c6db7662d3c059566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2026-08-08T04:07:51.504685Z</t>
        </is>
      </c>
      <c r="BI66" s="24" t="inlineStr">
        <is>
          <t>["same_event","same_team_same_day","same_league_same_day"]</t>
        </is>
      </c>
      <c r="BJ66" s="25" t="n"/>
      <c r="BK66" s="26" t="n">
        <v>-233</v>
      </c>
      <c r="BL66" s="27" t="n">
        <v>1.429185</v>
      </c>
      <c r="BM66" s="28" t="n">
        <v>0.6997</v>
      </c>
      <c r="BN66" s="28" t="n"/>
      <c r="BO66" s="28" t="n"/>
      <c r="BP66" s="25" t="n"/>
      <c r="BQ66" s="27" t="n">
        <v>1.429185</v>
      </c>
      <c r="BR66" s="28" t="n">
        <v>0.7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3f0fb17510b14d8c</t>
        </is>
      </c>
      <c r="B67" s="24" t="inlineStr">
        <is>
          <t>2026-08-08T04:08:13.997006Z</t>
        </is>
      </c>
      <c r="C67" s="24" t="inlineStr">
        <is>
          <t>2026-08-08T08:00:00Z</t>
        </is>
      </c>
      <c r="D67" s="24" t="inlineStr">
        <is>
          <t>72722</t>
        </is>
      </c>
      <c r="E67" s="24" t="inlineStr">
        <is>
          <t>LOL</t>
        </is>
      </c>
      <c r="F67" s="24" t="inlineStr">
        <is>
          <t>Hanwha Life Esports</t>
        </is>
      </c>
      <c r="G67" s="24" t="inlineStr">
        <is>
          <t>T1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0.6042650000000001</v>
      </c>
      <c r="P67" s="28" t="n"/>
      <c r="Q67" s="28" t="n">
        <v>0.085034</v>
      </c>
      <c r="R67" s="26" t="n">
        <v>63</v>
      </c>
      <c r="S67" s="29" t="n">
        <v>1.25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-108</v>
      </c>
      <c r="AA67" s="28" t="n">
        <v>0.52</v>
      </c>
      <c r="AB67" s="28" t="n">
        <v>0.000769</v>
      </c>
      <c r="AC67" s="30" t="n">
        <v>-1.25</v>
      </c>
      <c r="AD67" s="24" t="inlineStr">
        <is>
          <t>2026-08-08T18:34:54.144249Z</t>
        </is>
      </c>
      <c r="AE67" s="31" t="inlineStr">
        <is>
          <t>Neutral Elo baseline; executable ask 0.5200 (market_slug=aec-lol-t1-hle-2026-08-08).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Hanwha Life Esports</t>
        </is>
      </c>
      <c r="AQ67" s="24" t="inlineStr">
        <is>
          <t>Hanwha Life Esports</t>
        </is>
      </c>
      <c r="AR67" s="24" t="inlineStr">
        <is>
          <t>Hanwha Life Esports</t>
        </is>
      </c>
      <c r="AS67" s="24" t="inlineStr">
        <is>
          <t>T1</t>
        </is>
      </c>
      <c r="AT67" s="24" t="inlineStr">
        <is>
          <t>T1</t>
        </is>
      </c>
      <c r="AU67" s="24" t="inlineStr">
        <is>
          <t>T1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bf9cdce4c802d1882a68b32132fa41472ff922cbbe74a73c6db7662d3c059566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bf9cdce4c802d1882a68b32132fa41472ff922cbbe74a73c6db7662d3c059566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2026-08-08T04:07:52.255455Z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>
        <v>1.925926</v>
      </c>
      <c r="BR67" s="28" t="n">
        <v>0.52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  <row r="68" ht="36" customHeight="1">
      <c r="A68" s="24" t="inlineStr">
        <is>
          <t>48e52c6a8011432a</t>
        </is>
      </c>
      <c r="B68" s="24" t="inlineStr">
        <is>
          <t>2026-08-08T04:08:13.997006Z</t>
        </is>
      </c>
      <c r="C68" s="24" t="inlineStr">
        <is>
          <t>2026-08-08T09:00:00Z</t>
        </is>
      </c>
      <c r="D68" s="24" t="inlineStr">
        <is>
          <t>72727</t>
        </is>
      </c>
      <c r="E68" s="24" t="inlineStr">
        <is>
          <t>LOL</t>
        </is>
      </c>
      <c r="F68" s="24" t="inlineStr">
        <is>
          <t>MVK Esports</t>
        </is>
      </c>
      <c r="G68" s="24" t="inlineStr">
        <is>
          <t>Deep Cross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0.539952</v>
      </c>
      <c r="P68" s="28" t="n"/>
      <c r="Q68" s="28" t="n">
        <v>-0.050212</v>
      </c>
      <c r="R68" s="26" t="n">
        <v>0</v>
      </c>
      <c r="S68" s="29" t="n">
        <v>1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</v>
      </c>
      <c r="AD68" s="24" t="inlineStr">
        <is>
          <t>2026-08-08T18:34:56.158207Z</t>
        </is>
      </c>
      <c r="AE68" s="31" t="inlineStr">
        <is>
          <t>Neutral Elo baseline; executable ask 0.5900 (market_slug=aec-lol-dcg-mvk-2026-08-08).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NO_CALL_WINNER_OVERVALUED</t>
        </is>
      </c>
      <c r="AP68" s="24" t="inlineStr">
        <is>
          <t>MVK Esports</t>
        </is>
      </c>
      <c r="AQ68" s="24" t="inlineStr">
        <is>
          <t>MVK Esports</t>
        </is>
      </c>
      <c r="AR68" s="24" t="inlineStr">
        <is>
          <t>MVK Esports</t>
        </is>
      </c>
      <c r="AS68" s="24" t="inlineStr">
        <is>
          <t>Deep Cross Gaming</t>
        </is>
      </c>
      <c r="AT68" s="24" t="inlineStr">
        <is>
          <t>Deep Cross Gaming</t>
        </is>
      </c>
      <c r="AU68" s="24" t="inlineStr">
        <is>
          <t>Deep Cross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bf9cdce4c802d1882a68b32132fa41472ff922cbbe74a73c6db7662d3c059566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bf9cdce4c802d1882a68b32132fa41472ff922cbbe74a73c6db7662d3c059566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2026-08-08T04:07:52.773249Z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</row>
    <row r="69" ht="36" customHeight="1">
      <c r="A69" s="24" t="inlineStr">
        <is>
          <t>491e1a7e60a24cbd</t>
        </is>
      </c>
      <c r="B69" s="24" t="inlineStr">
        <is>
          <t>2026-08-08T04:08:13.997006Z</t>
        </is>
      </c>
      <c r="C69" s="24" t="inlineStr">
        <is>
          <t>2026-08-08T12:00:00Z</t>
        </is>
      </c>
      <c r="D69" s="24" t="inlineStr">
        <is>
          <t>72774</t>
        </is>
      </c>
      <c r="E69" s="24" t="inlineStr">
        <is>
          <t>LOL</t>
        </is>
      </c>
      <c r="F69" s="24" t="inlineStr">
        <is>
          <t>Project Conquerors</t>
        </is>
      </c>
      <c r="G69" s="24" t="inlineStr">
        <is>
          <t>Karmine Corp Blue 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0.517265</v>
      </c>
      <c r="P69" s="28" t="n"/>
      <c r="Q69" s="28" t="n">
        <v>-0.07289900000000001</v>
      </c>
      <c r="R69" s="26" t="n">
        <v>0</v>
      </c>
      <c r="S69" s="29" t="n">
        <v>1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-138</v>
      </c>
      <c r="AA69" s="28" t="n">
        <v>0.58</v>
      </c>
      <c r="AB69" s="28" t="n">
        <v>-0.010164</v>
      </c>
      <c r="AC69" s="30" t="n">
        <v>0.6944</v>
      </c>
      <c r="AD69" s="24" t="inlineStr">
        <is>
          <t>2026-08-08T18:34:58.748045Z</t>
        </is>
      </c>
      <c r="AE69" s="31" t="inlineStr">
        <is>
          <t>Neutral Elo baseline; executable ask 0.5900 (market_slug=aec-lol-kcbs-pcs-2026-08-08).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NO_CALL_WINNER_OVERVALUED</t>
        </is>
      </c>
      <c r="AP69" s="24" t="inlineStr">
        <is>
          <t>Project Conquerors</t>
        </is>
      </c>
      <c r="AQ69" s="24" t="inlineStr">
        <is>
          <t>Project Conquerors</t>
        </is>
      </c>
      <c r="AR69" s="24" t="inlineStr">
        <is>
          <t>Project Conquerors</t>
        </is>
      </c>
      <c r="AS69" s="24" t="inlineStr">
        <is>
          <t>Karmine Corp Blue Stars</t>
        </is>
      </c>
      <c r="AT69" s="24" t="inlineStr">
        <is>
          <t>Karmine Corp Blue Stars</t>
        </is>
      </c>
      <c r="AU69" s="24" t="inlineStr">
        <is>
          <t>Karmine Corp Blue 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bf9cdce4c802d1882a68b32132fa41472ff922cbbe74a73c6db7662d3c059566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bf9cdce4c802d1882a68b32132fa41472ff922cbbe74a73c6db7662d3c059566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2026-08-08T04:07:56.923039Z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3eac35b3f1184b4d</t>
        </is>
      </c>
      <c r="B70" s="24" t="inlineStr">
        <is>
          <t>2026-08-09T05:18:45.420775Z</t>
        </is>
      </c>
      <c r="C70" s="24" t="inlineStr">
        <is>
          <t>2026-08-09T08:00:00Z</t>
        </is>
      </c>
      <c r="D70" s="24" t="inlineStr">
        <is>
          <t>73651</t>
        </is>
      </c>
      <c r="E70" s="24" t="inlineStr">
        <is>
          <t>LOL</t>
        </is>
      </c>
      <c r="F70" s="24" t="inlineStr">
        <is>
          <t>KT Rolster</t>
        </is>
      </c>
      <c r="G70" s="24" t="inlineStr">
        <is>
          <t>Dplus KIA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-163</v>
      </c>
      <c r="M70" s="27" t="n">
        <v>1.613497</v>
      </c>
      <c r="N70" s="28" t="n">
        <v>0.619772</v>
      </c>
      <c r="O70" s="28" t="n">
        <v>0.6219170000000001</v>
      </c>
      <c r="P70" s="28" t="n"/>
      <c r="Q70" s="28" t="n">
        <v>0.002145</v>
      </c>
      <c r="R70" s="26" t="n">
        <v>21</v>
      </c>
      <c r="S70" s="29" t="n">
        <v>1.5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-163</v>
      </c>
      <c r="AA70" s="28" t="n">
        <v>0.62</v>
      </c>
      <c r="AB70" s="28" t="n">
        <v>0.000228</v>
      </c>
      <c r="AC70" s="30" t="n">
        <v>0.9202</v>
      </c>
      <c r="AD70" s="24" t="inlineStr">
        <is>
          <t>2026-08-09T13:56:46.277008Z</t>
        </is>
      </c>
      <c r="AE70" s="31" t="inlineStr">
        <is>
          <t>Neutral Elo baseline; executable ask 0.6200 (market_slug=aec-lol-dk-kt-2026-08-09).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NO_CALL_WINNER_OVERVALUED</t>
        </is>
      </c>
      <c r="AP70" s="24" t="inlineStr">
        <is>
          <t>KT Rolster</t>
        </is>
      </c>
      <c r="AQ70" s="24" t="inlineStr">
        <is>
          <t>KT Rolster</t>
        </is>
      </c>
      <c r="AR70" s="24" t="inlineStr">
        <is>
          <t>KT Rolster</t>
        </is>
      </c>
      <c r="AS70" s="24" t="inlineStr">
        <is>
          <t>Dplus KIA</t>
        </is>
      </c>
      <c r="AT70" s="24" t="inlineStr">
        <is>
          <t>Dplus KIA</t>
        </is>
      </c>
      <c r="AU70" s="24" t="inlineStr">
        <is>
          <t>Dplus KIA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d1af9b18c2d3ace9d47f74a1570e11714c592a6d92bd30ded3db42a502b40cf2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d1af9b18c2d3ace9d47f74a1570e11714c592a6d92bd30ded3db42a502b40cf2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2026-08-09T05:18:28.259112Z</t>
        </is>
      </c>
      <c r="BI70" s="24" t="inlineStr">
        <is>
          <t>["same_event","same_team_same_day","same_league_same_day"]</t>
        </is>
      </c>
      <c r="BJ70" s="25" t="n"/>
      <c r="BK70" s="26" t="n">
        <v>-163</v>
      </c>
      <c r="BL70" s="27" t="n">
        <v>1.613497</v>
      </c>
      <c r="BM70" s="28" t="n">
        <v>0.619772</v>
      </c>
      <c r="BN70" s="28" t="n"/>
      <c r="BO70" s="28" t="n"/>
      <c r="BP70" s="25" t="n"/>
      <c r="BQ70" s="27" t="n">
        <v>1.613497</v>
      </c>
      <c r="BR70" s="28" t="n">
        <v>0.62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435b32d6a4504d40</t>
        </is>
      </c>
      <c r="B71" s="24" t="inlineStr">
        <is>
          <t>2026-08-09T05:18:45.420775Z</t>
        </is>
      </c>
      <c r="C71" s="24" t="inlineStr">
        <is>
          <t>2026-08-09T09:00:00Z</t>
        </is>
      </c>
      <c r="D71" s="24" t="inlineStr">
        <is>
          <t>74251</t>
        </is>
      </c>
      <c r="E71" s="24" t="inlineStr">
        <is>
          <t>LOL</t>
        </is>
      </c>
      <c r="F71" s="24" t="inlineStr">
        <is>
          <t>Ground Zero Gaming</t>
        </is>
      </c>
      <c r="G71" s="24" t="inlineStr">
        <is>
          <t>CTBC Flying Oyster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0.729245</v>
      </c>
      <c r="P71" s="28" t="n"/>
      <c r="Q71" s="28" t="n">
        <v>0.099615</v>
      </c>
      <c r="R71" s="26" t="n">
        <v>70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1.1765</v>
      </c>
      <c r="AD71" s="24" t="inlineStr">
        <is>
          <t>2026-08-09T13:56:49.159793Z</t>
        </is>
      </c>
      <c r="AE71" s="31" t="inlineStr">
        <is>
          <t>Neutral Elo baseline; executable ask 0.6300 (market_slug=aec-lol-cfo-gz-2026-08-09).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Ground Zero Gaming</t>
        </is>
      </c>
      <c r="AQ71" s="24" t="inlineStr">
        <is>
          <t>Ground Zero Gaming</t>
        </is>
      </c>
      <c r="AR71" s="24" t="inlineStr">
        <is>
          <t>Ground Zero Gaming</t>
        </is>
      </c>
      <c r="AS71" s="24" t="inlineStr">
        <is>
          <t>CTBC Flying Oyster</t>
        </is>
      </c>
      <c r="AT71" s="24" t="inlineStr">
        <is>
          <t>CTBC Flying Oyster</t>
        </is>
      </c>
      <c r="AU71" s="24" t="inlineStr">
        <is>
          <t>CTBC Flying Oyster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d1af9b18c2d3ace9d47f74a1570e11714c592a6d92bd30ded3db42a502b40cf2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d1af9b18c2d3ace9d47f74a1570e11714c592a6d92bd30ded3db42a502b40cf2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2026-08-09T05:18:28.821389Z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5a46a11094384c13</t>
        </is>
      </c>
      <c r="B72" s="24" t="inlineStr">
        <is>
          <t>2026-08-09T05:18:45.420775Z</t>
        </is>
      </c>
      <c r="C72" s="24" t="inlineStr">
        <is>
          <t>2026-08-09T10:00:00Z</t>
        </is>
      </c>
      <c r="D72" s="24" t="inlineStr">
        <is>
          <t>73673</t>
        </is>
      </c>
      <c r="E72" s="24" t="inlineStr">
        <is>
          <t>LOL</t>
        </is>
      </c>
      <c r="F72" s="24" t="inlineStr">
        <is>
          <t>Kiwoom DRX</t>
        </is>
      </c>
      <c r="G72" s="24" t="inlineStr">
        <is>
          <t>BNK FEARX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0.519855</v>
      </c>
      <c r="P72" s="28" t="n"/>
      <c r="Q72" s="28" t="n">
        <v>0.029659</v>
      </c>
      <c r="R72" s="26" t="n">
        <v>35</v>
      </c>
      <c r="S72" s="29" t="n">
        <v>1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104</v>
      </c>
      <c r="AA72" s="28" t="n">
        <v>0.49</v>
      </c>
      <c r="AB72" s="28" t="n">
        <v>-0.000196</v>
      </c>
      <c r="AC72" s="30" t="n">
        <v>-1</v>
      </c>
      <c r="AD72" s="24" t="inlineStr">
        <is>
          <t>2026-08-09T13:56:52.490951Z</t>
        </is>
      </c>
      <c r="AE72" s="31" t="inlineStr">
        <is>
          <t>Neutral Elo baseline; executable ask 0.4900 (market_slug=aec-lol-bfx-krx-2026-08-09).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NO_CALL_WINNER_OVERVALUED</t>
        </is>
      </c>
      <c r="AP72" s="24" t="inlineStr">
        <is>
          <t>Kiwoom DRX</t>
        </is>
      </c>
      <c r="AQ72" s="24" t="inlineStr">
        <is>
          <t>Kiwoom DRX</t>
        </is>
      </c>
      <c r="AR72" s="24" t="inlineStr">
        <is>
          <t>Kiwoom DRX</t>
        </is>
      </c>
      <c r="AS72" s="24" t="inlineStr">
        <is>
          <t>BNK FEARX</t>
        </is>
      </c>
      <c r="AT72" s="24" t="inlineStr">
        <is>
          <t>BNK FEARX</t>
        </is>
      </c>
      <c r="AU72" s="24" t="inlineStr">
        <is>
          <t>BNK FEARX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d1af9b18c2d3ace9d47f74a1570e11714c592a6d92bd30ded3db42a502b40cf2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d1af9b18c2d3ace9d47f74a1570e11714c592a6d92bd30ded3db42a502b40cf2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2026-08-09T05:18:30.011624Z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>
        <v>2.04</v>
      </c>
      <c r="BR72" s="28" t="n">
        <v>0.49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52bbdd31d045431f</t>
        </is>
      </c>
      <c r="B73" s="24" t="inlineStr">
        <is>
          <t>2026-08-09T05:18:45.420775Z</t>
        </is>
      </c>
      <c r="C73" s="24" t="inlineStr">
        <is>
          <t>2026-08-09T10:00:00Z</t>
        </is>
      </c>
      <c r="D73" s="24" t="inlineStr">
        <is>
          <t>73672</t>
        </is>
      </c>
      <c r="E73" s="24" t="inlineStr">
        <is>
          <t>LOL</t>
        </is>
      </c>
      <c r="F73" s="24" t="inlineStr">
        <is>
          <t>Lille Esport</t>
        </is>
      </c>
      <c r="G73" s="24" t="inlineStr">
        <is>
          <t>Crystal Rose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122</v>
      </c>
      <c r="M73" s="27" t="n">
        <v>2.22</v>
      </c>
      <c r="N73" s="28" t="n">
        <v>0.45045</v>
      </c>
      <c r="O73" s="28" t="n">
        <v>0.582694</v>
      </c>
      <c r="P73" s="28" t="n"/>
      <c r="Q73" s="28" t="n">
        <v>0.132244</v>
      </c>
      <c r="R73" s="26" t="n">
        <v>86</v>
      </c>
      <c r="S73" s="29" t="n">
        <v>1.25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122</v>
      </c>
      <c r="AA73" s="28" t="n">
        <v>0.45</v>
      </c>
      <c r="AB73" s="28" t="n">
        <v>-0.00045</v>
      </c>
      <c r="AC73" s="30" t="n">
        <v>-1.25</v>
      </c>
      <c r="AD73" s="24" t="inlineStr">
        <is>
          <t>2026-08-09T13:56:55.269855Z</t>
        </is>
      </c>
      <c r="AE73" s="31" t="inlineStr">
        <is>
          <t>Neutral Elo baseline; executable ask 0.4500 (market_slug=aec-lol-cr-lil-2026-08-09).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Lille Esport</t>
        </is>
      </c>
      <c r="AQ73" s="24" t="inlineStr">
        <is>
          <t>Lille Esport</t>
        </is>
      </c>
      <c r="AR73" s="24" t="inlineStr">
        <is>
          <t>Lille Esport</t>
        </is>
      </c>
      <c r="AS73" s="24" t="inlineStr">
        <is>
          <t>Crystal Rose</t>
        </is>
      </c>
      <c r="AT73" s="24" t="inlineStr">
        <is>
          <t>Crystal Rose</t>
        </is>
      </c>
      <c r="AU73" s="24" t="inlineStr">
        <is>
          <t>Crystal Rose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d1af9b18c2d3ace9d47f74a1570e11714c592a6d92bd30ded3db42a502b40cf2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d1af9b18c2d3ace9d47f74a1570e11714c592a6d92bd30ded3db42a502b40cf2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2026-08-09T05:18:30.559189Z</t>
        </is>
      </c>
      <c r="BI73" s="24" t="inlineStr">
        <is>
          <t>["same_event","same_team_same_day","same_league_same_day"]</t>
        </is>
      </c>
      <c r="BJ73" s="25" t="n"/>
      <c r="BK73" s="26" t="n">
        <v>122</v>
      </c>
      <c r="BL73" s="27" t="n">
        <v>2.22</v>
      </c>
      <c r="BM73" s="28" t="n">
        <v>0.45045</v>
      </c>
      <c r="BN73" s="28" t="n"/>
      <c r="BO73" s="28" t="n"/>
      <c r="BP73" s="25" t="n"/>
      <c r="BQ73" s="27" t="n">
        <v>2.22</v>
      </c>
      <c r="BR73" s="28" t="n">
        <v>0.45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521561a90aed4f66</t>
        </is>
      </c>
      <c r="B74" s="24" t="inlineStr">
        <is>
          <t>2026-08-09T05:18:45.420775Z</t>
        </is>
      </c>
      <c r="C74" s="24" t="inlineStr">
        <is>
          <t>2026-08-09T11:00:00Z</t>
        </is>
      </c>
      <c r="D74" s="24" t="inlineStr">
        <is>
          <t>73686</t>
        </is>
      </c>
      <c r="E74" s="24" t="inlineStr">
        <is>
          <t>LOL</t>
        </is>
      </c>
      <c r="F74" s="24" t="inlineStr">
        <is>
          <t>Team WE</t>
        </is>
      </c>
      <c r="G74" s="24" t="inlineStr">
        <is>
          <t>JD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-156</v>
      </c>
      <c r="M74" s="27" t="n">
        <v>1.641026</v>
      </c>
      <c r="N74" s="28" t="n">
        <v>0.609375</v>
      </c>
      <c r="O74" s="28" t="n">
        <v>0.631371</v>
      </c>
      <c r="P74" s="28" t="n"/>
      <c r="Q74" s="28" t="n">
        <v>0.021996</v>
      </c>
      <c r="R74" s="26" t="n">
        <v>31</v>
      </c>
      <c r="S74" s="29" t="n">
        <v>1.5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-156</v>
      </c>
      <c r="AA74" s="28" t="n">
        <v>0.61</v>
      </c>
      <c r="AB74" s="28" t="n">
        <v>0.000625</v>
      </c>
      <c r="AC74" s="30" t="n">
        <v>0.9615</v>
      </c>
      <c r="AD74" s="24" t="inlineStr">
        <is>
          <t>2026-08-09T13:56:58.072568Z</t>
        </is>
      </c>
      <c r="AE74" s="31" t="inlineStr">
        <is>
          <t>Neutral Elo baseline; executable ask 0.6100 (market_slug=aec-lol-jdg-we-2026-08-09).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NO_CALL_WINNER_OVERVALUED</t>
        </is>
      </c>
      <c r="AP74" s="24" t="inlineStr">
        <is>
          <t>Team WE</t>
        </is>
      </c>
      <c r="AQ74" s="24" t="inlineStr">
        <is>
          <t>Team WE</t>
        </is>
      </c>
      <c r="AR74" s="24" t="inlineStr">
        <is>
          <t>Team WE</t>
        </is>
      </c>
      <c r="AS74" s="24" t="inlineStr">
        <is>
          <t>JD Gaming</t>
        </is>
      </c>
      <c r="AT74" s="24" t="inlineStr">
        <is>
          <t>JD Gaming</t>
        </is>
      </c>
      <c r="AU74" s="24" t="inlineStr">
        <is>
          <t>JD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d1af9b18c2d3ace9d47f74a1570e11714c592a6d92bd30ded3db42a502b40cf2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d1af9b18c2d3ace9d47f74a1570e11714c592a6d92bd30ded3db42a502b40cf2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2026-08-09T05:18:31.577866Z</t>
        </is>
      </c>
      <c r="BI74" s="24" t="inlineStr">
        <is>
          <t>["same_event","same_team_same_day","same_league_same_day"]</t>
        </is>
      </c>
      <c r="BJ74" s="25" t="n"/>
      <c r="BK74" s="26" t="n">
        <v>-156</v>
      </c>
      <c r="BL74" s="27" t="n">
        <v>1.641026</v>
      </c>
      <c r="BM74" s="28" t="n">
        <v>0.609375</v>
      </c>
      <c r="BN74" s="28" t="n"/>
      <c r="BO74" s="28" t="n"/>
      <c r="BP74" s="25" t="n"/>
      <c r="BQ74" s="27" t="n">
        <v>1.641026</v>
      </c>
      <c r="BR74" s="28" t="n">
        <v>0.61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e6219558bc7c4d36</t>
        </is>
      </c>
      <c r="B75" s="24" t="inlineStr">
        <is>
          <t>2026-08-09T05:18:45.420775Z</t>
        </is>
      </c>
      <c r="C75" s="24" t="inlineStr">
        <is>
          <t>2026-08-09T11:00:00Z</t>
        </is>
      </c>
      <c r="D75" s="24" t="inlineStr">
        <is>
          <t>73685</t>
        </is>
      </c>
      <c r="E75" s="24" t="inlineStr">
        <is>
          <t>LOL</t>
        </is>
      </c>
      <c r="F75" s="24" t="inlineStr">
        <is>
          <t>Caldya Esport</t>
        </is>
      </c>
      <c r="G75" s="24" t="inlineStr">
        <is>
          <t>Team High Ground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194</v>
      </c>
      <c r="M75" s="27" t="n">
        <v>2.94</v>
      </c>
      <c r="N75" s="28" t="n">
        <v>0.340136</v>
      </c>
      <c r="O75" s="28" t="n">
        <v>0.596541</v>
      </c>
      <c r="P75" s="28" t="n"/>
      <c r="Q75" s="28" t="n">
        <v>0.256405</v>
      </c>
      <c r="R75" s="26" t="n">
        <v>100</v>
      </c>
      <c r="S75" s="29" t="n">
        <v>1.25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194</v>
      </c>
      <c r="AA75" s="28" t="n">
        <v>0.34</v>
      </c>
      <c r="AB75" s="28" t="n">
        <v>-0.000136</v>
      </c>
      <c r="AC75" s="30" t="n">
        <v>2.425</v>
      </c>
      <c r="AD75" s="24" t="inlineStr">
        <is>
          <t>2026-08-09T13:57:00.962766Z</t>
        </is>
      </c>
      <c r="AE75" s="31" t="inlineStr">
        <is>
          <t>Neutral Elo baseline; executable ask 0.3400 (market_slug=aec-lol-thg-cla-2026-08-09).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Caldya Esport</t>
        </is>
      </c>
      <c r="AQ75" s="24" t="inlineStr">
        <is>
          <t>Caldya Esport</t>
        </is>
      </c>
      <c r="AR75" s="24" t="inlineStr">
        <is>
          <t>Caldya Esport</t>
        </is>
      </c>
      <c r="AS75" s="24" t="inlineStr">
        <is>
          <t>Team High Ground</t>
        </is>
      </c>
      <c r="AT75" s="24" t="inlineStr">
        <is>
          <t>Team High Ground</t>
        </is>
      </c>
      <c r="AU75" s="24" t="inlineStr">
        <is>
          <t>Team High Ground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d1af9b18c2d3ace9d47f74a1570e11714c592a6d92bd30ded3db42a502b40cf2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d1af9b18c2d3ace9d47f74a1570e11714c592a6d92bd30ded3db42a502b40cf2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2026-08-09T05:18:32.128818Z</t>
        </is>
      </c>
      <c r="BI75" s="24" t="inlineStr">
        <is>
          <t>["same_event","same_team_same_day","same_league_same_day"]</t>
        </is>
      </c>
      <c r="BJ75" s="25" t="n"/>
      <c r="BK75" s="26" t="n">
        <v>194</v>
      </c>
      <c r="BL75" s="27" t="n">
        <v>2.94</v>
      </c>
      <c r="BM75" s="28" t="n">
        <v>0.340136</v>
      </c>
      <c r="BN75" s="28" t="n"/>
      <c r="BO75" s="28" t="n"/>
      <c r="BP75" s="25" t="n"/>
      <c r="BQ75" s="27" t="n">
        <v>2.94</v>
      </c>
      <c r="BR75" s="28" t="n">
        <v>0.34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7f5b9205a8854667</t>
        </is>
      </c>
      <c r="B76" s="24" t="inlineStr">
        <is>
          <t>2026-08-09T05:18:45.420775Z</t>
        </is>
      </c>
      <c r="C76" s="24" t="inlineStr">
        <is>
          <t>2026-08-09T12:00:00Z</t>
        </is>
      </c>
      <c r="D76" s="24" t="inlineStr">
        <is>
          <t>73703</t>
        </is>
      </c>
      <c r="E76" s="24" t="inlineStr">
        <is>
          <t>LOL</t>
        </is>
      </c>
      <c r="F76" s="24" t="inlineStr">
        <is>
          <t>Karmine Corp Blue Stars</t>
        </is>
      </c>
      <c r="G76" s="24" t="inlineStr">
        <is>
          <t>Ancient Ones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0.530903</v>
      </c>
      <c r="P76" s="28" t="n"/>
      <c r="Q76" s="28" t="n">
        <v>0.101718</v>
      </c>
      <c r="R76" s="26" t="n">
        <v>71</v>
      </c>
      <c r="S76" s="29" t="n">
        <v>1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133</v>
      </c>
      <c r="AA76" s="28" t="n">
        <v>0.43</v>
      </c>
      <c r="AB76" s="28" t="n">
        <v>0.000815</v>
      </c>
      <c r="AC76" s="30" t="n">
        <v>-1</v>
      </c>
      <c r="AD76" s="24" t="inlineStr">
        <is>
          <t>2026-08-09T13:57:03.685139Z</t>
        </is>
      </c>
      <c r="AE76" s="31" t="inlineStr">
        <is>
          <t>Neutral Elo baseline; executable ask 0.4300 (market_slug=aec-lol-ao-kcbs-2026-08-09).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Karmine Corp Blue Stars</t>
        </is>
      </c>
      <c r="AQ76" s="24" t="inlineStr">
        <is>
          <t>Karmine Corp Blue Stars</t>
        </is>
      </c>
      <c r="AR76" s="24" t="inlineStr">
        <is>
          <t>Karmine Corp Blue Stars</t>
        </is>
      </c>
      <c r="AS76" s="24" t="inlineStr">
        <is>
          <t>Ancient Ones</t>
        </is>
      </c>
      <c r="AT76" s="24" t="inlineStr">
        <is>
          <t>Ancient Ones</t>
        </is>
      </c>
      <c r="AU76" s="24" t="inlineStr">
        <is>
          <t>Ancient Ones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d1af9b18c2d3ace9d47f74a1570e11714c592a6d92bd30ded3db42a502b40cf2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d1af9b18c2d3ace9d47f74a1570e11714c592a6d92bd30ded3db42a502b40cf2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2026-08-09T05:18:32.672561Z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>
        <v>2.33</v>
      </c>
      <c r="BR76" s="28" t="n">
        <v>0.43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c311b53394664422</t>
        </is>
      </c>
      <c r="B77" s="24" t="inlineStr">
        <is>
          <t>2026-08-09T05:18:45.420775Z</t>
        </is>
      </c>
      <c r="C77" s="24" t="inlineStr">
        <is>
          <t>2026-08-09T13:00:00Z</t>
        </is>
      </c>
      <c r="D77" s="24" t="inlineStr">
        <is>
          <t>73734</t>
        </is>
      </c>
      <c r="E77" s="24" t="inlineStr">
        <is>
          <t>LOL</t>
        </is>
      </c>
      <c r="F77" s="24" t="inlineStr">
        <is>
          <t>Project Conquerors</t>
        </is>
      </c>
      <c r="G77" s="24" t="inlineStr">
        <is>
          <t>Galions Sharks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0.575922</v>
      </c>
      <c r="P77" s="28" t="n"/>
      <c r="Q77" s="28" t="n">
        <v>-0.024078</v>
      </c>
      <c r="R77" s="26" t="n">
        <v>8</v>
      </c>
      <c r="S77" s="29" t="n">
        <v>1.25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-150</v>
      </c>
      <c r="AA77" s="28" t="n">
        <v>0.6</v>
      </c>
      <c r="AB77" s="28" t="n">
        <v>0</v>
      </c>
      <c r="AC77" s="30" t="n">
        <v>0.8333</v>
      </c>
      <c r="AD77" s="24" t="inlineStr">
        <is>
          <t>2026-08-09T13:57:06.531630Z</t>
        </is>
      </c>
      <c r="AE77" s="31" t="inlineStr">
        <is>
          <t>Neutral Elo baseline; executable ask 0.6000 (market_slug=aec-lol-gls-pcs-2026-08-09).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NO_CALL_WINNER_OVERVALUED</t>
        </is>
      </c>
      <c r="AP77" s="24" t="inlineStr">
        <is>
          <t>Project Conquerors</t>
        </is>
      </c>
      <c r="AQ77" s="24" t="inlineStr">
        <is>
          <t>Project Conquerors</t>
        </is>
      </c>
      <c r="AR77" s="24" t="inlineStr">
        <is>
          <t>Project Conquerors</t>
        </is>
      </c>
      <c r="AS77" s="24" t="inlineStr">
        <is>
          <t>Galions Sharks</t>
        </is>
      </c>
      <c r="AT77" s="24" t="inlineStr">
        <is>
          <t>Galions Sharks</t>
        </is>
      </c>
      <c r="AU77" s="24" t="inlineStr">
        <is>
          <t>Galions Sharks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d1af9b18c2d3ace9d47f74a1570e11714c592a6d92bd30ded3db42a502b40cf2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d1af9b18c2d3ace9d47f74a1570e11714c592a6d92bd30ded3db42a502b40cf2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2026-08-09T05:18:33.175663Z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>
        <v>1.666667</v>
      </c>
      <c r="BR77" s="28" t="n">
        <v>0.6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c0f3bd93fcb54290</t>
        </is>
      </c>
      <c r="B78" s="24" t="inlineStr">
        <is>
          <t>2026-08-09T14:01:53.524228Z</t>
        </is>
      </c>
      <c r="C78" s="24" t="inlineStr">
        <is>
          <t>2026-08-09T16:00:00Z</t>
        </is>
      </c>
      <c r="D78" s="24" t="inlineStr">
        <is>
          <t>73792</t>
        </is>
      </c>
      <c r="E78" s="24" t="inlineStr">
        <is>
          <t>LOL</t>
        </is>
      </c>
      <c r="F78" s="24" t="inlineStr">
        <is>
          <t>Vivo Keyd Stars</t>
        </is>
      </c>
      <c r="G78" s="24" t="inlineStr">
        <is>
          <t>LOUD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133</v>
      </c>
      <c r="M78" s="27" t="n">
        <v>2.33</v>
      </c>
      <c r="N78" s="28" t="n">
        <v>0.429185</v>
      </c>
      <c r="O78" s="28" t="n">
        <v>0.565457</v>
      </c>
      <c r="P78" s="28" t="n"/>
      <c r="Q78" s="28" t="n">
        <v>0.136272</v>
      </c>
      <c r="R78" s="26" t="n">
        <v>88</v>
      </c>
      <c r="S78" s="29" t="n">
        <v>1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133</v>
      </c>
      <c r="AA78" s="28" t="n">
        <v>0.43</v>
      </c>
      <c r="AB78" s="28" t="n">
        <v>0.000815</v>
      </c>
      <c r="AC78" s="30" t="n">
        <v>-1</v>
      </c>
      <c r="AD78" s="24" t="inlineStr">
        <is>
          <t>2026-08-09T20:26:11.227771Z</t>
        </is>
      </c>
      <c r="AE78" s="31" t="inlineStr">
        <is>
          <t>Neutral Elo baseline; executable ask 0.4300 (market_slug=aec-lol-lll-vks-2026-08-09).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Vivo Keyd Stars</t>
        </is>
      </c>
      <c r="AQ78" s="24" t="inlineStr">
        <is>
          <t>Vivo Keyd Stars</t>
        </is>
      </c>
      <c r="AR78" s="24" t="inlineStr">
        <is>
          <t>Vivo Keyd Stars</t>
        </is>
      </c>
      <c r="AS78" s="24" t="inlineStr">
        <is>
          <t>LOUD</t>
        </is>
      </c>
      <c r="AT78" s="24" t="inlineStr">
        <is>
          <t>LOUD</t>
        </is>
      </c>
      <c r="AU78" s="24" t="inlineStr">
        <is>
          <t>LOUD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b58ac9e03c1a5d9a8ba8b54127b580955d4aa64f9a40d7b31d028c52dfb61e0d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b58ac9e03c1a5d9a8ba8b54127b580955d4aa64f9a40d7b31d028c52dfb61e0d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2026-08-09T14:01:44.268334Z</t>
        </is>
      </c>
      <c r="BI78" s="24" t="inlineStr">
        <is>
          <t>["same_event","same_team_same_day","same_league_same_day"]</t>
        </is>
      </c>
      <c r="BJ78" s="25" t="n"/>
      <c r="BK78" s="26" t="n">
        <v>133</v>
      </c>
      <c r="BL78" s="27" t="n">
        <v>2.33</v>
      </c>
      <c r="BM78" s="28" t="n">
        <v>0.429185</v>
      </c>
      <c r="BN78" s="28" t="n"/>
      <c r="BO78" s="28" t="n"/>
      <c r="BP78" s="25" t="n"/>
      <c r="BQ78" s="27" t="n">
        <v>2.33</v>
      </c>
      <c r="BR78" s="28" t="n">
        <v>0.43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079726909683485d</t>
        </is>
      </c>
      <c r="B79" s="24" t="inlineStr">
        <is>
          <t>2026-08-10T05:41:28.453324Z</t>
        </is>
      </c>
      <c r="C79" s="24" t="inlineStr">
        <is>
          <t>2026-08-10T06:00:00Z</t>
        </is>
      </c>
      <c r="D79" s="24" t="inlineStr">
        <is>
          <t>74303</t>
        </is>
      </c>
      <c r="E79" s="24" t="inlineStr">
        <is>
          <t>LOL</t>
        </is>
      </c>
      <c r="F79" s="24" t="inlineStr">
        <is>
          <t>Gen.G</t>
        </is>
      </c>
      <c r="G79" s="24" t="inlineStr">
        <is>
          <t>Hanwha Life Esports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144</v>
      </c>
      <c r="M79" s="27" t="n">
        <v>2.44</v>
      </c>
      <c r="N79" s="28" t="n">
        <v>0.409836</v>
      </c>
      <c r="O79" s="28" t="n">
        <v>0.555268</v>
      </c>
      <c r="P79" s="28" t="n"/>
      <c r="Q79" s="28" t="n">
        <v>0.145432</v>
      </c>
      <c r="R79" s="26" t="n">
        <v>93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144</v>
      </c>
      <c r="AA79" s="28" t="n">
        <v>0.41</v>
      </c>
      <c r="AB79" s="28" t="n">
        <v>0.000164</v>
      </c>
      <c r="AC79" s="30" t="n">
        <v>1.44</v>
      </c>
      <c r="AD79" s="24" t="inlineStr">
        <is>
          <t>2026-08-10T16:33:21.215019Z</t>
        </is>
      </c>
      <c r="AE79" s="31" t="inlineStr">
        <is>
          <t>Neutral Elo baseline; executable ask 0.4100 (market_slug=aec-lol-hle-gen-2026-08-10).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Gen.G</t>
        </is>
      </c>
      <c r="AQ79" s="24" t="inlineStr">
        <is>
          <t>Gen.G</t>
        </is>
      </c>
      <c r="AR79" s="24" t="inlineStr">
        <is>
          <t>Gen.G</t>
        </is>
      </c>
      <c r="AS79" s="24" t="inlineStr">
        <is>
          <t>Hanwha Life Esports</t>
        </is>
      </c>
      <c r="AT79" s="24" t="inlineStr">
        <is>
          <t>Hanwha Life Esports</t>
        </is>
      </c>
      <c r="AU79" s="24" t="inlineStr">
        <is>
          <t>Hanwha Life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1315e3fd57f39b5e423c7478ae4d488c4fac6a7f2c4f64188933b2184d22eecf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1315e3fd57f39b5e423c7478ae4d488c4fac6a7f2c4f64188933b2184d22eecf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2026-08-10T05:41:12.074053Z</t>
        </is>
      </c>
      <c r="BI79" s="24" t="inlineStr">
        <is>
          <t>["same_event","same_team_same_day","same_league_same_day"]</t>
        </is>
      </c>
      <c r="BJ79" s="25" t="n"/>
      <c r="BK79" s="26" t="n">
        <v>144</v>
      </c>
      <c r="BL79" s="27" t="n">
        <v>2.44</v>
      </c>
      <c r="BM79" s="28" t="n">
        <v>0.409836</v>
      </c>
      <c r="BN79" s="28" t="n"/>
      <c r="BO79" s="28" t="n"/>
      <c r="BP79" s="25" t="n"/>
      <c r="BQ79" s="27" t="n">
        <v>2.44</v>
      </c>
      <c r="BR79" s="28" t="n">
        <v>0.41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efb7e39a62af4d45</t>
        </is>
      </c>
      <c r="B80" s="24" t="inlineStr">
        <is>
          <t>2026-08-10T05:41:28.453324Z</t>
        </is>
      </c>
      <c r="C80" s="24" t="inlineStr">
        <is>
          <t>2026-08-10T08:00:00Z</t>
        </is>
      </c>
      <c r="D80" s="24" t="inlineStr">
        <is>
          <t>74319</t>
        </is>
      </c>
      <c r="E80" s="24" t="inlineStr">
        <is>
          <t>LOL</t>
        </is>
      </c>
      <c r="F80" s="24" t="inlineStr">
        <is>
          <t>KT Rolster Challengers</t>
        </is>
      </c>
      <c r="G80" s="24" t="inlineStr">
        <is>
          <t>DN SOOPers Challengers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-108</v>
      </c>
      <c r="M80" s="27" t="n">
        <v>1.925926</v>
      </c>
      <c r="N80" s="28" t="n">
        <v>0.519231</v>
      </c>
      <c r="O80" s="28" t="n">
        <v>0.515258</v>
      </c>
      <c r="P80" s="28" t="n"/>
      <c r="Q80" s="28" t="n">
        <v>-0.003973</v>
      </c>
      <c r="R80" s="26" t="n">
        <v>18</v>
      </c>
      <c r="S80" s="29" t="n">
        <v>1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-108</v>
      </c>
      <c r="AA80" s="28" t="n">
        <v>0.52</v>
      </c>
      <c r="AB80" s="28" t="n">
        <v>0.000769</v>
      </c>
      <c r="AC80" s="30" t="n">
        <v>0.9258999999999999</v>
      </c>
      <c r="AD80" s="24" t="inlineStr">
        <is>
          <t>2026-08-10T16:33:23.607795Z</t>
        </is>
      </c>
      <c r="AE80" s="31" t="inlineStr">
        <is>
          <t>Neutral Elo baseline; executable ask 0.5200 (market_slug=aec-lol-dnsc-ktc-2026-08-10).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KT Rolster Challengers</t>
        </is>
      </c>
      <c r="AQ80" s="24" t="inlineStr">
        <is>
          <t>KT Rolster Challengers</t>
        </is>
      </c>
      <c r="AR80" s="24" t="inlineStr">
        <is>
          <t>KT Rolster Challengers</t>
        </is>
      </c>
      <c r="AS80" s="24" t="inlineStr">
        <is>
          <t>DN SOOPers Challengers</t>
        </is>
      </c>
      <c r="AT80" s="24" t="inlineStr">
        <is>
          <t>DN SOOPers Challengers</t>
        </is>
      </c>
      <c r="AU80" s="24" t="inlineStr">
        <is>
          <t>DN SOOPers Challengers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1315e3fd57f39b5e423c7478ae4d488c4fac6a7f2c4f64188933b2184d22eecf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1315e3fd57f39b5e423c7478ae4d488c4fac6a7f2c4f64188933b2184d22eecf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2026-08-10T05:41:12.611497Z</t>
        </is>
      </c>
      <c r="BI80" s="24" t="inlineStr">
        <is>
          <t>["same_event","same_team_same_day","same_league_same_day"]</t>
        </is>
      </c>
      <c r="BJ80" s="25" t="n"/>
      <c r="BK80" s="26" t="n">
        <v>-108</v>
      </c>
      <c r="BL80" s="27" t="n">
        <v>1.925926</v>
      </c>
      <c r="BM80" s="28" t="n">
        <v>0.519231</v>
      </c>
      <c r="BN80" s="28" t="n"/>
      <c r="BO80" s="28" t="n"/>
      <c r="BP80" s="25" t="n"/>
      <c r="BQ80" s="27" t="n">
        <v>1.925926</v>
      </c>
      <c r="BR80" s="28" t="n">
        <v>0.52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b921cde2167e4c0b</t>
        </is>
      </c>
      <c r="B81" s="24" t="inlineStr">
        <is>
          <t>2026-08-10T05:41:28.453324Z</t>
        </is>
      </c>
      <c r="C81" s="24" t="inlineStr">
        <is>
          <t>2026-08-10T08:15:00Z</t>
        </is>
      </c>
      <c r="D81" s="24" t="inlineStr">
        <is>
          <t>74321</t>
        </is>
      </c>
      <c r="E81" s="24" t="inlineStr">
        <is>
          <t>LOL</t>
        </is>
      </c>
      <c r="F81" s="24" t="inlineStr">
        <is>
          <t>Kiwoom DRX</t>
        </is>
      </c>
      <c r="G81" s="24" t="inlineStr">
        <is>
          <t>DN SOOPers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0.52847</v>
      </c>
      <c r="P81" s="28" t="n"/>
      <c r="Q81" s="28" t="n">
        <v>-0.141497</v>
      </c>
      <c r="R81" s="26" t="n">
        <v>0</v>
      </c>
      <c r="S81" s="29" t="n">
        <v>1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-1</v>
      </c>
      <c r="AD81" s="24" t="inlineStr">
        <is>
          <t>2026-08-10T16:33:25.999409Z</t>
        </is>
      </c>
      <c r="AE81" s="31" t="inlineStr">
        <is>
          <t>Neutral Elo baseline; executable ask 0.6700 (market_slug=aec-lol-dns-krx-2026-08-10).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Kiwoom DRX</t>
        </is>
      </c>
      <c r="AQ81" s="24" t="inlineStr">
        <is>
          <t>Kiwoom DRX</t>
        </is>
      </c>
      <c r="AR81" s="24" t="inlineStr">
        <is>
          <t>Kiwoom DRX</t>
        </is>
      </c>
      <c r="AS81" s="24" t="inlineStr">
        <is>
          <t>DN SOOPers</t>
        </is>
      </c>
      <c r="AT81" s="24" t="inlineStr">
        <is>
          <t>DN SOOPers</t>
        </is>
      </c>
      <c r="AU81" s="24" t="inlineStr">
        <is>
          <t>DN SOOPers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1315e3fd57f39b5e423c7478ae4d488c4fac6a7f2c4f64188933b2184d22eecf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1315e3fd57f39b5e423c7478ae4d488c4fac6a7f2c4f64188933b2184d22eecf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2026-08-10T05:41:13.128194Z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</row>
    <row r="82" ht="36" customHeight="1">
      <c r="A82" s="24" t="inlineStr">
        <is>
          <t>8b9f0d713f8b441e</t>
        </is>
      </c>
      <c r="B82" s="24" t="inlineStr">
        <is>
          <t>2026-08-10T05:41:28.453324Z</t>
        </is>
      </c>
      <c r="C82" s="24" t="inlineStr">
        <is>
          <t>2026-08-10T15:00:00Z</t>
        </is>
      </c>
      <c r="D82" s="24" t="inlineStr">
        <is>
          <t>74409</t>
        </is>
      </c>
      <c r="E82" s="24" t="inlineStr">
        <is>
          <t>LOL</t>
        </is>
      </c>
      <c r="F82" s="24" t="inlineStr">
        <is>
          <t>Team Vitality</t>
        </is>
      </c>
      <c r="G82" s="24" t="inlineStr">
        <is>
          <t>SK Gaming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-194</v>
      </c>
      <c r="M82" s="27" t="n">
        <v>1.515464</v>
      </c>
      <c r="N82" s="28" t="n">
        <v>0.659864</v>
      </c>
      <c r="O82" s="28" t="n">
        <v>0.702856</v>
      </c>
      <c r="P82" s="28" t="n"/>
      <c r="Q82" s="28" t="n">
        <v>0.042992</v>
      </c>
      <c r="R82" s="26" t="n">
        <v>41</v>
      </c>
      <c r="S82" s="29" t="n">
        <v>2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-194</v>
      </c>
      <c r="AA82" s="28" t="n">
        <v>0.66</v>
      </c>
      <c r="AB82" s="28" t="n">
        <v>0.000136</v>
      </c>
      <c r="AC82" s="30" t="n">
        <v>1.0309</v>
      </c>
      <c r="AD82" s="24" t="inlineStr">
        <is>
          <t>2026-08-10T16:33:28.208464Z</t>
        </is>
      </c>
      <c r="AE82" s="31" t="inlineStr">
        <is>
          <t>Neutral Elo baseline; executable ask 0.6600 (market_slug=aec-lol-sk-vit-2026-08-10).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Team Vitality</t>
        </is>
      </c>
      <c r="AQ82" s="24" t="inlineStr">
        <is>
          <t>Team Vitality</t>
        </is>
      </c>
      <c r="AR82" s="24" t="inlineStr">
        <is>
          <t>Team Vitality</t>
        </is>
      </c>
      <c r="AS82" s="24" t="inlineStr">
        <is>
          <t>SK Gaming</t>
        </is>
      </c>
      <c r="AT82" s="24" t="inlineStr">
        <is>
          <t>SK Gaming</t>
        </is>
      </c>
      <c r="AU82" s="24" t="inlineStr">
        <is>
          <t>SK Gaming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1315e3fd57f39b5e423c7478ae4d488c4fac6a7f2c4f64188933b2184d22eecf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1315e3fd57f39b5e423c7478ae4d488c4fac6a7f2c4f64188933b2184d22eecf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2026-08-10T05:41:14.500661Z</t>
        </is>
      </c>
      <c r="BI82" s="24" t="inlineStr">
        <is>
          <t>["same_event","same_team_same_day","same_league_same_day"]</t>
        </is>
      </c>
      <c r="BJ82" s="25" t="n"/>
      <c r="BK82" s="26" t="n">
        <v>-194</v>
      </c>
      <c r="BL82" s="27" t="n">
        <v>1.515464</v>
      </c>
      <c r="BM82" s="28" t="n">
        <v>0.659864</v>
      </c>
      <c r="BN82" s="28" t="n"/>
      <c r="BO82" s="28" t="n"/>
      <c r="BP82" s="25" t="n"/>
      <c r="BQ82" s="27" t="n">
        <v>1.515464</v>
      </c>
      <c r="BR82" s="28" t="n">
        <v>0.66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fc630d1748e749d7</t>
        </is>
      </c>
      <c r="B83" s="24" t="inlineStr">
        <is>
          <t>2026-08-10T16:36:52.218705Z</t>
        </is>
      </c>
      <c r="C83" s="24" t="inlineStr">
        <is>
          <t>2026-08-11T08:00:00Z</t>
        </is>
      </c>
      <c r="D83" s="24" t="inlineStr">
        <is>
          <t>75082</t>
        </is>
      </c>
      <c r="E83" s="24" t="inlineStr">
        <is>
          <t>LOL</t>
        </is>
      </c>
      <c r="F83" s="24" t="inlineStr">
        <is>
          <t>BNK FearX Youth</t>
        </is>
      </c>
      <c r="G83" s="24" t="inlineStr">
        <is>
          <t>Kiwoom DRX Challengers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150</v>
      </c>
      <c r="M83" s="27" t="n">
        <v>2.5</v>
      </c>
      <c r="N83" s="28" t="n">
        <v>0.4</v>
      </c>
      <c r="O83" s="28" t="n">
        <v>0.516839</v>
      </c>
      <c r="P83" s="28" t="n"/>
      <c r="Q83" s="28" t="n">
        <v>0.116839</v>
      </c>
      <c r="R83" s="26" t="n">
        <v>78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-1</v>
      </c>
      <c r="AD83" s="24" t="inlineStr">
        <is>
          <t>2026-08-11T16:30:20.375212Z</t>
        </is>
      </c>
      <c r="AE83" s="31" t="inlineStr">
        <is>
          <t>Neutral Elo baseline; executable ask 0.4000 (market_slug=aec-lol-krxc-foxy-2026-08-11).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BNK FearX Youth</t>
        </is>
      </c>
      <c r="AQ83" s="24" t="inlineStr">
        <is>
          <t>BNK FearX Youth</t>
        </is>
      </c>
      <c r="AR83" s="24" t="inlineStr">
        <is>
          <t>BNK FearX Youth</t>
        </is>
      </c>
      <c r="AS83" s="24" t="inlineStr">
        <is>
          <t>Kiwoom DRX Challengers</t>
        </is>
      </c>
      <c r="AT83" s="24" t="inlineStr">
        <is>
          <t>Kiwoom DRX Challengers</t>
        </is>
      </c>
      <c r="AU83" s="24" t="inlineStr">
        <is>
          <t>Kiwoom DRX Challengers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b17a7ad5927b03dc324401003ec664ab1757d0145d4b926e56b78e2895a058ba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b17a7ad5927b03dc324401003ec664ab1757d0145d4b926e56b78e2895a058ba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2026-08-10T16:36:35.300904Z</t>
        </is>
      </c>
      <c r="BI83" s="24" t="inlineStr">
        <is>
          <t>["same_event","same_team_same_day","same_league_same_day"]</t>
        </is>
      </c>
      <c r="BJ83" s="25" t="n"/>
      <c r="BK83" s="26" t="n">
        <v>150</v>
      </c>
      <c r="BL83" s="27" t="n">
        <v>2.5</v>
      </c>
      <c r="BM83" s="28" t="n">
        <v>0.4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ec6f9205bc0e408c</t>
        </is>
      </c>
      <c r="B84" s="24" t="inlineStr">
        <is>
          <t>2026-08-10T16:36:52.218705Z</t>
        </is>
      </c>
      <c r="C84" s="24" t="inlineStr">
        <is>
          <t>2026-08-11T10:00:00Z</t>
        </is>
      </c>
      <c r="D84" s="24" t="inlineStr">
        <is>
          <t>75102</t>
        </is>
      </c>
      <c r="E84" s="24" t="inlineStr">
        <is>
          <t>LOL</t>
        </is>
      </c>
      <c r="F84" s="24" t="inlineStr">
        <is>
          <t>Dplus KIA Challengers</t>
        </is>
      </c>
      <c r="G84" s="24" t="inlineStr">
        <is>
          <t>Nongshim Esports Academy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104</v>
      </c>
      <c r="M84" s="27" t="n">
        <v>2.04</v>
      </c>
      <c r="N84" s="28" t="n">
        <v>0.490196</v>
      </c>
      <c r="O84" s="28" t="n">
        <v>0.600293</v>
      </c>
      <c r="P84" s="28" t="n"/>
      <c r="Q84" s="28" t="n">
        <v>0.110097</v>
      </c>
      <c r="R84" s="26" t="n">
        <v>75</v>
      </c>
      <c r="S84" s="29" t="n">
        <v>1.25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</v>
      </c>
      <c r="AD84" s="24" t="inlineStr">
        <is>
          <t>2026-08-11T16:30:23.302709Z</t>
        </is>
      </c>
      <c r="AE84" s="31" t="inlineStr">
        <is>
          <t>Neutral Elo baseline; executable ask 0.4900 (market_slug=aec-lol-nsea-dkc-2026-08-11).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Dplus KIA Challengers</t>
        </is>
      </c>
      <c r="AQ84" s="24" t="inlineStr">
        <is>
          <t>Dplus KIA Challengers</t>
        </is>
      </c>
      <c r="AR84" s="24" t="inlineStr">
        <is>
          <t>Dplus KIA Challengers</t>
        </is>
      </c>
      <c r="AS84" s="24" t="inlineStr">
        <is>
          <t>Nongshim Esports Academy</t>
        </is>
      </c>
      <c r="AT84" s="24" t="inlineStr">
        <is>
          <t>Nongshim Esports Academy</t>
        </is>
      </c>
      <c r="AU84" s="24" t="inlineStr">
        <is>
          <t>Nongshim Esports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b17a7ad5927b03dc324401003ec664ab1757d0145d4b926e56b78e2895a058ba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b17a7ad5927b03dc324401003ec664ab1757d0145d4b926e56b78e2895a058ba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2026-08-10T16:36:37.130668Z</t>
        </is>
      </c>
      <c r="BI84" s="24" t="inlineStr">
        <is>
          <t>["same_event","same_team_same_day","same_league_same_day"]</t>
        </is>
      </c>
      <c r="BJ84" s="25" t="n"/>
      <c r="BK84" s="26" t="n">
        <v>104</v>
      </c>
      <c r="BL84" s="27" t="n">
        <v>2.04</v>
      </c>
      <c r="BM84" s="28" t="n">
        <v>0.490196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2ab157bd2af5429a</t>
        </is>
      </c>
      <c r="B85" s="24" t="inlineStr">
        <is>
          <t>2026-08-11T16:56:35.179095Z</t>
        </is>
      </c>
      <c r="C85" s="24" t="inlineStr">
        <is>
          <t>2026-08-11T17:00:00Z</t>
        </is>
      </c>
      <c r="D85" s="24" t="inlineStr">
        <is>
          <t>75397</t>
        </is>
      </c>
      <c r="E85" s="24" t="inlineStr">
        <is>
          <t>LOL</t>
        </is>
      </c>
      <c r="F85" s="24" t="inlineStr">
        <is>
          <t>Forsaken</t>
        </is>
      </c>
      <c r="G85" s="24" t="inlineStr">
        <is>
          <t>Lodis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156</v>
      </c>
      <c r="M85" s="27" t="n">
        <v>2.56</v>
      </c>
      <c r="N85" s="28" t="n">
        <v>0.390625</v>
      </c>
      <c r="O85" s="28" t="n">
        <v>0.758714</v>
      </c>
      <c r="P85" s="28" t="n"/>
      <c r="Q85" s="28" t="n">
        <v>0.368089</v>
      </c>
      <c r="R85" s="26" t="n">
        <v>100</v>
      </c>
      <c r="S85" s="29" t="n">
        <v>2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156</v>
      </c>
      <c r="AA85" s="28" t="n">
        <v>0.39</v>
      </c>
      <c r="AB85" s="28" t="n">
        <v>-0.000625</v>
      </c>
      <c r="AC85" s="30" t="n">
        <v>3.12</v>
      </c>
      <c r="AD85" s="24" t="inlineStr">
        <is>
          <t>2026-08-11T23:00:45.081070Z</t>
        </is>
      </c>
      <c r="AE85" s="31" t="inlineStr">
        <is>
          <t>Neutral Elo baseline; executable ask 0.3900 (market_slug=aec-lol-lds-fsk-2026-08-11).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Forsaken</t>
        </is>
      </c>
      <c r="AQ85" s="24" t="inlineStr">
        <is>
          <t>Forsaken</t>
        </is>
      </c>
      <c r="AR85" s="24" t="inlineStr">
        <is>
          <t>Forsaken</t>
        </is>
      </c>
      <c r="AS85" s="24" t="inlineStr">
        <is>
          <t>Lodis</t>
        </is>
      </c>
      <c r="AT85" s="24" t="inlineStr">
        <is>
          <t>Lodis</t>
        </is>
      </c>
      <c r="AU85" s="24" t="inlineStr">
        <is>
          <t>Lodis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ed7267b514f407c2093b515500eb4a8b26567d3f07ecbd95b89717fa166d10fd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ed7267b514f407c2093b515500eb4a8b26567d3f07ecbd95b89717fa166d10fd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2026-08-11T16:56:16.156478Z</t>
        </is>
      </c>
      <c r="BI85" s="24" t="inlineStr">
        <is>
          <t>["same_event","same_team_same_day","same_league_same_day"]</t>
        </is>
      </c>
      <c r="BJ85" s="25" t="n"/>
      <c r="BK85" s="26" t="n">
        <v>156</v>
      </c>
      <c r="BL85" s="27" t="n">
        <v>2.56</v>
      </c>
      <c r="BM85" s="28" t="n">
        <v>0.390625</v>
      </c>
      <c r="BN85" s="28" t="n"/>
      <c r="BO85" s="28" t="n"/>
      <c r="BP85" s="25" t="n"/>
      <c r="BQ85" s="27" t="n">
        <v>2.56</v>
      </c>
      <c r="BR85" s="28" t="n">
        <v>0.39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d78fd10d91ef4cc7</t>
        </is>
      </c>
      <c r="B86" s="24" t="inlineStr">
        <is>
          <t>2026-08-11T17:26:54.301677Z</t>
        </is>
      </c>
      <c r="C86" s="24" t="inlineStr">
        <is>
          <t>2026-08-11T18:30:00Z</t>
        </is>
      </c>
      <c r="D86" s="24" t="inlineStr">
        <is>
          <t>75553</t>
        </is>
      </c>
      <c r="E86" s="24" t="inlineStr">
        <is>
          <t>LOL</t>
        </is>
      </c>
      <c r="F86" s="24" t="inlineStr">
        <is>
          <t>GnG Amazigh</t>
        </is>
      </c>
      <c r="G86" s="24" t="inlineStr">
        <is>
          <t>Baam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0.6584950000000001</v>
      </c>
      <c r="P86" s="28" t="n"/>
      <c r="Q86" s="28" t="n">
        <v>-0.041205</v>
      </c>
      <c r="R86" s="26" t="n">
        <v>0</v>
      </c>
      <c r="S86" s="29" t="n">
        <v>1.75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0.7511</v>
      </c>
      <c r="AD86" s="24" t="inlineStr">
        <is>
          <t>2026-08-11T19:54:57.674788Z</t>
        </is>
      </c>
      <c r="AE86" s="31" t="inlineStr">
        <is>
          <t>Neutral Elo baseline; executable ask 0.7000 (market_slug=aec-lol-bam-gng-2026-08-11).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GnG Amazigh</t>
        </is>
      </c>
      <c r="AQ86" s="24" t="inlineStr">
        <is>
          <t>GnG Amazigh</t>
        </is>
      </c>
      <c r="AR86" s="24" t="inlineStr">
        <is>
          <t>GnG Amazigh</t>
        </is>
      </c>
      <c r="AS86" s="24" t="inlineStr">
        <is>
          <t>Baam Esports</t>
        </is>
      </c>
      <c r="AT86" s="24" t="inlineStr">
        <is>
          <t>Baam Esports</t>
        </is>
      </c>
      <c r="AU86" s="24" t="inlineStr">
        <is>
          <t>Baam Esports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094bc0be45302e065418a9dc318acb2e7cfcfdb58b3b123f7b6c91000437d69b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094bc0be45302e065418a9dc318acb2e7cfcfdb58b3b123f7b6c91000437d69b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2026-08-11T17:26:35.974432Z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1cb0b425b3824c78</t>
        </is>
      </c>
      <c r="B87" s="24" t="inlineStr">
        <is>
          <t>2026-08-11T19:58:42.464012Z</t>
        </is>
      </c>
      <c r="C87" s="24" t="inlineStr">
        <is>
          <t>2026-08-11T20:00:00Z</t>
        </is>
      </c>
      <c r="D87" s="24" t="inlineStr">
        <is>
          <t>75895</t>
        </is>
      </c>
      <c r="E87" s="24" t="inlineStr">
        <is>
          <t>LOL</t>
        </is>
      </c>
      <c r="F87" s="24" t="inlineStr">
        <is>
          <t>7REX</t>
        </is>
      </c>
      <c r="G87" s="24" t="inlineStr">
        <is>
          <t>Team Solid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0.571583</v>
      </c>
      <c r="P87" s="28" t="n"/>
      <c r="Q87" s="28" t="n">
        <v>0.061779</v>
      </c>
      <c r="R87" s="26" t="n">
        <v>51</v>
      </c>
      <c r="S87" s="29" t="n">
        <v>1.25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>
        <v>-104</v>
      </c>
      <c r="AA87" s="28" t="n">
        <v>0.51</v>
      </c>
      <c r="AB87" s="28" t="n">
        <v>0.000196</v>
      </c>
      <c r="AC87" s="30" t="n">
        <v>1.2019</v>
      </c>
      <c r="AD87" s="24" t="inlineStr">
        <is>
          <t>2026-08-11T23:00:47.056895Z</t>
        </is>
      </c>
      <c r="AE87" s="31" t="inlineStr">
        <is>
          <t>Neutral Elo baseline; executable ask 0.5100 (market_slug=aec-lol-tse-7rex-2026-08-11).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7REX</t>
        </is>
      </c>
      <c r="AQ87" s="24" t="inlineStr">
        <is>
          <t>7REX</t>
        </is>
      </c>
      <c r="AR87" s="24" t="inlineStr">
        <is>
          <t>7REX</t>
        </is>
      </c>
      <c r="AS87" s="24" t="inlineStr">
        <is>
          <t>Team Solid</t>
        </is>
      </c>
      <c r="AT87" s="24" t="inlineStr">
        <is>
          <t>Team Solid</t>
        </is>
      </c>
      <c r="AU87" s="24" t="inlineStr">
        <is>
          <t>Team Solid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42520e1cbdeac477d4933d02c42aaf237b6f0d38e18175043ec37cabaabcb7e4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42520e1cbdeac477d4933d02c42aaf237b6f0d38e18175043ec37cabaabcb7e4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2026-08-11T19:58:26.471210Z</t>
        </is>
      </c>
      <c r="BI87" s="24" t="inlineStr">
        <is>
          <t>["same_event","same_team_same_day","same_league_same_day"]</t>
        </is>
      </c>
      <c r="BJ87" s="25" t="n"/>
      <c r="BK87" s="26" t="n">
        <v>-104</v>
      </c>
      <c r="BL87" s="27" t="n">
        <v>1.961538</v>
      </c>
      <c r="BM87" s="28" t="n">
        <v>0.509804</v>
      </c>
      <c r="BN87" s="28" t="n"/>
      <c r="BO87" s="28" t="n"/>
      <c r="BP87" s="25" t="n"/>
      <c r="BQ87" s="27" t="n">
        <v>1.961538</v>
      </c>
      <c r="BR87" s="28" t="n">
        <v>0.51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42f2b816d75c4ca3</t>
        </is>
      </c>
      <c r="B88" s="24" t="inlineStr">
        <is>
          <t>2026-08-11T19:58:42.464012Z</t>
        </is>
      </c>
      <c r="C88" s="24" t="inlineStr">
        <is>
          <t>2026-08-11T23:00:00Z</t>
        </is>
      </c>
      <c r="D88" s="24" t="inlineStr">
        <is>
          <t>76011</t>
        </is>
      </c>
      <c r="E88" s="24" t="inlineStr">
        <is>
          <t>LOL</t>
        </is>
      </c>
      <c r="F88" s="24" t="inlineStr">
        <is>
          <t>SDM Tigres</t>
        </is>
      </c>
      <c r="G88" s="24" t="inlineStr">
        <is>
          <t>Kits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0.546502</v>
      </c>
      <c r="P88" s="28" t="n"/>
      <c r="Q88" s="28" t="n">
        <v>0.036698</v>
      </c>
      <c r="R88" s="26" t="n">
        <v>38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0.9615</v>
      </c>
      <c r="AD88" s="24" t="inlineStr">
        <is>
          <t>2026-08-12T05:13:00.854968Z</t>
        </is>
      </c>
      <c r="AE88" s="31" t="inlineStr">
        <is>
          <t>Neutral Elo baseline; executable ask 0.5100 (market_slug=aec-lol-kits-sdm-2026-08-11).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SDM Tigres</t>
        </is>
      </c>
      <c r="AQ88" s="24" t="inlineStr">
        <is>
          <t>SDM Tigres</t>
        </is>
      </c>
      <c r="AR88" s="24" t="inlineStr">
        <is>
          <t>SDM Tigres</t>
        </is>
      </c>
      <c r="AS88" s="24" t="inlineStr">
        <is>
          <t>Kits Esports</t>
        </is>
      </c>
      <c r="AT88" s="24" t="inlineStr">
        <is>
          <t>Kits Esports</t>
        </is>
      </c>
      <c r="AU88" s="24" t="inlineStr">
        <is>
          <t>Kits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42520e1cbdeac477d4933d02c42aaf237b6f0d38e18175043ec37cabaabcb7e4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42520e1cbdeac477d4933d02c42aaf237b6f0d38e18175043ec37cabaabcb7e4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2026-08-11T19:58:26.927703Z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0.91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a8c207638a884964</t>
        </is>
      </c>
      <c r="B89" s="24" t="inlineStr">
        <is>
          <t>2026-08-12T02:10:17.108644Z</t>
        </is>
      </c>
      <c r="C89" s="24" t="inlineStr">
        <is>
          <t>2026-08-12T05:00:00Z</t>
        </is>
      </c>
      <c r="D89" s="24" t="inlineStr">
        <is>
          <t>76162</t>
        </is>
      </c>
      <c r="E89" s="24" t="inlineStr">
        <is>
          <t>LOL</t>
        </is>
      </c>
      <c r="F89" s="24" t="inlineStr">
        <is>
          <t>Hanwha Life Esports Challengers</t>
        </is>
      </c>
      <c r="G89" s="24" t="inlineStr">
        <is>
          <t>HANJIN BRION Challengers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-144</v>
      </c>
      <c r="M89" s="27" t="n">
        <v>1.694444</v>
      </c>
      <c r="N89" s="28" t="n">
        <v>0.590164</v>
      </c>
      <c r="O89" s="28" t="n">
        <v>0.516164</v>
      </c>
      <c r="P89" s="28" t="n"/>
      <c r="Q89" s="28" t="n">
        <v>-0.074</v>
      </c>
      <c r="R89" s="26" t="n">
        <v>0</v>
      </c>
      <c r="S89" s="29" t="n">
        <v>1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/>
      <c r="AA89" s="28" t="n"/>
      <c r="AB89" s="28" t="n"/>
      <c r="AC89" s="30" t="n">
        <v>0.6944</v>
      </c>
      <c r="AD89" s="24" t="inlineStr">
        <is>
          <t>2026-08-12T08:18:59.232322Z</t>
        </is>
      </c>
      <c r="AE89" s="31" t="inlineStr">
        <is>
          <t>Neutral Elo baseline; executable ask 0.5900 (market_slug=aec-lol-hbc-hlec-2026-08-12).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Hanwha Life Esports Challengers</t>
        </is>
      </c>
      <c r="AQ89" s="24" t="inlineStr">
        <is>
          <t>Hanwha Life Esports Challengers</t>
        </is>
      </c>
      <c r="AR89" s="24" t="inlineStr">
        <is>
          <t>Hanwha Life Esports Challengers</t>
        </is>
      </c>
      <c r="AS89" s="24" t="inlineStr">
        <is>
          <t>HANJIN BRION Challengers</t>
        </is>
      </c>
      <c r="AT89" s="24" t="inlineStr">
        <is>
          <t>HANJIN BRION Challengers</t>
        </is>
      </c>
      <c r="AU89" s="24" t="inlineStr">
        <is>
          <t>HANJIN BRION Challengers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0a1a9937c8ea35a479639d97ca2bcfaf8b896b5a7cbafe007cf994dc4325c086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0a1a9937c8ea35a479639d97ca2bcfaf8b896b5a7cbafe007cf994dc4325c086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2026-08-12T02:10:02.364800Z</t>
        </is>
      </c>
      <c r="BI89" s="24" t="inlineStr">
        <is>
          <t>["same_event","same_team_same_day","same_league_same_day"]</t>
        </is>
      </c>
      <c r="BJ89" s="25" t="n"/>
      <c r="BK89" s="26" t="n">
        <v>-144</v>
      </c>
      <c r="BL89" s="27" t="n">
        <v>1.694444</v>
      </c>
      <c r="BM89" s="28" t="n">
        <v>0.590164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67bc282d96e64d99</t>
        </is>
      </c>
      <c r="B90" s="24" t="inlineStr">
        <is>
          <t>2026-08-12T05:16:40.582345Z</t>
        </is>
      </c>
      <c r="C90" s="24" t="inlineStr">
        <is>
          <t>2026-08-12T08:00:00Z</t>
        </is>
      </c>
      <c r="D90" s="24" t="inlineStr">
        <is>
          <t>76176</t>
        </is>
      </c>
      <c r="E90" s="24" t="inlineStr">
        <is>
          <t>LOL</t>
        </is>
      </c>
      <c r="F90" s="24" t="inlineStr">
        <is>
          <t>Nongshim Red Force</t>
        </is>
      </c>
      <c r="G90" s="24" t="inlineStr">
        <is>
          <t>DN SOOPers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150</v>
      </c>
      <c r="M90" s="27" t="n">
        <v>2.5</v>
      </c>
      <c r="N90" s="28" t="n">
        <v>0.4</v>
      </c>
      <c r="O90" s="28" t="n">
        <v>0.538872</v>
      </c>
      <c r="P90" s="28" t="n"/>
      <c r="Q90" s="28" t="n">
        <v>0.138872</v>
      </c>
      <c r="R90" s="26" t="n">
        <v>89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150</v>
      </c>
      <c r="AA90" s="28" t="n">
        <v>0.4</v>
      </c>
      <c r="AB90" s="28" t="n">
        <v>0</v>
      </c>
      <c r="AC90" s="30" t="n">
        <v>1.5</v>
      </c>
      <c r="AD90" s="24" t="inlineStr">
        <is>
          <t>2026-08-12T11:25:36.023326Z</t>
        </is>
      </c>
      <c r="AE90" s="31" t="inlineStr">
        <is>
          <t>Neutral Elo baseline; executable ask 0.4000 (market_slug=aec-lol-dns-ns-2026-08-12).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Nongshim Red Force</t>
        </is>
      </c>
      <c r="AQ90" s="24" t="inlineStr">
        <is>
          <t>Nongshim Red Force</t>
        </is>
      </c>
      <c r="AR90" s="24" t="inlineStr">
        <is>
          <t>Nongshim Red Force</t>
        </is>
      </c>
      <c r="AS90" s="24" t="inlineStr">
        <is>
          <t>DN SOOPers</t>
        </is>
      </c>
      <c r="AT90" s="24" t="inlineStr">
        <is>
          <t>DN SOOPers</t>
        </is>
      </c>
      <c r="AU90" s="24" t="inlineStr">
        <is>
          <t>DN SOOPers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5fa3e5dd2ed25c20af7f0b7693e2291536f17559c47f3686346f2079d8e5866e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5fa3e5dd2ed25c20af7f0b7693e2291536f17559c47f3686346f2079d8e5866e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2026-08-12T05:16:07.484937Z</t>
        </is>
      </c>
      <c r="BI90" s="24" t="inlineStr">
        <is>
          <t>["same_event","same_team_same_day","same_league_same_day"]</t>
        </is>
      </c>
      <c r="BJ90" s="25" t="n"/>
      <c r="BK90" s="26" t="n">
        <v>150</v>
      </c>
      <c r="BL90" s="27" t="n">
        <v>2.5</v>
      </c>
      <c r="BM90" s="28" t="n">
        <v>0.4</v>
      </c>
      <c r="BN90" s="28" t="n"/>
      <c r="BO90" s="28" t="n"/>
      <c r="BP90" s="25" t="n"/>
      <c r="BQ90" s="27" t="n">
        <v>2.5</v>
      </c>
      <c r="BR90" s="28" t="n">
        <v>0.4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de724dfddb7e41cc</t>
        </is>
      </c>
      <c r="B91" s="24" t="inlineStr">
        <is>
          <t>2026-08-12T08:22:55.302458Z</t>
        </is>
      </c>
      <c r="C91" s="24" t="inlineStr">
        <is>
          <t>2026-08-12T10:00:00Z</t>
        </is>
      </c>
      <c r="D91" s="24" t="inlineStr">
        <is>
          <t>76202</t>
        </is>
      </c>
      <c r="E91" s="24" t="inlineStr">
        <is>
          <t>LOL</t>
        </is>
      </c>
      <c r="F91" s="24" t="inlineStr">
        <is>
          <t>Dplus KIA</t>
        </is>
      </c>
      <c r="G91" s="24" t="inlineStr">
        <is>
          <t>KT Rolster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-178</v>
      </c>
      <c r="M91" s="27" t="n">
        <v>1.561798</v>
      </c>
      <c r="N91" s="28" t="n">
        <v>0.640288</v>
      </c>
      <c r="O91" s="28" t="n">
        <v>0.61241</v>
      </c>
      <c r="P91" s="28" t="n"/>
      <c r="Q91" s="28" t="n">
        <v>-0.027878</v>
      </c>
      <c r="R91" s="26" t="n">
        <v>6</v>
      </c>
      <c r="S91" s="29" t="n">
        <v>1.5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-178</v>
      </c>
      <c r="AA91" s="28" t="n">
        <v>0.64</v>
      </c>
      <c r="AB91" s="28" t="n">
        <v>-0.000288</v>
      </c>
      <c r="AC91" s="30" t="n">
        <v>0.8427</v>
      </c>
      <c r="AD91" s="24" t="inlineStr">
        <is>
          <t>2026-08-12T14:33:10.108070Z</t>
        </is>
      </c>
      <c r="AE91" s="31" t="inlineStr">
        <is>
          <t>Neutral Elo baseline; executable ask 0.6400 (market_slug=aec-lol-kt-dk-2026-08-12).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Dplus KIA</t>
        </is>
      </c>
      <c r="AQ91" s="24" t="inlineStr">
        <is>
          <t>Dplus KIA</t>
        </is>
      </c>
      <c r="AR91" s="24" t="inlineStr">
        <is>
          <t>Dplus KIA</t>
        </is>
      </c>
      <c r="AS91" s="24" t="inlineStr">
        <is>
          <t>KT Rolster</t>
        </is>
      </c>
      <c r="AT91" s="24" t="inlineStr">
        <is>
          <t>KT Rolster</t>
        </is>
      </c>
      <c r="AU91" s="24" t="inlineStr">
        <is>
          <t>KT Rolster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0fdc4ef6e480db7cffb6651a7b02dca90ed7f8f9ea71a40df3acbef431bd8491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0fdc4ef6e480db7cffb6651a7b02dca90ed7f8f9ea71a40df3acbef431bd8491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2026-08-12T08:22:24.424668Z</t>
        </is>
      </c>
      <c r="BI91" s="24" t="inlineStr">
        <is>
          <t>["same_event","same_team_same_day","same_league_same_day"]</t>
        </is>
      </c>
      <c r="BJ91" s="25" t="n"/>
      <c r="BK91" s="26" t="n">
        <v>-178</v>
      </c>
      <c r="BL91" s="27" t="n">
        <v>1.561798</v>
      </c>
      <c r="BM91" s="28" t="n">
        <v>0.640288</v>
      </c>
      <c r="BN91" s="28" t="n"/>
      <c r="BO91" s="28" t="n"/>
      <c r="BP91" s="25" t="n"/>
      <c r="BQ91" s="27" t="n">
        <v>1.561798</v>
      </c>
      <c r="BR91" s="28" t="n">
        <v>0.64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158692428e214e90</t>
        </is>
      </c>
      <c r="B92" s="24" t="inlineStr">
        <is>
          <t>2026-08-12T11:30:32.213742Z</t>
        </is>
      </c>
      <c r="C92" s="24" t="inlineStr">
        <is>
          <t>2026-08-12T14:00:00Z</t>
        </is>
      </c>
      <c r="D92" s="24" t="inlineStr">
        <is>
          <t>78193</t>
        </is>
      </c>
      <c r="E92" s="24" t="inlineStr">
        <is>
          <t>LOL</t>
        </is>
      </c>
      <c r="F92" s="24" t="inlineStr">
        <is>
          <t>eSuba</t>
        </is>
      </c>
      <c r="G92" s="24" t="inlineStr">
        <is>
          <t>Onion Team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-150</v>
      </c>
      <c r="M92" s="27" t="n">
        <v>1.666667</v>
      </c>
      <c r="N92" s="28" t="n">
        <v>0.6</v>
      </c>
      <c r="O92" s="28" t="n">
        <v>0.689456</v>
      </c>
      <c r="P92" s="28" t="n"/>
      <c r="Q92" s="28" t="n">
        <v>0.08945599999999999</v>
      </c>
      <c r="R92" s="26" t="n">
        <v>65</v>
      </c>
      <c r="S92" s="29" t="n">
        <v>2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-150</v>
      </c>
      <c r="AA92" s="28" t="n">
        <v>0.6</v>
      </c>
      <c r="AB92" s="28" t="n">
        <v>0</v>
      </c>
      <c r="AC92" s="30" t="n">
        <v>1.3333</v>
      </c>
      <c r="AD92" s="24" t="inlineStr">
        <is>
          <t>2026-08-12T16:40:46.263894Z</t>
        </is>
      </c>
      <c r="AE92" s="31" t="inlineStr">
        <is>
          <t>Neutral Elo baseline; executable ask 0.6000 (market_slug=aec-lol-ot-esb-2026-08-12).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eSuba</t>
        </is>
      </c>
      <c r="AQ92" s="24" t="inlineStr">
        <is>
          <t>eSuba</t>
        </is>
      </c>
      <c r="AR92" s="24" t="inlineStr">
        <is>
          <t>eSuba</t>
        </is>
      </c>
      <c r="AS92" s="24" t="inlineStr">
        <is>
          <t>Onion Team</t>
        </is>
      </c>
      <c r="AT92" s="24" t="inlineStr">
        <is>
          <t>Onion Team</t>
        </is>
      </c>
      <c r="AU92" s="24" t="inlineStr">
        <is>
          <t>Onion Team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4004f0e3360462f746285bc9ac60db48513fe8f4f57bf664e3db630f4bf8de66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4004f0e3360462f746285bc9ac60db48513fe8f4f57bf664e3db630f4bf8de66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2026-08-12T11:30:03.514727Z</t>
        </is>
      </c>
      <c r="BI92" s="24" t="inlineStr">
        <is>
          <t>["same_event","same_team_same_day","same_league_same_day"]</t>
        </is>
      </c>
      <c r="BJ92" s="25" t="n"/>
      <c r="BK92" s="26" t="n">
        <v>-150</v>
      </c>
      <c r="BL92" s="27" t="n">
        <v>1.666667</v>
      </c>
      <c r="BM92" s="28" t="n">
        <v>0.6</v>
      </c>
      <c r="BN92" s="28" t="n"/>
      <c r="BO92" s="28" t="n"/>
      <c r="BP92" s="25" t="n"/>
      <c r="BQ92" s="27" t="n">
        <v>1.666667</v>
      </c>
      <c r="BR92" s="28" t="n">
        <v>0.6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</row>
    <row r="93" ht="36" customHeight="1">
      <c r="A93" s="24" t="inlineStr">
        <is>
          <t>785f06bf1929474a</t>
        </is>
      </c>
      <c r="B93" s="24" t="inlineStr">
        <is>
          <t>2026-08-12T14:37:37.206527Z</t>
        </is>
      </c>
      <c r="C93" s="24" t="inlineStr">
        <is>
          <t>2026-08-12T16:00:00Z</t>
        </is>
      </c>
      <c r="D93" s="24" t="inlineStr">
        <is>
          <t>77168</t>
        </is>
      </c>
      <c r="E93" s="24" t="inlineStr">
        <is>
          <t>LOL</t>
        </is>
      </c>
      <c r="F93" s="24" t="inlineStr">
        <is>
          <t>TLN Pirates</t>
        </is>
      </c>
      <c r="G93" s="24" t="inlineStr">
        <is>
          <t>Ici Japon Corp. Esport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-138</v>
      </c>
      <c r="M93" s="27" t="n">
        <v>1.724638</v>
      </c>
      <c r="N93" s="28" t="n">
        <v>0.579832</v>
      </c>
      <c r="O93" s="28" t="n">
        <v>0.5449889999999999</v>
      </c>
      <c r="P93" s="28" t="n"/>
      <c r="Q93" s="28" t="n">
        <v>-0.034843</v>
      </c>
      <c r="R93" s="26" t="n">
        <v>3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-138</v>
      </c>
      <c r="AA93" s="28" t="n">
        <v>0.58</v>
      </c>
      <c r="AB93" s="28" t="n">
        <v>0.000168</v>
      </c>
      <c r="AC93" s="30" t="n">
        <v>0.7246</v>
      </c>
      <c r="AD93" s="24" t="inlineStr">
        <is>
          <t>2026-08-12T21:15:33.691084Z</t>
        </is>
      </c>
      <c r="AE93" s="31" t="inlineStr">
        <is>
          <t>Neutral Elo baseline; executable ask 0.5800 (market_slug=aec-lol-ijc-tlnp-2026-08-12).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TLN Pirates</t>
        </is>
      </c>
      <c r="AQ93" s="24" t="inlineStr">
        <is>
          <t>TLN Pirates</t>
        </is>
      </c>
      <c r="AR93" s="24" t="inlineStr">
        <is>
          <t>TLN Pirates</t>
        </is>
      </c>
      <c r="AS93" s="24" t="inlineStr">
        <is>
          <t>Ici Japon Corp. Esport</t>
        </is>
      </c>
      <c r="AT93" s="24" t="inlineStr">
        <is>
          <t>Ici Japon Corp. Esport</t>
        </is>
      </c>
      <c r="AU93" s="24" t="inlineStr">
        <is>
          <t>Ici Japon Corp. Esport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5d984128685f3b64d7a3d96ad1f15678400010a71505611bcd09049cf2b58fdd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5d984128685f3b64d7a3d96ad1f15678400010a71505611bcd09049cf2b58fdd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2026-08-12T14:37:12.027945Z</t>
        </is>
      </c>
      <c r="BI93" s="24" t="inlineStr">
        <is>
          <t>["same_event","same_team_same_day","same_league_same_day"]</t>
        </is>
      </c>
      <c r="BJ93" s="25" t="n"/>
      <c r="BK93" s="26" t="n">
        <v>-138</v>
      </c>
      <c r="BL93" s="27" t="n">
        <v>1.724638</v>
      </c>
      <c r="BM93" s="28" t="n">
        <v>0.579832</v>
      </c>
      <c r="BN93" s="28" t="n"/>
      <c r="BO93" s="28" t="n"/>
      <c r="BP93" s="25" t="n"/>
      <c r="BQ93" s="27" t="n">
        <v>1.724638</v>
      </c>
      <c r="BR93" s="28" t="n">
        <v>0.58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</row>
    <row r="94" ht="36" customHeight="1">
      <c r="A94" s="24" t="inlineStr">
        <is>
          <t>533f03244b664e0f</t>
        </is>
      </c>
      <c r="B94" s="24" t="inlineStr">
        <is>
          <t>2026-08-12T14:37:37.206527Z</t>
        </is>
      </c>
      <c r="C94" s="24" t="inlineStr">
        <is>
          <t>2026-08-12T16:00:00Z</t>
        </is>
      </c>
      <c r="D94" s="24" t="inlineStr">
        <is>
          <t>76408</t>
        </is>
      </c>
      <c r="E94" s="24" t="inlineStr">
        <is>
          <t>LOL</t>
        </is>
      </c>
      <c r="F94" s="24" t="inlineStr">
        <is>
          <t>JSK Esports</t>
        </is>
      </c>
      <c r="G94" s="24" t="inlineStr">
        <is>
          <t>Disruptors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0.540932</v>
      </c>
      <c r="P94" s="28" t="n"/>
      <c r="Q94" s="28" t="n">
        <v>0.200796</v>
      </c>
      <c r="R94" s="26" t="n">
        <v>100</v>
      </c>
      <c r="S94" s="29" t="n">
        <v>1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194</v>
      </c>
      <c r="AA94" s="28" t="n">
        <v>0.34</v>
      </c>
      <c r="AB94" s="28" t="n">
        <v>-0.000136</v>
      </c>
      <c r="AC94" s="30" t="n">
        <v>-1</v>
      </c>
      <c r="AD94" s="24" t="inlineStr">
        <is>
          <t>2026-08-12T21:15:35.413513Z</t>
        </is>
      </c>
      <c r="AE94" s="31" t="inlineStr">
        <is>
          <t>Neutral Elo baseline; executable ask 0.3400 (market_slug=aec-lol-ds-jsk-2026-08-12).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JSK Esports</t>
        </is>
      </c>
      <c r="AQ94" s="24" t="inlineStr">
        <is>
          <t>JSK Esports</t>
        </is>
      </c>
      <c r="AR94" s="24" t="inlineStr">
        <is>
          <t>JSK Esports</t>
        </is>
      </c>
      <c r="AS94" s="24" t="inlineStr">
        <is>
          <t>Disruptors</t>
        </is>
      </c>
      <c r="AT94" s="24" t="inlineStr">
        <is>
          <t>Disruptors</t>
        </is>
      </c>
      <c r="AU94" s="24" t="inlineStr">
        <is>
          <t>Disruptors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5d984128685f3b64d7a3d96ad1f15678400010a71505611bcd09049cf2b58fdd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5d984128685f3b64d7a3d96ad1f15678400010a71505611bcd09049cf2b58fdd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2026-08-12T14:37:12.998440Z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2.94</v>
      </c>
      <c r="BR94" s="28" t="n">
        <v>0.34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a4fad993689a40e8</t>
        </is>
      </c>
      <c r="B95" s="24" t="inlineStr">
        <is>
          <t>2026-08-12T14:37:37.206527Z</t>
        </is>
      </c>
      <c r="C95" s="24" t="inlineStr">
        <is>
          <t>2026-08-12T16:00:00Z</t>
        </is>
      </c>
      <c r="D95" s="24" t="inlineStr">
        <is>
          <t>76409</t>
        </is>
      </c>
      <c r="E95" s="24" t="inlineStr">
        <is>
          <t>LOL</t>
        </is>
      </c>
      <c r="F95" s="24" t="inlineStr">
        <is>
          <t>Rich Gang</t>
        </is>
      </c>
      <c r="G95" s="24" t="inlineStr">
        <is>
          <t>Volda E-Sport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0.502349</v>
      </c>
      <c r="P95" s="28" t="n"/>
      <c r="Q95" s="28" t="n">
        <v>-0.157515</v>
      </c>
      <c r="R95" s="26" t="n">
        <v>0</v>
      </c>
      <c r="S95" s="29" t="n">
        <v>1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0.5155</v>
      </c>
      <c r="AD95" s="24" t="inlineStr">
        <is>
          <t>2026-08-12T17:40:27.660360Z</t>
        </is>
      </c>
      <c r="AE95" s="31" t="inlineStr">
        <is>
          <t>Neutral Elo baseline; executable ask 0.6600 (market_slug=aec-lol-ves-rgi-2026-08-12).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NO_CALL_LOW_EDGE</t>
        </is>
      </c>
      <c r="AP95" s="24" t="inlineStr">
        <is>
          <t>Rich Gang</t>
        </is>
      </c>
      <c r="AQ95" s="24" t="inlineStr">
        <is>
          <t>Rich Gang</t>
        </is>
      </c>
      <c r="AR95" s="24" t="inlineStr">
        <is>
          <t>Rich Gang</t>
        </is>
      </c>
      <c r="AS95" s="24" t="inlineStr">
        <is>
          <t>Volda E-Sport</t>
        </is>
      </c>
      <c r="AT95" s="24" t="inlineStr">
        <is>
          <t>Volda E-Sport</t>
        </is>
      </c>
      <c r="AU95" s="24" t="inlineStr">
        <is>
          <t>Volda E-Sport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5d984128685f3b64d7a3d96ad1f15678400010a71505611bcd09049cf2b58fdd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5d984128685f3b64d7a3d96ad1f15678400010a71505611bcd09049cf2b58fdd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2026-08-12T14:37:13.498163Z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</row>
    <row r="96" ht="36" customHeight="1">
      <c r="A96" s="24" t="inlineStr">
        <is>
          <t>d06dd804b8744a79</t>
        </is>
      </c>
      <c r="B96" s="24" t="inlineStr">
        <is>
          <t>2026-08-12T17:44:54.191555Z</t>
        </is>
      </c>
      <c r="C96" s="24" t="inlineStr">
        <is>
          <t>2026-08-12T18:00:00Z</t>
        </is>
      </c>
      <c r="D96" s="24" t="inlineStr">
        <is>
          <t>76532</t>
        </is>
      </c>
      <c r="E96" s="24" t="inlineStr">
        <is>
          <t>LOL</t>
        </is>
      </c>
      <c r="F96" s="24" t="inlineStr">
        <is>
          <t>Capybara Esports</t>
        </is>
      </c>
      <c r="G96" s="24" t="inlineStr">
        <is>
          <t>Dream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0.517262</v>
      </c>
      <c r="P96" s="28" t="n"/>
      <c r="Q96" s="28" t="n">
        <v>-0.053553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2026-08-12T21:15:37.035242Z</t>
        </is>
      </c>
      <c r="AE96" s="31" t="inlineStr">
        <is>
          <t>Neutral Elo baseline; executable ask 0.5700 (market_slug=aec-lol-drm-capy-2026-08-12).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Capybara Esports</t>
        </is>
      </c>
      <c r="AQ96" s="24" t="inlineStr">
        <is>
          <t>Capybara Esports</t>
        </is>
      </c>
      <c r="AR96" s="24" t="inlineStr">
        <is>
          <t>Capybara Esports</t>
        </is>
      </c>
      <c r="AS96" s="24" t="inlineStr">
        <is>
          <t>Dream Esports</t>
        </is>
      </c>
      <c r="AT96" s="24" t="inlineStr">
        <is>
          <t>Dream Esports</t>
        </is>
      </c>
      <c r="AU96" s="24" t="inlineStr">
        <is>
          <t>Dream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698fbd14da7d032b3a980c8214767b8eb223167868cd2cea373258eb5e4ac7b4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698fbd14da7d032b3a980c8214767b8eb223167868cd2cea373258eb5e4ac7b4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2026-08-12T17:44:27.667035Z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db790799101d4783</t>
        </is>
      </c>
      <c r="B97" s="24" t="inlineStr">
        <is>
          <t>2026-08-12T17:44:54.191555Z</t>
        </is>
      </c>
      <c r="C97" s="24" t="inlineStr">
        <is>
          <t>2026-08-12T18:00:00Z</t>
        </is>
      </c>
      <c r="D97" s="24" t="inlineStr">
        <is>
          <t>76534</t>
        </is>
      </c>
      <c r="E97" s="24" t="inlineStr">
        <is>
          <t>LOL</t>
        </is>
      </c>
      <c r="F97" s="24" t="inlineStr">
        <is>
          <t>Absolved</t>
        </is>
      </c>
      <c r="G97" s="24" t="inlineStr">
        <is>
          <t>DMG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0.524795</v>
      </c>
      <c r="P97" s="28" t="n"/>
      <c r="Q97" s="28" t="n">
        <v>-0.155716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-213</v>
      </c>
      <c r="AA97" s="28" t="n">
        <v>0.68</v>
      </c>
      <c r="AB97" s="28" t="n">
        <v>-0.000511</v>
      </c>
      <c r="AC97" s="30" t="n">
        <v>0.4695</v>
      </c>
      <c r="AD97" s="24" t="inlineStr">
        <is>
          <t>2026-08-12T21:15:38.761337Z</t>
        </is>
      </c>
      <c r="AE97" s="31" t="inlineStr">
        <is>
          <t>Neutral Elo baseline; executable ask 0.6800 (market_slug=aec-lol-dmg-abs-2026-08-12).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Absolved</t>
        </is>
      </c>
      <c r="AQ97" s="24" t="inlineStr">
        <is>
          <t>Absolved</t>
        </is>
      </c>
      <c r="AR97" s="24" t="inlineStr">
        <is>
          <t>Absolved</t>
        </is>
      </c>
      <c r="AS97" s="24" t="inlineStr">
        <is>
          <t>DMG Esports</t>
        </is>
      </c>
      <c r="AT97" s="24" t="inlineStr">
        <is>
          <t>DMG Esports</t>
        </is>
      </c>
      <c r="AU97" s="24" t="inlineStr">
        <is>
          <t>DMG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698fbd14da7d032b3a980c8214767b8eb223167868cd2cea373258eb5e4ac7b4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698fbd14da7d032b3a980c8214767b8eb223167868cd2cea373258eb5e4ac7b4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2026-08-12T17:44:29.444227Z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>
        <v>1.469484</v>
      </c>
      <c r="BR97" s="28" t="n">
        <v>0.68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</row>
    <row r="98" ht="36" customHeight="1">
      <c r="A98" s="24" t="inlineStr">
        <is>
          <t>f63097df7b874a62</t>
        </is>
      </c>
      <c r="B98" s="24" t="inlineStr">
        <is>
          <t>2026-08-12T17:44:54.191555Z</t>
        </is>
      </c>
      <c r="C98" s="24" t="inlineStr">
        <is>
          <t>2026-08-12T20:00:00Z</t>
        </is>
      </c>
      <c r="D98" s="24" t="inlineStr">
        <is>
          <t>79456</t>
        </is>
      </c>
      <c r="E98" s="24" t="inlineStr">
        <is>
          <t>LOL</t>
        </is>
      </c>
      <c r="F98" s="24" t="inlineStr">
        <is>
          <t>RMD Gaming</t>
        </is>
      </c>
      <c r="G98" s="24" t="inlineStr">
        <is>
          <t>Team Solid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0.529083</v>
      </c>
      <c r="P98" s="28" t="n"/>
      <c r="Q98" s="28" t="n">
        <v>-0.09068900000000001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2026-08-13T05:34:42.876813Z</t>
        </is>
      </c>
      <c r="AE98" s="31" t="inlineStr">
        <is>
          <t>Neutral Elo baseline; executable ask 0.6200 (market_slug=aec-lol-tse-rmd-2026-08-12).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NO_CALL_LOW_EDGE</t>
        </is>
      </c>
      <c r="AP98" s="24" t="inlineStr">
        <is>
          <t>RMD Gaming</t>
        </is>
      </c>
      <c r="AQ98" s="24" t="inlineStr">
        <is>
          <t>RMD Gaming</t>
        </is>
      </c>
      <c r="AR98" s="24" t="inlineStr">
        <is>
          <t>RMD Gaming</t>
        </is>
      </c>
      <c r="AS98" s="24" t="inlineStr">
        <is>
          <t>Team Solid</t>
        </is>
      </c>
      <c r="AT98" s="24" t="inlineStr">
        <is>
          <t>Team Solid</t>
        </is>
      </c>
      <c r="AU98" s="24" t="inlineStr">
        <is>
          <t>Team Solid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698fbd14da7d032b3a980c8214767b8eb223167868cd2cea373258eb5e4ac7b4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698fbd14da7d032b3a980c8214767b8eb223167868cd2cea373258eb5e4ac7b4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2026-08-12T17:44:32.506392Z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</row>
    <row r="99" ht="36" customHeight="1">
      <c r="A99" s="24" t="inlineStr">
        <is>
          <t>3f69cf4190b24f47</t>
        </is>
      </c>
      <c r="B99" s="24" t="inlineStr">
        <is>
          <t>2026-08-12T17:44:54.191555Z</t>
        </is>
      </c>
      <c r="C99" s="24" t="inlineStr">
        <is>
          <t>2026-08-12T21:00:00Z</t>
        </is>
      </c>
      <c r="D99" s="24" t="inlineStr">
        <is>
          <t>76941</t>
        </is>
      </c>
      <c r="E99" s="24" t="inlineStr">
        <is>
          <t>LOL</t>
        </is>
      </c>
      <c r="F99" s="24" t="inlineStr">
        <is>
          <t>Dominion Goblins</t>
        </is>
      </c>
      <c r="G99" s="24" t="inlineStr">
        <is>
          <t>Bubliki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-104</v>
      </c>
      <c r="M99" s="27" t="n">
        <v>1.961538</v>
      </c>
      <c r="N99" s="28" t="n">
        <v>0.509804</v>
      </c>
      <c r="O99" s="28" t="n">
        <v>0.52057</v>
      </c>
      <c r="P99" s="28" t="n"/>
      <c r="Q99" s="28" t="n">
        <v>0.010766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-104</v>
      </c>
      <c r="AA99" s="28" t="n">
        <v>0.51</v>
      </c>
      <c r="AB99" s="28" t="n">
        <v>0.000196</v>
      </c>
      <c r="AC99" s="30" t="n">
        <v>-1</v>
      </c>
      <c r="AD99" s="24" t="inlineStr">
        <is>
          <t>2026-08-13T05:34:45.314104Z</t>
        </is>
      </c>
      <c r="AE99" s="31" t="inlineStr">
        <is>
          <t>Neutral Elo baseline; executable ask 0.5100 (market_slug=aec-lol-bub-domi-2026-08-12).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NO_CALL_LOW_EDGE</t>
        </is>
      </c>
      <c r="AP99" s="24" t="inlineStr">
        <is>
          <t>Dominion Goblins</t>
        </is>
      </c>
      <c r="AQ99" s="24" t="inlineStr">
        <is>
          <t>Dominion Goblins</t>
        </is>
      </c>
      <c r="AR99" s="24" t="inlineStr">
        <is>
          <t>Dominion Goblins</t>
        </is>
      </c>
      <c r="AS99" s="24" t="inlineStr">
        <is>
          <t>Bubliki</t>
        </is>
      </c>
      <c r="AT99" s="24" t="inlineStr">
        <is>
          <t>Bubliki</t>
        </is>
      </c>
      <c r="AU99" s="24" t="inlineStr">
        <is>
          <t>Bubliki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698fbd14da7d032b3a980c8214767b8eb223167868cd2cea373258eb5e4ac7b4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698fbd14da7d032b3a980c8214767b8eb223167868cd2cea373258eb5e4ac7b4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2026-08-12T17:44:33.295086Z</t>
        </is>
      </c>
      <c r="BI99" s="24" t="inlineStr">
        <is>
          <t>["same_event","same_team_same_day","same_league_same_day"]</t>
        </is>
      </c>
      <c r="BJ99" s="25" t="n"/>
      <c r="BK99" s="26" t="n">
        <v>-104</v>
      </c>
      <c r="BL99" s="27" t="n">
        <v>1.961538</v>
      </c>
      <c r="BM99" s="28" t="n">
        <v>0.509804</v>
      </c>
      <c r="BN99" s="28" t="n"/>
      <c r="BO99" s="28" t="n"/>
      <c r="BP99" s="25" t="n"/>
      <c r="BQ99" s="27" t="n">
        <v>1.961538</v>
      </c>
      <c r="BR99" s="28" t="n">
        <v>0.51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ccad665caa264287</t>
        </is>
      </c>
      <c r="B100" s="24" t="inlineStr">
        <is>
          <t>2026-08-12T21:33:50.682408Z</t>
        </is>
      </c>
      <c r="C100" s="24" t="inlineStr">
        <is>
          <t>2026-08-13T00:00:00Z</t>
        </is>
      </c>
      <c r="D100" s="24" t="inlineStr">
        <is>
          <t>77049</t>
        </is>
      </c>
      <c r="E100" s="24" t="inlineStr">
        <is>
          <t>LOL</t>
        </is>
      </c>
      <c r="F100" s="24" t="inlineStr">
        <is>
          <t>CCG Esports</t>
        </is>
      </c>
      <c r="G100" s="24" t="inlineStr">
        <is>
          <t>Conviction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0.6314340000000001</v>
      </c>
      <c r="P100" s="28" t="n"/>
      <c r="Q100" s="28" t="n">
        <v>-0.06826599999999999</v>
      </c>
      <c r="R100" s="26" t="n">
        <v>0</v>
      </c>
      <c r="S100" s="29" t="n">
        <v>1.5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-1.5</v>
      </c>
      <c r="AD100" s="24" t="inlineStr">
        <is>
          <t>2026-08-13T05:34:48.043661Z</t>
        </is>
      </c>
      <c r="AE100" s="31" t="inlineStr">
        <is>
          <t>Neutral Elo baseline; executable ask 0.7000 (market_slug=aec-lol-cnv-ccg-2026-08-13).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NO_CALL_LOW_EDGE</t>
        </is>
      </c>
      <c r="AP100" s="24" t="inlineStr">
        <is>
          <t>CCG Esports</t>
        </is>
      </c>
      <c r="AQ100" s="24" t="inlineStr">
        <is>
          <t>CCG Esports</t>
        </is>
      </c>
      <c r="AR100" s="24" t="inlineStr">
        <is>
          <t>CCG Esports</t>
        </is>
      </c>
      <c r="AS100" s="24" t="inlineStr">
        <is>
          <t>Conviction</t>
        </is>
      </c>
      <c r="AT100" s="24" t="inlineStr">
        <is>
          <t>Conviction</t>
        </is>
      </c>
      <c r="AU100" s="24" t="inlineStr">
        <is>
          <t>Conviction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2d532d5f60c2a7bfd12e6f32f876f72fdd16c8e21504e1273ad472f37a538927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2d532d5f60c2a7bfd12e6f32f876f72fdd16c8e21504e1273ad472f37a538927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2026-08-12T21:33:38.359527Z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e22d728f51874e1c</t>
        </is>
      </c>
      <c r="B101" s="24" t="inlineStr">
        <is>
          <t>2026-08-12T21:33:50.682408Z</t>
        </is>
      </c>
      <c r="C101" s="24" t="inlineStr">
        <is>
          <t>2026-08-13T05:00:00Z</t>
        </is>
      </c>
      <c r="D101" s="24" t="inlineStr">
        <is>
          <t>77155</t>
        </is>
      </c>
      <c r="E101" s="24" t="inlineStr">
        <is>
          <t>LOL</t>
        </is>
      </c>
      <c r="F101" s="24" t="inlineStr">
        <is>
          <t>Nongshim Esports Academy</t>
        </is>
      </c>
      <c r="G101" s="24" t="inlineStr">
        <is>
          <t>KT Rolster Challengers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127</v>
      </c>
      <c r="M101" s="27" t="n">
        <v>2.27</v>
      </c>
      <c r="N101" s="28" t="n">
        <v>0.440529</v>
      </c>
      <c r="O101" s="28" t="n">
        <v>0.54421</v>
      </c>
      <c r="P101" s="28" t="n"/>
      <c r="Q101" s="28" t="n">
        <v>0.103681</v>
      </c>
      <c r="R101" s="26" t="n">
        <v>72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1.27</v>
      </c>
      <c r="AD101" s="24" t="inlineStr">
        <is>
          <t>2026-08-13T07:29:16.495433Z</t>
        </is>
      </c>
      <c r="AE101" s="31" t="inlineStr">
        <is>
          <t>Neutral Elo baseline; executable ask 0.4400 (market_slug=aec-lol-ktc-nsea-2026-08-13).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Nongshim Esports Academy</t>
        </is>
      </c>
      <c r="AQ101" s="24" t="inlineStr">
        <is>
          <t>Nongshim Esports Academy</t>
        </is>
      </c>
      <c r="AR101" s="24" t="inlineStr">
        <is>
          <t>Nongshim Esports Academy</t>
        </is>
      </c>
      <c r="AS101" s="24" t="inlineStr">
        <is>
          <t>KT Rolster Challengers</t>
        </is>
      </c>
      <c r="AT101" s="24" t="inlineStr">
        <is>
          <t>KT Rolster Challengers</t>
        </is>
      </c>
      <c r="AU101" s="24" t="inlineStr">
        <is>
          <t>KT Rolster Challengers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2d532d5f60c2a7bfd12e6f32f876f72fdd16c8e21504e1273ad472f37a538927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2d532d5f60c2a7bfd12e6f32f876f72fdd16c8e21504e1273ad472f37a538927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2026-08-12T21:33:38.916292Z</t>
        </is>
      </c>
      <c r="BI101" s="24" t="inlineStr">
        <is>
          <t>["same_event","same_team_same_day","same_league_same_day"]</t>
        </is>
      </c>
      <c r="BJ101" s="25" t="n"/>
      <c r="BK101" s="26" t="n">
        <v>127</v>
      </c>
      <c r="BL101" s="27" t="n">
        <v>2.27</v>
      </c>
      <c r="BM101" s="28" t="n">
        <v>0.440529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5a4f901a458c48b0</t>
        </is>
      </c>
      <c r="B102" s="24" t="inlineStr">
        <is>
          <t>2026-08-12T21:33:50.682408Z</t>
        </is>
      </c>
      <c r="C102" s="24" t="inlineStr">
        <is>
          <t>2026-08-14T00:00:00Z</t>
        </is>
      </c>
      <c r="D102" s="24" t="inlineStr">
        <is>
          <t>78062</t>
        </is>
      </c>
      <c r="E102" s="24" t="inlineStr">
        <is>
          <t>LOL</t>
        </is>
      </c>
      <c r="F102" s="24" t="inlineStr">
        <is>
          <t>Dorado Gaming</t>
        </is>
      </c>
      <c r="G102" s="24" t="inlineStr">
        <is>
          <t>University of Mississippi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150</v>
      </c>
      <c r="M102" s="27" t="n">
        <v>2.5</v>
      </c>
      <c r="N102" s="28" t="n">
        <v>0.4</v>
      </c>
      <c r="O102" s="28" t="n">
        <v>0.570554</v>
      </c>
      <c r="P102" s="28" t="n"/>
      <c r="Q102" s="28" t="n">
        <v>0.170554</v>
      </c>
      <c r="R102" s="26" t="n">
        <v>100</v>
      </c>
      <c r="S102" s="29" t="n">
        <v>1.25</v>
      </c>
      <c r="T102" s="24" t="inlineStr">
        <is>
          <t>lol-tiered-elo-v6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0.4000 (market_slug=aec-lol-miss-dog-2026-08-14).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Dorado Gaming</t>
        </is>
      </c>
      <c r="AQ102" s="24" t="inlineStr">
        <is>
          <t>Dorado Gaming</t>
        </is>
      </c>
      <c r="AR102" s="24" t="inlineStr">
        <is>
          <t>Dorado Gaming</t>
        </is>
      </c>
      <c r="AS102" s="24" t="inlineStr">
        <is>
          <t>University of Mississippi</t>
        </is>
      </c>
      <c r="AT102" s="24" t="inlineStr">
        <is>
          <t>University of Mississippi</t>
        </is>
      </c>
      <c r="AU102" s="24" t="inlineStr">
        <is>
          <t>University of Mississippi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2d532d5f60c2a7bfd12e6f32f876f72fdd16c8e21504e1273ad472f37a538927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2d532d5f60c2a7bfd12e6f32f876f72fdd16c8e21504e1273ad472f37a538927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2026-08-12T21:33:49.612741Z</t>
        </is>
      </c>
      <c r="BI102" s="24" t="inlineStr">
        <is>
          <t>["same_event","same_team_same_day","same_league_same_day"]</t>
        </is>
      </c>
      <c r="BJ102" s="25" t="n"/>
      <c r="BK102" s="26" t="n">
        <v>150</v>
      </c>
      <c r="BL102" s="27" t="n">
        <v>2.5</v>
      </c>
      <c r="BM102" s="28" t="n">
        <v>0.4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babca675d532464a</t>
        </is>
      </c>
      <c r="B103" s="24" t="inlineStr">
        <is>
          <t>2026-08-12T21:33:50.682408Z</t>
        </is>
      </c>
      <c r="C103" s="24" t="inlineStr">
        <is>
          <t>2026-08-14T03:00:00Z</t>
        </is>
      </c>
      <c r="D103" s="24" t="inlineStr">
        <is>
          <t>78153</t>
        </is>
      </c>
      <c r="E103" s="24" t="inlineStr">
        <is>
          <t>LOL</t>
        </is>
      </c>
      <c r="F103" s="24" t="inlineStr">
        <is>
          <t>Dplus KIA Challengers</t>
        </is>
      </c>
      <c r="G103" s="24" t="inlineStr">
        <is>
          <t>T1 Academy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-178</v>
      </c>
      <c r="M103" s="27" t="n">
        <v>1.561798</v>
      </c>
      <c r="N103" s="28" t="n">
        <v>0.640288</v>
      </c>
      <c r="O103" s="28" t="n">
        <v>0.505961</v>
      </c>
      <c r="P103" s="28" t="n"/>
      <c r="Q103" s="28" t="n">
        <v>-0.134327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0.6400 (market_slug=aec-lol-t1a-dkc-2026-08-14).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Dplus KIA Challengers</t>
        </is>
      </c>
      <c r="AQ103" s="24" t="inlineStr">
        <is>
          <t>Dplus KIA Challengers</t>
        </is>
      </c>
      <c r="AR103" s="24" t="inlineStr">
        <is>
          <t>Dplus KIA Challengers</t>
        </is>
      </c>
      <c r="AS103" s="24" t="inlineStr">
        <is>
          <t>T1 Academy</t>
        </is>
      </c>
      <c r="AT103" s="24" t="inlineStr">
        <is>
          <t>T1 Academy</t>
        </is>
      </c>
      <c r="AU103" s="24" t="inlineStr">
        <is>
          <t>T1 Academy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2d532d5f60c2a7bfd12e6f32f876f72fdd16c8e21504e1273ad472f37a538927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2d532d5f60c2a7bfd12e6f32f876f72fdd16c8e21504e1273ad472f37a538927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2026-08-12T21:33:50.681493Z</t>
        </is>
      </c>
      <c r="BI103" s="24" t="inlineStr">
        <is>
          <t>["same_event","same_team_same_day","same_league_same_day"]</t>
        </is>
      </c>
      <c r="BJ103" s="25" t="n"/>
      <c r="BK103" s="26" t="n">
        <v>-178</v>
      </c>
      <c r="BL103" s="27" t="n">
        <v>1.561798</v>
      </c>
      <c r="BM103" s="28" t="n">
        <v>0.640288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27ed3e00de024eb5</t>
        </is>
      </c>
      <c r="B104" s="24" t="inlineStr">
        <is>
          <t>2026-08-13T05:38:55.909616Z</t>
        </is>
      </c>
      <c r="C104" s="24" t="inlineStr">
        <is>
          <t>2026-08-13T07:00:00Z</t>
        </is>
      </c>
      <c r="D104" s="24" t="inlineStr">
        <is>
          <t>77160</t>
        </is>
      </c>
      <c r="E104" s="24" t="inlineStr">
        <is>
          <t>LOL</t>
        </is>
      </c>
      <c r="F104" s="24" t="inlineStr">
        <is>
          <t>Ninjas in Pyjamas</t>
        </is>
      </c>
      <c r="G104" s="24" t="inlineStr">
        <is>
          <t>Weibo Gaming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0.518703</v>
      </c>
      <c r="P104" s="28" t="n"/>
      <c r="Q104" s="28" t="n">
        <v>-0.030847</v>
      </c>
      <c r="R104" s="26" t="n">
        <v>5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-122</v>
      </c>
      <c r="AA104" s="28" t="n">
        <v>0.55</v>
      </c>
      <c r="AB104" s="28" t="n">
        <v>0.00045</v>
      </c>
      <c r="AC104" s="30" t="n">
        <v>0.8197</v>
      </c>
      <c r="AD104" s="24" t="inlineStr">
        <is>
          <t>2026-08-13T10:06:31.150848Z</t>
        </is>
      </c>
      <c r="AE104" s="31" t="inlineStr">
        <is>
          <t>Neutral Elo baseline; executable ask 0.5500 (market_slug=aec-lol-wb-nip-2026-08-13).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Ninjas in Pyjamas</t>
        </is>
      </c>
      <c r="AQ104" s="24" t="inlineStr">
        <is>
          <t>Ninjas in Pyjamas</t>
        </is>
      </c>
      <c r="AR104" s="24" t="inlineStr">
        <is>
          <t>Ninjas in Pyjamas</t>
        </is>
      </c>
      <c r="AS104" s="24" t="inlineStr">
        <is>
          <t>Weibo Gaming</t>
        </is>
      </c>
      <c r="AT104" s="24" t="inlineStr">
        <is>
          <t>Weibo Gaming</t>
        </is>
      </c>
      <c r="AU104" s="24" t="inlineStr">
        <is>
          <t>Weibo Gaming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e8240a873dde6d9de5c5ff053b7178f0055ae85b2e18a460574ddb8f6955d4c3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e8240a873dde6d9de5c5ff053b7178f0055ae85b2e18a460574ddb8f6955d4c3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2026-08-13T05:38:33.500058Z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>
        <v>1.819672</v>
      </c>
      <c r="BR104" s="28" t="n">
        <v>0.55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5ef4262f058f452d</t>
        </is>
      </c>
      <c r="B105" s="24" t="inlineStr">
        <is>
          <t>2026-08-13T07:33:45.748059Z</t>
        </is>
      </c>
      <c r="C105" s="24" t="inlineStr">
        <is>
          <t>2026-08-13T08:00:00Z</t>
        </is>
      </c>
      <c r="D105" s="24" t="inlineStr">
        <is>
          <t>77170</t>
        </is>
      </c>
      <c r="E105" s="24" t="inlineStr">
        <is>
          <t>LOL</t>
        </is>
      </c>
      <c r="F105" s="24" t="inlineStr">
        <is>
          <t>BNK FEARX</t>
        </is>
      </c>
      <c r="G105" s="24" t="inlineStr">
        <is>
          <t>Kiwoom DRX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0.527961</v>
      </c>
      <c r="P105" s="28" t="n"/>
      <c r="Q105" s="28" t="n">
        <v>-0.07203900000000001</v>
      </c>
      <c r="R105" s="26" t="n">
        <v>0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0.6667</v>
      </c>
      <c r="AD105" s="24" t="inlineStr">
        <is>
          <t>2026-08-13T10:36:09.121710Z</t>
        </is>
      </c>
      <c r="AE105" s="31" t="inlineStr">
        <is>
          <t>Neutral Elo baseline; executable ask 0.6000 (market_slug=aec-lol-krx-bfx-2026-08-13).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BNK FEARX</t>
        </is>
      </c>
      <c r="AQ105" s="24" t="inlineStr">
        <is>
          <t>BNK FEARX</t>
        </is>
      </c>
      <c r="AR105" s="24" t="inlineStr">
        <is>
          <t>BNK FEARX</t>
        </is>
      </c>
      <c r="AS105" s="24" t="inlineStr">
        <is>
          <t>Kiwoom DRX</t>
        </is>
      </c>
      <c r="AT105" s="24" t="inlineStr">
        <is>
          <t>Kiwoom DRX</t>
        </is>
      </c>
      <c r="AU105" s="24" t="inlineStr">
        <is>
          <t>Kiwoom DRX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ec253e009ebc51b870bf7dddd39f66de3de28259fdb77d4c257587dd29af8c61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ec253e009ebc51b870bf7dddd39f66de3de28259fdb77d4c257587dd29af8c61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2026-08-13T07:33:28.353653Z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  <row r="106" ht="36" customHeight="1">
      <c r="A106" s="24" t="inlineStr">
        <is>
          <t>0e564dda504444ce</t>
        </is>
      </c>
      <c r="B106" s="24" t="inlineStr">
        <is>
          <t>2026-08-13T07:33:45.748059Z</t>
        </is>
      </c>
      <c r="C106" s="24" t="inlineStr">
        <is>
          <t>2026-08-13T09:00:00Z</t>
        </is>
      </c>
      <c r="D106" s="24" t="inlineStr">
        <is>
          <t>77184</t>
        </is>
      </c>
      <c r="E106" s="24" t="inlineStr">
        <is>
          <t>LOL</t>
        </is>
      </c>
      <c r="F106" s="24" t="inlineStr">
        <is>
          <t>GAM Esports</t>
        </is>
      </c>
      <c r="G106" s="24" t="inlineStr">
        <is>
          <t>Deep Cross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-138</v>
      </c>
      <c r="M106" s="27" t="n">
        <v>1.724638</v>
      </c>
      <c r="N106" s="28" t="n">
        <v>0.579832</v>
      </c>
      <c r="O106" s="28" t="n">
        <v>0.505854</v>
      </c>
      <c r="P106" s="28" t="n"/>
      <c r="Q106" s="28" t="n">
        <v>-0.073978</v>
      </c>
      <c r="R106" s="26" t="n">
        <v>0</v>
      </c>
      <c r="S106" s="29" t="n">
        <v>1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-138</v>
      </c>
      <c r="AA106" s="28" t="n">
        <v>0.58</v>
      </c>
      <c r="AB106" s="28" t="n">
        <v>0.000168</v>
      </c>
      <c r="AC106" s="30" t="n">
        <v>0.7246</v>
      </c>
      <c r="AD106" s="24" t="inlineStr">
        <is>
          <t>2026-08-13T13:43:09.781430Z</t>
        </is>
      </c>
      <c r="AE106" s="31" t="inlineStr">
        <is>
          <t>Neutral Elo baseline; executable ask 0.5800 (market_slug=aec-lol-dcg-gam-2026-08-13).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GAM Esports</t>
        </is>
      </c>
      <c r="AQ106" s="24" t="inlineStr">
        <is>
          <t>GAM Esports</t>
        </is>
      </c>
      <c r="AR106" s="24" t="inlineStr">
        <is>
          <t>GAM Esports</t>
        </is>
      </c>
      <c r="AS106" s="24" t="inlineStr">
        <is>
          <t>Deep Cross Gaming</t>
        </is>
      </c>
      <c r="AT106" s="24" t="inlineStr">
        <is>
          <t>Deep Cross Gaming</t>
        </is>
      </c>
      <c r="AU106" s="24" t="inlineStr">
        <is>
          <t>Deep Cross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ec253e009ebc51b870bf7dddd39f66de3de28259fdb77d4c257587dd29af8c61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ec253e009ebc51b870bf7dddd39f66de3de28259fdb77d4c257587dd29af8c61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2026-08-13T07:33:29.453323Z</t>
        </is>
      </c>
      <c r="BI106" s="24" t="inlineStr">
        <is>
          <t>["same_event","same_team_same_day","same_league_same_day"]</t>
        </is>
      </c>
      <c r="BJ106" s="25" t="n"/>
      <c r="BK106" s="26" t="n">
        <v>-138</v>
      </c>
      <c r="BL106" s="27" t="n">
        <v>1.724638</v>
      </c>
      <c r="BM106" s="28" t="n">
        <v>0.579832</v>
      </c>
      <c r="BN106" s="28" t="n"/>
      <c r="BO106" s="28" t="n"/>
      <c r="BP106" s="25" t="n"/>
      <c r="BQ106" s="27" t="n">
        <v>1.724638</v>
      </c>
      <c r="BR106" s="28" t="n">
        <v>0.58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314ce18ff63249f5</t>
        </is>
      </c>
      <c r="B107" s="24" t="inlineStr">
        <is>
          <t>2026-08-13T07:33:45.748059Z</t>
        </is>
      </c>
      <c r="C107" s="24" t="inlineStr">
        <is>
          <t>2026-08-13T10:00:00Z</t>
        </is>
      </c>
      <c r="D107" s="24" t="inlineStr">
        <is>
          <t>77199</t>
        </is>
      </c>
      <c r="E107" s="24" t="inlineStr">
        <is>
          <t>LOL</t>
        </is>
      </c>
      <c r="F107" s="24" t="inlineStr">
        <is>
          <t>Hanwha Life Esports</t>
        </is>
      </c>
      <c r="G107" s="24" t="inlineStr">
        <is>
          <t>Gen.G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133</v>
      </c>
      <c r="M107" s="27" t="n">
        <v>2.33</v>
      </c>
      <c r="N107" s="28" t="n">
        <v>0.429185</v>
      </c>
      <c r="O107" s="28" t="n">
        <v>0.549515</v>
      </c>
      <c r="P107" s="28" t="n"/>
      <c r="Q107" s="28" t="n">
        <v>0.12033</v>
      </c>
      <c r="R107" s="26" t="n">
        <v>80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133</v>
      </c>
      <c r="AA107" s="28" t="n">
        <v>0.43</v>
      </c>
      <c r="AB107" s="28" t="n">
        <v>0.000815</v>
      </c>
      <c r="AC107" s="30" t="n">
        <v>-1</v>
      </c>
      <c r="AD107" s="24" t="inlineStr">
        <is>
          <t>2026-08-13T13:43:11.533636Z</t>
        </is>
      </c>
      <c r="AE107" s="31" t="inlineStr">
        <is>
          <t>Neutral Elo baseline; executable ask 0.4300 (market_slug=aec-lol-gen-hle-2026-08-13).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Hanwha Life Esports</t>
        </is>
      </c>
      <c r="AQ107" s="24" t="inlineStr">
        <is>
          <t>Hanwha Life Esports</t>
        </is>
      </c>
      <c r="AR107" s="24" t="inlineStr">
        <is>
          <t>Hanwha Life Esports</t>
        </is>
      </c>
      <c r="AS107" s="24" t="inlineStr">
        <is>
          <t>Gen.G</t>
        </is>
      </c>
      <c r="AT107" s="24" t="inlineStr">
        <is>
          <t>Gen.G</t>
        </is>
      </c>
      <c r="AU107" s="24" t="inlineStr">
        <is>
          <t>Gen.G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ec253e009ebc51b870bf7dddd39f66de3de28259fdb77d4c257587dd29af8c61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ec253e009ebc51b870bf7dddd39f66de3de28259fdb77d4c257587dd29af8c61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2026-08-13T07:33:30.003386Z</t>
        </is>
      </c>
      <c r="BI107" s="24" t="inlineStr">
        <is>
          <t>["same_event","same_team_same_day","same_league_same_day"]</t>
        </is>
      </c>
      <c r="BJ107" s="25" t="n"/>
      <c r="BK107" s="26" t="n">
        <v>133</v>
      </c>
      <c r="BL107" s="27" t="n">
        <v>2.33</v>
      </c>
      <c r="BM107" s="28" t="n">
        <v>0.429185</v>
      </c>
      <c r="BN107" s="28" t="n"/>
      <c r="BO107" s="28" t="n"/>
      <c r="BP107" s="25" t="n"/>
      <c r="BQ107" s="27" t="n">
        <v>2.33</v>
      </c>
      <c r="BR107" s="28" t="n">
        <v>0.43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a314f00bf45340dd</t>
        </is>
      </c>
      <c r="B108" s="24" t="inlineStr">
        <is>
          <t>2026-08-13T13:47:27.260608Z</t>
        </is>
      </c>
      <c r="C108" s="24" t="inlineStr">
        <is>
          <t>2026-08-13T14:30:00Z</t>
        </is>
      </c>
      <c r="D108" s="24" t="inlineStr">
        <is>
          <t>80404</t>
        </is>
      </c>
      <c r="E108" s="24" t="inlineStr">
        <is>
          <t>LOL</t>
        </is>
      </c>
      <c r="F108" s="24" t="inlineStr">
        <is>
          <t>Team Phoenix</t>
        </is>
      </c>
      <c r="G108" s="24" t="inlineStr">
        <is>
          <t>Shark Attack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203</v>
      </c>
      <c r="M108" s="27" t="n">
        <v>3.03</v>
      </c>
      <c r="N108" s="28" t="n">
        <v>0.330033</v>
      </c>
      <c r="O108" s="28" t="n">
        <v>0.597109</v>
      </c>
      <c r="P108" s="28" t="n"/>
      <c r="Q108" s="28" t="n">
        <v>0.267076</v>
      </c>
      <c r="R108" s="26" t="n">
        <v>100</v>
      </c>
      <c r="S108" s="29" t="n">
        <v>1.25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203</v>
      </c>
      <c r="AA108" s="28" t="n">
        <v>0.33</v>
      </c>
      <c r="AB108" s="28" t="n">
        <v>-3.3e-05</v>
      </c>
      <c r="AC108" s="30" t="n">
        <v>-1.25</v>
      </c>
      <c r="AD108" s="24" t="inlineStr">
        <is>
          <t>2026-08-13T16:49:44.358406Z</t>
        </is>
      </c>
      <c r="AE108" s="31" t="inlineStr">
        <is>
          <t>Neutral Elo baseline; executable ask 0.3300 (market_slug=aec-lol-sha-phx-2026-08-13).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Team Phoenix</t>
        </is>
      </c>
      <c r="AQ108" s="24" t="inlineStr">
        <is>
          <t>Team Phoenix</t>
        </is>
      </c>
      <c r="AR108" s="24" t="inlineStr">
        <is>
          <t>Team Phoenix</t>
        </is>
      </c>
      <c r="AS108" s="24" t="inlineStr">
        <is>
          <t>Shark Attack</t>
        </is>
      </c>
      <c r="AT108" s="24" t="inlineStr">
        <is>
          <t>Shark Attack</t>
        </is>
      </c>
      <c r="AU108" s="24" t="inlineStr">
        <is>
          <t>Shark Attack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6023d4021b40a650776f8cf8855b72ed9aa87236a16daed15de976c649ced69c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6023d4021b40a650776f8cf8855b72ed9aa87236a16daed15de976c649ced69c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2026-08-13T13:47:13.491111Z</t>
        </is>
      </c>
      <c r="BI108" s="24" t="inlineStr">
        <is>
          <t>["same_event","same_team_same_day","same_league_same_day"]</t>
        </is>
      </c>
      <c r="BJ108" s="25" t="n"/>
      <c r="BK108" s="26" t="n">
        <v>203</v>
      </c>
      <c r="BL108" s="27" t="n">
        <v>3.03</v>
      </c>
      <c r="BM108" s="28" t="n">
        <v>0.330033</v>
      </c>
      <c r="BN108" s="28" t="n"/>
      <c r="BO108" s="28" t="n"/>
      <c r="BP108" s="25" t="n"/>
      <c r="BQ108" s="27" t="n">
        <v>3.03</v>
      </c>
      <c r="BR108" s="28" t="n">
        <v>0.33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85ae925c04ca4af5</t>
        </is>
      </c>
      <c r="B109" s="24" t="inlineStr">
        <is>
          <t>2026-08-13T13:47:27.260608Z</t>
        </is>
      </c>
      <c r="C109" s="24" t="inlineStr">
        <is>
          <t>2026-08-13T15:00:00Z</t>
        </is>
      </c>
      <c r="D109" s="24" t="inlineStr">
        <is>
          <t>80391</t>
        </is>
      </c>
      <c r="E109" s="24" t="inlineStr">
        <is>
          <t>LOL</t>
        </is>
      </c>
      <c r="F109" s="24" t="inlineStr">
        <is>
          <t>ROSSMANN Centaurs</t>
        </is>
      </c>
      <c r="G109" s="24" t="inlineStr">
        <is>
          <t>E WIE EINFACH E-SPORTS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0.714326</v>
      </c>
      <c r="P109" s="28" t="n"/>
      <c r="Q109" s="28" t="n">
        <v>0.06397600000000001</v>
      </c>
      <c r="R109" s="26" t="n">
        <v>52</v>
      </c>
      <c r="S109" s="29" t="n">
        <v>2</v>
      </c>
      <c r="T109" s="24" t="inlineStr">
        <is>
          <t>lol-tiered-elo-v6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0.6500 (market_slug=aec-lol-ewi-ross-2026-08-13).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ROSSMANN Centaurs</t>
        </is>
      </c>
      <c r="AQ109" s="24" t="inlineStr">
        <is>
          <t>ROSSMANN Centaurs</t>
        </is>
      </c>
      <c r="AR109" s="24" t="inlineStr">
        <is>
          <t>ROSSMANN Centaurs</t>
        </is>
      </c>
      <c r="AS109" s="24" t="inlineStr">
        <is>
          <t>E WIE EINFACH E-SPORTS</t>
        </is>
      </c>
      <c r="AT109" s="24" t="inlineStr">
        <is>
          <t>E WIE EINFACH E-SPORTS</t>
        </is>
      </c>
      <c r="AU109" s="24" t="inlineStr">
        <is>
          <t>E WIE EINFACH E-SPORTS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6023d4021b40a650776f8cf8855b72ed9aa87236a16daed15de976c649ced69c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6023d4021b40a650776f8cf8855b72ed9aa87236a16daed15de976c649ced69c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2026-08-13T13:47:14.010731Z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8dc8a0c6a3094cb7</t>
        </is>
      </c>
      <c r="B110" s="24" t="inlineStr">
        <is>
          <t>2026-08-13T17:16:31.277645Z</t>
        </is>
      </c>
      <c r="C110" s="24" t="inlineStr">
        <is>
          <t>2026-08-13T17:30:00Z</t>
        </is>
      </c>
      <c r="D110" s="24" t="inlineStr">
        <is>
          <t>77534</t>
        </is>
      </c>
      <c r="E110" s="24" t="inlineStr">
        <is>
          <t>LOL</t>
        </is>
      </c>
      <c r="F110" s="24" t="inlineStr">
        <is>
          <t>⁠Movistar KOI Fénix</t>
        </is>
      </c>
      <c r="G110" s="24" t="inlineStr">
        <is>
          <t>Team Heretics Academy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0.617549</v>
      </c>
      <c r="P110" s="28" t="n"/>
      <c r="Q110" s="28" t="n">
        <v>-0.002223</v>
      </c>
      <c r="R110" s="26" t="n">
        <v>19</v>
      </c>
      <c r="S110" s="29" t="n">
        <v>1.5</v>
      </c>
      <c r="T110" s="24" t="inlineStr">
        <is>
          <t>lol-tiered-elo-v6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0.6200 (market_slug=aec-lol-hrts-mkf-2026-08-13).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NO_CALL_LOW_EDGE</t>
        </is>
      </c>
      <c r="AP110" s="24" t="inlineStr">
        <is>
          <t>⁠Movistar KOI Fénix</t>
        </is>
      </c>
      <c r="AQ110" s="24" t="inlineStr">
        <is>
          <t>⁠Movistar KOI Fénix</t>
        </is>
      </c>
      <c r="AR110" s="24" t="inlineStr">
        <is>
          <t>⁠Movistar KOI Fénix</t>
        </is>
      </c>
      <c r="AS110" s="24" t="inlineStr">
        <is>
          <t>Team Heretics Academy</t>
        </is>
      </c>
      <c r="AT110" s="24" t="inlineStr">
        <is>
          <t>Team Heretics Academy</t>
        </is>
      </c>
      <c r="AU110" s="24" t="inlineStr">
        <is>
          <t>Team Heretics Academy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4da8cf8556dcb2f8db0165b0df47f474a10ecbe34301ea2884cb4d2ea0ed7ec7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4da8cf8556dcb2f8db0165b0df47f474a10ecbe34301ea2884cb4d2ea0ed7ec7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2026-08-13T17:16:20.915742Z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</row>
    <row r="111" ht="36" customHeight="1">
      <c r="A111" s="24" t="inlineStr">
        <is>
          <t>a54aaca76b2a497b</t>
        </is>
      </c>
      <c r="B111" s="24" t="inlineStr">
        <is>
          <t>2026-08-13T17:16:31.277645Z</t>
        </is>
      </c>
      <c r="C111" s="24" t="inlineStr">
        <is>
          <t>2026-08-13T18:00:00Z</t>
        </is>
      </c>
      <c r="D111" s="24" t="inlineStr">
        <is>
          <t>77543</t>
        </is>
      </c>
      <c r="E111" s="24" t="inlineStr">
        <is>
          <t>LOL</t>
        </is>
      </c>
      <c r="F111" s="24" t="inlineStr">
        <is>
          <t>NORTHERNGRADE ESPORTS</t>
        </is>
      </c>
      <c r="G111" s="24" t="inlineStr">
        <is>
          <t>The Otter Side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-144</v>
      </c>
      <c r="M111" s="27" t="n">
        <v>1.694444</v>
      </c>
      <c r="N111" s="28" t="n">
        <v>0.590164</v>
      </c>
      <c r="O111" s="28" t="n">
        <v>0.587537</v>
      </c>
      <c r="P111" s="28" t="n"/>
      <c r="Q111" s="28" t="n">
        <v>-0.002627</v>
      </c>
      <c r="R111" s="26" t="n">
        <v>19</v>
      </c>
      <c r="S111" s="29" t="n">
        <v>1.25</v>
      </c>
      <c r="T111" s="24" t="inlineStr">
        <is>
          <t>lol-tiered-elo-v6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0.5900 (market_slug=aec-lol-tos-nort-2026-08-13).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NORTHERNGRADE ESPORTS</t>
        </is>
      </c>
      <c r="AQ111" s="24" t="inlineStr">
        <is>
          <t>NORTHERNGRADE ESPORTS</t>
        </is>
      </c>
      <c r="AR111" s="24" t="inlineStr">
        <is>
          <t>NORTHERNGRADE ESPORTS</t>
        </is>
      </c>
      <c r="AS111" s="24" t="inlineStr">
        <is>
          <t>The Otter Side</t>
        </is>
      </c>
      <c r="AT111" s="24" t="inlineStr">
        <is>
          <t>The Otter Side</t>
        </is>
      </c>
      <c r="AU111" s="24" t="inlineStr">
        <is>
          <t>The Otter Side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4da8cf8556dcb2f8db0165b0df47f474a10ecbe34301ea2884cb4d2ea0ed7ec7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4da8cf8556dcb2f8db0165b0df47f474a10ecbe34301ea2884cb4d2ea0ed7ec7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2026-08-13T17:16:21.484237Z</t>
        </is>
      </c>
      <c r="BI111" s="24" t="inlineStr">
        <is>
          <t>["same_event","same_team_same_day","same_league_same_day"]</t>
        </is>
      </c>
      <c r="BJ111" s="25" t="n"/>
      <c r="BK111" s="26" t="n">
        <v>-144</v>
      </c>
      <c r="BL111" s="27" t="n">
        <v>1.694444</v>
      </c>
      <c r="BM111" s="28" t="n">
        <v>0.590164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11eea7fd78cd4965</t>
        </is>
      </c>
      <c r="B112" s="24" t="inlineStr">
        <is>
          <t>2026-08-13T17:16:31.277645Z</t>
        </is>
      </c>
      <c r="C112" s="24" t="inlineStr">
        <is>
          <t>2026-08-13T18:00:00Z</t>
        </is>
      </c>
      <c r="D112" s="24" t="inlineStr">
        <is>
          <t>77545</t>
        </is>
      </c>
      <c r="E112" s="24" t="inlineStr">
        <is>
          <t>LOL</t>
        </is>
      </c>
      <c r="F112" s="24" t="inlineStr">
        <is>
          <t>ZennIT</t>
        </is>
      </c>
      <c r="G112" s="24" t="inlineStr">
        <is>
          <t>Myth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100</v>
      </c>
      <c r="M112" s="27" t="n">
        <v>2</v>
      </c>
      <c r="N112" s="28" t="n">
        <v>0.5</v>
      </c>
      <c r="O112" s="28" t="n">
        <v>0.570819</v>
      </c>
      <c r="P112" s="28" t="n"/>
      <c r="Q112" s="28" t="n">
        <v>0.07081899999999999</v>
      </c>
      <c r="R112" s="26" t="n">
        <v>55</v>
      </c>
      <c r="S112" s="29" t="n">
        <v>1.25</v>
      </c>
      <c r="T112" s="24" t="inlineStr">
        <is>
          <t>lol-tiered-elo-v6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0.5000 (market_slug=aec-lol-myth-znt-2026-08-13).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ZennIT</t>
        </is>
      </c>
      <c r="AQ112" s="24" t="inlineStr">
        <is>
          <t>ZennIT</t>
        </is>
      </c>
      <c r="AR112" s="24" t="inlineStr">
        <is>
          <t>ZennIT</t>
        </is>
      </c>
      <c r="AS112" s="24" t="inlineStr">
        <is>
          <t>Myth Esports</t>
        </is>
      </c>
      <c r="AT112" s="24" t="inlineStr">
        <is>
          <t>Myth Esports</t>
        </is>
      </c>
      <c r="AU112" s="24" t="inlineStr">
        <is>
          <t>Myth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4da8cf8556dcb2f8db0165b0df47f474a10ecbe34301ea2884cb4d2ea0ed7ec7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4da8cf8556dcb2f8db0165b0df47f474a10ecbe34301ea2884cb4d2ea0ed7ec7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2026-08-13T17:16:22.513568Z</t>
        </is>
      </c>
      <c r="BI112" s="24" t="inlineStr">
        <is>
          <t>["same_event","same_team_same_day","same_league_same_day"]</t>
        </is>
      </c>
      <c r="BJ112" s="25" t="n"/>
      <c r="BK112" s="26" t="n">
        <v>100</v>
      </c>
      <c r="BL112" s="27" t="n">
        <v>2</v>
      </c>
      <c r="BM112" s="28" t="n">
        <v>0.5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</row>
    <row r="113" ht="36" customHeight="1">
      <c r="A113" s="24" t="inlineStr">
        <is>
          <t>e184e091251d4eb1</t>
        </is>
      </c>
      <c r="B113" s="24" t="inlineStr">
        <is>
          <t>2026-08-13T17:16:31.277645Z</t>
        </is>
      </c>
      <c r="C113" s="24" t="inlineStr">
        <is>
          <t>2026-08-13T21:00:00Z</t>
        </is>
      </c>
      <c r="D113" s="24" t="inlineStr">
        <is>
          <t>77941</t>
        </is>
      </c>
      <c r="E113" s="24" t="inlineStr">
        <is>
          <t>LOL</t>
        </is>
      </c>
      <c r="F113" s="24" t="inlineStr">
        <is>
          <t>Role Swappers</t>
        </is>
      </c>
      <c r="G113" s="24" t="inlineStr">
        <is>
          <t>ZeroZone Gaming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170</v>
      </c>
      <c r="M113" s="27" t="n">
        <v>2.7</v>
      </c>
      <c r="N113" s="28" t="n">
        <v>0.37037</v>
      </c>
      <c r="O113" s="28" t="n">
        <v>0.588318</v>
      </c>
      <c r="P113" s="28" t="n"/>
      <c r="Q113" s="28" t="n">
        <v>0.217948</v>
      </c>
      <c r="R113" s="26" t="n">
        <v>100</v>
      </c>
      <c r="S113" s="29" t="n">
        <v>1.25</v>
      </c>
      <c r="T113" s="24" t="inlineStr">
        <is>
          <t>lol-tiered-elo-v6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0.3700 (market_slug=aec-lol-zzg-role-2026-08-13).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Role Swappers</t>
        </is>
      </c>
      <c r="AQ113" s="24" t="inlineStr">
        <is>
          <t>Role Swappers</t>
        </is>
      </c>
      <c r="AR113" s="24" t="inlineStr">
        <is>
          <t>Role Swappers</t>
        </is>
      </c>
      <c r="AS113" s="24" t="inlineStr">
        <is>
          <t>ZeroZone Gaming</t>
        </is>
      </c>
      <c r="AT113" s="24" t="inlineStr">
        <is>
          <t>ZeroZone Gaming</t>
        </is>
      </c>
      <c r="AU113" s="24" t="inlineStr">
        <is>
          <t>ZeroZone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4da8cf8556dcb2f8db0165b0df47f474a10ecbe34301ea2884cb4d2ea0ed7ec7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4da8cf8556dcb2f8db0165b0df47f474a10ecbe34301ea2884cb4d2ea0ed7ec7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2026-08-13T17:16:23.614461Z</t>
        </is>
      </c>
      <c r="BI113" s="24" t="inlineStr">
        <is>
          <t>["same_event","same_team_same_day","same_league_same_day"]</t>
        </is>
      </c>
      <c r="BJ113" s="25" t="n"/>
      <c r="BK113" s="26" t="n">
        <v>170</v>
      </c>
      <c r="BL113" s="27" t="n">
        <v>2.7</v>
      </c>
      <c r="BM113" s="28" t="n">
        <v>0.37037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7bde02e43e1b4fa6</t>
        </is>
      </c>
      <c r="B114" s="24" t="inlineStr">
        <is>
          <t>2026-08-13T17:16:31.277645Z</t>
        </is>
      </c>
      <c r="C114" s="24" t="inlineStr">
        <is>
          <t>2026-08-13T21:00:00Z</t>
        </is>
      </c>
      <c r="D114" s="24" t="inlineStr">
        <is>
          <t>77945</t>
        </is>
      </c>
      <c r="E114" s="24" t="inlineStr">
        <is>
          <t>LOL</t>
        </is>
      </c>
      <c r="F114" s="24" t="inlineStr">
        <is>
          <t>Winthrop University</t>
        </is>
      </c>
      <c r="G114" s="24" t="inlineStr">
        <is>
          <t>Maryville University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-178</v>
      </c>
      <c r="M114" s="27" t="n">
        <v>1.561798</v>
      </c>
      <c r="N114" s="28" t="n">
        <v>0.640288</v>
      </c>
      <c r="O114" s="28" t="n">
        <v>0.588026</v>
      </c>
      <c r="P114" s="28" t="n"/>
      <c r="Q114" s="28" t="n">
        <v>-0.052262</v>
      </c>
      <c r="R114" s="26" t="n">
        <v>0</v>
      </c>
      <c r="S114" s="29" t="n">
        <v>1.25</v>
      </c>
      <c r="T114" s="24" t="inlineStr">
        <is>
          <t>lol-tiered-elo-v6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0.6400 (market_slug=aec-lol-mvu-wu-2026-08-13).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Winthrop University</t>
        </is>
      </c>
      <c r="AQ114" s="24" t="inlineStr">
        <is>
          <t>Winthrop University</t>
        </is>
      </c>
      <c r="AR114" s="24" t="inlineStr">
        <is>
          <t>Winthrop University</t>
        </is>
      </c>
      <c r="AS114" s="24" t="inlineStr">
        <is>
          <t>Maryville University</t>
        </is>
      </c>
      <c r="AT114" s="24" t="inlineStr">
        <is>
          <t>Maryville University</t>
        </is>
      </c>
      <c r="AU114" s="24" t="inlineStr">
        <is>
          <t>Maryville University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4da8cf8556dcb2f8db0165b0df47f474a10ecbe34301ea2884cb4d2ea0ed7ec7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4da8cf8556dcb2f8db0165b0df47f474a10ecbe34301ea2884cb4d2ea0ed7ec7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2026-08-13T17:16:24.108375Z</t>
        </is>
      </c>
      <c r="BI114" s="24" t="inlineStr">
        <is>
          <t>["same_event","same_team_same_day","same_league_same_day"]</t>
        </is>
      </c>
      <c r="BJ114" s="25" t="n"/>
      <c r="BK114" s="26" t="n">
        <v>-178</v>
      </c>
      <c r="BL114" s="27" t="n">
        <v>1.561798</v>
      </c>
      <c r="BM114" s="28" t="n">
        <v>0.640288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1820c1229d204f03</t>
        </is>
      </c>
      <c r="B115" s="24" t="inlineStr">
        <is>
          <t>2026-08-13T17:16:31.277645Z</t>
        </is>
      </c>
      <c r="C115" s="24" t="inlineStr">
        <is>
          <t>2026-08-14T05:00:00Z</t>
        </is>
      </c>
      <c r="D115" s="24" t="inlineStr">
        <is>
          <t>78185</t>
        </is>
      </c>
      <c r="E115" s="24" t="inlineStr">
        <is>
          <t>LOL</t>
        </is>
      </c>
      <c r="F115" s="24" t="inlineStr">
        <is>
          <t>HANJIN BRION Challengers</t>
        </is>
      </c>
      <c r="G115" s="24" t="inlineStr">
        <is>
          <t>BNK FearX Youth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-150</v>
      </c>
      <c r="M115" s="27" t="n">
        <v>1.666667</v>
      </c>
      <c r="N115" s="28" t="n">
        <v>0.6</v>
      </c>
      <c r="O115" s="28" t="n">
        <v>0.685345</v>
      </c>
      <c r="P115" s="28" t="n"/>
      <c r="Q115" s="28" t="n">
        <v>0.085345</v>
      </c>
      <c r="R115" s="26" t="n">
        <v>63</v>
      </c>
      <c r="S115" s="29" t="n">
        <v>2</v>
      </c>
      <c r="T115" s="24" t="inlineStr">
        <is>
          <t>lol-tiered-elo-v6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0.6000 (market_slug=aec-lol-foxy-hbc-2026-08-14).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HANJIN BRION Challengers</t>
        </is>
      </c>
      <c r="AQ115" s="24" t="inlineStr">
        <is>
          <t>HANJIN BRION Challengers</t>
        </is>
      </c>
      <c r="AR115" s="24" t="inlineStr">
        <is>
          <t>HANJIN BRION Challengers</t>
        </is>
      </c>
      <c r="AS115" s="24" t="inlineStr">
        <is>
          <t>BNK FearX Youth</t>
        </is>
      </c>
      <c r="AT115" s="24" t="inlineStr">
        <is>
          <t>BNK FearX Youth</t>
        </is>
      </c>
      <c r="AU115" s="24" t="inlineStr">
        <is>
          <t>BNK FearX Youth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4da8cf8556dcb2f8db0165b0df47f474a10ecbe34301ea2884cb4d2ea0ed7ec7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4da8cf8556dcb2f8db0165b0df47f474a10ecbe34301ea2884cb4d2ea0ed7ec7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2026-08-13T17:16:26.296608Z</t>
        </is>
      </c>
      <c r="BI115" s="24" t="inlineStr">
        <is>
          <t>["same_event","same_team_same_day","same_league_same_day"]</t>
        </is>
      </c>
      <c r="BJ115" s="25" t="n"/>
      <c r="BK115" s="26" t="n">
        <v>-150</v>
      </c>
      <c r="BL115" s="27" t="n">
        <v>1.666667</v>
      </c>
      <c r="BM115" s="28" t="n">
        <v>0.6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0e10da5796534032</t>
        </is>
      </c>
      <c r="B116" s="24" t="inlineStr">
        <is>
          <t>2026-08-13T17:16:31.277645Z</t>
        </is>
      </c>
      <c r="C116" s="24" t="inlineStr">
        <is>
          <t>2026-08-14T07:00:00Z</t>
        </is>
      </c>
      <c r="D116" s="24" t="inlineStr">
        <is>
          <t>78190</t>
        </is>
      </c>
      <c r="E116" s="24" t="inlineStr">
        <is>
          <t>LOL</t>
        </is>
      </c>
      <c r="F116" s="24" t="inlineStr">
        <is>
          <t>LGD Gaming</t>
        </is>
      </c>
      <c r="G116" s="24" t="inlineStr">
        <is>
          <t>EDward Gaming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0.545277</v>
      </c>
      <c r="P116" s="28" t="n"/>
      <c r="Q116" s="28" t="n">
        <v>-0.114587</v>
      </c>
      <c r="R116" s="26" t="n">
        <v>0</v>
      </c>
      <c r="S116" s="29" t="n">
        <v>1</v>
      </c>
      <c r="T116" s="24" t="inlineStr">
        <is>
          <t>lol-tiered-elo-v6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0.6600 (market_slug=aec-lol-edg-lgd-2026-08-14).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LGD Gaming</t>
        </is>
      </c>
      <c r="AQ116" s="24" t="inlineStr">
        <is>
          <t>LGD Gaming</t>
        </is>
      </c>
      <c r="AR116" s="24" t="inlineStr">
        <is>
          <t>LGD Gaming</t>
        </is>
      </c>
      <c r="AS116" s="24" t="inlineStr">
        <is>
          <t>EDward Gaming</t>
        </is>
      </c>
      <c r="AT116" s="24" t="inlineStr">
        <is>
          <t>EDward Gaming</t>
        </is>
      </c>
      <c r="AU116" s="24" t="inlineStr">
        <is>
          <t>EDward Gaming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4da8cf8556dcb2f8db0165b0df47f474a10ecbe34301ea2884cb4d2ea0ed7ec7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4da8cf8556dcb2f8db0165b0df47f474a10ecbe34301ea2884cb4d2ea0ed7ec7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2026-08-13T17:16:26.903506Z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274176cbe5d942e3</t>
        </is>
      </c>
      <c r="B117" s="24" t="inlineStr">
        <is>
          <t>2026-08-13T17:16:31.277645Z</t>
        </is>
      </c>
      <c r="C117" s="24" t="inlineStr">
        <is>
          <t>2026-08-14T08:00:00Z</t>
        </is>
      </c>
      <c r="D117" s="24" t="inlineStr">
        <is>
          <t>78197</t>
        </is>
      </c>
      <c r="E117" s="24" t="inlineStr">
        <is>
          <t>LOL</t>
        </is>
      </c>
      <c r="F117" s="24" t="inlineStr">
        <is>
          <t>Dplus KIA</t>
        </is>
      </c>
      <c r="G117" s="24" t="inlineStr">
        <is>
          <t>T1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-144</v>
      </c>
      <c r="M117" s="27" t="n">
        <v>1.694444</v>
      </c>
      <c r="N117" s="28" t="n">
        <v>0.590164</v>
      </c>
      <c r="O117" s="28" t="n">
        <v>0.559296</v>
      </c>
      <c r="P117" s="28" t="n"/>
      <c r="Q117" s="28" t="n">
        <v>-0.030868</v>
      </c>
      <c r="R117" s="26" t="n">
        <v>5</v>
      </c>
      <c r="S117" s="29" t="n">
        <v>1</v>
      </c>
      <c r="T117" s="24" t="inlineStr">
        <is>
          <t>lol-tiered-elo-v6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0.5900 (market_slug=aec-lol-t1-dk-2026-08-14).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Dplus KIA</t>
        </is>
      </c>
      <c r="AQ117" s="24" t="inlineStr">
        <is>
          <t>Dplus KIA</t>
        </is>
      </c>
      <c r="AR117" s="24" t="inlineStr">
        <is>
          <t>Dplus KIA</t>
        </is>
      </c>
      <c r="AS117" s="24" t="inlineStr">
        <is>
          <t>T1</t>
        </is>
      </c>
      <c r="AT117" s="24" t="inlineStr">
        <is>
          <t>T1</t>
        </is>
      </c>
      <c r="AU117" s="24" t="inlineStr">
        <is>
          <t>T1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4da8cf8556dcb2f8db0165b0df47f474a10ecbe34301ea2884cb4d2ea0ed7ec7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4da8cf8556dcb2f8db0165b0df47f474a10ecbe34301ea2884cb4d2ea0ed7ec7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2026-08-13T17:16:27.398875Z</t>
        </is>
      </c>
      <c r="BI117" s="24" t="inlineStr">
        <is>
          <t>["same_event","same_team_same_day","same_league_same_day"]</t>
        </is>
      </c>
      <c r="BJ117" s="25" t="n"/>
      <c r="BK117" s="26" t="n">
        <v>-144</v>
      </c>
      <c r="BL117" s="27" t="n">
        <v>1.694444</v>
      </c>
      <c r="BM117" s="28" t="n">
        <v>0.590164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d8a6d9d6aa75461f</t>
        </is>
      </c>
      <c r="B118" s="24" t="inlineStr">
        <is>
          <t>2026-08-13T17:16:31.277645Z</t>
        </is>
      </c>
      <c r="C118" s="24" t="inlineStr">
        <is>
          <t>2026-08-14T09:00:00Z</t>
        </is>
      </c>
      <c r="D118" s="24" t="inlineStr">
        <is>
          <t>78212</t>
        </is>
      </c>
      <c r="E118" s="24" t="inlineStr">
        <is>
          <t>LOL</t>
        </is>
      </c>
      <c r="F118" s="24" t="inlineStr">
        <is>
          <t>Top Esports</t>
        </is>
      </c>
      <c r="G118" s="24" t="inlineStr">
        <is>
          <t>Team WE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-233</v>
      </c>
      <c r="M118" s="27" t="n">
        <v>1.429185</v>
      </c>
      <c r="N118" s="28" t="n">
        <v>0.6997</v>
      </c>
      <c r="O118" s="28" t="n">
        <v>0.663527</v>
      </c>
      <c r="P118" s="28" t="n"/>
      <c r="Q118" s="28" t="n">
        <v>-0.036173</v>
      </c>
      <c r="R118" s="26" t="n">
        <v>2</v>
      </c>
      <c r="S118" s="29" t="n">
        <v>1.75</v>
      </c>
      <c r="T118" s="24" t="inlineStr">
        <is>
          <t>lol-tiered-elo-v6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0.7000 (market_slug=aec-lol-we-tes-2026-08-14).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Top Esports</t>
        </is>
      </c>
      <c r="AQ118" s="24" t="inlineStr">
        <is>
          <t>Top Esports</t>
        </is>
      </c>
      <c r="AR118" s="24" t="inlineStr">
        <is>
          <t>Top Esports</t>
        </is>
      </c>
      <c r="AS118" s="24" t="inlineStr">
        <is>
          <t>Team WE</t>
        </is>
      </c>
      <c r="AT118" s="24" t="inlineStr">
        <is>
          <t>Team WE</t>
        </is>
      </c>
      <c r="AU118" s="24" t="inlineStr">
        <is>
          <t>Team WE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4da8cf8556dcb2f8db0165b0df47f474a10ecbe34301ea2884cb4d2ea0ed7ec7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4da8cf8556dcb2f8db0165b0df47f474a10ecbe34301ea2884cb4d2ea0ed7ec7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2026-08-13T17:16:27.977051Z</t>
        </is>
      </c>
      <c r="BI118" s="24" t="inlineStr">
        <is>
          <t>["same_event","same_team_same_day","same_league_same_day"]</t>
        </is>
      </c>
      <c r="BJ118" s="25" t="n"/>
      <c r="BK118" s="26" t="n">
        <v>-233</v>
      </c>
      <c r="BL118" s="27" t="n">
        <v>1.429185</v>
      </c>
      <c r="BM118" s="28" t="n">
        <v>0.6997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</row>
    <row r="119" ht="36" customHeight="1">
      <c r="A119" s="24" t="inlineStr">
        <is>
          <t>c53c2494d3bf4378</t>
        </is>
      </c>
      <c r="B119" s="24" t="inlineStr">
        <is>
          <t>2026-08-13T17:16:31.277645Z</t>
        </is>
      </c>
      <c r="C119" s="24" t="inlineStr">
        <is>
          <t>2026-08-14T09:00:00Z</t>
        </is>
      </c>
      <c r="D119" s="24" t="inlineStr">
        <is>
          <t>78211</t>
        </is>
      </c>
      <c r="E119" s="24" t="inlineStr">
        <is>
          <t>LOL</t>
        </is>
      </c>
      <c r="F119" s="24" t="inlineStr">
        <is>
          <t>CTBC Flying Oyster</t>
        </is>
      </c>
      <c r="G119" s="24" t="inlineStr">
        <is>
          <t>MVK Esports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-122</v>
      </c>
      <c r="M119" s="27" t="n">
        <v>1.819672</v>
      </c>
      <c r="N119" s="28" t="n">
        <v>0.54955</v>
      </c>
      <c r="O119" s="28" t="n">
        <v>0.562003</v>
      </c>
      <c r="P119" s="28" t="n"/>
      <c r="Q119" s="28" t="n">
        <v>0.012453</v>
      </c>
      <c r="R119" s="26" t="n">
        <v>26</v>
      </c>
      <c r="S119" s="29" t="n">
        <v>1</v>
      </c>
      <c r="T119" s="24" t="inlineStr">
        <is>
          <t>lol-tiered-elo-v6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0.5500 (market_slug=aec-lol-mvk-cfo-2026-08-14).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CTBC Flying Oyster</t>
        </is>
      </c>
      <c r="AQ119" s="24" t="inlineStr">
        <is>
          <t>CTBC Flying Oyster</t>
        </is>
      </c>
      <c r="AR119" s="24" t="inlineStr">
        <is>
          <t>CTBC Flying Oyster</t>
        </is>
      </c>
      <c r="AS119" s="24" t="inlineStr">
        <is>
          <t>MVK Esports</t>
        </is>
      </c>
      <c r="AT119" s="24" t="inlineStr">
        <is>
          <t>MVK Esports</t>
        </is>
      </c>
      <c r="AU119" s="24" t="inlineStr">
        <is>
          <t>MVK Esports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4da8cf8556dcb2f8db0165b0df47f474a10ecbe34301ea2884cb4d2ea0ed7ec7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4da8cf8556dcb2f8db0165b0df47f474a10ecbe34301ea2884cb4d2ea0ed7ec7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2026-08-13T17:16:28.512681Z</t>
        </is>
      </c>
      <c r="BI119" s="24" t="inlineStr">
        <is>
          <t>["same_event","same_team_same_day","same_league_same_day"]</t>
        </is>
      </c>
      <c r="BJ119" s="25" t="n"/>
      <c r="BK119" s="26" t="n">
        <v>-122</v>
      </c>
      <c r="BL119" s="27" t="n">
        <v>1.819672</v>
      </c>
      <c r="BM119" s="28" t="n">
        <v>0.54955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</row>
    <row r="120" ht="36" customHeight="1">
      <c r="A120" s="24" t="inlineStr">
        <is>
          <t>7e4f9d9e59a146d8</t>
        </is>
      </c>
      <c r="B120" s="24" t="inlineStr">
        <is>
          <t>2026-08-13T17:16:31.277645Z</t>
        </is>
      </c>
      <c r="C120" s="24" t="inlineStr">
        <is>
          <t>2026-08-14T10:00:00Z</t>
        </is>
      </c>
      <c r="D120" s="24" t="inlineStr">
        <is>
          <t>78233</t>
        </is>
      </c>
      <c r="E120" s="24" t="inlineStr">
        <is>
          <t>LOL</t>
        </is>
      </c>
      <c r="F120" s="24" t="inlineStr">
        <is>
          <t>HANJIN BRION</t>
        </is>
      </c>
      <c r="G120" s="24" t="inlineStr">
        <is>
          <t>Nongshim Red Force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0.620641</v>
      </c>
      <c r="P120" s="28" t="n"/>
      <c r="Q120" s="28" t="n">
        <v>0.08147</v>
      </c>
      <c r="R120" s="26" t="n">
        <v>61</v>
      </c>
      <c r="S120" s="29" t="n">
        <v>1.5</v>
      </c>
      <c r="T120" s="24" t="inlineStr">
        <is>
          <t>lol-tiered-elo-v6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Neutral Elo baseline; executable ask 0.5400 (market_slug=aec-lol-ns-bro-2026-08-14).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HANJIN BRION</t>
        </is>
      </c>
      <c r="AQ120" s="24" t="inlineStr">
        <is>
          <t>HANJIN BRION</t>
        </is>
      </c>
      <c r="AR120" s="24" t="inlineStr">
        <is>
          <t>HANJIN BRION</t>
        </is>
      </c>
      <c r="AS120" s="24" t="inlineStr">
        <is>
          <t>Nongshim Red Force</t>
        </is>
      </c>
      <c r="AT120" s="24" t="inlineStr">
        <is>
          <t>Nongshim Red Force</t>
        </is>
      </c>
      <c r="AU120" s="24" t="inlineStr">
        <is>
          <t>Nongshim Red Force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4da8cf8556dcb2f8db0165b0df47f474a10ecbe34301ea2884cb4d2ea0ed7ec7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4da8cf8556dcb2f8db0165b0df47f474a10ecbe34301ea2884cb4d2ea0ed7ec7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2026-08-13T17:16:29.006404Z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e078685095c94b3e</t>
        </is>
      </c>
      <c r="B121" s="24" t="inlineStr">
        <is>
          <t>2026-08-13T17:16:31.277645Z</t>
        </is>
      </c>
      <c r="C121" s="24" t="inlineStr">
        <is>
          <t>2026-08-14T11:00:00Z</t>
        </is>
      </c>
      <c r="D121" s="24" t="inlineStr">
        <is>
          <t>78279</t>
        </is>
      </c>
      <c r="E121" s="24" t="inlineStr">
        <is>
          <t>LOL</t>
        </is>
      </c>
      <c r="F121" s="24" t="inlineStr">
        <is>
          <t>JD Gaming</t>
        </is>
      </c>
      <c r="G121" s="24" t="inlineStr">
        <is>
          <t>Anyone's Legend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-144</v>
      </c>
      <c r="M121" s="27" t="n">
        <v>1.694444</v>
      </c>
      <c r="N121" s="28" t="n">
        <v>0.590164</v>
      </c>
      <c r="O121" s="28" t="n">
        <v>0.576623</v>
      </c>
      <c r="P121" s="28" t="n"/>
      <c r="Q121" s="28" t="n">
        <v>-0.013541</v>
      </c>
      <c r="R121" s="26" t="n">
        <v>13</v>
      </c>
      <c r="S121" s="29" t="n">
        <v>1.25</v>
      </c>
      <c r="T121" s="24" t="inlineStr">
        <is>
          <t>lol-tiered-elo-v6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Neutral Elo baseline; executable ask 0.5900 (market_slug=aec-lol-al-jdg-2026-08-14).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JD Gaming</t>
        </is>
      </c>
      <c r="AQ121" s="24" t="inlineStr">
        <is>
          <t>JD Gaming</t>
        </is>
      </c>
      <c r="AR121" s="24" t="inlineStr">
        <is>
          <t>JD Gaming</t>
        </is>
      </c>
      <c r="AS121" s="24" t="inlineStr">
        <is>
          <t>Anyone's Legend</t>
        </is>
      </c>
      <c r="AT121" s="24" t="inlineStr">
        <is>
          <t>Anyone's Legend</t>
        </is>
      </c>
      <c r="AU121" s="24" t="inlineStr">
        <is>
          <t>Anyone's Legend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4da8cf8556dcb2f8db0165b0df47f474a10ecbe34301ea2884cb4d2ea0ed7ec7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4da8cf8556dcb2f8db0165b0df47f474a10ecbe34301ea2884cb4d2ea0ed7ec7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2026-08-13T17:16:29.515820Z</t>
        </is>
      </c>
      <c r="BI121" s="24" t="inlineStr">
        <is>
          <t>["same_event","same_team_same_day","same_league_same_day"]</t>
        </is>
      </c>
      <c r="BJ121" s="25" t="n"/>
      <c r="BK121" s="26" t="n">
        <v>-144</v>
      </c>
      <c r="BL121" s="27" t="n">
        <v>1.694444</v>
      </c>
      <c r="BM121" s="28" t="n">
        <v>0.590164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bc8ec3398f664b74</t>
        </is>
      </c>
      <c r="B122" s="24" t="inlineStr">
        <is>
          <t>2026-08-13T17:16:31.277645Z</t>
        </is>
      </c>
      <c r="C122" s="24" t="inlineStr">
        <is>
          <t>2026-08-14T15:00:00Z</t>
        </is>
      </c>
      <c r="D122" s="24" t="inlineStr">
        <is>
          <t>78280</t>
        </is>
      </c>
      <c r="E122" s="24" t="inlineStr">
        <is>
          <t>LOL</t>
        </is>
      </c>
      <c r="F122" s="24" t="inlineStr">
        <is>
          <t>SK Gaming</t>
        </is>
      </c>
      <c r="G122" s="24" t="inlineStr">
        <is>
          <t>Shifters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-122</v>
      </c>
      <c r="M122" s="27" t="n">
        <v>1.819672</v>
      </c>
      <c r="N122" s="28" t="n">
        <v>0.54955</v>
      </c>
      <c r="O122" s="28" t="n">
        <v>0.517088</v>
      </c>
      <c r="P122" s="28" t="n"/>
      <c r="Q122" s="28" t="n">
        <v>-0.032462</v>
      </c>
      <c r="R122" s="26" t="n">
        <v>4</v>
      </c>
      <c r="S122" s="29" t="n">
        <v>1</v>
      </c>
      <c r="T122" s="24" t="inlineStr">
        <is>
          <t>lol-tiered-elo-v6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0.5500 (market_slug=aec-lol-shft-sk-2026-08-14).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SK Gaming</t>
        </is>
      </c>
      <c r="AQ122" s="24" t="inlineStr">
        <is>
          <t>SK Gaming</t>
        </is>
      </c>
      <c r="AR122" s="24" t="inlineStr">
        <is>
          <t>SK Gaming</t>
        </is>
      </c>
      <c r="AS122" s="24" t="inlineStr">
        <is>
          <t>Shifters</t>
        </is>
      </c>
      <c r="AT122" s="24" t="inlineStr">
        <is>
          <t>Shifters</t>
        </is>
      </c>
      <c r="AU122" s="24" t="inlineStr">
        <is>
          <t>Shifters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4da8cf8556dcb2f8db0165b0df47f474a10ecbe34301ea2884cb4d2ea0ed7ec7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4da8cf8556dcb2f8db0165b0df47f474a10ecbe34301ea2884cb4d2ea0ed7ec7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2026-08-13T17:16:30.063855Z</t>
        </is>
      </c>
      <c r="BI122" s="24" t="inlineStr">
        <is>
          <t>["same_event","same_team_same_day","same_league_same_day"]</t>
        </is>
      </c>
      <c r="BJ122" s="25" t="n"/>
      <c r="BK122" s="26" t="n">
        <v>-122</v>
      </c>
      <c r="BL122" s="27" t="n">
        <v>1.819672</v>
      </c>
      <c r="BM122" s="28" t="n">
        <v>0.54955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990ccfc1c6a9470c</t>
        </is>
      </c>
      <c r="B123" s="24" t="inlineStr">
        <is>
          <t>2026-08-13T17:16:31.277645Z</t>
        </is>
      </c>
      <c r="C123" s="24" t="inlineStr">
        <is>
          <t>2026-08-14T17:15:00Z</t>
        </is>
      </c>
      <c r="D123" s="24" t="inlineStr">
        <is>
          <t>78750</t>
        </is>
      </c>
      <c r="E123" s="24" t="inlineStr">
        <is>
          <t>LOL</t>
        </is>
      </c>
      <c r="F123" s="24" t="inlineStr">
        <is>
          <t>Team Vitality</t>
        </is>
      </c>
      <c r="G123" s="24" t="inlineStr">
        <is>
          <t>GIANTX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-127</v>
      </c>
      <c r="M123" s="27" t="n">
        <v>1.787402</v>
      </c>
      <c r="N123" s="28" t="n">
        <v>0.5594710000000001</v>
      </c>
      <c r="O123" s="28" t="n">
        <v>0.51999</v>
      </c>
      <c r="P123" s="28" t="n"/>
      <c r="Q123" s="28" t="n">
        <v>-0.039481</v>
      </c>
      <c r="R123" s="26" t="n">
        <v>0</v>
      </c>
      <c r="S123" s="29" t="n">
        <v>1</v>
      </c>
      <c r="T123" s="24" t="inlineStr">
        <is>
          <t>lol-tiered-elo-v6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0.5600 (market_slug=aec-lol-gx-vit-2026-08-14).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NO_CALL_LOW_EDGE</t>
        </is>
      </c>
      <c r="AP123" s="24" t="inlineStr">
        <is>
          <t>Team Vitality</t>
        </is>
      </c>
      <c r="AQ123" s="24" t="inlineStr">
        <is>
          <t>Team Vitality</t>
        </is>
      </c>
      <c r="AR123" s="24" t="inlineStr">
        <is>
          <t>Team Vitality</t>
        </is>
      </c>
      <c r="AS123" s="24" t="inlineStr">
        <is>
          <t>GIANTX</t>
        </is>
      </c>
      <c r="AT123" s="24" t="inlineStr">
        <is>
          <t>GIANTX</t>
        </is>
      </c>
      <c r="AU123" s="24" t="inlineStr">
        <is>
          <t>GIANTX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4da8cf8556dcb2f8db0165b0df47f474a10ecbe34301ea2884cb4d2ea0ed7ec7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4da8cf8556dcb2f8db0165b0df47f474a10ecbe34301ea2884cb4d2ea0ed7ec7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2026-08-13T17:16:30.669887Z</t>
        </is>
      </c>
      <c r="BI123" s="24" t="inlineStr">
        <is>
          <t>["same_event","same_team_same_day","same_league_same_day"]</t>
        </is>
      </c>
      <c r="BJ123" s="25" t="n"/>
      <c r="BK123" s="26" t="n">
        <v>-127</v>
      </c>
      <c r="BL123" s="27" t="n">
        <v>1.787402</v>
      </c>
      <c r="BM123" s="28" t="n">
        <v>0.5594710000000001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2026-08-13T17:16:42Z</dcterms:created>
  <dcterms:modified xmlns:dcterms="http://purl.org/dc/terms/" xmlns:xsi="http://www.w3.org/2001/XMLSchema-instance" xsi:type="dcterms:W3CDTF">2026-08-13T17:16:42Z</dcterms:modified>
</cp:coreProperties>
</file>