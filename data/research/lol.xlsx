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R66" headerRowCount="1">
  <autoFilter ref="A1:CR66"/>
  <tableColumns count="96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rest_disparity"/>
    <tableColumn id="92" name="back_to_back_gap"/>
    <tableColumn id="93" name="games_last_7_gap"/>
    <tableColumn id="94" name="schedule_missingness"/>
    <tableColumn id="95" name="market_residual_probability"/>
    <tableColumn id="96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COUNTA('Picks'!$A$2:$A$66)</f>
        <v/>
      </c>
      <c r="C4" s="6">
        <f>COUNTIF('Picks'!$U$2:$U$66,"open")</f>
        <v/>
      </c>
      <c r="E4" s="6">
        <f>COUNTIF('Picks'!$U$2:$U$66,"settled")</f>
        <v/>
      </c>
      <c r="G4" s="6">
        <f>IF(COUNTIFS('Picks'!$U$2:$U$66,"settled",'Picks'!$V$2:$V$66,"win")+COUNTIFS('Picks'!$U$2:$U$66,"settled",'Picks'!$V$2:$V$66,"loss")&gt;=$L$2,"Ready","Insufficient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COUNTIF('Picks'!$BX$2:$BX$66,"&gt;0")</f>
        <v/>
      </c>
      <c r="C7" s="6">
        <f>COUNTIFS('Picks'!$BX$2:$BX$66,"&gt;0",'Picks'!$V$2:$V$66,"win")&amp;"-"&amp;COUNTIFS('Picks'!$BX$2:$BX$66,"&gt;0",'Picks'!$V$2:$V$66,"loss")</f>
        <v/>
      </c>
      <c r="E7" s="7">
        <f>IFERROR(COUNTIFS('Picks'!$BX$2:$BX$66,"&gt;0",'Picks'!$V$2:$V$66,"win")/(COUNTIFS('Picks'!$BX$2:$BX$66,"&gt;0",'Picks'!$V$2:$V$66,"win")+COUNTIFS('Picks'!$BX$2:$BX$66,"&gt;0",'Picks'!$V$2:$V$66,"loss")),0)</f>
        <v/>
      </c>
      <c r="G7" s="7">
        <f>IFERROR(SUM('Picks'!$BY$2:$BY$66)/SUM('Picks'!$BX$2:$BX$66),0)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SUM('Picks'!$BY$2:$BY$66)</f>
        <v/>
      </c>
      <c r="C10" s="9">
        <f>IFERROR(AVERAGEIF('Picks'!$AB$2:$AB$66,"&lt;&gt;",'Picks'!$AB$2:$AB$66),0)</f>
        <v/>
      </c>
      <c r="E10" s="6">
        <f>COUNTIFS('Picks'!$AM$2:$AM$66,"QUALIFIED_SHADOW_CALL",'Picks'!$U$2:$U$66,"settled")</f>
        <v/>
      </c>
      <c r="G10" s="8">
        <f>SUMIFS('Picks'!$AC$2:$AC$66,'Picks'!$AM$2:$AM$66,"QUALIFIED_SHADOW_CALL")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COUNTIFS('Picks'!$H$2:$H$66,$A14,'Picks'!$U$2:$U$66,"settled")</f>
        <v/>
      </c>
      <c r="C14" s="13">
        <f>COUNTIFS('Picks'!$H$2:$H$66,$A14,'Picks'!$U$2:$U$66,"settled",'Picks'!$V$2:$V$66,"win")</f>
        <v/>
      </c>
      <c r="D14" s="13">
        <f>COUNTIFS('Picks'!$H$2:$H$66,$A14,'Picks'!$U$2:$U$66,"settled",'Picks'!$V$2:$V$66,"loss")</f>
        <v/>
      </c>
      <c r="E14" s="14">
        <f>IFERROR(C14/(C14+D14),0)</f>
        <v/>
      </c>
      <c r="F14" s="15">
        <f>SUMIFS('Picks'!$BY$2:$BY$66,'Picks'!$H$2:$H$66,$A14)</f>
        <v/>
      </c>
      <c r="G14" s="16">
        <f>IFERROR(AVERAGEIFS('Picks'!$AB$2:$AB$66,'Picks'!$H$2:$H$66,$A14,'Picks'!$U$2:$U$66,"settled"),0)</f>
        <v/>
      </c>
    </row>
    <row r="15">
      <c r="A15" s="17" t="inlineStr">
        <is>
          <t>spread</t>
        </is>
      </c>
      <c r="B15" s="18">
        <f>COUNTIFS('Picks'!$H$2:$H$66,$A15,'Picks'!$U$2:$U$66,"settled")</f>
        <v/>
      </c>
      <c r="C15" s="18">
        <f>COUNTIFS('Picks'!$H$2:$H$66,$A15,'Picks'!$U$2:$U$66,"settled",'Picks'!$V$2:$V$66,"win")</f>
        <v/>
      </c>
      <c r="D15" s="18">
        <f>COUNTIFS('Picks'!$H$2:$H$66,$A15,'Picks'!$U$2:$U$66,"settled",'Picks'!$V$2:$V$66,"loss")</f>
        <v/>
      </c>
      <c r="E15" s="19">
        <f>IFERROR(C15/(C15+D15),0)</f>
        <v/>
      </c>
      <c r="F15" s="20">
        <f>SUMIFS('Picks'!$BY$2:$BY$66,'Picks'!$H$2:$H$66,$A15)</f>
        <v/>
      </c>
      <c r="G15" s="21">
        <f>IFERROR(AVERAGEIFS('Picks'!$AB$2:$AB$66,'Picks'!$H$2:$H$66,$A15,'Picks'!$U$2:$U$66,"settled"),0)</f>
        <v/>
      </c>
    </row>
    <row r="16">
      <c r="A16" s="12" t="inlineStr">
        <is>
          <t>total</t>
        </is>
      </c>
      <c r="B16" s="13">
        <f>COUNTIFS('Picks'!$H$2:$H$66,$A16,'Picks'!$U$2:$U$66,"settled")</f>
        <v/>
      </c>
      <c r="C16" s="13">
        <f>COUNTIFS('Picks'!$H$2:$H$66,$A16,'Picks'!$U$2:$U$66,"settled",'Picks'!$V$2:$V$66,"win")</f>
        <v/>
      </c>
      <c r="D16" s="13">
        <f>COUNTIFS('Picks'!$H$2:$H$66,$A16,'Picks'!$U$2:$U$66,"settled",'Picks'!$V$2:$V$66,"loss")</f>
        <v/>
      </c>
      <c r="E16" s="14">
        <f>IFERROR(C16/(C16+D16),0)</f>
        <v/>
      </c>
      <c r="F16" s="15">
        <f>SUMIFS('Picks'!$BY$2:$BY$66,'Picks'!$H$2:$H$66,$A16)</f>
        <v/>
      </c>
      <c r="G16" s="16">
        <f>IFERROR(AVERAGEIFS('Picks'!$AB$2:$AB$66,'Picks'!$H$2:$H$66,$A16,'Picks'!$U$2:$U$66,"settled"),0)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R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6" customWidth="1" min="91" max="91"/>
    <col width="18" customWidth="1" min="92" max="92"/>
    <col width="18" customWidth="1" min="93" max="93"/>
    <col width="22" customWidth="1" min="94" max="94"/>
    <col width="22" customWidth="1" min="95" max="95"/>
    <col width="17" customWidth="1" min="96" max="96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rest_disparity</t>
        </is>
      </c>
      <c r="CN1" s="23" t="inlineStr">
        <is>
          <t>back_to_back_gap</t>
        </is>
      </c>
      <c r="CO1" s="23" t="inlineStr">
        <is>
          <t>games_last_7_gap</t>
        </is>
      </c>
      <c r="CP1" s="23" t="inlineStr">
        <is>
          <t>schedule_missingness</t>
        </is>
      </c>
      <c r="CQ1" s="23" t="inlineStr">
        <is>
          <t>market_residual_probability</t>
        </is>
      </c>
      <c r="CR1" s="23" t="inlineStr">
        <is>
          <t>trade_candidate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</row>
    <row r="13" ht="36" customHeight="1">
      <c r="A13" s="24" t="inlineStr">
        <is>
          <t>73f8433cce1a461e</t>
        </is>
      </c>
      <c r="B13" s="24" t="inlineStr">
        <is>
          <t>2026-08-02T06:51:56.046278Z</t>
        </is>
      </c>
      <c r="C13" s="24" t="inlineStr">
        <is>
          <t>2026-08-02T07:00:00Z</t>
        </is>
      </c>
      <c r="D13" s="24" t="inlineStr">
        <is>
          <t>66779</t>
        </is>
      </c>
      <c r="E13" s="24" t="inlineStr">
        <is>
          <t>LOL</t>
        </is>
      </c>
      <c r="F13" s="24" t="inlineStr">
        <is>
          <t>Team WE</t>
        </is>
      </c>
      <c r="G13" s="24" t="inlineStr">
        <is>
          <t>ThunderTalk Gaming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0.652554</v>
      </c>
      <c r="P13" s="28" t="n"/>
      <c r="Q13" s="28" t="n">
        <v>-0.047146</v>
      </c>
      <c r="R13" s="26" t="n">
        <v>0</v>
      </c>
      <c r="S13" s="29" t="n">
        <v>1.75</v>
      </c>
      <c r="T13" s="24" t="inlineStr">
        <is>
          <t>lol-tiered-elo-v5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-233</v>
      </c>
      <c r="AA13" s="28" t="n">
        <v>0.7</v>
      </c>
      <c r="AB13" s="28" t="n">
        <v>0.0003</v>
      </c>
      <c r="AC13" s="30" t="n">
        <v>0.7511</v>
      </c>
      <c r="AD13" s="24" t="inlineStr">
        <is>
          <t>2026-08-02T09:53:38.533320Z</t>
        </is>
      </c>
      <c r="AE13" s="31" t="inlineStr">
        <is>
          <t>Neutral Elo baseline; executable ask 0.7000 (market_slug=aec-lol-tt-we-2026-08-02).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Team WE</t>
        </is>
      </c>
      <c r="AQ13" s="24" t="inlineStr">
        <is>
          <t>Team WE</t>
        </is>
      </c>
      <c r="AR13" s="24" t="inlineStr">
        <is>
          <t>Team WE</t>
        </is>
      </c>
      <c r="AS13" s="24" t="inlineStr">
        <is>
          <t>ThunderTalk Gaming</t>
        </is>
      </c>
      <c r="AT13" s="24" t="inlineStr">
        <is>
          <t>ThunderTalk Gaming</t>
        </is>
      </c>
      <c r="AU13" s="24" t="inlineStr">
        <is>
          <t>ThunderTalk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bdf823330923d145365ad4f6a02dd0ec337f4e55dcb78716824f971491f65d6e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bdf823330923d145365ad4f6a02dd0ec337f4e55dcb78716824f971491f65d6e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2026-08-02T06:51:40.260979Z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>
        <v>1.429185</v>
      </c>
      <c r="BR13" s="28" t="n">
        <v>0.7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</row>
    <row r="14" ht="36" customHeight="1">
      <c r="A14" s="24" t="inlineStr">
        <is>
          <t>33757bba99024f37</t>
        </is>
      </c>
      <c r="B14" s="24" t="inlineStr">
        <is>
          <t>2026-08-02T09:59:37.296167Z</t>
        </is>
      </c>
      <c r="C14" s="24" t="inlineStr">
        <is>
          <t>2026-08-02T10:00:00Z</t>
        </is>
      </c>
      <c r="D14" s="24" t="inlineStr">
        <is>
          <t>66811</t>
        </is>
      </c>
      <c r="E14" s="24" t="inlineStr">
        <is>
          <t>LOL</t>
        </is>
      </c>
      <c r="F14" s="24" t="inlineStr">
        <is>
          <t>Ancient Ones</t>
        </is>
      </c>
      <c r="G14" s="24" t="inlineStr">
        <is>
          <t>Crystal Rose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0.614494</v>
      </c>
      <c r="P14" s="28" t="n"/>
      <c r="Q14" s="28" t="n">
        <v>0.14501</v>
      </c>
      <c r="R14" s="26" t="n">
        <v>93</v>
      </c>
      <c r="S14" s="29" t="n">
        <v>1.5</v>
      </c>
      <c r="T14" s="24" t="inlineStr">
        <is>
          <t>lol-tiered-elo-v5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113</v>
      </c>
      <c r="AA14" s="28" t="n">
        <v>0.47</v>
      </c>
      <c r="AB14" s="28" t="n">
        <v>0.000516</v>
      </c>
      <c r="AC14" s="30" t="n">
        <v>1.695</v>
      </c>
      <c r="AD14" s="24" t="inlineStr">
        <is>
          <t>2026-08-02T11:45:14.956616Z</t>
        </is>
      </c>
      <c r="AE14" s="31" t="inlineStr">
        <is>
          <t>Neutral Elo baseline; executable ask 0.4700 (market_slug=aec-lol-cr-ao-2026-08-02).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Ancient Ones</t>
        </is>
      </c>
      <c r="AQ14" s="24" t="inlineStr">
        <is>
          <t>Ancient Ones</t>
        </is>
      </c>
      <c r="AR14" s="24" t="inlineStr">
        <is>
          <t>Ancient Ones</t>
        </is>
      </c>
      <c r="AS14" s="24" t="inlineStr">
        <is>
          <t>Crystal Rose</t>
        </is>
      </c>
      <c r="AT14" s="24" t="inlineStr">
        <is>
          <t>Crystal Rose</t>
        </is>
      </c>
      <c r="AU14" s="24" t="inlineStr">
        <is>
          <t>Crystal Rose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872990f5864d469e34c183f4364739fd3897540762b962f4ec2e55405665b2e8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872990f5864d469e34c183f4364739fd3897540762b962f4ec2e55405665b2e8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2026-08-02T09:59:22.583724Z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>
        <v>2.13</v>
      </c>
      <c r="BR14" s="28" t="n">
        <v>0.47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</row>
    <row r="15" ht="36" customHeight="1">
      <c r="A15" s="24" t="inlineStr">
        <is>
          <t>74461a45898a4a7d</t>
        </is>
      </c>
      <c r="B15" s="24" t="inlineStr">
        <is>
          <t>2026-08-02T09:59:37.296167Z</t>
        </is>
      </c>
      <c r="C15" s="24" t="inlineStr">
        <is>
          <t>2026-08-02T11:00:00Z</t>
        </is>
      </c>
      <c r="D15" s="24" t="inlineStr">
        <is>
          <t>66837</t>
        </is>
      </c>
      <c r="E15" s="24" t="inlineStr">
        <is>
          <t>LOL</t>
        </is>
      </c>
      <c r="F15" s="24" t="inlineStr">
        <is>
          <t>Lille Esport</t>
        </is>
      </c>
      <c r="G15" s="24" t="inlineStr">
        <is>
          <t>Lausanne-Sport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100</v>
      </c>
      <c r="M15" s="27" t="n">
        <v>2</v>
      </c>
      <c r="N15" s="28" t="n">
        <v>0.5</v>
      </c>
      <c r="O15" s="28" t="n">
        <v>0.586093</v>
      </c>
      <c r="P15" s="28" t="n"/>
      <c r="Q15" s="28" t="n">
        <v>0.086093</v>
      </c>
      <c r="R15" s="26" t="n">
        <v>63</v>
      </c>
      <c r="S15" s="29" t="n">
        <v>1.25</v>
      </c>
      <c r="T15" s="24" t="inlineStr">
        <is>
          <t>lol-tiered-elo-v5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100</v>
      </c>
      <c r="AA15" s="28" t="n">
        <v>0.5</v>
      </c>
      <c r="AB15" s="28" t="n">
        <v>0</v>
      </c>
      <c r="AC15" s="30" t="n">
        <v>-1.25</v>
      </c>
      <c r="AD15" s="24" t="inlineStr">
        <is>
          <t>2026-08-02T11:45:16.142000Z</t>
        </is>
      </c>
      <c r="AE15" s="31" t="inlineStr">
        <is>
          <t>Neutral Elo baseline; executable ask 0.5000 (market_slug=aec-lol-els-lil-2026-08-02).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Lille Esport</t>
        </is>
      </c>
      <c r="AQ15" s="24" t="inlineStr">
        <is>
          <t>Lille Esport</t>
        </is>
      </c>
      <c r="AR15" s="24" t="inlineStr">
        <is>
          <t>Lille Esport</t>
        </is>
      </c>
      <c r="AS15" s="24" t="inlineStr">
        <is>
          <t>Lausanne-Sport Esports</t>
        </is>
      </c>
      <c r="AT15" s="24" t="inlineStr">
        <is>
          <t>Lausanne-Sport Esports</t>
        </is>
      </c>
      <c r="AU15" s="24" t="inlineStr">
        <is>
          <t>Lausanne-Sport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872990f5864d469e34c183f4364739fd3897540762b962f4ec2e55405665b2e8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872990f5864d469e34c183f4364739fd3897540762b962f4ec2e55405665b2e8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2026-08-02T09:59:23.587864Z</t>
        </is>
      </c>
      <c r="BI15" s="24" t="inlineStr">
        <is>
          <t>["same_event","same_team_same_day","same_league_same_day"]</t>
        </is>
      </c>
      <c r="BJ15" s="25" t="n"/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>
        <v>2</v>
      </c>
      <c r="BR15" s="28" t="n">
        <v>0.5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</row>
    <row r="16" ht="36" customHeight="1">
      <c r="A16" s="24" t="inlineStr">
        <is>
          <t>7b4139d22f3f4b67</t>
        </is>
      </c>
      <c r="B16" s="24" t="inlineStr">
        <is>
          <t>2026-08-02T09:59:37.296167Z</t>
        </is>
      </c>
      <c r="C16" s="24" t="inlineStr">
        <is>
          <t>2026-08-02T11:00:00Z</t>
        </is>
      </c>
      <c r="D16" s="24" t="inlineStr">
        <is>
          <t>66838</t>
        </is>
      </c>
      <c r="E16" s="24" t="inlineStr">
        <is>
          <t>LOL</t>
        </is>
      </c>
      <c r="F16" s="24" t="inlineStr">
        <is>
          <t>JD Gaming</t>
        </is>
      </c>
      <c r="G16" s="24" t="inlineStr">
        <is>
          <t>Top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0.5497840000000001</v>
      </c>
      <c r="P16" s="28" t="n"/>
      <c r="Q16" s="28" t="n">
        <v>0.010613</v>
      </c>
      <c r="R16" s="26" t="n">
        <v>25</v>
      </c>
      <c r="S16" s="29" t="n">
        <v>1</v>
      </c>
      <c r="T16" s="24" t="inlineStr">
        <is>
          <t>lol-tiered-elo-v5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-117</v>
      </c>
      <c r="AA16" s="28" t="n">
        <v>0.54</v>
      </c>
      <c r="AB16" s="28" t="n">
        <v>0.000829</v>
      </c>
      <c r="AC16" s="30" t="n">
        <v>0.8547</v>
      </c>
      <c r="AD16" s="24" t="inlineStr">
        <is>
          <t>2026-08-02T15:53:03.900779Z</t>
        </is>
      </c>
      <c r="AE16" s="31" t="inlineStr">
        <is>
          <t>Neutral Elo baseline; executable ask 0.5400 (market_slug=aec-lol-tes-jdg-2026-08-02).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JD Gaming</t>
        </is>
      </c>
      <c r="AQ16" s="24" t="inlineStr">
        <is>
          <t>JD Gaming</t>
        </is>
      </c>
      <c r="AR16" s="24" t="inlineStr">
        <is>
          <t>JD Gaming</t>
        </is>
      </c>
      <c r="AS16" s="24" t="inlineStr">
        <is>
          <t>Top Esports</t>
        </is>
      </c>
      <c r="AT16" s="24" t="inlineStr">
        <is>
          <t>Top Esports</t>
        </is>
      </c>
      <c r="AU16" s="24" t="inlineStr">
        <is>
          <t>Top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872990f5864d469e34c183f4364739fd3897540762b962f4ec2e55405665b2e8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872990f5864d469e34c183f4364739fd3897540762b962f4ec2e55405665b2e8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2026-08-02T09:59:24.043094Z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>
        <v>1.854701</v>
      </c>
      <c r="BR16" s="28" t="n">
        <v>0.54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</row>
    <row r="17" ht="36" customHeight="1">
      <c r="A17" s="24" t="inlineStr">
        <is>
          <t>d68cc80d286f41da</t>
        </is>
      </c>
      <c r="B17" s="24" t="inlineStr">
        <is>
          <t>2026-08-02T11:51:23.384049Z</t>
        </is>
      </c>
      <c r="C17" s="24" t="inlineStr">
        <is>
          <t>2026-08-02T12:00:00Z</t>
        </is>
      </c>
      <c r="D17" s="24" t="inlineStr">
        <is>
          <t>66847</t>
        </is>
      </c>
      <c r="E17" s="24" t="inlineStr">
        <is>
          <t>LOL</t>
        </is>
      </c>
      <c r="F17" s="24" t="inlineStr">
        <is>
          <t>Galions Sharks</t>
        </is>
      </c>
      <c r="G17" s="24" t="inlineStr">
        <is>
          <t>Karmine Corp Blue Stars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-213</v>
      </c>
      <c r="M17" s="27" t="n">
        <v>1.469484</v>
      </c>
      <c r="N17" s="28" t="n">
        <v>0.680511</v>
      </c>
      <c r="O17" s="28" t="n">
        <v>0.55445</v>
      </c>
      <c r="P17" s="28" t="n"/>
      <c r="Q17" s="28" t="n">
        <v>-0.126061</v>
      </c>
      <c r="R17" s="26" t="n">
        <v>0</v>
      </c>
      <c r="S17" s="29" t="n">
        <v>1</v>
      </c>
      <c r="T17" s="24" t="inlineStr">
        <is>
          <t>lol-tiered-elo-v5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-213</v>
      </c>
      <c r="AA17" s="28" t="n">
        <v>0.68</v>
      </c>
      <c r="AB17" s="28" t="n">
        <v>-0.000511</v>
      </c>
      <c r="AC17" s="30" t="n">
        <v>0.4695</v>
      </c>
      <c r="AD17" s="24" t="inlineStr">
        <is>
          <t>2026-08-02T13:01:29.241433Z</t>
        </is>
      </c>
      <c r="AE17" s="31" t="inlineStr">
        <is>
          <t>Neutral Elo baseline; executable ask 0.6800 (market_slug=aec-lol-kcbs-gls-2026-08-02).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Galions Sharks</t>
        </is>
      </c>
      <c r="AQ17" s="24" t="inlineStr">
        <is>
          <t>Galions Sharks</t>
        </is>
      </c>
      <c r="AR17" s="24" t="inlineStr">
        <is>
          <t>Galions Sharks</t>
        </is>
      </c>
      <c r="AS17" s="24" t="inlineStr">
        <is>
          <t>Karmine Corp Blue Stars</t>
        </is>
      </c>
      <c r="AT17" s="24" t="inlineStr">
        <is>
          <t>Karmine Corp Blue Stars</t>
        </is>
      </c>
      <c r="AU17" s="24" t="inlineStr">
        <is>
          <t>Karmine Corp Blue Stars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0b6e6d5c93b93c005802ef0c5f9541d5ee8d587023a9a0b60009a394291af476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0b6e6d5c93b93c005802ef0c5f9541d5ee8d587023a9a0b60009a394291af476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2026-08-02T11:51:10.693295Z</t>
        </is>
      </c>
      <c r="BI17" s="24" t="inlineStr">
        <is>
          <t>["same_event","same_team_same_day","same_league_same_day"]</t>
        </is>
      </c>
      <c r="BJ17" s="25" t="n"/>
      <c r="BK17" s="26" t="n">
        <v>-213</v>
      </c>
      <c r="BL17" s="27" t="n">
        <v>1.469484</v>
      </c>
      <c r="BM17" s="28" t="n">
        <v>0.680511</v>
      </c>
      <c r="BN17" s="28" t="n"/>
      <c r="BO17" s="28" t="n"/>
      <c r="BP17" s="25" t="n"/>
      <c r="BQ17" s="27" t="n">
        <v>1.469484</v>
      </c>
      <c r="BR17" s="28" t="n">
        <v>0.68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</row>
    <row r="18" ht="36" customHeight="1">
      <c r="A18" s="24" t="inlineStr">
        <is>
          <t>2b83893e5c494a36</t>
        </is>
      </c>
      <c r="B18" s="24" t="inlineStr">
        <is>
          <t>2026-08-02T13:07:30.652675Z</t>
        </is>
      </c>
      <c r="C18" s="24" t="inlineStr">
        <is>
          <t>2026-08-02T14:00:00Z</t>
        </is>
      </c>
      <c r="D18" s="24" t="inlineStr">
        <is>
          <t>66876</t>
        </is>
      </c>
      <c r="E18" s="24" t="inlineStr">
        <is>
          <t>LOL</t>
        </is>
      </c>
      <c r="F18" s="24" t="inlineStr">
        <is>
          <t>Caldya Esport</t>
        </is>
      </c>
      <c r="G18" s="24" t="inlineStr">
        <is>
          <t>Zephyr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186</v>
      </c>
      <c r="M18" s="27" t="n">
        <v>2.86</v>
      </c>
      <c r="N18" s="28" t="n">
        <v>0.34965</v>
      </c>
      <c r="O18" s="28" t="n">
        <v>0.526683</v>
      </c>
      <c r="P18" s="28" t="n"/>
      <c r="Q18" s="28" t="n">
        <v>0.177033</v>
      </c>
      <c r="R18" s="26" t="n">
        <v>100</v>
      </c>
      <c r="S18" s="29" t="n">
        <v>1</v>
      </c>
      <c r="T18" s="24" t="inlineStr">
        <is>
          <t>lol-tiered-elo-v5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186</v>
      </c>
      <c r="AA18" s="28" t="n">
        <v>0.35</v>
      </c>
      <c r="AB18" s="28" t="n">
        <v>0.00035</v>
      </c>
      <c r="AC18" s="30" t="n">
        <v>-1</v>
      </c>
      <c r="AD18" s="24" t="inlineStr">
        <is>
          <t>2026-08-02T15:53:05.143124Z</t>
        </is>
      </c>
      <c r="AE18" s="31" t="inlineStr">
        <is>
          <t>Neutral Elo baseline; executable ask 0.3500 (market_slug=aec-lol-zpr-cla-2026-08-02).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Caldya Esport</t>
        </is>
      </c>
      <c r="AQ18" s="24" t="inlineStr">
        <is>
          <t>Caldya Esport</t>
        </is>
      </c>
      <c r="AR18" s="24" t="inlineStr">
        <is>
          <t>Caldya Esport</t>
        </is>
      </c>
      <c r="AS18" s="24" t="inlineStr">
        <is>
          <t>Zephyr Esport</t>
        </is>
      </c>
      <c r="AT18" s="24" t="inlineStr">
        <is>
          <t>Zephyr Esport</t>
        </is>
      </c>
      <c r="AU18" s="24" t="inlineStr">
        <is>
          <t>Zephyr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20de1d712cda0a66426c95ed103aa2e610c5fbde0bd61721abf492218cad1cd2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20de1d712cda0a66426c95ed103aa2e610c5fbde0bd61721abf492218cad1cd2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2026-08-02T13:07:18.920620Z</t>
        </is>
      </c>
      <c r="BI18" s="24" t="inlineStr">
        <is>
          <t>["same_event","same_team_same_day","same_league_same_day"]</t>
        </is>
      </c>
      <c r="BJ18" s="25" t="n"/>
      <c r="BK18" s="26" t="n">
        <v>186</v>
      </c>
      <c r="BL18" s="27" t="n">
        <v>2.86</v>
      </c>
      <c r="BM18" s="28" t="n">
        <v>0.34965</v>
      </c>
      <c r="BN18" s="28" t="n"/>
      <c r="BO18" s="28" t="n"/>
      <c r="BP18" s="25" t="n"/>
      <c r="BQ18" s="27" t="n">
        <v>2.86</v>
      </c>
      <c r="BR18" s="28" t="n">
        <v>0.35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</row>
    <row r="19" ht="36" customHeight="1">
      <c r="A19" s="24" t="inlineStr">
        <is>
          <t>3afbf086a69f4a1f</t>
        </is>
      </c>
      <c r="B19" s="24" t="inlineStr">
        <is>
          <t>2026-08-02T15:51:19.985321Z</t>
        </is>
      </c>
      <c r="C19" s="24" t="inlineStr">
        <is>
          <t>2026-08-02T16:00:00Z</t>
        </is>
      </c>
      <c r="D19" s="24" t="inlineStr">
        <is>
          <t>66902</t>
        </is>
      </c>
      <c r="E19" s="24" t="inlineStr">
        <is>
          <t>LOL</t>
        </is>
      </c>
      <c r="F19" s="24" t="inlineStr">
        <is>
          <t>LOUD</t>
        </is>
      </c>
      <c r="G19" s="24" t="inlineStr">
        <is>
          <t>Fluxo W7M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-117</v>
      </c>
      <c r="M19" s="27" t="n">
        <v>1.854701</v>
      </c>
      <c r="N19" s="28" t="n">
        <v>0.539171</v>
      </c>
      <c r="O19" s="28" t="n">
        <v>0.558818</v>
      </c>
      <c r="P19" s="28" t="n"/>
      <c r="Q19" s="28" t="n">
        <v>0.019647</v>
      </c>
      <c r="R19" s="26" t="n">
        <v>30</v>
      </c>
      <c r="S19" s="29" t="n">
        <v>1</v>
      </c>
      <c r="T19" s="24" t="inlineStr">
        <is>
          <t>lol-tiered-elo-v5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-117</v>
      </c>
      <c r="AA19" s="28" t="n">
        <v>0.54</v>
      </c>
      <c r="AB19" s="28" t="n">
        <v>0.000829</v>
      </c>
      <c r="AC19" s="30" t="n">
        <v>0.8547</v>
      </c>
      <c r="AD19" s="24" t="inlineStr">
        <is>
          <t>2026-08-02T17:34:43.910160Z</t>
        </is>
      </c>
      <c r="AE19" s="31" t="inlineStr">
        <is>
          <t>Neutral Elo baseline; executable ask 0.5400 (market_slug=aec-lol-fxw7-lll-2026-08-02).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LOUD</t>
        </is>
      </c>
      <c r="AQ19" s="24" t="inlineStr">
        <is>
          <t>LOUD</t>
        </is>
      </c>
      <c r="AR19" s="24" t="inlineStr">
        <is>
          <t>LOUD</t>
        </is>
      </c>
      <c r="AS19" s="24" t="inlineStr">
        <is>
          <t>Fluxo W7M</t>
        </is>
      </c>
      <c r="AT19" s="24" t="inlineStr">
        <is>
          <t>Fluxo W7M</t>
        </is>
      </c>
      <c r="AU19" s="24" t="inlineStr">
        <is>
          <t>Fluxo W7M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4ef0b19fe97fa070abfaae40ffb41addfe8947e35583480b0b6feebe14b9f7ac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4ef0b19fe97fa070abfaae40ffb41addfe8947e35583480b0b6feebe14b9f7ac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2026-08-02T15:51:09.199778Z</t>
        </is>
      </c>
      <c r="BI19" s="24" t="inlineStr">
        <is>
          <t>["same_event","same_team_same_day","same_league_same_day"]</t>
        </is>
      </c>
      <c r="BJ19" s="25" t="n"/>
      <c r="BK19" s="26" t="n">
        <v>-117</v>
      </c>
      <c r="BL19" s="27" t="n">
        <v>1.854701</v>
      </c>
      <c r="BM19" s="28" t="n">
        <v>0.539171</v>
      </c>
      <c r="BN19" s="28" t="n"/>
      <c r="BO19" s="28" t="n"/>
      <c r="BP19" s="25" t="n"/>
      <c r="BQ19" s="27" t="n">
        <v>1.854701</v>
      </c>
      <c r="BR19" s="28" t="n">
        <v>0.54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True</t>
        </is>
      </c>
    </row>
    <row r="20" ht="36" customHeight="1">
      <c r="A20" s="24" t="inlineStr">
        <is>
          <t>12fc8231d03748b7</t>
        </is>
      </c>
      <c r="B20" s="24" t="inlineStr">
        <is>
          <t>2026-08-02T16:53:11.967172Z</t>
        </is>
      </c>
      <c r="C20" s="24" t="inlineStr">
        <is>
          <t>2026-08-02T17:15:00Z</t>
        </is>
      </c>
      <c r="D20" s="24" t="inlineStr">
        <is>
          <t>66955</t>
        </is>
      </c>
      <c r="E20" s="24" t="inlineStr">
        <is>
          <t>LOL</t>
        </is>
      </c>
      <c r="F20" s="24" t="inlineStr">
        <is>
          <t>Movistar KOI</t>
        </is>
      </c>
      <c r="G20" s="24" t="inlineStr">
        <is>
          <t>Fnatic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0.592731</v>
      </c>
      <c r="P20" s="28" t="n"/>
      <c r="Q20" s="28" t="n">
        <v>-0.057619</v>
      </c>
      <c r="R20" s="26" t="n">
        <v>0</v>
      </c>
      <c r="S20" s="29" t="n">
        <v>1.25</v>
      </c>
      <c r="T20" s="24" t="inlineStr">
        <is>
          <t>lol-tiered-elo-v5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-186</v>
      </c>
      <c r="AA20" s="28" t="n">
        <v>0.65</v>
      </c>
      <c r="AB20" s="28" t="n">
        <v>-0.00035</v>
      </c>
      <c r="AC20" s="30" t="n">
        <v>0.672</v>
      </c>
      <c r="AD20" s="24" t="inlineStr">
        <is>
          <t>2026-08-02T23:13:21.369953Z</t>
        </is>
      </c>
      <c r="AE20" s="31" t="inlineStr">
        <is>
          <t>Neutral Elo baseline; executable ask 0.6500 (market_slug=aec-lol-fnc-mkoi-2026-08-02).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Movistar KOI</t>
        </is>
      </c>
      <c r="AQ20" s="24" t="inlineStr">
        <is>
          <t>Movistar KOI</t>
        </is>
      </c>
      <c r="AR20" s="24" t="inlineStr">
        <is>
          <t>Movistar KOI</t>
        </is>
      </c>
      <c r="AS20" s="24" t="inlineStr">
        <is>
          <t>Fnatic</t>
        </is>
      </c>
      <c r="AT20" s="24" t="inlineStr">
        <is>
          <t>Fnatic</t>
        </is>
      </c>
      <c r="AU20" s="24" t="inlineStr">
        <is>
          <t>Fnatic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7a524d830547b62f7f9c941aadbdf0fc52dbd67b16b701b974612cc0a7507dd8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7a524d830547b62f7f9c941aadbdf0fc52dbd67b16b701b974612cc0a7507dd8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2026-08-02T16:53:02.304568Z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>
        <v>1.537634</v>
      </c>
      <c r="BR20" s="28" t="n">
        <v>0.65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inlineStr">
        <is>
          <t>False</t>
        </is>
      </c>
    </row>
    <row r="21" ht="36" customHeight="1">
      <c r="A21" s="24" t="inlineStr">
        <is>
          <t>ec894d2a1ca74d47</t>
        </is>
      </c>
      <c r="B21" s="24" t="inlineStr">
        <is>
          <t>2026-08-03T06:30:34.654651Z</t>
        </is>
      </c>
      <c r="C21" s="24" t="inlineStr">
        <is>
          <t>2026-08-03T08:00:00Z</t>
        </is>
      </c>
      <c r="D21" s="24" t="inlineStr">
        <is>
          <t>67491</t>
        </is>
      </c>
      <c r="E21" s="24" t="inlineStr">
        <is>
          <t>LOL</t>
        </is>
      </c>
      <c r="F21" s="24" t="inlineStr">
        <is>
          <t>Hanwha Life Esports</t>
        </is>
      </c>
      <c r="G21" s="24" t="inlineStr">
        <is>
          <t>Gen.G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-113</v>
      </c>
      <c r="M21" s="27" t="n">
        <v>1.884956</v>
      </c>
      <c r="N21" s="28" t="n">
        <v>0.530516</v>
      </c>
      <c r="O21" s="28" t="n">
        <v>0.536423</v>
      </c>
      <c r="P21" s="28" t="n"/>
      <c r="Q21" s="28" t="n">
        <v>0.005907</v>
      </c>
      <c r="R21" s="26" t="n">
        <v>23</v>
      </c>
      <c r="S21" s="29" t="n">
        <v>1</v>
      </c>
      <c r="T21" s="24" t="inlineStr">
        <is>
          <t>lol-tiered-elo-v5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>
        <v>-113</v>
      </c>
      <c r="AA21" s="28" t="n">
        <v>0.53</v>
      </c>
      <c r="AB21" s="28" t="n">
        <v>-0.000516</v>
      </c>
      <c r="AC21" s="30" t="n">
        <v>0.885</v>
      </c>
      <c r="AD21" s="24" t="inlineStr">
        <is>
          <t>2026-08-03T10:06:50.751709Z</t>
        </is>
      </c>
      <c r="AE21" s="31" t="inlineStr">
        <is>
          <t>Neutral Elo baseline; executable ask 0.5300 (market_slug=aec-lol-gen-hle-2026-08-03).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Hanwha Life Esports</t>
        </is>
      </c>
      <c r="AQ21" s="24" t="inlineStr">
        <is>
          <t>Hanwha Life Esports</t>
        </is>
      </c>
      <c r="AR21" s="24" t="inlineStr">
        <is>
          <t>Hanwha Life Esports</t>
        </is>
      </c>
      <c r="AS21" s="24" t="inlineStr">
        <is>
          <t>Gen.G</t>
        </is>
      </c>
      <c r="AT21" s="24" t="inlineStr">
        <is>
          <t>Gen.G</t>
        </is>
      </c>
      <c r="AU21" s="24" t="inlineStr">
        <is>
          <t>Gen.G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ff2b770f59073a39e60976cbc1ae4f05ce9c0ac0477f1609e756119cbdd7431b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ff2b770f59073a39e60976cbc1ae4f05ce9c0ac0477f1609e756119cbdd7431b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2026-08-03T06:30:12.139868Z</t>
        </is>
      </c>
      <c r="BI21" s="24" t="inlineStr">
        <is>
          <t>["same_event","same_team_same_day","same_league_same_day"]</t>
        </is>
      </c>
      <c r="BJ21" s="25" t="n"/>
      <c r="BK21" s="26" t="n">
        <v>-113</v>
      </c>
      <c r="BL21" s="27" t="n">
        <v>1.884956</v>
      </c>
      <c r="BM21" s="28" t="n">
        <v>0.530516</v>
      </c>
      <c r="BN21" s="28" t="n"/>
      <c r="BO21" s="28" t="n"/>
      <c r="BP21" s="25" t="n"/>
      <c r="BQ21" s="27" t="n">
        <v>1.884956</v>
      </c>
      <c r="BR21" s="28" t="n">
        <v>0.53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inlineStr">
        <is>
          <t>True</t>
        </is>
      </c>
    </row>
    <row r="22" ht="36" customHeight="1">
      <c r="A22" s="24" t="inlineStr">
        <is>
          <t>189c180a73404fa7</t>
        </is>
      </c>
      <c r="B22" s="24" t="inlineStr">
        <is>
          <t>2026-08-03T06:30:34.654651Z</t>
        </is>
      </c>
      <c r="C22" s="24" t="inlineStr">
        <is>
          <t>2026-08-03T10:00:00Z</t>
        </is>
      </c>
      <c r="D22" s="24" t="inlineStr">
        <is>
          <t>67511</t>
        </is>
      </c>
      <c r="E22" s="24" t="inlineStr">
        <is>
          <t>LOL</t>
        </is>
      </c>
      <c r="F22" s="24" t="inlineStr">
        <is>
          <t>Dplus KIA Challengers</t>
        </is>
      </c>
      <c r="G22" s="24" t="inlineStr">
        <is>
          <t>DN SOOPers Challengers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-170</v>
      </c>
      <c r="M22" s="27" t="n">
        <v>1.588235</v>
      </c>
      <c r="N22" s="28" t="n">
        <v>0.62963</v>
      </c>
      <c r="O22" s="28" t="n">
        <v>0.703892</v>
      </c>
      <c r="P22" s="28" t="n"/>
      <c r="Q22" s="28" t="n">
        <v>0.07426199999999999</v>
      </c>
      <c r="R22" s="26" t="n">
        <v>57</v>
      </c>
      <c r="S22" s="29" t="n">
        <v>2</v>
      </c>
      <c r="T22" s="24" t="inlineStr">
        <is>
          <t>lol-tiered-elo-v5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-170</v>
      </c>
      <c r="AA22" s="28" t="n">
        <v>0.63</v>
      </c>
      <c r="AB22" s="28" t="n">
        <v>0.00037</v>
      </c>
      <c r="AC22" s="30" t="n">
        <v>-2</v>
      </c>
      <c r="AD22" s="24" t="inlineStr">
        <is>
          <t>2026-08-03T13:27:30.699600Z</t>
        </is>
      </c>
      <c r="AE22" s="31" t="inlineStr">
        <is>
          <t>Neutral Elo baseline; executable ask 0.6300 (market_slug=aec-lol-dnsc-dkc-2026-08-03).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Dplus KIA Challengers</t>
        </is>
      </c>
      <c r="AQ22" s="24" t="inlineStr">
        <is>
          <t>Dplus KIA Challengers</t>
        </is>
      </c>
      <c r="AR22" s="24" t="inlineStr">
        <is>
          <t>Dplus KIA Challengers</t>
        </is>
      </c>
      <c r="AS22" s="24" t="inlineStr">
        <is>
          <t>DN SOOPers Challengers</t>
        </is>
      </c>
      <c r="AT22" s="24" t="inlineStr">
        <is>
          <t>DN SOOPers Challengers</t>
        </is>
      </c>
      <c r="AU22" s="24" t="inlineStr">
        <is>
          <t>DN SOOPers Challengers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ff2b770f59073a39e60976cbc1ae4f05ce9c0ac0477f1609e756119cbdd7431b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ff2b770f59073a39e60976cbc1ae4f05ce9c0ac0477f1609e756119cbdd7431b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2026-08-03T06:30:13.245481Z</t>
        </is>
      </c>
      <c r="BI22" s="24" t="inlineStr">
        <is>
          <t>["same_event","same_team_same_day","same_league_same_day"]</t>
        </is>
      </c>
      <c r="BJ22" s="25" t="n"/>
      <c r="BK22" s="26" t="n">
        <v>-170</v>
      </c>
      <c r="BL22" s="27" t="n">
        <v>1.588235</v>
      </c>
      <c r="BM22" s="28" t="n">
        <v>0.62963</v>
      </c>
      <c r="BN22" s="28" t="n"/>
      <c r="BO22" s="28" t="n"/>
      <c r="BP22" s="25" t="n"/>
      <c r="BQ22" s="27" t="n">
        <v>1.588235</v>
      </c>
      <c r="BR22" s="28" t="n">
        <v>0.63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inlineStr">
        <is>
          <t>True</t>
        </is>
      </c>
    </row>
    <row r="23" ht="36" customHeight="1">
      <c r="A23" s="24" t="inlineStr">
        <is>
          <t>48604a24f80c46ae</t>
        </is>
      </c>
      <c r="B23" s="24" t="inlineStr">
        <is>
          <t>2026-08-03T13:30:58.881408Z</t>
        </is>
      </c>
      <c r="C23" s="24" t="inlineStr">
        <is>
          <t>2026-08-03T15:00:00Z</t>
        </is>
      </c>
      <c r="D23" s="24" t="inlineStr">
        <is>
          <t>67566</t>
        </is>
      </c>
      <c r="E23" s="24" t="inlineStr">
        <is>
          <t>LOL</t>
        </is>
      </c>
      <c r="F23" s="24" t="inlineStr">
        <is>
          <t>Shifters</t>
        </is>
      </c>
      <c r="G23" s="24" t="inlineStr">
        <is>
          <t>Natus Vincere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0.745478</v>
      </c>
      <c r="P23" s="28" t="n"/>
      <c r="Q23" s="28" t="n">
        <v>0.055076</v>
      </c>
      <c r="R23" s="26" t="n">
        <v>48</v>
      </c>
      <c r="S23" s="29" t="n">
        <v>2</v>
      </c>
      <c r="T23" s="24" t="inlineStr">
        <is>
          <t>lol-tiered-elo-v5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-223</v>
      </c>
      <c r="AA23" s="28" t="n">
        <v>0.6899999999999999</v>
      </c>
      <c r="AB23" s="28" t="n">
        <v>-0.000402</v>
      </c>
      <c r="AC23" s="30" t="n">
        <v>0.8969</v>
      </c>
      <c r="AD23" s="24" t="inlineStr">
        <is>
          <t>2026-08-03T17:05:58.041180Z</t>
        </is>
      </c>
      <c r="AE23" s="31" t="inlineStr">
        <is>
          <t>Neutral Elo baseline; executable ask 0.6900 (market_slug=aec-lol-navi-shft-2026-08-03).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Shifters</t>
        </is>
      </c>
      <c r="AQ23" s="24" t="inlineStr">
        <is>
          <t>Shifters</t>
        </is>
      </c>
      <c r="AR23" s="24" t="inlineStr">
        <is>
          <t>Shifters</t>
        </is>
      </c>
      <c r="AS23" s="24" t="inlineStr">
        <is>
          <t>Natus Vincere</t>
        </is>
      </c>
      <c r="AT23" s="24" t="inlineStr">
        <is>
          <t>Natus Vincere</t>
        </is>
      </c>
      <c r="AU23" s="24" t="inlineStr">
        <is>
          <t>Natus Vincere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8e100718c38982e9b6a67d6c835251aad775fa6c0f7d64cbcae66021f2cd7f9c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8e100718c38982e9b6a67d6c835251aad775fa6c0f7d64cbcae66021f2cd7f9c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2026-08-03T13:30:33.645010Z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>
        <v>1.44843</v>
      </c>
      <c r="BR23" s="28" t="n">
        <v>0.6899999999999999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inlineStr">
        <is>
          <t>True</t>
        </is>
      </c>
    </row>
    <row r="24" ht="36" customHeight="1">
      <c r="A24" s="24" t="inlineStr">
        <is>
          <t>041c950aba214cca</t>
        </is>
      </c>
      <c r="B24" s="24" t="inlineStr">
        <is>
          <t>2026-08-03T17:09:03.086605Z</t>
        </is>
      </c>
      <c r="C24" s="24" t="inlineStr">
        <is>
          <t>2026-08-03T18:00:00Z</t>
        </is>
      </c>
      <c r="D24" s="24" t="inlineStr">
        <is>
          <t>67655</t>
        </is>
      </c>
      <c r="E24" s="24" t="inlineStr">
        <is>
          <t>LOL</t>
        </is>
      </c>
      <c r="F24" s="24" t="inlineStr">
        <is>
          <t>Lundqvist Lightside</t>
        </is>
      </c>
      <c r="G24" s="24" t="inlineStr">
        <is>
          <t>LEO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-203</v>
      </c>
      <c r="M24" s="27" t="n">
        <v>1.492611</v>
      </c>
      <c r="N24" s="28" t="n">
        <v>0.669967</v>
      </c>
      <c r="O24" s="28" t="n">
        <v>0.617946</v>
      </c>
      <c r="P24" s="28" t="n"/>
      <c r="Q24" s="28" t="n">
        <v>-0.052021</v>
      </c>
      <c r="R24" s="26" t="n">
        <v>0</v>
      </c>
      <c r="S24" s="29" t="n">
        <v>1.5</v>
      </c>
      <c r="T24" s="24" t="inlineStr">
        <is>
          <t>lol-tiered-elo-v5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-203</v>
      </c>
      <c r="AA24" s="28" t="n">
        <v>0.67</v>
      </c>
      <c r="AB24" s="28" t="n">
        <v>3.3e-05</v>
      </c>
      <c r="AC24" s="30" t="n">
        <v>-1.5</v>
      </c>
      <c r="AD24" s="24" t="inlineStr">
        <is>
          <t>2026-08-03T22:55:40.163072Z</t>
        </is>
      </c>
      <c r="AE24" s="31" t="inlineStr">
        <is>
          <t>Neutral Elo baseline; executable ask 0.6700 (market_slug=aec-lol-leo-ll-2026-08-03).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Lundqvist Lightside</t>
        </is>
      </c>
      <c r="AQ24" s="24" t="inlineStr">
        <is>
          <t>Lundqvist Lightside</t>
        </is>
      </c>
      <c r="AR24" s="24" t="inlineStr">
        <is>
          <t>Lundqvist Lightside</t>
        </is>
      </c>
      <c r="AS24" s="24" t="inlineStr">
        <is>
          <t>LEO</t>
        </is>
      </c>
      <c r="AT24" s="24" t="inlineStr">
        <is>
          <t>LEO</t>
        </is>
      </c>
      <c r="AU24" s="24" t="inlineStr">
        <is>
          <t>LEO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efcbb93ea7594fbafcf9325219d1c95ecb0ddde1698943dd2007a07a55350fa4</t>
        </is>
      </c>
      <c r="BB24" s="24" t="inlineStr">
        <is>
          <t>neutral_elo</t>
        </is>
      </c>
      <c r="BC24" s="24" t="inlineStr">
        <is>
          <t>lol-tiered-elo-v5</t>
        </is>
      </c>
      <c r="BD24" s="24" t="inlineStr">
        <is>
          <t>efcbb93ea7594fbafcf9325219d1c95ecb0ddde1698943dd2007a07a55350fa4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lol-tiered-elo-v5</t>
        </is>
      </c>
      <c r="BH24" s="24" t="inlineStr">
        <is>
          <t>2026-08-03T17:08:42.741673Z</t>
        </is>
      </c>
      <c r="BI24" s="24" t="inlineStr">
        <is>
          <t>["same_event","same_team_same_day","same_league_same_day"]</t>
        </is>
      </c>
      <c r="BJ24" s="25" t="n"/>
      <c r="BK24" s="26" t="n">
        <v>-203</v>
      </c>
      <c r="BL24" s="27" t="n">
        <v>1.492611</v>
      </c>
      <c r="BM24" s="28" t="n">
        <v>0.669967</v>
      </c>
      <c r="BN24" s="28" t="n"/>
      <c r="BO24" s="28" t="n"/>
      <c r="BP24" s="25" t="n"/>
      <c r="BQ24" s="27" t="n">
        <v>1.492611</v>
      </c>
      <c r="BR24" s="28" t="n">
        <v>0.67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inlineStr">
        <is>
          <t>False</t>
        </is>
      </c>
    </row>
    <row r="25" ht="36" customHeight="1">
      <c r="A25" s="24" t="inlineStr">
        <is>
          <t>809bba47d823450b</t>
        </is>
      </c>
      <c r="B25" s="24" t="inlineStr">
        <is>
          <t>2026-08-03T17:09:03.086605Z</t>
        </is>
      </c>
      <c r="C25" s="24" t="inlineStr">
        <is>
          <t>2026-08-03T19:00:00Z</t>
        </is>
      </c>
      <c r="D25" s="24" t="inlineStr">
        <is>
          <t>63451</t>
        </is>
      </c>
      <c r="E25" s="24" t="inlineStr">
        <is>
          <t>LOL</t>
        </is>
      </c>
      <c r="F25" s="24" t="inlineStr">
        <is>
          <t>Vivo Keyd Stars Academy</t>
        </is>
      </c>
      <c r="G25" s="24" t="inlineStr">
        <is>
          <t>Team Solid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-223</v>
      </c>
      <c r="M25" s="27" t="n">
        <v>1.44843</v>
      </c>
      <c r="N25" s="28" t="n">
        <v>0.690402</v>
      </c>
      <c r="O25" s="28" t="n">
        <v>0.727674</v>
      </c>
      <c r="P25" s="28" t="n"/>
      <c r="Q25" s="28" t="n">
        <v>0.037272</v>
      </c>
      <c r="R25" s="26" t="n">
        <v>39</v>
      </c>
      <c r="S25" s="29" t="n">
        <v>2</v>
      </c>
      <c r="T25" s="24" t="inlineStr">
        <is>
          <t>lol-tiered-elo-v5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>
        <v>-223</v>
      </c>
      <c r="AA25" s="28" t="n">
        <v>0.6899999999999999</v>
      </c>
      <c r="AB25" s="28" t="n">
        <v>-0.000402</v>
      </c>
      <c r="AC25" s="30" t="n">
        <v>-2</v>
      </c>
      <c r="AD25" s="24" t="inlineStr">
        <is>
          <t>2026-08-03T19:52:08.258946Z</t>
        </is>
      </c>
      <c r="AE25" s="31" t="inlineStr">
        <is>
          <t>Neutral Elo baseline; executable ask 0.6900 (market_slug=aec-lol-tse-vksa-2026-07-30).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Vivo Keyd Stars Academy</t>
        </is>
      </c>
      <c r="AQ25" s="24" t="inlineStr">
        <is>
          <t>Vivo Keyd Stars Academy</t>
        </is>
      </c>
      <c r="AR25" s="24" t="inlineStr">
        <is>
          <t>Vivo Keyd Stars Academy</t>
        </is>
      </c>
      <c r="AS25" s="24" t="inlineStr">
        <is>
          <t>Team Solid</t>
        </is>
      </c>
      <c r="AT25" s="24" t="inlineStr">
        <is>
          <t>Team Solid</t>
        </is>
      </c>
      <c r="AU25" s="24" t="inlineStr">
        <is>
          <t>Team Solid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efcbb93ea7594fbafcf9325219d1c95ecb0ddde1698943dd2007a07a55350fa4</t>
        </is>
      </c>
      <c r="BB25" s="24" t="inlineStr">
        <is>
          <t>neutral_elo</t>
        </is>
      </c>
      <c r="BC25" s="24" t="inlineStr">
        <is>
          <t>lol-tiered-elo-v5</t>
        </is>
      </c>
      <c r="BD25" s="24" t="inlineStr">
        <is>
          <t>efcbb93ea7594fbafcf9325219d1c95ecb0ddde1698943dd2007a07a55350fa4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lol-tiered-elo-v5</t>
        </is>
      </c>
      <c r="BH25" s="24" t="inlineStr">
        <is>
          <t>2026-08-03T17:08:43.723243Z</t>
        </is>
      </c>
      <c r="BI25" s="24" t="inlineStr">
        <is>
          <t>["same_event","same_team_same_day","same_league_same_day"]</t>
        </is>
      </c>
      <c r="BJ25" s="25" t="n"/>
      <c r="BK25" s="26" t="n">
        <v>-223</v>
      </c>
      <c r="BL25" s="27" t="n">
        <v>1.44843</v>
      </c>
      <c r="BM25" s="28" t="n">
        <v>0.690402</v>
      </c>
      <c r="BN25" s="28" t="n"/>
      <c r="BO25" s="28" t="n"/>
      <c r="BP25" s="25" t="n"/>
      <c r="BQ25" s="27" t="n">
        <v>1.44843</v>
      </c>
      <c r="BR25" s="28" t="n">
        <v>0.6899999999999999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inlineStr">
        <is>
          <t>True</t>
        </is>
      </c>
    </row>
    <row r="26" ht="36" customHeight="1">
      <c r="A26" s="24" t="inlineStr">
        <is>
          <t>f63ed8330d2b456d</t>
        </is>
      </c>
      <c r="B26" s="24" t="inlineStr">
        <is>
          <t>2026-08-03T19:55:05.099553Z</t>
        </is>
      </c>
      <c r="C26" s="24" t="inlineStr">
        <is>
          <t>2026-08-03T20:00:00Z</t>
        </is>
      </c>
      <c r="D26" s="24" t="inlineStr">
        <is>
          <t>67937</t>
        </is>
      </c>
      <c r="E26" s="24" t="inlineStr">
        <is>
          <t>LOL</t>
        </is>
      </c>
      <c r="F26" s="24" t="inlineStr">
        <is>
          <t>Docta Esports</t>
        </is>
      </c>
      <c r="G26" s="24" t="inlineStr">
        <is>
          <t>Volticons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-233</v>
      </c>
      <c r="M26" s="27" t="n">
        <v>1.429185</v>
      </c>
      <c r="N26" s="28" t="n">
        <v>0.6997</v>
      </c>
      <c r="O26" s="28" t="n">
        <v>0.648218</v>
      </c>
      <c r="P26" s="28" t="n"/>
      <c r="Q26" s="28" t="n">
        <v>-0.051482</v>
      </c>
      <c r="R26" s="26" t="n">
        <v>0</v>
      </c>
      <c r="S26" s="29" t="n">
        <v>1.75</v>
      </c>
      <c r="T26" s="24" t="inlineStr">
        <is>
          <t>lol-tiered-elo-v5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-233</v>
      </c>
      <c r="AA26" s="28" t="n">
        <v>0.7</v>
      </c>
      <c r="AB26" s="28" t="n">
        <v>0.0003</v>
      </c>
      <c r="AC26" s="30" t="n">
        <v>-1.75</v>
      </c>
      <c r="AD26" s="24" t="inlineStr">
        <is>
          <t>2026-08-04T01:58:52.039236Z</t>
        </is>
      </c>
      <c r="AE26" s="31" t="inlineStr">
        <is>
          <t>Neutral Elo baseline; executable ask 0.7000 (market_slug=aec-lol-vtc-doh-2026-08-03).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Docta Esports</t>
        </is>
      </c>
      <c r="AQ26" s="24" t="inlineStr">
        <is>
          <t>Docta Esports</t>
        </is>
      </c>
      <c r="AR26" s="24" t="inlineStr">
        <is>
          <t>Docta Esports</t>
        </is>
      </c>
      <c r="AS26" s="24" t="inlineStr">
        <is>
          <t>Volticons</t>
        </is>
      </c>
      <c r="AT26" s="24" t="inlineStr">
        <is>
          <t>Volticons</t>
        </is>
      </c>
      <c r="AU26" s="24" t="inlineStr">
        <is>
          <t>Volticons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9ed3b7c0f543c614a78fccecbb0979eec8778e51fbb9fd911e0de01bc829c3f7</t>
        </is>
      </c>
      <c r="BB26" s="24" t="inlineStr">
        <is>
          <t>neutral_elo</t>
        </is>
      </c>
      <c r="BC26" s="24" t="inlineStr">
        <is>
          <t>lol-tiered-elo-v5</t>
        </is>
      </c>
      <c r="BD26" s="24" t="inlineStr">
        <is>
          <t>9ed3b7c0f543c614a78fccecbb0979eec8778e51fbb9fd911e0de01bc829c3f7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lol-tiered-elo-v5</t>
        </is>
      </c>
      <c r="BH26" s="24" t="inlineStr">
        <is>
          <t>2026-08-03T19:54:45.717086Z</t>
        </is>
      </c>
      <c r="BI26" s="24" t="inlineStr">
        <is>
          <t>["same_event","same_team_same_day","same_league_same_day"]</t>
        </is>
      </c>
      <c r="BJ26" s="25" t="n"/>
      <c r="BK26" s="26" t="n">
        <v>-233</v>
      </c>
      <c r="BL26" s="27" t="n">
        <v>1.429185</v>
      </c>
      <c r="BM26" s="28" t="n">
        <v>0.6997</v>
      </c>
      <c r="BN26" s="28" t="n"/>
      <c r="BO26" s="28" t="n"/>
      <c r="BP26" s="25" t="n"/>
      <c r="BQ26" s="27" t="n">
        <v>1.429185</v>
      </c>
      <c r="BR26" s="28" t="n">
        <v>0.7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inlineStr">
        <is>
          <t>False</t>
        </is>
      </c>
    </row>
    <row r="27" ht="36" customHeight="1">
      <c r="A27" s="24" t="inlineStr">
        <is>
          <t>4f3d9aa6fc9b4d2c</t>
        </is>
      </c>
      <c r="B27" s="24" t="inlineStr">
        <is>
          <t>2026-08-03T19:55:05.099553Z</t>
        </is>
      </c>
      <c r="C27" s="24" t="inlineStr">
        <is>
          <t>2026-08-03T20:00:00Z</t>
        </is>
      </c>
      <c r="D27" s="24" t="inlineStr">
        <is>
          <t>67938</t>
        </is>
      </c>
      <c r="E27" s="24" t="inlineStr">
        <is>
          <t>LOL</t>
        </is>
      </c>
      <c r="F27" s="24" t="inlineStr">
        <is>
          <t>Ei Nerd Esports</t>
        </is>
      </c>
      <c r="G27" s="24" t="inlineStr">
        <is>
          <t>RMD Gaming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-233</v>
      </c>
      <c r="M27" s="27" t="n">
        <v>1.429185</v>
      </c>
      <c r="N27" s="28" t="n">
        <v>0.6997</v>
      </c>
      <c r="O27" s="28" t="n">
        <v>0.623328</v>
      </c>
      <c r="P27" s="28" t="n"/>
      <c r="Q27" s="28" t="n">
        <v>-0.076372</v>
      </c>
      <c r="R27" s="26" t="n">
        <v>0</v>
      </c>
      <c r="S27" s="29" t="n">
        <v>1.5</v>
      </c>
      <c r="T27" s="24" t="inlineStr">
        <is>
          <t>lol-tiered-elo-v5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0.0003</v>
      </c>
      <c r="AC27" s="30" t="n">
        <v>-1.5</v>
      </c>
      <c r="AD27" s="24" t="inlineStr">
        <is>
          <t>2026-08-03T22:55:42.656458Z</t>
        </is>
      </c>
      <c r="AE27" s="31" t="inlineStr">
        <is>
          <t>Neutral Elo baseline; executable ask 0.7000 (market_slug=aec-lol-rmd-nerd-2026-08-03).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Ei Nerd Esports</t>
        </is>
      </c>
      <c r="AQ27" s="24" t="inlineStr">
        <is>
          <t>Ei Nerd Esports</t>
        </is>
      </c>
      <c r="AR27" s="24" t="inlineStr">
        <is>
          <t>Ei Nerd Esports</t>
        </is>
      </c>
      <c r="AS27" s="24" t="inlineStr">
        <is>
          <t>RMD Gaming</t>
        </is>
      </c>
      <c r="AT27" s="24" t="inlineStr">
        <is>
          <t>RMD Gaming</t>
        </is>
      </c>
      <c r="AU27" s="24" t="inlineStr">
        <is>
          <t>RMD Gaming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9ed3b7c0f543c614a78fccecbb0979eec8778e51fbb9fd911e0de01bc829c3f7</t>
        </is>
      </c>
      <c r="BB27" s="24" t="inlineStr">
        <is>
          <t>neutral_elo</t>
        </is>
      </c>
      <c r="BC27" s="24" t="inlineStr">
        <is>
          <t>lol-tiered-elo-v5</t>
        </is>
      </c>
      <c r="BD27" s="24" t="inlineStr">
        <is>
          <t>9ed3b7c0f543c614a78fccecbb0979eec8778e51fbb9fd911e0de01bc829c3f7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lol-tiered-elo-v5</t>
        </is>
      </c>
      <c r="BH27" s="24" t="inlineStr">
        <is>
          <t>2026-08-03T19:54:46.201689Z</t>
        </is>
      </c>
      <c r="BI27" s="24" t="inlineStr">
        <is>
          <t>["same_event","same_team_same_day","same_league_same_day"]</t>
        </is>
      </c>
      <c r="BJ27" s="25" t="n"/>
      <c r="BK27" s="26" t="n">
        <v>-233</v>
      </c>
      <c r="BL27" s="27" t="n">
        <v>1.429185</v>
      </c>
      <c r="BM27" s="28" t="n">
        <v>0.6997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inlineStr">
        <is>
          <t>False</t>
        </is>
      </c>
    </row>
    <row r="28" ht="36" customHeight="1">
      <c r="A28" s="24" t="inlineStr">
        <is>
          <t>a7f139b165184216</t>
        </is>
      </c>
      <c r="B28" s="24" t="inlineStr">
        <is>
          <t>2026-08-03T19:55:05.099553Z</t>
        </is>
      </c>
      <c r="C28" s="24" t="inlineStr">
        <is>
          <t>2026-08-03T22:00:00Z</t>
        </is>
      </c>
      <c r="D28" s="24" t="inlineStr">
        <is>
          <t>68011</t>
        </is>
      </c>
      <c r="E28" s="24" t="inlineStr">
        <is>
          <t>LOL</t>
        </is>
      </c>
      <c r="F28" s="24" t="inlineStr">
        <is>
          <t>Vivo Keyd Stars Academy</t>
        </is>
      </c>
      <c r="G28" s="24" t="inlineStr">
        <is>
          <t>paiN Gaming Academy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113</v>
      </c>
      <c r="M28" s="27" t="n">
        <v>2.13</v>
      </c>
      <c r="N28" s="28" t="n">
        <v>0.469484</v>
      </c>
      <c r="O28" s="28" t="n">
        <v>0.53706</v>
      </c>
      <c r="P28" s="28" t="n"/>
      <c r="Q28" s="28" t="n">
        <v>0.067576</v>
      </c>
      <c r="R28" s="26" t="n">
        <v>54</v>
      </c>
      <c r="S28" s="29" t="n">
        <v>1</v>
      </c>
      <c r="T28" s="24" t="inlineStr">
        <is>
          <t>lol-tiered-elo-v5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113</v>
      </c>
      <c r="AA28" s="28" t="n">
        <v>0.47</v>
      </c>
      <c r="AB28" s="28" t="n">
        <v>0.000516</v>
      </c>
      <c r="AC28" s="30" t="n">
        <v>1.13</v>
      </c>
      <c r="AD28" s="24" t="inlineStr">
        <is>
          <t>2026-08-03T22:55:44.139370Z</t>
        </is>
      </c>
      <c r="AE28" s="31" t="inlineStr">
        <is>
          <t>Neutral Elo baseline; executable ask 0.4700 (market_slug=aec-lol-pnga-vksa-2026-08-03).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Vivo Keyd Stars Academy</t>
        </is>
      </c>
      <c r="AQ28" s="24" t="inlineStr">
        <is>
          <t>Vivo Keyd Stars Academy</t>
        </is>
      </c>
      <c r="AR28" s="24" t="inlineStr">
        <is>
          <t>Vivo Keyd Stars Academy</t>
        </is>
      </c>
      <c r="AS28" s="24" t="inlineStr">
        <is>
          <t>paiN Gaming Academy</t>
        </is>
      </c>
      <c r="AT28" s="24" t="inlineStr">
        <is>
          <t>paiN Gaming Academy</t>
        </is>
      </c>
      <c r="AU28" s="24" t="inlineStr">
        <is>
          <t>paiN Gaming Academy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9ed3b7c0f543c614a78fccecbb0979eec8778e51fbb9fd911e0de01bc829c3f7</t>
        </is>
      </c>
      <c r="BB28" s="24" t="inlineStr">
        <is>
          <t>neutral_elo</t>
        </is>
      </c>
      <c r="BC28" s="24" t="inlineStr">
        <is>
          <t>lol-tiered-elo-v5</t>
        </is>
      </c>
      <c r="BD28" s="24" t="inlineStr">
        <is>
          <t>9ed3b7c0f543c614a78fccecbb0979eec8778e51fbb9fd911e0de01bc829c3f7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lol-tiered-elo-v5</t>
        </is>
      </c>
      <c r="BH28" s="24" t="inlineStr">
        <is>
          <t>2026-08-03T19:54:47.216198Z</t>
        </is>
      </c>
      <c r="BI28" s="24" t="inlineStr">
        <is>
          <t>["same_event","same_team_same_day","same_league_same_day"]</t>
        </is>
      </c>
      <c r="BJ28" s="25" t="n"/>
      <c r="BK28" s="26" t="n">
        <v>113</v>
      </c>
      <c r="BL28" s="27" t="n">
        <v>2.13</v>
      </c>
      <c r="BM28" s="28" t="n">
        <v>0.469484</v>
      </c>
      <c r="BN28" s="28" t="n"/>
      <c r="BO28" s="28" t="n"/>
      <c r="BP28" s="25" t="n"/>
      <c r="BQ28" s="27" t="n">
        <v>2.13</v>
      </c>
      <c r="BR28" s="28" t="n">
        <v>0.47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inlineStr">
        <is>
          <t>True</t>
        </is>
      </c>
    </row>
    <row r="29" ht="36" customHeight="1">
      <c r="A29" s="24" t="inlineStr">
        <is>
          <t>e164be4d60ab48f6</t>
        </is>
      </c>
      <c r="B29" s="24" t="inlineStr">
        <is>
          <t>2026-08-04T05:18:58.736816Z</t>
        </is>
      </c>
      <c r="C29" s="24" t="inlineStr">
        <is>
          <t>2026-08-04T06:00:00Z</t>
        </is>
      </c>
      <c r="D29" s="24" t="inlineStr">
        <is>
          <t>70669</t>
        </is>
      </c>
      <c r="E29" s="24" t="inlineStr">
        <is>
          <t>LOL</t>
        </is>
      </c>
      <c r="F29" s="24" t="inlineStr">
        <is>
          <t>Hanwha Life Esports</t>
        </is>
      </c>
      <c r="G29" s="24" t="inlineStr">
        <is>
          <t>T1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-117</v>
      </c>
      <c r="M29" s="27" t="n">
        <v>1.854701</v>
      </c>
      <c r="N29" s="28" t="n">
        <v>0.539171</v>
      </c>
      <c r="O29" s="28" t="n">
        <v>0.530268</v>
      </c>
      <c r="P29" s="28" t="n"/>
      <c r="Q29" s="28" t="n">
        <v>-0.008902999999999999</v>
      </c>
      <c r="R29" s="26" t="n">
        <v>16</v>
      </c>
      <c r="S29" s="29" t="n">
        <v>1</v>
      </c>
      <c r="T29" s="24" t="inlineStr">
        <is>
          <t>lol-tiered-elo-v5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0.5400 (market_slug=aec-lol-t1-hle-2026-08-04).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Hanwha Life Esports</t>
        </is>
      </c>
      <c r="AQ29" s="24" t="inlineStr">
        <is>
          <t>Hanwha Life Esports</t>
        </is>
      </c>
      <c r="AR29" s="24" t="inlineStr">
        <is>
          <t>Hanwha Life Esports</t>
        </is>
      </c>
      <c r="AS29" s="24" t="inlineStr">
        <is>
          <t>T1</t>
        </is>
      </c>
      <c r="AT29" s="24" t="inlineStr">
        <is>
          <t>T1</t>
        </is>
      </c>
      <c r="AU29" s="24" t="inlineStr">
        <is>
          <t>T1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3cad1698285ce067945fffa86d78b132eab6a11da046a54b1a9513fa3414e5e2</t>
        </is>
      </c>
      <c r="BB29" s="24" t="inlineStr">
        <is>
          <t>neutral_elo</t>
        </is>
      </c>
      <c r="BC29" s="24" t="inlineStr">
        <is>
          <t>lol-tiered-elo-v5</t>
        </is>
      </c>
      <c r="BD29" s="24" t="inlineStr">
        <is>
          <t>3cad1698285ce067945fffa86d78b132eab6a11da046a54b1a9513fa3414e5e2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lol-tiered-elo-v5</t>
        </is>
      </c>
      <c r="BH29" s="24" t="inlineStr">
        <is>
          <t>2026-08-04T05:18:18.693939Z</t>
        </is>
      </c>
      <c r="BI29" s="24" t="inlineStr">
        <is>
          <t>["same_event","same_team_same_day","same_league_same_day"]</t>
        </is>
      </c>
      <c r="BJ29" s="25" t="n"/>
      <c r="BK29" s="26" t="n">
        <v>-117</v>
      </c>
      <c r="BL29" s="27" t="n">
        <v>1.854701</v>
      </c>
      <c r="BM29" s="28" t="n">
        <v>0.539171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inlineStr">
        <is>
          <t>False</t>
        </is>
      </c>
    </row>
    <row r="30" ht="36" customHeight="1">
      <c r="A30" s="24" t="inlineStr">
        <is>
          <t>543dd0d72d1946a9</t>
        </is>
      </c>
      <c r="B30" s="24" t="inlineStr">
        <is>
          <t>2026-08-04T08:56:56.469660Z</t>
        </is>
      </c>
      <c r="C30" s="24" t="inlineStr">
        <is>
          <t>2026-08-04T10:00:00Z</t>
        </is>
      </c>
      <c r="D30" s="24" t="inlineStr">
        <is>
          <t>68284</t>
        </is>
      </c>
      <c r="E30" s="24" t="inlineStr">
        <is>
          <t>LOL</t>
        </is>
      </c>
      <c r="F30" s="24" t="inlineStr">
        <is>
          <t>KT Rolster Challengers</t>
        </is>
      </c>
      <c r="G30" s="24" t="inlineStr">
        <is>
          <t>T1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-223</v>
      </c>
      <c r="M30" s="27" t="n">
        <v>1.44843</v>
      </c>
      <c r="N30" s="28" t="n">
        <v>0.690402</v>
      </c>
      <c r="O30" s="28" t="n">
        <v>0.613874</v>
      </c>
      <c r="P30" s="28" t="n"/>
      <c r="Q30" s="28" t="n">
        <v>-0.076528</v>
      </c>
      <c r="R30" s="26" t="n">
        <v>0</v>
      </c>
      <c r="S30" s="29" t="n">
        <v>1.5</v>
      </c>
      <c r="T30" s="24" t="inlineStr">
        <is>
          <t>lol-tiered-elo-v5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Neutral Elo baseline; executable ask 0.6900 (market_slug=aec-lol-t1a-ktc-2026-08-04).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KT Rolster Challengers</t>
        </is>
      </c>
      <c r="AQ30" s="24" t="inlineStr">
        <is>
          <t>KT Rolster Challengers</t>
        </is>
      </c>
      <c r="AR30" s="24" t="inlineStr">
        <is>
          <t>KT Rolster Challengers</t>
        </is>
      </c>
      <c r="AS30" s="24" t="inlineStr">
        <is>
          <t>T1 Academy</t>
        </is>
      </c>
      <c r="AT30" s="24" t="inlineStr">
        <is>
          <t>T1 Academy</t>
        </is>
      </c>
      <c r="AU30" s="24" t="inlineStr">
        <is>
          <t>T1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2aef9ef293099f7e3d21d8b6a25daad858c9b2bc1905102110b3b5d06e41ccd8</t>
        </is>
      </c>
      <c r="BB30" s="24" t="inlineStr">
        <is>
          <t>neutral_elo</t>
        </is>
      </c>
      <c r="BC30" s="24" t="inlineStr">
        <is>
          <t>lol-tiered-elo-v5</t>
        </is>
      </c>
      <c r="BD30" s="24" t="inlineStr">
        <is>
          <t>2aef9ef293099f7e3d21d8b6a25daad858c9b2bc1905102110b3b5d06e41ccd8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lol-tiered-elo-v5</t>
        </is>
      </c>
      <c r="BH30" s="24" t="inlineStr">
        <is>
          <t>2026-08-04T08:56:22.321845Z</t>
        </is>
      </c>
      <c r="BI30" s="24" t="inlineStr">
        <is>
          <t>["same_event","same_team_same_day","same_league_same_day"]</t>
        </is>
      </c>
      <c r="BJ30" s="25" t="n"/>
      <c r="BK30" s="26" t="n">
        <v>-223</v>
      </c>
      <c r="BL30" s="27" t="n">
        <v>1.44843</v>
      </c>
      <c r="BM30" s="28" t="n">
        <v>0.690402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inlineStr">
        <is>
          <t>False</t>
        </is>
      </c>
    </row>
    <row r="31" ht="36" customHeight="1">
      <c r="A31" s="24" t="inlineStr">
        <is>
          <t>d945818735054c3c</t>
        </is>
      </c>
      <c r="B31" s="24" t="inlineStr">
        <is>
          <t>2026-08-04T08:56:56.469660Z</t>
        </is>
      </c>
      <c r="C31" s="24" t="inlineStr">
        <is>
          <t>2026-08-04T10:30:00Z</t>
        </is>
      </c>
      <c r="D31" s="24" t="inlineStr">
        <is>
          <t>68295</t>
        </is>
      </c>
      <c r="E31" s="24" t="inlineStr">
        <is>
          <t>LOL</t>
        </is>
      </c>
      <c r="F31" s="24" t="inlineStr">
        <is>
          <t>Kiwoom DRX</t>
        </is>
      </c>
      <c r="G31" s="24" t="inlineStr">
        <is>
          <t>HANJIN BRION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-170</v>
      </c>
      <c r="M31" s="27" t="n">
        <v>1.588235</v>
      </c>
      <c r="N31" s="28" t="n">
        <v>0.62963</v>
      </c>
      <c r="O31" s="28" t="n">
        <v>0.578292</v>
      </c>
      <c r="P31" s="28" t="n"/>
      <c r="Q31" s="28" t="n">
        <v>-0.051338</v>
      </c>
      <c r="R31" s="26" t="n">
        <v>0</v>
      </c>
      <c r="S31" s="29" t="n">
        <v>1.25</v>
      </c>
      <c r="T31" s="24" t="inlineStr">
        <is>
          <t>lol-tiered-elo-v5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Neutral Elo baseline; executable ask 0.6300 (market_slug=aec-lol-bro-krx-2026-08-04).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Kiwoom DRX</t>
        </is>
      </c>
      <c r="AQ31" s="24" t="inlineStr">
        <is>
          <t>Kiwoom DRX</t>
        </is>
      </c>
      <c r="AR31" s="24" t="inlineStr">
        <is>
          <t>Kiwoom DRX</t>
        </is>
      </c>
      <c r="AS31" s="24" t="inlineStr">
        <is>
          <t>HANJIN BRION</t>
        </is>
      </c>
      <c r="AT31" s="24" t="inlineStr">
        <is>
          <t>HANJIN BRION</t>
        </is>
      </c>
      <c r="AU31" s="24" t="inlineStr">
        <is>
          <t>HANJIN BRION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2aef9ef293099f7e3d21d8b6a25daad858c9b2bc1905102110b3b5d06e41ccd8</t>
        </is>
      </c>
      <c r="BB31" s="24" t="inlineStr">
        <is>
          <t>neutral_elo</t>
        </is>
      </c>
      <c r="BC31" s="24" t="inlineStr">
        <is>
          <t>lol-tiered-elo-v5</t>
        </is>
      </c>
      <c r="BD31" s="24" t="inlineStr">
        <is>
          <t>2aef9ef293099f7e3d21d8b6a25daad858c9b2bc1905102110b3b5d06e41ccd8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lol-tiered-elo-v5</t>
        </is>
      </c>
      <c r="BH31" s="24" t="inlineStr">
        <is>
          <t>2026-08-04T08:56:22.857906Z</t>
        </is>
      </c>
      <c r="BI31" s="24" t="inlineStr">
        <is>
          <t>["same_event","same_team_same_day","same_league_same_day"]</t>
        </is>
      </c>
      <c r="BJ31" s="25" t="n"/>
      <c r="BK31" s="26" t="n">
        <v>-170</v>
      </c>
      <c r="BL31" s="27" t="n">
        <v>1.588235</v>
      </c>
      <c r="BM31" s="28" t="n">
        <v>0.62963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inlineStr">
        <is>
          <t>False</t>
        </is>
      </c>
    </row>
    <row r="32" ht="36" customHeight="1">
      <c r="A32" s="24" t="inlineStr">
        <is>
          <t>e8f0590f77774c6c</t>
        </is>
      </c>
      <c r="B32" s="24" t="inlineStr">
        <is>
          <t>2026-08-04T08:56:56.469660Z</t>
        </is>
      </c>
      <c r="C32" s="24" t="inlineStr">
        <is>
          <t>2026-08-04T16:00:00Z</t>
        </is>
      </c>
      <c r="D32" s="24" t="inlineStr">
        <is>
          <t>68510</t>
        </is>
      </c>
      <c r="E32" s="24" t="inlineStr">
        <is>
          <t>LOL</t>
        </is>
      </c>
      <c r="F32" s="24" t="inlineStr">
        <is>
          <t>The Secret Club</t>
        </is>
      </c>
      <c r="G32" s="24" t="inlineStr">
        <is>
          <t>MAGAZA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144</v>
      </c>
      <c r="M32" s="27" t="n">
        <v>2.44</v>
      </c>
      <c r="N32" s="28" t="n">
        <v>0.409836</v>
      </c>
      <c r="O32" s="28" t="n">
        <v>0.517061</v>
      </c>
      <c r="P32" s="28" t="n"/>
      <c r="Q32" s="28" t="n">
        <v>0.107225</v>
      </c>
      <c r="R32" s="26" t="n">
        <v>74</v>
      </c>
      <c r="S32" s="29" t="n">
        <v>1</v>
      </c>
      <c r="T32" s="24" t="inlineStr">
        <is>
          <t>lol-tiered-elo-v5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Neutral Elo baseline; executable ask 0.4100 (market_slug=aec-lol-mgz-tsc-2026-08-04).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The Secret Club</t>
        </is>
      </c>
      <c r="AQ32" s="24" t="inlineStr">
        <is>
          <t>The Secret Club</t>
        </is>
      </c>
      <c r="AR32" s="24" t="inlineStr">
        <is>
          <t>The Secret Club</t>
        </is>
      </c>
      <c r="AS32" s="24" t="inlineStr">
        <is>
          <t>MAGAZA</t>
        </is>
      </c>
      <c r="AT32" s="24" t="inlineStr">
        <is>
          <t>MAGAZA</t>
        </is>
      </c>
      <c r="AU32" s="24" t="inlineStr">
        <is>
          <t>MAGAZA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2aef9ef293099f7e3d21d8b6a25daad858c9b2bc1905102110b3b5d06e41ccd8</t>
        </is>
      </c>
      <c r="BB32" s="24" t="inlineStr">
        <is>
          <t>neutral_elo</t>
        </is>
      </c>
      <c r="BC32" s="24" t="inlineStr">
        <is>
          <t>lol-tiered-elo-v5</t>
        </is>
      </c>
      <c r="BD32" s="24" t="inlineStr">
        <is>
          <t>2aef9ef293099f7e3d21d8b6a25daad858c9b2bc1905102110b3b5d06e41ccd8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lol-tiered-elo-v5</t>
        </is>
      </c>
      <c r="BH32" s="24" t="inlineStr">
        <is>
          <t>2026-08-04T08:56:24.555143Z</t>
        </is>
      </c>
      <c r="BI32" s="24" t="inlineStr">
        <is>
          <t>["same_event","same_team_same_day","same_league_same_day"]</t>
        </is>
      </c>
      <c r="BJ32" s="25" t="n"/>
      <c r="BK32" s="26" t="n">
        <v>144</v>
      </c>
      <c r="BL32" s="27" t="n">
        <v>2.44</v>
      </c>
      <c r="BM32" s="28" t="n">
        <v>0.409836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inlineStr">
        <is>
          <t>True</t>
        </is>
      </c>
    </row>
    <row r="33" ht="36" customHeight="1">
      <c r="A33" s="24" t="inlineStr">
        <is>
          <t>0d452ec569fa4063</t>
        </is>
      </c>
      <c r="B33" s="24" t="inlineStr">
        <is>
          <t>2026-08-04T08:56:56.469660Z</t>
        </is>
      </c>
      <c r="C33" s="24" t="inlineStr">
        <is>
          <t>2026-08-04T16:00:00Z</t>
        </is>
      </c>
      <c r="D33" s="24" t="inlineStr">
        <is>
          <t>68509</t>
        </is>
      </c>
      <c r="E33" s="24" t="inlineStr">
        <is>
          <t>LOL</t>
        </is>
      </c>
      <c r="F33" s="24" t="inlineStr">
        <is>
          <t>Skillcamp Esport</t>
        </is>
      </c>
      <c r="G33" s="24" t="inlineStr">
        <is>
          <t>Ici Japon Corp. Esport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-108</v>
      </c>
      <c r="M33" s="27" t="n">
        <v>1.925926</v>
      </c>
      <c r="N33" s="28" t="n">
        <v>0.519231</v>
      </c>
      <c r="O33" s="28" t="n">
        <v>0.631317</v>
      </c>
      <c r="P33" s="28" t="n"/>
      <c r="Q33" s="28" t="n">
        <v>0.112086</v>
      </c>
      <c r="R33" s="26" t="n">
        <v>76</v>
      </c>
      <c r="S33" s="29" t="n">
        <v>1.5</v>
      </c>
      <c r="T33" s="24" t="inlineStr">
        <is>
          <t>lol-tiered-elo-v5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0.5200 (market_slug=aec-lol-ijc-sc-2026-08-04).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Skillcamp Esport</t>
        </is>
      </c>
      <c r="AQ33" s="24" t="inlineStr">
        <is>
          <t>Skillcamp Esport</t>
        </is>
      </c>
      <c r="AR33" s="24" t="inlineStr">
        <is>
          <t>Skillcamp Esport</t>
        </is>
      </c>
      <c r="AS33" s="24" t="inlineStr">
        <is>
          <t>Ici Japon Corp. Esport</t>
        </is>
      </c>
      <c r="AT33" s="24" t="inlineStr">
        <is>
          <t>Ici Japon Corp. Esport</t>
        </is>
      </c>
      <c r="AU33" s="24" t="inlineStr">
        <is>
          <t>Ici Japon Corp. Esport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2aef9ef293099f7e3d21d8b6a25daad858c9b2bc1905102110b3b5d06e41ccd8</t>
        </is>
      </c>
      <c r="BB33" s="24" t="inlineStr">
        <is>
          <t>neutral_elo</t>
        </is>
      </c>
      <c r="BC33" s="24" t="inlineStr">
        <is>
          <t>lol-tiered-elo-v5</t>
        </is>
      </c>
      <c r="BD33" s="24" t="inlineStr">
        <is>
          <t>2aef9ef293099f7e3d21d8b6a25daad858c9b2bc1905102110b3b5d06e41ccd8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lol-tiered-elo-v5</t>
        </is>
      </c>
      <c r="BH33" s="24" t="inlineStr">
        <is>
          <t>2026-08-04T08:56:25.701342Z</t>
        </is>
      </c>
      <c r="BI33" s="24" t="inlineStr">
        <is>
          <t>["same_event","same_team_same_day","same_league_same_day"]</t>
        </is>
      </c>
      <c r="BJ33" s="25" t="n"/>
      <c r="BK33" s="26" t="n">
        <v>-108</v>
      </c>
      <c r="BL33" s="27" t="n">
        <v>1.925926</v>
      </c>
      <c r="BM33" s="28" t="n">
        <v>0.519231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inlineStr">
        <is>
          <t>True</t>
        </is>
      </c>
    </row>
    <row r="34" ht="36" customHeight="1">
      <c r="A34" s="24" t="inlineStr">
        <is>
          <t>d841c1d7a3e94d90</t>
        </is>
      </c>
      <c r="B34" s="24" t="inlineStr">
        <is>
          <t>2026-08-04T08:56:56.469660Z</t>
        </is>
      </c>
      <c r="C34" s="24" t="inlineStr">
        <is>
          <t>2026-08-04T17:00:00Z</t>
        </is>
      </c>
      <c r="D34" s="24" t="inlineStr">
        <is>
          <t>70567</t>
        </is>
      </c>
      <c r="E34" s="24" t="inlineStr">
        <is>
          <t>LOL</t>
        </is>
      </c>
      <c r="F34" s="24" t="inlineStr">
        <is>
          <t>Anonymo Esports</t>
        </is>
      </c>
      <c r="G34" s="24" t="inlineStr">
        <is>
          <t>DOCISK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163</v>
      </c>
      <c r="M34" s="27" t="n">
        <v>2.63</v>
      </c>
      <c r="N34" s="28" t="n">
        <v>0.380228</v>
      </c>
      <c r="O34" s="28" t="n">
        <v>0.518338</v>
      </c>
      <c r="P34" s="28" t="n"/>
      <c r="Q34" s="28" t="n">
        <v>0.13811</v>
      </c>
      <c r="R34" s="26" t="n">
        <v>89</v>
      </c>
      <c r="S34" s="29" t="n">
        <v>1</v>
      </c>
      <c r="T34" s="24" t="inlineStr">
        <is>
          <t>lol-tiered-elo-v5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0.3800 (market_slug=aec-lol-doc-ae-2026-08-04).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Anonymo Esports</t>
        </is>
      </c>
      <c r="AQ34" s="24" t="inlineStr">
        <is>
          <t>Anonymo Esports</t>
        </is>
      </c>
      <c r="AR34" s="24" t="inlineStr">
        <is>
          <t>Anonymo Esports</t>
        </is>
      </c>
      <c r="AS34" s="24" t="inlineStr">
        <is>
          <t>DOCISK</t>
        </is>
      </c>
      <c r="AT34" s="24" t="inlineStr">
        <is>
          <t>DOCISK</t>
        </is>
      </c>
      <c r="AU34" s="24" t="inlineStr">
        <is>
          <t>DOCISK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2aef9ef293099f7e3d21d8b6a25daad858c9b2bc1905102110b3b5d06e41ccd8</t>
        </is>
      </c>
      <c r="BB34" s="24" t="inlineStr">
        <is>
          <t>neutral_elo</t>
        </is>
      </c>
      <c r="BC34" s="24" t="inlineStr">
        <is>
          <t>lol-tiered-elo-v5</t>
        </is>
      </c>
      <c r="BD34" s="24" t="inlineStr">
        <is>
          <t>2aef9ef293099f7e3d21d8b6a25daad858c9b2bc1905102110b3b5d06e41ccd8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lol-tiered-elo-v5</t>
        </is>
      </c>
      <c r="BH34" s="24" t="inlineStr">
        <is>
          <t>2026-08-04T08:56:26.316476Z</t>
        </is>
      </c>
      <c r="BI34" s="24" t="inlineStr">
        <is>
          <t>["same_event","same_team_same_day","same_league_same_day"]</t>
        </is>
      </c>
      <c r="BJ34" s="25" t="n"/>
      <c r="BK34" s="26" t="n">
        <v>163</v>
      </c>
      <c r="BL34" s="27" t="n">
        <v>2.63</v>
      </c>
      <c r="BM34" s="28" t="n">
        <v>0.380228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inlineStr">
        <is>
          <t>True</t>
        </is>
      </c>
    </row>
    <row r="35" ht="36" customHeight="1">
      <c r="A35" s="24" t="inlineStr">
        <is>
          <t>2290407cea2e4a40</t>
        </is>
      </c>
      <c r="B35" s="24" t="inlineStr">
        <is>
          <t>2026-08-04T08:56:56.469660Z</t>
        </is>
      </c>
      <c r="C35" s="24" t="inlineStr">
        <is>
          <t>2026-08-04T18:00:00Z</t>
        </is>
      </c>
      <c r="D35" s="24" t="inlineStr">
        <is>
          <t>68691</t>
        </is>
      </c>
      <c r="E35" s="24" t="inlineStr">
        <is>
          <t>LOL</t>
        </is>
      </c>
      <c r="F35" s="24" t="inlineStr">
        <is>
          <t>ZennIT</t>
        </is>
      </c>
      <c r="G35" s="24" t="inlineStr">
        <is>
          <t>Once Upon A Team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-203</v>
      </c>
      <c r="M35" s="27" t="n">
        <v>1.492611</v>
      </c>
      <c r="N35" s="28" t="n">
        <v>0.669967</v>
      </c>
      <c r="O35" s="28" t="n">
        <v>0.549366</v>
      </c>
      <c r="P35" s="28" t="n"/>
      <c r="Q35" s="28" t="n">
        <v>-0.120601</v>
      </c>
      <c r="R35" s="26" t="n">
        <v>0</v>
      </c>
      <c r="S35" s="29" t="n">
        <v>1</v>
      </c>
      <c r="T35" s="24" t="inlineStr">
        <is>
          <t>lol-tiered-elo-v5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0.6700 (market_slug=aec-lol-ouat-znt-2026-08-04).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ZennIT</t>
        </is>
      </c>
      <c r="AQ35" s="24" t="inlineStr">
        <is>
          <t>ZennIT</t>
        </is>
      </c>
      <c r="AR35" s="24" t="inlineStr">
        <is>
          <t>ZennIT</t>
        </is>
      </c>
      <c r="AS35" s="24" t="inlineStr">
        <is>
          <t>Once Upon A Team</t>
        </is>
      </c>
      <c r="AT35" s="24" t="inlineStr">
        <is>
          <t>Once Upon A Team</t>
        </is>
      </c>
      <c r="AU35" s="24" t="inlineStr">
        <is>
          <t>Once Upon A Team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2aef9ef293099f7e3d21d8b6a25daad858c9b2bc1905102110b3b5d06e41ccd8</t>
        </is>
      </c>
      <c r="BB35" s="24" t="inlineStr">
        <is>
          <t>neutral_elo</t>
        </is>
      </c>
      <c r="BC35" s="24" t="inlineStr">
        <is>
          <t>lol-tiered-elo-v5</t>
        </is>
      </c>
      <c r="BD35" s="24" t="inlineStr">
        <is>
          <t>2aef9ef293099f7e3d21d8b6a25daad858c9b2bc1905102110b3b5d06e41ccd8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lol-tiered-elo-v5</t>
        </is>
      </c>
      <c r="BH35" s="24" t="inlineStr">
        <is>
          <t>2026-08-04T08:56:29.255997Z</t>
        </is>
      </c>
      <c r="BI35" s="24" t="inlineStr">
        <is>
          <t>["same_event","same_team_same_day","same_league_same_day"]</t>
        </is>
      </c>
      <c r="BJ35" s="25" t="n"/>
      <c r="BK35" s="26" t="n">
        <v>-203</v>
      </c>
      <c r="BL35" s="27" t="n">
        <v>1.492611</v>
      </c>
      <c r="BM35" s="28" t="n">
        <v>0.669967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inlineStr">
        <is>
          <t>False</t>
        </is>
      </c>
    </row>
    <row r="36" ht="36" customHeight="1">
      <c r="A36" s="24" t="inlineStr">
        <is>
          <t>c267f2c13c334c73</t>
        </is>
      </c>
      <c r="B36" s="24" t="inlineStr">
        <is>
          <t>2026-08-04T08:56:56.469660Z</t>
        </is>
      </c>
      <c r="C36" s="24" t="inlineStr">
        <is>
          <t>2026-08-04T18:00:00Z</t>
        </is>
      </c>
      <c r="D36" s="24" t="inlineStr">
        <is>
          <t>68690</t>
        </is>
      </c>
      <c r="E36" s="24" t="inlineStr">
        <is>
          <t>LOL</t>
        </is>
      </c>
      <c r="F36" s="24" t="inlineStr">
        <is>
          <t>Lupus Esports</t>
        </is>
      </c>
      <c r="G36" s="24" t="inlineStr">
        <is>
          <t xml:space="preserve">Croatian Flair x RLX 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-117</v>
      </c>
      <c r="M36" s="27" t="n">
        <v>1.854701</v>
      </c>
      <c r="N36" s="28" t="n">
        <v>0.539171</v>
      </c>
      <c r="O36" s="28" t="n">
        <v>0.55055</v>
      </c>
      <c r="P36" s="28" t="n"/>
      <c r="Q36" s="28" t="n">
        <v>0.011379</v>
      </c>
      <c r="R36" s="26" t="n">
        <v>26</v>
      </c>
      <c r="S36" s="29" t="n">
        <v>1</v>
      </c>
      <c r="T36" s="24" t="inlineStr">
        <is>
          <t>lol-tiered-elo-v5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0.5400 (market_slug=aec-lol-cfxr-lps-2026-08-04).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Lupus Esports</t>
        </is>
      </c>
      <c r="AQ36" s="24" t="inlineStr">
        <is>
          <t>Lupus Esports</t>
        </is>
      </c>
      <c r="AR36" s="24" t="inlineStr">
        <is>
          <t>Lupus Esports</t>
        </is>
      </c>
      <c r="AS36" s="24" t="inlineStr">
        <is>
          <t xml:space="preserve">Croatian Flair x RLX </t>
        </is>
      </c>
      <c r="AT36" s="24" t="inlineStr">
        <is>
          <t xml:space="preserve">Croatian Flair x RLX </t>
        </is>
      </c>
      <c r="AU36" s="24" t="inlineStr">
        <is>
          <t xml:space="preserve">Croatian Flair x RLX 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2aef9ef293099f7e3d21d8b6a25daad858c9b2bc1905102110b3b5d06e41ccd8</t>
        </is>
      </c>
      <c r="BB36" s="24" t="inlineStr">
        <is>
          <t>neutral_elo</t>
        </is>
      </c>
      <c r="BC36" s="24" t="inlineStr">
        <is>
          <t>lol-tiered-elo-v5</t>
        </is>
      </c>
      <c r="BD36" s="24" t="inlineStr">
        <is>
          <t>2aef9ef293099f7e3d21d8b6a25daad858c9b2bc1905102110b3b5d06e41ccd8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lol-tiered-elo-v5</t>
        </is>
      </c>
      <c r="BH36" s="24" t="inlineStr">
        <is>
          <t>2026-08-04T08:56:29.939077Z</t>
        </is>
      </c>
      <c r="BI36" s="24" t="inlineStr">
        <is>
          <t>["same_event","same_team_same_day","same_league_same_day"]</t>
        </is>
      </c>
      <c r="BJ36" s="25" t="n"/>
      <c r="BK36" s="26" t="n">
        <v>-117</v>
      </c>
      <c r="BL36" s="27" t="n">
        <v>1.854701</v>
      </c>
      <c r="BM36" s="28" t="n">
        <v>0.539171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inlineStr">
        <is>
          <t>True</t>
        </is>
      </c>
    </row>
    <row r="37" ht="36" customHeight="1">
      <c r="A37" s="24" t="inlineStr">
        <is>
          <t>7c565f020050418f</t>
        </is>
      </c>
      <c r="B37" s="24" t="inlineStr">
        <is>
          <t>2026-08-04T08:56:56.469660Z</t>
        </is>
      </c>
      <c r="C37" s="24" t="inlineStr">
        <is>
          <t>2026-08-04T18:00:00Z</t>
        </is>
      </c>
      <c r="D37" s="24" t="inlineStr">
        <is>
          <t>68689</t>
        </is>
      </c>
      <c r="E37" s="24" t="inlineStr">
        <is>
          <t>LOL</t>
        </is>
      </c>
      <c r="F37" s="24" t="inlineStr">
        <is>
          <t>Way Gaming Esports</t>
        </is>
      </c>
      <c r="G37" s="24" t="inlineStr">
        <is>
          <t>Capybara Esports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-150</v>
      </c>
      <c r="M37" s="27" t="n">
        <v>1.666667</v>
      </c>
      <c r="N37" s="28" t="n">
        <v>0.6</v>
      </c>
      <c r="O37" s="28" t="n">
        <v>0.5739340000000001</v>
      </c>
      <c r="P37" s="28" t="n"/>
      <c r="Q37" s="28" t="n">
        <v>-0.026066</v>
      </c>
      <c r="R37" s="26" t="n">
        <v>7</v>
      </c>
      <c r="S37" s="29" t="n">
        <v>1.25</v>
      </c>
      <c r="T37" s="24" t="inlineStr">
        <is>
          <t>lol-tiered-elo-v5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0.6000 (market_slug=aec-lol-capy-wge-2026-08-04).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Way Gaming Esports</t>
        </is>
      </c>
      <c r="AQ37" s="24" t="inlineStr">
        <is>
          <t>Way Gaming Esports</t>
        </is>
      </c>
      <c r="AR37" s="24" t="inlineStr">
        <is>
          <t>Way Gaming Esports</t>
        </is>
      </c>
      <c r="AS37" s="24" t="inlineStr">
        <is>
          <t>Capybara Esports</t>
        </is>
      </c>
      <c r="AT37" s="24" t="inlineStr">
        <is>
          <t>Capybara Esports</t>
        </is>
      </c>
      <c r="AU37" s="24" t="inlineStr">
        <is>
          <t>Capybara Esports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2aef9ef293099f7e3d21d8b6a25daad858c9b2bc1905102110b3b5d06e41ccd8</t>
        </is>
      </c>
      <c r="BB37" s="24" t="inlineStr">
        <is>
          <t>neutral_elo</t>
        </is>
      </c>
      <c r="BC37" s="24" t="inlineStr">
        <is>
          <t>lol-tiered-elo-v5</t>
        </is>
      </c>
      <c r="BD37" s="24" t="inlineStr">
        <is>
          <t>2aef9ef293099f7e3d21d8b6a25daad858c9b2bc1905102110b3b5d06e41ccd8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lol-tiered-elo-v5</t>
        </is>
      </c>
      <c r="BH37" s="24" t="inlineStr">
        <is>
          <t>2026-08-04T08:56:30.477262Z</t>
        </is>
      </c>
      <c r="BI37" s="24" t="inlineStr">
        <is>
          <t>["same_event","same_team_same_day","same_league_same_day"]</t>
        </is>
      </c>
      <c r="BJ37" s="25" t="n"/>
      <c r="BK37" s="26" t="n">
        <v>-150</v>
      </c>
      <c r="BL37" s="27" t="n">
        <v>1.666667</v>
      </c>
      <c r="BM37" s="28" t="n">
        <v>0.6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inlineStr">
        <is>
          <t>False</t>
        </is>
      </c>
    </row>
    <row r="38" ht="36" customHeight="1">
      <c r="A38" s="24" t="inlineStr">
        <is>
          <t>ecc521fbceea451e</t>
        </is>
      </c>
      <c r="B38" s="24" t="inlineStr">
        <is>
          <t>2026-08-04T08:56:56.469660Z</t>
        </is>
      </c>
      <c r="C38" s="24" t="inlineStr">
        <is>
          <t>2026-08-04T18:00:00Z</t>
        </is>
      </c>
      <c r="D38" s="24" t="inlineStr">
        <is>
          <t>68688</t>
        </is>
      </c>
      <c r="E38" s="24" t="inlineStr">
        <is>
          <t>LOL</t>
        </is>
      </c>
      <c r="F38" s="24" t="inlineStr">
        <is>
          <t>Joblife</t>
        </is>
      </c>
      <c r="G38" s="24" t="inlineStr">
        <is>
          <t>ZYB Esport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-122</v>
      </c>
      <c r="M38" s="27" t="n">
        <v>1.819672</v>
      </c>
      <c r="N38" s="28" t="n">
        <v>0.54955</v>
      </c>
      <c r="O38" s="28" t="n">
        <v>0.531003</v>
      </c>
      <c r="P38" s="28" t="n"/>
      <c r="Q38" s="28" t="n">
        <v>-0.018547</v>
      </c>
      <c r="R38" s="26" t="n">
        <v>11</v>
      </c>
      <c r="S38" s="29" t="n">
        <v>1</v>
      </c>
      <c r="T38" s="24" t="inlineStr">
        <is>
          <t>lol-tiered-elo-v5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0.5500 (market_slug=aec-lol-zyb-jl-2026-08-04).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Joblife</t>
        </is>
      </c>
      <c r="AQ38" s="24" t="inlineStr">
        <is>
          <t>Joblife</t>
        </is>
      </c>
      <c r="AR38" s="24" t="inlineStr">
        <is>
          <t>Joblife</t>
        </is>
      </c>
      <c r="AS38" s="24" t="inlineStr">
        <is>
          <t>ZYB Esport</t>
        </is>
      </c>
      <c r="AT38" s="24" t="inlineStr">
        <is>
          <t>ZYB Esport</t>
        </is>
      </c>
      <c r="AU38" s="24" t="inlineStr">
        <is>
          <t>ZYB Esport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2aef9ef293099f7e3d21d8b6a25daad858c9b2bc1905102110b3b5d06e41ccd8</t>
        </is>
      </c>
      <c r="BB38" s="24" t="inlineStr">
        <is>
          <t>neutral_elo</t>
        </is>
      </c>
      <c r="BC38" s="24" t="inlineStr">
        <is>
          <t>lol-tiered-elo-v5</t>
        </is>
      </c>
      <c r="BD38" s="24" t="inlineStr">
        <is>
          <t>2aef9ef293099f7e3d21d8b6a25daad858c9b2bc1905102110b3b5d06e41ccd8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lol-tiered-elo-v5</t>
        </is>
      </c>
      <c r="BH38" s="24" t="inlineStr">
        <is>
          <t>2026-08-04T08:56:31.160482Z</t>
        </is>
      </c>
      <c r="BI38" s="24" t="inlineStr">
        <is>
          <t>["same_event","same_team_same_day","same_league_same_day"]</t>
        </is>
      </c>
      <c r="BJ38" s="25" t="n"/>
      <c r="BK38" s="26" t="n">
        <v>-122</v>
      </c>
      <c r="BL38" s="27" t="n">
        <v>1.819672</v>
      </c>
      <c r="BM38" s="28" t="n">
        <v>0.54955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inlineStr">
        <is>
          <t>False</t>
        </is>
      </c>
    </row>
    <row r="39" ht="36" customHeight="1">
      <c r="A39" s="24" t="inlineStr">
        <is>
          <t>a0f91ef42338491d</t>
        </is>
      </c>
      <c r="B39" s="24" t="inlineStr">
        <is>
          <t>2026-08-04T08:56:56.469660Z</t>
        </is>
      </c>
      <c r="C39" s="24" t="inlineStr">
        <is>
          <t>2026-08-04T20:00:00Z</t>
        </is>
      </c>
      <c r="D39" s="24" t="inlineStr">
        <is>
          <t>69143</t>
        </is>
      </c>
      <c r="E39" s="24" t="inlineStr">
        <is>
          <t>LOL</t>
        </is>
      </c>
      <c r="F39" s="24" t="inlineStr">
        <is>
          <t>Malvinas Gaming</t>
        </is>
      </c>
      <c r="G39" s="24" t="inlineStr">
        <is>
          <t>Maze Gaming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-163</v>
      </c>
      <c r="M39" s="27" t="n">
        <v>1.613497</v>
      </c>
      <c r="N39" s="28" t="n">
        <v>0.619772</v>
      </c>
      <c r="O39" s="28" t="n">
        <v>0.624143</v>
      </c>
      <c r="P39" s="28" t="n"/>
      <c r="Q39" s="28" t="n">
        <v>0.004371</v>
      </c>
      <c r="R39" s="26" t="n">
        <v>22</v>
      </c>
      <c r="S39" s="29" t="n">
        <v>1.5</v>
      </c>
      <c r="T39" s="24" t="inlineStr">
        <is>
          <t>lol-tiered-elo-v5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Neutral Elo baseline; executable ask 0.6200 (market_slug=aec-lol-maz-mg-2026-08-04).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Malvinas Gaming</t>
        </is>
      </c>
      <c r="AQ39" s="24" t="inlineStr">
        <is>
          <t>Malvinas Gaming</t>
        </is>
      </c>
      <c r="AR39" s="24" t="inlineStr">
        <is>
          <t>Malvinas Gaming</t>
        </is>
      </c>
      <c r="AS39" s="24" t="inlineStr">
        <is>
          <t>Maze Gaming</t>
        </is>
      </c>
      <c r="AT39" s="24" t="inlineStr">
        <is>
          <t>Maze Gaming</t>
        </is>
      </c>
      <c r="AU39" s="24" t="inlineStr">
        <is>
          <t>Maze Gaming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2aef9ef293099f7e3d21d8b6a25daad858c9b2bc1905102110b3b5d06e41ccd8</t>
        </is>
      </c>
      <c r="BB39" s="24" t="inlineStr">
        <is>
          <t>neutral_elo</t>
        </is>
      </c>
      <c r="BC39" s="24" t="inlineStr">
        <is>
          <t>lol-tiered-elo-v5</t>
        </is>
      </c>
      <c r="BD39" s="24" t="inlineStr">
        <is>
          <t>2aef9ef293099f7e3d21d8b6a25daad858c9b2bc1905102110b3b5d06e41ccd8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lol-tiered-elo-v5</t>
        </is>
      </c>
      <c r="BH39" s="24" t="inlineStr">
        <is>
          <t>2026-08-04T08:56:34.284466Z</t>
        </is>
      </c>
      <c r="BI39" s="24" t="inlineStr">
        <is>
          <t>["same_event","same_team_same_day","same_league_same_day"]</t>
        </is>
      </c>
      <c r="BJ39" s="25" t="n"/>
      <c r="BK39" s="26" t="n">
        <v>-163</v>
      </c>
      <c r="BL39" s="27" t="n">
        <v>1.613497</v>
      </c>
      <c r="BM39" s="28" t="n">
        <v>0.619772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inlineStr">
        <is>
          <t>True</t>
        </is>
      </c>
    </row>
    <row r="40" ht="36" customHeight="1">
      <c r="A40" s="24" t="inlineStr">
        <is>
          <t>4605a6cd92a44696</t>
        </is>
      </c>
      <c r="B40" s="24" t="inlineStr">
        <is>
          <t>2026-08-04T08:56:56.469660Z</t>
        </is>
      </c>
      <c r="C40" s="24" t="inlineStr">
        <is>
          <t>2026-08-04T20:00:00Z</t>
        </is>
      </c>
      <c r="D40" s="24" t="inlineStr">
        <is>
          <t>69144</t>
        </is>
      </c>
      <c r="E40" s="24" t="inlineStr">
        <is>
          <t>LOL</t>
        </is>
      </c>
      <c r="F40" s="24" t="inlineStr">
        <is>
          <t>INTZ e-Sports</t>
        </is>
      </c>
      <c r="G40" s="24" t="inlineStr">
        <is>
          <t>Vivo Keyd Stars Academy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104</v>
      </c>
      <c r="M40" s="27" t="n">
        <v>2.04</v>
      </c>
      <c r="N40" s="28" t="n">
        <v>0.490196</v>
      </c>
      <c r="O40" s="28" t="n">
        <v>0.591618</v>
      </c>
      <c r="P40" s="28" t="n"/>
      <c r="Q40" s="28" t="n">
        <v>0.101422</v>
      </c>
      <c r="R40" s="26" t="n">
        <v>71</v>
      </c>
      <c r="S40" s="29" t="n">
        <v>1.25</v>
      </c>
      <c r="T40" s="24" t="inlineStr">
        <is>
          <t>lol-tiered-elo-v5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Neutral Elo baseline; executable ask 0.4900 (market_slug=aec-lol-vksa-itz-2026-08-04).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INTZ e-Sports</t>
        </is>
      </c>
      <c r="AQ40" s="24" t="inlineStr">
        <is>
          <t>INTZ e-Sports</t>
        </is>
      </c>
      <c r="AR40" s="24" t="inlineStr">
        <is>
          <t>INTZ e-Sports</t>
        </is>
      </c>
      <c r="AS40" s="24" t="inlineStr">
        <is>
          <t>Vivo Keyd Stars Academy</t>
        </is>
      </c>
      <c r="AT40" s="24" t="inlineStr">
        <is>
          <t>Vivo Keyd Stars Academy</t>
        </is>
      </c>
      <c r="AU40" s="24" t="inlineStr">
        <is>
          <t>Vivo Keyd Stars Academy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2aef9ef293099f7e3d21d8b6a25daad858c9b2bc1905102110b3b5d06e41ccd8</t>
        </is>
      </c>
      <c r="BB40" s="24" t="inlineStr">
        <is>
          <t>neutral_elo</t>
        </is>
      </c>
      <c r="BC40" s="24" t="inlineStr">
        <is>
          <t>lol-tiered-elo-v5</t>
        </is>
      </c>
      <c r="BD40" s="24" t="inlineStr">
        <is>
          <t>2aef9ef293099f7e3d21d8b6a25daad858c9b2bc1905102110b3b5d06e41ccd8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lol-tiered-elo-v5</t>
        </is>
      </c>
      <c r="BH40" s="24" t="inlineStr">
        <is>
          <t>2026-08-04T08:56:34.823771Z</t>
        </is>
      </c>
      <c r="BI40" s="24" t="inlineStr">
        <is>
          <t>["same_event","same_team_same_day","same_league_same_day"]</t>
        </is>
      </c>
      <c r="BJ40" s="25" t="n"/>
      <c r="BK40" s="26" t="n">
        <v>104</v>
      </c>
      <c r="BL40" s="27" t="n">
        <v>2.04</v>
      </c>
      <c r="BM40" s="28" t="n">
        <v>0.490196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inlineStr">
        <is>
          <t>True</t>
        </is>
      </c>
    </row>
    <row r="41" ht="36" customHeight="1">
      <c r="A41" s="24" t="inlineStr">
        <is>
          <t>da93371c9e9d45ba</t>
        </is>
      </c>
      <c r="B41" s="24" t="inlineStr">
        <is>
          <t>2026-08-04T08:56:56.469660Z</t>
        </is>
      </c>
      <c r="C41" s="24" t="inlineStr">
        <is>
          <t>2026-08-04T20:00:00Z</t>
        </is>
      </c>
      <c r="D41" s="24" t="inlineStr">
        <is>
          <t>69141</t>
        </is>
      </c>
      <c r="E41" s="24" t="inlineStr">
        <is>
          <t>LOL</t>
        </is>
      </c>
      <c r="F41" s="24" t="inlineStr">
        <is>
          <t>Vitality.Bee</t>
        </is>
      </c>
      <c r="G41" s="24" t="inlineStr">
        <is>
          <t>Karmine Corp Blue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-186</v>
      </c>
      <c r="M41" s="27" t="n">
        <v>1.537634</v>
      </c>
      <c r="N41" s="28" t="n">
        <v>0.65035</v>
      </c>
      <c r="O41" s="28" t="n">
        <v>0.649994</v>
      </c>
      <c r="P41" s="28" t="n"/>
      <c r="Q41" s="28" t="n">
        <v>-0.000356</v>
      </c>
      <c r="R41" s="26" t="n">
        <v>20</v>
      </c>
      <c r="S41" s="29" t="n">
        <v>1.75</v>
      </c>
      <c r="T41" s="24" t="inlineStr">
        <is>
          <t>lol-tiered-elo-v5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Neutral Elo baseline; executable ask 0.6500 (market_slug=aec-lol-kcb-vitb-2026-08-04).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NO_CALL_LOW_EDGE</t>
        </is>
      </c>
      <c r="AP41" s="24" t="inlineStr">
        <is>
          <t>Vitality.Bee</t>
        </is>
      </c>
      <c r="AQ41" s="24" t="inlineStr">
        <is>
          <t>Vitality.Bee</t>
        </is>
      </c>
      <c r="AR41" s="24" t="inlineStr">
        <is>
          <t>Vitality.Bee</t>
        </is>
      </c>
      <c r="AS41" s="24" t="inlineStr">
        <is>
          <t>Karmine Corp Blue</t>
        </is>
      </c>
      <c r="AT41" s="24" t="inlineStr">
        <is>
          <t>Karmine Corp Blue</t>
        </is>
      </c>
      <c r="AU41" s="24" t="inlineStr">
        <is>
          <t>Karmine Corp Blue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2aef9ef293099f7e3d21d8b6a25daad858c9b2bc1905102110b3b5d06e41ccd8</t>
        </is>
      </c>
      <c r="BB41" s="24" t="inlineStr">
        <is>
          <t>neutral_elo</t>
        </is>
      </c>
      <c r="BC41" s="24" t="inlineStr">
        <is>
          <t>lol-tiered-elo-v5</t>
        </is>
      </c>
      <c r="BD41" s="24" t="inlineStr">
        <is>
          <t>2aef9ef293099f7e3d21d8b6a25daad858c9b2bc1905102110b3b5d06e41ccd8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lol-tiered-elo-v5</t>
        </is>
      </c>
      <c r="BH41" s="24" t="inlineStr">
        <is>
          <t>2026-08-04T08:56:35.473901Z</t>
        </is>
      </c>
      <c r="BI41" s="24" t="inlineStr">
        <is>
          <t>["same_event","same_team_same_day","same_league_same_day"]</t>
        </is>
      </c>
      <c r="BJ41" s="25" t="n"/>
      <c r="BK41" s="26" t="n">
        <v>-186</v>
      </c>
      <c r="BL41" s="27" t="n">
        <v>1.537634</v>
      </c>
      <c r="BM41" s="28" t="n">
        <v>0.65035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inlineStr">
        <is>
          <t>False</t>
        </is>
      </c>
    </row>
    <row r="42" ht="36" customHeight="1">
      <c r="A42" s="24" t="inlineStr">
        <is>
          <t>1a9709a138004957</t>
        </is>
      </c>
      <c r="B42" s="24" t="inlineStr">
        <is>
          <t>2026-08-04T08:56:56.469660Z</t>
        </is>
      </c>
      <c r="C42" s="24" t="inlineStr">
        <is>
          <t>2026-08-04T21:00:00Z</t>
        </is>
      </c>
      <c r="D42" s="24" t="inlineStr">
        <is>
          <t>69234</t>
        </is>
      </c>
      <c r="E42" s="24" t="inlineStr">
        <is>
          <t>LOL</t>
        </is>
      </c>
      <c r="F42" s="24" t="inlineStr">
        <is>
          <t>Bubliki</t>
        </is>
      </c>
      <c r="G42" s="24" t="inlineStr">
        <is>
          <t>Francesinhas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150</v>
      </c>
      <c r="M42" s="27" t="n">
        <v>2.5</v>
      </c>
      <c r="N42" s="28" t="n">
        <v>0.4</v>
      </c>
      <c r="O42" s="28" t="n">
        <v>0.51668</v>
      </c>
      <c r="P42" s="28" t="n"/>
      <c r="Q42" s="28" t="n">
        <v>0.11668</v>
      </c>
      <c r="R42" s="26" t="n">
        <v>78</v>
      </c>
      <c r="S42" s="29" t="n">
        <v>1</v>
      </c>
      <c r="T42" s="24" t="inlineStr">
        <is>
          <t>lol-tiered-elo-v5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0.4000 (market_slug=aec-lol-fcn-bub-2026-08-04).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NO_CALL_LOW_EDGE</t>
        </is>
      </c>
      <c r="AP42" s="24" t="inlineStr">
        <is>
          <t>Bubliki</t>
        </is>
      </c>
      <c r="AQ42" s="24" t="inlineStr">
        <is>
          <t>Bubliki</t>
        </is>
      </c>
      <c r="AR42" s="24" t="inlineStr">
        <is>
          <t>Bubliki</t>
        </is>
      </c>
      <c r="AS42" s="24" t="inlineStr">
        <is>
          <t>Francesinhas</t>
        </is>
      </c>
      <c r="AT42" s="24" t="inlineStr">
        <is>
          <t>Francesinhas</t>
        </is>
      </c>
      <c r="AU42" s="24" t="inlineStr">
        <is>
          <t>Francesinhas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2aef9ef293099f7e3d21d8b6a25daad858c9b2bc1905102110b3b5d06e41ccd8</t>
        </is>
      </c>
      <c r="BB42" s="24" t="inlineStr">
        <is>
          <t>neutral_elo</t>
        </is>
      </c>
      <c r="BC42" s="24" t="inlineStr">
        <is>
          <t>lol-tiered-elo-v5</t>
        </is>
      </c>
      <c r="BD42" s="24" t="inlineStr">
        <is>
          <t>2aef9ef293099f7e3d21d8b6a25daad858c9b2bc1905102110b3b5d06e41ccd8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lol-tiered-elo-v5</t>
        </is>
      </c>
      <c r="BH42" s="24" t="inlineStr">
        <is>
          <t>2026-08-04T08:56:35.928266Z</t>
        </is>
      </c>
      <c r="BI42" s="24" t="inlineStr">
        <is>
          <t>["same_event","same_team_same_day","same_league_same_day"]</t>
        </is>
      </c>
      <c r="BJ42" s="25" t="n"/>
      <c r="BK42" s="26" t="n">
        <v>150</v>
      </c>
      <c r="BL42" s="27" t="n">
        <v>2.5</v>
      </c>
      <c r="BM42" s="28" t="n">
        <v>0.4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inlineStr">
        <is>
          <t>True</t>
        </is>
      </c>
    </row>
    <row r="43" ht="36" customHeight="1">
      <c r="A43" s="24" t="inlineStr">
        <is>
          <t>f3369b750e9a4754</t>
        </is>
      </c>
      <c r="B43" s="24" t="inlineStr">
        <is>
          <t>2026-08-04T08:56:56.469660Z</t>
        </is>
      </c>
      <c r="C43" s="24" t="inlineStr">
        <is>
          <t>2026-08-04T21:00:00Z</t>
        </is>
      </c>
      <c r="D43" s="24" t="inlineStr">
        <is>
          <t>69233</t>
        </is>
      </c>
      <c r="E43" s="24" t="inlineStr">
        <is>
          <t>LOL</t>
        </is>
      </c>
      <c r="F43" s="24" t="inlineStr">
        <is>
          <t>Team Solid</t>
        </is>
      </c>
      <c r="G43" s="24" t="inlineStr">
        <is>
          <t>RED Academy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194</v>
      </c>
      <c r="M43" s="27" t="n">
        <v>2.94</v>
      </c>
      <c r="N43" s="28" t="n">
        <v>0.340136</v>
      </c>
      <c r="O43" s="28" t="n">
        <v>0.5725</v>
      </c>
      <c r="P43" s="28" t="n"/>
      <c r="Q43" s="28" t="n">
        <v>0.232364</v>
      </c>
      <c r="R43" s="26" t="n">
        <v>100</v>
      </c>
      <c r="S43" s="29" t="n">
        <v>1.25</v>
      </c>
      <c r="T43" s="24" t="inlineStr">
        <is>
          <t>lol-tiered-elo-v5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Neutral Elo baseline; executable ask 0.3400 (market_slug=aec-lol-reda-tse-2026-08-04).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Team Solid</t>
        </is>
      </c>
      <c r="AQ43" s="24" t="inlineStr">
        <is>
          <t>Team Solid</t>
        </is>
      </c>
      <c r="AR43" s="24" t="inlineStr">
        <is>
          <t>Team Solid</t>
        </is>
      </c>
      <c r="AS43" s="24" t="inlineStr">
        <is>
          <t>RED Academy</t>
        </is>
      </c>
      <c r="AT43" s="24" t="inlineStr">
        <is>
          <t>RED Academy</t>
        </is>
      </c>
      <c r="AU43" s="24" t="inlineStr">
        <is>
          <t>RED Academy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2aef9ef293099f7e3d21d8b6a25daad858c9b2bc1905102110b3b5d06e41ccd8</t>
        </is>
      </c>
      <c r="BB43" s="24" t="inlineStr">
        <is>
          <t>neutral_elo</t>
        </is>
      </c>
      <c r="BC43" s="24" t="inlineStr">
        <is>
          <t>lol-tiered-elo-v5</t>
        </is>
      </c>
      <c r="BD43" s="24" t="inlineStr">
        <is>
          <t>2aef9ef293099f7e3d21d8b6a25daad858c9b2bc1905102110b3b5d06e41ccd8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lol-tiered-elo-v5</t>
        </is>
      </c>
      <c r="BH43" s="24" t="inlineStr">
        <is>
          <t>2026-08-04T08:56:36.567095Z</t>
        </is>
      </c>
      <c r="BI43" s="24" t="inlineStr">
        <is>
          <t>["same_event","same_team_same_day","same_league_same_day"]</t>
        </is>
      </c>
      <c r="BJ43" s="25" t="n"/>
      <c r="BK43" s="26" t="n">
        <v>194</v>
      </c>
      <c r="BL43" s="27" t="n">
        <v>2.94</v>
      </c>
      <c r="BM43" s="28" t="n">
        <v>0.340136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inlineStr">
        <is>
          <t>True</t>
        </is>
      </c>
    </row>
    <row r="44" ht="36" customHeight="1">
      <c r="A44" s="24" t="inlineStr">
        <is>
          <t>93d9e90b7536488d</t>
        </is>
      </c>
      <c r="B44" s="24" t="inlineStr">
        <is>
          <t>2026-08-04T08:56:56.469660Z</t>
        </is>
      </c>
      <c r="C44" s="24" t="inlineStr">
        <is>
          <t>2026-08-04T22:00:00Z</t>
        </is>
      </c>
      <c r="D44" s="24" t="inlineStr">
        <is>
          <t>69273</t>
        </is>
      </c>
      <c r="E44" s="24" t="inlineStr">
        <is>
          <t>LOL</t>
        </is>
      </c>
      <c r="F44" s="24" t="inlineStr">
        <is>
          <t>RMD Gaming</t>
        </is>
      </c>
      <c r="G44" s="24" t="inlineStr">
        <is>
          <t>7REX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-117</v>
      </c>
      <c r="M44" s="27" t="n">
        <v>1.854701</v>
      </c>
      <c r="N44" s="28" t="n">
        <v>0.539171</v>
      </c>
      <c r="O44" s="28" t="n">
        <v>0.604656</v>
      </c>
      <c r="P44" s="28" t="n"/>
      <c r="Q44" s="28" t="n">
        <v>0.065485</v>
      </c>
      <c r="R44" s="26" t="n">
        <v>53</v>
      </c>
      <c r="S44" s="29" t="n">
        <v>1.25</v>
      </c>
      <c r="T44" s="24" t="inlineStr">
        <is>
          <t>lol-tiered-elo-v5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0.5400 (market_slug=aec-lol-7rex-rmd-2026-08-04).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RMD Gaming</t>
        </is>
      </c>
      <c r="AQ44" s="24" t="inlineStr">
        <is>
          <t>RMD Gaming</t>
        </is>
      </c>
      <c r="AR44" s="24" t="inlineStr">
        <is>
          <t>RMD Gaming</t>
        </is>
      </c>
      <c r="AS44" s="24" t="inlineStr">
        <is>
          <t>7REX</t>
        </is>
      </c>
      <c r="AT44" s="24" t="inlineStr">
        <is>
          <t>7REX</t>
        </is>
      </c>
      <c r="AU44" s="24" t="inlineStr">
        <is>
          <t>7REX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2aef9ef293099f7e3d21d8b6a25daad858c9b2bc1905102110b3b5d06e41ccd8</t>
        </is>
      </c>
      <c r="BB44" s="24" t="inlineStr">
        <is>
          <t>neutral_elo</t>
        </is>
      </c>
      <c r="BC44" s="24" t="inlineStr">
        <is>
          <t>lol-tiered-elo-v5</t>
        </is>
      </c>
      <c r="BD44" s="24" t="inlineStr">
        <is>
          <t>2aef9ef293099f7e3d21d8b6a25daad858c9b2bc1905102110b3b5d06e41ccd8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lol-tiered-elo-v5</t>
        </is>
      </c>
      <c r="BH44" s="24" t="inlineStr">
        <is>
          <t>2026-08-04T08:56:37.194950Z</t>
        </is>
      </c>
      <c r="BI44" s="24" t="inlineStr">
        <is>
          <t>["same_event","same_team_same_day","same_league_same_day"]</t>
        </is>
      </c>
      <c r="BJ44" s="25" t="n"/>
      <c r="BK44" s="26" t="n">
        <v>-117</v>
      </c>
      <c r="BL44" s="27" t="n">
        <v>1.854701</v>
      </c>
      <c r="BM44" s="28" t="n">
        <v>0.539171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inlineStr">
        <is>
          <t>True</t>
        </is>
      </c>
    </row>
    <row r="45" ht="36" customHeight="1">
      <c r="A45" s="24" t="inlineStr">
        <is>
          <t>b540df1859334978</t>
        </is>
      </c>
      <c r="B45" s="24" t="inlineStr">
        <is>
          <t>2026-08-04T08:56:56.469660Z</t>
        </is>
      </c>
      <c r="C45" s="24" t="inlineStr">
        <is>
          <t>2026-08-04T23:00:00Z</t>
        </is>
      </c>
      <c r="D45" s="24" t="inlineStr">
        <is>
          <t>69304</t>
        </is>
      </c>
      <c r="E45" s="24" t="inlineStr">
        <is>
          <t>LOL</t>
        </is>
      </c>
      <c r="F45" s="24" t="inlineStr">
        <is>
          <t>paiN Gaming Academy</t>
        </is>
      </c>
      <c r="G45" s="24" t="inlineStr">
        <is>
          <t>KaBuM! Ilha das Lendas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-127</v>
      </c>
      <c r="M45" s="27" t="n">
        <v>1.787402</v>
      </c>
      <c r="N45" s="28" t="n">
        <v>0.5594710000000001</v>
      </c>
      <c r="O45" s="28" t="n">
        <v>0.546359</v>
      </c>
      <c r="P45" s="28" t="n"/>
      <c r="Q45" s="28" t="n">
        <v>-0.013112</v>
      </c>
      <c r="R45" s="26" t="n">
        <v>13</v>
      </c>
      <c r="S45" s="29" t="n">
        <v>1</v>
      </c>
      <c r="T45" s="24" t="inlineStr">
        <is>
          <t>lol-tiered-elo-v5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Neutral Elo baseline; executable ask 0.5600 (market_slug=aec-lol-kbm-pnga-2026-08-04).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paiN Gaming Academy</t>
        </is>
      </c>
      <c r="AQ45" s="24" t="inlineStr">
        <is>
          <t>paiN Gaming Academy</t>
        </is>
      </c>
      <c r="AR45" s="24" t="inlineStr">
        <is>
          <t>paiN Gaming Academy</t>
        </is>
      </c>
      <c r="AS45" s="24" t="inlineStr">
        <is>
          <t>KaBuM! Ilha das Lendas</t>
        </is>
      </c>
      <c r="AT45" s="24" t="inlineStr">
        <is>
          <t>KaBuM! Ilha das Lendas</t>
        </is>
      </c>
      <c r="AU45" s="24" t="inlineStr">
        <is>
          <t>KaBuM! Ilha das Lendas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2aef9ef293099f7e3d21d8b6a25daad858c9b2bc1905102110b3b5d06e41ccd8</t>
        </is>
      </c>
      <c r="BB45" s="24" t="inlineStr">
        <is>
          <t>neutral_elo</t>
        </is>
      </c>
      <c r="BC45" s="24" t="inlineStr">
        <is>
          <t>lol-tiered-elo-v5</t>
        </is>
      </c>
      <c r="BD45" s="24" t="inlineStr">
        <is>
          <t>2aef9ef293099f7e3d21d8b6a25daad858c9b2bc1905102110b3b5d06e41ccd8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lol-tiered-elo-v5</t>
        </is>
      </c>
      <c r="BH45" s="24" t="inlineStr">
        <is>
          <t>2026-08-04T08:56:37.736771Z</t>
        </is>
      </c>
      <c r="BI45" s="24" t="inlineStr">
        <is>
          <t>["same_event","same_team_same_day","same_league_same_day"]</t>
        </is>
      </c>
      <c r="BJ45" s="25" t="n"/>
      <c r="BK45" s="26" t="n">
        <v>-127</v>
      </c>
      <c r="BL45" s="27" t="n">
        <v>1.787402</v>
      </c>
      <c r="BM45" s="28" t="n">
        <v>0.5594710000000001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inlineStr">
        <is>
          <t>False</t>
        </is>
      </c>
    </row>
    <row r="46" ht="36" customHeight="1">
      <c r="A46" s="24" t="inlineStr">
        <is>
          <t>42b98355e0794604</t>
        </is>
      </c>
      <c r="B46" s="24" t="inlineStr">
        <is>
          <t>2026-08-04T08:56:56.469660Z</t>
        </is>
      </c>
      <c r="C46" s="24" t="inlineStr">
        <is>
          <t>2026-08-05T05:00:00Z</t>
        </is>
      </c>
      <c r="D46" s="24" t="inlineStr">
        <is>
          <t>69507</t>
        </is>
      </c>
      <c r="E46" s="24" t="inlineStr">
        <is>
          <t>LOL</t>
        </is>
      </c>
      <c r="F46" s="24" t="inlineStr">
        <is>
          <t>Nongshim Esports Academy</t>
        </is>
      </c>
      <c r="G46" s="24" t="inlineStr">
        <is>
          <t>Dplus KIA Challengers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-138</v>
      </c>
      <c r="M46" s="27" t="n">
        <v>1.724638</v>
      </c>
      <c r="N46" s="28" t="n">
        <v>0.579832</v>
      </c>
      <c r="O46" s="28" t="n">
        <v>0.638913</v>
      </c>
      <c r="P46" s="28" t="n"/>
      <c r="Q46" s="28" t="n">
        <v>0.059081</v>
      </c>
      <c r="R46" s="26" t="n">
        <v>50</v>
      </c>
      <c r="S46" s="29" t="n">
        <v>1.5</v>
      </c>
      <c r="T46" s="24" t="inlineStr">
        <is>
          <t>lol-tiered-elo-v5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0.5800 (market_slug=aec-lol-dkc-nsea-2026-08-05).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Nongshim Esports Academy</t>
        </is>
      </c>
      <c r="AQ46" s="24" t="inlineStr">
        <is>
          <t>Nongshim Esports Academy</t>
        </is>
      </c>
      <c r="AR46" s="24" t="inlineStr">
        <is>
          <t>Nongshim Esports Academy</t>
        </is>
      </c>
      <c r="AS46" s="24" t="inlineStr">
        <is>
          <t>Dplus KIA Challengers</t>
        </is>
      </c>
      <c r="AT46" s="24" t="inlineStr">
        <is>
          <t>Dplus KIA Challengers</t>
        </is>
      </c>
      <c r="AU46" s="24" t="inlineStr">
        <is>
          <t>Dplus KIA Challengers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2aef9ef293099f7e3d21d8b6a25daad858c9b2bc1905102110b3b5d06e41ccd8</t>
        </is>
      </c>
      <c r="BB46" s="24" t="inlineStr">
        <is>
          <t>neutral_elo</t>
        </is>
      </c>
      <c r="BC46" s="24" t="inlineStr">
        <is>
          <t>lol-tiered-elo-v5</t>
        </is>
      </c>
      <c r="BD46" s="24" t="inlineStr">
        <is>
          <t>2aef9ef293099f7e3d21d8b6a25daad858c9b2bc1905102110b3b5d06e41ccd8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lol-tiered-elo-v5</t>
        </is>
      </c>
      <c r="BH46" s="24" t="inlineStr">
        <is>
          <t>2026-08-04T08:56:38.863908Z</t>
        </is>
      </c>
      <c r="BI46" s="24" t="inlineStr">
        <is>
          <t>["same_event","same_team_same_day","same_league_same_day"]</t>
        </is>
      </c>
      <c r="BJ46" s="25" t="n"/>
      <c r="BK46" s="26" t="n">
        <v>-138</v>
      </c>
      <c r="BL46" s="27" t="n">
        <v>1.724638</v>
      </c>
      <c r="BM46" s="28" t="n">
        <v>0.579832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inlineStr">
        <is>
          <t>True</t>
        </is>
      </c>
    </row>
    <row r="47" ht="36" customHeight="1">
      <c r="A47" s="24" t="inlineStr">
        <is>
          <t>2d74051d6d9e47d5</t>
        </is>
      </c>
      <c r="B47" s="24" t="inlineStr">
        <is>
          <t>2026-08-04T08:56:56.469660Z</t>
        </is>
      </c>
      <c r="C47" s="24" t="inlineStr">
        <is>
          <t>2026-08-05T05:00:00Z</t>
        </is>
      </c>
      <c r="D47" s="24" t="inlineStr">
        <is>
          <t>69506</t>
        </is>
      </c>
      <c r="E47" s="24" t="inlineStr">
        <is>
          <t>LOL</t>
        </is>
      </c>
      <c r="F47" s="24" t="inlineStr">
        <is>
          <t>Kiwoom DRX Challengers</t>
        </is>
      </c>
      <c r="G47" s="24" t="inlineStr">
        <is>
          <t>BNK FearX Youth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144</v>
      </c>
      <c r="M47" s="27" t="n">
        <v>2.44</v>
      </c>
      <c r="N47" s="28" t="n">
        <v>0.409836</v>
      </c>
      <c r="O47" s="28" t="n">
        <v>0.597302</v>
      </c>
      <c r="P47" s="28" t="n"/>
      <c r="Q47" s="28" t="n">
        <v>0.187466</v>
      </c>
      <c r="R47" s="26" t="n">
        <v>100</v>
      </c>
      <c r="S47" s="29" t="n">
        <v>1.25</v>
      </c>
      <c r="T47" s="24" t="inlineStr">
        <is>
          <t>lol-tiered-elo-v5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0.4100 (market_slug=aec-lol-foxy-krxc-2026-08-05).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Kiwoom DRX Challengers</t>
        </is>
      </c>
      <c r="AQ47" s="24" t="inlineStr">
        <is>
          <t>Kiwoom DRX Challengers</t>
        </is>
      </c>
      <c r="AR47" s="24" t="inlineStr">
        <is>
          <t>Kiwoom DRX Challengers</t>
        </is>
      </c>
      <c r="AS47" s="24" t="inlineStr">
        <is>
          <t>BNK FearX Youth</t>
        </is>
      </c>
      <c r="AT47" s="24" t="inlineStr">
        <is>
          <t>BNK FearX Youth</t>
        </is>
      </c>
      <c r="AU47" s="24" t="inlineStr">
        <is>
          <t>BNK FearX Youth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2aef9ef293099f7e3d21d8b6a25daad858c9b2bc1905102110b3b5d06e41ccd8</t>
        </is>
      </c>
      <c r="BB47" s="24" t="inlineStr">
        <is>
          <t>neutral_elo</t>
        </is>
      </c>
      <c r="BC47" s="24" t="inlineStr">
        <is>
          <t>lol-tiered-elo-v5</t>
        </is>
      </c>
      <c r="BD47" s="24" t="inlineStr">
        <is>
          <t>2aef9ef293099f7e3d21d8b6a25daad858c9b2bc1905102110b3b5d06e41ccd8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lol-tiered-elo-v5</t>
        </is>
      </c>
      <c r="BH47" s="24" t="inlineStr">
        <is>
          <t>2026-08-04T08:56:39.338315Z</t>
        </is>
      </c>
      <c r="BI47" s="24" t="inlineStr">
        <is>
          <t>["same_event","same_team_same_day","same_league_same_day"]</t>
        </is>
      </c>
      <c r="BJ47" s="25" t="n"/>
      <c r="BK47" s="26" t="n">
        <v>144</v>
      </c>
      <c r="BL47" s="27" t="n">
        <v>2.44</v>
      </c>
      <c r="BM47" s="28" t="n">
        <v>0.409836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inlineStr">
        <is>
          <t>True</t>
        </is>
      </c>
    </row>
    <row r="48" ht="36" customHeight="1">
      <c r="A48" s="24" t="inlineStr">
        <is>
          <t>42cf1b2478204e12</t>
        </is>
      </c>
      <c r="B48" s="24" t="inlineStr">
        <is>
          <t>2026-08-04T08:56:56.469660Z</t>
        </is>
      </c>
      <c r="C48" s="24" t="inlineStr">
        <is>
          <t>2026-08-05T08:00:00Z</t>
        </is>
      </c>
      <c r="D48" s="24" t="inlineStr">
        <is>
          <t>69512</t>
        </is>
      </c>
      <c r="E48" s="24" t="inlineStr">
        <is>
          <t>LOL</t>
        </is>
      </c>
      <c r="F48" s="24" t="inlineStr">
        <is>
          <t>Nongshim Red Force</t>
        </is>
      </c>
      <c r="G48" s="24" t="inlineStr">
        <is>
          <t>HANJIN BRION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-223</v>
      </c>
      <c r="M48" s="27" t="n">
        <v>1.44843</v>
      </c>
      <c r="N48" s="28" t="n">
        <v>0.690402</v>
      </c>
      <c r="O48" s="28" t="n">
        <v>0.739915</v>
      </c>
      <c r="P48" s="28" t="n"/>
      <c r="Q48" s="28" t="n">
        <v>0.049513</v>
      </c>
      <c r="R48" s="26" t="n">
        <v>45</v>
      </c>
      <c r="S48" s="29" t="n">
        <v>2</v>
      </c>
      <c r="T48" s="24" t="inlineStr">
        <is>
          <t>lol-tiered-elo-v5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0.6900 (market_slug=aec-lol-bro-ns-2026-08-05).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Nongshim Red Force</t>
        </is>
      </c>
      <c r="AQ48" s="24" t="inlineStr">
        <is>
          <t>Nongshim Red Force</t>
        </is>
      </c>
      <c r="AR48" s="24" t="inlineStr">
        <is>
          <t>Nongshim Red Force</t>
        </is>
      </c>
      <c r="AS48" s="24" t="inlineStr">
        <is>
          <t>HANJIN BRION</t>
        </is>
      </c>
      <c r="AT48" s="24" t="inlineStr">
        <is>
          <t>HANJIN BRION</t>
        </is>
      </c>
      <c r="AU48" s="24" t="inlineStr">
        <is>
          <t>HANJIN BRION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2aef9ef293099f7e3d21d8b6a25daad858c9b2bc1905102110b3b5d06e41ccd8</t>
        </is>
      </c>
      <c r="BB48" s="24" t="inlineStr">
        <is>
          <t>neutral_elo</t>
        </is>
      </c>
      <c r="BC48" s="24" t="inlineStr">
        <is>
          <t>lol-tiered-elo-v5</t>
        </is>
      </c>
      <c r="BD48" s="24" t="inlineStr">
        <is>
          <t>2aef9ef293099f7e3d21d8b6a25daad858c9b2bc1905102110b3b5d06e41ccd8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lol-tiered-elo-v5</t>
        </is>
      </c>
      <c r="BH48" s="24" t="inlineStr">
        <is>
          <t>2026-08-04T08:56:39.828051Z</t>
        </is>
      </c>
      <c r="BI48" s="24" t="inlineStr">
        <is>
          <t>["same_event","same_team_same_day","same_league_same_day"]</t>
        </is>
      </c>
      <c r="BJ48" s="25" t="n"/>
      <c r="BK48" s="26" t="n">
        <v>-223</v>
      </c>
      <c r="BL48" s="27" t="n">
        <v>1.44843</v>
      </c>
      <c r="BM48" s="28" t="n">
        <v>0.690402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inlineStr">
        <is>
          <t>True</t>
        </is>
      </c>
    </row>
    <row r="49" ht="36" customHeight="1">
      <c r="A49" s="24" t="inlineStr">
        <is>
          <t>0a7b6184cad24890</t>
        </is>
      </c>
      <c r="B49" s="24" t="inlineStr">
        <is>
          <t>2026-08-04T08:56:56.469660Z</t>
        </is>
      </c>
      <c r="C49" s="24" t="inlineStr">
        <is>
          <t>2026-08-05T08:00:00Z</t>
        </is>
      </c>
      <c r="D49" s="24" t="inlineStr">
        <is>
          <t>69511</t>
        </is>
      </c>
      <c r="E49" s="24" t="inlineStr">
        <is>
          <t>LOL</t>
        </is>
      </c>
      <c r="F49" s="24" t="inlineStr">
        <is>
          <t>New Meta</t>
        </is>
      </c>
      <c r="G49" s="24" t="inlineStr">
        <is>
          <t>FENNEL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-156</v>
      </c>
      <c r="M49" s="27" t="n">
        <v>1.641026</v>
      </c>
      <c r="N49" s="28" t="n">
        <v>0.609375</v>
      </c>
      <c r="O49" s="28" t="n">
        <v>0.699554</v>
      </c>
      <c r="P49" s="28" t="n"/>
      <c r="Q49" s="28" t="n">
        <v>0.090179</v>
      </c>
      <c r="R49" s="26" t="n">
        <v>65</v>
      </c>
      <c r="S49" s="29" t="n">
        <v>2</v>
      </c>
      <c r="T49" s="24" t="inlineStr">
        <is>
          <t>lol-tiered-elo-v5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0.6100 (market_slug=aec-lol-fnl-nme-2026-08-05).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New Meta</t>
        </is>
      </c>
      <c r="AQ49" s="24" t="inlineStr">
        <is>
          <t>New Meta</t>
        </is>
      </c>
      <c r="AR49" s="24" t="inlineStr">
        <is>
          <t>New Meta</t>
        </is>
      </c>
      <c r="AS49" s="24" t="inlineStr">
        <is>
          <t>FENNEL</t>
        </is>
      </c>
      <c r="AT49" s="24" t="inlineStr">
        <is>
          <t>FENNEL</t>
        </is>
      </c>
      <c r="AU49" s="24" t="inlineStr">
        <is>
          <t>FENNEL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2aef9ef293099f7e3d21d8b6a25daad858c9b2bc1905102110b3b5d06e41ccd8</t>
        </is>
      </c>
      <c r="BB49" s="24" t="inlineStr">
        <is>
          <t>neutral_elo</t>
        </is>
      </c>
      <c r="BC49" s="24" t="inlineStr">
        <is>
          <t>lol-tiered-elo-v5</t>
        </is>
      </c>
      <c r="BD49" s="24" t="inlineStr">
        <is>
          <t>2aef9ef293099f7e3d21d8b6a25daad858c9b2bc1905102110b3b5d06e41ccd8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lol-tiered-elo-v5</t>
        </is>
      </c>
      <c r="BH49" s="24" t="inlineStr">
        <is>
          <t>2026-08-04T08:56:40.294698Z</t>
        </is>
      </c>
      <c r="BI49" s="24" t="inlineStr">
        <is>
          <t>["same_event","same_team_same_day","same_league_same_day"]</t>
        </is>
      </c>
      <c r="BJ49" s="25" t="n"/>
      <c r="BK49" s="26" t="n">
        <v>-156</v>
      </c>
      <c r="BL49" s="27" t="n">
        <v>1.641026</v>
      </c>
      <c r="BM49" s="28" t="n">
        <v>0.609375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inlineStr">
        <is>
          <t>True</t>
        </is>
      </c>
    </row>
    <row r="50" ht="36" customHeight="1">
      <c r="A50" s="24" t="inlineStr">
        <is>
          <t>c69371ca01dc4f85</t>
        </is>
      </c>
      <c r="B50" s="24" t="inlineStr">
        <is>
          <t>2026-08-04T08:56:56.469660Z</t>
        </is>
      </c>
      <c r="C50" s="24" t="inlineStr">
        <is>
          <t>2026-08-05T10:00:00Z</t>
        </is>
      </c>
      <c r="D50" s="24" t="inlineStr">
        <is>
          <t>69539</t>
        </is>
      </c>
      <c r="E50" s="24" t="inlineStr">
        <is>
          <t>LOL</t>
        </is>
      </c>
      <c r="F50" s="24" t="inlineStr">
        <is>
          <t>Gen.G</t>
        </is>
      </c>
      <c r="G50" s="24" t="inlineStr">
        <is>
          <t>Hanwha Life Esports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-127</v>
      </c>
      <c r="M50" s="27" t="n">
        <v>1.787402</v>
      </c>
      <c r="N50" s="28" t="n">
        <v>0.5594710000000001</v>
      </c>
      <c r="O50" s="28" t="n">
        <v>0.637225</v>
      </c>
      <c r="P50" s="28" t="n"/>
      <c r="Q50" s="28" t="n">
        <v>0.077754</v>
      </c>
      <c r="R50" s="26" t="n">
        <v>59</v>
      </c>
      <c r="S50" s="29" t="n">
        <v>1.5</v>
      </c>
      <c r="T50" s="24" t="inlineStr">
        <is>
          <t>lol-tiered-elo-v5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0.5600 (market_slug=aec-lol-hle-gen-2026-08-05).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Gen.G</t>
        </is>
      </c>
      <c r="AQ50" s="24" t="inlineStr">
        <is>
          <t>Gen.G</t>
        </is>
      </c>
      <c r="AR50" s="24" t="inlineStr">
        <is>
          <t>Gen.G</t>
        </is>
      </c>
      <c r="AS50" s="24" t="inlineStr">
        <is>
          <t>Hanwha Life Esports</t>
        </is>
      </c>
      <c r="AT50" s="24" t="inlineStr">
        <is>
          <t>Hanwha Life Esports</t>
        </is>
      </c>
      <c r="AU50" s="24" t="inlineStr">
        <is>
          <t>Hanwha Life Esports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2aef9ef293099f7e3d21d8b6a25daad858c9b2bc1905102110b3b5d06e41ccd8</t>
        </is>
      </c>
      <c r="BB50" s="24" t="inlineStr">
        <is>
          <t>neutral_elo</t>
        </is>
      </c>
      <c r="BC50" s="24" t="inlineStr">
        <is>
          <t>lol-tiered-elo-v5</t>
        </is>
      </c>
      <c r="BD50" s="24" t="inlineStr">
        <is>
          <t>2aef9ef293099f7e3d21d8b6a25daad858c9b2bc1905102110b3b5d06e41ccd8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lol-tiered-elo-v5</t>
        </is>
      </c>
      <c r="BH50" s="24" t="inlineStr">
        <is>
          <t>2026-08-04T08:56:41.252699Z</t>
        </is>
      </c>
      <c r="BI50" s="24" t="inlineStr">
        <is>
          <t>["same_event","same_team_same_day","same_league_same_day"]</t>
        </is>
      </c>
      <c r="BJ50" s="25" t="n"/>
      <c r="BK50" s="26" t="n">
        <v>-127</v>
      </c>
      <c r="BL50" s="27" t="n">
        <v>1.787402</v>
      </c>
      <c r="BM50" s="28" t="n">
        <v>0.5594710000000001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inlineStr">
        <is>
          <t>True</t>
        </is>
      </c>
    </row>
    <row r="51" ht="36" customHeight="1">
      <c r="A51" s="24" t="inlineStr">
        <is>
          <t>cd1900cb34ba475d</t>
        </is>
      </c>
      <c r="B51" s="24" t="inlineStr">
        <is>
          <t>2026-08-04T08:56:56.469660Z</t>
        </is>
      </c>
      <c r="C51" s="24" t="inlineStr">
        <is>
          <t>2026-08-05T16:00:00Z</t>
        </is>
      </c>
      <c r="D51" s="24" t="inlineStr">
        <is>
          <t>69816</t>
        </is>
      </c>
      <c r="E51" s="24" t="inlineStr">
        <is>
          <t>LOL</t>
        </is>
      </c>
      <c r="F51" s="24" t="inlineStr">
        <is>
          <t>Galions</t>
        </is>
      </c>
      <c r="G51" s="24" t="inlineStr">
        <is>
          <t>TLN Pirates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-163</v>
      </c>
      <c r="M51" s="27" t="n">
        <v>1.613497</v>
      </c>
      <c r="N51" s="28" t="n">
        <v>0.619772</v>
      </c>
      <c r="O51" s="28" t="n">
        <v>0.665588</v>
      </c>
      <c r="P51" s="28" t="n"/>
      <c r="Q51" s="28" t="n">
        <v>0.045816</v>
      </c>
      <c r="R51" s="26" t="n">
        <v>43</v>
      </c>
      <c r="S51" s="29" t="n">
        <v>1.75</v>
      </c>
      <c r="T51" s="24" t="inlineStr">
        <is>
          <t>lol-tiered-elo-v5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0.6200 (market_slug=aec-lol-tlnp-gal-2026-08-05).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Galions</t>
        </is>
      </c>
      <c r="AQ51" s="24" t="inlineStr">
        <is>
          <t>Galions</t>
        </is>
      </c>
      <c r="AR51" s="24" t="inlineStr">
        <is>
          <t>Galions</t>
        </is>
      </c>
      <c r="AS51" s="24" t="inlineStr">
        <is>
          <t>TLN Pirates</t>
        </is>
      </c>
      <c r="AT51" s="24" t="inlineStr">
        <is>
          <t>TLN Pirates</t>
        </is>
      </c>
      <c r="AU51" s="24" t="inlineStr">
        <is>
          <t>TLN Pirates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2aef9ef293099f7e3d21d8b6a25daad858c9b2bc1905102110b3b5d06e41ccd8</t>
        </is>
      </c>
      <c r="BB51" s="24" t="inlineStr">
        <is>
          <t>neutral_elo</t>
        </is>
      </c>
      <c r="BC51" s="24" t="inlineStr">
        <is>
          <t>lol-tiered-elo-v5</t>
        </is>
      </c>
      <c r="BD51" s="24" t="inlineStr">
        <is>
          <t>2aef9ef293099f7e3d21d8b6a25daad858c9b2bc1905102110b3b5d06e41ccd8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lol-tiered-elo-v5</t>
        </is>
      </c>
      <c r="BH51" s="24" t="inlineStr">
        <is>
          <t>2026-08-04T08:56:44.546269Z</t>
        </is>
      </c>
      <c r="BI51" s="24" t="inlineStr">
        <is>
          <t>["same_event","same_team_same_day","same_league_same_day"]</t>
        </is>
      </c>
      <c r="BJ51" s="25" t="n"/>
      <c r="BK51" s="26" t="n">
        <v>-163</v>
      </c>
      <c r="BL51" s="27" t="n">
        <v>1.613497</v>
      </c>
      <c r="BM51" s="28" t="n">
        <v>0.619772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inlineStr">
        <is>
          <t>True</t>
        </is>
      </c>
    </row>
    <row r="52" ht="36" customHeight="1">
      <c r="A52" s="24" t="inlineStr">
        <is>
          <t>308b0ca16aa84142</t>
        </is>
      </c>
      <c r="B52" s="24" t="inlineStr">
        <is>
          <t>2026-08-04T08:56:56.469660Z</t>
        </is>
      </c>
      <c r="C52" s="24" t="inlineStr">
        <is>
          <t>2026-08-05T17:00:00Z</t>
        </is>
      </c>
      <c r="D52" s="24" t="inlineStr">
        <is>
          <t>69871</t>
        </is>
      </c>
      <c r="E52" s="24" t="inlineStr">
        <is>
          <t>LOL</t>
        </is>
      </c>
      <c r="F52" s="24" t="inlineStr">
        <is>
          <t>Kaufland Hangry Knights</t>
        </is>
      </c>
      <c r="G52" s="24" t="inlineStr">
        <is>
          <t>TeamOrangeGaming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127</v>
      </c>
      <c r="M52" s="27" t="n">
        <v>2.27</v>
      </c>
      <c r="N52" s="28" t="n">
        <v>0.440529</v>
      </c>
      <c r="O52" s="28" t="n">
        <v>0.561203</v>
      </c>
      <c r="P52" s="28" t="n"/>
      <c r="Q52" s="28" t="n">
        <v>0.120674</v>
      </c>
      <c r="R52" s="26" t="n">
        <v>80</v>
      </c>
      <c r="S52" s="29" t="n">
        <v>1</v>
      </c>
      <c r="T52" s="24" t="inlineStr">
        <is>
          <t>lol-tiered-elo-v5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0.4400 (market_slug=aec-lol-tog-khk-2026-08-05).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Kaufland Hangry Knights</t>
        </is>
      </c>
      <c r="AQ52" s="24" t="inlineStr">
        <is>
          <t>Kaufland Hangry Knights</t>
        </is>
      </c>
      <c r="AR52" s="24" t="inlineStr">
        <is>
          <t>Kaufland Hangry Knights</t>
        </is>
      </c>
      <c r="AS52" s="24" t="inlineStr">
        <is>
          <t>TeamOrangeGaming</t>
        </is>
      </c>
      <c r="AT52" s="24" t="inlineStr">
        <is>
          <t>TeamOrangeGaming</t>
        </is>
      </c>
      <c r="AU52" s="24" t="inlineStr">
        <is>
          <t>TeamOrangeGaming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2aef9ef293099f7e3d21d8b6a25daad858c9b2bc1905102110b3b5d06e41ccd8</t>
        </is>
      </c>
      <c r="BB52" s="24" t="inlineStr">
        <is>
          <t>neutral_elo</t>
        </is>
      </c>
      <c r="BC52" s="24" t="inlineStr">
        <is>
          <t>lol-tiered-elo-v5</t>
        </is>
      </c>
      <c r="BD52" s="24" t="inlineStr">
        <is>
          <t>2aef9ef293099f7e3d21d8b6a25daad858c9b2bc1905102110b3b5d06e41ccd8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lol-tiered-elo-v5</t>
        </is>
      </c>
      <c r="BH52" s="24" t="inlineStr">
        <is>
          <t>2026-08-04T08:56:46.445811Z</t>
        </is>
      </c>
      <c r="BI52" s="24" t="inlineStr">
        <is>
          <t>["same_event","same_team_same_day","same_league_same_day"]</t>
        </is>
      </c>
      <c r="BJ52" s="25" t="n"/>
      <c r="BK52" s="26" t="n">
        <v>127</v>
      </c>
      <c r="BL52" s="27" t="n">
        <v>2.27</v>
      </c>
      <c r="BM52" s="28" t="n">
        <v>0.440529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inlineStr">
        <is>
          <t>True</t>
        </is>
      </c>
    </row>
    <row r="53" ht="36" customHeight="1">
      <c r="A53" s="24" t="inlineStr">
        <is>
          <t>632f853d2bcc4ef8</t>
        </is>
      </c>
      <c r="B53" s="24" t="inlineStr">
        <is>
          <t>2026-08-04T08:56:56.469660Z</t>
        </is>
      </c>
      <c r="C53" s="24" t="inlineStr">
        <is>
          <t>2026-08-05T17:00:00Z</t>
        </is>
      </c>
      <c r="D53" s="24" t="inlineStr">
        <is>
          <t>70569</t>
        </is>
      </c>
      <c r="E53" s="24" t="inlineStr">
        <is>
          <t>LOL</t>
        </is>
      </c>
      <c r="F53" s="24" t="inlineStr">
        <is>
          <t>devils.one inStreamly</t>
        </is>
      </c>
      <c r="G53" s="24" t="inlineStr">
        <is>
          <t>BOMBA Team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-144</v>
      </c>
      <c r="M53" s="27" t="n">
        <v>1.694444</v>
      </c>
      <c r="N53" s="28" t="n">
        <v>0.590164</v>
      </c>
      <c r="O53" s="28" t="n">
        <v>0.832591</v>
      </c>
      <c r="P53" s="28" t="n"/>
      <c r="Q53" s="28" t="n">
        <v>0.242427</v>
      </c>
      <c r="R53" s="26" t="n">
        <v>100</v>
      </c>
      <c r="S53" s="29" t="n">
        <v>2</v>
      </c>
      <c r="T53" s="24" t="inlineStr">
        <is>
          <t>lol-tiered-elo-v5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0.5900 (market_slug=aec-lol-boom-dv1-2026-08-05).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devils.one inStreamly</t>
        </is>
      </c>
      <c r="AQ53" s="24" t="inlineStr">
        <is>
          <t>devils.one inStreamly</t>
        </is>
      </c>
      <c r="AR53" s="24" t="inlineStr">
        <is>
          <t>devils.one inStreamly</t>
        </is>
      </c>
      <c r="AS53" s="24" t="inlineStr">
        <is>
          <t>BOMBA Team</t>
        </is>
      </c>
      <c r="AT53" s="24" t="inlineStr">
        <is>
          <t>BOMBA Team</t>
        </is>
      </c>
      <c r="AU53" s="24" t="inlineStr">
        <is>
          <t>BOMBA Team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2aef9ef293099f7e3d21d8b6a25daad858c9b2bc1905102110b3b5d06e41ccd8</t>
        </is>
      </c>
      <c r="BB53" s="24" t="inlineStr">
        <is>
          <t>neutral_elo</t>
        </is>
      </c>
      <c r="BC53" s="24" t="inlineStr">
        <is>
          <t>lol-tiered-elo-v5</t>
        </is>
      </c>
      <c r="BD53" s="24" t="inlineStr">
        <is>
          <t>2aef9ef293099f7e3d21d8b6a25daad858c9b2bc1905102110b3b5d06e41ccd8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lol-tiered-elo-v5</t>
        </is>
      </c>
      <c r="BH53" s="24" t="inlineStr">
        <is>
          <t>2026-08-04T08:56:47.442405Z</t>
        </is>
      </c>
      <c r="BI53" s="24" t="inlineStr">
        <is>
          <t>["same_event","same_team_same_day","same_league_same_day"]</t>
        </is>
      </c>
      <c r="BJ53" s="25" t="n"/>
      <c r="BK53" s="26" t="n">
        <v>-144</v>
      </c>
      <c r="BL53" s="27" t="n">
        <v>1.694444</v>
      </c>
      <c r="BM53" s="28" t="n">
        <v>0.590164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inlineStr">
        <is>
          <t>True</t>
        </is>
      </c>
    </row>
    <row r="54" ht="36" customHeight="1">
      <c r="A54" s="24" t="inlineStr">
        <is>
          <t>40ea7f5fa25e41c9</t>
        </is>
      </c>
      <c r="B54" s="24" t="inlineStr">
        <is>
          <t>2026-08-04T08:56:56.469660Z</t>
        </is>
      </c>
      <c r="C54" s="24" t="inlineStr">
        <is>
          <t>2026-08-05T17:30:00Z</t>
        </is>
      </c>
      <c r="D54" s="24" t="inlineStr">
        <is>
          <t>69931</t>
        </is>
      </c>
      <c r="E54" s="24" t="inlineStr">
        <is>
          <t>LOL</t>
        </is>
      </c>
      <c r="F54" s="24" t="inlineStr">
        <is>
          <t>⁠Movistar KOI Fénix</t>
        </is>
      </c>
      <c r="G54" s="24" t="inlineStr">
        <is>
          <t>UCAM Esports Club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100</v>
      </c>
      <c r="M54" s="27" t="n">
        <v>2</v>
      </c>
      <c r="N54" s="28" t="n">
        <v>0.5</v>
      </c>
      <c r="O54" s="28" t="n">
        <v>0.577055</v>
      </c>
      <c r="P54" s="28" t="n"/>
      <c r="Q54" s="28" t="n">
        <v>0.077055</v>
      </c>
      <c r="R54" s="26" t="n">
        <v>59</v>
      </c>
      <c r="S54" s="29" t="n">
        <v>1.25</v>
      </c>
      <c r="T54" s="24" t="inlineStr">
        <is>
          <t>lol-tiered-elo-v5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0.5000 (market_slug=aec-lol-ucam-mkf-2026-08-05).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⁠Movistar KOI Fénix</t>
        </is>
      </c>
      <c r="AQ54" s="24" t="inlineStr">
        <is>
          <t>⁠Movistar KOI Fénix</t>
        </is>
      </c>
      <c r="AR54" s="24" t="inlineStr">
        <is>
          <t>⁠Movistar KOI Fénix</t>
        </is>
      </c>
      <c r="AS54" s="24" t="inlineStr">
        <is>
          <t>UCAM Esports Club</t>
        </is>
      </c>
      <c r="AT54" s="24" t="inlineStr">
        <is>
          <t>UCAM Esports Club</t>
        </is>
      </c>
      <c r="AU54" s="24" t="inlineStr">
        <is>
          <t>UCAM Esports Club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2aef9ef293099f7e3d21d8b6a25daad858c9b2bc1905102110b3b5d06e41ccd8</t>
        </is>
      </c>
      <c r="BB54" s="24" t="inlineStr">
        <is>
          <t>neutral_elo</t>
        </is>
      </c>
      <c r="BC54" s="24" t="inlineStr">
        <is>
          <t>lol-tiered-elo-v5</t>
        </is>
      </c>
      <c r="BD54" s="24" t="inlineStr">
        <is>
          <t>2aef9ef293099f7e3d21d8b6a25daad858c9b2bc1905102110b3b5d06e41ccd8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lol-tiered-elo-v5</t>
        </is>
      </c>
      <c r="BH54" s="24" t="inlineStr">
        <is>
          <t>2026-08-04T08:56:47.949141Z</t>
        </is>
      </c>
      <c r="BI54" s="24" t="inlineStr">
        <is>
          <t>["same_event","same_team_same_day","same_league_same_day"]</t>
        </is>
      </c>
      <c r="BJ54" s="25" t="n"/>
      <c r="BK54" s="26" t="n">
        <v>100</v>
      </c>
      <c r="BL54" s="27" t="n">
        <v>2</v>
      </c>
      <c r="BM54" s="28" t="n">
        <v>0.5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inlineStr">
        <is>
          <t>True</t>
        </is>
      </c>
    </row>
    <row r="55" ht="36" customHeight="1">
      <c r="A55" s="24" t="inlineStr">
        <is>
          <t>f439587bd2c842be</t>
        </is>
      </c>
      <c r="B55" s="24" t="inlineStr">
        <is>
          <t>2026-08-04T08:56:56.469660Z</t>
        </is>
      </c>
      <c r="C55" s="24" t="inlineStr">
        <is>
          <t>2026-08-05T17:30:00Z</t>
        </is>
      </c>
      <c r="D55" s="24" t="inlineStr">
        <is>
          <t>69930</t>
        </is>
      </c>
      <c r="E55" s="24" t="inlineStr">
        <is>
          <t>LOL</t>
        </is>
      </c>
      <c r="F55" s="24" t="inlineStr">
        <is>
          <t>Bushido Wildcats</t>
        </is>
      </c>
      <c r="G55" s="24" t="inlineStr">
        <is>
          <t xml:space="preserve">PCIFIC 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122</v>
      </c>
      <c r="M55" s="27" t="n">
        <v>2.22</v>
      </c>
      <c r="N55" s="28" t="n">
        <v>0.45045</v>
      </c>
      <c r="O55" s="28" t="n">
        <v>0.536006</v>
      </c>
      <c r="P55" s="28" t="n"/>
      <c r="Q55" s="28" t="n">
        <v>0.08555599999999999</v>
      </c>
      <c r="R55" s="26" t="n">
        <v>63</v>
      </c>
      <c r="S55" s="29" t="n">
        <v>1</v>
      </c>
      <c r="T55" s="24" t="inlineStr">
        <is>
          <t>lol-tiered-elo-v5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0.4500 (market_slug=aec-lol-pcific-bw-2026-08-05).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NO_CALL_LOW_EDGE</t>
        </is>
      </c>
      <c r="AP55" s="24" t="inlineStr">
        <is>
          <t>Bushido Wildcats</t>
        </is>
      </c>
      <c r="AQ55" s="24" t="inlineStr">
        <is>
          <t>Bushido Wildcats</t>
        </is>
      </c>
      <c r="AR55" s="24" t="inlineStr">
        <is>
          <t>Bushido Wildcats</t>
        </is>
      </c>
      <c r="AS55" s="24" t="inlineStr">
        <is>
          <t xml:space="preserve">PCIFIC </t>
        </is>
      </c>
      <c r="AT55" s="24" t="inlineStr">
        <is>
          <t xml:space="preserve">PCIFIC </t>
        </is>
      </c>
      <c r="AU55" s="24" t="inlineStr">
        <is>
          <t xml:space="preserve">PCIFIC 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2aef9ef293099f7e3d21d8b6a25daad858c9b2bc1905102110b3b5d06e41ccd8</t>
        </is>
      </c>
      <c r="BB55" s="24" t="inlineStr">
        <is>
          <t>neutral_elo</t>
        </is>
      </c>
      <c r="BC55" s="24" t="inlineStr">
        <is>
          <t>lol-tiered-elo-v5</t>
        </is>
      </c>
      <c r="BD55" s="24" t="inlineStr">
        <is>
          <t>2aef9ef293099f7e3d21d8b6a25daad858c9b2bc1905102110b3b5d06e41ccd8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lol-tiered-elo-v5</t>
        </is>
      </c>
      <c r="BH55" s="24" t="inlineStr">
        <is>
          <t>2026-08-04T08:56:48.438562Z</t>
        </is>
      </c>
      <c r="BI55" s="24" t="inlineStr">
        <is>
          <t>["same_event","same_team_same_day","same_league_same_day"]</t>
        </is>
      </c>
      <c r="BJ55" s="25" t="n"/>
      <c r="BK55" s="26" t="n">
        <v>122</v>
      </c>
      <c r="BL55" s="27" t="n">
        <v>2.22</v>
      </c>
      <c r="BM55" s="28" t="n">
        <v>0.45045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inlineStr">
        <is>
          <t>True</t>
        </is>
      </c>
    </row>
    <row r="56" ht="36" customHeight="1">
      <c r="A56" s="24" t="inlineStr">
        <is>
          <t>7e44e2ed76904c7e</t>
        </is>
      </c>
      <c r="B56" s="24" t="inlineStr">
        <is>
          <t>2026-08-04T08:56:56.469660Z</t>
        </is>
      </c>
      <c r="C56" s="24" t="inlineStr">
        <is>
          <t>2026-08-05T18:00:00Z</t>
        </is>
      </c>
      <c r="D56" s="24" t="inlineStr">
        <is>
          <t>69948</t>
        </is>
      </c>
      <c r="E56" s="24" t="inlineStr">
        <is>
          <t>LOL</t>
        </is>
      </c>
      <c r="F56" s="24" t="inlineStr">
        <is>
          <t>Solary</t>
        </is>
      </c>
      <c r="G56" s="24" t="inlineStr">
        <is>
          <t>Karmine Corp Blue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-203</v>
      </c>
      <c r="M56" s="27" t="n">
        <v>1.492611</v>
      </c>
      <c r="N56" s="28" t="n">
        <v>0.669967</v>
      </c>
      <c r="O56" s="28" t="n">
        <v>0.564089</v>
      </c>
      <c r="P56" s="28" t="n"/>
      <c r="Q56" s="28" t="n">
        <v>-0.105878</v>
      </c>
      <c r="R56" s="26" t="n">
        <v>0</v>
      </c>
      <c r="S56" s="29" t="n">
        <v>1</v>
      </c>
      <c r="T56" s="24" t="inlineStr">
        <is>
          <t>lol-tiered-elo-v5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0.6700 (market_slug=aec-lol-kcb-sly-2026-08-05).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NO_CALL_LOW_EDGE</t>
        </is>
      </c>
      <c r="AP56" s="24" t="inlineStr">
        <is>
          <t>Solary</t>
        </is>
      </c>
      <c r="AQ56" s="24" t="inlineStr">
        <is>
          <t>Solary</t>
        </is>
      </c>
      <c r="AR56" s="24" t="inlineStr">
        <is>
          <t>Solary</t>
        </is>
      </c>
      <c r="AS56" s="24" t="inlineStr">
        <is>
          <t>Karmine Corp Blue</t>
        </is>
      </c>
      <c r="AT56" s="24" t="inlineStr">
        <is>
          <t>Karmine Corp Blue</t>
        </is>
      </c>
      <c r="AU56" s="24" t="inlineStr">
        <is>
          <t>Karmine Corp Blue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2aef9ef293099f7e3d21d8b6a25daad858c9b2bc1905102110b3b5d06e41ccd8</t>
        </is>
      </c>
      <c r="BB56" s="24" t="inlineStr">
        <is>
          <t>neutral_elo</t>
        </is>
      </c>
      <c r="BC56" s="24" t="inlineStr">
        <is>
          <t>lol-tiered-elo-v5</t>
        </is>
      </c>
      <c r="BD56" s="24" t="inlineStr">
        <is>
          <t>2aef9ef293099f7e3d21d8b6a25daad858c9b2bc1905102110b3b5d06e41ccd8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lol-tiered-elo-v5</t>
        </is>
      </c>
      <c r="BH56" s="24" t="inlineStr">
        <is>
          <t>2026-08-04T08:56:49.352813Z</t>
        </is>
      </c>
      <c r="BI56" s="24" t="inlineStr">
        <is>
          <t>["same_event","same_team_same_day","same_league_same_day"]</t>
        </is>
      </c>
      <c r="BJ56" s="25" t="n"/>
      <c r="BK56" s="26" t="n">
        <v>-203</v>
      </c>
      <c r="BL56" s="27" t="n">
        <v>1.492611</v>
      </c>
      <c r="BM56" s="28" t="n">
        <v>0.669967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inlineStr">
        <is>
          <t>False</t>
        </is>
      </c>
    </row>
    <row r="57" ht="36" customHeight="1">
      <c r="A57" s="24" t="inlineStr">
        <is>
          <t>ca87a9282d674c4d</t>
        </is>
      </c>
      <c r="B57" s="24" t="inlineStr">
        <is>
          <t>2026-08-04T08:56:56.469660Z</t>
        </is>
      </c>
      <c r="C57" s="24" t="inlineStr">
        <is>
          <t>2026-08-05T18:00:00Z</t>
        </is>
      </c>
      <c r="D57" s="24" t="inlineStr">
        <is>
          <t>69949</t>
        </is>
      </c>
      <c r="E57" s="24" t="inlineStr">
        <is>
          <t>LOL</t>
        </is>
      </c>
      <c r="F57" s="24" t="inlineStr">
        <is>
          <t>Hyperion</t>
        </is>
      </c>
      <c r="G57" s="24" t="inlineStr">
        <is>
          <t>Dominion Goblins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117</v>
      </c>
      <c r="M57" s="27" t="n">
        <v>2.17</v>
      </c>
      <c r="N57" s="28" t="n">
        <v>0.460829</v>
      </c>
      <c r="O57" s="28" t="n">
        <v>0.530192</v>
      </c>
      <c r="P57" s="28" t="n"/>
      <c r="Q57" s="28" t="n">
        <v>0.06936299999999999</v>
      </c>
      <c r="R57" s="26" t="n">
        <v>55</v>
      </c>
      <c r="S57" s="29" t="n">
        <v>1</v>
      </c>
      <c r="T57" s="24" t="inlineStr">
        <is>
          <t>lol-tiered-elo-v5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0.4600 (market_slug=aec-lol-domi-hype-2026-08-05).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NO_CALL_LOW_EDGE</t>
        </is>
      </c>
      <c r="AP57" s="24" t="inlineStr">
        <is>
          <t>Hyperion</t>
        </is>
      </c>
      <c r="AQ57" s="24" t="inlineStr">
        <is>
          <t>Hyperion</t>
        </is>
      </c>
      <c r="AR57" s="24" t="inlineStr">
        <is>
          <t>Hyperion</t>
        </is>
      </c>
      <c r="AS57" s="24" t="inlineStr">
        <is>
          <t>Dominion Goblins</t>
        </is>
      </c>
      <c r="AT57" s="24" t="inlineStr">
        <is>
          <t>Dominion Goblins</t>
        </is>
      </c>
      <c r="AU57" s="24" t="inlineStr">
        <is>
          <t>Dominion Goblins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2aef9ef293099f7e3d21d8b6a25daad858c9b2bc1905102110b3b5d06e41ccd8</t>
        </is>
      </c>
      <c r="BB57" s="24" t="inlineStr">
        <is>
          <t>neutral_elo</t>
        </is>
      </c>
      <c r="BC57" s="24" t="inlineStr">
        <is>
          <t>lol-tiered-elo-v5</t>
        </is>
      </c>
      <c r="BD57" s="24" t="inlineStr">
        <is>
          <t>2aef9ef293099f7e3d21d8b6a25daad858c9b2bc1905102110b3b5d06e41ccd8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lol-tiered-elo-v5</t>
        </is>
      </c>
      <c r="BH57" s="24" t="inlineStr">
        <is>
          <t>2026-08-04T08:56:49.832690Z</t>
        </is>
      </c>
      <c r="BI57" s="24" t="inlineStr">
        <is>
          <t>["same_event","same_team_same_day","same_league_same_day"]</t>
        </is>
      </c>
      <c r="BJ57" s="25" t="n"/>
      <c r="BK57" s="26" t="n">
        <v>117</v>
      </c>
      <c r="BL57" s="27" t="n">
        <v>2.17</v>
      </c>
      <c r="BM57" s="28" t="n">
        <v>0.460829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inlineStr">
        <is>
          <t>True</t>
        </is>
      </c>
    </row>
    <row r="58" ht="36" customHeight="1">
      <c r="A58" s="24" t="inlineStr">
        <is>
          <t>cd4a0af1ff884108</t>
        </is>
      </c>
      <c r="B58" s="24" t="inlineStr">
        <is>
          <t>2026-08-04T08:56:56.469660Z</t>
        </is>
      </c>
      <c r="C58" s="24" t="inlineStr">
        <is>
          <t>2026-08-05T18:00:00Z</t>
        </is>
      </c>
      <c r="D58" s="24" t="inlineStr">
        <is>
          <t>69950</t>
        </is>
      </c>
      <c r="E58" s="24" t="inlineStr">
        <is>
          <t>LOL</t>
        </is>
      </c>
      <c r="F58" s="24" t="inlineStr">
        <is>
          <t>Lupus Esports</t>
        </is>
      </c>
      <c r="G58" s="24" t="inlineStr">
        <is>
          <t>SPIKE Syndicate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-138</v>
      </c>
      <c r="M58" s="27" t="n">
        <v>1.724638</v>
      </c>
      <c r="N58" s="28" t="n">
        <v>0.579832</v>
      </c>
      <c r="O58" s="28" t="n">
        <v>0.534563</v>
      </c>
      <c r="P58" s="28" t="n"/>
      <c r="Q58" s="28" t="n">
        <v>-0.045269</v>
      </c>
      <c r="R58" s="26" t="n">
        <v>0</v>
      </c>
      <c r="S58" s="29" t="n">
        <v>1</v>
      </c>
      <c r="T58" s="24" t="inlineStr">
        <is>
          <t>lol-tiered-elo-v5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Neutral Elo baseline; executable ask 0.5800 (market_slug=aec-lol-spk-lps-2026-08-05).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Lupus Esports</t>
        </is>
      </c>
      <c r="AQ58" s="24" t="inlineStr">
        <is>
          <t>Lupus Esports</t>
        </is>
      </c>
      <c r="AR58" s="24" t="inlineStr">
        <is>
          <t>Lupus Esports</t>
        </is>
      </c>
      <c r="AS58" s="24" t="inlineStr">
        <is>
          <t>SPIKE Syndicate</t>
        </is>
      </c>
      <c r="AT58" s="24" t="inlineStr">
        <is>
          <t>SPIKE Syndicate</t>
        </is>
      </c>
      <c r="AU58" s="24" t="inlineStr">
        <is>
          <t>SPIKE Syndicate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2aef9ef293099f7e3d21d8b6a25daad858c9b2bc1905102110b3b5d06e41ccd8</t>
        </is>
      </c>
      <c r="BB58" s="24" t="inlineStr">
        <is>
          <t>neutral_elo</t>
        </is>
      </c>
      <c r="BC58" s="24" t="inlineStr">
        <is>
          <t>lol-tiered-elo-v5</t>
        </is>
      </c>
      <c r="BD58" s="24" t="inlineStr">
        <is>
          <t>2aef9ef293099f7e3d21d8b6a25daad858c9b2bc1905102110b3b5d06e41ccd8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lol-tiered-elo-v5</t>
        </is>
      </c>
      <c r="BH58" s="24" t="inlineStr">
        <is>
          <t>2026-08-04T08:56:50.326365Z</t>
        </is>
      </c>
      <c r="BI58" s="24" t="inlineStr">
        <is>
          <t>["same_event","same_team_same_day","same_league_same_day"]</t>
        </is>
      </c>
      <c r="BJ58" s="25" t="n"/>
      <c r="BK58" s="26" t="n">
        <v>-138</v>
      </c>
      <c r="BL58" s="27" t="n">
        <v>1.724638</v>
      </c>
      <c r="BM58" s="28" t="n">
        <v>0.579832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inlineStr">
        <is>
          <t>False</t>
        </is>
      </c>
    </row>
    <row r="59" ht="36" customHeight="1">
      <c r="A59" s="24" t="inlineStr">
        <is>
          <t>1120235ad0b64397</t>
        </is>
      </c>
      <c r="B59" s="24" t="inlineStr">
        <is>
          <t>2026-08-04T08:56:56.469660Z</t>
        </is>
      </c>
      <c r="C59" s="24" t="inlineStr">
        <is>
          <t>2026-08-05T18:00:00Z</t>
        </is>
      </c>
      <c r="D59" s="24" t="inlineStr">
        <is>
          <t>69951</t>
        </is>
      </c>
      <c r="E59" s="24" t="inlineStr">
        <is>
          <t>LOL</t>
        </is>
      </c>
      <c r="F59" s="24" t="inlineStr">
        <is>
          <t>Rich Gang</t>
        </is>
      </c>
      <c r="G59" s="24" t="inlineStr">
        <is>
          <t>2 Massive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163</v>
      </c>
      <c r="M59" s="27" t="n">
        <v>2.63</v>
      </c>
      <c r="N59" s="28" t="n">
        <v>0.380228</v>
      </c>
      <c r="O59" s="28" t="n">
        <v>0.5160709999999999</v>
      </c>
      <c r="P59" s="28" t="n"/>
      <c r="Q59" s="28" t="n">
        <v>0.135843</v>
      </c>
      <c r="R59" s="26" t="n">
        <v>88</v>
      </c>
      <c r="S59" s="29" t="n">
        <v>1</v>
      </c>
      <c r="T59" s="24" t="inlineStr">
        <is>
          <t>lol-tiered-elo-v5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0.3800 (market_slug=aec-lol-mas-rgi-2026-08-05).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NO_CALL_LOW_EDGE</t>
        </is>
      </c>
      <c r="AP59" s="24" t="inlineStr">
        <is>
          <t>Rich Gang</t>
        </is>
      </c>
      <c r="AQ59" s="24" t="inlineStr">
        <is>
          <t>Rich Gang</t>
        </is>
      </c>
      <c r="AR59" s="24" t="inlineStr">
        <is>
          <t>Rich Gang</t>
        </is>
      </c>
      <c r="AS59" s="24" t="inlineStr">
        <is>
          <t>2 Massive</t>
        </is>
      </c>
      <c r="AT59" s="24" t="inlineStr">
        <is>
          <t>2 Massive</t>
        </is>
      </c>
      <c r="AU59" s="24" t="inlineStr">
        <is>
          <t>2 Massive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2aef9ef293099f7e3d21d8b6a25daad858c9b2bc1905102110b3b5d06e41ccd8</t>
        </is>
      </c>
      <c r="BB59" s="24" t="inlineStr">
        <is>
          <t>neutral_elo</t>
        </is>
      </c>
      <c r="BC59" s="24" t="inlineStr">
        <is>
          <t>lol-tiered-elo-v5</t>
        </is>
      </c>
      <c r="BD59" s="24" t="inlineStr">
        <is>
          <t>2aef9ef293099f7e3d21d8b6a25daad858c9b2bc1905102110b3b5d06e41ccd8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lol-tiered-elo-v5</t>
        </is>
      </c>
      <c r="BH59" s="24" t="inlineStr">
        <is>
          <t>2026-08-04T08:56:50.827783Z</t>
        </is>
      </c>
      <c r="BI59" s="24" t="inlineStr">
        <is>
          <t>["same_event","same_team_same_day","same_league_same_day"]</t>
        </is>
      </c>
      <c r="BJ59" s="25" t="n"/>
      <c r="BK59" s="26" t="n">
        <v>163</v>
      </c>
      <c r="BL59" s="27" t="n">
        <v>2.63</v>
      </c>
      <c r="BM59" s="28" t="n">
        <v>0.380228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inlineStr">
        <is>
          <t>True</t>
        </is>
      </c>
    </row>
    <row r="60" ht="36" customHeight="1">
      <c r="A60" s="24" t="inlineStr">
        <is>
          <t>9ed618ade4c3475f</t>
        </is>
      </c>
      <c r="B60" s="24" t="inlineStr">
        <is>
          <t>2026-08-04T08:56:56.469660Z</t>
        </is>
      </c>
      <c r="C60" s="24" t="inlineStr">
        <is>
          <t>2026-08-05T19:00:00Z</t>
        </is>
      </c>
      <c r="D60" s="24" t="inlineStr">
        <is>
          <t>70045</t>
        </is>
      </c>
      <c r="E60" s="24" t="inlineStr">
        <is>
          <t>LOL</t>
        </is>
      </c>
      <c r="F60" s="24" t="inlineStr">
        <is>
          <t>Ici Japon Corp. Esport</t>
        </is>
      </c>
      <c r="G60" s="24" t="inlineStr">
        <is>
          <t>ZYB Esport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-108</v>
      </c>
      <c r="M60" s="27" t="n">
        <v>1.925926</v>
      </c>
      <c r="N60" s="28" t="n">
        <v>0.519231</v>
      </c>
      <c r="O60" s="28" t="n">
        <v>0.607498</v>
      </c>
      <c r="P60" s="28" t="n"/>
      <c r="Q60" s="28" t="n">
        <v>0.088267</v>
      </c>
      <c r="R60" s="26" t="n">
        <v>64</v>
      </c>
      <c r="S60" s="29" t="n">
        <v>1.5</v>
      </c>
      <c r="T60" s="24" t="inlineStr">
        <is>
          <t>lol-tiered-elo-v5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0.5200 (market_slug=aec-lol-zyb-ijc-2026-08-05).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Ici Japon Corp. Esport</t>
        </is>
      </c>
      <c r="AQ60" s="24" t="inlineStr">
        <is>
          <t>Ici Japon Corp. Esport</t>
        </is>
      </c>
      <c r="AR60" s="24" t="inlineStr">
        <is>
          <t>Ici Japon Corp. Esport</t>
        </is>
      </c>
      <c r="AS60" s="24" t="inlineStr">
        <is>
          <t>ZYB Esport</t>
        </is>
      </c>
      <c r="AT60" s="24" t="inlineStr">
        <is>
          <t>ZYB Esport</t>
        </is>
      </c>
      <c r="AU60" s="24" t="inlineStr">
        <is>
          <t>ZYB Esport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2aef9ef293099f7e3d21d8b6a25daad858c9b2bc1905102110b3b5d06e41ccd8</t>
        </is>
      </c>
      <c r="BB60" s="24" t="inlineStr">
        <is>
          <t>neutral_elo</t>
        </is>
      </c>
      <c r="BC60" s="24" t="inlineStr">
        <is>
          <t>lol-tiered-elo-v5</t>
        </is>
      </c>
      <c r="BD60" s="24" t="inlineStr">
        <is>
          <t>2aef9ef293099f7e3d21d8b6a25daad858c9b2bc1905102110b3b5d06e41ccd8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lol-tiered-elo-v5</t>
        </is>
      </c>
      <c r="BH60" s="24" t="inlineStr">
        <is>
          <t>2026-08-04T08:56:51.809850Z</t>
        </is>
      </c>
      <c r="BI60" s="24" t="inlineStr">
        <is>
          <t>["same_event","same_team_same_day","same_league_same_day"]</t>
        </is>
      </c>
      <c r="BJ60" s="25" t="n"/>
      <c r="BK60" s="26" t="n">
        <v>-108</v>
      </c>
      <c r="BL60" s="27" t="n">
        <v>1.925926</v>
      </c>
      <c r="BM60" s="28" t="n">
        <v>0.519231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inlineStr">
        <is>
          <t>True</t>
        </is>
      </c>
    </row>
    <row r="61" ht="36" customHeight="1">
      <c r="A61" s="24" t="inlineStr">
        <is>
          <t>8ae2b418e6064ae0</t>
        </is>
      </c>
      <c r="B61" s="24" t="inlineStr">
        <is>
          <t>2026-08-04T08:56:56.469660Z</t>
        </is>
      </c>
      <c r="C61" s="24" t="inlineStr">
        <is>
          <t>2026-08-05T20:00:00Z</t>
        </is>
      </c>
      <c r="D61" s="24" t="inlineStr">
        <is>
          <t>70302</t>
        </is>
      </c>
      <c r="E61" s="24" t="inlineStr">
        <is>
          <t>LOL</t>
        </is>
      </c>
      <c r="F61" s="24" t="inlineStr">
        <is>
          <t>7REX</t>
        </is>
      </c>
      <c r="G61" s="24" t="inlineStr">
        <is>
          <t>Team Solid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-117</v>
      </c>
      <c r="M61" s="27" t="n">
        <v>1.854701</v>
      </c>
      <c r="N61" s="28" t="n">
        <v>0.539171</v>
      </c>
      <c r="O61" s="28" t="n">
        <v>0.535928</v>
      </c>
      <c r="P61" s="28" t="n"/>
      <c r="Q61" s="28" t="n">
        <v>-0.003243</v>
      </c>
      <c r="R61" s="26" t="n">
        <v>18</v>
      </c>
      <c r="S61" s="29" t="n">
        <v>1</v>
      </c>
      <c r="T61" s="24" t="inlineStr">
        <is>
          <t>lol-tiered-elo-v5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Neutral Elo baseline; executable ask 0.5400 (market_slug=aec-lol-tse-7rex-2026-08-05).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NO_CALL_LOW_EDGE</t>
        </is>
      </c>
      <c r="AP61" s="24" t="inlineStr">
        <is>
          <t>7REX</t>
        </is>
      </c>
      <c r="AQ61" s="24" t="inlineStr">
        <is>
          <t>7REX</t>
        </is>
      </c>
      <c r="AR61" s="24" t="inlineStr">
        <is>
          <t>7REX</t>
        </is>
      </c>
      <c r="AS61" s="24" t="inlineStr">
        <is>
          <t>Team Solid</t>
        </is>
      </c>
      <c r="AT61" s="24" t="inlineStr">
        <is>
          <t>Team Solid</t>
        </is>
      </c>
      <c r="AU61" s="24" t="inlineStr">
        <is>
          <t>Team Solid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2aef9ef293099f7e3d21d8b6a25daad858c9b2bc1905102110b3b5d06e41ccd8</t>
        </is>
      </c>
      <c r="BB61" s="24" t="inlineStr">
        <is>
          <t>neutral_elo</t>
        </is>
      </c>
      <c r="BC61" s="24" t="inlineStr">
        <is>
          <t>lol-tiered-elo-v5</t>
        </is>
      </c>
      <c r="BD61" s="24" t="inlineStr">
        <is>
          <t>2aef9ef293099f7e3d21d8b6a25daad858c9b2bc1905102110b3b5d06e41ccd8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lol-tiered-elo-v5</t>
        </is>
      </c>
      <c r="BH61" s="24" t="inlineStr">
        <is>
          <t>2026-08-04T08:56:52.802307Z</t>
        </is>
      </c>
      <c r="BI61" s="24" t="inlineStr">
        <is>
          <t>["same_event","same_team_same_day","same_league_same_day"]</t>
        </is>
      </c>
      <c r="BJ61" s="25" t="n"/>
      <c r="BK61" s="26" t="n">
        <v>-117</v>
      </c>
      <c r="BL61" s="27" t="n">
        <v>1.854701</v>
      </c>
      <c r="BM61" s="28" t="n">
        <v>0.539171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inlineStr">
        <is>
          <t>False</t>
        </is>
      </c>
    </row>
    <row r="62" ht="36" customHeight="1">
      <c r="A62" s="24" t="inlineStr">
        <is>
          <t>bcd2f952b94e48ae</t>
        </is>
      </c>
      <c r="B62" s="24" t="inlineStr">
        <is>
          <t>2026-08-04T08:56:56.469660Z</t>
        </is>
      </c>
      <c r="C62" s="24" t="inlineStr">
        <is>
          <t>2026-08-05T21:00:00Z</t>
        </is>
      </c>
      <c r="D62" s="24" t="inlineStr">
        <is>
          <t>70349</t>
        </is>
      </c>
      <c r="E62" s="24" t="inlineStr">
        <is>
          <t>LOL</t>
        </is>
      </c>
      <c r="F62" s="24" t="inlineStr">
        <is>
          <t>Winthrop University</t>
        </is>
      </c>
      <c r="G62" s="24" t="inlineStr">
        <is>
          <t>Blue Otter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-213</v>
      </c>
      <c r="M62" s="27" t="n">
        <v>1.469484</v>
      </c>
      <c r="N62" s="28" t="n">
        <v>0.680511</v>
      </c>
      <c r="O62" s="28" t="n">
        <v>0.649617</v>
      </c>
      <c r="P62" s="28" t="n"/>
      <c r="Q62" s="28" t="n">
        <v>-0.030894</v>
      </c>
      <c r="R62" s="26" t="n">
        <v>5</v>
      </c>
      <c r="S62" s="29" t="n">
        <v>1.75</v>
      </c>
      <c r="T62" s="24" t="inlineStr">
        <is>
          <t>lol-tiered-elo-v5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Neutral Elo baseline; executable ask 0.6800 (market_slug=aec-lol-blue-wu-2026-08-05).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NO_CALL_LOW_EDGE</t>
        </is>
      </c>
      <c r="AP62" s="24" t="inlineStr">
        <is>
          <t>Winthrop University</t>
        </is>
      </c>
      <c r="AQ62" s="24" t="inlineStr">
        <is>
          <t>Winthrop University</t>
        </is>
      </c>
      <c r="AR62" s="24" t="inlineStr">
        <is>
          <t>Winthrop University</t>
        </is>
      </c>
      <c r="AS62" s="24" t="inlineStr">
        <is>
          <t>Blue Otter</t>
        </is>
      </c>
      <c r="AT62" s="24" t="inlineStr">
        <is>
          <t>Blue Otter</t>
        </is>
      </c>
      <c r="AU62" s="24" t="inlineStr">
        <is>
          <t>Blue Otter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2aef9ef293099f7e3d21d8b6a25daad858c9b2bc1905102110b3b5d06e41ccd8</t>
        </is>
      </c>
      <c r="BB62" s="24" t="inlineStr">
        <is>
          <t>neutral_elo</t>
        </is>
      </c>
      <c r="BC62" s="24" t="inlineStr">
        <is>
          <t>lol-tiered-elo-v5</t>
        </is>
      </c>
      <c r="BD62" s="24" t="inlineStr">
        <is>
          <t>2aef9ef293099f7e3d21d8b6a25daad858c9b2bc1905102110b3b5d06e41ccd8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lol-tiered-elo-v5</t>
        </is>
      </c>
      <c r="BH62" s="24" t="inlineStr">
        <is>
          <t>2026-08-04T08:56:53.928842Z</t>
        </is>
      </c>
      <c r="BI62" s="24" t="inlineStr">
        <is>
          <t>["same_event","same_team_same_day","same_league_same_day"]</t>
        </is>
      </c>
      <c r="BJ62" s="25" t="n"/>
      <c r="BK62" s="26" t="n">
        <v>-213</v>
      </c>
      <c r="BL62" s="27" t="n">
        <v>1.469484</v>
      </c>
      <c r="BM62" s="28" t="n">
        <v>0.680511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inlineStr">
        <is>
          <t>False</t>
        </is>
      </c>
    </row>
    <row r="63" ht="36" customHeight="1">
      <c r="A63" s="24" t="inlineStr">
        <is>
          <t>835b0d32870c497c</t>
        </is>
      </c>
      <c r="B63" s="24" t="inlineStr">
        <is>
          <t>2026-08-04T08:56:56.469660Z</t>
        </is>
      </c>
      <c r="C63" s="24" t="inlineStr">
        <is>
          <t>2026-08-05T21:00:00Z</t>
        </is>
      </c>
      <c r="D63" s="24" t="inlineStr">
        <is>
          <t>70348</t>
        </is>
      </c>
      <c r="E63" s="24" t="inlineStr">
        <is>
          <t>LOL</t>
        </is>
      </c>
      <c r="F63" s="24" t="inlineStr">
        <is>
          <t>White Dragons</t>
        </is>
      </c>
      <c r="G63" s="24" t="inlineStr">
        <is>
          <t>NORTHERNGRADE ESPORTS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-163</v>
      </c>
      <c r="M63" s="27" t="n">
        <v>1.613497</v>
      </c>
      <c r="N63" s="28" t="n">
        <v>0.619772</v>
      </c>
      <c r="O63" s="28" t="n">
        <v>0.500208</v>
      </c>
      <c r="P63" s="28" t="n"/>
      <c r="Q63" s="28" t="n">
        <v>-0.119564</v>
      </c>
      <c r="R63" s="26" t="n">
        <v>0</v>
      </c>
      <c r="S63" s="29" t="n">
        <v>1</v>
      </c>
      <c r="T63" s="24" t="inlineStr">
        <is>
          <t>lol-tiered-elo-v5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Neutral Elo baseline; executable ask 0.6200 (market_slug=aec-lol-nort-wd-2026-08-05).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NO_CALL_LOW_EDGE</t>
        </is>
      </c>
      <c r="AP63" s="24" t="inlineStr">
        <is>
          <t>White Dragons</t>
        </is>
      </c>
      <c r="AQ63" s="24" t="inlineStr">
        <is>
          <t>White Dragons</t>
        </is>
      </c>
      <c r="AR63" s="24" t="inlineStr">
        <is>
          <t>White Dragons</t>
        </is>
      </c>
      <c r="AS63" s="24" t="inlineStr">
        <is>
          <t>NORTHERNGRADE ESPORTS</t>
        </is>
      </c>
      <c r="AT63" s="24" t="inlineStr">
        <is>
          <t>NORTHERNGRADE ESPORTS</t>
        </is>
      </c>
      <c r="AU63" s="24" t="inlineStr">
        <is>
          <t>NORTHERNGRADE ESPORTS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2aef9ef293099f7e3d21d8b6a25daad858c9b2bc1905102110b3b5d06e41ccd8</t>
        </is>
      </c>
      <c r="BB63" s="24" t="inlineStr">
        <is>
          <t>neutral_elo</t>
        </is>
      </c>
      <c r="BC63" s="24" t="inlineStr">
        <is>
          <t>lol-tiered-elo-v5</t>
        </is>
      </c>
      <c r="BD63" s="24" t="inlineStr">
        <is>
          <t>2aef9ef293099f7e3d21d8b6a25daad858c9b2bc1905102110b3b5d06e41ccd8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lol-tiered-elo-v5</t>
        </is>
      </c>
      <c r="BH63" s="24" t="inlineStr">
        <is>
          <t>2026-08-04T08:56:54.377453Z</t>
        </is>
      </c>
      <c r="BI63" s="24" t="inlineStr">
        <is>
          <t>["same_event","same_team_same_day","same_league_same_day"]</t>
        </is>
      </c>
      <c r="BJ63" s="25" t="n"/>
      <c r="BK63" s="26" t="n">
        <v>-163</v>
      </c>
      <c r="BL63" s="27" t="n">
        <v>1.613497</v>
      </c>
      <c r="BM63" s="28" t="n">
        <v>0.619772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inlineStr">
        <is>
          <t>False</t>
        </is>
      </c>
    </row>
    <row r="64" ht="36" customHeight="1">
      <c r="A64" s="24" t="inlineStr">
        <is>
          <t>5244e146f1fe46d5</t>
        </is>
      </c>
      <c r="B64" s="24" t="inlineStr">
        <is>
          <t>2026-08-04T08:56:56.469660Z</t>
        </is>
      </c>
      <c r="C64" s="24" t="inlineStr">
        <is>
          <t>2026-08-05T22:00:00Z</t>
        </is>
      </c>
      <c r="D64" s="24" t="inlineStr">
        <is>
          <t>70379</t>
        </is>
      </c>
      <c r="E64" s="24" t="inlineStr">
        <is>
          <t>LOL</t>
        </is>
      </c>
      <c r="F64" s="24" t="inlineStr">
        <is>
          <t>KaBuM! Ilha das Lendas</t>
        </is>
      </c>
      <c r="G64" s="24" t="inlineStr">
        <is>
          <t>Ei Nerd Esports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133</v>
      </c>
      <c r="M64" s="27" t="n">
        <v>2.33</v>
      </c>
      <c r="N64" s="28" t="n">
        <v>0.429185</v>
      </c>
      <c r="O64" s="28" t="n">
        <v>0.5668840000000001</v>
      </c>
      <c r="P64" s="28" t="n"/>
      <c r="Q64" s="28" t="n">
        <v>0.137699</v>
      </c>
      <c r="R64" s="26" t="n">
        <v>89</v>
      </c>
      <c r="S64" s="29" t="n">
        <v>1</v>
      </c>
      <c r="T64" s="24" t="inlineStr">
        <is>
          <t>lol-tiered-elo-v5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Neutral Elo baseline; executable ask 0.4300 (market_slug=aec-lol-nerd-kbm-2026-08-05).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KaBuM! Ilha das Lendas</t>
        </is>
      </c>
      <c r="AQ64" s="24" t="inlineStr">
        <is>
          <t>KaBuM! Ilha das Lendas</t>
        </is>
      </c>
      <c r="AR64" s="24" t="inlineStr">
        <is>
          <t>KaBuM! Ilha das Lendas</t>
        </is>
      </c>
      <c r="AS64" s="24" t="inlineStr">
        <is>
          <t>Ei Nerd Esports</t>
        </is>
      </c>
      <c r="AT64" s="24" t="inlineStr">
        <is>
          <t>Ei Nerd Esports</t>
        </is>
      </c>
      <c r="AU64" s="24" t="inlineStr">
        <is>
          <t>Ei Nerd Esports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2aef9ef293099f7e3d21d8b6a25daad858c9b2bc1905102110b3b5d06e41ccd8</t>
        </is>
      </c>
      <c r="BB64" s="24" t="inlineStr">
        <is>
          <t>neutral_elo</t>
        </is>
      </c>
      <c r="BC64" s="24" t="inlineStr">
        <is>
          <t>lol-tiered-elo-v5</t>
        </is>
      </c>
      <c r="BD64" s="24" t="inlineStr">
        <is>
          <t>2aef9ef293099f7e3d21d8b6a25daad858c9b2bc1905102110b3b5d06e41ccd8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lol-tiered-elo-v5</t>
        </is>
      </c>
      <c r="BH64" s="24" t="inlineStr">
        <is>
          <t>2026-08-04T08:56:54.874184Z</t>
        </is>
      </c>
      <c r="BI64" s="24" t="inlineStr">
        <is>
          <t>["same_event","same_team_same_day","same_league_same_day"]</t>
        </is>
      </c>
      <c r="BJ64" s="25" t="n"/>
      <c r="BK64" s="26" t="n">
        <v>133</v>
      </c>
      <c r="BL64" s="27" t="n">
        <v>2.33</v>
      </c>
      <c r="BM64" s="28" t="n">
        <v>0.429185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inlineStr">
        <is>
          <t>True</t>
        </is>
      </c>
    </row>
    <row r="65" ht="36" customHeight="1">
      <c r="A65" s="24" t="inlineStr">
        <is>
          <t>3dae42edf8664905</t>
        </is>
      </c>
      <c r="B65" s="24" t="inlineStr">
        <is>
          <t>2026-08-04T08:56:56.469660Z</t>
        </is>
      </c>
      <c r="C65" s="24" t="inlineStr">
        <is>
          <t>2026-08-06T00:00:00Z</t>
        </is>
      </c>
      <c r="D65" s="24" t="inlineStr">
        <is>
          <t>70454</t>
        </is>
      </c>
      <c r="E65" s="24" t="inlineStr">
        <is>
          <t>LOL</t>
        </is>
      </c>
      <c r="F65" s="24" t="inlineStr">
        <is>
          <t>Cupid Esports</t>
        </is>
      </c>
      <c r="G65" s="24" t="inlineStr">
        <is>
          <t>NRG Esports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0.515927</v>
      </c>
      <c r="P65" s="28" t="n"/>
      <c r="Q65" s="28" t="n">
        <v>-0.103845</v>
      </c>
      <c r="R65" s="26" t="n">
        <v>0</v>
      </c>
      <c r="S65" s="29" t="n">
        <v>1</v>
      </c>
      <c r="T65" s="24" t="inlineStr">
        <is>
          <t>lol-tiered-elo-v5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Neutral Elo baseline; executable ask 0.6200 (market_slug=aec-lol-nrg-cpd-2026-08-06).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Cupid Esports</t>
        </is>
      </c>
      <c r="AQ65" s="24" t="inlineStr">
        <is>
          <t>Cupid Esports</t>
        </is>
      </c>
      <c r="AR65" s="24" t="inlineStr">
        <is>
          <t>Cupid Esports</t>
        </is>
      </c>
      <c r="AS65" s="24" t="inlineStr">
        <is>
          <t>NRG Esports</t>
        </is>
      </c>
      <c r="AT65" s="24" t="inlineStr">
        <is>
          <t>NRG Esports</t>
        </is>
      </c>
      <c r="AU65" s="24" t="inlineStr">
        <is>
          <t>NRG Esports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2aef9ef293099f7e3d21d8b6a25daad858c9b2bc1905102110b3b5d06e41ccd8</t>
        </is>
      </c>
      <c r="BB65" s="24" t="inlineStr">
        <is>
          <t>neutral_elo</t>
        </is>
      </c>
      <c r="BC65" s="24" t="inlineStr">
        <is>
          <t>lol-tiered-elo-v5</t>
        </is>
      </c>
      <c r="BD65" s="24" t="inlineStr">
        <is>
          <t>2aef9ef293099f7e3d21d8b6a25daad858c9b2bc1905102110b3b5d06e41ccd8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lol-tiered-elo-v5</t>
        </is>
      </c>
      <c r="BH65" s="24" t="inlineStr">
        <is>
          <t>2026-08-04T08:56:55.920586Z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inlineStr">
        <is>
          <t>False</t>
        </is>
      </c>
    </row>
    <row r="66" ht="36" customHeight="1">
      <c r="A66" s="24" t="inlineStr">
        <is>
          <t>c88d2da337744db9</t>
        </is>
      </c>
      <c r="B66" s="24" t="inlineStr">
        <is>
          <t>2026-08-04T08:56:56.469660Z</t>
        </is>
      </c>
      <c r="C66" s="24" t="inlineStr">
        <is>
          <t>2026-08-06T00:00:00Z</t>
        </is>
      </c>
      <c r="D66" s="24" t="inlineStr">
        <is>
          <t>70453</t>
        </is>
      </c>
      <c r="E66" s="24" t="inlineStr">
        <is>
          <t>LOL</t>
        </is>
      </c>
      <c r="F66" s="24" t="inlineStr">
        <is>
          <t>paiN Gaming Academy</t>
        </is>
      </c>
      <c r="G66" s="24" t="inlineStr">
        <is>
          <t>INTZ e-Sports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-133</v>
      </c>
      <c r="M66" s="27" t="n">
        <v>1.75188</v>
      </c>
      <c r="N66" s="28" t="n">
        <v>0.570815</v>
      </c>
      <c r="O66" s="28" t="n">
        <v>0.590765</v>
      </c>
      <c r="P66" s="28" t="n"/>
      <c r="Q66" s="28" t="n">
        <v>0.01995</v>
      </c>
      <c r="R66" s="26" t="n">
        <v>30</v>
      </c>
      <c r="S66" s="29" t="n">
        <v>1.25</v>
      </c>
      <c r="T66" s="24" t="inlineStr">
        <is>
          <t>lol-tiered-elo-v5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Neutral Elo baseline; executable ask 0.5700 (market_slug=aec-lol-itz-pnga-2026-08-06).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paiN Gaming Academy</t>
        </is>
      </c>
      <c r="AQ66" s="24" t="inlineStr">
        <is>
          <t>paiN Gaming Academy</t>
        </is>
      </c>
      <c r="AR66" s="24" t="inlineStr">
        <is>
          <t>paiN Gaming Academy</t>
        </is>
      </c>
      <c r="AS66" s="24" t="inlineStr">
        <is>
          <t>INTZ e-Sports</t>
        </is>
      </c>
      <c r="AT66" s="24" t="inlineStr">
        <is>
          <t>INTZ e-Sports</t>
        </is>
      </c>
      <c r="AU66" s="24" t="inlineStr">
        <is>
          <t>INTZ e-Sports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2aef9ef293099f7e3d21d8b6a25daad858c9b2bc1905102110b3b5d06e41ccd8</t>
        </is>
      </c>
      <c r="BB66" s="24" t="inlineStr">
        <is>
          <t>neutral_elo</t>
        </is>
      </c>
      <c r="BC66" s="24" t="inlineStr">
        <is>
          <t>lol-tiered-elo-v5</t>
        </is>
      </c>
      <c r="BD66" s="24" t="inlineStr">
        <is>
          <t>2aef9ef293099f7e3d21d8b6a25daad858c9b2bc1905102110b3b5d06e41ccd8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lol-tiered-elo-v5</t>
        </is>
      </c>
      <c r="BH66" s="24" t="inlineStr">
        <is>
          <t>2026-08-04T08:56:56.469425Z</t>
        </is>
      </c>
      <c r="BI66" s="24" t="inlineStr">
        <is>
          <t>["same_event","same_team_same_day","same_league_same_day"]</t>
        </is>
      </c>
      <c r="BJ66" s="25" t="n"/>
      <c r="BK66" s="26" t="n">
        <v>-133</v>
      </c>
      <c r="BL66" s="27" t="n">
        <v>1.75188</v>
      </c>
      <c r="BM66" s="28" t="n">
        <v>0.570815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2026-08-04T08:57:25Z</dcterms:created>
  <dcterms:modified xsi:type="dcterms:W3CDTF">2026-08-04T08:57:25Z</dcterms:modified>
</cp:coreProperties>
</file>