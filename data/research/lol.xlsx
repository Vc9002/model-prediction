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6" headerRowCount="1">
  <autoFilter ref="A1:CO6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COUNTA('Picks'!$A$2:$A$66)</f>
        <v/>
      </c>
      <c r="C4" s="6">
        <f>COUNTIF('Picks'!$U$2:$U$66,"open")</f>
        <v/>
      </c>
      <c r="E4" s="6">
        <f>COUNTIF('Picks'!$U$2:$U$66,"settled")</f>
        <v/>
      </c>
      <c r="G4" s="6">
        <f>IF(COUNTIFS('Picks'!$U$2:$U$66,"settled",'Picks'!$V$2:$V$66,"win")+COUNTIFS('Picks'!$U$2:$U$66,"settled",'Picks'!$V$2:$V$66,"loss")&gt;=$L$2,"Ready","Insufficient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COUNTIF('Picks'!$BX$2:$BX$66,"&gt;0")</f>
        <v/>
      </c>
      <c r="C7" s="6">
        <f>COUNTIFS('Picks'!$BX$2:$BX$66,"&gt;0",'Picks'!$V$2:$V$66,"win")&amp;"-"&amp;COUNTIFS('Picks'!$BX$2:$BX$66,"&gt;0",'Picks'!$V$2:$V$66,"loss")</f>
        <v/>
      </c>
      <c r="E7" s="7">
        <f>IFERROR(COUNTIFS('Picks'!$BX$2:$BX$66,"&gt;0",'Picks'!$V$2:$V$66,"win")/(COUNTIFS('Picks'!$BX$2:$BX$66,"&gt;0",'Picks'!$V$2:$V$66,"win")+COUNTIFS('Picks'!$BX$2:$BX$66,"&gt;0",'Picks'!$V$2:$V$66,"loss")),0)</f>
        <v/>
      </c>
      <c r="G7" s="7">
        <f>IFERROR(SUM('Picks'!$BY$2:$BY$66)/SUM('Picks'!$BX$2:$BX$66),0)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SUM('Picks'!$BY$2:$BY$66)</f>
        <v/>
      </c>
      <c r="C10" s="9">
        <f>IFERROR(AVERAGEIF('Picks'!$AB$2:$AB$66,"&lt;&gt;",'Picks'!$AB$2:$AB$66),0)</f>
        <v/>
      </c>
      <c r="E10" s="6">
        <f>COUNTIFS('Picks'!$AM$2:$AM$66,"QUALIFIED_SHADOW_CALL",'Picks'!$U$2:$U$66,"settled")</f>
        <v/>
      </c>
      <c r="G10" s="8">
        <f>SUMIFS('Picks'!$AC$2:$AC$66,'Picks'!$AM$2:$AM$66,"QUALIFIED_SHADOW_CALL")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COUNTIFS('Picks'!$H$2:$H$66,$A14,'Picks'!$U$2:$U$66,"settled")</f>
        <v/>
      </c>
      <c r="C14" s="13">
        <f>COUNTIFS('Picks'!$H$2:$H$66,$A14,'Picks'!$U$2:$U$66,"settled",'Picks'!$V$2:$V$66,"win")</f>
        <v/>
      </c>
      <c r="D14" s="13">
        <f>COUNTIFS('Picks'!$H$2:$H$66,$A14,'Picks'!$U$2:$U$66,"settled",'Picks'!$V$2:$V$66,"loss")</f>
        <v/>
      </c>
      <c r="E14" s="14">
        <f>IFERROR(C14/(C14+D14),0)</f>
        <v/>
      </c>
      <c r="F14" s="15">
        <f>SUMIFS('Picks'!$BY$2:$BY$66,'Picks'!$H$2:$H$66,$A14)</f>
        <v/>
      </c>
      <c r="G14" s="16">
        <f>IFERROR(AVERAGEIFS('Picks'!$AB$2:$AB$66,'Picks'!$H$2:$H$66,$A14,'Picks'!$U$2:$U$66,"settled"),0)</f>
        <v/>
      </c>
    </row>
    <row r="15">
      <c r="A15" s="17" t="inlineStr">
        <is>
          <t>spread</t>
        </is>
      </c>
      <c r="B15" s="18">
        <f>COUNTIFS('Picks'!$H$2:$H$66,$A15,'Picks'!$U$2:$U$66,"settled")</f>
        <v/>
      </c>
      <c r="C15" s="18">
        <f>COUNTIFS('Picks'!$H$2:$H$66,$A15,'Picks'!$U$2:$U$66,"settled",'Picks'!$V$2:$V$66,"win")</f>
        <v/>
      </c>
      <c r="D15" s="18">
        <f>COUNTIFS('Picks'!$H$2:$H$66,$A15,'Picks'!$U$2:$U$66,"settled",'Picks'!$V$2:$V$66,"loss")</f>
        <v/>
      </c>
      <c r="E15" s="19">
        <f>IFERROR(C15/(C15+D15),0)</f>
        <v/>
      </c>
      <c r="F15" s="20">
        <f>SUMIFS('Picks'!$BY$2:$BY$66,'Picks'!$H$2:$H$66,$A15)</f>
        <v/>
      </c>
      <c r="G15" s="21">
        <f>IFERROR(AVERAGEIFS('Picks'!$AB$2:$AB$66,'Picks'!$H$2:$H$66,$A15,'Picks'!$U$2:$U$66,"settled"),0)</f>
        <v/>
      </c>
    </row>
    <row r="16">
      <c r="A16" s="12" t="inlineStr">
        <is>
          <t>total</t>
        </is>
      </c>
      <c r="B16" s="13">
        <f>COUNTIFS('Picks'!$H$2:$H$66,$A16,'Picks'!$U$2:$U$66,"settled")</f>
        <v/>
      </c>
      <c r="C16" s="13">
        <f>COUNTIFS('Picks'!$H$2:$H$66,$A16,'Picks'!$U$2:$U$66,"settled",'Picks'!$V$2:$V$66,"win")</f>
        <v/>
      </c>
      <c r="D16" s="13">
        <f>COUNTIFS('Picks'!$H$2:$H$66,$A16,'Picks'!$U$2:$U$66,"settled",'Picks'!$V$2:$V$66,"loss")</f>
        <v/>
      </c>
      <c r="E16" s="14">
        <f>IFERROR(C16/(C16+D16),0)</f>
        <v/>
      </c>
      <c r="F16" s="15">
        <f>SUMIFS('Picks'!$BY$2:$BY$66,'Picks'!$H$2:$H$66,$A16)</f>
        <v/>
      </c>
      <c r="G16" s="16">
        <f>IFERROR(AVERAGEIFS('Picks'!$AB$2:$AB$66,'Picks'!$H$2:$H$66,$A16,'Picks'!$U$2:$U$66,"settled"),0)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a662a96bd5fc4d38</t>
        </is>
      </c>
      <c r="B2" s="24" t="inlineStr">
        <is>
          <t>2026-07-24T10:52:00.691444Z</t>
        </is>
      </c>
      <c r="C2" s="24" t="inlineStr">
        <is>
          <t>2026-07-25T07:00:00Z</t>
        </is>
      </c>
      <c r="D2" s="24" t="inlineStr">
        <is>
          <t>59230</t>
        </is>
      </c>
      <c r="E2" s="24" t="inlineStr">
        <is>
          <t>LOL</t>
        </is>
      </c>
      <c r="F2" s="24" t="inlineStr">
        <is>
          <t>Team WE</t>
        </is>
      </c>
      <c r="G2" s="24" t="inlineStr">
        <is>
          <t>LGD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0.437668</v>
      </c>
      <c r="P2" s="28" t="n"/>
      <c r="Q2" s="28" t="n">
        <v>0.027832</v>
      </c>
      <c r="R2" s="26" t="n">
        <v>68</v>
      </c>
      <c r="S2" s="29" t="n">
        <v>0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2026-07-25T23:18:34.088984Z</t>
        </is>
      </c>
      <c r="AE2" s="31" t="inlineStr">
        <is>
          <t>Neutral Elo baseline; executable ask 0.4100 (market_slug=aec-lol-lgd-we-2026-07-25).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Team WE</t>
        </is>
      </c>
      <c r="AQ2" s="24" t="inlineStr">
        <is>
          <t>Team WE</t>
        </is>
      </c>
      <c r="AR2" s="24" t="inlineStr">
        <is>
          <t>Team WE</t>
        </is>
      </c>
      <c r="AS2" s="24" t="inlineStr">
        <is>
          <t>LGD Gaming</t>
        </is>
      </c>
      <c r="AT2" s="24" t="inlineStr">
        <is>
          <t>LGD Gaming</t>
        </is>
      </c>
      <c r="AU2" s="24" t="inlineStr">
        <is>
          <t>LGD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2026-07-24T10:51:37.604493Z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5bf5f2c775254446</t>
        </is>
      </c>
      <c r="B3" s="24" t="inlineStr">
        <is>
          <t>2026-07-24T10:52:00.691444Z</t>
        </is>
      </c>
      <c r="C3" s="24" t="inlineStr">
        <is>
          <t>2026-07-25T09:00:00Z</t>
        </is>
      </c>
      <c r="D3" s="24" t="inlineStr">
        <is>
          <t>59239</t>
        </is>
      </c>
      <c r="E3" s="24" t="inlineStr">
        <is>
          <t>LOL</t>
        </is>
      </c>
      <c r="F3" s="24" t="inlineStr">
        <is>
          <t>Weibo Gaming</t>
        </is>
      </c>
      <c r="G3" s="24" t="inlineStr">
        <is>
          <t>Invictus Gaming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0.638612</v>
      </c>
      <c r="P3" s="28" t="n"/>
      <c r="Q3" s="28" t="n">
        <v>0.169128</v>
      </c>
      <c r="R3" s="26" t="n">
        <v>64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2026-07-25T15:25:48.117699Z</t>
        </is>
      </c>
      <c r="AE3" s="31" t="inlineStr">
        <is>
          <t>Neutral Elo baseline; executable ask 0.4700 (market_slug=aec-lol-ig-wb-2026-07-25).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Invictus Gaming</t>
        </is>
      </c>
      <c r="AT3" s="24" t="inlineStr">
        <is>
          <t>Invictus Gaming</t>
        </is>
      </c>
      <c r="AU3" s="24" t="inlineStr">
        <is>
          <t>Invictus Gaming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2026-07-24T10:51:41.784002Z</t>
        </is>
      </c>
      <c r="BI3" s="24" t="inlineStr">
        <is>
          <t>["same_event","same_team_same_day","same_league_same_day"]</t>
        </is>
      </c>
      <c r="BJ3" s="25" t="n"/>
      <c r="BK3" s="26" t="n">
        <v>113</v>
      </c>
      <c r="BL3" s="27" t="n">
        <v>2.13</v>
      </c>
      <c r="BM3" s="28" t="n">
        <v>0.469484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79acf4e1e7f0475b</t>
        </is>
      </c>
      <c r="B4" s="24" t="inlineStr">
        <is>
          <t>2026-07-24T15:45:33.271721Z</t>
        </is>
      </c>
      <c r="C4" s="24" t="inlineStr">
        <is>
          <t>2026-07-24T19:00:00Z</t>
        </is>
      </c>
      <c r="D4" s="24" t="inlineStr">
        <is>
          <t>58783</t>
        </is>
      </c>
      <c r="E4" s="24" t="inlineStr">
        <is>
          <t>LOL</t>
        </is>
      </c>
      <c r="F4" s="24" t="inlineStr">
        <is>
          <t>EKO Esports</t>
        </is>
      </c>
      <c r="G4" s="24" t="inlineStr">
        <is>
          <t>Aeterna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0.448445</v>
      </c>
      <c r="P4" s="28" t="n"/>
      <c r="Q4" s="28" t="n">
        <v>0.01926</v>
      </c>
      <c r="R4" s="26" t="n">
        <v>62</v>
      </c>
      <c r="S4" s="29" t="n">
        <v>0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push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0</v>
      </c>
      <c r="AD4" s="24" t="inlineStr">
        <is>
          <t>2026-07-25T23:18:34.089000Z</t>
        </is>
      </c>
      <c r="AE4" s="31" t="inlineStr">
        <is>
          <t>Neutral Elo baseline; executable ask 0.4300 (market_slug=aec-lol-aee-eko-2026-07-24).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NO_CALL_MODEL_INELIGIBLE</t>
        </is>
      </c>
      <c r="AP4" s="24" t="inlineStr">
        <is>
          <t>EKO Esports</t>
        </is>
      </c>
      <c r="AQ4" s="24" t="inlineStr">
        <is>
          <t>EKO Esports</t>
        </is>
      </c>
      <c r="AR4" s="24" t="inlineStr">
        <is>
          <t>EKO Esports</t>
        </is>
      </c>
      <c r="AS4" s="24" t="inlineStr">
        <is>
          <t>Aeterna Esports</t>
        </is>
      </c>
      <c r="AT4" s="24" t="inlineStr">
        <is>
          <t>Aeterna Esports</t>
        </is>
      </c>
      <c r="AU4" s="24" t="inlineStr">
        <is>
          <t>Aeterna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2026-07-24T15:45:23.824161Z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model_prob_below_0.5_bug: selected side was never actually favored by the model (pre-fix esports logging bug in _log_esports_forecast, fixed 2026-07-25 with model_prob&lt;0.5 guard)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53a994676d2b46c8</t>
        </is>
      </c>
      <c r="B5" s="24" t="inlineStr">
        <is>
          <t>2026-07-25T16:16:17.517287Z</t>
        </is>
      </c>
      <c r="C5" s="24" t="inlineStr">
        <is>
          <t>2026-07-25T17:00:00Z</t>
        </is>
      </c>
      <c r="D5" s="24" t="inlineStr">
        <is>
          <t>59392</t>
        </is>
      </c>
      <c r="E5" s="24" t="inlineStr">
        <is>
          <t>LOL</t>
        </is>
      </c>
      <c r="F5" s="24" t="inlineStr">
        <is>
          <t>Movistar KOI</t>
        </is>
      </c>
      <c r="G5" s="24" t="inlineStr">
        <is>
          <t>Karmine Corp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0.761127</v>
      </c>
      <c r="P5" s="28" t="n"/>
      <c r="Q5" s="28" t="n">
        <v>0.09116</v>
      </c>
      <c r="R5" s="26" t="n">
        <v>66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0.9852</v>
      </c>
      <c r="AD5" s="24" t="inlineStr">
        <is>
          <t>2026-07-25T19:18:07.087318Z</t>
        </is>
      </c>
      <c r="AE5" s="31" t="inlineStr">
        <is>
          <t>Neutral Elo baseline; executable ask 0.6700 (market_slug=aec-lol-kc-mkoi-2026-07-25).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Movistar KOI</t>
        </is>
      </c>
      <c r="AQ5" s="24" t="inlineStr">
        <is>
          <t>Movistar KOI</t>
        </is>
      </c>
      <c r="AR5" s="24" t="inlineStr">
        <is>
          <t>Movistar KOI</t>
        </is>
      </c>
      <c r="AS5" s="24" t="inlineStr">
        <is>
          <t>Karmine Corp</t>
        </is>
      </c>
      <c r="AT5" s="24" t="inlineStr">
        <is>
          <t>Karmine Corp</t>
        </is>
      </c>
      <c r="AU5" s="24" t="inlineStr">
        <is>
          <t>Karmine Corp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2026-07-25T16:16:06.872882Z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a42e170c751e4309</t>
        </is>
      </c>
      <c r="B6" s="24" t="inlineStr">
        <is>
          <t>2026-07-26T12:49:32.359065Z</t>
        </is>
      </c>
      <c r="C6" s="24" t="inlineStr">
        <is>
          <t>2026-07-26T13:00:00Z</t>
        </is>
      </c>
      <c r="D6" s="24" t="inlineStr">
        <is>
          <t>60120</t>
        </is>
      </c>
      <c r="E6" s="24" t="inlineStr">
        <is>
          <t>LOL</t>
        </is>
      </c>
      <c r="F6" s="24" t="inlineStr">
        <is>
          <t>Team High Ground</t>
        </is>
      </c>
      <c r="G6" s="24" t="inlineStr">
        <is>
          <t>Galions Sharks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0.5456</v>
      </c>
      <c r="P6" s="28" t="n"/>
      <c r="Q6" s="28" t="n">
        <v>0.135764</v>
      </c>
      <c r="R6" s="26" t="n">
        <v>88</v>
      </c>
      <c r="S6" s="29" t="n">
        <v>1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2026-07-26T17:52:33.905977Z</t>
        </is>
      </c>
      <c r="AE6" s="31" t="inlineStr">
        <is>
          <t>Neutral Elo baseline; executable ask 0.4100 (market_slug=aec-lol-gls-thg-2026-07-26).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Team High Ground</t>
        </is>
      </c>
      <c r="AQ6" s="24" t="inlineStr">
        <is>
          <t>Team High Ground</t>
        </is>
      </c>
      <c r="AR6" s="24" t="inlineStr">
        <is>
          <t>Team High Ground</t>
        </is>
      </c>
      <c r="AS6" s="24" t="inlineStr">
        <is>
          <t>Galions Sharks</t>
        </is>
      </c>
      <c r="AT6" s="24" t="inlineStr">
        <is>
          <t>Galions Sharks</t>
        </is>
      </c>
      <c r="AU6" s="24" t="inlineStr">
        <is>
          <t>Galions Sharks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35087e828a0053011a97024de693e2ee7eb80eb03024c91d28d254de09d93778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35087e828a0053011a97024de693e2ee7eb80eb03024c91d28d254de09d93778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2026-07-26T12:49:10.049609Z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4251a66dd47d405b</t>
        </is>
      </c>
      <c r="B7" s="24" t="inlineStr">
        <is>
          <t>2026-07-26T12:49:32.359065Z</t>
        </is>
      </c>
      <c r="C7" s="24" t="inlineStr">
        <is>
          <t>2026-07-26T17:00:00Z</t>
        </is>
      </c>
      <c r="D7" s="24" t="inlineStr">
        <is>
          <t>60180</t>
        </is>
      </c>
      <c r="E7" s="24" t="inlineStr">
        <is>
          <t>LOL</t>
        </is>
      </c>
      <c r="F7" s="24" t="inlineStr">
        <is>
          <t>Karmine Corp</t>
        </is>
      </c>
      <c r="G7" s="24" t="inlineStr">
        <is>
          <t>G2 Esports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150</v>
      </c>
      <c r="M7" s="27" t="n">
        <v>2.5</v>
      </c>
      <c r="N7" s="28" t="n">
        <v>0.4</v>
      </c>
      <c r="O7" s="28" t="n">
        <v>0.621842</v>
      </c>
      <c r="P7" s="28" t="n"/>
      <c r="Q7" s="28" t="n">
        <v>0.221842</v>
      </c>
      <c r="R7" s="26" t="n">
        <v>100</v>
      </c>
      <c r="S7" s="29" t="n">
        <v>1.75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2.625</v>
      </c>
      <c r="AD7" s="24" t="inlineStr">
        <is>
          <t>2026-07-27T01:51:59.451937Z</t>
        </is>
      </c>
      <c r="AE7" s="31" t="inlineStr">
        <is>
          <t>Neutral Elo baseline; executable ask 0.4000 (market_slug=aec-lol-g2-kc-2026-07-26).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</t>
        </is>
      </c>
      <c r="AQ7" s="24" t="inlineStr">
        <is>
          <t>Karmine Corp</t>
        </is>
      </c>
      <c r="AR7" s="24" t="inlineStr">
        <is>
          <t>Karmine Corp</t>
        </is>
      </c>
      <c r="AS7" s="24" t="inlineStr">
        <is>
          <t>G2 Esports</t>
        </is>
      </c>
      <c r="AT7" s="24" t="inlineStr">
        <is>
          <t>G2 Esports</t>
        </is>
      </c>
      <c r="AU7" s="24" t="inlineStr">
        <is>
          <t>G2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35087e828a0053011a97024de693e2ee7eb80eb03024c91d28d254de09d93778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35087e828a0053011a97024de693e2ee7eb80eb03024c91d28d254de09d93778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2026-07-26T12:49:13.248928Z</t>
        </is>
      </c>
      <c r="BI7" s="24" t="inlineStr">
        <is>
          <t>["same_event","same_team_same_day","same_league_same_day"]</t>
        </is>
      </c>
      <c r="BJ7" s="25" t="n"/>
      <c r="BK7" s="26" t="n">
        <v>150</v>
      </c>
      <c r="BL7" s="27" t="n">
        <v>2.5</v>
      </c>
      <c r="BM7" s="28" t="n">
        <v>0.4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1f517fe029654f3d</t>
        </is>
      </c>
      <c r="B8" s="24" t="inlineStr">
        <is>
          <t>2026-07-26T19:32:06.087195Z</t>
        </is>
      </c>
      <c r="C8" s="24" t="inlineStr">
        <is>
          <t>2026-07-26T20:00:00Z</t>
        </is>
      </c>
      <c r="D8" s="24" t="inlineStr">
        <is>
          <t>60465</t>
        </is>
      </c>
      <c r="E8" s="24" t="inlineStr">
        <is>
          <t>LOL</t>
        </is>
      </c>
      <c r="F8" s="24" t="inlineStr">
        <is>
          <t>Cloud9</t>
        </is>
      </c>
      <c r="G8" s="24" t="inlineStr">
        <is>
          <t>Team Liquid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-144</v>
      </c>
      <c r="M8" s="27" t="n">
        <v>1.694444</v>
      </c>
      <c r="N8" s="28" t="n">
        <v>0.590164</v>
      </c>
      <c r="O8" s="28" t="n">
        <v>0.723066</v>
      </c>
      <c r="P8" s="28" t="n"/>
      <c r="Q8" s="28" t="n">
        <v>0.132902</v>
      </c>
      <c r="R8" s="26" t="n">
        <v>86</v>
      </c>
      <c r="S8" s="29" t="n">
        <v>2</v>
      </c>
      <c r="T8" s="24" t="inlineStr">
        <is>
          <t>lol-tiered-elo-v4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1.3889</v>
      </c>
      <c r="AD8" s="24" t="inlineStr">
        <is>
          <t>2026-07-27T01:52:01.961047Z</t>
        </is>
      </c>
      <c r="AE8" s="31" t="inlineStr">
        <is>
          <t>Neutral Elo baseline; executable ask 0.5900 (market_slug=aec-lol-tl-c9-2026-07-26).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Cloud9</t>
        </is>
      </c>
      <c r="AQ8" s="24" t="inlineStr">
        <is>
          <t>Cloud9</t>
        </is>
      </c>
      <c r="AR8" s="24" t="inlineStr">
        <is>
          <t>Cloud9</t>
        </is>
      </c>
      <c r="AS8" s="24" t="inlineStr">
        <is>
          <t>Team Liquid</t>
        </is>
      </c>
      <c r="AT8" s="24" t="inlineStr">
        <is>
          <t>Team Liquid</t>
        </is>
      </c>
      <c r="AU8" s="24" t="inlineStr">
        <is>
          <t>Team Liquid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35087e828a0053011a97024de693e2ee7eb80eb03024c91d28d254de09d93778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35087e828a0053011a97024de693e2ee7eb80eb03024c91d28d254de09d93778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2026-07-26T19:31:54.450139Z</t>
        </is>
      </c>
      <c r="BI8" s="24" t="inlineStr">
        <is>
          <t>["same_event","same_team_same_day","same_league_same_day"]</t>
        </is>
      </c>
      <c r="BJ8" s="25" t="n"/>
      <c r="BK8" s="26" t="n">
        <v>-144</v>
      </c>
      <c r="BL8" s="27" t="n">
        <v>1.694444</v>
      </c>
      <c r="BM8" s="28" t="n">
        <v>0.590164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609696ae2e8245cf</t>
        </is>
      </c>
      <c r="B9" s="24" t="inlineStr">
        <is>
          <t>2026-07-26T20:10:52.122105Z</t>
        </is>
      </c>
      <c r="C9" s="24" t="inlineStr">
        <is>
          <t>2026-07-26T23:00:00Z</t>
        </is>
      </c>
      <c r="D9" s="24" t="inlineStr">
        <is>
          <t>60600</t>
        </is>
      </c>
      <c r="E9" s="24" t="inlineStr">
        <is>
          <t>LOL</t>
        </is>
      </c>
      <c r="F9" s="24" t="inlineStr">
        <is>
          <t>Disguised</t>
        </is>
      </c>
      <c r="G9" s="24" t="inlineStr">
        <is>
          <t>Shopify Rebellion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0.543543</v>
      </c>
      <c r="P9" s="28" t="n"/>
      <c r="Q9" s="28" t="n">
        <v>-0.027272</v>
      </c>
      <c r="R9" s="26" t="n">
        <v>6</v>
      </c>
      <c r="S9" s="29" t="n">
        <v>0</v>
      </c>
      <c r="T9" s="24" t="inlineStr">
        <is>
          <t>lol-tiered-elo-v4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2026-07-27T01:52:03.138650Z</t>
        </is>
      </c>
      <c r="AE9" s="31" t="inlineStr">
        <is>
          <t>Neutral Elo baseline; executable ask 0.5700 (market_slug=aec-lol-sr-dsg-2026-07-26).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Disguised</t>
        </is>
      </c>
      <c r="AQ9" s="24" t="inlineStr">
        <is>
          <t>Disguised</t>
        </is>
      </c>
      <c r="AR9" s="24" t="inlineStr">
        <is>
          <t>Disguised</t>
        </is>
      </c>
      <c r="AS9" s="24" t="inlineStr">
        <is>
          <t>Shopify Rebellion</t>
        </is>
      </c>
      <c r="AT9" s="24" t="inlineStr">
        <is>
          <t>Shopify Rebellion</t>
        </is>
      </c>
      <c r="AU9" s="24" t="inlineStr">
        <is>
          <t>Shopify Rebellion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35087e828a0053011a97024de693e2ee7eb80eb03024c91d28d254de09d93778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35087e828a0053011a97024de693e2ee7eb80eb03024c91d28d254de09d93778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2026-07-26T20:10:41.893354Z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fd1d1301189448ab</t>
        </is>
      </c>
      <c r="B10" s="24" t="inlineStr">
        <is>
          <t>2026-07-27T05:24:25.946584Z</t>
        </is>
      </c>
      <c r="C10" s="24" t="inlineStr">
        <is>
          <t>2026-07-27T06:45:00Z</t>
        </is>
      </c>
      <c r="D10" s="24" t="inlineStr">
        <is>
          <t>60706</t>
        </is>
      </c>
      <c r="E10" s="24" t="inlineStr">
        <is>
          <t>LOL</t>
        </is>
      </c>
      <c r="F10" s="24" t="inlineStr">
        <is>
          <t>Hanwha Life Esports</t>
        </is>
      </c>
      <c r="G10" s="24" t="inlineStr">
        <is>
          <t>Dplus KIA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0.608349</v>
      </c>
      <c r="P10" s="28" t="n"/>
      <c r="Q10" s="28" t="n">
        <v>-0.051515</v>
      </c>
      <c r="R10" s="26" t="n">
        <v>0</v>
      </c>
      <c r="S10" s="29" t="n">
        <v>0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2026-07-27T10:24:44.763051Z</t>
        </is>
      </c>
      <c r="AE10" s="31" t="inlineStr">
        <is>
          <t>Neutral Elo baseline; executable ask 0.6600 (market_slug=aec-lol-dk-hle-2026-07-27).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Hanwha Life Esports</t>
        </is>
      </c>
      <c r="AQ10" s="24" t="inlineStr">
        <is>
          <t>Hanwha Life Esports</t>
        </is>
      </c>
      <c r="AR10" s="24" t="inlineStr">
        <is>
          <t>Hanwha Life Esports</t>
        </is>
      </c>
      <c r="AS10" s="24" t="inlineStr">
        <is>
          <t>Dplus KIA</t>
        </is>
      </c>
      <c r="AT10" s="24" t="inlineStr">
        <is>
          <t>Dplus KIA</t>
        </is>
      </c>
      <c r="AU10" s="24" t="inlineStr">
        <is>
          <t>Dplus KIA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35087e828a0053011a97024de693e2ee7eb80eb03024c91d28d254de09d93778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35087e828a0053011a97024de693e2ee7eb80eb03024c91d28d254de09d93778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2026-07-27T05:24:02.567595Z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75fe356302e240e0</t>
        </is>
      </c>
      <c r="B11" s="24" t="inlineStr">
        <is>
          <t>2026-07-27T17:37:52.168845Z</t>
        </is>
      </c>
      <c r="C11" s="24" t="inlineStr">
        <is>
          <t>2026-07-27T18:00:00Z</t>
        </is>
      </c>
      <c r="D11" s="24" t="inlineStr">
        <is>
          <t>60818</t>
        </is>
      </c>
      <c r="E11" s="24" t="inlineStr">
        <is>
          <t>LOL</t>
        </is>
      </c>
      <c r="F11" s="24" t="inlineStr">
        <is>
          <t>Bulldog Esports</t>
        </is>
      </c>
      <c r="G11" s="24" t="inlineStr">
        <is>
          <t>Arctic Pandas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-104</v>
      </c>
      <c r="M11" s="27" t="n">
        <v>1.961538</v>
      </c>
      <c r="N11" s="28" t="n">
        <v>0.509804</v>
      </c>
      <c r="O11" s="28" t="n">
        <v>0.596094</v>
      </c>
      <c r="P11" s="28" t="n"/>
      <c r="Q11" s="28" t="n">
        <v>0.08629000000000001</v>
      </c>
      <c r="R11" s="26" t="n">
        <v>63</v>
      </c>
      <c r="S11" s="29" t="n">
        <v>1.5</v>
      </c>
      <c r="T11" s="24" t="inlineStr">
        <is>
          <t>lol-tiered-elo-v4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2026-07-27T19:47:25.392207Z</t>
        </is>
      </c>
      <c r="AE11" s="31" t="inlineStr">
        <is>
          <t>Neutral Elo baseline; executable ask 0.5100 (market_slug=aec-lol-ap-bld-2026-07-27).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Bulldog Esports</t>
        </is>
      </c>
      <c r="AQ11" s="24" t="inlineStr">
        <is>
          <t>Bulldog Esports</t>
        </is>
      </c>
      <c r="AR11" s="24" t="inlineStr">
        <is>
          <t>Bulldog Esports</t>
        </is>
      </c>
      <c r="AS11" s="24" t="inlineStr">
        <is>
          <t>Arctic Pandas</t>
        </is>
      </c>
      <c r="AT11" s="24" t="inlineStr">
        <is>
          <t>Arctic Pandas</t>
        </is>
      </c>
      <c r="AU11" s="24" t="inlineStr">
        <is>
          <t>Arctic Pandas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181f161eadbc9c7936d57f0cb930b26b3363dbf664c19f1b39e954282aa7d3a8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181f161eadbc9c7936d57f0cb930b26b3363dbf664c19f1b39e954282aa7d3a8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2026-07-27T17:37:32.913782Z</t>
        </is>
      </c>
      <c r="BI11" s="24" t="inlineStr">
        <is>
          <t>["same_event","same_team_same_day","same_league_same_day"]</t>
        </is>
      </c>
      <c r="BJ11" s="25" t="n"/>
      <c r="BK11" s="26" t="n">
        <v>-104</v>
      </c>
      <c r="BL11" s="27" t="n">
        <v>1.961538</v>
      </c>
      <c r="BM11" s="28" t="n">
        <v>0.509804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ca40c6c8e3314622</t>
        </is>
      </c>
      <c r="B12" s="24" t="inlineStr">
        <is>
          <t>2026-07-27T19:51:04.764967Z</t>
        </is>
      </c>
      <c r="C12" s="24" t="inlineStr">
        <is>
          <t>2026-07-27T21:00:00Z</t>
        </is>
      </c>
      <c r="D12" s="24" t="inlineStr">
        <is>
          <t>61044</t>
        </is>
      </c>
      <c r="E12" s="24" t="inlineStr">
        <is>
          <t>LOL</t>
        </is>
      </c>
      <c r="F12" s="24" t="inlineStr">
        <is>
          <t>Ei Nerd Esports</t>
        </is>
      </c>
      <c r="G12" s="24" t="inlineStr">
        <is>
          <t>paiN Gaming Academy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0.654099</v>
      </c>
      <c r="P12" s="28" t="n"/>
      <c r="Q12" s="28" t="n">
        <v>0.013811</v>
      </c>
      <c r="R12" s="26" t="n">
        <v>27</v>
      </c>
      <c r="S12" s="29" t="n">
        <v>2</v>
      </c>
      <c r="T12" s="24" t="inlineStr">
        <is>
          <t>lol-tiered-elo-v4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1.1236</v>
      </c>
      <c r="AD12" s="24" t="inlineStr">
        <is>
          <t>2026-07-27T22:51:53.746120Z</t>
        </is>
      </c>
      <c r="AE12" s="31" t="inlineStr">
        <is>
          <t>Neutral Elo baseline; executable ask 0.6400 (market_slug=aec-lol-pnga-nerd-2026-07-27).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Ei Nerd Esports</t>
        </is>
      </c>
      <c r="AQ12" s="24" t="inlineStr">
        <is>
          <t>Ei Nerd Esports</t>
        </is>
      </c>
      <c r="AR12" s="24" t="inlineStr">
        <is>
          <t>Ei Nerd Esports</t>
        </is>
      </c>
      <c r="AS12" s="24" t="inlineStr">
        <is>
          <t>paiN Gaming Academy</t>
        </is>
      </c>
      <c r="AT12" s="24" t="inlineStr">
        <is>
          <t>paiN Gaming Academy</t>
        </is>
      </c>
      <c r="AU12" s="24" t="inlineStr">
        <is>
          <t>paiN Gaming Academy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a1ec01e655fe8c74e1a10624d033e1ed3a28f75c65521824090c359f6c375c81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a1ec01e655fe8c74e1a10624d033e1ed3a28f75c65521824090c359f6c375c81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2026-07-27T19:50:48.466474Z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65f050e2f5d7407e</t>
        </is>
      </c>
      <c r="B13" s="24" t="inlineStr">
        <is>
          <t>2026-07-28T05:05:19.448075Z</t>
        </is>
      </c>
      <c r="C13" s="24" t="inlineStr">
        <is>
          <t>2026-07-28T08:00:00Z</t>
        </is>
      </c>
      <c r="D13" s="24" t="inlineStr">
        <is>
          <t>61376</t>
        </is>
      </c>
      <c r="E13" s="24" t="inlineStr">
        <is>
          <t>LOL</t>
        </is>
      </c>
      <c r="F13" s="24" t="inlineStr">
        <is>
          <t>HANJIN BRION Challengers</t>
        </is>
      </c>
      <c r="G13" s="24" t="inlineStr">
        <is>
          <t>Hanwha Life Esports Challengers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0.6502599999999999</v>
      </c>
      <c r="P13" s="28" t="n"/>
      <c r="Q13" s="28" t="n">
        <v>0.009972</v>
      </c>
      <c r="R13" s="26" t="n">
        <v>25</v>
      </c>
      <c r="S13" s="29" t="n">
        <v>2</v>
      </c>
      <c r="T13" s="24" t="inlineStr">
        <is>
          <t>lol-tiered-elo-v4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2026-07-28T11:12:37.047119Z</t>
        </is>
      </c>
      <c r="AE13" s="31" t="inlineStr">
        <is>
          <t>Neutral Elo baseline; executable ask 0.6400 (market_slug=aec-lol-hlec-hbc-2026-07-28).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HANJIN BRION Challengers</t>
        </is>
      </c>
      <c r="AQ13" s="24" t="inlineStr">
        <is>
          <t>HANJIN BRION Challengers</t>
        </is>
      </c>
      <c r="AR13" s="24" t="inlineStr">
        <is>
          <t>HANJIN BRION Challengers</t>
        </is>
      </c>
      <c r="AS13" s="24" t="inlineStr">
        <is>
          <t>Hanwha Life Esports Challengers</t>
        </is>
      </c>
      <c r="AT13" s="24" t="inlineStr">
        <is>
          <t>Hanwha Life Esports Challengers</t>
        </is>
      </c>
      <c r="AU13" s="24" t="inlineStr">
        <is>
          <t>Hanwha Life Esports Challengers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9a599be054d1f2f2548e59017ab201f151d7f9e118fd5b364d64e4e515bcc72a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9a599be054d1f2f2548e59017ab201f151d7f9e118fd5b364d64e4e515bcc72a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2026-07-28T05:04:47.620446Z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91b03e93b6bb4b49</t>
        </is>
      </c>
      <c r="B14" s="24" t="inlineStr">
        <is>
          <t>2026-07-28T08:11:25.230149Z</t>
        </is>
      </c>
      <c r="C14" s="24" t="inlineStr">
        <is>
          <t>2026-07-28T10:00:00Z</t>
        </is>
      </c>
      <c r="D14" s="24" t="inlineStr">
        <is>
          <t>61400</t>
        </is>
      </c>
      <c r="E14" s="24" t="inlineStr">
        <is>
          <t>LOL</t>
        </is>
      </c>
      <c r="F14" s="24" t="inlineStr">
        <is>
          <t>Dplus KIA Challengers</t>
        </is>
      </c>
      <c r="G14" s="24" t="inlineStr">
        <is>
          <t>KT Rolster Challengers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0.659678</v>
      </c>
      <c r="P14" s="28" t="n"/>
      <c r="Q14" s="28" t="n">
        <v>0.190194</v>
      </c>
      <c r="R14" s="26" t="n">
        <v>100</v>
      </c>
      <c r="S14" s="29" t="n">
        <v>2</v>
      </c>
      <c r="T14" s="24" t="inlineStr">
        <is>
          <t>lol-tiered-elo-v4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2.26</v>
      </c>
      <c r="AD14" s="24" t="inlineStr">
        <is>
          <t>2026-07-28T14:18:42.681308Z</t>
        </is>
      </c>
      <c r="AE14" s="31" t="inlineStr">
        <is>
          <t>Neutral Elo baseline; executable ask 0.4700 (market_slug=aec-lol-ktc-dkc-2026-07-28).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Dplus KIA Challengers</t>
        </is>
      </c>
      <c r="AQ14" s="24" t="inlineStr">
        <is>
          <t>Dplus KIA Challengers</t>
        </is>
      </c>
      <c r="AR14" s="24" t="inlineStr">
        <is>
          <t>Dplus KIA Challengers</t>
        </is>
      </c>
      <c r="AS14" s="24" t="inlineStr">
        <is>
          <t>KT Rolster Challengers</t>
        </is>
      </c>
      <c r="AT14" s="24" t="inlineStr">
        <is>
          <t>KT Rolster Challengers</t>
        </is>
      </c>
      <c r="AU14" s="24" t="inlineStr">
        <is>
          <t>KT Rolster Challengers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f70c60dff382bbc12c8f4c5f7776a2ae9cb7c56547818c66aa81fe255bb5bb7d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f70c60dff382bbc12c8f4c5f7776a2ae9cb7c56547818c66aa81fe255bb5bb7d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2026-07-28T08:10:53.411585Z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e6a16c4d0fae4617</t>
        </is>
      </c>
      <c r="B15" s="24" t="inlineStr">
        <is>
          <t>2026-07-28T15:04:38.832006Z</t>
        </is>
      </c>
      <c r="C15" s="24" t="inlineStr">
        <is>
          <t>2026-07-28T16:00:00Z</t>
        </is>
      </c>
      <c r="D15" s="24" t="inlineStr">
        <is>
          <t>63408</t>
        </is>
      </c>
      <c r="E15" s="24" t="inlineStr">
        <is>
          <t>LOL</t>
        </is>
      </c>
      <c r="F15" s="24" t="inlineStr">
        <is>
          <t>Lupus Esports</t>
        </is>
      </c>
      <c r="G15" s="24" t="inlineStr">
        <is>
          <t>⁠Hooligans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156</v>
      </c>
      <c r="M15" s="27" t="n">
        <v>2.56</v>
      </c>
      <c r="N15" s="28" t="n">
        <v>0.390625</v>
      </c>
      <c r="O15" s="28" t="n">
        <v>0.603518</v>
      </c>
      <c r="P15" s="28" t="n"/>
      <c r="Q15" s="28" t="n">
        <v>0.212893</v>
      </c>
      <c r="R15" s="26" t="n">
        <v>100</v>
      </c>
      <c r="S15" s="29" t="n">
        <v>0</v>
      </c>
      <c r="T15" s="24" t="inlineStr">
        <is>
          <t>lol-tiered-elo-v4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2026-07-28T20:31:09.643419Z</t>
        </is>
      </c>
      <c r="AE15" s="31" t="inlineStr">
        <is>
          <t>Neutral Elo baseline; executable ask 0.3900 (market_slug=aec-lol-hool-lps-2026-07-28).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Lupus Esports</t>
        </is>
      </c>
      <c r="AQ15" s="24" t="inlineStr">
        <is>
          <t>Lupus Esports</t>
        </is>
      </c>
      <c r="AR15" s="24" t="inlineStr">
        <is>
          <t>Lupus Esports</t>
        </is>
      </c>
      <c r="AS15" s="24" t="inlineStr">
        <is>
          <t>⁠Hooligans</t>
        </is>
      </c>
      <c r="AT15" s="24" t="inlineStr">
        <is>
          <t>⁠Hooligans</t>
        </is>
      </c>
      <c r="AU15" s="24" t="inlineStr">
        <is>
          <t>⁠Hooligans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072a9b3b9a89a26a5487adbc176be60d89d749d90d9f912888a612c58df68de7</t>
        </is>
      </c>
      <c r="BB15" s="24" t="inlineStr">
        <is>
          <t>neutral_elo</t>
        </is>
      </c>
      <c r="BC15" s="24" t="inlineStr">
        <is>
          <t>lol-tiered-elo-v4</t>
        </is>
      </c>
      <c r="BD15" s="24" t="inlineStr">
        <is>
          <t>072a9b3b9a89a26a5487adbc176be60d89d749d90d9f912888a612c58df68de7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lol-tiered-elo-v4</t>
        </is>
      </c>
      <c r="BH15" s="24" t="inlineStr">
        <is>
          <t>2026-07-28T15:04:08.181347Z</t>
        </is>
      </c>
      <c r="BI15" s="24" t="inlineStr">
        <is>
          <t>["same_event","same_team_same_day","same_league_same_day"]</t>
        </is>
      </c>
      <c r="BJ15" s="25" t="n"/>
      <c r="BK15" s="26" t="n">
        <v>156</v>
      </c>
      <c r="BL15" s="27" t="n">
        <v>2.56</v>
      </c>
      <c r="BM15" s="28" t="n">
        <v>0.390625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177f179777bc42bc</t>
        </is>
      </c>
      <c r="B16" s="24" t="inlineStr">
        <is>
          <t>2026-07-28T16:35:07.279987Z</t>
        </is>
      </c>
      <c r="C16" s="24" t="inlineStr">
        <is>
          <t>2026-07-28T17:00:00Z</t>
        </is>
      </c>
      <c r="D16" s="24" t="inlineStr">
        <is>
          <t>61612</t>
        </is>
      </c>
      <c r="E16" s="24" t="inlineStr">
        <is>
          <t>LOL</t>
        </is>
      </c>
      <c r="F16" s="24" t="inlineStr">
        <is>
          <t>Dynasty</t>
        </is>
      </c>
      <c r="G16" s="24" t="inlineStr">
        <is>
          <t>ZennIT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0.523057</v>
      </c>
      <c r="P16" s="28" t="n"/>
      <c r="Q16" s="28" t="n">
        <v>-0.067107</v>
      </c>
      <c r="R16" s="26" t="n">
        <v>0</v>
      </c>
      <c r="S16" s="29" t="n">
        <v>0</v>
      </c>
      <c r="T16" s="24" t="inlineStr">
        <is>
          <t>lol-tiered-elo-v4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2026-07-28T20:31:10.936006Z</t>
        </is>
      </c>
      <c r="AE16" s="31" t="inlineStr">
        <is>
          <t>Neutral Elo baseline; executable ask 0.5900 (market_slug=aec-lol-znt-dyn-2026-07-28).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Dynasty</t>
        </is>
      </c>
      <c r="AQ16" s="24" t="inlineStr">
        <is>
          <t>Dynasty</t>
        </is>
      </c>
      <c r="AR16" s="24" t="inlineStr">
        <is>
          <t>Dynasty</t>
        </is>
      </c>
      <c r="AS16" s="24" t="inlineStr">
        <is>
          <t>ZennIT</t>
        </is>
      </c>
      <c r="AT16" s="24" t="inlineStr">
        <is>
          <t>ZennIT</t>
        </is>
      </c>
      <c r="AU16" s="24" t="inlineStr">
        <is>
          <t>ZennIT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74a5af5bf46639ae7286081d768cab75a1c1ed3b6a99ec6b80a7cea74053e951</t>
        </is>
      </c>
      <c r="BB16" s="24" t="inlineStr">
        <is>
          <t>neutral_elo</t>
        </is>
      </c>
      <c r="BC16" s="24" t="inlineStr">
        <is>
          <t>lol-tiered-elo-v4</t>
        </is>
      </c>
      <c r="BD16" s="24" t="inlineStr">
        <is>
          <t>74a5af5bf46639ae7286081d768cab75a1c1ed3b6a99ec6b80a7cea74053e951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lol-tiered-elo-v4</t>
        </is>
      </c>
      <c r="BH16" s="24" t="inlineStr">
        <is>
          <t>2026-07-28T16:34:40.336111Z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8fd036f6c162492b</t>
        </is>
      </c>
      <c r="B17" s="24" t="inlineStr">
        <is>
          <t>2026-07-28T16:35:07.279987Z</t>
        </is>
      </c>
      <c r="C17" s="24" t="inlineStr">
        <is>
          <t>2026-07-28T17:00:00Z</t>
        </is>
      </c>
      <c r="D17" s="24" t="inlineStr">
        <is>
          <t>61611</t>
        </is>
      </c>
      <c r="E17" s="24" t="inlineStr">
        <is>
          <t>LOL</t>
        </is>
      </c>
      <c r="F17" s="24" t="inlineStr">
        <is>
          <t>Esprit Shōnen</t>
        </is>
      </c>
      <c r="G17" s="24" t="inlineStr">
        <is>
          <t>ZYB Esport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194</v>
      </c>
      <c r="M17" s="27" t="n">
        <v>2.94</v>
      </c>
      <c r="N17" s="28" t="n">
        <v>0.340136</v>
      </c>
      <c r="O17" s="28" t="n">
        <v>0.513798</v>
      </c>
      <c r="P17" s="28" t="n"/>
      <c r="Q17" s="28" t="n">
        <v>0.173662</v>
      </c>
      <c r="R17" s="26" t="n">
        <v>100</v>
      </c>
      <c r="S17" s="29" t="n">
        <v>0.75</v>
      </c>
      <c r="T17" s="24" t="inlineStr">
        <is>
          <t>lol-tiered-elo-v4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-0.75</v>
      </c>
      <c r="AD17" s="24" t="inlineStr">
        <is>
          <t>2026-07-28T20:31:12.183520Z</t>
        </is>
      </c>
      <c r="AE17" s="31" t="inlineStr">
        <is>
          <t>Neutral Elo baseline; executable ask 0.3400 (market_slug=aec-lol-zyb-ess-2026-07-28).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Esprit Shōnen</t>
        </is>
      </c>
      <c r="AQ17" s="24" t="inlineStr">
        <is>
          <t>Esprit Shōnen</t>
        </is>
      </c>
      <c r="AR17" s="24" t="inlineStr">
        <is>
          <t>Esprit Shōnen</t>
        </is>
      </c>
      <c r="AS17" s="24" t="inlineStr">
        <is>
          <t>ZYB Esport</t>
        </is>
      </c>
      <c r="AT17" s="24" t="inlineStr">
        <is>
          <t>ZYB Esport</t>
        </is>
      </c>
      <c r="AU17" s="24" t="inlineStr">
        <is>
          <t>ZYB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74a5af5bf46639ae7286081d768cab75a1c1ed3b6a99ec6b80a7cea74053e951</t>
        </is>
      </c>
      <c r="BB17" s="24" t="inlineStr">
        <is>
          <t>neutral_elo</t>
        </is>
      </c>
      <c r="BC17" s="24" t="inlineStr">
        <is>
          <t>lol-tiered-elo-v4</t>
        </is>
      </c>
      <c r="BD17" s="24" t="inlineStr">
        <is>
          <t>74a5af5bf46639ae7286081d768cab75a1c1ed3b6a99ec6b80a7cea74053e951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lol-tiered-elo-v4</t>
        </is>
      </c>
      <c r="BH17" s="24" t="inlineStr">
        <is>
          <t>2026-07-28T16:34:40.783646Z</t>
        </is>
      </c>
      <c r="BI17" s="24" t="inlineStr">
        <is>
          <t>["same_event","same_team_same_day","same_league_same_day"]</t>
        </is>
      </c>
      <c r="BJ17" s="25" t="n"/>
      <c r="BK17" s="26" t="n">
        <v>194</v>
      </c>
      <c r="BL17" s="27" t="n">
        <v>2.94</v>
      </c>
      <c r="BM17" s="28" t="n">
        <v>0.340136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6c2f5737743048b9</t>
        </is>
      </c>
      <c r="B18" s="24" t="inlineStr">
        <is>
          <t>2026-07-28T17:29:53.885043Z</t>
        </is>
      </c>
      <c r="C18" s="24" t="inlineStr">
        <is>
          <t>2026-07-28T18:00:00Z</t>
        </is>
      </c>
      <c r="D18" s="24" t="inlineStr">
        <is>
          <t>63955</t>
        </is>
      </c>
      <c r="E18" s="24" t="inlineStr">
        <is>
          <t>LOL</t>
        </is>
      </c>
      <c r="F18" s="24" t="inlineStr">
        <is>
          <t>RLX Esports</t>
        </is>
      </c>
      <c r="G18" s="24" t="inlineStr">
        <is>
          <t>The Secret Club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0.57259</v>
      </c>
      <c r="P18" s="28" t="n"/>
      <c r="Q18" s="28" t="n">
        <v>0.013119</v>
      </c>
      <c r="R18" s="26" t="n">
        <v>27</v>
      </c>
      <c r="S18" s="29" t="n">
        <v>0</v>
      </c>
      <c r="T18" s="24" t="inlineStr">
        <is>
          <t>lol-tiered-elo-v4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2026-07-28T23:36:59.198730Z</t>
        </is>
      </c>
      <c r="AE18" s="31" t="inlineStr">
        <is>
          <t>Neutral Elo baseline; executable ask 0.5600 (market_slug=aec-lol-tsc-rlx-2026-07-28).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RLX Esports</t>
        </is>
      </c>
      <c r="AQ18" s="24" t="inlineStr">
        <is>
          <t>RLX Esports</t>
        </is>
      </c>
      <c r="AR18" s="24" t="inlineStr">
        <is>
          <t>RLX Esports</t>
        </is>
      </c>
      <c r="AS18" s="24" t="inlineStr">
        <is>
          <t>The Secret Club</t>
        </is>
      </c>
      <c r="AT18" s="24" t="inlineStr">
        <is>
          <t>The Secret Club</t>
        </is>
      </c>
      <c r="AU18" s="24" t="inlineStr">
        <is>
          <t>The Secret Club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6d0c3a7af78df69e418afd83ce19024c6ff8c9299585780de553338ecc64dbde</t>
        </is>
      </c>
      <c r="BB18" s="24" t="inlineStr">
        <is>
          <t>neutral_elo</t>
        </is>
      </c>
      <c r="BC18" s="24" t="inlineStr">
        <is>
          <t>lol-tiered-elo-v4</t>
        </is>
      </c>
      <c r="BD18" s="24" t="inlineStr">
        <is>
          <t>6d0c3a7af78df69e418afd83ce19024c6ff8c9299585780de553338ecc64dbde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lol-tiered-elo-v4</t>
        </is>
      </c>
      <c r="BH18" s="24" t="inlineStr">
        <is>
          <t>2026-07-28T17:29:19.278395Z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a8eef3227a5b4a60</t>
        </is>
      </c>
      <c r="B19" s="24" t="inlineStr">
        <is>
          <t>2026-07-28T17:29:53.885043Z</t>
        </is>
      </c>
      <c r="C19" s="24" t="inlineStr">
        <is>
          <t>2026-07-28T18:30:00Z</t>
        </is>
      </c>
      <c r="D19" s="24" t="inlineStr">
        <is>
          <t>61810</t>
        </is>
      </c>
      <c r="E19" s="24" t="inlineStr">
        <is>
          <t>LOL</t>
        </is>
      </c>
      <c r="F19" s="24" t="inlineStr">
        <is>
          <t>Pyramid IV Esports</t>
        </is>
      </c>
      <c r="G19" s="24" t="inlineStr">
        <is>
          <t>One More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-194</v>
      </c>
      <c r="M19" s="27" t="n">
        <v>1.515464</v>
      </c>
      <c r="N19" s="28" t="n">
        <v>0.659864</v>
      </c>
      <c r="O19" s="28" t="n">
        <v>0.665039</v>
      </c>
      <c r="P19" s="28" t="n"/>
      <c r="Q19" s="28" t="n">
        <v>0.005175</v>
      </c>
      <c r="R19" s="26" t="n">
        <v>23</v>
      </c>
      <c r="S19" s="29" t="n">
        <v>2</v>
      </c>
      <c r="T19" s="24" t="inlineStr">
        <is>
          <t>lol-tiered-elo-v4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1.0309</v>
      </c>
      <c r="AD19" s="24" t="inlineStr">
        <is>
          <t>2026-07-28T20:31:14.553935Z</t>
        </is>
      </c>
      <c r="AE19" s="31" t="inlineStr">
        <is>
          <t>Neutral Elo baseline; executable ask 0.6600 (market_slug=aec-lol-one-piv-2026-07-28).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Pyramid IV Esports</t>
        </is>
      </c>
      <c r="AQ19" s="24" t="inlineStr">
        <is>
          <t>Pyramid IV Esports</t>
        </is>
      </c>
      <c r="AR19" s="24" t="inlineStr">
        <is>
          <t>Pyramid IV Esports</t>
        </is>
      </c>
      <c r="AS19" s="24" t="inlineStr">
        <is>
          <t>One More Esports</t>
        </is>
      </c>
      <c r="AT19" s="24" t="inlineStr">
        <is>
          <t>One More Esports</t>
        </is>
      </c>
      <c r="AU19" s="24" t="inlineStr">
        <is>
          <t>One More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6d0c3a7af78df69e418afd83ce19024c6ff8c9299585780de553338ecc64dbde</t>
        </is>
      </c>
      <c r="BB19" s="24" t="inlineStr">
        <is>
          <t>neutral_elo</t>
        </is>
      </c>
      <c r="BC19" s="24" t="inlineStr">
        <is>
          <t>lol-tiered-elo-v4</t>
        </is>
      </c>
      <c r="BD19" s="24" t="inlineStr">
        <is>
          <t>6d0c3a7af78df69e418afd83ce19024c6ff8c9299585780de553338ecc64dbde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lol-tiered-elo-v4</t>
        </is>
      </c>
      <c r="BH19" s="24" t="inlineStr">
        <is>
          <t>2026-07-28T17:29:21.403877Z</t>
        </is>
      </c>
      <c r="BI19" s="24" t="inlineStr">
        <is>
          <t>["same_event","same_team_same_day","same_league_same_day"]</t>
        </is>
      </c>
      <c r="BJ19" s="25" t="n"/>
      <c r="BK19" s="26" t="n">
        <v>-194</v>
      </c>
      <c r="BL19" s="27" t="n">
        <v>1.515464</v>
      </c>
      <c r="BM19" s="28" t="n">
        <v>0.659864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3ab57676bc2c44f9</t>
        </is>
      </c>
      <c r="B20" s="24" t="inlineStr">
        <is>
          <t>2026-07-28T17:29:53.885043Z</t>
        </is>
      </c>
      <c r="C20" s="24" t="inlineStr">
        <is>
          <t>2026-07-28T19:00:00Z</t>
        </is>
      </c>
      <c r="D20" s="24" t="inlineStr">
        <is>
          <t>63045</t>
        </is>
      </c>
      <c r="E20" s="24" t="inlineStr">
        <is>
          <t>LOL</t>
        </is>
      </c>
      <c r="F20" s="24" t="inlineStr">
        <is>
          <t>GD Esports</t>
        </is>
      </c>
      <c r="G20" s="24" t="inlineStr">
        <is>
          <t>NORTHERNGRADE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127</v>
      </c>
      <c r="M20" s="27" t="n">
        <v>2.27</v>
      </c>
      <c r="N20" s="28" t="n">
        <v>0.440529</v>
      </c>
      <c r="O20" s="28" t="n">
        <v>0.618086</v>
      </c>
      <c r="P20" s="28" t="n"/>
      <c r="Q20" s="28" t="n">
        <v>0.177557</v>
      </c>
      <c r="R20" s="26" t="n">
        <v>100</v>
      </c>
      <c r="S20" s="29" t="n">
        <v>1.75</v>
      </c>
      <c r="T20" s="24" t="inlineStr">
        <is>
          <t>lol-tiered-elo-v4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2.2225</v>
      </c>
      <c r="AD20" s="24" t="inlineStr">
        <is>
          <t>2026-07-28T20:31:15.827616Z</t>
        </is>
      </c>
      <c r="AE20" s="31" t="inlineStr">
        <is>
          <t>Neutral Elo baseline; executable ask 0.4400 (market_slug=aec-lol-nort-gde-2026-07-28).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GD Esports</t>
        </is>
      </c>
      <c r="AQ20" s="24" t="inlineStr">
        <is>
          <t>GD Esports</t>
        </is>
      </c>
      <c r="AR20" s="24" t="inlineStr">
        <is>
          <t>GD Esports</t>
        </is>
      </c>
      <c r="AS20" s="24" t="inlineStr">
        <is>
          <t>NORTHERNGRADE ESPORTS</t>
        </is>
      </c>
      <c r="AT20" s="24" t="inlineStr">
        <is>
          <t>NORTHERNGRADE ESPORTS</t>
        </is>
      </c>
      <c r="AU20" s="24" t="inlineStr">
        <is>
          <t>NORTHERNGRADE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6d0c3a7af78df69e418afd83ce19024c6ff8c9299585780de553338ecc64dbde</t>
        </is>
      </c>
      <c r="BB20" s="24" t="inlineStr">
        <is>
          <t>neutral_elo</t>
        </is>
      </c>
      <c r="BC20" s="24" t="inlineStr">
        <is>
          <t>lol-tiered-elo-v4</t>
        </is>
      </c>
      <c r="BD20" s="24" t="inlineStr">
        <is>
          <t>6d0c3a7af78df69e418afd83ce19024c6ff8c9299585780de553338ecc64dbde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lol-tiered-elo-v4</t>
        </is>
      </c>
      <c r="BH20" s="24" t="inlineStr">
        <is>
          <t>2026-07-28T17:29:22.452664Z</t>
        </is>
      </c>
      <c r="BI20" s="24" t="inlineStr">
        <is>
          <t>["same_event","same_team_same_day","same_league_same_day"]</t>
        </is>
      </c>
      <c r="BJ20" s="25" t="n"/>
      <c r="BK20" s="26" t="n">
        <v>127</v>
      </c>
      <c r="BL20" s="27" t="n">
        <v>2.27</v>
      </c>
      <c r="BM20" s="28" t="n">
        <v>0.440529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5d5ca58498484767</t>
        </is>
      </c>
      <c r="B21" s="24" t="inlineStr">
        <is>
          <t>2026-07-28T17:29:53.885043Z</t>
        </is>
      </c>
      <c r="C21" s="24" t="inlineStr">
        <is>
          <t>2026-07-28T19:00:00Z</t>
        </is>
      </c>
      <c r="D21" s="24" t="inlineStr">
        <is>
          <t>61851</t>
        </is>
      </c>
      <c r="E21" s="24" t="inlineStr">
        <is>
          <t>LOL</t>
        </is>
      </c>
      <c r="F21" s="24" t="inlineStr">
        <is>
          <t>Vitality.Bee</t>
        </is>
      </c>
      <c r="G21" s="24" t="inlineStr">
        <is>
          <t>Joblife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150</v>
      </c>
      <c r="M21" s="27" t="n">
        <v>2.5</v>
      </c>
      <c r="N21" s="28" t="n">
        <v>0.4</v>
      </c>
      <c r="O21" s="28" t="n">
        <v>0.547972</v>
      </c>
      <c r="P21" s="28" t="n"/>
      <c r="Q21" s="28" t="n">
        <v>0.147972</v>
      </c>
      <c r="R21" s="26" t="n">
        <v>94</v>
      </c>
      <c r="S21" s="29" t="n">
        <v>1</v>
      </c>
      <c r="T21" s="24" t="inlineStr">
        <is>
          <t>lol-tiered-elo-v4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2026-07-28T20:31:17.056562Z</t>
        </is>
      </c>
      <c r="AE21" s="31" t="inlineStr">
        <is>
          <t>Neutral Elo baseline; executable ask 0.4000 (market_slug=aec-lol-jl-vitb-2026-07-28).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Vitality.Bee</t>
        </is>
      </c>
      <c r="AQ21" s="24" t="inlineStr">
        <is>
          <t>Vitality.Bee</t>
        </is>
      </c>
      <c r="AR21" s="24" t="inlineStr">
        <is>
          <t>Vitality.Bee</t>
        </is>
      </c>
      <c r="AS21" s="24" t="inlineStr">
        <is>
          <t>Joblife</t>
        </is>
      </c>
      <c r="AT21" s="24" t="inlineStr">
        <is>
          <t>Joblife</t>
        </is>
      </c>
      <c r="AU21" s="24" t="inlineStr">
        <is>
          <t>Joblife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6d0c3a7af78df69e418afd83ce19024c6ff8c9299585780de553338ecc64dbde</t>
        </is>
      </c>
      <c r="BB21" s="24" t="inlineStr">
        <is>
          <t>neutral_elo</t>
        </is>
      </c>
      <c r="BC21" s="24" t="inlineStr">
        <is>
          <t>lol-tiered-elo-v4</t>
        </is>
      </c>
      <c r="BD21" s="24" t="inlineStr">
        <is>
          <t>6d0c3a7af78df69e418afd83ce19024c6ff8c9299585780de553338ecc64dbde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lol-tiered-elo-v4</t>
        </is>
      </c>
      <c r="BH21" s="24" t="inlineStr">
        <is>
          <t>2026-07-28T17:29:22.971954Z</t>
        </is>
      </c>
      <c r="BI21" s="24" t="inlineStr">
        <is>
          <t>["same_event","same_team_same_day","same_league_same_day"]</t>
        </is>
      </c>
      <c r="BJ21" s="25" t="n"/>
      <c r="BK21" s="26" t="n">
        <v>150</v>
      </c>
      <c r="BL21" s="27" t="n">
        <v>2.5</v>
      </c>
      <c r="BM21" s="28" t="n">
        <v>0.4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43280986e62f47ee</t>
        </is>
      </c>
      <c r="B22" s="24" t="inlineStr">
        <is>
          <t>2026-07-28T17:29:53.885043Z</t>
        </is>
      </c>
      <c r="C22" s="24" t="inlineStr">
        <is>
          <t>2026-07-28T20:00:00Z</t>
        </is>
      </c>
      <c r="D22" s="24" t="inlineStr">
        <is>
          <t>62171</t>
        </is>
      </c>
      <c r="E22" s="24" t="inlineStr">
        <is>
          <t>LOL</t>
        </is>
      </c>
      <c r="F22" s="24" t="inlineStr">
        <is>
          <t>Team Solid</t>
        </is>
      </c>
      <c r="G22" s="24" t="inlineStr">
        <is>
          <t>paiN Gaming Academy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0.774271</v>
      </c>
      <c r="P22" s="28" t="n"/>
      <c r="Q22" s="28" t="n">
        <v>0.083869</v>
      </c>
      <c r="R22" s="26" t="n">
        <v>62</v>
      </c>
      <c r="S22" s="29" t="n">
        <v>2</v>
      </c>
      <c r="T22" s="24" t="inlineStr">
        <is>
          <t>lol-tiered-elo-v4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-2</v>
      </c>
      <c r="AD22" s="24" t="inlineStr">
        <is>
          <t>2026-07-28T23:37:00.507461Z</t>
        </is>
      </c>
      <c r="AE22" s="31" t="inlineStr">
        <is>
          <t>Neutral Elo baseline; executable ask 0.6900 (market_slug=aec-lol-pnga-tse-2026-07-28).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Solid</t>
        </is>
      </c>
      <c r="AQ22" s="24" t="inlineStr">
        <is>
          <t>Team Solid</t>
        </is>
      </c>
      <c r="AR22" s="24" t="inlineStr">
        <is>
          <t>Team Solid</t>
        </is>
      </c>
      <c r="AS22" s="24" t="inlineStr">
        <is>
          <t>paiN Gaming Academy</t>
        </is>
      </c>
      <c r="AT22" s="24" t="inlineStr">
        <is>
          <t>paiN Gaming Academy</t>
        </is>
      </c>
      <c r="AU22" s="24" t="inlineStr">
        <is>
          <t>paiN Gaming Academy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6d0c3a7af78df69e418afd83ce19024c6ff8c9299585780de553338ecc64dbde</t>
        </is>
      </c>
      <c r="BB22" s="24" t="inlineStr">
        <is>
          <t>neutral_elo</t>
        </is>
      </c>
      <c r="BC22" s="24" t="inlineStr">
        <is>
          <t>lol-tiered-elo-v4</t>
        </is>
      </c>
      <c r="BD22" s="24" t="inlineStr">
        <is>
          <t>6d0c3a7af78df69e418afd83ce19024c6ff8c9299585780de553338ecc64dbde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lol-tiered-elo-v4</t>
        </is>
      </c>
      <c r="BH22" s="24" t="inlineStr">
        <is>
          <t>2026-07-28T17:29:23.487478Z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70e896309acf43fa</t>
        </is>
      </c>
      <c r="B23" s="24" t="inlineStr">
        <is>
          <t>2026-07-28T17:29:53.885043Z</t>
        </is>
      </c>
      <c r="C23" s="24" t="inlineStr">
        <is>
          <t>2026-07-28T20:00:00Z</t>
        </is>
      </c>
      <c r="D23" s="24" t="inlineStr">
        <is>
          <t>62170</t>
        </is>
      </c>
      <c r="E23" s="24" t="inlineStr">
        <is>
          <t>LOL</t>
        </is>
      </c>
      <c r="F23" s="24" t="inlineStr">
        <is>
          <t>Maze Gaming</t>
        </is>
      </c>
      <c r="G23" s="24" t="inlineStr">
        <is>
          <t>9z Globant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-233</v>
      </c>
      <c r="M23" s="27" t="n">
        <v>1.429185</v>
      </c>
      <c r="N23" s="28" t="n">
        <v>0.6997</v>
      </c>
      <c r="O23" s="28" t="n">
        <v>0.617441</v>
      </c>
      <c r="P23" s="28" t="n"/>
      <c r="Q23" s="28" t="n">
        <v>-0.082259</v>
      </c>
      <c r="R23" s="26" t="n">
        <v>0</v>
      </c>
      <c r="S23" s="29" t="n">
        <v>0</v>
      </c>
      <c r="T23" s="24" t="inlineStr">
        <is>
          <t>lol-tiered-elo-v4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0</v>
      </c>
      <c r="AD23" s="24" t="inlineStr">
        <is>
          <t>2026-07-29T02:41:44.169338Z</t>
        </is>
      </c>
      <c r="AE23" s="31" t="inlineStr">
        <is>
          <t>Neutral Elo baseline; executable ask 0.7000 (market_slug=aec-lol-9zg-maz-2026-07-28).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Maze Gaming</t>
        </is>
      </c>
      <c r="AQ23" s="24" t="inlineStr">
        <is>
          <t>Maze Gaming</t>
        </is>
      </c>
      <c r="AR23" s="24" t="inlineStr">
        <is>
          <t>Maze Gaming</t>
        </is>
      </c>
      <c r="AS23" s="24" t="inlineStr">
        <is>
          <t>9z Globant</t>
        </is>
      </c>
      <c r="AT23" s="24" t="inlineStr">
        <is>
          <t>9z Globant</t>
        </is>
      </c>
      <c r="AU23" s="24" t="inlineStr">
        <is>
          <t>9z Globant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6d0c3a7af78df69e418afd83ce19024c6ff8c9299585780de553338ecc64dbde</t>
        </is>
      </c>
      <c r="BB23" s="24" t="inlineStr">
        <is>
          <t>neutral_elo</t>
        </is>
      </c>
      <c r="BC23" s="24" t="inlineStr">
        <is>
          <t>lol-tiered-elo-v4</t>
        </is>
      </c>
      <c r="BD23" s="24" t="inlineStr">
        <is>
          <t>6d0c3a7af78df69e418afd83ce19024c6ff8c9299585780de553338ecc64dbde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lol-tiered-elo-v4</t>
        </is>
      </c>
      <c r="BH23" s="24" t="inlineStr">
        <is>
          <t>2026-07-28T17:29:24.006677Z</t>
        </is>
      </c>
      <c r="BI23" s="24" t="inlineStr">
        <is>
          <t>["same_event","same_team_same_day","same_league_same_day"]</t>
        </is>
      </c>
      <c r="BJ23" s="25" t="n"/>
      <c r="BK23" s="26" t="n">
        <v>-233</v>
      </c>
      <c r="BL23" s="27" t="n">
        <v>1.429185</v>
      </c>
      <c r="BM23" s="28" t="n">
        <v>0.6997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3ec638a774ca4060</t>
        </is>
      </c>
      <c r="B24" s="24" t="inlineStr">
        <is>
          <t>2026-07-28T20:36:09.952142Z</t>
        </is>
      </c>
      <c r="C24" s="24" t="inlineStr">
        <is>
          <t>2026-07-28T23:00:00Z</t>
        </is>
      </c>
      <c r="D24" s="24" t="inlineStr">
        <is>
          <t>62314</t>
        </is>
      </c>
      <c r="E24" s="24" t="inlineStr">
        <is>
          <t>LOL</t>
        </is>
      </c>
      <c r="F24" s="24" t="inlineStr">
        <is>
          <t>KaBuM! Ilha das Lendas</t>
        </is>
      </c>
      <c r="G24" s="24" t="inlineStr">
        <is>
          <t>7REX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194</v>
      </c>
      <c r="M24" s="27" t="n">
        <v>2.94</v>
      </c>
      <c r="N24" s="28" t="n">
        <v>0.340136</v>
      </c>
      <c r="O24" s="28" t="n">
        <v>0.51757</v>
      </c>
      <c r="P24" s="28" t="n"/>
      <c r="Q24" s="28" t="n">
        <v>0.177434</v>
      </c>
      <c r="R24" s="26" t="n">
        <v>100</v>
      </c>
      <c r="S24" s="29" t="n">
        <v>0.75</v>
      </c>
      <c r="T24" s="24" t="inlineStr">
        <is>
          <t>lol-tiered-elo-v4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/>
      <c r="AA24" s="28" t="n"/>
      <c r="AB24" s="28" t="n"/>
      <c r="AC24" s="30" t="n">
        <v>-0.75</v>
      </c>
      <c r="AD24" s="24" t="inlineStr">
        <is>
          <t>2026-07-28T23:37:02.741078Z</t>
        </is>
      </c>
      <c r="AE24" s="31" t="inlineStr">
        <is>
          <t>Neutral Elo baseline; executable ask 0.3400 (market_slug=aec-lol-7rex-kbm-2026-07-28).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KaBuM! Ilha das Lendas</t>
        </is>
      </c>
      <c r="AQ24" s="24" t="inlineStr">
        <is>
          <t>KaBuM! Ilha das Lendas</t>
        </is>
      </c>
      <c r="AR24" s="24" t="inlineStr">
        <is>
          <t>KaBuM! Ilha das Lendas</t>
        </is>
      </c>
      <c r="AS24" s="24" t="inlineStr">
        <is>
          <t>7REX</t>
        </is>
      </c>
      <c r="AT24" s="24" t="inlineStr">
        <is>
          <t>7REX</t>
        </is>
      </c>
      <c r="AU24" s="24" t="inlineStr">
        <is>
          <t>7REX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ca96831d4d0156d686c75e5e8f59ac6f6feb9c94633c5ba148d00eae5d31c0c3</t>
        </is>
      </c>
      <c r="BB24" s="24" t="inlineStr">
        <is>
          <t>neutral_elo</t>
        </is>
      </c>
      <c r="BC24" s="24" t="inlineStr">
        <is>
          <t>lol-tiered-elo-v4</t>
        </is>
      </c>
      <c r="BD24" s="24" t="inlineStr">
        <is>
          <t>ca96831d4d0156d686c75e5e8f59ac6f6feb9c94633c5ba148d00eae5d31c0c3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lol-tiered-elo-v4</t>
        </is>
      </c>
      <c r="BH24" s="24" t="inlineStr">
        <is>
          <t>2026-07-28T20:35:49.039716Z</t>
        </is>
      </c>
      <c r="BI24" s="24" t="inlineStr">
        <is>
          <t>["same_event","same_team_same_day","same_league_same_day"]</t>
        </is>
      </c>
      <c r="BJ24" s="25" t="n"/>
      <c r="BK24" s="26" t="n">
        <v>194</v>
      </c>
      <c r="BL24" s="27" t="n">
        <v>2.94</v>
      </c>
      <c r="BM24" s="28" t="n">
        <v>0.340136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3a1a293826cf4baf</t>
        </is>
      </c>
      <c r="B25" s="24" t="inlineStr">
        <is>
          <t>2026-07-29T02:44:13.908658Z</t>
        </is>
      </c>
      <c r="C25" s="24" t="inlineStr">
        <is>
          <t>2026-07-29T05:00:00Z</t>
        </is>
      </c>
      <c r="D25" s="24" t="inlineStr">
        <is>
          <t>62490</t>
        </is>
      </c>
      <c r="E25" s="24" t="inlineStr">
        <is>
          <t>LOL</t>
        </is>
      </c>
      <c r="F25" s="24" t="inlineStr">
        <is>
          <t>DN SOOPers Challengers</t>
        </is>
      </c>
      <c r="G25" s="24" t="inlineStr">
        <is>
          <t>Nongshim Esports Academy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144</v>
      </c>
      <c r="M25" s="27" t="n">
        <v>2.44</v>
      </c>
      <c r="N25" s="28" t="n">
        <v>0.409836</v>
      </c>
      <c r="O25" s="28" t="n">
        <v>0.543978</v>
      </c>
      <c r="P25" s="28" t="n"/>
      <c r="Q25" s="28" t="n">
        <v>0.134142</v>
      </c>
      <c r="R25" s="26" t="n">
        <v>87</v>
      </c>
      <c r="S25" s="29" t="n">
        <v>1</v>
      </c>
      <c r="T25" s="24" t="inlineStr">
        <is>
          <t>lol-tiered-elo-v4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2026-07-29T08:51:46.518324Z</t>
        </is>
      </c>
      <c r="AE25" s="31" t="inlineStr">
        <is>
          <t>Neutral Elo baseline; executable ask 0.4100 (market_slug=aec-lol-nsea-dnsc-2026-07-29).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DN SOOPers Challengers</t>
        </is>
      </c>
      <c r="AQ25" s="24" t="inlineStr">
        <is>
          <t>DN SOOPers Challengers</t>
        </is>
      </c>
      <c r="AR25" s="24" t="inlineStr">
        <is>
          <t>DN SOOPers Challengers</t>
        </is>
      </c>
      <c r="AS25" s="24" t="inlineStr">
        <is>
          <t>Nongshim Esports Academy</t>
        </is>
      </c>
      <c r="AT25" s="24" t="inlineStr">
        <is>
          <t>Nongshim Esports Academy</t>
        </is>
      </c>
      <c r="AU25" s="24" t="inlineStr">
        <is>
          <t>Nongshim Esports Academy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95f3613dbfb3114393b75af6d3fac88d9067109e47362829064271715e48ec1c</t>
        </is>
      </c>
      <c r="BB25" s="24" t="inlineStr">
        <is>
          <t>neutral_elo</t>
        </is>
      </c>
      <c r="BC25" s="24" t="inlineStr">
        <is>
          <t>lol-tiered-elo-v4</t>
        </is>
      </c>
      <c r="BD25" s="24" t="inlineStr">
        <is>
          <t>95f3613dbfb3114393b75af6d3fac88d9067109e47362829064271715e48ec1c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lol-tiered-elo-v4</t>
        </is>
      </c>
      <c r="BH25" s="24" t="inlineStr">
        <is>
          <t>2026-07-29T02:43:54.644174Z</t>
        </is>
      </c>
      <c r="BI25" s="24" t="inlineStr">
        <is>
          <t>["same_event","same_team_same_day","same_league_same_day"]</t>
        </is>
      </c>
      <c r="BJ25" s="25" t="n"/>
      <c r="BK25" s="26" t="n">
        <v>144</v>
      </c>
      <c r="BL25" s="27" t="n">
        <v>2.44</v>
      </c>
      <c r="BM25" s="28" t="n">
        <v>0.409836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c25d949d55de4e9c</t>
        </is>
      </c>
      <c r="B26" s="24" t="inlineStr">
        <is>
          <t>2026-07-29T05:50:34.894449Z</t>
        </is>
      </c>
      <c r="C26" s="24" t="inlineStr">
        <is>
          <t>2026-07-29T08:00:00Z</t>
        </is>
      </c>
      <c r="D26" s="24" t="inlineStr">
        <is>
          <t>63615</t>
        </is>
      </c>
      <c r="E26" s="24" t="inlineStr">
        <is>
          <t>LOL</t>
        </is>
      </c>
      <c r="F26" s="24" t="inlineStr">
        <is>
          <t>Arneb</t>
        </is>
      </c>
      <c r="G26" s="24" t="inlineStr">
        <is>
          <t>L Guide Gaming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-163</v>
      </c>
      <c r="M26" s="27" t="n">
        <v>1.613497</v>
      </c>
      <c r="N26" s="28" t="n">
        <v>0.619772</v>
      </c>
      <c r="O26" s="28" t="n">
        <v>0.567727</v>
      </c>
      <c r="P26" s="28" t="n"/>
      <c r="Q26" s="28" t="n">
        <v>-0.052045</v>
      </c>
      <c r="R26" s="26" t="n">
        <v>0</v>
      </c>
      <c r="S26" s="29" t="n">
        <v>0</v>
      </c>
      <c r="T26" s="24" t="inlineStr">
        <is>
          <t>lol-tiered-elo-v4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0</v>
      </c>
      <c r="AD26" s="24" t="inlineStr">
        <is>
          <t>2026-07-29T15:04:49.335633Z</t>
        </is>
      </c>
      <c r="AE26" s="31" t="inlineStr">
        <is>
          <t>Neutral Elo baseline; executable ask 0.6200 (market_slug=aec-lol-lgg-arb-2026-07-29).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Arneb</t>
        </is>
      </c>
      <c r="AQ26" s="24" t="inlineStr">
        <is>
          <t>Arneb</t>
        </is>
      </c>
      <c r="AR26" s="24" t="inlineStr">
        <is>
          <t>Arneb</t>
        </is>
      </c>
      <c r="AS26" s="24" t="inlineStr">
        <is>
          <t>L Guide Gaming</t>
        </is>
      </c>
      <c r="AT26" s="24" t="inlineStr">
        <is>
          <t>L Guide Gaming</t>
        </is>
      </c>
      <c r="AU26" s="24" t="inlineStr">
        <is>
          <t>L Guide Gaming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1ebcf4b6029cb8be2543d31337a69177db7aea75bee981d940e4866335128926</t>
        </is>
      </c>
      <c r="BB26" s="24" t="inlineStr">
        <is>
          <t>neutral_elo</t>
        </is>
      </c>
      <c r="BC26" s="24" t="inlineStr">
        <is>
          <t>lol-tiered-elo-v4</t>
        </is>
      </c>
      <c r="BD26" s="24" t="inlineStr">
        <is>
          <t>1ebcf4b6029cb8be2543d31337a69177db7aea75bee981d940e4866335128926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lol-tiered-elo-v4</t>
        </is>
      </c>
      <c r="BH26" s="24" t="inlineStr">
        <is>
          <t>2026-07-29T05:49:57.512454Z</t>
        </is>
      </c>
      <c r="BI26" s="24" t="inlineStr">
        <is>
          <t>["same_event","same_team_same_day","same_league_same_day"]</t>
        </is>
      </c>
      <c r="BJ26" s="25" t="n"/>
      <c r="BK26" s="26" t="n">
        <v>-163</v>
      </c>
      <c r="BL26" s="27" t="n">
        <v>1.613497</v>
      </c>
      <c r="BM26" s="28" t="n">
        <v>0.619772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2a7fbd497b5645ec</t>
        </is>
      </c>
      <c r="B27" s="24" t="inlineStr">
        <is>
          <t>2026-07-29T05:50:34.894449Z</t>
        </is>
      </c>
      <c r="C27" s="24" t="inlineStr">
        <is>
          <t>2026-07-29T08:00:00Z</t>
        </is>
      </c>
      <c r="D27" s="24" t="inlineStr">
        <is>
          <t>62522</t>
        </is>
      </c>
      <c r="E27" s="24" t="inlineStr">
        <is>
          <t>LOL</t>
        </is>
      </c>
      <c r="F27" s="24" t="inlineStr">
        <is>
          <t>Nongshim Red Force</t>
        </is>
      </c>
      <c r="G27" s="24" t="inlineStr">
        <is>
          <t>Kiwoom DRX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-156</v>
      </c>
      <c r="M27" s="27" t="n">
        <v>1.641026</v>
      </c>
      <c r="N27" s="28" t="n">
        <v>0.609375</v>
      </c>
      <c r="O27" s="28" t="n">
        <v>0.584253</v>
      </c>
      <c r="P27" s="28" t="n"/>
      <c r="Q27" s="28" t="n">
        <v>-0.025122</v>
      </c>
      <c r="R27" s="26" t="n">
        <v>7</v>
      </c>
      <c r="S27" s="29" t="n">
        <v>0</v>
      </c>
      <c r="T27" s="24" t="inlineStr">
        <is>
          <t>lol-tiered-elo-v4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2026-07-29T11:58:13.086769Z</t>
        </is>
      </c>
      <c r="AE27" s="31" t="inlineStr">
        <is>
          <t>Neutral Elo baseline; executable ask 0.6100 (market_slug=aec-lol-krx-ns-2026-07-29).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Nongshim Red Force</t>
        </is>
      </c>
      <c r="AQ27" s="24" t="inlineStr">
        <is>
          <t>Nongshim Red Force</t>
        </is>
      </c>
      <c r="AR27" s="24" t="inlineStr">
        <is>
          <t>Nongshim Red Force</t>
        </is>
      </c>
      <c r="AS27" s="24" t="inlineStr">
        <is>
          <t>Kiwoom DRX</t>
        </is>
      </c>
      <c r="AT27" s="24" t="inlineStr">
        <is>
          <t>Kiwoom DRX</t>
        </is>
      </c>
      <c r="AU27" s="24" t="inlineStr">
        <is>
          <t>Kiwoom DRX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1ebcf4b6029cb8be2543d31337a69177db7aea75bee981d940e4866335128926</t>
        </is>
      </c>
      <c r="BB27" s="24" t="inlineStr">
        <is>
          <t>neutral_elo</t>
        </is>
      </c>
      <c r="BC27" s="24" t="inlineStr">
        <is>
          <t>lol-tiered-elo-v4</t>
        </is>
      </c>
      <c r="BD27" s="24" t="inlineStr">
        <is>
          <t>1ebcf4b6029cb8be2543d31337a69177db7aea75bee981d940e4866335128926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lol-tiered-elo-v4</t>
        </is>
      </c>
      <c r="BH27" s="24" t="inlineStr">
        <is>
          <t>2026-07-29T05:49:58.010705Z</t>
        </is>
      </c>
      <c r="BI27" s="24" t="inlineStr">
        <is>
          <t>["same_event","same_team_same_day","same_league_same_day"]</t>
        </is>
      </c>
      <c r="BJ27" s="25" t="n"/>
      <c r="BK27" s="26" t="n">
        <v>-156</v>
      </c>
      <c r="BL27" s="27" t="n">
        <v>1.641026</v>
      </c>
      <c r="BM27" s="28" t="n">
        <v>0.609375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15f9e95d96784df2</t>
        </is>
      </c>
      <c r="B28" s="24" t="inlineStr">
        <is>
          <t>2026-07-29T08:56:58.176344Z</t>
        </is>
      </c>
      <c r="C28" s="24" t="inlineStr">
        <is>
          <t>2026-07-29T09:00:00Z</t>
        </is>
      </c>
      <c r="D28" s="24" t="inlineStr">
        <is>
          <t>62561</t>
        </is>
      </c>
      <c r="E28" s="24" t="inlineStr">
        <is>
          <t>LOL</t>
        </is>
      </c>
      <c r="F28" s="24" t="inlineStr">
        <is>
          <t>Anyone's Legend</t>
        </is>
      </c>
      <c r="G28" s="24" t="inlineStr">
        <is>
          <t>Top Esports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0.531047</v>
      </c>
      <c r="P28" s="28" t="n"/>
      <c r="Q28" s="28" t="n">
        <v>-0.008123999999999999</v>
      </c>
      <c r="R28" s="26" t="n">
        <v>16</v>
      </c>
      <c r="S28" s="29" t="n">
        <v>0</v>
      </c>
      <c r="T28" s="24" t="inlineStr">
        <is>
          <t>lol-tiered-elo-v4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</v>
      </c>
      <c r="AD28" s="24" t="inlineStr">
        <is>
          <t>2026-07-29T11:58:14.356424Z</t>
        </is>
      </c>
      <c r="AE28" s="31" t="inlineStr">
        <is>
          <t>Neutral Elo baseline; executable ask 0.5400 (market_slug=aec-lol-tes-al-2026-07-29).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Anyone's Legend</t>
        </is>
      </c>
      <c r="AQ28" s="24" t="inlineStr">
        <is>
          <t>Anyone's Legend</t>
        </is>
      </c>
      <c r="AR28" s="24" t="inlineStr">
        <is>
          <t>Anyone's Legend</t>
        </is>
      </c>
      <c r="AS28" s="24" t="inlineStr">
        <is>
          <t>Top Esports</t>
        </is>
      </c>
      <c r="AT28" s="24" t="inlineStr">
        <is>
          <t>Top Esports</t>
        </is>
      </c>
      <c r="AU28" s="24" t="inlineStr">
        <is>
          <t>Top Esports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34948865080eea1543cdd85c76d9622f40a04123c3976d8e0ec0cb6ffba62f5f</t>
        </is>
      </c>
      <c r="BB28" s="24" t="inlineStr">
        <is>
          <t>neutral_elo</t>
        </is>
      </c>
      <c r="BC28" s="24" t="inlineStr">
        <is>
          <t>lol-tiered-elo-v4</t>
        </is>
      </c>
      <c r="BD28" s="24" t="inlineStr">
        <is>
          <t>34948865080eea1543cdd85c76d9622f40a04123c3976d8e0ec0cb6ffba62f5f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lol-tiered-elo-v4</t>
        </is>
      </c>
      <c r="BH28" s="24" t="inlineStr">
        <is>
          <t>2026-07-29T08:56:24.093709Z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b7e30b83fc1440d6</t>
        </is>
      </c>
      <c r="B29" s="24" t="inlineStr">
        <is>
          <t>2026-07-29T15:09:15.415515Z</t>
        </is>
      </c>
      <c r="C29" s="24" t="inlineStr">
        <is>
          <t>2026-07-29T16:00:00Z</t>
        </is>
      </c>
      <c r="D29" s="24" t="inlineStr">
        <is>
          <t>62733</t>
        </is>
      </c>
      <c r="E29" s="24" t="inlineStr">
        <is>
          <t>LOL</t>
        </is>
      </c>
      <c r="F29" s="24" t="inlineStr">
        <is>
          <t>Absolved</t>
        </is>
      </c>
      <c r="G29" s="24" t="inlineStr">
        <is>
          <t>B2U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144</v>
      </c>
      <c r="M29" s="27" t="n">
        <v>2.44</v>
      </c>
      <c r="N29" s="28" t="n">
        <v>0.409836</v>
      </c>
      <c r="O29" s="28" t="n">
        <v>0.523531</v>
      </c>
      <c r="P29" s="28" t="n"/>
      <c r="Q29" s="28" t="n">
        <v>0.113695</v>
      </c>
      <c r="R29" s="26" t="n">
        <v>77</v>
      </c>
      <c r="S29" s="29" t="n">
        <v>0.75</v>
      </c>
      <c r="T29" s="24" t="inlineStr">
        <is>
          <t>lol-tiered-elo-v4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-0.75</v>
      </c>
      <c r="AD29" s="24" t="inlineStr">
        <is>
          <t>2026-07-29T17:48:49.139560Z</t>
        </is>
      </c>
      <c r="AE29" s="31" t="inlineStr">
        <is>
          <t>Neutral Elo baseline; executable ask 0.4100 (market_slug=aec-lol-b2u-abs-2026-07-29).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Absolved</t>
        </is>
      </c>
      <c r="AQ29" s="24" t="inlineStr">
        <is>
          <t>Absolved</t>
        </is>
      </c>
      <c r="AR29" s="24" t="inlineStr">
        <is>
          <t>Absolved</t>
        </is>
      </c>
      <c r="AS29" s="24" t="inlineStr">
        <is>
          <t>B2U</t>
        </is>
      </c>
      <c r="AT29" s="24" t="inlineStr">
        <is>
          <t>B2U</t>
        </is>
      </c>
      <c r="AU29" s="24" t="inlineStr">
        <is>
          <t>B2U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be1d38db8d7bacf5b86ce795a0ed5e44d5c9f7175af7e8ac6c799cd004175803</t>
        </is>
      </c>
      <c r="BB29" s="24" t="inlineStr">
        <is>
          <t>neutral_elo</t>
        </is>
      </c>
      <c r="BC29" s="24" t="inlineStr">
        <is>
          <t>lol-tiered-elo-v4</t>
        </is>
      </c>
      <c r="BD29" s="24" t="inlineStr">
        <is>
          <t>be1d38db8d7bacf5b86ce795a0ed5e44d5c9f7175af7e8ac6c799cd004175803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lol-tiered-elo-v4</t>
        </is>
      </c>
      <c r="BH29" s="24" t="inlineStr">
        <is>
          <t>2026-07-29T15:08:42.947251Z</t>
        </is>
      </c>
      <c r="BI29" s="24" t="inlineStr">
        <is>
          <t>["same_event","same_team_same_day","same_league_same_day"]</t>
        </is>
      </c>
      <c r="BJ29" s="25" t="n"/>
      <c r="BK29" s="26" t="n">
        <v>144</v>
      </c>
      <c r="BL29" s="27" t="n">
        <v>2.44</v>
      </c>
      <c r="BM29" s="28" t="n">
        <v>0.409836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8e4c27c0d1da408a</t>
        </is>
      </c>
      <c r="B30" s="24" t="inlineStr">
        <is>
          <t>2026-07-29T15:09:15.415515Z</t>
        </is>
      </c>
      <c r="C30" s="24" t="inlineStr">
        <is>
          <t>2026-07-29T16:00:00Z</t>
        </is>
      </c>
      <c r="D30" s="24" t="inlineStr">
        <is>
          <t>62730</t>
        </is>
      </c>
      <c r="E30" s="24" t="inlineStr">
        <is>
          <t>LOL</t>
        </is>
      </c>
      <c r="F30" s="24" t="inlineStr">
        <is>
          <t>ZYB Esport</t>
        </is>
      </c>
      <c r="G30" s="24" t="inlineStr">
        <is>
          <t>TLN Pirates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0.721241</v>
      </c>
      <c r="P30" s="28" t="n"/>
      <c r="Q30" s="28" t="n">
        <v>0.131077</v>
      </c>
      <c r="R30" s="26" t="n">
        <v>86</v>
      </c>
      <c r="S30" s="29" t="n">
        <v>2</v>
      </c>
      <c r="T30" s="24" t="inlineStr">
        <is>
          <t>lol-tiered-elo-v4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-2</v>
      </c>
      <c r="AD30" s="24" t="inlineStr">
        <is>
          <t>2026-07-29T17:34:27.222995Z</t>
        </is>
      </c>
      <c r="AE30" s="31" t="inlineStr">
        <is>
          <t>Neutral Elo baseline; executable ask 0.5900 (market_slug=aec-lol-tlnp-zyb-2026-07-29).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ZYB Esport</t>
        </is>
      </c>
      <c r="AQ30" s="24" t="inlineStr">
        <is>
          <t>ZYB Esport</t>
        </is>
      </c>
      <c r="AR30" s="24" t="inlineStr">
        <is>
          <t>ZYB Esport</t>
        </is>
      </c>
      <c r="AS30" s="24" t="inlineStr">
        <is>
          <t>TLN Pirates</t>
        </is>
      </c>
      <c r="AT30" s="24" t="inlineStr">
        <is>
          <t>TLN Pirates</t>
        </is>
      </c>
      <c r="AU30" s="24" t="inlineStr">
        <is>
          <t>TLN Pirates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be1d38db8d7bacf5b86ce795a0ed5e44d5c9f7175af7e8ac6c799cd004175803</t>
        </is>
      </c>
      <c r="BB30" s="24" t="inlineStr">
        <is>
          <t>neutral_elo</t>
        </is>
      </c>
      <c r="BC30" s="24" t="inlineStr">
        <is>
          <t>lol-tiered-elo-v4</t>
        </is>
      </c>
      <c r="BD30" s="24" t="inlineStr">
        <is>
          <t>be1d38db8d7bacf5b86ce795a0ed5e44d5c9f7175af7e8ac6c799cd004175803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lol-tiered-elo-v4</t>
        </is>
      </c>
      <c r="BH30" s="24" t="inlineStr">
        <is>
          <t>2026-07-29T15:08:43.458610Z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f9a76554254f4f71</t>
        </is>
      </c>
      <c r="B31" s="24" t="inlineStr">
        <is>
          <t>2026-07-29T15:09:15.415515Z</t>
        </is>
      </c>
      <c r="C31" s="24" t="inlineStr">
        <is>
          <t>2026-07-29T16:00:00Z</t>
        </is>
      </c>
      <c r="D31" s="24" t="inlineStr">
        <is>
          <t>62732</t>
        </is>
      </c>
      <c r="E31" s="24" t="inlineStr">
        <is>
          <t>LOL</t>
        </is>
      </c>
      <c r="F31" s="24" t="inlineStr">
        <is>
          <t>Rich Gang</t>
        </is>
      </c>
      <c r="G31" s="24" t="inlineStr">
        <is>
          <t>LEO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163</v>
      </c>
      <c r="M31" s="27" t="n">
        <v>2.63</v>
      </c>
      <c r="N31" s="28" t="n">
        <v>0.380228</v>
      </c>
      <c r="O31" s="28" t="n">
        <v>0.608007</v>
      </c>
      <c r="P31" s="28" t="n"/>
      <c r="Q31" s="28" t="n">
        <v>0.227779</v>
      </c>
      <c r="R31" s="26" t="n">
        <v>100</v>
      </c>
      <c r="S31" s="29" t="n">
        <v>1.5</v>
      </c>
      <c r="T31" s="24" t="inlineStr">
        <is>
          <t>lol-tiered-elo-v4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-1.5</v>
      </c>
      <c r="AD31" s="24" t="inlineStr">
        <is>
          <t>2026-07-30T04:12:26.015455Z</t>
        </is>
      </c>
      <c r="AE31" s="31" t="inlineStr">
        <is>
          <t>Neutral Elo baseline; executable ask 0.3800 (market_slug=aec-lol-leo-rgi-2026-07-29).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Rich Gang</t>
        </is>
      </c>
      <c r="AQ31" s="24" t="inlineStr">
        <is>
          <t>Rich Gang</t>
        </is>
      </c>
      <c r="AR31" s="24" t="inlineStr">
        <is>
          <t>Rich Gang</t>
        </is>
      </c>
      <c r="AS31" s="24" t="inlineStr">
        <is>
          <t>LEO</t>
        </is>
      </c>
      <c r="AT31" s="24" t="inlineStr">
        <is>
          <t>LEO</t>
        </is>
      </c>
      <c r="AU31" s="24" t="inlineStr">
        <is>
          <t>LEO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be1d38db8d7bacf5b86ce795a0ed5e44d5c9f7175af7e8ac6c799cd004175803</t>
        </is>
      </c>
      <c r="BB31" s="24" t="inlineStr">
        <is>
          <t>neutral_elo</t>
        </is>
      </c>
      <c r="BC31" s="24" t="inlineStr">
        <is>
          <t>lol-tiered-elo-v4</t>
        </is>
      </c>
      <c r="BD31" s="24" t="inlineStr">
        <is>
          <t>be1d38db8d7bacf5b86ce795a0ed5e44d5c9f7175af7e8ac6c799cd004175803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lol-tiered-elo-v4</t>
        </is>
      </c>
      <c r="BH31" s="24" t="inlineStr">
        <is>
          <t>2026-07-29T15:08:44.013442Z</t>
        </is>
      </c>
      <c r="BI31" s="24" t="inlineStr">
        <is>
          <t>["same_event","same_team_same_day","same_league_same_day"]</t>
        </is>
      </c>
      <c r="BJ31" s="25" t="n"/>
      <c r="BK31" s="26" t="n">
        <v>163</v>
      </c>
      <c r="BL31" s="27" t="n">
        <v>2.63</v>
      </c>
      <c r="BM31" s="28" t="n">
        <v>0.380228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a2ebcf09b86943bd</t>
        </is>
      </c>
      <c r="B32" s="24" t="inlineStr">
        <is>
          <t>2026-07-29T15:09:15.415515Z</t>
        </is>
      </c>
      <c r="C32" s="24" t="inlineStr">
        <is>
          <t>2026-07-29T16:00:00Z</t>
        </is>
      </c>
      <c r="D32" s="24" t="inlineStr">
        <is>
          <t>63409</t>
        </is>
      </c>
      <c r="E32" s="24" t="inlineStr">
        <is>
          <t>LOL</t>
        </is>
      </c>
      <c r="F32" s="24" t="inlineStr">
        <is>
          <t>SPIKE Syndicate</t>
        </is>
      </c>
      <c r="G32" s="24" t="inlineStr">
        <is>
          <t>⁠Hooligans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-170</v>
      </c>
      <c r="M32" s="27" t="n">
        <v>1.588235</v>
      </c>
      <c r="N32" s="28" t="n">
        <v>0.62963</v>
      </c>
      <c r="O32" s="28" t="n">
        <v>0.620941</v>
      </c>
      <c r="P32" s="28" t="n"/>
      <c r="Q32" s="28" t="n">
        <v>-0.008689000000000001</v>
      </c>
      <c r="R32" s="26" t="n">
        <v>16</v>
      </c>
      <c r="S32" s="29" t="n">
        <v>0</v>
      </c>
      <c r="T32" s="24" t="inlineStr">
        <is>
          <t>lol-tiered-elo-v4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2026-07-30T04:12:27.691636Z</t>
        </is>
      </c>
      <c r="AE32" s="31" t="inlineStr">
        <is>
          <t>Neutral Elo baseline; executable ask 0.6300 (market_slug=aec-lol-hool-spk-2026-07-29).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SPIKE Syndicate</t>
        </is>
      </c>
      <c r="AQ32" s="24" t="inlineStr">
        <is>
          <t>SPIKE Syndicate</t>
        </is>
      </c>
      <c r="AR32" s="24" t="inlineStr">
        <is>
          <t>SPIKE Syndicate</t>
        </is>
      </c>
      <c r="AS32" s="24" t="inlineStr">
        <is>
          <t>⁠Hooligans</t>
        </is>
      </c>
      <c r="AT32" s="24" t="inlineStr">
        <is>
          <t>⁠Hooligans</t>
        </is>
      </c>
      <c r="AU32" s="24" t="inlineStr">
        <is>
          <t>⁠Hooligans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be1d38db8d7bacf5b86ce795a0ed5e44d5c9f7175af7e8ac6c799cd004175803</t>
        </is>
      </c>
      <c r="BB32" s="24" t="inlineStr">
        <is>
          <t>neutral_elo</t>
        </is>
      </c>
      <c r="BC32" s="24" t="inlineStr">
        <is>
          <t>lol-tiered-elo-v4</t>
        </is>
      </c>
      <c r="BD32" s="24" t="inlineStr">
        <is>
          <t>be1d38db8d7bacf5b86ce795a0ed5e44d5c9f7175af7e8ac6c799cd004175803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lol-tiered-elo-v4</t>
        </is>
      </c>
      <c r="BH32" s="24" t="inlineStr">
        <is>
          <t>2026-07-29T15:08:45.011250Z</t>
        </is>
      </c>
      <c r="BI32" s="24" t="inlineStr">
        <is>
          <t>["same_event","same_team_same_day","same_league_same_day"]</t>
        </is>
      </c>
      <c r="BJ32" s="25" t="n"/>
      <c r="BK32" s="26" t="n">
        <v>-170</v>
      </c>
      <c r="BL32" s="27" t="n">
        <v>1.588235</v>
      </c>
      <c r="BM32" s="28" t="n">
        <v>0.62963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2c41fe43f7f14c8c</t>
        </is>
      </c>
      <c r="B33" s="24" t="inlineStr">
        <is>
          <t>2026-07-29T15:09:15.415515Z</t>
        </is>
      </c>
      <c r="C33" s="24" t="inlineStr">
        <is>
          <t>2026-07-29T16:00:00Z</t>
        </is>
      </c>
      <c r="D33" s="24" t="inlineStr">
        <is>
          <t>65111</t>
        </is>
      </c>
      <c r="E33" s="24" t="inlineStr">
        <is>
          <t>LOL</t>
        </is>
      </c>
      <c r="F33" s="24" t="inlineStr">
        <is>
          <t>SK Gaming Avarosa</t>
        </is>
      </c>
      <c r="G33" s="24" t="inlineStr">
        <is>
          <t>G2 HEL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186</v>
      </c>
      <c r="M33" s="27" t="n">
        <v>2.86</v>
      </c>
      <c r="N33" s="28" t="n">
        <v>0.34965</v>
      </c>
      <c r="O33" s="28" t="n">
        <v>0.543596</v>
      </c>
      <c r="P33" s="28" t="n"/>
      <c r="Q33" s="28" t="n">
        <v>0.193946</v>
      </c>
      <c r="R33" s="26" t="n">
        <v>100</v>
      </c>
      <c r="S33" s="29" t="n">
        <v>1</v>
      </c>
      <c r="T33" s="24" t="inlineStr">
        <is>
          <t>lol-tiered-elo-v4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/>
      <c r="AA33" s="28" t="n"/>
      <c r="AB33" s="28" t="n"/>
      <c r="AC33" s="30" t="n">
        <v>-1</v>
      </c>
      <c r="AD33" s="24" t="inlineStr">
        <is>
          <t>2026-07-30T04:12:28.944197Z</t>
        </is>
      </c>
      <c r="AE33" s="31" t="inlineStr">
        <is>
          <t>Neutral Elo baseline; executable ask 0.3500 (market_slug=aec-lol-g2h-ska-2026-07-29).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SK Gaming Avarosa</t>
        </is>
      </c>
      <c r="AQ33" s="24" t="inlineStr">
        <is>
          <t>SK Gaming Avarosa</t>
        </is>
      </c>
      <c r="AR33" s="24" t="inlineStr">
        <is>
          <t>SK Gaming Avarosa</t>
        </is>
      </c>
      <c r="AS33" s="24" t="inlineStr">
        <is>
          <t>G2 HEL</t>
        </is>
      </c>
      <c r="AT33" s="24" t="inlineStr">
        <is>
          <t>G2 HEL</t>
        </is>
      </c>
      <c r="AU33" s="24" t="inlineStr">
        <is>
          <t>G2 HEL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be1d38db8d7bacf5b86ce795a0ed5e44d5c9f7175af7e8ac6c799cd004175803</t>
        </is>
      </c>
      <c r="BB33" s="24" t="inlineStr">
        <is>
          <t>neutral_elo</t>
        </is>
      </c>
      <c r="BC33" s="24" t="inlineStr">
        <is>
          <t>lol-tiered-elo-v4</t>
        </is>
      </c>
      <c r="BD33" s="24" t="inlineStr">
        <is>
          <t>be1d38db8d7bacf5b86ce795a0ed5e44d5c9f7175af7e8ac6c799cd004175803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lol-tiered-elo-v4</t>
        </is>
      </c>
      <c r="BH33" s="24" t="inlineStr">
        <is>
          <t>2026-07-29T15:08:45.706081Z</t>
        </is>
      </c>
      <c r="BI33" s="24" t="inlineStr">
        <is>
          <t>["same_event","same_team_same_day","same_league_same_day"]</t>
        </is>
      </c>
      <c r="BJ33" s="25" t="n"/>
      <c r="BK33" s="26" t="n">
        <v>186</v>
      </c>
      <c r="BL33" s="27" t="n">
        <v>2.86</v>
      </c>
      <c r="BM33" s="28" t="n">
        <v>0.34965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3b7028e86e6945fe</t>
        </is>
      </c>
      <c r="B34" s="24" t="inlineStr">
        <is>
          <t>2026-07-29T15:09:15.415515Z</t>
        </is>
      </c>
      <c r="C34" s="24" t="inlineStr">
        <is>
          <t>2026-07-29T17:00:00Z</t>
        </is>
      </c>
      <c r="D34" s="24" t="inlineStr">
        <is>
          <t>62812</t>
        </is>
      </c>
      <c r="E34" s="24" t="inlineStr">
        <is>
          <t>LOL</t>
        </is>
      </c>
      <c r="F34" s="24" t="inlineStr">
        <is>
          <t>Unicorns Of Love Sexy Edition</t>
        </is>
      </c>
      <c r="G34" s="24" t="inlineStr">
        <is>
          <t>TeamOrangeGaming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-223</v>
      </c>
      <c r="M34" s="27" t="n">
        <v>1.44843</v>
      </c>
      <c r="N34" s="28" t="n">
        <v>0.690402</v>
      </c>
      <c r="O34" s="28" t="n">
        <v>0.69857</v>
      </c>
      <c r="P34" s="28" t="n"/>
      <c r="Q34" s="28" t="n">
        <v>0.008168</v>
      </c>
      <c r="R34" s="26" t="n">
        <v>24</v>
      </c>
      <c r="S34" s="29" t="n">
        <v>2</v>
      </c>
      <c r="T34" s="24" t="inlineStr">
        <is>
          <t>lol-tiered-elo-v4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0.8969</v>
      </c>
      <c r="AD34" s="24" t="inlineStr">
        <is>
          <t>2026-07-30T04:12:30.744780Z</t>
        </is>
      </c>
      <c r="AE34" s="31" t="inlineStr">
        <is>
          <t>Neutral Elo baseline; executable ask 0.6900 (market_slug=aec-lol-tog-use-2026-07-29).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Unicorns Of Love Sexy Edition</t>
        </is>
      </c>
      <c r="AQ34" s="24" t="inlineStr">
        <is>
          <t>Unicorns Of Love Sexy Edition</t>
        </is>
      </c>
      <c r="AR34" s="24" t="inlineStr">
        <is>
          <t>Unicorns Of Love Sexy Edition</t>
        </is>
      </c>
      <c r="AS34" s="24" t="inlineStr">
        <is>
          <t>TeamOrangeGaming</t>
        </is>
      </c>
      <c r="AT34" s="24" t="inlineStr">
        <is>
          <t>TeamOrangeGaming</t>
        </is>
      </c>
      <c r="AU34" s="24" t="inlineStr">
        <is>
          <t>TeamOrangeGaming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be1d38db8d7bacf5b86ce795a0ed5e44d5c9f7175af7e8ac6c799cd004175803</t>
        </is>
      </c>
      <c r="BB34" s="24" t="inlineStr">
        <is>
          <t>neutral_elo</t>
        </is>
      </c>
      <c r="BC34" s="24" t="inlineStr">
        <is>
          <t>lol-tiered-elo-v4</t>
        </is>
      </c>
      <c r="BD34" s="24" t="inlineStr">
        <is>
          <t>be1d38db8d7bacf5b86ce795a0ed5e44d5c9f7175af7e8ac6c799cd004175803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lol-tiered-elo-v4</t>
        </is>
      </c>
      <c r="BH34" s="24" t="inlineStr">
        <is>
          <t>2026-07-29T15:08:46.262782Z</t>
        </is>
      </c>
      <c r="BI34" s="24" t="inlineStr">
        <is>
          <t>["same_event","same_team_same_day","same_league_same_day"]</t>
        </is>
      </c>
      <c r="BJ34" s="25" t="n"/>
      <c r="BK34" s="26" t="n">
        <v>-223</v>
      </c>
      <c r="BL34" s="27" t="n">
        <v>1.44843</v>
      </c>
      <c r="BM34" s="28" t="n">
        <v>0.690402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1bf679ed61e54f6e</t>
        </is>
      </c>
      <c r="B35" s="24" t="inlineStr">
        <is>
          <t>2026-07-29T15:09:15.415515Z</t>
        </is>
      </c>
      <c r="C35" s="24" t="inlineStr">
        <is>
          <t>2026-07-29T17:00:00Z</t>
        </is>
      </c>
      <c r="D35" s="24" t="inlineStr">
        <is>
          <t>62811</t>
        </is>
      </c>
      <c r="E35" s="24" t="inlineStr">
        <is>
          <t>LOL</t>
        </is>
      </c>
      <c r="F35" s="24" t="inlineStr">
        <is>
          <t>Vitality.Bee</t>
        </is>
      </c>
      <c r="G35" s="24" t="inlineStr">
        <is>
          <t>Ici Japon Corp. Esport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-133</v>
      </c>
      <c r="M35" s="27" t="n">
        <v>1.75188</v>
      </c>
      <c r="N35" s="28" t="n">
        <v>0.570815</v>
      </c>
      <c r="O35" s="28" t="n">
        <v>0.57328</v>
      </c>
      <c r="P35" s="28" t="n"/>
      <c r="Q35" s="28" t="n">
        <v>0.002465</v>
      </c>
      <c r="R35" s="26" t="n">
        <v>21</v>
      </c>
      <c r="S35" s="29" t="n">
        <v>1.25</v>
      </c>
      <c r="T35" s="24" t="inlineStr">
        <is>
          <t>lol-tiered-elo-v4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-1.25</v>
      </c>
      <c r="AD35" s="24" t="inlineStr">
        <is>
          <t>2026-07-30T04:12:31.878744Z</t>
        </is>
      </c>
      <c r="AE35" s="31" t="inlineStr">
        <is>
          <t>Neutral Elo baseline; executable ask 0.5700 (market_slug=aec-lol-ijc-vitb-2026-07-29).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Vitality.Bee</t>
        </is>
      </c>
      <c r="AQ35" s="24" t="inlineStr">
        <is>
          <t>Vitality.Bee</t>
        </is>
      </c>
      <c r="AR35" s="24" t="inlineStr">
        <is>
          <t>Vitality.Bee</t>
        </is>
      </c>
      <c r="AS35" s="24" t="inlineStr">
        <is>
          <t>Ici Japon Corp. Esport</t>
        </is>
      </c>
      <c r="AT35" s="24" t="inlineStr">
        <is>
          <t>Ici Japon Corp. Esport</t>
        </is>
      </c>
      <c r="AU35" s="24" t="inlineStr">
        <is>
          <t>Ici Japon Corp. Esport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be1d38db8d7bacf5b86ce795a0ed5e44d5c9f7175af7e8ac6c799cd004175803</t>
        </is>
      </c>
      <c r="BB35" s="24" t="inlineStr">
        <is>
          <t>neutral_elo</t>
        </is>
      </c>
      <c r="BC35" s="24" t="inlineStr">
        <is>
          <t>lol-tiered-elo-v4</t>
        </is>
      </c>
      <c r="BD35" s="24" t="inlineStr">
        <is>
          <t>be1d38db8d7bacf5b86ce795a0ed5e44d5c9f7175af7e8ac6c799cd004175803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lol-tiered-elo-v4</t>
        </is>
      </c>
      <c r="BH35" s="24" t="inlineStr">
        <is>
          <t>2026-07-29T15:08:46.735745Z</t>
        </is>
      </c>
      <c r="BI35" s="24" t="inlineStr">
        <is>
          <t>["same_event","same_team_same_day","same_league_same_day"]</t>
        </is>
      </c>
      <c r="BJ35" s="25" t="n"/>
      <c r="BK35" s="26" t="n">
        <v>-133</v>
      </c>
      <c r="BL35" s="27" t="n">
        <v>1.75188</v>
      </c>
      <c r="BM35" s="28" t="n">
        <v>0.570815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803ea47197854dca</t>
        </is>
      </c>
      <c r="B36" s="24" t="inlineStr">
        <is>
          <t>2026-07-29T17:47:53.341995Z</t>
        </is>
      </c>
      <c r="C36" s="24" t="inlineStr">
        <is>
          <t>2026-07-29T18:00:00Z</t>
        </is>
      </c>
      <c r="D36" s="24" t="inlineStr">
        <is>
          <t>62924</t>
        </is>
      </c>
      <c r="E36" s="24" t="inlineStr">
        <is>
          <t>LOL</t>
        </is>
      </c>
      <c r="F36" s="24" t="inlineStr">
        <is>
          <t>2 Massive</t>
        </is>
      </c>
      <c r="G36" s="24" t="inlineStr">
        <is>
          <t>DMG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-223</v>
      </c>
      <c r="M36" s="27" t="n">
        <v>1.44843</v>
      </c>
      <c r="N36" s="28" t="n">
        <v>0.690402</v>
      </c>
      <c r="O36" s="28" t="n">
        <v>0.570689</v>
      </c>
      <c r="P36" s="28" t="n"/>
      <c r="Q36" s="28" t="n">
        <v>-0.119713</v>
      </c>
      <c r="R36" s="26" t="n">
        <v>0</v>
      </c>
      <c r="S36" s="29" t="n">
        <v>0</v>
      </c>
      <c r="T36" s="24" t="inlineStr">
        <is>
          <t>lol-tiered-elo-v4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</v>
      </c>
      <c r="AD36" s="24" t="inlineStr">
        <is>
          <t>2026-07-30T04:12:33.918613Z</t>
        </is>
      </c>
      <c r="AE36" s="31" t="inlineStr">
        <is>
          <t>Neutral Elo baseline; executable ask 0.6900 (market_slug=aec-lol-dmg-mas-2026-07-29).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2 Massive</t>
        </is>
      </c>
      <c r="AQ36" s="24" t="inlineStr">
        <is>
          <t>2 Massive</t>
        </is>
      </c>
      <c r="AR36" s="24" t="inlineStr">
        <is>
          <t>2 Massive</t>
        </is>
      </c>
      <c r="AS36" s="24" t="inlineStr">
        <is>
          <t>DMG Esports</t>
        </is>
      </c>
      <c r="AT36" s="24" t="inlineStr">
        <is>
          <t>DMG Esports</t>
        </is>
      </c>
      <c r="AU36" s="24" t="inlineStr">
        <is>
          <t>DMG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b5db55d44821936562fc7ca695a552e8c5a976b7d669055e90322ae075215cf1</t>
        </is>
      </c>
      <c r="BB36" s="24" t="inlineStr">
        <is>
          <t>neutral_elo</t>
        </is>
      </c>
      <c r="BC36" s="24" t="inlineStr">
        <is>
          <t>lol-tiered-elo-v4</t>
        </is>
      </c>
      <c r="BD36" s="24" t="inlineStr">
        <is>
          <t>b5db55d44821936562fc7ca695a552e8c5a976b7d669055e90322ae075215cf1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lol-tiered-elo-v4</t>
        </is>
      </c>
      <c r="BH36" s="24" t="inlineStr">
        <is>
          <t>2026-07-29T17:47:27.128391Z</t>
        </is>
      </c>
      <c r="BI36" s="24" t="inlineStr">
        <is>
          <t>["same_event","same_team_same_day","same_league_same_day"]</t>
        </is>
      </c>
      <c r="BJ36" s="25" t="n"/>
      <c r="BK36" s="26" t="n">
        <v>-223</v>
      </c>
      <c r="BL36" s="27" t="n">
        <v>1.44843</v>
      </c>
      <c r="BM36" s="28" t="n">
        <v>0.690402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b668dc436e7a4bee</t>
        </is>
      </c>
      <c r="B37" s="24" t="inlineStr">
        <is>
          <t>2026-07-29T17:47:53.341995Z</t>
        </is>
      </c>
      <c r="C37" s="24" t="inlineStr">
        <is>
          <t>2026-07-29T18:00:00Z</t>
        </is>
      </c>
      <c r="D37" s="24" t="inlineStr">
        <is>
          <t>62922</t>
        </is>
      </c>
      <c r="E37" s="24" t="inlineStr">
        <is>
          <t>LOL</t>
        </is>
      </c>
      <c r="F37" s="24" t="inlineStr">
        <is>
          <t>Lupus Esports</t>
        </is>
      </c>
      <c r="G37" s="24" t="inlineStr">
        <is>
          <t>MAGAZA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-203</v>
      </c>
      <c r="M37" s="27" t="n">
        <v>1.492611</v>
      </c>
      <c r="N37" s="28" t="n">
        <v>0.669967</v>
      </c>
      <c r="O37" s="28" t="n">
        <v>0.55177</v>
      </c>
      <c r="P37" s="28" t="n"/>
      <c r="Q37" s="28" t="n">
        <v>-0.118197</v>
      </c>
      <c r="R37" s="26" t="n">
        <v>0</v>
      </c>
      <c r="S37" s="29" t="n">
        <v>0</v>
      </c>
      <c r="T37" s="24" t="inlineStr">
        <is>
          <t>lol-tiered-elo-v4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0</v>
      </c>
      <c r="AD37" s="24" t="inlineStr">
        <is>
          <t>2026-07-30T04:12:36.555676Z</t>
        </is>
      </c>
      <c r="AE37" s="31" t="inlineStr">
        <is>
          <t>Neutral Elo baseline; executable ask 0.6700 (market_slug=aec-lol-mgz-lps-2026-07-29).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Lupus Esports</t>
        </is>
      </c>
      <c r="AQ37" s="24" t="inlineStr">
        <is>
          <t>Lupus Esports</t>
        </is>
      </c>
      <c r="AR37" s="24" t="inlineStr">
        <is>
          <t>Lupus Esports</t>
        </is>
      </c>
      <c r="AS37" s="24" t="inlineStr">
        <is>
          <t>MAGAZA</t>
        </is>
      </c>
      <c r="AT37" s="24" t="inlineStr">
        <is>
          <t>MAGAZA</t>
        </is>
      </c>
      <c r="AU37" s="24" t="inlineStr">
        <is>
          <t>MAGAZA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b5db55d44821936562fc7ca695a552e8c5a976b7d669055e90322ae075215cf1</t>
        </is>
      </c>
      <c r="BB37" s="24" t="inlineStr">
        <is>
          <t>neutral_elo</t>
        </is>
      </c>
      <c r="BC37" s="24" t="inlineStr">
        <is>
          <t>lol-tiered-elo-v4</t>
        </is>
      </c>
      <c r="BD37" s="24" t="inlineStr">
        <is>
          <t>b5db55d44821936562fc7ca695a552e8c5a976b7d669055e90322ae075215cf1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lol-tiered-elo-v4</t>
        </is>
      </c>
      <c r="BH37" s="24" t="inlineStr">
        <is>
          <t>2026-07-29T17:47:28.703378Z</t>
        </is>
      </c>
      <c r="BI37" s="24" t="inlineStr">
        <is>
          <t>["same_event","same_team_same_day","same_league_same_day"]</t>
        </is>
      </c>
      <c r="BJ37" s="25" t="n"/>
      <c r="BK37" s="26" t="n">
        <v>-203</v>
      </c>
      <c r="BL37" s="27" t="n">
        <v>1.492611</v>
      </c>
      <c r="BM37" s="28" t="n">
        <v>0.669967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0caf9c07b7634a38</t>
        </is>
      </c>
      <c r="B38" s="24" t="inlineStr">
        <is>
          <t>2026-07-29T17:47:53.341995Z</t>
        </is>
      </c>
      <c r="C38" s="24" t="inlineStr">
        <is>
          <t>2026-07-29T18:00:00Z</t>
        </is>
      </c>
      <c r="D38" s="24" t="inlineStr">
        <is>
          <t>62923</t>
        </is>
      </c>
      <c r="E38" s="24" t="inlineStr">
        <is>
          <t>LOL</t>
        </is>
      </c>
      <c r="F38" s="24" t="inlineStr">
        <is>
          <t>Sørby eSport</t>
        </is>
      </c>
      <c r="G38" s="24" t="inlineStr">
        <is>
          <t>Brod n Friends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-213</v>
      </c>
      <c r="M38" s="27" t="n">
        <v>1.469484</v>
      </c>
      <c r="N38" s="28" t="n">
        <v>0.680511</v>
      </c>
      <c r="O38" s="28" t="n">
        <v>0.513157</v>
      </c>
      <c r="P38" s="28" t="n"/>
      <c r="Q38" s="28" t="n">
        <v>-0.167354</v>
      </c>
      <c r="R38" s="26" t="n">
        <v>0</v>
      </c>
      <c r="S38" s="29" t="n">
        <v>0</v>
      </c>
      <c r="T38" s="24" t="inlineStr">
        <is>
          <t>lol-tiered-elo-v4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</v>
      </c>
      <c r="AD38" s="24" t="inlineStr">
        <is>
          <t>2026-07-30T04:12:39.461031Z</t>
        </is>
      </c>
      <c r="AE38" s="31" t="inlineStr">
        <is>
          <t>Neutral Elo baseline; executable ask 0.6800 (market_slug=aec-lol-bnf-sre-2026-07-29).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Sørby eSport</t>
        </is>
      </c>
      <c r="AQ38" s="24" t="inlineStr">
        <is>
          <t>Sørby eSport</t>
        </is>
      </c>
      <c r="AR38" s="24" t="inlineStr">
        <is>
          <t>Sørby eSport</t>
        </is>
      </c>
      <c r="AS38" s="24" t="inlineStr">
        <is>
          <t>Brod n Friends</t>
        </is>
      </c>
      <c r="AT38" s="24" t="inlineStr">
        <is>
          <t>Brod n Friends</t>
        </is>
      </c>
      <c r="AU38" s="24" t="inlineStr">
        <is>
          <t>Brod n Friends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b5db55d44821936562fc7ca695a552e8c5a976b7d669055e90322ae075215cf1</t>
        </is>
      </c>
      <c r="BB38" s="24" t="inlineStr">
        <is>
          <t>neutral_elo</t>
        </is>
      </c>
      <c r="BC38" s="24" t="inlineStr">
        <is>
          <t>lol-tiered-elo-v4</t>
        </is>
      </c>
      <c r="BD38" s="24" t="inlineStr">
        <is>
          <t>b5db55d44821936562fc7ca695a552e8c5a976b7d669055e90322ae075215cf1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lol-tiered-elo-v4</t>
        </is>
      </c>
      <c r="BH38" s="24" t="inlineStr">
        <is>
          <t>2026-07-29T17:47:29.227994Z</t>
        </is>
      </c>
      <c r="BI38" s="24" t="inlineStr">
        <is>
          <t>["same_event","same_team_same_day","same_league_same_day"]</t>
        </is>
      </c>
      <c r="BJ38" s="25" t="n"/>
      <c r="BK38" s="26" t="n">
        <v>-213</v>
      </c>
      <c r="BL38" s="27" t="n">
        <v>1.469484</v>
      </c>
      <c r="BM38" s="28" t="n">
        <v>0.680511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271cba139bb345ae</t>
        </is>
      </c>
      <c r="B39" s="24" t="inlineStr">
        <is>
          <t>2026-07-29T17:47:53.341995Z</t>
        </is>
      </c>
      <c r="C39" s="24" t="inlineStr">
        <is>
          <t>2026-07-29T18:30:00Z</t>
        </is>
      </c>
      <c r="D39" s="24" t="inlineStr">
        <is>
          <t>62999</t>
        </is>
      </c>
      <c r="E39" s="24" t="inlineStr">
        <is>
          <t>LOL</t>
        </is>
      </c>
      <c r="F39" s="24" t="inlineStr">
        <is>
          <t>Baam Esports</t>
        </is>
      </c>
      <c r="G39" s="24" t="inlineStr">
        <is>
          <t>Disruptors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163</v>
      </c>
      <c r="M39" s="27" t="n">
        <v>2.63</v>
      </c>
      <c r="N39" s="28" t="n">
        <v>0.380228</v>
      </c>
      <c r="O39" s="28" t="n">
        <v>0.537829</v>
      </c>
      <c r="P39" s="28" t="n"/>
      <c r="Q39" s="28" t="n">
        <v>0.157601</v>
      </c>
      <c r="R39" s="26" t="n">
        <v>99</v>
      </c>
      <c r="S39" s="29" t="n">
        <v>1</v>
      </c>
      <c r="T39" s="24" t="inlineStr">
        <is>
          <t>lol-tiered-elo-v4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2026-07-30T04:12:40.703100Z</t>
        </is>
      </c>
      <c r="AE39" s="31" t="inlineStr">
        <is>
          <t>Neutral Elo baseline; executable ask 0.3800 (market_slug=aec-lol-ds-bam-2026-07-29).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Baam Esports</t>
        </is>
      </c>
      <c r="AQ39" s="24" t="inlineStr">
        <is>
          <t>Baam Esports</t>
        </is>
      </c>
      <c r="AR39" s="24" t="inlineStr">
        <is>
          <t>Baam Esports</t>
        </is>
      </c>
      <c r="AS39" s="24" t="inlineStr">
        <is>
          <t>Disruptors</t>
        </is>
      </c>
      <c r="AT39" s="24" t="inlineStr">
        <is>
          <t>Disruptors</t>
        </is>
      </c>
      <c r="AU39" s="24" t="inlineStr">
        <is>
          <t>Disruptors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b5db55d44821936562fc7ca695a552e8c5a976b7d669055e90322ae075215cf1</t>
        </is>
      </c>
      <c r="BB39" s="24" t="inlineStr">
        <is>
          <t>neutral_elo</t>
        </is>
      </c>
      <c r="BC39" s="24" t="inlineStr">
        <is>
          <t>lol-tiered-elo-v4</t>
        </is>
      </c>
      <c r="BD39" s="24" t="inlineStr">
        <is>
          <t>b5db55d44821936562fc7ca695a552e8c5a976b7d669055e90322ae075215cf1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lol-tiered-elo-v4</t>
        </is>
      </c>
      <c r="BH39" s="24" t="inlineStr">
        <is>
          <t>2026-07-29T17:47:30.538258Z</t>
        </is>
      </c>
      <c r="BI39" s="24" t="inlineStr">
        <is>
          <t>["same_event","same_team_same_day","same_league_same_day"]</t>
        </is>
      </c>
      <c r="BJ39" s="25" t="n"/>
      <c r="BK39" s="26" t="n">
        <v>163</v>
      </c>
      <c r="BL39" s="27" t="n">
        <v>2.63</v>
      </c>
      <c r="BM39" s="28" t="n">
        <v>0.380228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f695eed9244b4812</t>
        </is>
      </c>
      <c r="B40" s="24" t="inlineStr">
        <is>
          <t>2026-07-29T17:47:53.341995Z</t>
        </is>
      </c>
      <c r="C40" s="24" t="inlineStr">
        <is>
          <t>2026-07-29T19:00:00Z</t>
        </is>
      </c>
      <c r="D40" s="24" t="inlineStr">
        <is>
          <t>63053</t>
        </is>
      </c>
      <c r="E40" s="24" t="inlineStr">
        <is>
          <t>LOL</t>
        </is>
      </c>
      <c r="F40" s="24" t="inlineStr">
        <is>
          <t>Tung Tung Bogi</t>
        </is>
      </c>
      <c r="G40" s="24" t="inlineStr">
        <is>
          <t>Dream Esports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0.537504</v>
      </c>
      <c r="P40" s="28" t="n"/>
      <c r="Q40" s="28" t="n">
        <v>-0.071871</v>
      </c>
      <c r="R40" s="26" t="n">
        <v>0</v>
      </c>
      <c r="S40" s="29" t="n">
        <v>0</v>
      </c>
      <c r="T40" s="24" t="inlineStr">
        <is>
          <t>lol-tiered-elo-v4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</v>
      </c>
      <c r="AD40" s="24" t="inlineStr">
        <is>
          <t>2026-07-30T04:12:42.036401Z</t>
        </is>
      </c>
      <c r="AE40" s="31" t="inlineStr">
        <is>
          <t>Neutral Elo baseline; executable ask 0.6100 (market_slug=aec-lol-drm-tung-2026-07-29).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Tung Tung Bogi</t>
        </is>
      </c>
      <c r="AQ40" s="24" t="inlineStr">
        <is>
          <t>Tung Tung Bogi</t>
        </is>
      </c>
      <c r="AR40" s="24" t="inlineStr">
        <is>
          <t>Tung Tung Bogi</t>
        </is>
      </c>
      <c r="AS40" s="24" t="inlineStr">
        <is>
          <t>Dream Esports</t>
        </is>
      </c>
      <c r="AT40" s="24" t="inlineStr">
        <is>
          <t>Dream Esports</t>
        </is>
      </c>
      <c r="AU40" s="24" t="inlineStr">
        <is>
          <t>Dream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b5db55d44821936562fc7ca695a552e8c5a976b7d669055e90322ae075215cf1</t>
        </is>
      </c>
      <c r="BB40" s="24" t="inlineStr">
        <is>
          <t>neutral_elo</t>
        </is>
      </c>
      <c r="BC40" s="24" t="inlineStr">
        <is>
          <t>lol-tiered-elo-v4</t>
        </is>
      </c>
      <c r="BD40" s="24" t="inlineStr">
        <is>
          <t>b5db55d44821936562fc7ca695a552e8c5a976b7d669055e90322ae075215cf1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lol-tiered-elo-v4</t>
        </is>
      </c>
      <c r="BH40" s="24" t="inlineStr">
        <is>
          <t>2026-07-29T17:47:31.034730Z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351220162a8f4038</t>
        </is>
      </c>
      <c r="B41" s="24" t="inlineStr">
        <is>
          <t>2026-07-29T17:47:53.341995Z</t>
        </is>
      </c>
      <c r="C41" s="24" t="inlineStr">
        <is>
          <t>2026-07-29T19:00:00Z</t>
        </is>
      </c>
      <c r="D41" s="24" t="inlineStr">
        <is>
          <t>63028</t>
        </is>
      </c>
      <c r="E41" s="24" t="inlineStr">
        <is>
          <t>LOL</t>
        </is>
      </c>
      <c r="F41" s="24" t="inlineStr">
        <is>
          <t>Joblife</t>
        </is>
      </c>
      <c r="G41" s="24" t="inlineStr">
        <is>
          <t>Karmine Corp Blue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-104</v>
      </c>
      <c r="M41" s="27" t="n">
        <v>1.961538</v>
      </c>
      <c r="N41" s="28" t="n">
        <v>0.509804</v>
      </c>
      <c r="O41" s="28" t="n">
        <v>0.6798070000000001</v>
      </c>
      <c r="P41" s="28" t="n"/>
      <c r="Q41" s="28" t="n">
        <v>0.170003</v>
      </c>
      <c r="R41" s="26" t="n">
        <v>100</v>
      </c>
      <c r="S41" s="29" t="n">
        <v>2</v>
      </c>
      <c r="T41" s="24" t="inlineStr">
        <is>
          <t>lol-tiered-elo-v4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1.9231</v>
      </c>
      <c r="AD41" s="24" t="inlineStr">
        <is>
          <t>2026-07-30T04:12:43.399474Z</t>
        </is>
      </c>
      <c r="AE41" s="31" t="inlineStr">
        <is>
          <t>Neutral Elo baseline; executable ask 0.5100 (market_slug=aec-lol-kcb-jl-2026-07-29).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Joblife</t>
        </is>
      </c>
      <c r="AQ41" s="24" t="inlineStr">
        <is>
          <t>Joblife</t>
        </is>
      </c>
      <c r="AR41" s="24" t="inlineStr">
        <is>
          <t>Joblife</t>
        </is>
      </c>
      <c r="AS41" s="24" t="inlineStr">
        <is>
          <t>Karmine Corp Blue</t>
        </is>
      </c>
      <c r="AT41" s="24" t="inlineStr">
        <is>
          <t>Karmine Corp Blue</t>
        </is>
      </c>
      <c r="AU41" s="24" t="inlineStr">
        <is>
          <t>Karmine Corp Blue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b5db55d44821936562fc7ca695a552e8c5a976b7d669055e90322ae075215cf1</t>
        </is>
      </c>
      <c r="BB41" s="24" t="inlineStr">
        <is>
          <t>neutral_elo</t>
        </is>
      </c>
      <c r="BC41" s="24" t="inlineStr">
        <is>
          <t>lol-tiered-elo-v4</t>
        </is>
      </c>
      <c r="BD41" s="24" t="inlineStr">
        <is>
          <t>b5db55d44821936562fc7ca695a552e8c5a976b7d669055e90322ae075215cf1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lol-tiered-elo-v4</t>
        </is>
      </c>
      <c r="BH41" s="24" t="inlineStr">
        <is>
          <t>2026-07-29T17:47:31.550767Z</t>
        </is>
      </c>
      <c r="BI41" s="24" t="inlineStr">
        <is>
          <t>["same_event","same_team_same_day","same_league_same_day"]</t>
        </is>
      </c>
      <c r="BJ41" s="25" t="n"/>
      <c r="BK41" s="26" t="n">
        <v>-104</v>
      </c>
      <c r="BL41" s="27" t="n">
        <v>1.961538</v>
      </c>
      <c r="BM41" s="28" t="n">
        <v>0.509804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88e6ce8e6b044d04</t>
        </is>
      </c>
      <c r="B42" s="24" t="inlineStr">
        <is>
          <t>2026-07-29T17:47:53.341995Z</t>
        </is>
      </c>
      <c r="C42" s="24" t="inlineStr">
        <is>
          <t>2026-07-29T20:00:00Z</t>
        </is>
      </c>
      <c r="D42" s="24" t="inlineStr">
        <is>
          <t>63278</t>
        </is>
      </c>
      <c r="E42" s="24" t="inlineStr">
        <is>
          <t>LOL</t>
        </is>
      </c>
      <c r="F42" s="24" t="inlineStr">
        <is>
          <t>INTZ e-Sports</t>
        </is>
      </c>
      <c r="G42" s="24" t="inlineStr">
        <is>
          <t>Ei Nerd Esports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-213</v>
      </c>
      <c r="M42" s="27" t="n">
        <v>1.469484</v>
      </c>
      <c r="N42" s="28" t="n">
        <v>0.680511</v>
      </c>
      <c r="O42" s="28" t="n">
        <v>0.573035</v>
      </c>
      <c r="P42" s="28" t="n"/>
      <c r="Q42" s="28" t="n">
        <v>-0.107476</v>
      </c>
      <c r="R42" s="26" t="n">
        <v>0</v>
      </c>
      <c r="S42" s="29" t="n">
        <v>0</v>
      </c>
      <c r="T42" s="24" t="inlineStr">
        <is>
          <t>lol-tiered-elo-v4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0</v>
      </c>
      <c r="AD42" s="24" t="inlineStr">
        <is>
          <t>2026-07-30T04:12:44.515118Z</t>
        </is>
      </c>
      <c r="AE42" s="31" t="inlineStr">
        <is>
          <t>Neutral Elo baseline; executable ask 0.6800 (market_slug=aec-lol-nerd-itz-2026-07-29).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INTZ e-Sports</t>
        </is>
      </c>
      <c r="AQ42" s="24" t="inlineStr">
        <is>
          <t>INTZ e-Sports</t>
        </is>
      </c>
      <c r="AR42" s="24" t="inlineStr">
        <is>
          <t>INTZ e-Sports</t>
        </is>
      </c>
      <c r="AS42" s="24" t="inlineStr">
        <is>
          <t>Ei Nerd Esports</t>
        </is>
      </c>
      <c r="AT42" s="24" t="inlineStr">
        <is>
          <t>Ei Nerd Esports</t>
        </is>
      </c>
      <c r="AU42" s="24" t="inlineStr">
        <is>
          <t>Ei Nerd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b5db55d44821936562fc7ca695a552e8c5a976b7d669055e90322ae075215cf1</t>
        </is>
      </c>
      <c r="BB42" s="24" t="inlineStr">
        <is>
          <t>neutral_elo</t>
        </is>
      </c>
      <c r="BC42" s="24" t="inlineStr">
        <is>
          <t>lol-tiered-elo-v4</t>
        </is>
      </c>
      <c r="BD42" s="24" t="inlineStr">
        <is>
          <t>b5db55d44821936562fc7ca695a552e8c5a976b7d669055e90322ae075215cf1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lol-tiered-elo-v4</t>
        </is>
      </c>
      <c r="BH42" s="24" t="inlineStr">
        <is>
          <t>2026-07-29T17:47:32.051354Z</t>
        </is>
      </c>
      <c r="BI42" s="24" t="inlineStr">
        <is>
          <t>["same_event","same_team_same_day","same_league_same_day"]</t>
        </is>
      </c>
      <c r="BJ42" s="25" t="n"/>
      <c r="BK42" s="26" t="n">
        <v>-213</v>
      </c>
      <c r="BL42" s="27" t="n">
        <v>1.469484</v>
      </c>
      <c r="BM42" s="28" t="n">
        <v>0.680511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0b9074d22eb348f3</t>
        </is>
      </c>
      <c r="B43" s="24" t="inlineStr">
        <is>
          <t>2026-07-29T17:47:53.341995Z</t>
        </is>
      </c>
      <c r="C43" s="24" t="inlineStr">
        <is>
          <t>2026-07-29T21:00:00Z</t>
        </is>
      </c>
      <c r="D43" s="24" t="inlineStr">
        <is>
          <t>63347</t>
        </is>
      </c>
      <c r="E43" s="24" t="inlineStr">
        <is>
          <t>LOL</t>
        </is>
      </c>
      <c r="F43" s="24" t="inlineStr">
        <is>
          <t>CCG Esports</t>
        </is>
      </c>
      <c r="G43" s="24" t="inlineStr">
        <is>
          <t>University of Mississippi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0.513946</v>
      </c>
      <c r="P43" s="28" t="n"/>
      <c r="Q43" s="28" t="n">
        <v>-0.005285</v>
      </c>
      <c r="R43" s="26" t="n">
        <v>17</v>
      </c>
      <c r="S43" s="29" t="n">
        <v>0</v>
      </c>
      <c r="T43" s="24" t="inlineStr">
        <is>
          <t>lol-tiered-elo-v4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0</v>
      </c>
      <c r="AD43" s="24" t="inlineStr">
        <is>
          <t>2026-07-30T04:12:45.529764Z</t>
        </is>
      </c>
      <c r="AE43" s="31" t="inlineStr">
        <is>
          <t>Neutral Elo baseline; executable ask 0.5200 (market_slug=aec-lol-miss-ccg-2026-07-29).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CCG Esports</t>
        </is>
      </c>
      <c r="AQ43" s="24" t="inlineStr">
        <is>
          <t>CCG Esports</t>
        </is>
      </c>
      <c r="AR43" s="24" t="inlineStr">
        <is>
          <t>CCG Esports</t>
        </is>
      </c>
      <c r="AS43" s="24" t="inlineStr">
        <is>
          <t>University of Mississippi</t>
        </is>
      </c>
      <c r="AT43" s="24" t="inlineStr">
        <is>
          <t>University of Mississippi</t>
        </is>
      </c>
      <c r="AU43" s="24" t="inlineStr">
        <is>
          <t>University of Mississippi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b5db55d44821936562fc7ca695a552e8c5a976b7d669055e90322ae075215cf1</t>
        </is>
      </c>
      <c r="BB43" s="24" t="inlineStr">
        <is>
          <t>neutral_elo</t>
        </is>
      </c>
      <c r="BC43" s="24" t="inlineStr">
        <is>
          <t>lol-tiered-elo-v4</t>
        </is>
      </c>
      <c r="BD43" s="24" t="inlineStr">
        <is>
          <t>b5db55d44821936562fc7ca695a552e8c5a976b7d669055e90322ae075215cf1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lol-tiered-elo-v4</t>
        </is>
      </c>
      <c r="BH43" s="24" t="inlineStr">
        <is>
          <t>2026-07-29T17:47:33.661486Z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c834e23852f14293</t>
        </is>
      </c>
      <c r="B44" s="24" t="inlineStr">
        <is>
          <t>2026-07-29T17:47:53.341995Z</t>
        </is>
      </c>
      <c r="C44" s="24" t="inlineStr">
        <is>
          <t>2026-07-29T21:00:00Z</t>
        </is>
      </c>
      <c r="D44" s="24" t="inlineStr">
        <is>
          <t>63345</t>
        </is>
      </c>
      <c r="E44" s="24" t="inlineStr">
        <is>
          <t>LOL</t>
        </is>
      </c>
      <c r="F44" s="24" t="inlineStr">
        <is>
          <t>Role Swappers</t>
        </is>
      </c>
      <c r="G44" s="24" t="inlineStr">
        <is>
          <t>Panelão LHC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0.563258</v>
      </c>
      <c r="P44" s="28" t="n"/>
      <c r="Q44" s="28" t="n">
        <v>0.024087</v>
      </c>
      <c r="R44" s="26" t="n">
        <v>32</v>
      </c>
      <c r="S44" s="29" t="n">
        <v>0</v>
      </c>
      <c r="T44" s="24" t="inlineStr">
        <is>
          <t>lol-tiered-elo-v4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0</v>
      </c>
      <c r="AD44" s="24" t="inlineStr">
        <is>
          <t>2026-07-30T04:12:46.799415Z</t>
        </is>
      </c>
      <c r="AE44" s="31" t="inlineStr">
        <is>
          <t>Neutral Elo baseline; executable ask 0.5400 (market_slug=aec-lol-pane-role-2026-07-29).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Role Swappers</t>
        </is>
      </c>
      <c r="AQ44" s="24" t="inlineStr">
        <is>
          <t>Role Swappers</t>
        </is>
      </c>
      <c r="AR44" s="24" t="inlineStr">
        <is>
          <t>Role Swappers</t>
        </is>
      </c>
      <c r="AS44" s="24" t="inlineStr">
        <is>
          <t>Panelão LHC</t>
        </is>
      </c>
      <c r="AT44" s="24" t="inlineStr">
        <is>
          <t>Panelão LHC</t>
        </is>
      </c>
      <c r="AU44" s="24" t="inlineStr">
        <is>
          <t>Panelão LHC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b5db55d44821936562fc7ca695a552e8c5a976b7d669055e90322ae075215cf1</t>
        </is>
      </c>
      <c r="BB44" s="24" t="inlineStr">
        <is>
          <t>neutral_elo</t>
        </is>
      </c>
      <c r="BC44" s="24" t="inlineStr">
        <is>
          <t>lol-tiered-elo-v4</t>
        </is>
      </c>
      <c r="BD44" s="24" t="inlineStr">
        <is>
          <t>b5db55d44821936562fc7ca695a552e8c5a976b7d669055e90322ae075215cf1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lol-tiered-elo-v4</t>
        </is>
      </c>
      <c r="BH44" s="24" t="inlineStr">
        <is>
          <t>2026-07-29T17:47:34.667821Z</t>
        </is>
      </c>
      <c r="BI44" s="24" t="inlineStr">
        <is>
          <t>["same_event","same_team_same_day","same_league_same_day"]</t>
        </is>
      </c>
      <c r="BJ44" s="25" t="n"/>
      <c r="BK44" s="26" t="n">
        <v>-117</v>
      </c>
      <c r="BL44" s="27" t="n">
        <v>1.854701</v>
      </c>
      <c r="BM44" s="28" t="n">
        <v>0.539171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5e493b1f361649b3</t>
        </is>
      </c>
      <c r="B45" s="24" t="inlineStr">
        <is>
          <t>2026-07-29T17:47:53.341995Z</t>
        </is>
      </c>
      <c r="C45" s="24" t="inlineStr">
        <is>
          <t>2026-07-29T22:00:00Z</t>
        </is>
      </c>
      <c r="D45" s="24" t="inlineStr">
        <is>
          <t>63384</t>
        </is>
      </c>
      <c r="E45" s="24" t="inlineStr">
        <is>
          <t>LOL</t>
        </is>
      </c>
      <c r="F45" s="24" t="inlineStr">
        <is>
          <t>7REX</t>
        </is>
      </c>
      <c r="G45" s="24" t="inlineStr">
        <is>
          <t>paiN Gaming Academy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-213</v>
      </c>
      <c r="M45" s="27" t="n">
        <v>1.469484</v>
      </c>
      <c r="N45" s="28" t="n">
        <v>0.680511</v>
      </c>
      <c r="O45" s="28" t="n">
        <v>0.550396</v>
      </c>
      <c r="P45" s="28" t="n"/>
      <c r="Q45" s="28" t="n">
        <v>-0.130115</v>
      </c>
      <c r="R45" s="26" t="n">
        <v>0</v>
      </c>
      <c r="S45" s="29" t="n">
        <v>0</v>
      </c>
      <c r="T45" s="24" t="inlineStr">
        <is>
          <t>lol-tiered-elo-v4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</v>
      </c>
      <c r="AD45" s="24" t="inlineStr">
        <is>
          <t>2026-07-30T04:12:48.067642Z</t>
        </is>
      </c>
      <c r="AE45" s="31" t="inlineStr">
        <is>
          <t>Neutral Elo baseline; executable ask 0.6800 (market_slug=aec-lol-pnga-7rex-2026-07-29).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7REX</t>
        </is>
      </c>
      <c r="AQ45" s="24" t="inlineStr">
        <is>
          <t>7REX</t>
        </is>
      </c>
      <c r="AR45" s="24" t="inlineStr">
        <is>
          <t>7REX</t>
        </is>
      </c>
      <c r="AS45" s="24" t="inlineStr">
        <is>
          <t>paiN Gaming Academy</t>
        </is>
      </c>
      <c r="AT45" s="24" t="inlineStr">
        <is>
          <t>paiN Gaming Academy</t>
        </is>
      </c>
      <c r="AU45" s="24" t="inlineStr">
        <is>
          <t>paiN Gaming Academy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b5db55d44821936562fc7ca695a552e8c5a976b7d669055e90322ae075215cf1</t>
        </is>
      </c>
      <c r="BB45" s="24" t="inlineStr">
        <is>
          <t>neutral_elo</t>
        </is>
      </c>
      <c r="BC45" s="24" t="inlineStr">
        <is>
          <t>lol-tiered-elo-v4</t>
        </is>
      </c>
      <c r="BD45" s="24" t="inlineStr">
        <is>
          <t>b5db55d44821936562fc7ca695a552e8c5a976b7d669055e90322ae075215cf1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lol-tiered-elo-v4</t>
        </is>
      </c>
      <c r="BH45" s="24" t="inlineStr">
        <is>
          <t>2026-07-29T17:47:35.150568Z</t>
        </is>
      </c>
      <c r="BI45" s="24" t="inlineStr">
        <is>
          <t>["same_event","same_team_same_day","same_league_same_day"]</t>
        </is>
      </c>
      <c r="BJ45" s="25" t="n"/>
      <c r="BK45" s="26" t="n">
        <v>-213</v>
      </c>
      <c r="BL45" s="27" t="n">
        <v>1.469484</v>
      </c>
      <c r="BM45" s="28" t="n">
        <v>0.680511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4cbc8f8b86c34bf9</t>
        </is>
      </c>
      <c r="B46" s="24" t="inlineStr">
        <is>
          <t>2026-07-29T17:47:53.341995Z</t>
        </is>
      </c>
      <c r="C46" s="24" t="inlineStr">
        <is>
          <t>2026-07-30T00:00:00Z</t>
        </is>
      </c>
      <c r="D46" s="24" t="inlineStr">
        <is>
          <t>63452</t>
        </is>
      </c>
      <c r="E46" s="24" t="inlineStr">
        <is>
          <t>LOL</t>
        </is>
      </c>
      <c r="F46" s="24" t="inlineStr">
        <is>
          <t>Contingent Esports</t>
        </is>
      </c>
      <c r="G46" s="24" t="inlineStr">
        <is>
          <t>Blue Otter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0.737425</v>
      </c>
      <c r="P46" s="28" t="n"/>
      <c r="Q46" s="28" t="n">
        <v>0.177954</v>
      </c>
      <c r="R46" s="26" t="n">
        <v>100</v>
      </c>
      <c r="S46" s="29" t="n">
        <v>2</v>
      </c>
      <c r="T46" s="24" t="inlineStr">
        <is>
          <t>lol-tiered-elo-v4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1.5748</v>
      </c>
      <c r="AD46" s="24" t="inlineStr">
        <is>
          <t>2026-07-30T04:12:49.235610Z</t>
        </is>
      </c>
      <c r="AE46" s="31" t="inlineStr">
        <is>
          <t>Neutral Elo baseline; executable ask 0.5600 (market_slug=aec-lol-blue-cont-2026-07-30).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Contingent Esports</t>
        </is>
      </c>
      <c r="AQ46" s="24" t="inlineStr">
        <is>
          <t>Contingent Esports</t>
        </is>
      </c>
      <c r="AR46" s="24" t="inlineStr">
        <is>
          <t>Contingent Esports</t>
        </is>
      </c>
      <c r="AS46" s="24" t="inlineStr">
        <is>
          <t>Blue Otter</t>
        </is>
      </c>
      <c r="AT46" s="24" t="inlineStr">
        <is>
          <t>Blue Otter</t>
        </is>
      </c>
      <c r="AU46" s="24" t="inlineStr">
        <is>
          <t>Blue Otter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b5db55d44821936562fc7ca695a552e8c5a976b7d669055e90322ae075215cf1</t>
        </is>
      </c>
      <c r="BB46" s="24" t="inlineStr">
        <is>
          <t>neutral_elo</t>
        </is>
      </c>
      <c r="BC46" s="24" t="inlineStr">
        <is>
          <t>lol-tiered-elo-v4</t>
        </is>
      </c>
      <c r="BD46" s="24" t="inlineStr">
        <is>
          <t>b5db55d44821936562fc7ca695a552e8c5a976b7d669055e90322ae075215cf1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lol-tiered-elo-v4</t>
        </is>
      </c>
      <c r="BH46" s="24" t="inlineStr">
        <is>
          <t>2026-07-29T17:47:36.207024Z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246018f84b204903</t>
        </is>
      </c>
      <c r="B47" s="24" t="inlineStr">
        <is>
          <t>2026-07-30T04:26:04.170318Z</t>
        </is>
      </c>
      <c r="C47" s="24" t="inlineStr">
        <is>
          <t>2026-07-30T05:00:00Z</t>
        </is>
      </c>
      <c r="D47" s="24" t="inlineStr">
        <is>
          <t>63575</t>
        </is>
      </c>
      <c r="E47" s="24" t="inlineStr">
        <is>
          <t>LOL</t>
        </is>
      </c>
      <c r="F47" s="24" t="inlineStr">
        <is>
          <t>Hanwha Life Esports Challengers</t>
        </is>
      </c>
      <c r="G47" s="24" t="inlineStr">
        <is>
          <t>BNK FearX Youth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0.609974</v>
      </c>
      <c r="P47" s="28" t="n"/>
      <c r="Q47" s="28" t="n">
        <v>-0.009797999999999999</v>
      </c>
      <c r="R47" s="26" t="n">
        <v>15</v>
      </c>
      <c r="S47" s="29" t="n">
        <v>0</v>
      </c>
      <c r="T47" s="24" t="inlineStr">
        <is>
          <t>lol-tiered-elo-v4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0</v>
      </c>
      <c r="AD47" s="24" t="inlineStr">
        <is>
          <t>2026-07-30T07:19:38.024176Z</t>
        </is>
      </c>
      <c r="AE47" s="31" t="inlineStr">
        <is>
          <t>Neutral Elo baseline; executable ask 0.6200 (market_slug=aec-lol-foxy-hlec-2026-07-30).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Hanwha Life Esports Challengers</t>
        </is>
      </c>
      <c r="AQ47" s="24" t="inlineStr">
        <is>
          <t>Hanwha Life Esports Challengers</t>
        </is>
      </c>
      <c r="AR47" s="24" t="inlineStr">
        <is>
          <t>Hanwha Life Esports Challengers</t>
        </is>
      </c>
      <c r="AS47" s="24" t="inlineStr">
        <is>
          <t>BNK FearX Youth</t>
        </is>
      </c>
      <c r="AT47" s="24" t="inlineStr">
        <is>
          <t>BNK FearX Youth</t>
        </is>
      </c>
      <c r="AU47" s="24" t="inlineStr">
        <is>
          <t>BNK FearX Youth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dd258a11c5e1b4a7b9b28a6360625dd1d4d1b51714a72019d1b2152e3864f6eb</t>
        </is>
      </c>
      <c r="BB47" s="24" t="inlineStr">
        <is>
          <t>neutral_elo</t>
        </is>
      </c>
      <c r="BC47" s="24" t="inlineStr">
        <is>
          <t>lol-tiered-elo-v4</t>
        </is>
      </c>
      <c r="BD47" s="24" t="inlineStr">
        <is>
          <t>dd258a11c5e1b4a7b9b28a6360625dd1d4d1b51714a72019d1b2152e3864f6eb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lol-tiered-elo-v4</t>
        </is>
      </c>
      <c r="BH47" s="24" t="inlineStr">
        <is>
          <t>2026-07-30T04:25:33.922219Z</t>
        </is>
      </c>
      <c r="BI47" s="24" t="inlineStr">
        <is>
          <t>["same_event","same_team_same_day","same_league_same_day"]</t>
        </is>
      </c>
      <c r="BJ47" s="25" t="n"/>
      <c r="BK47" s="26" t="n">
        <v>-163</v>
      </c>
      <c r="BL47" s="27" t="n">
        <v>1.613497</v>
      </c>
      <c r="BM47" s="28" t="n">
        <v>0.619772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db69d27ae5114665</t>
        </is>
      </c>
      <c r="B48" s="24" t="inlineStr">
        <is>
          <t>2026-07-30T04:26:04.170318Z</t>
        </is>
      </c>
      <c r="C48" s="24" t="inlineStr">
        <is>
          <t>2026-07-30T05:00:00Z</t>
        </is>
      </c>
      <c r="D48" s="24" t="inlineStr">
        <is>
          <t>63576</t>
        </is>
      </c>
      <c r="E48" s="24" t="inlineStr">
        <is>
          <t>LOL</t>
        </is>
      </c>
      <c r="F48" s="24" t="inlineStr">
        <is>
          <t>T1 Academy</t>
        </is>
      </c>
      <c r="G48" s="24" t="inlineStr">
        <is>
          <t>Dplus KIA Challengers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194</v>
      </c>
      <c r="M48" s="27" t="n">
        <v>2.94</v>
      </c>
      <c r="N48" s="28" t="n">
        <v>0.340136</v>
      </c>
      <c r="O48" s="28" t="n">
        <v>0.620602</v>
      </c>
      <c r="P48" s="28" t="n"/>
      <c r="Q48" s="28" t="n">
        <v>0.280466</v>
      </c>
      <c r="R48" s="26" t="n">
        <v>100</v>
      </c>
      <c r="S48" s="29" t="n">
        <v>1.75</v>
      </c>
      <c r="T48" s="24" t="inlineStr">
        <is>
          <t>lol-tiered-elo-v4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3.395</v>
      </c>
      <c r="AD48" s="24" t="inlineStr">
        <is>
          <t>2026-07-30T10:25:02.585101Z</t>
        </is>
      </c>
      <c r="AE48" s="31" t="inlineStr">
        <is>
          <t>Neutral Elo baseline; executable ask 0.3400 (market_slug=aec-lol-dkc-t1a-2026-07-30).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T1 Academy</t>
        </is>
      </c>
      <c r="AQ48" s="24" t="inlineStr">
        <is>
          <t>T1 Academy</t>
        </is>
      </c>
      <c r="AR48" s="24" t="inlineStr">
        <is>
          <t>T1 Academy</t>
        </is>
      </c>
      <c r="AS48" s="24" t="inlineStr">
        <is>
          <t>Dplus KIA Challengers</t>
        </is>
      </c>
      <c r="AT48" s="24" t="inlineStr">
        <is>
          <t>Dplus KIA Challengers</t>
        </is>
      </c>
      <c r="AU48" s="24" t="inlineStr">
        <is>
          <t>Dplus KIA Challengers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dd258a11c5e1b4a7b9b28a6360625dd1d4d1b51714a72019d1b2152e3864f6eb</t>
        </is>
      </c>
      <c r="BB48" s="24" t="inlineStr">
        <is>
          <t>neutral_elo</t>
        </is>
      </c>
      <c r="BC48" s="24" t="inlineStr">
        <is>
          <t>lol-tiered-elo-v4</t>
        </is>
      </c>
      <c r="BD48" s="24" t="inlineStr">
        <is>
          <t>dd258a11c5e1b4a7b9b28a6360625dd1d4d1b51714a72019d1b2152e3864f6eb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lol-tiered-elo-v4</t>
        </is>
      </c>
      <c r="BH48" s="24" t="inlineStr">
        <is>
          <t>2026-07-30T04:25:34.617720Z</t>
        </is>
      </c>
      <c r="BI48" s="24" t="inlineStr">
        <is>
          <t>["same_event","same_team_same_day","same_league_same_day"]</t>
        </is>
      </c>
      <c r="BJ48" s="25" t="n"/>
      <c r="BK48" s="26" t="n">
        <v>194</v>
      </c>
      <c r="BL48" s="27" t="n">
        <v>2.94</v>
      </c>
      <c r="BM48" s="28" t="n">
        <v>0.340136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2390d78955cb4994</t>
        </is>
      </c>
      <c r="B49" s="24" t="inlineStr">
        <is>
          <t>2026-07-30T05:45:28.536407Z</t>
        </is>
      </c>
      <c r="C49" s="24" t="inlineStr">
        <is>
          <t>2026-07-30T07:00:00Z</t>
        </is>
      </c>
      <c r="D49" s="24" t="inlineStr">
        <is>
          <t>63594</t>
        </is>
      </c>
      <c r="E49" s="24" t="inlineStr">
        <is>
          <t>LOL</t>
        </is>
      </c>
      <c r="F49" s="24" t="inlineStr">
        <is>
          <t>Weibo Gaming</t>
        </is>
      </c>
      <c r="G49" s="24" t="inlineStr">
        <is>
          <t>Ninjas in Pyjamas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150</v>
      </c>
      <c r="M49" s="27" t="n">
        <v>2.5</v>
      </c>
      <c r="N49" s="28" t="n">
        <v>0.4</v>
      </c>
      <c r="O49" s="28" t="n">
        <v>0.557132</v>
      </c>
      <c r="P49" s="28" t="n"/>
      <c r="Q49" s="28" t="n">
        <v>0.157132</v>
      </c>
      <c r="R49" s="26" t="n">
        <v>99</v>
      </c>
      <c r="S49" s="29" t="n">
        <v>1</v>
      </c>
      <c r="T49" s="24" t="inlineStr">
        <is>
          <t>lol-tiered-elo-v4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1.5</v>
      </c>
      <c r="AD49" s="24" t="inlineStr">
        <is>
          <t>2026-07-30T10:25:03.909938Z</t>
        </is>
      </c>
      <c r="AE49" s="31" t="inlineStr">
        <is>
          <t>Neutral Elo baseline; executable ask 0.4000 (market_slug=aec-lol-nip-wb-2026-07-30).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Weibo Gaming</t>
        </is>
      </c>
      <c r="AQ49" s="24" t="inlineStr">
        <is>
          <t>Weibo Gaming</t>
        </is>
      </c>
      <c r="AR49" s="24" t="inlineStr">
        <is>
          <t>Weibo Gaming</t>
        </is>
      </c>
      <c r="AS49" s="24" t="inlineStr">
        <is>
          <t>Ninjas in Pyjamas</t>
        </is>
      </c>
      <c r="AT49" s="24" t="inlineStr">
        <is>
          <t>Ninjas in Pyjamas</t>
        </is>
      </c>
      <c r="AU49" s="24" t="inlineStr">
        <is>
          <t>Ninjas in Pyjamas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4e04b49a5e708505d40da3e5240519971478fdddb80c40794b621c5f354963b6</t>
        </is>
      </c>
      <c r="BB49" s="24" t="inlineStr">
        <is>
          <t>neutral_elo</t>
        </is>
      </c>
      <c r="BC49" s="24" t="inlineStr">
        <is>
          <t>lol-tiered-elo-v4</t>
        </is>
      </c>
      <c r="BD49" s="24" t="inlineStr">
        <is>
          <t>4e04b49a5e708505d40da3e5240519971478fdddb80c40794b621c5f354963b6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lol-tiered-elo-v4</t>
        </is>
      </c>
      <c r="BH49" s="24" t="inlineStr">
        <is>
          <t>2026-07-30T05:45:06.490478Z</t>
        </is>
      </c>
      <c r="BI49" s="24" t="inlineStr">
        <is>
          <t>["same_event","same_team_same_day","same_league_same_day"]</t>
        </is>
      </c>
      <c r="BJ49" s="25" t="n"/>
      <c r="BK49" s="26" t="n">
        <v>150</v>
      </c>
      <c r="BL49" s="27" t="n">
        <v>2.5</v>
      </c>
      <c r="BM49" s="28" t="n">
        <v>0.4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27073200730d4779</t>
        </is>
      </c>
      <c r="B50" s="24" t="inlineStr">
        <is>
          <t>2026-07-30T07:23:43.318923Z</t>
        </is>
      </c>
      <c r="C50" s="24" t="inlineStr">
        <is>
          <t>2026-07-30T09:00:00Z</t>
        </is>
      </c>
      <c r="D50" s="24" t="inlineStr">
        <is>
          <t>63636</t>
        </is>
      </c>
      <c r="E50" s="24" t="inlineStr">
        <is>
          <t>LOL</t>
        </is>
      </c>
      <c r="F50" s="24" t="inlineStr">
        <is>
          <t>Team WE</t>
        </is>
      </c>
      <c r="G50" s="24" t="inlineStr">
        <is>
          <t>EDward Gaming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-223</v>
      </c>
      <c r="M50" s="27" t="n">
        <v>1.44843</v>
      </c>
      <c r="N50" s="28" t="n">
        <v>0.690402</v>
      </c>
      <c r="O50" s="28" t="n">
        <v>0.745706</v>
      </c>
      <c r="P50" s="28" t="n"/>
      <c r="Q50" s="28" t="n">
        <v>0.055304</v>
      </c>
      <c r="R50" s="26" t="n">
        <v>48</v>
      </c>
      <c r="S50" s="29" t="n">
        <v>2</v>
      </c>
      <c r="T50" s="24" t="inlineStr">
        <is>
          <t>lol-tiered-elo-v4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/>
      <c r="AA50" s="28" t="n"/>
      <c r="AB50" s="28" t="n"/>
      <c r="AC50" s="30" t="n">
        <v>0.8969</v>
      </c>
      <c r="AD50" s="24" t="inlineStr">
        <is>
          <t>2026-07-30T13:30:50.997253Z</t>
        </is>
      </c>
      <c r="AE50" s="31" t="inlineStr">
        <is>
          <t>Neutral Elo baseline; executable ask 0.6900 (market_slug=aec-lol-edg-we-2026-07-30).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Team WE</t>
        </is>
      </c>
      <c r="AQ50" s="24" t="inlineStr">
        <is>
          <t>Team WE</t>
        </is>
      </c>
      <c r="AR50" s="24" t="inlineStr">
        <is>
          <t>Team WE</t>
        </is>
      </c>
      <c r="AS50" s="24" t="inlineStr">
        <is>
          <t>EDward Gaming</t>
        </is>
      </c>
      <c r="AT50" s="24" t="inlineStr">
        <is>
          <t>EDward Gaming</t>
        </is>
      </c>
      <c r="AU50" s="24" t="inlineStr">
        <is>
          <t>EDward Gaming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fc2ebfbbf3351a7d46eae71e144de048639f781bbcee83d0ea7ab1b24a6f8efd</t>
        </is>
      </c>
      <c r="BB50" s="24" t="inlineStr">
        <is>
          <t>neutral_elo</t>
        </is>
      </c>
      <c r="BC50" s="24" t="inlineStr">
        <is>
          <t>lol-tiered-elo-v4</t>
        </is>
      </c>
      <c r="BD50" s="24" t="inlineStr">
        <is>
          <t>fc2ebfbbf3351a7d46eae71e144de048639f781bbcee83d0ea7ab1b24a6f8efd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lol-tiered-elo-v4</t>
        </is>
      </c>
      <c r="BH50" s="24" t="inlineStr">
        <is>
          <t>2026-07-30T07:23:22.365823Z</t>
        </is>
      </c>
      <c r="BI50" s="24" t="inlineStr">
        <is>
          <t>["same_event","same_team_same_day","same_league_same_day"]</t>
        </is>
      </c>
      <c r="BJ50" s="25" t="n"/>
      <c r="BK50" s="26" t="n">
        <v>-223</v>
      </c>
      <c r="BL50" s="27" t="n">
        <v>1.44843</v>
      </c>
      <c r="BM50" s="28" t="n">
        <v>0.690402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351513969c10447b</t>
        </is>
      </c>
      <c r="B51" s="24" t="inlineStr">
        <is>
          <t>2026-07-30T07:23:43.318923Z</t>
        </is>
      </c>
      <c r="C51" s="24" t="inlineStr">
        <is>
          <t>2026-07-30T10:00:00Z</t>
        </is>
      </c>
      <c r="D51" s="24" t="inlineStr">
        <is>
          <t>63665</t>
        </is>
      </c>
      <c r="E51" s="24" t="inlineStr">
        <is>
          <t>LOL</t>
        </is>
      </c>
      <c r="F51" s="24" t="inlineStr">
        <is>
          <t>Dplus KIA</t>
        </is>
      </c>
      <c r="G51" s="24" t="inlineStr">
        <is>
          <t>Hanwha Life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-213</v>
      </c>
      <c r="M51" s="27" t="n">
        <v>1.469484</v>
      </c>
      <c r="N51" s="28" t="n">
        <v>0.680511</v>
      </c>
      <c r="O51" s="28" t="n">
        <v>0.788986</v>
      </c>
      <c r="P51" s="28" t="n"/>
      <c r="Q51" s="28" t="n">
        <v>0.108475</v>
      </c>
      <c r="R51" s="26" t="n">
        <v>74</v>
      </c>
      <c r="S51" s="29" t="n">
        <v>2</v>
      </c>
      <c r="T51" s="24" t="inlineStr">
        <is>
          <t>lol-tiered-elo-v4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-2</v>
      </c>
      <c r="AD51" s="24" t="inlineStr">
        <is>
          <t>2026-07-30T13:30:52.260798Z</t>
        </is>
      </c>
      <c r="AE51" s="31" t="inlineStr">
        <is>
          <t>Neutral Elo baseline; executable ask 0.6800 (market_slug=aec-lol-hle-dk-2026-07-30).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Dplus KIA</t>
        </is>
      </c>
      <c r="AQ51" s="24" t="inlineStr">
        <is>
          <t>Dplus KIA</t>
        </is>
      </c>
      <c r="AR51" s="24" t="inlineStr">
        <is>
          <t>Dplus KIA</t>
        </is>
      </c>
      <c r="AS51" s="24" t="inlineStr">
        <is>
          <t>Hanwha Life Esports</t>
        </is>
      </c>
      <c r="AT51" s="24" t="inlineStr">
        <is>
          <t>Hanwha Life Esports</t>
        </is>
      </c>
      <c r="AU51" s="24" t="inlineStr">
        <is>
          <t>Hanwha Life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fc2ebfbbf3351a7d46eae71e144de048639f781bbcee83d0ea7ab1b24a6f8efd</t>
        </is>
      </c>
      <c r="BB51" s="24" t="inlineStr">
        <is>
          <t>neutral_elo</t>
        </is>
      </c>
      <c r="BC51" s="24" t="inlineStr">
        <is>
          <t>lol-tiered-elo-v4</t>
        </is>
      </c>
      <c r="BD51" s="24" t="inlineStr">
        <is>
          <t>fc2ebfbbf3351a7d46eae71e144de048639f781bbcee83d0ea7ab1b24a6f8efd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lol-tiered-elo-v4</t>
        </is>
      </c>
      <c r="BH51" s="24" t="inlineStr">
        <is>
          <t>2026-07-30T07:23:22.907284Z</t>
        </is>
      </c>
      <c r="BI51" s="24" t="inlineStr">
        <is>
          <t>["same_event","same_team_same_day","same_league_same_day"]</t>
        </is>
      </c>
      <c r="BJ51" s="25" t="n"/>
      <c r="BK51" s="26" t="n">
        <v>-213</v>
      </c>
      <c r="BL51" s="27" t="n">
        <v>1.469484</v>
      </c>
      <c r="BM51" s="28" t="n">
        <v>0.680511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3c0f8d885056450f</t>
        </is>
      </c>
      <c r="B52" s="24" t="inlineStr">
        <is>
          <t>2026-07-30T10:29:26.201466Z</t>
        </is>
      </c>
      <c r="C52" s="24" t="inlineStr">
        <is>
          <t>2026-07-30T11:00:00Z</t>
        </is>
      </c>
      <c r="D52" s="24" t="inlineStr">
        <is>
          <t>63668</t>
        </is>
      </c>
      <c r="E52" s="24" t="inlineStr">
        <is>
          <t>LOL</t>
        </is>
      </c>
      <c r="F52" s="24" t="inlineStr">
        <is>
          <t>JD Gaming</t>
        </is>
      </c>
      <c r="G52" s="24" t="inlineStr">
        <is>
          <t>ThunderTalk Gaming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-233</v>
      </c>
      <c r="M52" s="27" t="n">
        <v>1.429185</v>
      </c>
      <c r="N52" s="28" t="n">
        <v>0.6997</v>
      </c>
      <c r="O52" s="28" t="n">
        <v>0.623094</v>
      </c>
      <c r="P52" s="28" t="n"/>
      <c r="Q52" s="28" t="n">
        <v>-0.07660599999999999</v>
      </c>
      <c r="R52" s="26" t="n">
        <v>0</v>
      </c>
      <c r="S52" s="29" t="n">
        <v>0</v>
      </c>
      <c r="T52" s="24" t="inlineStr">
        <is>
          <t>lol-tiered-elo-v4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2026-07-30T16:01:02.230485Z</t>
        </is>
      </c>
      <c r="AE52" s="31" t="inlineStr">
        <is>
          <t>Neutral Elo baseline; executable ask 0.7000 (market_slug=aec-lol-tt-jdg-2026-07-30).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JD Gaming</t>
        </is>
      </c>
      <c r="AQ52" s="24" t="inlineStr">
        <is>
          <t>JD Gaming</t>
        </is>
      </c>
      <c r="AR52" s="24" t="inlineStr">
        <is>
          <t>JD Gaming</t>
        </is>
      </c>
      <c r="AS52" s="24" t="inlineStr">
        <is>
          <t>ThunderTalk Gaming</t>
        </is>
      </c>
      <c r="AT52" s="24" t="inlineStr">
        <is>
          <t>ThunderTalk Gaming</t>
        </is>
      </c>
      <c r="AU52" s="24" t="inlineStr">
        <is>
          <t>ThunderTalk Gaming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160884e17ed0c7e2353eb0ed6b24b9b03746b373f0995082440995ff831cb624</t>
        </is>
      </c>
      <c r="BB52" s="24" t="inlineStr">
        <is>
          <t>neutral_elo</t>
        </is>
      </c>
      <c r="BC52" s="24" t="inlineStr">
        <is>
          <t>lol-tiered-elo-v4</t>
        </is>
      </c>
      <c r="BD52" s="24" t="inlineStr">
        <is>
          <t>160884e17ed0c7e2353eb0ed6b24b9b03746b373f0995082440995ff831cb624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lol-tiered-elo-v4</t>
        </is>
      </c>
      <c r="BH52" s="24" t="inlineStr">
        <is>
          <t>2026-07-30T10:29:06.016925Z</t>
        </is>
      </c>
      <c r="BI52" s="24" t="inlineStr">
        <is>
          <t>["same_event","same_team_same_day","same_league_same_day"]</t>
        </is>
      </c>
      <c r="BJ52" s="25" t="n"/>
      <c r="BK52" s="26" t="n">
        <v>-233</v>
      </c>
      <c r="BL52" s="27" t="n">
        <v>1.429185</v>
      </c>
      <c r="BM52" s="28" t="n">
        <v>0.6997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f1e3c362364e4436</t>
        </is>
      </c>
      <c r="B53" s="24" t="inlineStr">
        <is>
          <t>2026-07-30T13:35:19.313009Z</t>
        </is>
      </c>
      <c r="C53" s="24" t="inlineStr">
        <is>
          <t>2026-07-30T16:00:00Z</t>
        </is>
      </c>
      <c r="D53" s="24" t="inlineStr">
        <is>
          <t>63849</t>
        </is>
      </c>
      <c r="E53" s="24" t="inlineStr">
        <is>
          <t>LOL</t>
        </is>
      </c>
      <c r="F53" s="24" t="inlineStr">
        <is>
          <t>Ici Japon Corp. Esport</t>
        </is>
      </c>
      <c r="G53" s="24" t="inlineStr">
        <is>
          <t>Karmine Corp Blue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-194</v>
      </c>
      <c r="M53" s="27" t="n">
        <v>1.515464</v>
      </c>
      <c r="N53" s="28" t="n">
        <v>0.659864</v>
      </c>
      <c r="O53" s="28" t="n">
        <v>0.759185</v>
      </c>
      <c r="P53" s="28" t="n"/>
      <c r="Q53" s="28" t="n">
        <v>0.09932100000000001</v>
      </c>
      <c r="R53" s="26" t="n">
        <v>70</v>
      </c>
      <c r="S53" s="29" t="n">
        <v>2</v>
      </c>
      <c r="T53" s="24" t="inlineStr">
        <is>
          <t>lol-tiered-elo-v4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0.6600 (market_slug=aec-lol-kcb-ijc-2026-07-30).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Ici Japon Corp. Esport</t>
        </is>
      </c>
      <c r="AQ53" s="24" t="inlineStr">
        <is>
          <t>Ici Japon Corp. Esport</t>
        </is>
      </c>
      <c r="AR53" s="24" t="inlineStr">
        <is>
          <t>Ici Japon Corp. Esport</t>
        </is>
      </c>
      <c r="AS53" s="24" t="inlineStr">
        <is>
          <t>Karmine Corp Blue</t>
        </is>
      </c>
      <c r="AT53" s="24" t="inlineStr">
        <is>
          <t>Karmine Corp Blue</t>
        </is>
      </c>
      <c r="AU53" s="24" t="inlineStr">
        <is>
          <t>Karmine Corp Blue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f9717f767414f329842e741e7cbf2e7aa4999416b847989d6f05bb0e123a02fe</t>
        </is>
      </c>
      <c r="BB53" s="24" t="inlineStr">
        <is>
          <t>neutral_elo</t>
        </is>
      </c>
      <c r="BC53" s="24" t="inlineStr">
        <is>
          <t>lol-tiered-elo-v4</t>
        </is>
      </c>
      <c r="BD53" s="24" t="inlineStr">
        <is>
          <t>f9717f767414f329842e741e7cbf2e7aa4999416b847989d6f05bb0e123a02fe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lol-tiered-elo-v4</t>
        </is>
      </c>
      <c r="BH53" s="24" t="inlineStr">
        <is>
          <t>2026-07-30T13:35:02.282138Z</t>
        </is>
      </c>
      <c r="BI53" s="24" t="inlineStr">
        <is>
          <t>["same_event","same_team_same_day","same_league_same_day"]</t>
        </is>
      </c>
      <c r="BJ53" s="25" t="n"/>
      <c r="BK53" s="26" t="n">
        <v>-194</v>
      </c>
      <c r="BL53" s="27" t="n">
        <v>1.515464</v>
      </c>
      <c r="BM53" s="28" t="n">
        <v>0.659864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6dc6f386fefe418f</t>
        </is>
      </c>
      <c r="B54" s="24" t="inlineStr">
        <is>
          <t>2026-07-30T16:55:15.542075Z</t>
        </is>
      </c>
      <c r="C54" s="24" t="inlineStr">
        <is>
          <t>2026-07-30T17:30:00Z</t>
        </is>
      </c>
      <c r="D54" s="24" t="inlineStr">
        <is>
          <t>64797</t>
        </is>
      </c>
      <c r="E54" s="24" t="inlineStr">
        <is>
          <t>LOL</t>
        </is>
      </c>
      <c r="F54" s="24" t="inlineStr">
        <is>
          <t>Bushido Wildcats</t>
        </is>
      </c>
      <c r="G54" s="24" t="inlineStr">
        <is>
          <t>SU Esports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-113</v>
      </c>
      <c r="M54" s="27" t="n">
        <v>1.884956</v>
      </c>
      <c r="N54" s="28" t="n">
        <v>0.530516</v>
      </c>
      <c r="O54" s="28" t="n">
        <v>0.652006</v>
      </c>
      <c r="P54" s="28" t="n"/>
      <c r="Q54" s="28" t="n">
        <v>0.12149</v>
      </c>
      <c r="R54" s="26" t="n">
        <v>81</v>
      </c>
      <c r="S54" s="29" t="n">
        <v>2</v>
      </c>
      <c r="T54" s="24" t="inlineStr">
        <is>
          <t>lol-tiered-elo-v4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0.5300 (market_slug=aec-lol-su-bw-2026-07-30).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Bushido Wildcats</t>
        </is>
      </c>
      <c r="AQ54" s="24" t="inlineStr">
        <is>
          <t>Bushido Wildcats</t>
        </is>
      </c>
      <c r="AR54" s="24" t="inlineStr">
        <is>
          <t>Bushido Wildcats</t>
        </is>
      </c>
      <c r="AS54" s="24" t="inlineStr">
        <is>
          <t>SU Esports</t>
        </is>
      </c>
      <c r="AT54" s="24" t="inlineStr">
        <is>
          <t>SU Esports</t>
        </is>
      </c>
      <c r="AU54" s="24" t="inlineStr">
        <is>
          <t>SU Esports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07b3050cc9bbacd4be4727de162f5af11b42125fe9fd5291f7a8fe3fbcb97dc5</t>
        </is>
      </c>
      <c r="BB54" s="24" t="inlineStr">
        <is>
          <t>neutral_elo</t>
        </is>
      </c>
      <c r="BC54" s="24" t="inlineStr">
        <is>
          <t>lol-tiered-elo-v4</t>
        </is>
      </c>
      <c r="BD54" s="24" t="inlineStr">
        <is>
          <t>07b3050cc9bbacd4be4727de162f5af11b42125fe9fd5291f7a8fe3fbcb97dc5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lol-tiered-elo-v4</t>
        </is>
      </c>
      <c r="BH54" s="24" t="inlineStr">
        <is>
          <t>2026-07-30T16:55:02.795116Z</t>
        </is>
      </c>
      <c r="BI54" s="24" t="inlineStr">
        <is>
          <t>["same_event","same_team_same_day","same_league_same_day"]</t>
        </is>
      </c>
      <c r="BJ54" s="25" t="n"/>
      <c r="BK54" s="26" t="n">
        <v>-113</v>
      </c>
      <c r="BL54" s="27" t="n">
        <v>1.884956</v>
      </c>
      <c r="BM54" s="28" t="n">
        <v>0.530516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8a323cb0474b40cb</t>
        </is>
      </c>
      <c r="B55" s="24" t="inlineStr">
        <is>
          <t>2026-07-30T16:55:15.542075Z</t>
        </is>
      </c>
      <c r="C55" s="24" t="inlineStr">
        <is>
          <t>2026-07-30T18:00:00Z</t>
        </is>
      </c>
      <c r="D55" s="24" t="inlineStr">
        <is>
          <t>64019</t>
        </is>
      </c>
      <c r="E55" s="24" t="inlineStr">
        <is>
          <t>LOL</t>
        </is>
      </c>
      <c r="F55" s="24" t="inlineStr">
        <is>
          <t>Senshi Esports</t>
        </is>
      </c>
      <c r="G55" s="24" t="inlineStr">
        <is>
          <t>mCon esports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-127</v>
      </c>
      <c r="M55" s="27" t="n">
        <v>1.787402</v>
      </c>
      <c r="N55" s="28" t="n">
        <v>0.5594710000000001</v>
      </c>
      <c r="O55" s="28" t="n">
        <v>0.740872</v>
      </c>
      <c r="P55" s="28" t="n"/>
      <c r="Q55" s="28" t="n">
        <v>0.181401</v>
      </c>
      <c r="R55" s="26" t="n">
        <v>100</v>
      </c>
      <c r="S55" s="29" t="n">
        <v>2</v>
      </c>
      <c r="T55" s="24" t="inlineStr">
        <is>
          <t>lol-tiered-elo-v4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0.5600 (market_slug=aec-lol-mcn-sec-2026-07-30).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Senshi Esports</t>
        </is>
      </c>
      <c r="AQ55" s="24" t="inlineStr">
        <is>
          <t>Senshi Esports</t>
        </is>
      </c>
      <c r="AR55" s="24" t="inlineStr">
        <is>
          <t>Senshi Esports</t>
        </is>
      </c>
      <c r="AS55" s="24" t="inlineStr">
        <is>
          <t>mCon esports</t>
        </is>
      </c>
      <c r="AT55" s="24" t="inlineStr">
        <is>
          <t>mCon esports</t>
        </is>
      </c>
      <c r="AU55" s="24" t="inlineStr">
        <is>
          <t>mCon esports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07b3050cc9bbacd4be4727de162f5af11b42125fe9fd5291f7a8fe3fbcb97dc5</t>
        </is>
      </c>
      <c r="BB55" s="24" t="inlineStr">
        <is>
          <t>neutral_elo</t>
        </is>
      </c>
      <c r="BC55" s="24" t="inlineStr">
        <is>
          <t>lol-tiered-elo-v4</t>
        </is>
      </c>
      <c r="BD55" s="24" t="inlineStr">
        <is>
          <t>07b3050cc9bbacd4be4727de162f5af11b42125fe9fd5291f7a8fe3fbcb97dc5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lol-tiered-elo-v4</t>
        </is>
      </c>
      <c r="BH55" s="24" t="inlineStr">
        <is>
          <t>2026-07-30T16:55:03.290679Z</t>
        </is>
      </c>
      <c r="BI55" s="24" t="inlineStr">
        <is>
          <t>["same_event","same_team_same_day","same_league_same_day"]</t>
        </is>
      </c>
      <c r="BJ55" s="25" t="n"/>
      <c r="BK55" s="26" t="n">
        <v>-127</v>
      </c>
      <c r="BL55" s="27" t="n">
        <v>1.787402</v>
      </c>
      <c r="BM55" s="28" t="n">
        <v>0.5594710000000001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aacc774d843744cd</t>
        </is>
      </c>
      <c r="B56" s="24" t="inlineStr">
        <is>
          <t>2026-07-30T16:55:15.542075Z</t>
        </is>
      </c>
      <c r="C56" s="24" t="inlineStr">
        <is>
          <t>2026-07-30T18:00:00Z</t>
        </is>
      </c>
      <c r="D56" s="24" t="inlineStr">
        <is>
          <t>64017</t>
        </is>
      </c>
      <c r="E56" s="24" t="inlineStr">
        <is>
          <t>LOL</t>
        </is>
      </c>
      <c r="F56" s="24" t="inlineStr">
        <is>
          <t>Skillcamp Esport</t>
        </is>
      </c>
      <c r="G56" s="24" t="inlineStr">
        <is>
          <t>Joblife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-213</v>
      </c>
      <c r="M56" s="27" t="n">
        <v>1.469484</v>
      </c>
      <c r="N56" s="28" t="n">
        <v>0.680511</v>
      </c>
      <c r="O56" s="28" t="n">
        <v>0.565313</v>
      </c>
      <c r="P56" s="28" t="n"/>
      <c r="Q56" s="28" t="n">
        <v>-0.115198</v>
      </c>
      <c r="R56" s="26" t="n">
        <v>0</v>
      </c>
      <c r="S56" s="29" t="n">
        <v>0</v>
      </c>
      <c r="T56" s="24" t="inlineStr">
        <is>
          <t>lol-tiered-elo-v4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0.6800 (market_slug=aec-lol-jl-sc-2026-07-30).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Skillcamp Esport</t>
        </is>
      </c>
      <c r="AQ56" s="24" t="inlineStr">
        <is>
          <t>Skillcamp Esport</t>
        </is>
      </c>
      <c r="AR56" s="24" t="inlineStr">
        <is>
          <t>Skillcamp Esport</t>
        </is>
      </c>
      <c r="AS56" s="24" t="inlineStr">
        <is>
          <t>Joblife</t>
        </is>
      </c>
      <c r="AT56" s="24" t="inlineStr">
        <is>
          <t>Joblife</t>
        </is>
      </c>
      <c r="AU56" s="24" t="inlineStr">
        <is>
          <t>Joblife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07b3050cc9bbacd4be4727de162f5af11b42125fe9fd5291f7a8fe3fbcb97dc5</t>
        </is>
      </c>
      <c r="BB56" s="24" t="inlineStr">
        <is>
          <t>neutral_elo</t>
        </is>
      </c>
      <c r="BC56" s="24" t="inlineStr">
        <is>
          <t>lol-tiered-elo-v4</t>
        </is>
      </c>
      <c r="BD56" s="24" t="inlineStr">
        <is>
          <t>07b3050cc9bbacd4be4727de162f5af11b42125fe9fd5291f7a8fe3fbcb97dc5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lol-tiered-elo-v4</t>
        </is>
      </c>
      <c r="BH56" s="24" t="inlineStr">
        <is>
          <t>2026-07-30T16:55:03.764482Z</t>
        </is>
      </c>
      <c r="BI56" s="24" t="inlineStr">
        <is>
          <t>["same_event","same_team_same_day","same_league_same_day"]</t>
        </is>
      </c>
      <c r="BJ56" s="25" t="n"/>
      <c r="BK56" s="26" t="n">
        <v>-213</v>
      </c>
      <c r="BL56" s="27" t="n">
        <v>1.469484</v>
      </c>
      <c r="BM56" s="28" t="n">
        <v>0.680511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7c4abb829f5f4d50</t>
        </is>
      </c>
      <c r="B57" s="24" t="inlineStr">
        <is>
          <t>2026-07-30T16:55:15.542075Z</t>
        </is>
      </c>
      <c r="C57" s="24" t="inlineStr">
        <is>
          <t>2026-07-30T18:30:00Z</t>
        </is>
      </c>
      <c r="D57" s="24" t="inlineStr">
        <is>
          <t>64075</t>
        </is>
      </c>
      <c r="E57" s="24" t="inlineStr">
        <is>
          <t>LOL</t>
        </is>
      </c>
      <c r="F57" s="24" t="inlineStr">
        <is>
          <t>JSK Esports</t>
        </is>
      </c>
      <c r="G57" s="24" t="inlineStr">
        <is>
          <t>GnG Amazigh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-122</v>
      </c>
      <c r="M57" s="27" t="n">
        <v>1.819672</v>
      </c>
      <c r="N57" s="28" t="n">
        <v>0.54955</v>
      </c>
      <c r="O57" s="28" t="n">
        <v>0.651531</v>
      </c>
      <c r="P57" s="28" t="n"/>
      <c r="Q57" s="28" t="n">
        <v>0.101981</v>
      </c>
      <c r="R57" s="26" t="n">
        <v>71</v>
      </c>
      <c r="S57" s="29" t="n">
        <v>2</v>
      </c>
      <c r="T57" s="24" t="inlineStr">
        <is>
          <t>lol-tiered-elo-v4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0.5500 (market_slug=aec-lol-gng-jsk-2026-07-30).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JSK Esports</t>
        </is>
      </c>
      <c r="AQ57" s="24" t="inlineStr">
        <is>
          <t>JSK Esports</t>
        </is>
      </c>
      <c r="AR57" s="24" t="inlineStr">
        <is>
          <t>JSK Esports</t>
        </is>
      </c>
      <c r="AS57" s="24" t="inlineStr">
        <is>
          <t>GnG Amazigh</t>
        </is>
      </c>
      <c r="AT57" s="24" t="inlineStr">
        <is>
          <t>GnG Amazigh</t>
        </is>
      </c>
      <c r="AU57" s="24" t="inlineStr">
        <is>
          <t>GnG Amazigh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07b3050cc9bbacd4be4727de162f5af11b42125fe9fd5291f7a8fe3fbcb97dc5</t>
        </is>
      </c>
      <c r="BB57" s="24" t="inlineStr">
        <is>
          <t>neutral_elo</t>
        </is>
      </c>
      <c r="BC57" s="24" t="inlineStr">
        <is>
          <t>lol-tiered-elo-v4</t>
        </is>
      </c>
      <c r="BD57" s="24" t="inlineStr">
        <is>
          <t>07b3050cc9bbacd4be4727de162f5af11b42125fe9fd5291f7a8fe3fbcb97dc5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lol-tiered-elo-v4</t>
        </is>
      </c>
      <c r="BH57" s="24" t="inlineStr">
        <is>
          <t>2026-07-30T16:55:04.718508Z</t>
        </is>
      </c>
      <c r="BI57" s="24" t="inlineStr">
        <is>
          <t>["same_event","same_team_same_day","same_league_same_day"]</t>
        </is>
      </c>
      <c r="BJ57" s="25" t="n"/>
      <c r="BK57" s="26" t="n">
        <v>-122</v>
      </c>
      <c r="BL57" s="27" t="n">
        <v>1.819672</v>
      </c>
      <c r="BM57" s="28" t="n">
        <v>0.54955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743db394bd0f4273</t>
        </is>
      </c>
      <c r="B58" s="24" t="inlineStr">
        <is>
          <t>2026-07-30T16:55:15.542075Z</t>
        </is>
      </c>
      <c r="C58" s="24" t="inlineStr">
        <is>
          <t>2026-07-30T19:00:00Z</t>
        </is>
      </c>
      <c r="D58" s="24" t="inlineStr">
        <is>
          <t>64322</t>
        </is>
      </c>
      <c r="E58" s="24" t="inlineStr">
        <is>
          <t>LOL</t>
        </is>
      </c>
      <c r="F58" s="24" t="inlineStr">
        <is>
          <t>Zena Esports</t>
        </is>
      </c>
      <c r="G58" s="24" t="inlineStr">
        <is>
          <t>EKO Esports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-178</v>
      </c>
      <c r="M58" s="27" t="n">
        <v>1.561798</v>
      </c>
      <c r="N58" s="28" t="n">
        <v>0.640288</v>
      </c>
      <c r="O58" s="28" t="n">
        <v>0.621173</v>
      </c>
      <c r="P58" s="28" t="n"/>
      <c r="Q58" s="28" t="n">
        <v>-0.019115</v>
      </c>
      <c r="R58" s="26" t="n">
        <v>10</v>
      </c>
      <c r="S58" s="29" t="n">
        <v>0</v>
      </c>
      <c r="T58" s="24" t="inlineStr">
        <is>
          <t>lol-tiered-elo-v4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0.6400 (market_slug=aec-lol-eko-zena-2026-07-30).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Zena Esports</t>
        </is>
      </c>
      <c r="AQ58" s="24" t="inlineStr">
        <is>
          <t>Zena Esports</t>
        </is>
      </c>
      <c r="AR58" s="24" t="inlineStr">
        <is>
          <t>Zena Esports</t>
        </is>
      </c>
      <c r="AS58" s="24" t="inlineStr">
        <is>
          <t>EKO Esports</t>
        </is>
      </c>
      <c r="AT58" s="24" t="inlineStr">
        <is>
          <t>EKO Esports</t>
        </is>
      </c>
      <c r="AU58" s="24" t="inlineStr">
        <is>
          <t>EKO Esports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07b3050cc9bbacd4be4727de162f5af11b42125fe9fd5291f7a8fe3fbcb97dc5</t>
        </is>
      </c>
      <c r="BB58" s="24" t="inlineStr">
        <is>
          <t>neutral_elo</t>
        </is>
      </c>
      <c r="BC58" s="24" t="inlineStr">
        <is>
          <t>lol-tiered-elo-v4</t>
        </is>
      </c>
      <c r="BD58" s="24" t="inlineStr">
        <is>
          <t>07b3050cc9bbacd4be4727de162f5af11b42125fe9fd5291f7a8fe3fbcb97dc5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lol-tiered-elo-v4</t>
        </is>
      </c>
      <c r="BH58" s="24" t="inlineStr">
        <is>
          <t>2026-07-30T16:55:05.222865Z</t>
        </is>
      </c>
      <c r="BI58" s="24" t="inlineStr">
        <is>
          <t>["same_event","same_team_same_day","same_league_same_day"]</t>
        </is>
      </c>
      <c r="BJ58" s="25" t="n"/>
      <c r="BK58" s="26" t="n">
        <v>-178</v>
      </c>
      <c r="BL58" s="27" t="n">
        <v>1.561798</v>
      </c>
      <c r="BM58" s="28" t="n">
        <v>0.640288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604b179904074fa5</t>
        </is>
      </c>
      <c r="B59" s="24" t="inlineStr">
        <is>
          <t>2026-07-30T16:55:15.542075Z</t>
        </is>
      </c>
      <c r="C59" s="24" t="inlineStr">
        <is>
          <t>2026-07-31T05:00:00Z</t>
        </is>
      </c>
      <c r="D59" s="24" t="inlineStr">
        <is>
          <t>64670</t>
        </is>
      </c>
      <c r="E59" s="24" t="inlineStr">
        <is>
          <t>LOL</t>
        </is>
      </c>
      <c r="F59" s="24" t="inlineStr">
        <is>
          <t>DN SOOPers Challengers</t>
        </is>
      </c>
      <c r="G59" s="24" t="inlineStr">
        <is>
          <t>KT Rolster Challengers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-138</v>
      </c>
      <c r="M59" s="27" t="n">
        <v>1.724638</v>
      </c>
      <c r="N59" s="28" t="n">
        <v>0.579832</v>
      </c>
      <c r="O59" s="28" t="n">
        <v>0.5802349999999999</v>
      </c>
      <c r="P59" s="28" t="n"/>
      <c r="Q59" s="28" t="n">
        <v>0.000403</v>
      </c>
      <c r="R59" s="26" t="n">
        <v>20</v>
      </c>
      <c r="S59" s="29" t="n">
        <v>1.25</v>
      </c>
      <c r="T59" s="24" t="inlineStr">
        <is>
          <t>lol-tiered-elo-v4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0.5800 (market_slug=aec-lol-ktc-dnsc-2026-07-31).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DN SOOPers Challengers</t>
        </is>
      </c>
      <c r="AQ59" s="24" t="inlineStr">
        <is>
          <t>DN SOOPers Challengers</t>
        </is>
      </c>
      <c r="AR59" s="24" t="inlineStr">
        <is>
          <t>DN SOOPers Challengers</t>
        </is>
      </c>
      <c r="AS59" s="24" t="inlineStr">
        <is>
          <t>KT Rolster Challengers</t>
        </is>
      </c>
      <c r="AT59" s="24" t="inlineStr">
        <is>
          <t>KT Rolster Challengers</t>
        </is>
      </c>
      <c r="AU59" s="24" t="inlineStr">
        <is>
          <t>KT Rolster Challengers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07b3050cc9bbacd4be4727de162f5af11b42125fe9fd5291f7a8fe3fbcb97dc5</t>
        </is>
      </c>
      <c r="BB59" s="24" t="inlineStr">
        <is>
          <t>neutral_elo</t>
        </is>
      </c>
      <c r="BC59" s="24" t="inlineStr">
        <is>
          <t>lol-tiered-elo-v4</t>
        </is>
      </c>
      <c r="BD59" s="24" t="inlineStr">
        <is>
          <t>07b3050cc9bbacd4be4727de162f5af11b42125fe9fd5291f7a8fe3fbcb97dc5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lol-tiered-elo-v4</t>
        </is>
      </c>
      <c r="BH59" s="24" t="inlineStr">
        <is>
          <t>2026-07-30T16:55:07.669000Z</t>
        </is>
      </c>
      <c r="BI59" s="24" t="inlineStr">
        <is>
          <t>["same_event","same_team_same_day","same_league_same_day"]</t>
        </is>
      </c>
      <c r="BJ59" s="25" t="n"/>
      <c r="BK59" s="26" t="n">
        <v>-138</v>
      </c>
      <c r="BL59" s="27" t="n">
        <v>1.724638</v>
      </c>
      <c r="BM59" s="28" t="n">
        <v>0.579832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5e045f57784e4313</t>
        </is>
      </c>
      <c r="B60" s="24" t="inlineStr">
        <is>
          <t>2026-07-30T16:55:15.542075Z</t>
        </is>
      </c>
      <c r="C60" s="24" t="inlineStr">
        <is>
          <t>2026-07-31T05:00:00Z</t>
        </is>
      </c>
      <c r="D60" s="24" t="inlineStr">
        <is>
          <t>64669</t>
        </is>
      </c>
      <c r="E60" s="24" t="inlineStr">
        <is>
          <t>LOL</t>
        </is>
      </c>
      <c r="F60" s="24" t="inlineStr">
        <is>
          <t>HANJIN BRION Challengers</t>
        </is>
      </c>
      <c r="G60" s="24" t="inlineStr">
        <is>
          <t>Kiwoom DRX Challengers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170</v>
      </c>
      <c r="M60" s="27" t="n">
        <v>2.7</v>
      </c>
      <c r="N60" s="28" t="n">
        <v>0.37037</v>
      </c>
      <c r="O60" s="28" t="n">
        <v>0.505773</v>
      </c>
      <c r="P60" s="28" t="n"/>
      <c r="Q60" s="28" t="n">
        <v>0.135403</v>
      </c>
      <c r="R60" s="26" t="n">
        <v>88</v>
      </c>
      <c r="S60" s="29" t="n">
        <v>0</v>
      </c>
      <c r="T60" s="24" t="inlineStr">
        <is>
          <t>lol-tiered-elo-v4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0.3700 (market_slug=aec-lol-krxc-hbc-2026-07-31).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HANJIN BRION Challengers</t>
        </is>
      </c>
      <c r="AQ60" s="24" t="inlineStr">
        <is>
          <t>HANJIN BRION Challengers</t>
        </is>
      </c>
      <c r="AR60" s="24" t="inlineStr">
        <is>
          <t>HANJIN BRION Challengers</t>
        </is>
      </c>
      <c r="AS60" s="24" t="inlineStr">
        <is>
          <t>Kiwoom DRX Challengers</t>
        </is>
      </c>
      <c r="AT60" s="24" t="inlineStr">
        <is>
          <t>Kiwoom DRX Challengers</t>
        </is>
      </c>
      <c r="AU60" s="24" t="inlineStr">
        <is>
          <t>Kiwoom DRX Challengers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07b3050cc9bbacd4be4727de162f5af11b42125fe9fd5291f7a8fe3fbcb97dc5</t>
        </is>
      </c>
      <c r="BB60" s="24" t="inlineStr">
        <is>
          <t>neutral_elo</t>
        </is>
      </c>
      <c r="BC60" s="24" t="inlineStr">
        <is>
          <t>lol-tiered-elo-v4</t>
        </is>
      </c>
      <c r="BD60" s="24" t="inlineStr">
        <is>
          <t>07b3050cc9bbacd4be4727de162f5af11b42125fe9fd5291f7a8fe3fbcb97dc5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lol-tiered-elo-v4</t>
        </is>
      </c>
      <c r="BH60" s="24" t="inlineStr">
        <is>
          <t>2026-07-30T16:55:08.166583Z</t>
        </is>
      </c>
      <c r="BI60" s="24" t="inlineStr">
        <is>
          <t>["same_event","same_team_same_day","same_league_same_day"]</t>
        </is>
      </c>
      <c r="BJ60" s="25" t="n"/>
      <c r="BK60" s="26" t="n">
        <v>170</v>
      </c>
      <c r="BL60" s="27" t="n">
        <v>2.7</v>
      </c>
      <c r="BM60" s="28" t="n">
        <v>0.37037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ef215247954442d8</t>
        </is>
      </c>
      <c r="B61" s="24" t="inlineStr">
        <is>
          <t>2026-07-30T16:55:15.542075Z</t>
        </is>
      </c>
      <c r="C61" s="24" t="inlineStr">
        <is>
          <t>2026-07-31T08:00:00Z</t>
        </is>
      </c>
      <c r="D61" s="24" t="inlineStr">
        <is>
          <t>64733</t>
        </is>
      </c>
      <c r="E61" s="24" t="inlineStr">
        <is>
          <t>LOL</t>
        </is>
      </c>
      <c r="F61" s="24" t="inlineStr">
        <is>
          <t>T1</t>
        </is>
      </c>
      <c r="G61" s="24" t="inlineStr">
        <is>
          <t>Gen.G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-170</v>
      </c>
      <c r="M61" s="27" t="n">
        <v>1.588235</v>
      </c>
      <c r="N61" s="28" t="n">
        <v>0.62963</v>
      </c>
      <c r="O61" s="28" t="n">
        <v>0.567988</v>
      </c>
      <c r="P61" s="28" t="n"/>
      <c r="Q61" s="28" t="n">
        <v>-0.061642</v>
      </c>
      <c r="R61" s="26" t="n">
        <v>0</v>
      </c>
      <c r="S61" s="29" t="n">
        <v>0</v>
      </c>
      <c r="T61" s="24" t="inlineStr">
        <is>
          <t>lol-tiered-elo-v4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0.6300 (market_slug=aec-lol-gen-t1-2026-07-31).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T1</t>
        </is>
      </c>
      <c r="AQ61" s="24" t="inlineStr">
        <is>
          <t>T1</t>
        </is>
      </c>
      <c r="AR61" s="24" t="inlineStr">
        <is>
          <t>T1</t>
        </is>
      </c>
      <c r="AS61" s="24" t="inlineStr">
        <is>
          <t>Gen.G</t>
        </is>
      </c>
      <c r="AT61" s="24" t="inlineStr">
        <is>
          <t>Gen.G</t>
        </is>
      </c>
      <c r="AU61" s="24" t="inlineStr">
        <is>
          <t>Gen.G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07b3050cc9bbacd4be4727de162f5af11b42125fe9fd5291f7a8fe3fbcb97dc5</t>
        </is>
      </c>
      <c r="BB61" s="24" t="inlineStr">
        <is>
          <t>neutral_elo</t>
        </is>
      </c>
      <c r="BC61" s="24" t="inlineStr">
        <is>
          <t>lol-tiered-elo-v4</t>
        </is>
      </c>
      <c r="BD61" s="24" t="inlineStr">
        <is>
          <t>07b3050cc9bbacd4be4727de162f5af11b42125fe9fd5291f7a8fe3fbcb97dc5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lol-tiered-elo-v4</t>
        </is>
      </c>
      <c r="BH61" s="24" t="inlineStr">
        <is>
          <t>2026-07-30T16:55:09.287881Z</t>
        </is>
      </c>
      <c r="BI61" s="24" t="inlineStr">
        <is>
          <t>["same_event","same_team_same_day","same_league_same_day"]</t>
        </is>
      </c>
      <c r="BJ61" s="25" t="n"/>
      <c r="BK61" s="26" t="n">
        <v>-170</v>
      </c>
      <c r="BL61" s="27" t="n">
        <v>1.588235</v>
      </c>
      <c r="BM61" s="28" t="n">
        <v>0.62963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a41bc5242a5548b3</t>
        </is>
      </c>
      <c r="B62" s="24" t="inlineStr">
        <is>
          <t>2026-07-30T16:55:15.542075Z</t>
        </is>
      </c>
      <c r="C62" s="24" t="inlineStr">
        <is>
          <t>2026-07-31T10:00:00Z</t>
        </is>
      </c>
      <c r="D62" s="24" t="inlineStr">
        <is>
          <t>64780</t>
        </is>
      </c>
      <c r="E62" s="24" t="inlineStr">
        <is>
          <t>LOL</t>
        </is>
      </c>
      <c r="F62" s="24" t="inlineStr">
        <is>
          <t>Kiwoom DRX</t>
        </is>
      </c>
      <c r="G62" s="24" t="inlineStr">
        <is>
          <t>HANJIN BRION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150</v>
      </c>
      <c r="M62" s="27" t="n">
        <v>2.5</v>
      </c>
      <c r="N62" s="28" t="n">
        <v>0.4</v>
      </c>
      <c r="O62" s="28" t="n">
        <v>0.502953</v>
      </c>
      <c r="P62" s="28" t="n"/>
      <c r="Q62" s="28" t="n">
        <v>0.102953</v>
      </c>
      <c r="R62" s="26" t="n">
        <v>71</v>
      </c>
      <c r="S62" s="29" t="n">
        <v>0</v>
      </c>
      <c r="T62" s="24" t="inlineStr">
        <is>
          <t>lol-tiered-elo-v4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0.4000 (market_slug=aec-lol-bro-krx-2026-07-31).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Kiwoom DRX</t>
        </is>
      </c>
      <c r="AQ62" s="24" t="inlineStr">
        <is>
          <t>Kiwoom DRX</t>
        </is>
      </c>
      <c r="AR62" s="24" t="inlineStr">
        <is>
          <t>Kiwoom DRX</t>
        </is>
      </c>
      <c r="AS62" s="24" t="inlineStr">
        <is>
          <t>HANJIN BRION</t>
        </is>
      </c>
      <c r="AT62" s="24" t="inlineStr">
        <is>
          <t>HANJIN BRION</t>
        </is>
      </c>
      <c r="AU62" s="24" t="inlineStr">
        <is>
          <t>HANJIN BRION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07b3050cc9bbacd4be4727de162f5af11b42125fe9fd5291f7a8fe3fbcb97dc5</t>
        </is>
      </c>
      <c r="BB62" s="24" t="inlineStr">
        <is>
          <t>neutral_elo</t>
        </is>
      </c>
      <c r="BC62" s="24" t="inlineStr">
        <is>
          <t>lol-tiered-elo-v4</t>
        </is>
      </c>
      <c r="BD62" s="24" t="inlineStr">
        <is>
          <t>07b3050cc9bbacd4be4727de162f5af11b42125fe9fd5291f7a8fe3fbcb97dc5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lol-tiered-elo-v4</t>
        </is>
      </c>
      <c r="BH62" s="24" t="inlineStr">
        <is>
          <t>2026-07-30T16:55:10.894915Z</t>
        </is>
      </c>
      <c r="BI62" s="24" t="inlineStr">
        <is>
          <t>["same_event","same_team_same_day","same_league_same_day"]</t>
        </is>
      </c>
      <c r="BJ62" s="25" t="n"/>
      <c r="BK62" s="26" t="n">
        <v>150</v>
      </c>
      <c r="BL62" s="27" t="n">
        <v>2.5</v>
      </c>
      <c r="BM62" s="28" t="n">
        <v>0.4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fd90c7fc782f4b31</t>
        </is>
      </c>
      <c r="B63" s="24" t="inlineStr">
        <is>
          <t>2026-07-30T16:55:15.542075Z</t>
        </is>
      </c>
      <c r="C63" s="24" t="inlineStr">
        <is>
          <t>2026-07-31T11:30:00Z</t>
        </is>
      </c>
      <c r="D63" s="24" t="inlineStr">
        <is>
          <t>64844</t>
        </is>
      </c>
      <c r="E63" s="24" t="inlineStr">
        <is>
          <t>LOL</t>
        </is>
      </c>
      <c r="F63" s="24" t="inlineStr">
        <is>
          <t>GAM Esports</t>
        </is>
      </c>
      <c r="G63" s="24" t="inlineStr">
        <is>
          <t>CTBC Flying Oyster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-156</v>
      </c>
      <c r="M63" s="27" t="n">
        <v>1.641026</v>
      </c>
      <c r="N63" s="28" t="n">
        <v>0.609375</v>
      </c>
      <c r="O63" s="28" t="n">
        <v>0.649952</v>
      </c>
      <c r="P63" s="28" t="n"/>
      <c r="Q63" s="28" t="n">
        <v>0.040577</v>
      </c>
      <c r="R63" s="26" t="n">
        <v>40</v>
      </c>
      <c r="S63" s="29" t="n">
        <v>2</v>
      </c>
      <c r="T63" s="24" t="inlineStr">
        <is>
          <t>lol-tiered-elo-v4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0.6100 (market_slug=aec-lol-cfo-gam-2026-07-31).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GAM Esports</t>
        </is>
      </c>
      <c r="AQ63" s="24" t="inlineStr">
        <is>
          <t>GAM Esports</t>
        </is>
      </c>
      <c r="AR63" s="24" t="inlineStr">
        <is>
          <t>GAM Esports</t>
        </is>
      </c>
      <c r="AS63" s="24" t="inlineStr">
        <is>
          <t>CTBC Flying Oyster</t>
        </is>
      </c>
      <c r="AT63" s="24" t="inlineStr">
        <is>
          <t>CTBC Flying Oyster</t>
        </is>
      </c>
      <c r="AU63" s="24" t="inlineStr">
        <is>
          <t>CTBC Flying Oyster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07b3050cc9bbacd4be4727de162f5af11b42125fe9fd5291f7a8fe3fbcb97dc5</t>
        </is>
      </c>
      <c r="BB63" s="24" t="inlineStr">
        <is>
          <t>neutral_elo</t>
        </is>
      </c>
      <c r="BC63" s="24" t="inlineStr">
        <is>
          <t>lol-tiered-elo-v4</t>
        </is>
      </c>
      <c r="BD63" s="24" t="inlineStr">
        <is>
          <t>07b3050cc9bbacd4be4727de162f5af11b42125fe9fd5291f7a8fe3fbcb97dc5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lol-tiered-elo-v4</t>
        </is>
      </c>
      <c r="BH63" s="24" t="inlineStr">
        <is>
          <t>2026-07-30T16:55:11.471234Z</t>
        </is>
      </c>
      <c r="BI63" s="24" t="inlineStr">
        <is>
          <t>["same_event","same_team_same_day","same_league_same_day"]</t>
        </is>
      </c>
      <c r="BJ63" s="25" t="n"/>
      <c r="BK63" s="26" t="n">
        <v>-156</v>
      </c>
      <c r="BL63" s="27" t="n">
        <v>1.641026</v>
      </c>
      <c r="BM63" s="28" t="n">
        <v>0.609375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09b635c9c47c44aa</t>
        </is>
      </c>
      <c r="B64" s="24" t="inlineStr">
        <is>
          <t>2026-07-30T16:55:15.542075Z</t>
        </is>
      </c>
      <c r="C64" s="24" t="inlineStr">
        <is>
          <t>2026-07-31T16:00:00Z</t>
        </is>
      </c>
      <c r="D64" s="24" t="inlineStr">
        <is>
          <t>65014</t>
        </is>
      </c>
      <c r="E64" s="24" t="inlineStr">
        <is>
          <t>LOL</t>
        </is>
      </c>
      <c r="F64" s="24" t="inlineStr">
        <is>
          <t>GMBLERS ESPORTS</t>
        </is>
      </c>
      <c r="G64" s="24" t="inlineStr">
        <is>
          <t>EKO Esports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138</v>
      </c>
      <c r="M64" s="27" t="n">
        <v>2.38</v>
      </c>
      <c r="N64" s="28" t="n">
        <v>0.420168</v>
      </c>
      <c r="O64" s="28" t="n">
        <v>0.582579</v>
      </c>
      <c r="P64" s="28" t="n"/>
      <c r="Q64" s="28" t="n">
        <v>0.162411</v>
      </c>
      <c r="R64" s="26" t="n">
        <v>100</v>
      </c>
      <c r="S64" s="29" t="n">
        <v>1.25</v>
      </c>
      <c r="T64" s="24" t="inlineStr">
        <is>
          <t>lol-tiered-elo-v4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0.4200 (market_slug=aec-lol-eko-gmb-2026-07-31).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GMBLERS ESPORTS</t>
        </is>
      </c>
      <c r="AQ64" s="24" t="inlineStr">
        <is>
          <t>GMBLERS ESPORTS</t>
        </is>
      </c>
      <c r="AR64" s="24" t="inlineStr">
        <is>
          <t>GMBLERS ESPORTS</t>
        </is>
      </c>
      <c r="AS64" s="24" t="inlineStr">
        <is>
          <t>EKO Esports</t>
        </is>
      </c>
      <c r="AT64" s="24" t="inlineStr">
        <is>
          <t>EKO Esports</t>
        </is>
      </c>
      <c r="AU64" s="24" t="inlineStr">
        <is>
          <t>EKO Esports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07b3050cc9bbacd4be4727de162f5af11b42125fe9fd5291f7a8fe3fbcb97dc5</t>
        </is>
      </c>
      <c r="BB64" s="24" t="inlineStr">
        <is>
          <t>neutral_elo</t>
        </is>
      </c>
      <c r="BC64" s="24" t="inlineStr">
        <is>
          <t>lol-tiered-elo-v4</t>
        </is>
      </c>
      <c r="BD64" s="24" t="inlineStr">
        <is>
          <t>07b3050cc9bbacd4be4727de162f5af11b42125fe9fd5291f7a8fe3fbcb97dc5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lol-tiered-elo-v4</t>
        </is>
      </c>
      <c r="BH64" s="24" t="inlineStr">
        <is>
          <t>2026-07-30T16:55:12.493134Z</t>
        </is>
      </c>
      <c r="BI64" s="24" t="inlineStr">
        <is>
          <t>["same_event","same_team_same_day","same_league_same_day"]</t>
        </is>
      </c>
      <c r="BJ64" s="25" t="n"/>
      <c r="BK64" s="26" t="n">
        <v>138</v>
      </c>
      <c r="BL64" s="27" t="n">
        <v>2.38</v>
      </c>
      <c r="BM64" s="28" t="n">
        <v>0.420168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da4e4908ec3e4c8e</t>
        </is>
      </c>
      <c r="B65" s="24" t="inlineStr">
        <is>
          <t>2026-07-30T16:55:15.542075Z</t>
        </is>
      </c>
      <c r="C65" s="24" t="inlineStr">
        <is>
          <t>2026-07-31T19:00:00Z</t>
        </is>
      </c>
      <c r="D65" s="24" t="inlineStr">
        <is>
          <t>65154</t>
        </is>
      </c>
      <c r="E65" s="24" t="inlineStr">
        <is>
          <t>LOL</t>
        </is>
      </c>
      <c r="F65" s="24" t="inlineStr">
        <is>
          <t>TITANS</t>
        </is>
      </c>
      <c r="G65" s="24" t="inlineStr">
        <is>
          <t>Zena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-133</v>
      </c>
      <c r="M65" s="27" t="n">
        <v>1.75188</v>
      </c>
      <c r="N65" s="28" t="n">
        <v>0.570815</v>
      </c>
      <c r="O65" s="28" t="n">
        <v>0.527796</v>
      </c>
      <c r="P65" s="28" t="n"/>
      <c r="Q65" s="28" t="n">
        <v>-0.043019</v>
      </c>
      <c r="R65" s="26" t="n">
        <v>0</v>
      </c>
      <c r="S65" s="29" t="n">
        <v>0</v>
      </c>
      <c r="T65" s="24" t="inlineStr">
        <is>
          <t>lol-tiered-elo-v4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0.5700 (market_slug=aec-lol-zena-tts-2026-07-31).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TITANS</t>
        </is>
      </c>
      <c r="AQ65" s="24" t="inlineStr">
        <is>
          <t>TITANS</t>
        </is>
      </c>
      <c r="AR65" s="24" t="inlineStr">
        <is>
          <t>TITANS</t>
        </is>
      </c>
      <c r="AS65" s="24" t="inlineStr">
        <is>
          <t>Zena Esports</t>
        </is>
      </c>
      <c r="AT65" s="24" t="inlineStr">
        <is>
          <t>Zena Esports</t>
        </is>
      </c>
      <c r="AU65" s="24" t="inlineStr">
        <is>
          <t>Zena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07b3050cc9bbacd4be4727de162f5af11b42125fe9fd5291f7a8fe3fbcb97dc5</t>
        </is>
      </c>
      <c r="BB65" s="24" t="inlineStr">
        <is>
          <t>neutral_elo</t>
        </is>
      </c>
      <c r="BC65" s="24" t="inlineStr">
        <is>
          <t>lol-tiered-elo-v4</t>
        </is>
      </c>
      <c r="BD65" s="24" t="inlineStr">
        <is>
          <t>07b3050cc9bbacd4be4727de162f5af11b42125fe9fd5291f7a8fe3fbcb97dc5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lol-tiered-elo-v4</t>
        </is>
      </c>
      <c r="BH65" s="24" t="inlineStr">
        <is>
          <t>2026-07-30T16:55:14.565701Z</t>
        </is>
      </c>
      <c r="BI65" s="24" t="inlineStr">
        <is>
          <t>["same_event","same_team_same_day","same_league_same_day"]</t>
        </is>
      </c>
      <c r="BJ65" s="25" t="n"/>
      <c r="BK65" s="26" t="n">
        <v>-133</v>
      </c>
      <c r="BL65" s="27" t="n">
        <v>1.75188</v>
      </c>
      <c r="BM65" s="28" t="n">
        <v>0.570815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588214e7bbc54517</t>
        </is>
      </c>
      <c r="B66" s="24" t="inlineStr">
        <is>
          <t>2026-07-30T16:55:15.542075Z</t>
        </is>
      </c>
      <c r="C66" s="24" t="inlineStr">
        <is>
          <t>2026-07-31T21:00:00Z</t>
        </is>
      </c>
      <c r="D66" s="24" t="inlineStr">
        <is>
          <t>65517</t>
        </is>
      </c>
      <c r="E66" s="24" t="inlineStr">
        <is>
          <t>LOL</t>
        </is>
      </c>
      <c r="F66" s="24" t="inlineStr">
        <is>
          <t>Cupid Esports</t>
        </is>
      </c>
      <c r="G66" s="24" t="inlineStr">
        <is>
          <t>Maryville University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0.616673</v>
      </c>
      <c r="P66" s="28" t="n"/>
      <c r="Q66" s="28" t="n">
        <v>0.016673</v>
      </c>
      <c r="R66" s="26" t="n">
        <v>28</v>
      </c>
      <c r="S66" s="29" t="n">
        <v>1.75</v>
      </c>
      <c r="T66" s="24" t="inlineStr">
        <is>
          <t>lol-tiered-elo-v4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0.6000 (market_slug=aec-lol-mvu-cpd-2026-07-31).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Cupid Esports</t>
        </is>
      </c>
      <c r="AQ66" s="24" t="inlineStr">
        <is>
          <t>Cupid Esports</t>
        </is>
      </c>
      <c r="AR66" s="24" t="inlineStr">
        <is>
          <t>Cupid Esports</t>
        </is>
      </c>
      <c r="AS66" s="24" t="inlineStr">
        <is>
          <t>Maryville University</t>
        </is>
      </c>
      <c r="AT66" s="24" t="inlineStr">
        <is>
          <t>Maryville University</t>
        </is>
      </c>
      <c r="AU66" s="24" t="inlineStr">
        <is>
          <t>Maryville University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07b3050cc9bbacd4be4727de162f5af11b42125fe9fd5291f7a8fe3fbcb97dc5</t>
        </is>
      </c>
      <c r="BB66" s="24" t="inlineStr">
        <is>
          <t>neutral_elo</t>
        </is>
      </c>
      <c r="BC66" s="24" t="inlineStr">
        <is>
          <t>lol-tiered-elo-v4</t>
        </is>
      </c>
      <c r="BD66" s="24" t="inlineStr">
        <is>
          <t>07b3050cc9bbacd4be4727de162f5af11b42125fe9fd5291f7a8fe3fbcb97dc5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lol-tiered-elo-v4</t>
        </is>
      </c>
      <c r="BH66" s="24" t="inlineStr">
        <is>
          <t>2026-07-30T16:55:15.040998Z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2026-07-30T16:55:21Z</dcterms:created>
  <dcterms:modified xsi:type="dcterms:W3CDTF">2026-07-30T16:55:22Z</dcterms:modified>
</cp:coreProperties>
</file>