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O26" headerRowCount="1">
  <autoFilter ref="A1:CO26"/>
  <tableColumns count="93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COUNTA('Picks'!$A$2:$A$26)</f>
        <v/>
      </c>
      <c r="C4" s="6">
        <f>COUNTIF('Picks'!$U$2:$U$26,"open")</f>
        <v/>
      </c>
      <c r="E4" s="6">
        <f>COUNTIF('Picks'!$U$2:$U$26,"settled")</f>
        <v/>
      </c>
      <c r="G4" s="6">
        <f>IF(COUNTIFS('Picks'!$U$2:$U$26,"settled",'Picks'!$V$2:$V$26,"win")+COUNTIFS('Picks'!$U$2:$U$26,"settled",'Picks'!$V$2:$V$26,"loss")&gt;=$L$2,"Ready","Insufficient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COUNTIF('Picks'!$BX$2:$BX$26,"&gt;0")</f>
        <v/>
      </c>
      <c r="C7" s="6">
        <f>COUNTIFS('Picks'!$BX$2:$BX$26,"&gt;0",'Picks'!$V$2:$V$26,"win")&amp;"-"&amp;COUNTIFS('Picks'!$BX$2:$BX$26,"&gt;0",'Picks'!$V$2:$V$26,"loss")</f>
        <v/>
      </c>
      <c r="E7" s="7">
        <f>IFERROR(COUNTIFS('Picks'!$BX$2:$BX$26,"&gt;0",'Picks'!$V$2:$V$26,"win")/(COUNTIFS('Picks'!$BX$2:$BX$26,"&gt;0",'Picks'!$V$2:$V$26,"win")+COUNTIFS('Picks'!$BX$2:$BX$26,"&gt;0",'Picks'!$V$2:$V$26,"loss")),0)</f>
        <v/>
      </c>
      <c r="G7" s="7">
        <f>IFERROR(SUM('Picks'!$BY$2:$BY$26)/SUM('Picks'!$BX$2:$BX$26),0)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SUM('Picks'!$BY$2:$BY$26)</f>
        <v/>
      </c>
      <c r="C10" s="9">
        <f>IFERROR(AVERAGEIF('Picks'!$AB$2:$AB$26,"&lt;&gt;",'Picks'!$AB$2:$AB$26),0)</f>
        <v/>
      </c>
      <c r="E10" s="6">
        <f>COUNTIFS('Picks'!$AM$2:$AM$26,"QUALIFIED_SHADOW_CALL",'Picks'!$U$2:$U$26,"settled")</f>
        <v/>
      </c>
      <c r="G10" s="8">
        <f>SUMIFS('Picks'!$AC$2:$AC$26,'Picks'!$AM$2:$AM$26,"QUALIFIED_SHADOW_CALL")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COUNTIFS('Picks'!$H$2:$H$26,$A14,'Picks'!$U$2:$U$26,"settled")</f>
        <v/>
      </c>
      <c r="C14" s="13">
        <f>COUNTIFS('Picks'!$H$2:$H$26,$A14,'Picks'!$U$2:$U$26,"settled",'Picks'!$V$2:$V$26,"win")</f>
        <v/>
      </c>
      <c r="D14" s="13">
        <f>COUNTIFS('Picks'!$H$2:$H$26,$A14,'Picks'!$U$2:$U$26,"settled",'Picks'!$V$2:$V$26,"loss")</f>
        <v/>
      </c>
      <c r="E14" s="14">
        <f>IFERROR(C14/(C14+D14),0)</f>
        <v/>
      </c>
      <c r="F14" s="15">
        <f>SUMIFS('Picks'!$BY$2:$BY$26,'Picks'!$H$2:$H$26,$A14)</f>
        <v/>
      </c>
      <c r="G14" s="16">
        <f>IFERROR(AVERAGEIFS('Picks'!$AB$2:$AB$26,'Picks'!$H$2:$H$26,$A14,'Picks'!$U$2:$U$26,"settled"),0)</f>
        <v/>
      </c>
    </row>
    <row r="15">
      <c r="A15" s="17" t="inlineStr">
        <is>
          <t>spread</t>
        </is>
      </c>
      <c r="B15" s="18">
        <f>COUNTIFS('Picks'!$H$2:$H$26,$A15,'Picks'!$U$2:$U$26,"settled")</f>
        <v/>
      </c>
      <c r="C15" s="18">
        <f>COUNTIFS('Picks'!$H$2:$H$26,$A15,'Picks'!$U$2:$U$26,"settled",'Picks'!$V$2:$V$26,"win")</f>
        <v/>
      </c>
      <c r="D15" s="18">
        <f>COUNTIFS('Picks'!$H$2:$H$26,$A15,'Picks'!$U$2:$U$26,"settled",'Picks'!$V$2:$V$26,"loss")</f>
        <v/>
      </c>
      <c r="E15" s="19">
        <f>IFERROR(C15/(C15+D15),0)</f>
        <v/>
      </c>
      <c r="F15" s="20">
        <f>SUMIFS('Picks'!$BY$2:$BY$26,'Picks'!$H$2:$H$26,$A15)</f>
        <v/>
      </c>
      <c r="G15" s="21">
        <f>IFERROR(AVERAGEIFS('Picks'!$AB$2:$AB$26,'Picks'!$H$2:$H$26,$A15,'Picks'!$U$2:$U$26,"settled"),0)</f>
        <v/>
      </c>
    </row>
    <row r="16">
      <c r="A16" s="12" t="inlineStr">
        <is>
          <t>total</t>
        </is>
      </c>
      <c r="B16" s="13">
        <f>COUNTIFS('Picks'!$H$2:$H$26,$A16,'Picks'!$U$2:$U$26,"settled")</f>
        <v/>
      </c>
      <c r="C16" s="13">
        <f>COUNTIFS('Picks'!$H$2:$H$26,$A16,'Picks'!$U$2:$U$26,"settled",'Picks'!$V$2:$V$26,"win")</f>
        <v/>
      </c>
      <c r="D16" s="13">
        <f>COUNTIFS('Picks'!$H$2:$H$26,$A16,'Picks'!$U$2:$U$26,"settled",'Picks'!$V$2:$V$26,"loss")</f>
        <v/>
      </c>
      <c r="E16" s="14">
        <f>IFERROR(C16/(C16+D16),0)</f>
        <v/>
      </c>
      <c r="F16" s="15">
        <f>SUMIFS('Picks'!$BY$2:$BY$26,'Picks'!$H$2:$H$26,$A16)</f>
        <v/>
      </c>
      <c r="G16" s="16">
        <f>IFERROR(AVERAGEIFS('Picks'!$AB$2:$AB$26,'Picks'!$H$2:$H$26,$A16,'Picks'!$U$2:$U$26,"settled"),0)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O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</row>
    <row r="2" ht="36" customHeight="1">
      <c r="A2" s="24" t="inlineStr">
        <is>
          <t>036695e0425c40b1</t>
        </is>
      </c>
      <c r="B2" s="24" t="inlineStr">
        <is>
          <t>2026-07-31T11:11:14.446863Z</t>
        </is>
      </c>
      <c r="C2" s="24" t="inlineStr">
        <is>
          <t>2026-07-31T11:30:00Z</t>
        </is>
      </c>
      <c r="D2" s="24" t="inlineStr">
        <is>
          <t>64844</t>
        </is>
      </c>
      <c r="E2" s="24" t="inlineStr">
        <is>
          <t>LOL</t>
        </is>
      </c>
      <c r="F2" s="24" t="inlineStr">
        <is>
          <t>GAM Esports</t>
        </is>
      </c>
      <c r="G2" s="24" t="inlineStr">
        <is>
          <t>CTBC Flying Oyster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polymarket_us</t>
        </is>
      </c>
      <c r="L2" s="26" t="n">
        <v>-186</v>
      </c>
      <c r="M2" s="27" t="n">
        <v>1.537634</v>
      </c>
      <c r="N2" s="28" t="n">
        <v>0.65035</v>
      </c>
      <c r="O2" s="28" t="n">
        <v>0.580358</v>
      </c>
      <c r="P2" s="28" t="n"/>
      <c r="Q2" s="28" t="n">
        <v>-0.069992</v>
      </c>
      <c r="R2" s="26" t="n">
        <v>0</v>
      </c>
      <c r="S2" s="29" t="n">
        <v>1.25</v>
      </c>
      <c r="T2" s="24" t="inlineStr">
        <is>
          <t>lol-tiered-elo-v5</t>
        </is>
      </c>
      <c r="U2" s="24" t="inlineStr">
        <is>
          <t>settled</t>
        </is>
      </c>
      <c r="V2" s="24" t="inlineStr">
        <is>
          <t>loss</t>
        </is>
      </c>
      <c r="W2" s="26" t="n">
        <v>0</v>
      </c>
      <c r="X2" s="26" t="n">
        <v>1</v>
      </c>
      <c r="Y2" s="25" t="n"/>
      <c r="Z2" s="26" t="n">
        <v>-186</v>
      </c>
      <c r="AA2" s="28" t="n">
        <v>0.65</v>
      </c>
      <c r="AB2" s="28" t="n">
        <v>-0.00035</v>
      </c>
      <c r="AC2" s="30" t="n">
        <v>-1.25</v>
      </c>
      <c r="AD2" s="24" t="inlineStr">
        <is>
          <t>2026-07-31T16:44:50.905472Z</t>
        </is>
      </c>
      <c r="AE2" s="31" t="inlineStr">
        <is>
          <t>Neutral Elo baseline; executable ask 0.6500 (market_slug=aec-lol-cfo-gam-2026-07-31).</t>
        </is>
      </c>
      <c r="AF2" s="31" t="inlineStr">
        <is>
          <t>Config-promoted esports baseline; gates enforced at log time.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NO_CALL_LOW_EDGE</t>
        </is>
      </c>
      <c r="AP2" s="24" t="inlineStr">
        <is>
          <t>GAM Esports</t>
        </is>
      </c>
      <c r="AQ2" s="24" t="inlineStr">
        <is>
          <t>GAM Esports</t>
        </is>
      </c>
      <c r="AR2" s="24" t="inlineStr">
        <is>
          <t>GAM Esports</t>
        </is>
      </c>
      <c r="AS2" s="24" t="inlineStr">
        <is>
          <t>CTBC Flying Oyster</t>
        </is>
      </c>
      <c r="AT2" s="24" t="inlineStr">
        <is>
          <t>CTBC Flying Oyster</t>
        </is>
      </c>
      <c r="AU2" s="24" t="inlineStr">
        <is>
          <t>CTBC Flying Oyster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2a7cdeadeb467f851aeb01c3b6a4d0d2edb85063547e6182022a9f1dcab6af1f</t>
        </is>
      </c>
      <c r="BB2" s="24" t="inlineStr">
        <is>
          <t>neutral_elo</t>
        </is>
      </c>
      <c r="BC2" s="24" t="inlineStr">
        <is>
          <t>lol-tiered-elo-v5</t>
        </is>
      </c>
      <c r="BD2" s="24" t="inlineStr">
        <is>
          <t>2a7cdeadeb467f851aeb01c3b6a4d0d2edb85063547e6182022a9f1dcab6af1f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lol-tiered-elo-v5</t>
        </is>
      </c>
      <c r="BH2" s="24" t="inlineStr">
        <is>
          <t>2026-07-31T11:11:02.174606Z</t>
        </is>
      </c>
      <c r="BI2" s="24" t="inlineStr">
        <is>
          <t>["same_event","same_team_same_day","same_league_same_day"]</t>
        </is>
      </c>
      <c r="BJ2" s="25" t="n"/>
      <c r="BK2" s="26" t="n">
        <v>-186</v>
      </c>
      <c r="BL2" s="27" t="n">
        <v>1.537634</v>
      </c>
      <c r="BM2" s="28" t="n">
        <v>0.65035</v>
      </c>
      <c r="BN2" s="28" t="n"/>
      <c r="BO2" s="28" t="n"/>
      <c r="BP2" s="25" t="n"/>
      <c r="BQ2" s="27" t="n">
        <v>1.537634</v>
      </c>
      <c r="BR2" s="28" t="n">
        <v>0.65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</row>
    <row r="3" ht="36" customHeight="1">
      <c r="A3" s="24" t="inlineStr">
        <is>
          <t>98e3e62a5e364cf6</t>
        </is>
      </c>
      <c r="B3" s="24" t="inlineStr">
        <is>
          <t>2026-07-31T13:43:35.049398Z</t>
        </is>
      </c>
      <c r="C3" s="24" t="inlineStr">
        <is>
          <t>2026-07-31T16:00:00Z</t>
        </is>
      </c>
      <c r="D3" s="24" t="inlineStr">
        <is>
          <t>65014</t>
        </is>
      </c>
      <c r="E3" s="24" t="inlineStr">
        <is>
          <t>LOL</t>
        </is>
      </c>
      <c r="F3" s="24" t="inlineStr">
        <is>
          <t>GMBLERS ESPORTS</t>
        </is>
      </c>
      <c r="G3" s="24" t="inlineStr">
        <is>
          <t>EKO Esports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-203</v>
      </c>
      <c r="M3" s="27" t="n">
        <v>1.492611</v>
      </c>
      <c r="N3" s="28" t="n">
        <v>0.669967</v>
      </c>
      <c r="O3" s="28" t="n">
        <v>0.590657</v>
      </c>
      <c r="P3" s="28" t="n"/>
      <c r="Q3" s="28" t="n">
        <v>-0.07931000000000001</v>
      </c>
      <c r="R3" s="26" t="n">
        <v>0</v>
      </c>
      <c r="S3" s="29" t="n">
        <v>1.25</v>
      </c>
      <c r="T3" s="24" t="inlineStr">
        <is>
          <t>lol-tiered-elo-v5</t>
        </is>
      </c>
      <c r="U3" s="24" t="inlineStr">
        <is>
          <t>settled</t>
        </is>
      </c>
      <c r="V3" s="24" t="inlineStr">
        <is>
          <t>win</t>
        </is>
      </c>
      <c r="W3" s="26" t="n">
        <v>1</v>
      </c>
      <c r="X3" s="26" t="n">
        <v>0</v>
      </c>
      <c r="Y3" s="25" t="n"/>
      <c r="Z3" s="26" t="n">
        <v>-203</v>
      </c>
      <c r="AA3" s="28" t="n">
        <v>0.67</v>
      </c>
      <c r="AB3" s="28" t="n">
        <v>3.3e-05</v>
      </c>
      <c r="AC3" s="30" t="n">
        <v>0.6158</v>
      </c>
      <c r="AD3" s="24" t="inlineStr">
        <is>
          <t>2026-07-31T19:51:11.567292Z</t>
        </is>
      </c>
      <c r="AE3" s="31" t="inlineStr">
        <is>
          <t>Neutral Elo baseline; executable ask 0.6700 (market_slug=aec-lol-eko-gmb-2026-07-31).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NO_CALL_LOW_EDGE</t>
        </is>
      </c>
      <c r="AP3" s="24" t="inlineStr">
        <is>
          <t>GMBLERS ESPORTS</t>
        </is>
      </c>
      <c r="AQ3" s="24" t="inlineStr">
        <is>
          <t>GMBLERS ESPORTS</t>
        </is>
      </c>
      <c r="AR3" s="24" t="inlineStr">
        <is>
          <t>GMBLERS ESPORTS</t>
        </is>
      </c>
      <c r="AS3" s="24" t="inlineStr">
        <is>
          <t>EKO Esports</t>
        </is>
      </c>
      <c r="AT3" s="24" t="inlineStr">
        <is>
          <t>EKO Esports</t>
        </is>
      </c>
      <c r="AU3" s="24" t="inlineStr">
        <is>
          <t>EKO Esports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7e4c94e150f0de14fffb0002cc9d1aa3c0cfeb50f202a4fecc0131c004b46275</t>
        </is>
      </c>
      <c r="BB3" s="24" t="inlineStr">
        <is>
          <t>neutral_elo</t>
        </is>
      </c>
      <c r="BC3" s="24" t="inlineStr">
        <is>
          <t>lol-tiered-elo-v5</t>
        </is>
      </c>
      <c r="BD3" s="24" t="inlineStr">
        <is>
          <t>7e4c94e150f0de14fffb0002cc9d1aa3c0cfeb50f202a4fecc0131c004b46275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lol-tiered-elo-v5</t>
        </is>
      </c>
      <c r="BH3" s="24" t="inlineStr">
        <is>
          <t>2026-07-31T13:43:24.176689Z</t>
        </is>
      </c>
      <c r="BI3" s="24" t="inlineStr">
        <is>
          <t>["same_event","same_team_same_day","same_league_same_day"]</t>
        </is>
      </c>
      <c r="BJ3" s="25" t="n"/>
      <c r="BK3" s="26" t="n">
        <v>-203</v>
      </c>
      <c r="BL3" s="27" t="n">
        <v>1.492611</v>
      </c>
      <c r="BM3" s="28" t="n">
        <v>0.669967</v>
      </c>
      <c r="BN3" s="28" t="n"/>
      <c r="BO3" s="28" t="n"/>
      <c r="BP3" s="25" t="n"/>
      <c r="BQ3" s="27" t="n">
        <v>1.492611</v>
      </c>
      <c r="BR3" s="28" t="n">
        <v>0.67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</row>
    <row r="4" ht="36" customHeight="1">
      <c r="A4" s="24" t="inlineStr">
        <is>
          <t>4b91a1ca29d14572</t>
        </is>
      </c>
      <c r="B4" s="24" t="inlineStr">
        <is>
          <t>2026-07-31T16:49:55.389963Z</t>
        </is>
      </c>
      <c r="C4" s="24" t="inlineStr">
        <is>
          <t>2026-07-31T19:00:00Z</t>
        </is>
      </c>
      <c r="D4" s="24" t="inlineStr">
        <is>
          <t>65154</t>
        </is>
      </c>
      <c r="E4" s="24" t="inlineStr">
        <is>
          <t>LOL</t>
        </is>
      </c>
      <c r="F4" s="24" t="inlineStr">
        <is>
          <t>TITANS</t>
        </is>
      </c>
      <c r="G4" s="24" t="inlineStr">
        <is>
          <t>Zena Esports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-178</v>
      </c>
      <c r="M4" s="27" t="n">
        <v>1.561798</v>
      </c>
      <c r="N4" s="28" t="n">
        <v>0.640288</v>
      </c>
      <c r="O4" s="28" t="n">
        <v>0.551378</v>
      </c>
      <c r="P4" s="28" t="n"/>
      <c r="Q4" s="28" t="n">
        <v>-0.08891</v>
      </c>
      <c r="R4" s="26" t="n">
        <v>0</v>
      </c>
      <c r="S4" s="29" t="n">
        <v>1</v>
      </c>
      <c r="T4" s="24" t="inlineStr">
        <is>
          <t>lol-tiered-elo-v5</t>
        </is>
      </c>
      <c r="U4" s="24" t="inlineStr">
        <is>
          <t>settled</t>
        </is>
      </c>
      <c r="V4" s="24" t="inlineStr">
        <is>
          <t>win</t>
        </is>
      </c>
      <c r="W4" s="26" t="n">
        <v>0</v>
      </c>
      <c r="X4" s="26" t="n">
        <v>1</v>
      </c>
      <c r="Y4" s="25" t="n"/>
      <c r="Z4" s="26" t="n">
        <v>-178</v>
      </c>
      <c r="AA4" s="28" t="n">
        <v>0.64</v>
      </c>
      <c r="AB4" s="28" t="n">
        <v>-0.000288</v>
      </c>
      <c r="AC4" s="30" t="n">
        <v>0.5618</v>
      </c>
      <c r="AD4" s="24" t="inlineStr">
        <is>
          <t>2026-07-31T21:03:28.790314Z</t>
        </is>
      </c>
      <c r="AE4" s="31" t="inlineStr">
        <is>
          <t>Neutral Elo baseline; executable ask 0.6400 (market_slug=aec-lol-zena-tts-2026-07-31).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NO_CALL_LOW_EDGE</t>
        </is>
      </c>
      <c r="AP4" s="24" t="inlineStr">
        <is>
          <t>TITANS</t>
        </is>
      </c>
      <c r="AQ4" s="24" t="inlineStr">
        <is>
          <t>TITANS</t>
        </is>
      </c>
      <c r="AR4" s="24" t="inlineStr">
        <is>
          <t>TITANS</t>
        </is>
      </c>
      <c r="AS4" s="24" t="inlineStr">
        <is>
          <t>Zena Esports</t>
        </is>
      </c>
      <c r="AT4" s="24" t="inlineStr">
        <is>
          <t>Zena Esports</t>
        </is>
      </c>
      <c r="AU4" s="24" t="inlineStr">
        <is>
          <t>Zena Esports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233c5d9b27f5ad8038707b95edcc94c8b80ac00bcd61ef8cbf18d92fd09abe82</t>
        </is>
      </c>
      <c r="BB4" s="24" t="inlineStr">
        <is>
          <t>neutral_elo</t>
        </is>
      </c>
      <c r="BC4" s="24" t="inlineStr">
        <is>
          <t>lol-tiered-elo-v5</t>
        </is>
      </c>
      <c r="BD4" s="24" t="inlineStr">
        <is>
          <t>233c5d9b27f5ad8038707b95edcc94c8b80ac00bcd61ef8cbf18d92fd09abe82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lol-tiered-elo-v5</t>
        </is>
      </c>
      <c r="BH4" s="24" t="inlineStr">
        <is>
          <t>2026-07-31T16:49:44.453394Z</t>
        </is>
      </c>
      <c r="BI4" s="24" t="inlineStr">
        <is>
          <t>["same_event","same_team_same_day","same_league_same_day"]</t>
        </is>
      </c>
      <c r="BJ4" s="25" t="n"/>
      <c r="BK4" s="26" t="n">
        <v>-178</v>
      </c>
      <c r="BL4" s="27" t="n">
        <v>1.561798</v>
      </c>
      <c r="BM4" s="28" t="n">
        <v>0.640288</v>
      </c>
      <c r="BN4" s="28" t="n"/>
      <c r="BO4" s="28" t="n"/>
      <c r="BP4" s="25" t="n"/>
      <c r="BQ4" s="27" t="n">
        <v>1.561798</v>
      </c>
      <c r="BR4" s="28" t="n">
        <v>0.64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</row>
    <row r="5" ht="36" customHeight="1">
      <c r="A5" s="24" t="inlineStr">
        <is>
          <t>440106cd51864db1</t>
        </is>
      </c>
      <c r="B5" s="24" t="inlineStr">
        <is>
          <t>2026-07-31T19:56:30.996664Z</t>
        </is>
      </c>
      <c r="C5" s="24" t="inlineStr">
        <is>
          <t>2026-07-31T21:00:00Z</t>
        </is>
      </c>
      <c r="D5" s="24" t="inlineStr">
        <is>
          <t>65517</t>
        </is>
      </c>
      <c r="E5" s="24" t="inlineStr">
        <is>
          <t>LOL</t>
        </is>
      </c>
      <c r="F5" s="24" t="inlineStr">
        <is>
          <t>Cupid Esports</t>
        </is>
      </c>
      <c r="G5" s="24" t="inlineStr">
        <is>
          <t>Maryville University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144</v>
      </c>
      <c r="M5" s="27" t="n">
        <v>2.44</v>
      </c>
      <c r="N5" s="28" t="n">
        <v>0.409836</v>
      </c>
      <c r="O5" s="28" t="n">
        <v>0.539832</v>
      </c>
      <c r="P5" s="28" t="n"/>
      <c r="Q5" s="28" t="n">
        <v>0.129996</v>
      </c>
      <c r="R5" s="26" t="n">
        <v>85</v>
      </c>
      <c r="S5" s="29" t="n">
        <v>1</v>
      </c>
      <c r="T5" s="24" t="inlineStr">
        <is>
          <t>lol-tiered-elo-v5</t>
        </is>
      </c>
      <c r="U5" s="24" t="inlineStr">
        <is>
          <t>settled</t>
        </is>
      </c>
      <c r="V5" s="24" t="inlineStr">
        <is>
          <t>loss</t>
        </is>
      </c>
      <c r="W5" s="26" t="n">
        <v>1</v>
      </c>
      <c r="X5" s="26" t="n">
        <v>0</v>
      </c>
      <c r="Y5" s="25" t="n"/>
      <c r="Z5" s="26" t="n">
        <v>144</v>
      </c>
      <c r="AA5" s="28" t="n">
        <v>0.41</v>
      </c>
      <c r="AB5" s="28" t="n">
        <v>0.000164</v>
      </c>
      <c r="AC5" s="30" t="n">
        <v>-1</v>
      </c>
      <c r="AD5" s="24" t="inlineStr">
        <is>
          <t>2026-07-31T23:28:37.444255Z</t>
        </is>
      </c>
      <c r="AE5" s="31" t="inlineStr">
        <is>
          <t>Neutral Elo baseline; executable ask 0.4100 (market_slug=aec-lol-mvu-cpd-2026-07-31).</t>
        </is>
      </c>
      <c r="AF5" s="31" t="inlineStr">
        <is>
          <t>Config-promoted esports baseline; gates enforced at log time.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NO_CALL_LOW_EDGE</t>
        </is>
      </c>
      <c r="AP5" s="24" t="inlineStr">
        <is>
          <t>Cupid Esports</t>
        </is>
      </c>
      <c r="AQ5" s="24" t="inlineStr">
        <is>
          <t>Cupid Esports</t>
        </is>
      </c>
      <c r="AR5" s="24" t="inlineStr">
        <is>
          <t>Cupid Esports</t>
        </is>
      </c>
      <c r="AS5" s="24" t="inlineStr">
        <is>
          <t>Maryville University</t>
        </is>
      </c>
      <c r="AT5" s="24" t="inlineStr">
        <is>
          <t>Maryville University</t>
        </is>
      </c>
      <c r="AU5" s="24" t="inlineStr">
        <is>
          <t>Maryville University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8351cdc7f5111d26d33629b081a9517f8dbccce1e120d273720dbe1d72080b31</t>
        </is>
      </c>
      <c r="BB5" s="24" t="inlineStr">
        <is>
          <t>neutral_elo</t>
        </is>
      </c>
      <c r="BC5" s="24" t="inlineStr">
        <is>
          <t>lol-tiered-elo-v5</t>
        </is>
      </c>
      <c r="BD5" s="24" t="inlineStr">
        <is>
          <t>8351cdc7f5111d26d33629b081a9517f8dbccce1e120d273720dbe1d72080b31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lol-tiered-elo-v5</t>
        </is>
      </c>
      <c r="BH5" s="24" t="inlineStr">
        <is>
          <t>2026-07-31T19:56:21.312923Z</t>
        </is>
      </c>
      <c r="BI5" s="24" t="inlineStr">
        <is>
          <t>["same_event","same_team_same_day","same_league_same_day"]</t>
        </is>
      </c>
      <c r="BJ5" s="25" t="n"/>
      <c r="BK5" s="26" t="n">
        <v>144</v>
      </c>
      <c r="BL5" s="27" t="n">
        <v>2.44</v>
      </c>
      <c r="BM5" s="28" t="n">
        <v>0.409836</v>
      </c>
      <c r="BN5" s="28" t="n"/>
      <c r="BO5" s="28" t="n"/>
      <c r="BP5" s="25" t="n"/>
      <c r="BQ5" s="27" t="n">
        <v>2.44</v>
      </c>
      <c r="BR5" s="28" t="n">
        <v>0.41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</row>
    <row r="6" ht="36" customHeight="1">
      <c r="A6" s="24" t="inlineStr">
        <is>
          <t>bc326a74e51b42e3</t>
        </is>
      </c>
      <c r="B6" s="24" t="inlineStr">
        <is>
          <t>2026-08-01T06:41:46.814528Z</t>
        </is>
      </c>
      <c r="C6" s="24" t="inlineStr">
        <is>
          <t>2026-08-01T08:00:00Z</t>
        </is>
      </c>
      <c r="D6" s="24" t="inlineStr">
        <is>
          <t>65819</t>
        </is>
      </c>
      <c r="E6" s="24" t="inlineStr">
        <is>
          <t>LOL</t>
        </is>
      </c>
      <c r="F6" s="24" t="inlineStr">
        <is>
          <t>BNK FEARX</t>
        </is>
      </c>
      <c r="G6" s="24" t="inlineStr">
        <is>
          <t>Nongshim Red Force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117</v>
      </c>
      <c r="M6" s="27" t="n">
        <v>2.17</v>
      </c>
      <c r="N6" s="28" t="n">
        <v>0.460829</v>
      </c>
      <c r="O6" s="28" t="n">
        <v>0.556975</v>
      </c>
      <c r="P6" s="28" t="n"/>
      <c r="Q6" s="28" t="n">
        <v>0.096146</v>
      </c>
      <c r="R6" s="26" t="n">
        <v>68</v>
      </c>
      <c r="S6" s="29" t="n">
        <v>1</v>
      </c>
      <c r="T6" s="24" t="inlineStr">
        <is>
          <t>lol-tiered-elo-v5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25" t="n"/>
      <c r="Z6" s="26" t="n">
        <v>117</v>
      </c>
      <c r="AA6" s="28" t="n">
        <v>0.46</v>
      </c>
      <c r="AB6" s="28" t="n">
        <v>-0.000829</v>
      </c>
      <c r="AC6" s="30" t="n">
        <v>1.17</v>
      </c>
      <c r="AD6" s="24" t="inlineStr">
        <is>
          <t>2026-08-01T13:41:08.914662Z</t>
        </is>
      </c>
      <c r="AE6" s="31" t="inlineStr">
        <is>
          <t>Neutral Elo baseline; executable ask 0.4600 (market_slug=aec-lol-ns-bfx-2026-08-01).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BNK FEARX</t>
        </is>
      </c>
      <c r="AQ6" s="24" t="inlineStr">
        <is>
          <t>BNK FEARX</t>
        </is>
      </c>
      <c r="AR6" s="24" t="inlineStr">
        <is>
          <t>BNK FEARX</t>
        </is>
      </c>
      <c r="AS6" s="24" t="inlineStr">
        <is>
          <t>Nongshim Red Force</t>
        </is>
      </c>
      <c r="AT6" s="24" t="inlineStr">
        <is>
          <t>Nongshim Red Force</t>
        </is>
      </c>
      <c r="AU6" s="24" t="inlineStr">
        <is>
          <t>Nongshim Red Force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c61cc9d3c53952a2d4111be692cacdf7a1a440dd2df7c5d30197b2be280180db</t>
        </is>
      </c>
      <c r="BB6" s="24" t="inlineStr">
        <is>
          <t>neutral_elo</t>
        </is>
      </c>
      <c r="BC6" s="24" t="inlineStr">
        <is>
          <t>lol-tiered-elo-v5</t>
        </is>
      </c>
      <c r="BD6" s="24" t="inlineStr">
        <is>
          <t>c61cc9d3c53952a2d4111be692cacdf7a1a440dd2df7c5d30197b2be280180db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lol-tiered-elo-v5</t>
        </is>
      </c>
      <c r="BH6" s="24" t="inlineStr">
        <is>
          <t>2026-08-01T06:41:28.116348Z</t>
        </is>
      </c>
      <c r="BI6" s="24" t="inlineStr">
        <is>
          <t>["same_event","same_team_same_day","same_league_same_day"]</t>
        </is>
      </c>
      <c r="BJ6" s="25" t="n"/>
      <c r="BK6" s="26" t="n">
        <v>117</v>
      </c>
      <c r="BL6" s="27" t="n">
        <v>2.17</v>
      </c>
      <c r="BM6" s="28" t="n">
        <v>0.460829</v>
      </c>
      <c r="BN6" s="28" t="n"/>
      <c r="BO6" s="28" t="n"/>
      <c r="BP6" s="25" t="n"/>
      <c r="BQ6" s="27" t="n">
        <v>2.17</v>
      </c>
      <c r="BR6" s="28" t="n">
        <v>0.46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</row>
    <row r="7" ht="36" customHeight="1">
      <c r="A7" s="24" t="inlineStr">
        <is>
          <t>7114c28c1bc4422a</t>
        </is>
      </c>
      <c r="B7" s="24" t="inlineStr">
        <is>
          <t>2026-08-01T06:41:46.814528Z</t>
        </is>
      </c>
      <c r="C7" s="24" t="inlineStr">
        <is>
          <t>2026-08-01T10:00:00Z</t>
        </is>
      </c>
      <c r="D7" s="24" t="inlineStr">
        <is>
          <t>65869</t>
        </is>
      </c>
      <c r="E7" s="24" t="inlineStr">
        <is>
          <t>LOL</t>
        </is>
      </c>
      <c r="F7" s="24" t="inlineStr">
        <is>
          <t>Lausanne-Sport Esports</t>
        </is>
      </c>
      <c r="G7" s="24" t="inlineStr">
        <is>
          <t>Caldya Esport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223</v>
      </c>
      <c r="M7" s="27" t="n">
        <v>3.23</v>
      </c>
      <c r="N7" s="28" t="n">
        <v>0.309598</v>
      </c>
      <c r="O7" s="28" t="n">
        <v>0.51205</v>
      </c>
      <c r="P7" s="28" t="n"/>
      <c r="Q7" s="28" t="n">
        <v>0.202452</v>
      </c>
      <c r="R7" s="26" t="n">
        <v>100</v>
      </c>
      <c r="S7" s="29" t="n">
        <v>1</v>
      </c>
      <c r="T7" s="24" t="inlineStr">
        <is>
          <t>lol-tiered-elo-v5</t>
        </is>
      </c>
      <c r="U7" s="24" t="inlineStr">
        <is>
          <t>settled</t>
        </is>
      </c>
      <c r="V7" s="24" t="inlineStr">
        <is>
          <t>loss</t>
        </is>
      </c>
      <c r="W7" s="26" t="n">
        <v>0</v>
      </c>
      <c r="X7" s="26" t="n">
        <v>1</v>
      </c>
      <c r="Y7" s="25" t="n"/>
      <c r="Z7" s="26" t="n">
        <v>223</v>
      </c>
      <c r="AA7" s="28" t="n">
        <v>0.31</v>
      </c>
      <c r="AB7" s="28" t="n">
        <v>0.000402</v>
      </c>
      <c r="AC7" s="30" t="n">
        <v>-1</v>
      </c>
      <c r="AD7" s="24" t="inlineStr">
        <is>
          <t>2026-08-01T13:41:10.080254Z</t>
        </is>
      </c>
      <c r="AE7" s="31" t="inlineStr">
        <is>
          <t>Neutral Elo baseline; executable ask 0.3100 (market_slug=aec-lol-cla-els-2026-08-01).</t>
        </is>
      </c>
      <c r="AF7" s="31" t="inlineStr">
        <is>
          <t>Config-promoted esports baseline; gates enforced at log time.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NO_CALL_LOW_EDGE</t>
        </is>
      </c>
      <c r="AP7" s="24" t="inlineStr">
        <is>
          <t>Lausanne-Sport Esports</t>
        </is>
      </c>
      <c r="AQ7" s="24" t="inlineStr">
        <is>
          <t>Lausanne-Sport Esports</t>
        </is>
      </c>
      <c r="AR7" s="24" t="inlineStr">
        <is>
          <t>Lausanne-Sport Esports</t>
        </is>
      </c>
      <c r="AS7" s="24" t="inlineStr">
        <is>
          <t>Caldya Esport</t>
        </is>
      </c>
      <c r="AT7" s="24" t="inlineStr">
        <is>
          <t>Caldya Esport</t>
        </is>
      </c>
      <c r="AU7" s="24" t="inlineStr">
        <is>
          <t>Caldya Esport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c61cc9d3c53952a2d4111be692cacdf7a1a440dd2df7c5d30197b2be280180db</t>
        </is>
      </c>
      <c r="BB7" s="24" t="inlineStr">
        <is>
          <t>neutral_elo</t>
        </is>
      </c>
      <c r="BC7" s="24" t="inlineStr">
        <is>
          <t>lol-tiered-elo-v5</t>
        </is>
      </c>
      <c r="BD7" s="24" t="inlineStr">
        <is>
          <t>c61cc9d3c53952a2d4111be692cacdf7a1a440dd2df7c5d30197b2be280180db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lol-tiered-elo-v5</t>
        </is>
      </c>
      <c r="BH7" s="24" t="inlineStr">
        <is>
          <t>2026-08-01T06:41:29.714672Z</t>
        </is>
      </c>
      <c r="BI7" s="24" t="inlineStr">
        <is>
          <t>["same_event","same_team_same_day","same_league_same_day"]</t>
        </is>
      </c>
      <c r="BJ7" s="25" t="n"/>
      <c r="BK7" s="26" t="n">
        <v>223</v>
      </c>
      <c r="BL7" s="27" t="n">
        <v>3.23</v>
      </c>
      <c r="BM7" s="28" t="n">
        <v>0.309598</v>
      </c>
      <c r="BN7" s="28" t="n"/>
      <c r="BO7" s="28" t="n"/>
      <c r="BP7" s="25" t="n"/>
      <c r="BQ7" s="27" t="n">
        <v>3.23</v>
      </c>
      <c r="BR7" s="28" t="n">
        <v>0.31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</row>
    <row r="8" ht="36" customHeight="1">
      <c r="A8" s="24" t="inlineStr">
        <is>
          <t>1a9f21206f254f14</t>
        </is>
      </c>
      <c r="B8" s="24" t="inlineStr">
        <is>
          <t>2026-08-01T06:41:46.814528Z</t>
        </is>
      </c>
      <c r="C8" s="24" t="inlineStr">
        <is>
          <t>2026-08-01T10:00:00Z</t>
        </is>
      </c>
      <c r="D8" s="24" t="inlineStr">
        <is>
          <t>65870</t>
        </is>
      </c>
      <c r="E8" s="24" t="inlineStr">
        <is>
          <t>LOL</t>
        </is>
      </c>
      <c r="F8" s="24" t="inlineStr">
        <is>
          <t>Dplus KIA</t>
        </is>
      </c>
      <c r="G8" s="24" t="inlineStr">
        <is>
          <t>Gen.G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-186</v>
      </c>
      <c r="M8" s="27" t="n">
        <v>1.537634</v>
      </c>
      <c r="N8" s="28" t="n">
        <v>0.65035</v>
      </c>
      <c r="O8" s="28" t="n">
        <v>0.635659</v>
      </c>
      <c r="P8" s="28" t="n"/>
      <c r="Q8" s="28" t="n">
        <v>-0.014691</v>
      </c>
      <c r="R8" s="26" t="n">
        <v>13</v>
      </c>
      <c r="S8" s="29" t="n">
        <v>1.5</v>
      </c>
      <c r="T8" s="24" t="inlineStr">
        <is>
          <t>lol-tiered-elo-v5</t>
        </is>
      </c>
      <c r="U8" s="24" t="inlineStr">
        <is>
          <t>settled</t>
        </is>
      </c>
      <c r="V8" s="24" t="inlineStr">
        <is>
          <t>loss</t>
        </is>
      </c>
      <c r="W8" s="26" t="n">
        <v>1</v>
      </c>
      <c r="X8" s="26" t="n">
        <v>0</v>
      </c>
      <c r="Y8" s="25" t="n"/>
      <c r="Z8" s="26" t="n">
        <v>-186</v>
      </c>
      <c r="AA8" s="28" t="n">
        <v>0.65</v>
      </c>
      <c r="AB8" s="28" t="n">
        <v>-0.00035</v>
      </c>
      <c r="AC8" s="30" t="n">
        <v>-1.5</v>
      </c>
      <c r="AD8" s="24" t="inlineStr">
        <is>
          <t>2026-08-01T13:41:11.187095Z</t>
        </is>
      </c>
      <c r="AE8" s="31" t="inlineStr">
        <is>
          <t>Neutral Elo baseline; executable ask 0.6500 (market_slug=aec-lol-gen-dk-2026-08-01).</t>
        </is>
      </c>
      <c r="AF8" s="31" t="inlineStr">
        <is>
          <t>Config-promoted esports baseline; gates enforced at log time.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NO_CALL_LOW_EDGE</t>
        </is>
      </c>
      <c r="AP8" s="24" t="inlineStr">
        <is>
          <t>Dplus KIA</t>
        </is>
      </c>
      <c r="AQ8" s="24" t="inlineStr">
        <is>
          <t>Dplus KIA</t>
        </is>
      </c>
      <c r="AR8" s="24" t="inlineStr">
        <is>
          <t>Dplus KIA</t>
        </is>
      </c>
      <c r="AS8" s="24" t="inlineStr">
        <is>
          <t>Gen.G</t>
        </is>
      </c>
      <c r="AT8" s="24" t="inlineStr">
        <is>
          <t>Gen.G</t>
        </is>
      </c>
      <c r="AU8" s="24" t="inlineStr">
        <is>
          <t>Gen.G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c61cc9d3c53952a2d4111be692cacdf7a1a440dd2df7c5d30197b2be280180db</t>
        </is>
      </c>
      <c r="BB8" s="24" t="inlineStr">
        <is>
          <t>neutral_elo</t>
        </is>
      </c>
      <c r="BC8" s="24" t="inlineStr">
        <is>
          <t>lol-tiered-elo-v5</t>
        </is>
      </c>
      <c r="BD8" s="24" t="inlineStr">
        <is>
          <t>c61cc9d3c53952a2d4111be692cacdf7a1a440dd2df7c5d30197b2be280180db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lol-tiered-elo-v5</t>
        </is>
      </c>
      <c r="BH8" s="24" t="inlineStr">
        <is>
          <t>2026-08-01T06:41:30.212062Z</t>
        </is>
      </c>
      <c r="BI8" s="24" t="inlineStr">
        <is>
          <t>["same_event","same_team_same_day","same_league_same_day"]</t>
        </is>
      </c>
      <c r="BJ8" s="25" t="n"/>
      <c r="BK8" s="26" t="n">
        <v>-186</v>
      </c>
      <c r="BL8" s="27" t="n">
        <v>1.537634</v>
      </c>
      <c r="BM8" s="28" t="n">
        <v>0.65035</v>
      </c>
      <c r="BN8" s="28" t="n"/>
      <c r="BO8" s="28" t="n"/>
      <c r="BP8" s="25" t="n"/>
      <c r="BQ8" s="27" t="n">
        <v>1.537634</v>
      </c>
      <c r="BR8" s="28" t="n">
        <v>0.65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</row>
    <row r="9" ht="36" customHeight="1">
      <c r="A9" s="24" t="inlineStr">
        <is>
          <t>12ffb87b627f41e6</t>
        </is>
      </c>
      <c r="B9" s="24" t="inlineStr">
        <is>
          <t>2026-08-01T10:22:41.976938Z</t>
        </is>
      </c>
      <c r="C9" s="24" t="inlineStr">
        <is>
          <t>2026-08-01T11:30:00Z</t>
        </is>
      </c>
      <c r="D9" s="24" t="inlineStr">
        <is>
          <t>67590</t>
        </is>
      </c>
      <c r="E9" s="24" t="inlineStr">
        <is>
          <t>LOL</t>
        </is>
      </c>
      <c r="F9" s="24" t="inlineStr">
        <is>
          <t>GAM Esports</t>
        </is>
      </c>
      <c r="G9" s="24" t="inlineStr">
        <is>
          <t>MVK Esports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-186</v>
      </c>
      <c r="M9" s="27" t="n">
        <v>1.537634</v>
      </c>
      <c r="N9" s="28" t="n">
        <v>0.65035</v>
      </c>
      <c r="O9" s="28" t="n">
        <v>0.557124</v>
      </c>
      <c r="P9" s="28" t="n"/>
      <c r="Q9" s="28" t="n">
        <v>-0.093226</v>
      </c>
      <c r="R9" s="26" t="n">
        <v>0</v>
      </c>
      <c r="S9" s="29" t="n">
        <v>1</v>
      </c>
      <c r="T9" s="24" t="inlineStr">
        <is>
          <t>lol-tiered-elo-v5</t>
        </is>
      </c>
      <c r="U9" s="24" t="inlineStr">
        <is>
          <t>settled</t>
        </is>
      </c>
      <c r="V9" s="24" t="inlineStr">
        <is>
          <t>loss</t>
        </is>
      </c>
      <c r="W9" s="26" t="n">
        <v>0</v>
      </c>
      <c r="X9" s="26" t="n">
        <v>1</v>
      </c>
      <c r="Y9" s="25" t="n"/>
      <c r="Z9" s="26" t="n">
        <v>-186</v>
      </c>
      <c r="AA9" s="28" t="n">
        <v>0.65</v>
      </c>
      <c r="AB9" s="28" t="n">
        <v>-0.00035</v>
      </c>
      <c r="AC9" s="30" t="n">
        <v>-1</v>
      </c>
      <c r="AD9" s="24" t="inlineStr">
        <is>
          <t>2026-08-01T13:41:12.337711Z</t>
        </is>
      </c>
      <c r="AE9" s="31" t="inlineStr">
        <is>
          <t>Neutral Elo baseline; executable ask 0.6500 (market_slug=aec-lol-mvk-gam-2026-08-01).</t>
        </is>
      </c>
      <c r="AF9" s="31" t="inlineStr">
        <is>
          <t>Config-promoted esports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NO_CALL_LOW_EDGE</t>
        </is>
      </c>
      <c r="AP9" s="24" t="inlineStr">
        <is>
          <t>GAM Esports</t>
        </is>
      </c>
      <c r="AQ9" s="24" t="inlineStr">
        <is>
          <t>GAM Esports</t>
        </is>
      </c>
      <c r="AR9" s="24" t="inlineStr">
        <is>
          <t>GAM Esports</t>
        </is>
      </c>
      <c r="AS9" s="24" t="inlineStr">
        <is>
          <t>MVK Esports</t>
        </is>
      </c>
      <c r="AT9" s="24" t="inlineStr">
        <is>
          <t>MVK Esports</t>
        </is>
      </c>
      <c r="AU9" s="24" t="inlineStr">
        <is>
          <t>MVK Esports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1939003d0ba105d680a79267a9c0fb51148b6975fd072ef4235d6f4dfc8689b8</t>
        </is>
      </c>
      <c r="BB9" s="24" t="inlineStr">
        <is>
          <t>neutral_elo</t>
        </is>
      </c>
      <c r="BC9" s="24" t="inlineStr">
        <is>
          <t>lol-tiered-elo-v5</t>
        </is>
      </c>
      <c r="BD9" s="24" t="inlineStr">
        <is>
          <t>1939003d0ba105d680a79267a9c0fb51148b6975fd072ef4235d6f4dfc8689b8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lol-tiered-elo-v5</t>
        </is>
      </c>
      <c r="BH9" s="24" t="inlineStr">
        <is>
          <t>2026-08-01T10:22:28.482874Z</t>
        </is>
      </c>
      <c r="BI9" s="24" t="inlineStr">
        <is>
          <t>["same_event","same_team_same_day","same_league_same_day"]</t>
        </is>
      </c>
      <c r="BJ9" s="25" t="n"/>
      <c r="BK9" s="26" t="n">
        <v>-186</v>
      </c>
      <c r="BL9" s="27" t="n">
        <v>1.537634</v>
      </c>
      <c r="BM9" s="28" t="n">
        <v>0.65035</v>
      </c>
      <c r="BN9" s="28" t="n"/>
      <c r="BO9" s="28" t="n"/>
      <c r="BP9" s="25" t="n"/>
      <c r="BQ9" s="27" t="n">
        <v>1.537634</v>
      </c>
      <c r="BR9" s="28" t="n">
        <v>0.65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</row>
    <row r="10" ht="36" customHeight="1">
      <c r="A10" s="24" t="inlineStr">
        <is>
          <t>0ce6278f37764dc3</t>
        </is>
      </c>
      <c r="B10" s="24" t="inlineStr">
        <is>
          <t>2026-08-01T13:46:26.991370Z</t>
        </is>
      </c>
      <c r="C10" s="24" t="inlineStr">
        <is>
          <t>2026-08-01T14:00:00Z</t>
        </is>
      </c>
      <c r="D10" s="24" t="inlineStr">
        <is>
          <t>65943</t>
        </is>
      </c>
      <c r="E10" s="24" t="inlineStr">
        <is>
          <t>LOL</t>
        </is>
      </c>
      <c r="F10" s="24" t="inlineStr">
        <is>
          <t>Galions Sharks</t>
        </is>
      </c>
      <c r="G10" s="24" t="inlineStr">
        <is>
          <t>Lille Esport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-223</v>
      </c>
      <c r="M10" s="27" t="n">
        <v>1.44843</v>
      </c>
      <c r="N10" s="28" t="n">
        <v>0.690402</v>
      </c>
      <c r="O10" s="28" t="n">
        <v>0.642756</v>
      </c>
      <c r="P10" s="28" t="n"/>
      <c r="Q10" s="28" t="n">
        <v>-0.047646</v>
      </c>
      <c r="R10" s="26" t="n">
        <v>0</v>
      </c>
      <c r="S10" s="29" t="n">
        <v>1.5</v>
      </c>
      <c r="T10" s="24" t="inlineStr">
        <is>
          <t>lol-tiered-elo-v5</t>
        </is>
      </c>
      <c r="U10" s="24" t="inlineStr">
        <is>
          <t>settled</t>
        </is>
      </c>
      <c r="V10" s="24" t="inlineStr">
        <is>
          <t>win</t>
        </is>
      </c>
      <c r="W10" s="26" t="n">
        <v>1</v>
      </c>
      <c r="X10" s="26" t="n">
        <v>0</v>
      </c>
      <c r="Y10" s="25" t="n"/>
      <c r="Z10" s="26" t="n">
        <v>-223</v>
      </c>
      <c r="AA10" s="28" t="n">
        <v>0.6899999999999999</v>
      </c>
      <c r="AB10" s="28" t="n">
        <v>-0.000402</v>
      </c>
      <c r="AC10" s="30" t="n">
        <v>0.6726</v>
      </c>
      <c r="AD10" s="24" t="inlineStr">
        <is>
          <t>2026-08-01T16:48:05.888861Z</t>
        </is>
      </c>
      <c r="AE10" s="31" t="inlineStr">
        <is>
          <t>Neutral Elo baseline; executable ask 0.6900 (market_slug=aec-lol-lil-gls-2026-08-01).</t>
        </is>
      </c>
      <c r="AF10" s="31" t="inlineStr">
        <is>
          <t>Config-promoted esports baseline; gates enforced at log time.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NO_CALL_LOW_EDGE</t>
        </is>
      </c>
      <c r="AP10" s="24" t="inlineStr">
        <is>
          <t>Galions Sharks</t>
        </is>
      </c>
      <c r="AQ10" s="24" t="inlineStr">
        <is>
          <t>Galions Sharks</t>
        </is>
      </c>
      <c r="AR10" s="24" t="inlineStr">
        <is>
          <t>Galions Sharks</t>
        </is>
      </c>
      <c r="AS10" s="24" t="inlineStr">
        <is>
          <t>Lille Esport</t>
        </is>
      </c>
      <c r="AT10" s="24" t="inlineStr">
        <is>
          <t>Lille Esport</t>
        </is>
      </c>
      <c r="AU10" s="24" t="inlineStr">
        <is>
          <t>Lille Esport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a0225de77fed9ecff6db7a91aa1fb133fedb181174eece235a4505669cc54dc3</t>
        </is>
      </c>
      <c r="BB10" s="24" t="inlineStr">
        <is>
          <t>neutral_elo</t>
        </is>
      </c>
      <c r="BC10" s="24" t="inlineStr">
        <is>
          <t>lol-tiered-elo-v5</t>
        </is>
      </c>
      <c r="BD10" s="24" t="inlineStr">
        <is>
          <t>a0225de77fed9ecff6db7a91aa1fb133fedb181174eece235a4505669cc54dc3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lol-tiered-elo-v5</t>
        </is>
      </c>
      <c r="BH10" s="24" t="inlineStr">
        <is>
          <t>2026-08-01T13:46:14.706326Z</t>
        </is>
      </c>
      <c r="BI10" s="24" t="inlineStr">
        <is>
          <t>["same_event","same_team_same_day","same_league_same_day"]</t>
        </is>
      </c>
      <c r="BJ10" s="25" t="n"/>
      <c r="BK10" s="26" t="n">
        <v>-223</v>
      </c>
      <c r="BL10" s="27" t="n">
        <v>1.44843</v>
      </c>
      <c r="BM10" s="28" t="n">
        <v>0.690402</v>
      </c>
      <c r="BN10" s="28" t="n"/>
      <c r="BO10" s="28" t="n"/>
      <c r="BP10" s="25" t="n"/>
      <c r="BQ10" s="27" t="n">
        <v>1.44843</v>
      </c>
      <c r="BR10" s="28" t="n">
        <v>0.6899999999999999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</row>
    <row r="11" ht="36" customHeight="1">
      <c r="A11" s="24" t="inlineStr">
        <is>
          <t>3d6070f28de94bdc</t>
        </is>
      </c>
      <c r="B11" s="24" t="inlineStr">
        <is>
          <t>2026-08-01T13:46:26.991370Z</t>
        </is>
      </c>
      <c r="C11" s="24" t="inlineStr">
        <is>
          <t>2026-08-01T15:00:00Z</t>
        </is>
      </c>
      <c r="D11" s="24" t="inlineStr">
        <is>
          <t>65952</t>
        </is>
      </c>
      <c r="E11" s="24" t="inlineStr">
        <is>
          <t>LOL</t>
        </is>
      </c>
      <c r="F11" s="24" t="inlineStr">
        <is>
          <t>SK Gaming</t>
        </is>
      </c>
      <c r="G11" s="24" t="inlineStr">
        <is>
          <t>GIANTX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-186</v>
      </c>
      <c r="M11" s="27" t="n">
        <v>1.537634</v>
      </c>
      <c r="N11" s="28" t="n">
        <v>0.65035</v>
      </c>
      <c r="O11" s="28" t="n">
        <v>0.749744</v>
      </c>
      <c r="P11" s="28" t="n"/>
      <c r="Q11" s="28" t="n">
        <v>0.099394</v>
      </c>
      <c r="R11" s="26" t="n">
        <v>70</v>
      </c>
      <c r="S11" s="29" t="n">
        <v>2</v>
      </c>
      <c r="T11" s="24" t="inlineStr">
        <is>
          <t>lol-tiered-elo-v5</t>
        </is>
      </c>
      <c r="U11" s="24" t="inlineStr">
        <is>
          <t>settled</t>
        </is>
      </c>
      <c r="V11" s="24" t="inlineStr">
        <is>
          <t>loss</t>
        </is>
      </c>
      <c r="W11" s="26" t="n">
        <v>1</v>
      </c>
      <c r="X11" s="26" t="n">
        <v>0</v>
      </c>
      <c r="Y11" s="25" t="n"/>
      <c r="Z11" s="26" t="n">
        <v>-186</v>
      </c>
      <c r="AA11" s="28" t="n">
        <v>0.65</v>
      </c>
      <c r="AB11" s="28" t="n">
        <v>-0.00035</v>
      </c>
      <c r="AC11" s="30" t="n">
        <v>-2</v>
      </c>
      <c r="AD11" s="24" t="inlineStr">
        <is>
          <t>2026-08-01T18:35:26.683413Z</t>
        </is>
      </c>
      <c r="AE11" s="31" t="inlineStr">
        <is>
          <t>Neutral Elo baseline; executable ask 0.6500 (market_slug=aec-lol-gx-sk-2026-08-01).</t>
        </is>
      </c>
      <c r="AF11" s="31" t="inlineStr">
        <is>
          <t>Config-promoted esports baseline; gates enforced at log time.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SK Gaming</t>
        </is>
      </c>
      <c r="AQ11" s="24" t="inlineStr">
        <is>
          <t>SK Gaming</t>
        </is>
      </c>
      <c r="AR11" s="24" t="inlineStr">
        <is>
          <t>SK Gaming</t>
        </is>
      </c>
      <c r="AS11" s="24" t="inlineStr">
        <is>
          <t>GIANTX</t>
        </is>
      </c>
      <c r="AT11" s="24" t="inlineStr">
        <is>
          <t>GIANTX</t>
        </is>
      </c>
      <c r="AU11" s="24" t="inlineStr">
        <is>
          <t>GIANTX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a0225de77fed9ecff6db7a91aa1fb133fedb181174eece235a4505669cc54dc3</t>
        </is>
      </c>
      <c r="BB11" s="24" t="inlineStr">
        <is>
          <t>neutral_elo</t>
        </is>
      </c>
      <c r="BC11" s="24" t="inlineStr">
        <is>
          <t>lol-tiered-elo-v5</t>
        </is>
      </c>
      <c r="BD11" s="24" t="inlineStr">
        <is>
          <t>a0225de77fed9ecff6db7a91aa1fb133fedb181174eece235a4505669cc54dc3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lol-tiered-elo-v5</t>
        </is>
      </c>
      <c r="BH11" s="24" t="inlineStr">
        <is>
          <t>2026-08-01T13:46:15.238583Z</t>
        </is>
      </c>
      <c r="BI11" s="24" t="inlineStr">
        <is>
          <t>["same_event","same_team_same_day","same_league_same_day"]</t>
        </is>
      </c>
      <c r="BJ11" s="25" t="n"/>
      <c r="BK11" s="26" t="n">
        <v>-186</v>
      </c>
      <c r="BL11" s="27" t="n">
        <v>1.537634</v>
      </c>
      <c r="BM11" s="28" t="n">
        <v>0.65035</v>
      </c>
      <c r="BN11" s="28" t="n"/>
      <c r="BO11" s="28" t="n"/>
      <c r="BP11" s="25" t="n"/>
      <c r="BQ11" s="27" t="n">
        <v>1.537634</v>
      </c>
      <c r="BR11" s="28" t="n">
        <v>0.65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</row>
    <row r="12" ht="36" customHeight="1">
      <c r="A12" s="24" t="inlineStr">
        <is>
          <t>336ec80f1d00414f</t>
        </is>
      </c>
      <c r="B12" s="24" t="inlineStr">
        <is>
          <t>2026-08-01T13:46:26.991370Z</t>
        </is>
      </c>
      <c r="C12" s="24" t="inlineStr">
        <is>
          <t>2026-08-01T16:00:00Z</t>
        </is>
      </c>
      <c r="D12" s="24" t="inlineStr">
        <is>
          <t>66008</t>
        </is>
      </c>
      <c r="E12" s="24" t="inlineStr">
        <is>
          <t>LOL</t>
        </is>
      </c>
      <c r="F12" s="24" t="inlineStr">
        <is>
          <t>FURIA Esports</t>
        </is>
      </c>
      <c r="G12" s="24" t="inlineStr">
        <is>
          <t>Vivo Keyd Stars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-113</v>
      </c>
      <c r="M12" s="27" t="n">
        <v>1.884956</v>
      </c>
      <c r="N12" s="28" t="n">
        <v>0.530516</v>
      </c>
      <c r="O12" s="28" t="n">
        <v>0.557751</v>
      </c>
      <c r="P12" s="28" t="n"/>
      <c r="Q12" s="28" t="n">
        <v>0.027235</v>
      </c>
      <c r="R12" s="26" t="n">
        <v>34</v>
      </c>
      <c r="S12" s="29" t="n">
        <v>1</v>
      </c>
      <c r="T12" s="24" t="inlineStr">
        <is>
          <t>lol-tiered-elo-v5</t>
        </is>
      </c>
      <c r="U12" s="24" t="inlineStr">
        <is>
          <t>settled</t>
        </is>
      </c>
      <c r="V12" s="24" t="inlineStr">
        <is>
          <t>loss</t>
        </is>
      </c>
      <c r="W12" s="26" t="n">
        <v>0</v>
      </c>
      <c r="X12" s="26" t="n">
        <v>1</v>
      </c>
      <c r="Y12" s="25" t="n"/>
      <c r="Z12" s="26" t="n">
        <v>-113</v>
      </c>
      <c r="AA12" s="28" t="n">
        <v>0.53</v>
      </c>
      <c r="AB12" s="28" t="n">
        <v>-0.000516</v>
      </c>
      <c r="AC12" s="30" t="n">
        <v>-1</v>
      </c>
      <c r="AD12" s="24" t="inlineStr">
        <is>
          <t>2026-08-01T18:35:27.956072Z</t>
        </is>
      </c>
      <c r="AE12" s="31" t="inlineStr">
        <is>
          <t>Neutral Elo baseline; executable ask 0.5300 (market_slug=aec-lol-vks-fur-2026-08-01).</t>
        </is>
      </c>
      <c r="AF12" s="31" t="inlineStr">
        <is>
          <t>Config-promoted esports baseline; gates enforced at log time.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FURIA Esports</t>
        </is>
      </c>
      <c r="AQ12" s="24" t="inlineStr">
        <is>
          <t>FURIA Esports</t>
        </is>
      </c>
      <c r="AR12" s="24" t="inlineStr">
        <is>
          <t>FURIA Esports</t>
        </is>
      </c>
      <c r="AS12" s="24" t="inlineStr">
        <is>
          <t>Vivo Keyd Stars</t>
        </is>
      </c>
      <c r="AT12" s="24" t="inlineStr">
        <is>
          <t>Vivo Keyd Stars</t>
        </is>
      </c>
      <c r="AU12" s="24" t="inlineStr">
        <is>
          <t>Vivo Keyd Stars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a0225de77fed9ecff6db7a91aa1fb133fedb181174eece235a4505669cc54dc3</t>
        </is>
      </c>
      <c r="BB12" s="24" t="inlineStr">
        <is>
          <t>neutral_elo</t>
        </is>
      </c>
      <c r="BC12" s="24" t="inlineStr">
        <is>
          <t>lol-tiered-elo-v5</t>
        </is>
      </c>
      <c r="BD12" s="24" t="inlineStr">
        <is>
          <t>a0225de77fed9ecff6db7a91aa1fb133fedb181174eece235a4505669cc54dc3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lol-tiered-elo-v5</t>
        </is>
      </c>
      <c r="BH12" s="24" t="inlineStr">
        <is>
          <t>2026-08-01T13:46:15.747699Z</t>
        </is>
      </c>
      <c r="BI12" s="24" t="inlineStr">
        <is>
          <t>["same_event","same_team_same_day","same_league_same_day"]</t>
        </is>
      </c>
      <c r="BJ12" s="25" t="n"/>
      <c r="BK12" s="26" t="n">
        <v>-113</v>
      </c>
      <c r="BL12" s="27" t="n">
        <v>1.884956</v>
      </c>
      <c r="BM12" s="28" t="n">
        <v>0.530516</v>
      </c>
      <c r="BN12" s="28" t="n"/>
      <c r="BO12" s="28" t="n"/>
      <c r="BP12" s="25" t="n"/>
      <c r="BQ12" s="27" t="n">
        <v>1.884956</v>
      </c>
      <c r="BR12" s="28" t="n">
        <v>0.53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</row>
    <row r="13" ht="36" customHeight="1">
      <c r="A13" s="24" t="inlineStr">
        <is>
          <t>73f8433cce1a461e</t>
        </is>
      </c>
      <c r="B13" s="24" t="inlineStr">
        <is>
          <t>2026-08-02T06:51:56.046278Z</t>
        </is>
      </c>
      <c r="C13" s="24" t="inlineStr">
        <is>
          <t>2026-08-02T07:00:00Z</t>
        </is>
      </c>
      <c r="D13" s="24" t="inlineStr">
        <is>
          <t>66779</t>
        </is>
      </c>
      <c r="E13" s="24" t="inlineStr">
        <is>
          <t>LOL</t>
        </is>
      </c>
      <c r="F13" s="24" t="inlineStr">
        <is>
          <t>Team WE</t>
        </is>
      </c>
      <c r="G13" s="24" t="inlineStr">
        <is>
          <t>ThunderTalk Gaming</t>
        </is>
      </c>
      <c r="H13" s="24" t="inlineStr">
        <is>
          <t>moneyline</t>
        </is>
      </c>
      <c r="I13" s="24" t="inlineStr">
        <is>
          <t>away</t>
        </is>
      </c>
      <c r="J13" s="25" t="n"/>
      <c r="K13" s="24" t="inlineStr">
        <is>
          <t>polymarket_us</t>
        </is>
      </c>
      <c r="L13" s="26" t="n">
        <v>-233</v>
      </c>
      <c r="M13" s="27" t="n">
        <v>1.429185</v>
      </c>
      <c r="N13" s="28" t="n">
        <v>0.6997</v>
      </c>
      <c r="O13" s="28" t="n">
        <v>0.652554</v>
      </c>
      <c r="P13" s="28" t="n"/>
      <c r="Q13" s="28" t="n">
        <v>-0.047146</v>
      </c>
      <c r="R13" s="26" t="n">
        <v>0</v>
      </c>
      <c r="S13" s="29" t="n">
        <v>1.75</v>
      </c>
      <c r="T13" s="24" t="inlineStr">
        <is>
          <t>lol-tiered-elo-v5</t>
        </is>
      </c>
      <c r="U13" s="24" t="inlineStr">
        <is>
          <t>settled</t>
        </is>
      </c>
      <c r="V13" s="24" t="inlineStr">
        <is>
          <t>win</t>
        </is>
      </c>
      <c r="W13" s="26" t="n">
        <v>1</v>
      </c>
      <c r="X13" s="26" t="n">
        <v>0</v>
      </c>
      <c r="Y13" s="25" t="n"/>
      <c r="Z13" s="26" t="n">
        <v>-233</v>
      </c>
      <c r="AA13" s="28" t="n">
        <v>0.7</v>
      </c>
      <c r="AB13" s="28" t="n">
        <v>0.0003</v>
      </c>
      <c r="AC13" s="30" t="n">
        <v>0.7511</v>
      </c>
      <c r="AD13" s="24" t="inlineStr">
        <is>
          <t>2026-08-02T09:53:38.533320Z</t>
        </is>
      </c>
      <c r="AE13" s="31" t="inlineStr">
        <is>
          <t>Neutral Elo baseline; executable ask 0.7000 (market_slug=aec-lol-tt-we-2026-08-02).</t>
        </is>
      </c>
      <c r="AF13" s="31" t="inlineStr">
        <is>
          <t>Config-promoted esports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NO_CALL_LOW_EDGE</t>
        </is>
      </c>
      <c r="AP13" s="24" t="inlineStr">
        <is>
          <t>Team WE</t>
        </is>
      </c>
      <c r="AQ13" s="24" t="inlineStr">
        <is>
          <t>Team WE</t>
        </is>
      </c>
      <c r="AR13" s="24" t="inlineStr">
        <is>
          <t>Team WE</t>
        </is>
      </c>
      <c r="AS13" s="24" t="inlineStr">
        <is>
          <t>ThunderTalk Gaming</t>
        </is>
      </c>
      <c r="AT13" s="24" t="inlineStr">
        <is>
          <t>ThunderTalk Gaming</t>
        </is>
      </c>
      <c r="AU13" s="24" t="inlineStr">
        <is>
          <t>ThunderTalk Gaming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bdf823330923d145365ad4f6a02dd0ec337f4e55dcb78716824f971491f65d6e</t>
        </is>
      </c>
      <c r="BB13" s="24" t="inlineStr">
        <is>
          <t>neutral_elo</t>
        </is>
      </c>
      <c r="BC13" s="24" t="inlineStr">
        <is>
          <t>lol-tiered-elo-v5</t>
        </is>
      </c>
      <c r="BD13" s="24" t="inlineStr">
        <is>
          <t>bdf823330923d145365ad4f6a02dd0ec337f4e55dcb78716824f971491f65d6e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lol-tiered-elo-v5</t>
        </is>
      </c>
      <c r="BH13" s="24" t="inlineStr">
        <is>
          <t>2026-08-02T06:51:40.260979Z</t>
        </is>
      </c>
      <c r="BI13" s="24" t="inlineStr">
        <is>
          <t>["same_event","same_team_same_day","same_league_same_day"]</t>
        </is>
      </c>
      <c r="BJ13" s="25" t="n"/>
      <c r="BK13" s="26" t="n">
        <v>-233</v>
      </c>
      <c r="BL13" s="27" t="n">
        <v>1.429185</v>
      </c>
      <c r="BM13" s="28" t="n">
        <v>0.6997</v>
      </c>
      <c r="BN13" s="28" t="n"/>
      <c r="BO13" s="28" t="n"/>
      <c r="BP13" s="25" t="n"/>
      <c r="BQ13" s="27" t="n">
        <v>1.429185</v>
      </c>
      <c r="BR13" s="28" t="n">
        <v>0.7</v>
      </c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</row>
    <row r="14" ht="36" customHeight="1">
      <c r="A14" s="24" t="inlineStr">
        <is>
          <t>33757bba99024f37</t>
        </is>
      </c>
      <c r="B14" s="24" t="inlineStr">
        <is>
          <t>2026-08-02T09:59:37.296167Z</t>
        </is>
      </c>
      <c r="C14" s="24" t="inlineStr">
        <is>
          <t>2026-08-02T10:00:00Z</t>
        </is>
      </c>
      <c r="D14" s="24" t="inlineStr">
        <is>
          <t>66811</t>
        </is>
      </c>
      <c r="E14" s="24" t="inlineStr">
        <is>
          <t>LOL</t>
        </is>
      </c>
      <c r="F14" s="24" t="inlineStr">
        <is>
          <t>Ancient Ones</t>
        </is>
      </c>
      <c r="G14" s="24" t="inlineStr">
        <is>
          <t>Crystal Rose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113</v>
      </c>
      <c r="M14" s="27" t="n">
        <v>2.13</v>
      </c>
      <c r="N14" s="28" t="n">
        <v>0.469484</v>
      </c>
      <c r="O14" s="28" t="n">
        <v>0.614494</v>
      </c>
      <c r="P14" s="28" t="n"/>
      <c r="Q14" s="28" t="n">
        <v>0.14501</v>
      </c>
      <c r="R14" s="26" t="n">
        <v>93</v>
      </c>
      <c r="S14" s="29" t="n">
        <v>1.5</v>
      </c>
      <c r="T14" s="24" t="inlineStr">
        <is>
          <t>lol-tiered-elo-v5</t>
        </is>
      </c>
      <c r="U14" s="24" t="inlineStr">
        <is>
          <t>open</t>
        </is>
      </c>
      <c r="V14" s="24" t="n"/>
      <c r="W14" s="26" t="n"/>
      <c r="X14" s="26" t="n"/>
      <c r="Y14" s="25" t="n"/>
      <c r="Z14" s="26" t="n"/>
      <c r="AA14" s="28" t="n"/>
      <c r="AB14" s="28" t="n"/>
      <c r="AC14" s="30" t="n"/>
      <c r="AD14" s="24" t="n"/>
      <c r="AE14" s="31" t="inlineStr">
        <is>
          <t>Neutral Elo baseline; executable ask 0.4700 (market_slug=aec-lol-cr-ao-2026-08-02).</t>
        </is>
      </c>
      <c r="AF14" s="31" t="inlineStr">
        <is>
          <t>Config-promoted esports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Ancient Ones</t>
        </is>
      </c>
      <c r="AQ14" s="24" t="inlineStr">
        <is>
          <t>Ancient Ones</t>
        </is>
      </c>
      <c r="AR14" s="24" t="inlineStr">
        <is>
          <t>Ancient Ones</t>
        </is>
      </c>
      <c r="AS14" s="24" t="inlineStr">
        <is>
          <t>Crystal Rose</t>
        </is>
      </c>
      <c r="AT14" s="24" t="inlineStr">
        <is>
          <t>Crystal Rose</t>
        </is>
      </c>
      <c r="AU14" s="24" t="inlineStr">
        <is>
          <t>Crystal Rose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872990f5864d469e34c183f4364739fd3897540762b962f4ec2e55405665b2e8</t>
        </is>
      </c>
      <c r="BB14" s="24" t="inlineStr">
        <is>
          <t>neutral_elo</t>
        </is>
      </c>
      <c r="BC14" s="24" t="inlineStr">
        <is>
          <t>lol-tiered-elo-v5</t>
        </is>
      </c>
      <c r="BD14" s="24" t="inlineStr">
        <is>
          <t>872990f5864d469e34c183f4364739fd3897540762b962f4ec2e55405665b2e8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lol-tiered-elo-v5</t>
        </is>
      </c>
      <c r="BH14" s="24" t="inlineStr">
        <is>
          <t>2026-08-02T09:59:22.583724Z</t>
        </is>
      </c>
      <c r="BI14" s="24" t="inlineStr">
        <is>
          <t>["same_event","same_team_same_day","same_league_same_day"]</t>
        </is>
      </c>
      <c r="BJ14" s="25" t="n"/>
      <c r="BK14" s="26" t="n">
        <v>113</v>
      </c>
      <c r="BL14" s="27" t="n">
        <v>2.13</v>
      </c>
      <c r="BM14" s="28" t="n">
        <v>0.469484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</row>
    <row r="15" ht="36" customHeight="1">
      <c r="A15" s="24" t="inlineStr">
        <is>
          <t>74461a45898a4a7d</t>
        </is>
      </c>
      <c r="B15" s="24" t="inlineStr">
        <is>
          <t>2026-08-02T09:59:37.296167Z</t>
        </is>
      </c>
      <c r="C15" s="24" t="inlineStr">
        <is>
          <t>2026-08-02T11:00:00Z</t>
        </is>
      </c>
      <c r="D15" s="24" t="inlineStr">
        <is>
          <t>66837</t>
        </is>
      </c>
      <c r="E15" s="24" t="inlineStr">
        <is>
          <t>LOL</t>
        </is>
      </c>
      <c r="F15" s="24" t="inlineStr">
        <is>
          <t>Lille Esport</t>
        </is>
      </c>
      <c r="G15" s="24" t="inlineStr">
        <is>
          <t>Lausanne-Sport Esports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100</v>
      </c>
      <c r="M15" s="27" t="n">
        <v>2</v>
      </c>
      <c r="N15" s="28" t="n">
        <v>0.5</v>
      </c>
      <c r="O15" s="28" t="n">
        <v>0.586093</v>
      </c>
      <c r="P15" s="28" t="n"/>
      <c r="Q15" s="28" t="n">
        <v>0.086093</v>
      </c>
      <c r="R15" s="26" t="n">
        <v>63</v>
      </c>
      <c r="S15" s="29" t="n">
        <v>1.25</v>
      </c>
      <c r="T15" s="24" t="inlineStr">
        <is>
          <t>lol-tiered-elo-v5</t>
        </is>
      </c>
      <c r="U15" s="24" t="inlineStr">
        <is>
          <t>open</t>
        </is>
      </c>
      <c r="V15" s="24" t="n"/>
      <c r="W15" s="26" t="n"/>
      <c r="X15" s="26" t="n"/>
      <c r="Y15" s="25" t="n"/>
      <c r="Z15" s="26" t="n"/>
      <c r="AA15" s="28" t="n"/>
      <c r="AB15" s="28" t="n"/>
      <c r="AC15" s="30" t="n"/>
      <c r="AD15" s="24" t="n"/>
      <c r="AE15" s="31" t="inlineStr">
        <is>
          <t>Neutral Elo baseline; executable ask 0.5000 (market_slug=aec-lol-els-lil-2026-08-02).</t>
        </is>
      </c>
      <c r="AF15" s="31" t="inlineStr">
        <is>
          <t>Config-promoted esports baseline; gates enforced at log time.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Lille Esport</t>
        </is>
      </c>
      <c r="AQ15" s="24" t="inlineStr">
        <is>
          <t>Lille Esport</t>
        </is>
      </c>
      <c r="AR15" s="24" t="inlineStr">
        <is>
          <t>Lille Esport</t>
        </is>
      </c>
      <c r="AS15" s="24" t="inlineStr">
        <is>
          <t>Lausanne-Sport Esports</t>
        </is>
      </c>
      <c r="AT15" s="24" t="inlineStr">
        <is>
          <t>Lausanne-Sport Esports</t>
        </is>
      </c>
      <c r="AU15" s="24" t="inlineStr">
        <is>
          <t>Lausanne-Sport Esports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872990f5864d469e34c183f4364739fd3897540762b962f4ec2e55405665b2e8</t>
        </is>
      </c>
      <c r="BB15" s="24" t="inlineStr">
        <is>
          <t>neutral_elo</t>
        </is>
      </c>
      <c r="BC15" s="24" t="inlineStr">
        <is>
          <t>lol-tiered-elo-v5</t>
        </is>
      </c>
      <c r="BD15" s="24" t="inlineStr">
        <is>
          <t>872990f5864d469e34c183f4364739fd3897540762b962f4ec2e55405665b2e8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lol-tiered-elo-v5</t>
        </is>
      </c>
      <c r="BH15" s="24" t="inlineStr">
        <is>
          <t>2026-08-02T09:59:23.587864Z</t>
        </is>
      </c>
      <c r="BI15" s="24" t="inlineStr">
        <is>
          <t>["same_event","same_team_same_day","same_league_same_day"]</t>
        </is>
      </c>
      <c r="BJ15" s="25" t="n"/>
      <c r="BK15" s="26" t="n">
        <v>100</v>
      </c>
      <c r="BL15" s="27" t="n">
        <v>2</v>
      </c>
      <c r="BM15" s="28" t="n">
        <v>0.5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</row>
    <row r="16" ht="36" customHeight="1">
      <c r="A16" s="24" t="inlineStr">
        <is>
          <t>7b4139d22f3f4b67</t>
        </is>
      </c>
      <c r="B16" s="24" t="inlineStr">
        <is>
          <t>2026-08-02T09:59:37.296167Z</t>
        </is>
      </c>
      <c r="C16" s="24" t="inlineStr">
        <is>
          <t>2026-08-02T11:00:00Z</t>
        </is>
      </c>
      <c r="D16" s="24" t="inlineStr">
        <is>
          <t>66838</t>
        </is>
      </c>
      <c r="E16" s="24" t="inlineStr">
        <is>
          <t>LOL</t>
        </is>
      </c>
      <c r="F16" s="24" t="inlineStr">
        <is>
          <t>JD Gaming</t>
        </is>
      </c>
      <c r="G16" s="24" t="inlineStr">
        <is>
          <t>Top Esports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-117</v>
      </c>
      <c r="M16" s="27" t="n">
        <v>1.854701</v>
      </c>
      <c r="N16" s="28" t="n">
        <v>0.539171</v>
      </c>
      <c r="O16" s="28" t="n">
        <v>0.5497840000000001</v>
      </c>
      <c r="P16" s="28" t="n"/>
      <c r="Q16" s="28" t="n">
        <v>0.010613</v>
      </c>
      <c r="R16" s="26" t="n">
        <v>25</v>
      </c>
      <c r="S16" s="29" t="n">
        <v>1</v>
      </c>
      <c r="T16" s="24" t="inlineStr">
        <is>
          <t>lol-tiered-elo-v5</t>
        </is>
      </c>
      <c r="U16" s="24" t="inlineStr">
        <is>
          <t>open</t>
        </is>
      </c>
      <c r="V16" s="24" t="n"/>
      <c r="W16" s="26" t="n"/>
      <c r="X16" s="26" t="n"/>
      <c r="Y16" s="25" t="n"/>
      <c r="Z16" s="26" t="n"/>
      <c r="AA16" s="28" t="n"/>
      <c r="AB16" s="28" t="n"/>
      <c r="AC16" s="30" t="n"/>
      <c r="AD16" s="24" t="n"/>
      <c r="AE16" s="31" t="inlineStr">
        <is>
          <t>Neutral Elo baseline; executable ask 0.5400 (market_slug=aec-lol-tes-jdg-2026-08-02).</t>
        </is>
      </c>
      <c r="AF16" s="31" t="inlineStr">
        <is>
          <t>Config-promoted esports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NO_CALL_LOW_EDGE</t>
        </is>
      </c>
      <c r="AP16" s="24" t="inlineStr">
        <is>
          <t>JD Gaming</t>
        </is>
      </c>
      <c r="AQ16" s="24" t="inlineStr">
        <is>
          <t>JD Gaming</t>
        </is>
      </c>
      <c r="AR16" s="24" t="inlineStr">
        <is>
          <t>JD Gaming</t>
        </is>
      </c>
      <c r="AS16" s="24" t="inlineStr">
        <is>
          <t>Top Esports</t>
        </is>
      </c>
      <c r="AT16" s="24" t="inlineStr">
        <is>
          <t>Top Esports</t>
        </is>
      </c>
      <c r="AU16" s="24" t="inlineStr">
        <is>
          <t>Top Esports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872990f5864d469e34c183f4364739fd3897540762b962f4ec2e55405665b2e8</t>
        </is>
      </c>
      <c r="BB16" s="24" t="inlineStr">
        <is>
          <t>neutral_elo</t>
        </is>
      </c>
      <c r="BC16" s="24" t="inlineStr">
        <is>
          <t>lol-tiered-elo-v5</t>
        </is>
      </c>
      <c r="BD16" s="24" t="inlineStr">
        <is>
          <t>872990f5864d469e34c183f4364739fd3897540762b962f4ec2e55405665b2e8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lol-tiered-elo-v5</t>
        </is>
      </c>
      <c r="BH16" s="24" t="inlineStr">
        <is>
          <t>2026-08-02T09:59:24.043094Z</t>
        </is>
      </c>
      <c r="BI16" s="24" t="inlineStr">
        <is>
          <t>["same_event","same_team_same_day","same_league_same_day"]</t>
        </is>
      </c>
      <c r="BJ16" s="25" t="n"/>
      <c r="BK16" s="26" t="n">
        <v>-117</v>
      </c>
      <c r="BL16" s="27" t="n">
        <v>1.854701</v>
      </c>
      <c r="BM16" s="28" t="n">
        <v>0.539171</v>
      </c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</row>
    <row r="17" ht="36" customHeight="1">
      <c r="A17" s="24" t="inlineStr">
        <is>
          <t>4f302100dfd64584</t>
        </is>
      </c>
      <c r="B17" s="24" t="inlineStr">
        <is>
          <t>2026-08-02T09:59:37.296167Z</t>
        </is>
      </c>
      <c r="C17" s="24" t="inlineStr">
        <is>
          <t>2026-08-02T12:00:00Z</t>
        </is>
      </c>
      <c r="D17" s="24" t="inlineStr">
        <is>
          <t>66847</t>
        </is>
      </c>
      <c r="E17" s="24" t="inlineStr">
        <is>
          <t>LOL</t>
        </is>
      </c>
      <c r="F17" s="24" t="inlineStr">
        <is>
          <t>Galions Sharks</t>
        </is>
      </c>
      <c r="G17" s="24" t="inlineStr">
        <is>
          <t>Karmine Corp Blue Stars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-213</v>
      </c>
      <c r="M17" s="27" t="n">
        <v>1.469484</v>
      </c>
      <c r="N17" s="28" t="n">
        <v>0.680511</v>
      </c>
      <c r="O17" s="28" t="n">
        <v>0.55411</v>
      </c>
      <c r="P17" s="28" t="n"/>
      <c r="Q17" s="28" t="n">
        <v>-0.126401</v>
      </c>
      <c r="R17" s="26" t="n">
        <v>0</v>
      </c>
      <c r="S17" s="29" t="n">
        <v>1</v>
      </c>
      <c r="T17" s="24" t="inlineStr">
        <is>
          <t>lol-tiered-elo-v5</t>
        </is>
      </c>
      <c r="U17" s="24" t="inlineStr">
        <is>
          <t>open</t>
        </is>
      </c>
      <c r="V17" s="24" t="n"/>
      <c r="W17" s="26" t="n"/>
      <c r="X17" s="26" t="n"/>
      <c r="Y17" s="25" t="n"/>
      <c r="Z17" s="26" t="n"/>
      <c r="AA17" s="28" t="n"/>
      <c r="AB17" s="28" t="n"/>
      <c r="AC17" s="30" t="n"/>
      <c r="AD17" s="24" t="n"/>
      <c r="AE17" s="31" t="inlineStr">
        <is>
          <t>Neutral Elo baseline; executable ask 0.6800 (market_slug=aec-lol-kcbs-gls-2026-08-02).</t>
        </is>
      </c>
      <c r="AF17" s="31" t="inlineStr">
        <is>
          <t>Config-promoted esports baseline; gates enforced at log time.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NO_CALL_LOW_EDGE</t>
        </is>
      </c>
      <c r="AP17" s="24" t="inlineStr">
        <is>
          <t>Galions Sharks</t>
        </is>
      </c>
      <c r="AQ17" s="24" t="inlineStr">
        <is>
          <t>Galions Sharks</t>
        </is>
      </c>
      <c r="AR17" s="24" t="inlineStr">
        <is>
          <t>Galions Sharks</t>
        </is>
      </c>
      <c r="AS17" s="24" t="inlineStr">
        <is>
          <t>Karmine Corp Blue Stars</t>
        </is>
      </c>
      <c r="AT17" s="24" t="inlineStr">
        <is>
          <t>Karmine Corp Blue Stars</t>
        </is>
      </c>
      <c r="AU17" s="24" t="inlineStr">
        <is>
          <t>Karmine Corp Blue Stars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872990f5864d469e34c183f4364739fd3897540762b962f4ec2e55405665b2e8</t>
        </is>
      </c>
      <c r="BB17" s="24" t="inlineStr">
        <is>
          <t>neutral_elo</t>
        </is>
      </c>
      <c r="BC17" s="24" t="inlineStr">
        <is>
          <t>lol-tiered-elo-v5</t>
        </is>
      </c>
      <c r="BD17" s="24" t="inlineStr">
        <is>
          <t>872990f5864d469e34c183f4364739fd3897540762b962f4ec2e55405665b2e8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lol-tiered-elo-v5</t>
        </is>
      </c>
      <c r="BH17" s="24" t="inlineStr">
        <is>
          <t>2026-08-02T09:59:24.695366Z</t>
        </is>
      </c>
      <c r="BI17" s="24" t="inlineStr">
        <is>
          <t>["same_event","same_team_same_day","same_league_same_day"]</t>
        </is>
      </c>
      <c r="BJ17" s="25" t="n"/>
      <c r="BK17" s="26" t="n">
        <v>-213</v>
      </c>
      <c r="BL17" s="27" t="n">
        <v>1.469484</v>
      </c>
      <c r="BM17" s="28" t="n">
        <v>0.680511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</row>
    <row r="18" ht="36" customHeight="1">
      <c r="A18" s="24" t="inlineStr">
        <is>
          <t>af581e92b3bb4d90</t>
        </is>
      </c>
      <c r="B18" s="24" t="inlineStr">
        <is>
          <t>2026-08-02T09:59:37.296167Z</t>
        </is>
      </c>
      <c r="C18" s="24" t="inlineStr">
        <is>
          <t>2026-08-02T14:00:00Z</t>
        </is>
      </c>
      <c r="D18" s="24" t="inlineStr">
        <is>
          <t>66876</t>
        </is>
      </c>
      <c r="E18" s="24" t="inlineStr">
        <is>
          <t>LOL</t>
        </is>
      </c>
      <c r="F18" s="24" t="inlineStr">
        <is>
          <t>Caldya Esport</t>
        </is>
      </c>
      <c r="G18" s="24" t="inlineStr">
        <is>
          <t>Zephyr Esport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186</v>
      </c>
      <c r="M18" s="27" t="n">
        <v>2.86</v>
      </c>
      <c r="N18" s="28" t="n">
        <v>0.34965</v>
      </c>
      <c r="O18" s="28" t="n">
        <v>0.526261</v>
      </c>
      <c r="P18" s="28" t="n"/>
      <c r="Q18" s="28" t="n">
        <v>0.176611</v>
      </c>
      <c r="R18" s="26" t="n">
        <v>100</v>
      </c>
      <c r="S18" s="29" t="n">
        <v>1</v>
      </c>
      <c r="T18" s="24" t="inlineStr">
        <is>
          <t>lol-tiered-elo-v5</t>
        </is>
      </c>
      <c r="U18" s="24" t="inlineStr">
        <is>
          <t>open</t>
        </is>
      </c>
      <c r="V18" s="24" t="n"/>
      <c r="W18" s="26" t="n"/>
      <c r="X18" s="26" t="n"/>
      <c r="Y18" s="25" t="n"/>
      <c r="Z18" s="26" t="n"/>
      <c r="AA18" s="28" t="n"/>
      <c r="AB18" s="28" t="n"/>
      <c r="AC18" s="30" t="n"/>
      <c r="AD18" s="24" t="n"/>
      <c r="AE18" s="31" t="inlineStr">
        <is>
          <t>Neutral Elo baseline; executable ask 0.3500 (market_slug=aec-lol-zpr-cla-2026-08-02).</t>
        </is>
      </c>
      <c r="AF18" s="31" t="inlineStr">
        <is>
          <t>Config-promoted esports baseline; gates enforced at log time.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NO_CALL_LOW_EDGE</t>
        </is>
      </c>
      <c r="AP18" s="24" t="inlineStr">
        <is>
          <t>Caldya Esport</t>
        </is>
      </c>
      <c r="AQ18" s="24" t="inlineStr">
        <is>
          <t>Caldya Esport</t>
        </is>
      </c>
      <c r="AR18" s="24" t="inlineStr">
        <is>
          <t>Caldya Esport</t>
        </is>
      </c>
      <c r="AS18" s="24" t="inlineStr">
        <is>
          <t>Zephyr Esport</t>
        </is>
      </c>
      <c r="AT18" s="24" t="inlineStr">
        <is>
          <t>Zephyr Esport</t>
        </is>
      </c>
      <c r="AU18" s="24" t="inlineStr">
        <is>
          <t>Zephyr Esport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872990f5864d469e34c183f4364739fd3897540762b962f4ec2e55405665b2e8</t>
        </is>
      </c>
      <c r="BB18" s="24" t="inlineStr">
        <is>
          <t>neutral_elo</t>
        </is>
      </c>
      <c r="BC18" s="24" t="inlineStr">
        <is>
          <t>lol-tiered-elo-v5</t>
        </is>
      </c>
      <c r="BD18" s="24" t="inlineStr">
        <is>
          <t>872990f5864d469e34c183f4364739fd3897540762b962f4ec2e55405665b2e8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lol-tiered-elo-v5</t>
        </is>
      </c>
      <c r="BH18" s="24" t="inlineStr">
        <is>
          <t>2026-08-02T09:59:25.615269Z</t>
        </is>
      </c>
      <c r="BI18" s="24" t="inlineStr">
        <is>
          <t>["same_event","same_team_same_day","same_league_same_day"]</t>
        </is>
      </c>
      <c r="BJ18" s="25" t="n"/>
      <c r="BK18" s="26" t="n">
        <v>186</v>
      </c>
      <c r="BL18" s="27" t="n">
        <v>2.86</v>
      </c>
      <c r="BM18" s="28" t="n">
        <v>0.34965</v>
      </c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</row>
    <row r="19" ht="36" customHeight="1">
      <c r="A19" s="24" t="inlineStr">
        <is>
          <t>b8d9e8fb666e4bbc</t>
        </is>
      </c>
      <c r="B19" s="24" t="inlineStr">
        <is>
          <t>2026-08-02T09:59:37.296167Z</t>
        </is>
      </c>
      <c r="C19" s="24" t="inlineStr">
        <is>
          <t>2026-08-02T16:00:00Z</t>
        </is>
      </c>
      <c r="D19" s="24" t="inlineStr">
        <is>
          <t>66902</t>
        </is>
      </c>
      <c r="E19" s="24" t="inlineStr">
        <is>
          <t>LOL</t>
        </is>
      </c>
      <c r="F19" s="24" t="inlineStr">
        <is>
          <t>LOUD</t>
        </is>
      </c>
      <c r="G19" s="24" t="inlineStr">
        <is>
          <t>Fluxo W7M</t>
        </is>
      </c>
      <c r="H19" s="24" t="inlineStr">
        <is>
          <t>moneyline</t>
        </is>
      </c>
      <c r="I19" s="24" t="inlineStr">
        <is>
          <t>away</t>
        </is>
      </c>
      <c r="J19" s="25" t="n"/>
      <c r="K19" s="24" t="inlineStr">
        <is>
          <t>polymarket_us</t>
        </is>
      </c>
      <c r="L19" s="26" t="n">
        <v>-138</v>
      </c>
      <c r="M19" s="27" t="n">
        <v>1.724638</v>
      </c>
      <c r="N19" s="28" t="n">
        <v>0.579832</v>
      </c>
      <c r="O19" s="28" t="n">
        <v>0.559106</v>
      </c>
      <c r="P19" s="28" t="n"/>
      <c r="Q19" s="28" t="n">
        <v>-0.020726</v>
      </c>
      <c r="R19" s="26" t="n">
        <v>10</v>
      </c>
      <c r="S19" s="29" t="n">
        <v>1</v>
      </c>
      <c r="T19" s="24" t="inlineStr">
        <is>
          <t>lol-tiered-elo-v5</t>
        </is>
      </c>
      <c r="U19" s="24" t="inlineStr">
        <is>
          <t>open</t>
        </is>
      </c>
      <c r="V19" s="24" t="n"/>
      <c r="W19" s="26" t="n"/>
      <c r="X19" s="26" t="n"/>
      <c r="Y19" s="25" t="n"/>
      <c r="Z19" s="26" t="n"/>
      <c r="AA19" s="28" t="n"/>
      <c r="AB19" s="28" t="n"/>
      <c r="AC19" s="30" t="n"/>
      <c r="AD19" s="24" t="n"/>
      <c r="AE19" s="31" t="inlineStr">
        <is>
          <t>Neutral Elo baseline; executable ask 0.5800 (market_slug=aec-lol-fxw7-lll-2026-08-02).</t>
        </is>
      </c>
      <c r="AF19" s="31" t="inlineStr">
        <is>
          <t>Config-promoted esports baseline; gates enforced at log time.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research_observation</t>
        </is>
      </c>
      <c r="AL19" s="26" t="n">
        <v>3</v>
      </c>
      <c r="AM19" s="24" t="inlineStr">
        <is>
          <t>RESEARCH_OBSERVATION</t>
        </is>
      </c>
      <c r="AN19" s="24" t="inlineStr">
        <is>
          <t>NO_CALL</t>
        </is>
      </c>
      <c r="AO19" s="24" t="inlineStr">
        <is>
          <t>NO_CALL_LOW_EDGE</t>
        </is>
      </c>
      <c r="AP19" s="24" t="inlineStr">
        <is>
          <t>LOUD</t>
        </is>
      </c>
      <c r="AQ19" s="24" t="inlineStr">
        <is>
          <t>LOUD</t>
        </is>
      </c>
      <c r="AR19" s="24" t="inlineStr">
        <is>
          <t>LOUD</t>
        </is>
      </c>
      <c r="AS19" s="24" t="inlineStr">
        <is>
          <t>Fluxo W7M</t>
        </is>
      </c>
      <c r="AT19" s="24" t="inlineStr">
        <is>
          <t>Fluxo W7M</t>
        </is>
      </c>
      <c r="AU19" s="24" t="inlineStr">
        <is>
          <t>Fluxo W7M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872990f5864d469e34c183f4364739fd3897540762b962f4ec2e55405665b2e8</t>
        </is>
      </c>
      <c r="BB19" s="24" t="inlineStr">
        <is>
          <t>neutral_elo</t>
        </is>
      </c>
      <c r="BC19" s="24" t="inlineStr">
        <is>
          <t>lol-tiered-elo-v5</t>
        </is>
      </c>
      <c r="BD19" s="24" t="inlineStr">
        <is>
          <t>872990f5864d469e34c183f4364739fd3897540762b962f4ec2e55405665b2e8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lol-tiered-elo-v5</t>
        </is>
      </c>
      <c r="BH19" s="24" t="inlineStr">
        <is>
          <t>2026-08-02T09:59:26.548060Z</t>
        </is>
      </c>
      <c r="BI19" s="24" t="inlineStr">
        <is>
          <t>["same_event","same_team_same_day","same_league_same_day"]</t>
        </is>
      </c>
      <c r="BJ19" s="25" t="n"/>
      <c r="BK19" s="26" t="n">
        <v>-138</v>
      </c>
      <c r="BL19" s="27" t="n">
        <v>1.724638</v>
      </c>
      <c r="BM19" s="28" t="n">
        <v>0.579832</v>
      </c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</row>
    <row r="20" ht="36" customHeight="1">
      <c r="A20" s="24" t="inlineStr">
        <is>
          <t>9503651634e249ed</t>
        </is>
      </c>
      <c r="B20" s="24" t="inlineStr">
        <is>
          <t>2026-08-02T09:59:37.296167Z</t>
        </is>
      </c>
      <c r="C20" s="24" t="inlineStr">
        <is>
          <t>2026-08-02T17:15:00Z</t>
        </is>
      </c>
      <c r="D20" s="24" t="inlineStr">
        <is>
          <t>66955</t>
        </is>
      </c>
      <c r="E20" s="24" t="inlineStr">
        <is>
          <t>LOL</t>
        </is>
      </c>
      <c r="F20" s="24" t="inlineStr">
        <is>
          <t>Movistar KOI</t>
        </is>
      </c>
      <c r="G20" s="24" t="inlineStr">
        <is>
          <t>Fnatic</t>
        </is>
      </c>
      <c r="H20" s="24" t="inlineStr">
        <is>
          <t>moneyline</t>
        </is>
      </c>
      <c r="I20" s="24" t="inlineStr">
        <is>
          <t>away</t>
        </is>
      </c>
      <c r="J20" s="25" t="n"/>
      <c r="K20" s="24" t="inlineStr">
        <is>
          <t>polymarket_us</t>
        </is>
      </c>
      <c r="L20" s="26" t="n">
        <v>-186</v>
      </c>
      <c r="M20" s="27" t="n">
        <v>1.537634</v>
      </c>
      <c r="N20" s="28" t="n">
        <v>0.65035</v>
      </c>
      <c r="O20" s="28" t="n">
        <v>0.593207</v>
      </c>
      <c r="P20" s="28" t="n"/>
      <c r="Q20" s="28" t="n">
        <v>-0.057143</v>
      </c>
      <c r="R20" s="26" t="n">
        <v>0</v>
      </c>
      <c r="S20" s="29" t="n">
        <v>1.25</v>
      </c>
      <c r="T20" s="24" t="inlineStr">
        <is>
          <t>lol-tiered-elo-v5</t>
        </is>
      </c>
      <c r="U20" s="24" t="inlineStr">
        <is>
          <t>open</t>
        </is>
      </c>
      <c r="V20" s="24" t="n"/>
      <c r="W20" s="26" t="n"/>
      <c r="X20" s="26" t="n"/>
      <c r="Y20" s="25" t="n"/>
      <c r="Z20" s="26" t="n"/>
      <c r="AA20" s="28" t="n"/>
      <c r="AB20" s="28" t="n"/>
      <c r="AC20" s="30" t="n"/>
      <c r="AD20" s="24" t="n"/>
      <c r="AE20" s="31" t="inlineStr">
        <is>
          <t>Neutral Elo baseline; executable ask 0.6500 (market_slug=aec-lol-fnc-mkoi-2026-08-02).</t>
        </is>
      </c>
      <c r="AF20" s="31" t="inlineStr">
        <is>
          <t>Config-promoted esports baseline; gates enforced at log time.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research_observation</t>
        </is>
      </c>
      <c r="AL20" s="26" t="n">
        <v>3</v>
      </c>
      <c r="AM20" s="24" t="inlineStr">
        <is>
          <t>RESEARCH_OBSERVATION</t>
        </is>
      </c>
      <c r="AN20" s="24" t="inlineStr">
        <is>
          <t>NO_CALL</t>
        </is>
      </c>
      <c r="AO20" s="24" t="inlineStr">
        <is>
          <t>NO_CALL_LOW_EDGE</t>
        </is>
      </c>
      <c r="AP20" s="24" t="inlineStr">
        <is>
          <t>Movistar KOI</t>
        </is>
      </c>
      <c r="AQ20" s="24" t="inlineStr">
        <is>
          <t>Movistar KOI</t>
        </is>
      </c>
      <c r="AR20" s="24" t="inlineStr">
        <is>
          <t>Movistar KOI</t>
        </is>
      </c>
      <c r="AS20" s="24" t="inlineStr">
        <is>
          <t>Fnatic</t>
        </is>
      </c>
      <c r="AT20" s="24" t="inlineStr">
        <is>
          <t>Fnatic</t>
        </is>
      </c>
      <c r="AU20" s="24" t="inlineStr">
        <is>
          <t>Fnatic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872990f5864d469e34c183f4364739fd3897540762b962f4ec2e55405665b2e8</t>
        </is>
      </c>
      <c r="BB20" s="24" t="inlineStr">
        <is>
          <t>neutral_elo</t>
        </is>
      </c>
      <c r="BC20" s="24" t="inlineStr">
        <is>
          <t>lol-tiered-elo-v5</t>
        </is>
      </c>
      <c r="BD20" s="24" t="inlineStr">
        <is>
          <t>872990f5864d469e34c183f4364739fd3897540762b962f4ec2e55405665b2e8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lol-tiered-elo-v5</t>
        </is>
      </c>
      <c r="BH20" s="24" t="inlineStr">
        <is>
          <t>2026-08-02T09:59:27.003766Z</t>
        </is>
      </c>
      <c r="BI20" s="24" t="inlineStr">
        <is>
          <t>["same_event","same_team_same_day","same_league_same_day"]</t>
        </is>
      </c>
      <c r="BJ20" s="25" t="n"/>
      <c r="BK20" s="26" t="n">
        <v>-186</v>
      </c>
      <c r="BL20" s="27" t="n">
        <v>1.537634</v>
      </c>
      <c r="BM20" s="28" t="n">
        <v>0.65035</v>
      </c>
      <c r="BN20" s="28" t="n"/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</row>
    <row r="21" ht="36" customHeight="1">
      <c r="A21" s="24" t="inlineStr">
        <is>
          <t>318d4eefbc8146b4</t>
        </is>
      </c>
      <c r="B21" s="24" t="inlineStr">
        <is>
          <t>2026-08-02T09:59:37.296167Z</t>
        </is>
      </c>
      <c r="C21" s="24" t="inlineStr">
        <is>
          <t>2026-08-03T08:00:00Z</t>
        </is>
      </c>
      <c r="D21" s="24" t="inlineStr">
        <is>
          <t>67491</t>
        </is>
      </c>
      <c r="E21" s="24" t="inlineStr">
        <is>
          <t>LOL</t>
        </is>
      </c>
      <c r="F21" s="24" t="inlineStr">
        <is>
          <t>Hanwha Life Esports</t>
        </is>
      </c>
      <c r="G21" s="24" t="inlineStr">
        <is>
          <t>Gen.G</t>
        </is>
      </c>
      <c r="H21" s="24" t="inlineStr">
        <is>
          <t>moneyline</t>
        </is>
      </c>
      <c r="I21" s="24" t="inlineStr">
        <is>
          <t>away</t>
        </is>
      </c>
      <c r="J21" s="25" t="n"/>
      <c r="K21" s="24" t="inlineStr">
        <is>
          <t>polymarket_us</t>
        </is>
      </c>
      <c r="L21" s="26" t="n">
        <v>-133</v>
      </c>
      <c r="M21" s="27" t="n">
        <v>1.75188</v>
      </c>
      <c r="N21" s="28" t="n">
        <v>0.570815</v>
      </c>
      <c r="O21" s="28" t="n">
        <v>0.581317</v>
      </c>
      <c r="P21" s="28" t="n"/>
      <c r="Q21" s="28" t="n">
        <v>0.010502</v>
      </c>
      <c r="R21" s="26" t="n">
        <v>25</v>
      </c>
      <c r="S21" s="29" t="n">
        <v>1.25</v>
      </c>
      <c r="T21" s="24" t="inlineStr">
        <is>
          <t>lol-tiered-elo-v5</t>
        </is>
      </c>
      <c r="U21" s="24" t="inlineStr">
        <is>
          <t>open</t>
        </is>
      </c>
      <c r="V21" s="24" t="n"/>
      <c r="W21" s="26" t="n"/>
      <c r="X21" s="26" t="n"/>
      <c r="Y21" s="25" t="n"/>
      <c r="Z21" s="26" t="n"/>
      <c r="AA21" s="28" t="n"/>
      <c r="AB21" s="28" t="n"/>
      <c r="AC21" s="30" t="n"/>
      <c r="AD21" s="24" t="n"/>
      <c r="AE21" s="31" t="inlineStr">
        <is>
          <t>Neutral Elo baseline; executable ask 0.5700 (market_slug=aec-lol-gen-hle-2026-08-03).</t>
        </is>
      </c>
      <c r="AF21" s="31" t="inlineStr">
        <is>
          <t>Config-promoted esports baseline; gates enforced at log time.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Hanwha Life Esports</t>
        </is>
      </c>
      <c r="AQ21" s="24" t="inlineStr">
        <is>
          <t>Hanwha Life Esports</t>
        </is>
      </c>
      <c r="AR21" s="24" t="inlineStr">
        <is>
          <t>Hanwha Life Esports</t>
        </is>
      </c>
      <c r="AS21" s="24" t="inlineStr">
        <is>
          <t>Gen.G</t>
        </is>
      </c>
      <c r="AT21" s="24" t="inlineStr">
        <is>
          <t>Gen.G</t>
        </is>
      </c>
      <c r="AU21" s="24" t="inlineStr">
        <is>
          <t>Gen.G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872990f5864d469e34c183f4364739fd3897540762b962f4ec2e55405665b2e8</t>
        </is>
      </c>
      <c r="BB21" s="24" t="inlineStr">
        <is>
          <t>neutral_elo</t>
        </is>
      </c>
      <c r="BC21" s="24" t="inlineStr">
        <is>
          <t>lol-tiered-elo-v5</t>
        </is>
      </c>
      <c r="BD21" s="24" t="inlineStr">
        <is>
          <t>872990f5864d469e34c183f4364739fd3897540762b962f4ec2e55405665b2e8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lol-tiered-elo-v5</t>
        </is>
      </c>
      <c r="BH21" s="24" t="inlineStr">
        <is>
          <t>2026-08-02T09:59:28.910019Z</t>
        </is>
      </c>
      <c r="BI21" s="24" t="inlineStr">
        <is>
          <t>["same_event","same_team_same_day","same_league_same_day"]</t>
        </is>
      </c>
      <c r="BJ21" s="25" t="n"/>
      <c r="BK21" s="26" t="n">
        <v>-133</v>
      </c>
      <c r="BL21" s="27" t="n">
        <v>1.75188</v>
      </c>
      <c r="BM21" s="28" t="n">
        <v>0.570815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</row>
    <row r="22" ht="36" customHeight="1">
      <c r="A22" s="24" t="inlineStr">
        <is>
          <t>80b922686c084928</t>
        </is>
      </c>
      <c r="B22" s="24" t="inlineStr">
        <is>
          <t>2026-08-02T09:59:37.296167Z</t>
        </is>
      </c>
      <c r="C22" s="24" t="inlineStr">
        <is>
          <t>2026-08-03T08:00:00Z</t>
        </is>
      </c>
      <c r="D22" s="24" t="inlineStr">
        <is>
          <t>67492</t>
        </is>
      </c>
      <c r="E22" s="24" t="inlineStr">
        <is>
          <t>LOL</t>
        </is>
      </c>
      <c r="F22" s="24" t="inlineStr">
        <is>
          <t>BNK FearX Youth</t>
        </is>
      </c>
      <c r="G22" s="24" t="inlineStr">
        <is>
          <t>HANJIN BRION Challengers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polymarket_us</t>
        </is>
      </c>
      <c r="L22" s="26" t="n">
        <v>-223</v>
      </c>
      <c r="M22" s="27" t="n">
        <v>1.44843</v>
      </c>
      <c r="N22" s="28" t="n">
        <v>0.690402</v>
      </c>
      <c r="O22" s="28" t="n">
        <v>0.635143</v>
      </c>
      <c r="P22" s="28" t="n"/>
      <c r="Q22" s="28" t="n">
        <v>-0.055259</v>
      </c>
      <c r="R22" s="26" t="n">
        <v>0</v>
      </c>
      <c r="S22" s="29" t="n">
        <v>1.5</v>
      </c>
      <c r="T22" s="24" t="inlineStr">
        <is>
          <t>lol-tiered-elo-v5</t>
        </is>
      </c>
      <c r="U22" s="24" t="inlineStr">
        <is>
          <t>open</t>
        </is>
      </c>
      <c r="V22" s="24" t="n"/>
      <c r="W22" s="26" t="n"/>
      <c r="X22" s="26" t="n"/>
      <c r="Y22" s="25" t="n"/>
      <c r="Z22" s="26" t="n"/>
      <c r="AA22" s="28" t="n"/>
      <c r="AB22" s="28" t="n"/>
      <c r="AC22" s="30" t="n"/>
      <c r="AD22" s="24" t="n"/>
      <c r="AE22" s="31" t="inlineStr">
        <is>
          <t>Neutral Elo baseline; executable ask 0.6900 (market_slug=aec-lol-hbc-foxy-2026-08-03).</t>
        </is>
      </c>
      <c r="AF22" s="31" t="inlineStr">
        <is>
          <t>Config-promoted esports baseline; gates enforced at log time.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research_observation</t>
        </is>
      </c>
      <c r="AL22" s="26" t="n">
        <v>3</v>
      </c>
      <c r="AM22" s="24" t="inlineStr">
        <is>
          <t>RESEARCH_OBSERVATION</t>
        </is>
      </c>
      <c r="AN22" s="24" t="inlineStr">
        <is>
          <t>NO_CALL</t>
        </is>
      </c>
      <c r="AO22" s="24" t="inlineStr">
        <is>
          <t>NO_CALL_LOW_EDGE</t>
        </is>
      </c>
      <c r="AP22" s="24" t="inlineStr">
        <is>
          <t>BNK FearX Youth</t>
        </is>
      </c>
      <c r="AQ22" s="24" t="inlineStr">
        <is>
          <t>BNK FearX Youth</t>
        </is>
      </c>
      <c r="AR22" s="24" t="inlineStr">
        <is>
          <t>BNK FearX Youth</t>
        </is>
      </c>
      <c r="AS22" s="24" t="inlineStr">
        <is>
          <t>HANJIN BRION Challengers</t>
        </is>
      </c>
      <c r="AT22" s="24" t="inlineStr">
        <is>
          <t>HANJIN BRION Challengers</t>
        </is>
      </c>
      <c r="AU22" s="24" t="inlineStr">
        <is>
          <t>HANJIN BRION Challengers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872990f5864d469e34c183f4364739fd3897540762b962f4ec2e55405665b2e8</t>
        </is>
      </c>
      <c r="BB22" s="24" t="inlineStr">
        <is>
          <t>neutral_elo</t>
        </is>
      </c>
      <c r="BC22" s="24" t="inlineStr">
        <is>
          <t>lol-tiered-elo-v5</t>
        </is>
      </c>
      <c r="BD22" s="24" t="inlineStr">
        <is>
          <t>872990f5864d469e34c183f4364739fd3897540762b962f4ec2e55405665b2e8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lol-tiered-elo-v5</t>
        </is>
      </c>
      <c r="BH22" s="24" t="inlineStr">
        <is>
          <t>2026-08-02T09:59:29.389516Z</t>
        </is>
      </c>
      <c r="BI22" s="24" t="inlineStr">
        <is>
          <t>["same_event","same_team_same_day","same_league_same_day"]</t>
        </is>
      </c>
      <c r="BJ22" s="25" t="n"/>
      <c r="BK22" s="26" t="n">
        <v>-223</v>
      </c>
      <c r="BL22" s="27" t="n">
        <v>1.44843</v>
      </c>
      <c r="BM22" s="28" t="n">
        <v>0.690402</v>
      </c>
      <c r="BN22" s="28" t="n"/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</row>
    <row r="23" ht="36" customHeight="1">
      <c r="A23" s="24" t="inlineStr">
        <is>
          <t>53d526ff50734853</t>
        </is>
      </c>
      <c r="B23" s="24" t="inlineStr">
        <is>
          <t>2026-08-02T09:59:37.296167Z</t>
        </is>
      </c>
      <c r="C23" s="24" t="inlineStr">
        <is>
          <t>2026-08-03T10:00:00Z</t>
        </is>
      </c>
      <c r="D23" s="24" t="inlineStr">
        <is>
          <t>67511</t>
        </is>
      </c>
      <c r="E23" s="24" t="inlineStr">
        <is>
          <t>LOL</t>
        </is>
      </c>
      <c r="F23" s="24" t="inlineStr">
        <is>
          <t>Dplus KIA Challengers</t>
        </is>
      </c>
      <c r="G23" s="24" t="inlineStr">
        <is>
          <t>DN SOOPers Challengers</t>
        </is>
      </c>
      <c r="H23" s="24" t="inlineStr">
        <is>
          <t>moneyline</t>
        </is>
      </c>
      <c r="I23" s="24" t="inlineStr">
        <is>
          <t>away</t>
        </is>
      </c>
      <c r="J23" s="25" t="n"/>
      <c r="K23" s="24" t="inlineStr">
        <is>
          <t>polymarket_us</t>
        </is>
      </c>
      <c r="L23" s="26" t="n">
        <v>-223</v>
      </c>
      <c r="M23" s="27" t="n">
        <v>1.44843</v>
      </c>
      <c r="N23" s="28" t="n">
        <v>0.690402</v>
      </c>
      <c r="O23" s="28" t="n">
        <v>0.704215</v>
      </c>
      <c r="P23" s="28" t="n"/>
      <c r="Q23" s="28" t="n">
        <v>0.013813</v>
      </c>
      <c r="R23" s="26" t="n">
        <v>27</v>
      </c>
      <c r="S23" s="29" t="n">
        <v>2</v>
      </c>
      <c r="T23" s="24" t="inlineStr">
        <is>
          <t>lol-tiered-elo-v5</t>
        </is>
      </c>
      <c r="U23" s="24" t="inlineStr">
        <is>
          <t>open</t>
        </is>
      </c>
      <c r="V23" s="24" t="n"/>
      <c r="W23" s="26" t="n"/>
      <c r="X23" s="26" t="n"/>
      <c r="Y23" s="25" t="n"/>
      <c r="Z23" s="26" t="n"/>
      <c r="AA23" s="28" t="n"/>
      <c r="AB23" s="28" t="n"/>
      <c r="AC23" s="30" t="n"/>
      <c r="AD23" s="24" t="n"/>
      <c r="AE23" s="31" t="inlineStr">
        <is>
          <t>Neutral Elo baseline; executable ask 0.6900 (market_slug=aec-lol-dnsc-dkc-2026-08-03).</t>
        </is>
      </c>
      <c r="AF23" s="31" t="inlineStr">
        <is>
          <t>Config-promoted esports baseline; gates enforced at log time.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Dplus KIA Challengers</t>
        </is>
      </c>
      <c r="AQ23" s="24" t="inlineStr">
        <is>
          <t>Dplus KIA Challengers</t>
        </is>
      </c>
      <c r="AR23" s="24" t="inlineStr">
        <is>
          <t>Dplus KIA Challengers</t>
        </is>
      </c>
      <c r="AS23" s="24" t="inlineStr">
        <is>
          <t>DN SOOPers Challengers</t>
        </is>
      </c>
      <c r="AT23" s="24" t="inlineStr">
        <is>
          <t>DN SOOPers Challengers</t>
        </is>
      </c>
      <c r="AU23" s="24" t="inlineStr">
        <is>
          <t>DN SOOPers Challengers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872990f5864d469e34c183f4364739fd3897540762b962f4ec2e55405665b2e8</t>
        </is>
      </c>
      <c r="BB23" s="24" t="inlineStr">
        <is>
          <t>neutral_elo</t>
        </is>
      </c>
      <c r="BC23" s="24" t="inlineStr">
        <is>
          <t>lol-tiered-elo-v5</t>
        </is>
      </c>
      <c r="BD23" s="24" t="inlineStr">
        <is>
          <t>872990f5864d469e34c183f4364739fd3897540762b962f4ec2e55405665b2e8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lol-tiered-elo-v5</t>
        </is>
      </c>
      <c r="BH23" s="24" t="inlineStr">
        <is>
          <t>2026-08-02T09:59:29.886639Z</t>
        </is>
      </c>
      <c r="BI23" s="24" t="inlineStr">
        <is>
          <t>["same_event","same_team_same_day","same_league_same_day"]</t>
        </is>
      </c>
      <c r="BJ23" s="25" t="n"/>
      <c r="BK23" s="26" t="n">
        <v>-223</v>
      </c>
      <c r="BL23" s="27" t="n">
        <v>1.44843</v>
      </c>
      <c r="BM23" s="28" t="n">
        <v>0.690402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</row>
    <row r="24" ht="36" customHeight="1">
      <c r="A24" s="24" t="inlineStr">
        <is>
          <t>34c1afbf4268408a</t>
        </is>
      </c>
      <c r="B24" s="24" t="inlineStr">
        <is>
          <t>2026-08-02T09:59:37.296167Z</t>
        </is>
      </c>
      <c r="C24" s="24" t="inlineStr">
        <is>
          <t>2026-08-03T10:30:00Z</t>
        </is>
      </c>
      <c r="D24" s="24" t="inlineStr">
        <is>
          <t>67515</t>
        </is>
      </c>
      <c r="E24" s="24" t="inlineStr">
        <is>
          <t>LOL</t>
        </is>
      </c>
      <c r="F24" s="24" t="inlineStr">
        <is>
          <t>T1</t>
        </is>
      </c>
      <c r="G24" s="24" t="inlineStr">
        <is>
          <t>Nongshim Red Force</t>
        </is>
      </c>
      <c r="H24" s="24" t="inlineStr">
        <is>
          <t>moneyline</t>
        </is>
      </c>
      <c r="I24" s="24" t="inlineStr">
        <is>
          <t>away</t>
        </is>
      </c>
      <c r="J24" s="25" t="n"/>
      <c r="K24" s="24" t="inlineStr">
        <is>
          <t>polymarket_us</t>
        </is>
      </c>
      <c r="L24" s="26" t="n">
        <v>-170</v>
      </c>
      <c r="M24" s="27" t="n">
        <v>1.588235</v>
      </c>
      <c r="N24" s="28" t="n">
        <v>0.62963</v>
      </c>
      <c r="O24" s="28" t="n">
        <v>0.7472800000000001</v>
      </c>
      <c r="P24" s="28" t="n"/>
      <c r="Q24" s="28" t="n">
        <v>0.11765</v>
      </c>
      <c r="R24" s="26" t="n">
        <v>79</v>
      </c>
      <c r="S24" s="29" t="n">
        <v>2</v>
      </c>
      <c r="T24" s="24" t="inlineStr">
        <is>
          <t>lol-tiered-elo-v5</t>
        </is>
      </c>
      <c r="U24" s="24" t="inlineStr">
        <is>
          <t>open</t>
        </is>
      </c>
      <c r="V24" s="24" t="n"/>
      <c r="W24" s="26" t="n"/>
      <c r="X24" s="26" t="n"/>
      <c r="Y24" s="25" t="n"/>
      <c r="Z24" s="26" t="n"/>
      <c r="AA24" s="28" t="n"/>
      <c r="AB24" s="28" t="n"/>
      <c r="AC24" s="30" t="n"/>
      <c r="AD24" s="24" t="n"/>
      <c r="AE24" s="31" t="inlineStr">
        <is>
          <t>Neutral Elo baseline; executable ask 0.6300 (market_slug=aec-lol-ns-t1-2026-08-03).</t>
        </is>
      </c>
      <c r="AF24" s="31" t="inlineStr">
        <is>
          <t>Config-promoted esports baseline; gates enforced at log time.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3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T1</t>
        </is>
      </c>
      <c r="AQ24" s="24" t="inlineStr">
        <is>
          <t>T1</t>
        </is>
      </c>
      <c r="AR24" s="24" t="inlineStr">
        <is>
          <t>T1</t>
        </is>
      </c>
      <c r="AS24" s="24" t="inlineStr">
        <is>
          <t>Nongshim Red Force</t>
        </is>
      </c>
      <c r="AT24" s="24" t="inlineStr">
        <is>
          <t>Nongshim Red Force</t>
        </is>
      </c>
      <c r="AU24" s="24" t="inlineStr">
        <is>
          <t>Nongshim Red Force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872990f5864d469e34c183f4364739fd3897540762b962f4ec2e55405665b2e8</t>
        </is>
      </c>
      <c r="BB24" s="24" t="inlineStr">
        <is>
          <t>neutral_elo</t>
        </is>
      </c>
      <c r="BC24" s="24" t="inlineStr">
        <is>
          <t>lol-tiered-elo-v5</t>
        </is>
      </c>
      <c r="BD24" s="24" t="inlineStr">
        <is>
          <t>872990f5864d469e34c183f4364739fd3897540762b962f4ec2e55405665b2e8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lol-tiered-elo-v5</t>
        </is>
      </c>
      <c r="BH24" s="24" t="inlineStr">
        <is>
          <t>2026-08-02T09:59:30.347963Z</t>
        </is>
      </c>
      <c r="BI24" s="24" t="inlineStr">
        <is>
          <t>["same_event","same_team_same_day","same_league_same_day"]</t>
        </is>
      </c>
      <c r="BJ24" s="25" t="n"/>
      <c r="BK24" s="26" t="n">
        <v>-170</v>
      </c>
      <c r="BL24" s="27" t="n">
        <v>1.588235</v>
      </c>
      <c r="BM24" s="28" t="n">
        <v>0.62963</v>
      </c>
      <c r="BN24" s="28" t="n"/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</row>
    <row r="25" ht="36" customHeight="1">
      <c r="A25" s="24" t="inlineStr">
        <is>
          <t>43e40a955abb4a1a</t>
        </is>
      </c>
      <c r="B25" s="24" t="inlineStr">
        <is>
          <t>2026-08-02T09:59:37.296167Z</t>
        </is>
      </c>
      <c r="C25" s="24" t="inlineStr">
        <is>
          <t>2026-08-03T20:00:00Z</t>
        </is>
      </c>
      <c r="D25" s="24" t="inlineStr">
        <is>
          <t>67937</t>
        </is>
      </c>
      <c r="E25" s="24" t="inlineStr">
        <is>
          <t>LOL</t>
        </is>
      </c>
      <c r="F25" s="24" t="inlineStr">
        <is>
          <t>Docta Esports</t>
        </is>
      </c>
      <c r="G25" s="24" t="inlineStr">
        <is>
          <t>Volticons</t>
        </is>
      </c>
      <c r="H25" s="24" t="inlineStr">
        <is>
          <t>moneyline</t>
        </is>
      </c>
      <c r="I25" s="24" t="inlineStr">
        <is>
          <t>home</t>
        </is>
      </c>
      <c r="J25" s="25" t="n"/>
      <c r="K25" s="24" t="inlineStr">
        <is>
          <t>polymarket_us</t>
        </is>
      </c>
      <c r="L25" s="26" t="n">
        <v>-144</v>
      </c>
      <c r="M25" s="27" t="n">
        <v>1.694444</v>
      </c>
      <c r="N25" s="28" t="n">
        <v>0.590164</v>
      </c>
      <c r="O25" s="28" t="n">
        <v>0.650541</v>
      </c>
      <c r="P25" s="28" t="n"/>
      <c r="Q25" s="28" t="n">
        <v>0.060377</v>
      </c>
      <c r="R25" s="26" t="n">
        <v>50</v>
      </c>
      <c r="S25" s="29" t="n">
        <v>1.75</v>
      </c>
      <c r="T25" s="24" t="inlineStr">
        <is>
          <t>lol-tiered-elo-v5</t>
        </is>
      </c>
      <c r="U25" s="24" t="inlineStr">
        <is>
          <t>open</t>
        </is>
      </c>
      <c r="V25" s="24" t="n"/>
      <c r="W25" s="26" t="n"/>
      <c r="X25" s="26" t="n"/>
      <c r="Y25" s="25" t="n"/>
      <c r="Z25" s="26" t="n"/>
      <c r="AA25" s="28" t="n"/>
      <c r="AB25" s="28" t="n"/>
      <c r="AC25" s="30" t="n"/>
      <c r="AD25" s="24" t="n"/>
      <c r="AE25" s="31" t="inlineStr">
        <is>
          <t>Neutral Elo baseline; executable ask 0.5900 (market_slug=aec-lol-vtc-doh-2026-08-03).</t>
        </is>
      </c>
      <c r="AF25" s="31" t="inlineStr">
        <is>
          <t>Config-promoted esports baseline; gates enforced at log time.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model_qualified</t>
        </is>
      </c>
      <c r="AL25" s="26" t="n">
        <v>3</v>
      </c>
      <c r="AM25" s="24" t="inlineStr">
        <is>
          <t>QUALIFIED_SHADOW_CALL</t>
        </is>
      </c>
      <c r="AN25" s="24" t="inlineStr">
        <is>
          <t>CALL</t>
        </is>
      </c>
      <c r="AO25" s="24" t="inlineStr">
        <is>
          <t>QUALIFIED</t>
        </is>
      </c>
      <c r="AP25" s="24" t="inlineStr">
        <is>
          <t>Docta Esports</t>
        </is>
      </c>
      <c r="AQ25" s="24" t="inlineStr">
        <is>
          <t>Docta Esports</t>
        </is>
      </c>
      <c r="AR25" s="24" t="inlineStr">
        <is>
          <t>Docta Esports</t>
        </is>
      </c>
      <c r="AS25" s="24" t="inlineStr">
        <is>
          <t>Volticons</t>
        </is>
      </c>
      <c r="AT25" s="24" t="inlineStr">
        <is>
          <t>Volticons</t>
        </is>
      </c>
      <c r="AU25" s="24" t="inlineStr">
        <is>
          <t>Volticons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872990f5864d469e34c183f4364739fd3897540762b962f4ec2e55405665b2e8</t>
        </is>
      </c>
      <c r="BB25" s="24" t="inlineStr">
        <is>
          <t>neutral_elo</t>
        </is>
      </c>
      <c r="BC25" s="24" t="inlineStr">
        <is>
          <t>lol-tiered-elo-v5</t>
        </is>
      </c>
      <c r="BD25" s="24" t="inlineStr">
        <is>
          <t>872990f5864d469e34c183f4364739fd3897540762b962f4ec2e55405665b2e8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lol-tiered-elo-v5</t>
        </is>
      </c>
      <c r="BH25" s="24" t="inlineStr">
        <is>
          <t>2026-08-02T09:59:34.514458Z</t>
        </is>
      </c>
      <c r="BI25" s="24" t="inlineStr">
        <is>
          <t>["same_event","same_team_same_day","same_league_same_day"]</t>
        </is>
      </c>
      <c r="BJ25" s="25" t="n"/>
      <c r="BK25" s="26" t="n">
        <v>-144</v>
      </c>
      <c r="BL25" s="27" t="n">
        <v>1.694444</v>
      </c>
      <c r="BM25" s="28" t="n">
        <v>0.590164</v>
      </c>
      <c r="BN25" s="28" t="n"/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</row>
    <row r="26" ht="36" customHeight="1">
      <c r="A26" s="24" t="inlineStr">
        <is>
          <t>8493ae69b0ec40f5</t>
        </is>
      </c>
      <c r="B26" s="24" t="inlineStr">
        <is>
          <t>2026-08-02T09:59:37.296167Z</t>
        </is>
      </c>
      <c r="C26" s="24" t="inlineStr">
        <is>
          <t>2026-08-03T22:00:00Z</t>
        </is>
      </c>
      <c r="D26" s="24" t="inlineStr">
        <is>
          <t>68011</t>
        </is>
      </c>
      <c r="E26" s="24" t="inlineStr">
        <is>
          <t>LOL</t>
        </is>
      </c>
      <c r="F26" s="24" t="inlineStr">
        <is>
          <t>Vivo Keyd Stars Academy</t>
        </is>
      </c>
      <c r="G26" s="24" t="inlineStr">
        <is>
          <t>paiN Gaming Academy</t>
        </is>
      </c>
      <c r="H26" s="24" t="inlineStr">
        <is>
          <t>moneyline</t>
        </is>
      </c>
      <c r="I26" s="24" t="inlineStr">
        <is>
          <t>away</t>
        </is>
      </c>
      <c r="J26" s="25" t="n"/>
      <c r="K26" s="24" t="inlineStr">
        <is>
          <t>polymarket_us</t>
        </is>
      </c>
      <c r="L26" s="26" t="n">
        <v>-127</v>
      </c>
      <c r="M26" s="27" t="n">
        <v>1.787402</v>
      </c>
      <c r="N26" s="28" t="n">
        <v>0.5594710000000001</v>
      </c>
      <c r="O26" s="28" t="n">
        <v>0.501894</v>
      </c>
      <c r="P26" s="28" t="n"/>
      <c r="Q26" s="28" t="n">
        <v>-0.057577</v>
      </c>
      <c r="R26" s="26" t="n">
        <v>0</v>
      </c>
      <c r="S26" s="29" t="n">
        <v>1</v>
      </c>
      <c r="T26" s="24" t="inlineStr">
        <is>
          <t>lol-tiered-elo-v5</t>
        </is>
      </c>
      <c r="U26" s="24" t="inlineStr">
        <is>
          <t>open</t>
        </is>
      </c>
      <c r="V26" s="24" t="n"/>
      <c r="W26" s="26" t="n"/>
      <c r="X26" s="26" t="n"/>
      <c r="Y26" s="25" t="n"/>
      <c r="Z26" s="26" t="n"/>
      <c r="AA26" s="28" t="n"/>
      <c r="AB26" s="28" t="n"/>
      <c r="AC26" s="30" t="n"/>
      <c r="AD26" s="24" t="n"/>
      <c r="AE26" s="31" t="inlineStr">
        <is>
          <t>Neutral Elo baseline; executable ask 0.5600 (market_slug=aec-lol-pnga-vksa-2026-08-03).</t>
        </is>
      </c>
      <c r="AF26" s="31" t="inlineStr">
        <is>
          <t>Config-promoted esports baseline; gates enforced at log time.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research_observation</t>
        </is>
      </c>
      <c r="AL26" s="26" t="n">
        <v>3</v>
      </c>
      <c r="AM26" s="24" t="inlineStr">
        <is>
          <t>RESEARCH_OBSERVATION</t>
        </is>
      </c>
      <c r="AN26" s="24" t="inlineStr">
        <is>
          <t>NO_CALL</t>
        </is>
      </c>
      <c r="AO26" s="24" t="inlineStr">
        <is>
          <t>NO_CALL_LOW_EDGE</t>
        </is>
      </c>
      <c r="AP26" s="24" t="inlineStr">
        <is>
          <t>Vivo Keyd Stars Academy</t>
        </is>
      </c>
      <c r="AQ26" s="24" t="inlineStr">
        <is>
          <t>Vivo Keyd Stars Academy</t>
        </is>
      </c>
      <c r="AR26" s="24" t="inlineStr">
        <is>
          <t>Vivo Keyd Stars Academy</t>
        </is>
      </c>
      <c r="AS26" s="24" t="inlineStr">
        <is>
          <t>paiN Gaming Academy</t>
        </is>
      </c>
      <c r="AT26" s="24" t="inlineStr">
        <is>
          <t>paiN Gaming Academy</t>
        </is>
      </c>
      <c r="AU26" s="24" t="inlineStr">
        <is>
          <t>paiN Gaming Academy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872990f5864d469e34c183f4364739fd3897540762b962f4ec2e55405665b2e8</t>
        </is>
      </c>
      <c r="BB26" s="24" t="inlineStr">
        <is>
          <t>neutral_elo</t>
        </is>
      </c>
      <c r="BC26" s="24" t="inlineStr">
        <is>
          <t>lol-tiered-elo-v5</t>
        </is>
      </c>
      <c r="BD26" s="24" t="inlineStr">
        <is>
          <t>872990f5864d469e34c183f4364739fd3897540762b962f4ec2e55405665b2e8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lol-tiered-elo-v5</t>
        </is>
      </c>
      <c r="BH26" s="24" t="inlineStr">
        <is>
          <t>2026-08-02T09:59:36.264347Z</t>
        </is>
      </c>
      <c r="BI26" s="24" t="inlineStr">
        <is>
          <t>["same_event","same_team_same_day","same_league_same_day"]</t>
        </is>
      </c>
      <c r="BJ26" s="25" t="n"/>
      <c r="BK26" s="26" t="n">
        <v>-127</v>
      </c>
      <c r="BL26" s="27" t="n">
        <v>1.787402</v>
      </c>
      <c r="BM26" s="28" t="n">
        <v>0.5594710000000001</v>
      </c>
      <c r="BN26" s="28" t="n"/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2026-08-02T09:59:38Z</dcterms:created>
  <dcterms:modified xsi:type="dcterms:W3CDTF">2026-08-02T09:59:38Z</dcterms:modified>
</cp:coreProperties>
</file>