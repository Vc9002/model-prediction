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4" headerRowCount="1">
  <autoFilter ref="A1:CO14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COUNTA('Picks'!$A$2:$A$14)</f>
        <v/>
      </c>
      <c r="C4" s="6">
        <f>COUNTIF('Picks'!$U$2:$U$14,"open")</f>
        <v/>
      </c>
      <c r="E4" s="6">
        <f>COUNTIF('Picks'!$U$2:$U$14,"settled")</f>
        <v/>
      </c>
      <c r="G4" s="6">
        <f>IF(COUNTIFS('Picks'!$U$2:$U$14,"settled",'Picks'!$V$2:$V$14,"win")+COUNTIFS('Picks'!$U$2:$U$14,"settled",'Picks'!$V$2:$V$14,"loss")&gt;=$L$2,"Ready","Insufficient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COUNTIF('Picks'!$BX$2:$BX$14,"&gt;0")</f>
        <v/>
      </c>
      <c r="C7" s="6">
        <f>COUNTIFS('Picks'!$BX$2:$BX$14,"&gt;0",'Picks'!$V$2:$V$14,"win")&amp;"-"&amp;COUNTIFS('Picks'!$BX$2:$BX$14,"&gt;0",'Picks'!$V$2:$V$14,"loss")</f>
        <v/>
      </c>
      <c r="E7" s="7">
        <f>IFERROR(COUNTIFS('Picks'!$BX$2:$BX$14,"&gt;0",'Picks'!$V$2:$V$14,"win")/(COUNTIFS('Picks'!$BX$2:$BX$14,"&gt;0",'Picks'!$V$2:$V$14,"win")+COUNTIFS('Picks'!$BX$2:$BX$14,"&gt;0",'Picks'!$V$2:$V$14,"loss")),0)</f>
        <v/>
      </c>
      <c r="G7" s="7">
        <f>IFERROR(SUM('Picks'!$BY$2:$BY$14)/SUM('Picks'!$BX$2:$BX$14),0)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SUM('Picks'!$BY$2:$BY$14)</f>
        <v/>
      </c>
      <c r="C10" s="9">
        <f>IFERROR(AVERAGEIF('Picks'!$AB$2:$AB$14,"&lt;&gt;",'Picks'!$AB$2:$AB$14),0)</f>
        <v/>
      </c>
      <c r="E10" s="6">
        <f>COUNTIFS('Picks'!$AM$2:$AM$14,"QUALIFIED_SHADOW_CALL",'Picks'!$U$2:$U$14,"settled")</f>
        <v/>
      </c>
      <c r="G10" s="8">
        <f>SUMIFS('Picks'!$AC$2:$AC$14,'Picks'!$AM$2:$AM$14,"QUALIFIED_SHADOW_CALL")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COUNTIFS('Picks'!$H$2:$H$14,$A14,'Picks'!$U$2:$U$14,"settled")</f>
        <v/>
      </c>
      <c r="C14" s="13">
        <f>COUNTIFS('Picks'!$H$2:$H$14,$A14,'Picks'!$U$2:$U$14,"settled",'Picks'!$V$2:$V$14,"win")</f>
        <v/>
      </c>
      <c r="D14" s="13">
        <f>COUNTIFS('Picks'!$H$2:$H$14,$A14,'Picks'!$U$2:$U$14,"settled",'Picks'!$V$2:$V$14,"loss")</f>
        <v/>
      </c>
      <c r="E14" s="14">
        <f>IFERROR(C14/(C14+D14),0)</f>
        <v/>
      </c>
      <c r="F14" s="15">
        <f>SUMIFS('Picks'!$BY$2:$BY$14,'Picks'!$H$2:$H$14,$A14)</f>
        <v/>
      </c>
      <c r="G14" s="16">
        <f>IFERROR(AVERAGEIFS('Picks'!$AB$2:$AB$14,'Picks'!$H$2:$H$14,$A14,'Picks'!$U$2:$U$14,"settled"),0)</f>
        <v/>
      </c>
    </row>
    <row r="15">
      <c r="A15" s="17" t="inlineStr">
        <is>
          <t>spread</t>
        </is>
      </c>
      <c r="B15" s="18">
        <f>COUNTIFS('Picks'!$H$2:$H$14,$A15,'Picks'!$U$2:$U$14,"settled")</f>
        <v/>
      </c>
      <c r="C15" s="18">
        <f>COUNTIFS('Picks'!$H$2:$H$14,$A15,'Picks'!$U$2:$U$14,"settled",'Picks'!$V$2:$V$14,"win")</f>
        <v/>
      </c>
      <c r="D15" s="18">
        <f>COUNTIFS('Picks'!$H$2:$H$14,$A15,'Picks'!$U$2:$U$14,"settled",'Picks'!$V$2:$V$14,"loss")</f>
        <v/>
      </c>
      <c r="E15" s="19">
        <f>IFERROR(C15/(C15+D15),0)</f>
        <v/>
      </c>
      <c r="F15" s="20">
        <f>SUMIFS('Picks'!$BY$2:$BY$14,'Picks'!$H$2:$H$14,$A15)</f>
        <v/>
      </c>
      <c r="G15" s="21">
        <f>IFERROR(AVERAGEIFS('Picks'!$AB$2:$AB$14,'Picks'!$H$2:$H$14,$A15,'Picks'!$U$2:$U$14,"settled"),0)</f>
        <v/>
      </c>
    </row>
    <row r="16">
      <c r="A16" s="12" t="inlineStr">
        <is>
          <t>total</t>
        </is>
      </c>
      <c r="B16" s="13">
        <f>COUNTIFS('Picks'!$H$2:$H$14,$A16,'Picks'!$U$2:$U$14,"settled")</f>
        <v/>
      </c>
      <c r="C16" s="13">
        <f>COUNTIFS('Picks'!$H$2:$H$14,$A16,'Picks'!$U$2:$U$14,"settled",'Picks'!$V$2:$V$14,"win")</f>
        <v/>
      </c>
      <c r="D16" s="13">
        <f>COUNTIFS('Picks'!$H$2:$H$14,$A16,'Picks'!$U$2:$U$14,"settled",'Picks'!$V$2:$V$14,"loss")</f>
        <v/>
      </c>
      <c r="E16" s="14">
        <f>IFERROR(C16/(C16+D16),0)</f>
        <v/>
      </c>
      <c r="F16" s="15">
        <f>SUMIFS('Picks'!$BY$2:$BY$14,'Picks'!$H$2:$H$14,$A16)</f>
        <v/>
      </c>
      <c r="G16" s="16">
        <f>IFERROR(AVERAGEIFS('Picks'!$AB$2:$AB$14,'Picks'!$H$2:$H$14,$A16,'Picks'!$U$2:$U$14,"settled"),0)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a662a96bd5fc4d38</t>
        </is>
      </c>
      <c r="B2" s="24" t="inlineStr">
        <is>
          <t>2026-07-24T10:52:00.691444Z</t>
        </is>
      </c>
      <c r="C2" s="24" t="inlineStr">
        <is>
          <t>2026-07-25T07:00:00Z</t>
        </is>
      </c>
      <c r="D2" s="24" t="inlineStr">
        <is>
          <t>59230</t>
        </is>
      </c>
      <c r="E2" s="24" t="inlineStr">
        <is>
          <t>LOL</t>
        </is>
      </c>
      <c r="F2" s="24" t="inlineStr">
        <is>
          <t>Team WE</t>
        </is>
      </c>
      <c r="G2" s="24" t="inlineStr">
        <is>
          <t>LGD Gaming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144</v>
      </c>
      <c r="M2" s="27" t="n">
        <v>2.44</v>
      </c>
      <c r="N2" s="28" t="n">
        <v>0.409836</v>
      </c>
      <c r="O2" s="28" t="n">
        <v>0.437668</v>
      </c>
      <c r="P2" s="28" t="n"/>
      <c r="Q2" s="28" t="n">
        <v>0.027832</v>
      </c>
      <c r="R2" s="26" t="n">
        <v>68</v>
      </c>
      <c r="S2" s="29" t="n">
        <v>0</v>
      </c>
      <c r="T2" s="24" t="inlineStr">
        <is>
          <t>lol-tiered-elo-v4</t>
        </is>
      </c>
      <c r="U2" s="24" t="inlineStr">
        <is>
          <t>settled</t>
        </is>
      </c>
      <c r="V2" s="24" t="inlineStr">
        <is>
          <t>push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0</v>
      </c>
      <c r="AD2" s="24" t="inlineStr">
        <is>
          <t>2026-07-25T23:18:34.088984Z</t>
        </is>
      </c>
      <c r="AE2" s="31" t="inlineStr">
        <is>
          <t>Neutral Elo baseline; executable ask 0.4100 (market_slug=aec-lol-lgd-we-2026-07-25).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NO_CALL_MODEL_INELIGIBLE</t>
        </is>
      </c>
      <c r="AP2" s="24" t="inlineStr">
        <is>
          <t>Team WE</t>
        </is>
      </c>
      <c r="AQ2" s="24" t="inlineStr">
        <is>
          <t>Team WE</t>
        </is>
      </c>
      <c r="AR2" s="24" t="inlineStr">
        <is>
          <t>Team WE</t>
        </is>
      </c>
      <c r="AS2" s="24" t="inlineStr">
        <is>
          <t>LGD Gaming</t>
        </is>
      </c>
      <c r="AT2" s="24" t="inlineStr">
        <is>
          <t>LGD Gaming</t>
        </is>
      </c>
      <c r="AU2" s="24" t="inlineStr">
        <is>
          <t>LGD Gaming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35087e828a0053011a97024de693e2ee7eb80eb03024c91d28d254de09d93778</t>
        </is>
      </c>
      <c r="BB2" s="24" t="inlineStr">
        <is>
          <t>neutral_elo</t>
        </is>
      </c>
      <c r="BC2" s="24" t="inlineStr">
        <is>
          <t>lol-tiered-elo-v3</t>
        </is>
      </c>
      <c r="BD2" s="24" t="inlineStr">
        <is>
          <t>dbc38ecdb090b63690db810d40eb29d0a69435c83dfbf24eb00d22aa42c177ae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lol-tiered-elo-v3</t>
        </is>
      </c>
      <c r="BH2" s="24" t="inlineStr">
        <is>
          <t>2026-07-24T10:51:37.604493Z</t>
        </is>
      </c>
      <c r="BI2" s="24" t="inlineStr">
        <is>
          <t>["same_event","same_team_same_day","same_league_same_day"]</t>
        </is>
      </c>
      <c r="BJ2" s="25" t="n"/>
      <c r="BK2" s="26" t="n">
        <v>144</v>
      </c>
      <c r="BL2" s="27" t="n">
        <v>2.44</v>
      </c>
      <c r="BM2" s="28" t="n">
        <v>0.409836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inlineStr">
        <is>
          <t>model_prob_below_0.5_bug: selected side was never actually favored by the model (pre-fix esports logging bug in _log_esports_forecast, fixed 2026-07-25 with model_prob&lt;0.5 guard)</t>
        </is>
      </c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5bf5f2c775254446</t>
        </is>
      </c>
      <c r="B3" s="24" t="inlineStr">
        <is>
          <t>2026-07-24T10:52:00.691444Z</t>
        </is>
      </c>
      <c r="C3" s="24" t="inlineStr">
        <is>
          <t>2026-07-25T09:00:00Z</t>
        </is>
      </c>
      <c r="D3" s="24" t="inlineStr">
        <is>
          <t>59239</t>
        </is>
      </c>
      <c r="E3" s="24" t="inlineStr">
        <is>
          <t>LOL</t>
        </is>
      </c>
      <c r="F3" s="24" t="inlineStr">
        <is>
          <t>Weibo Gaming</t>
        </is>
      </c>
      <c r="G3" s="24" t="inlineStr">
        <is>
          <t>Invictus Gaming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113</v>
      </c>
      <c r="M3" s="27" t="n">
        <v>2.13</v>
      </c>
      <c r="N3" s="28" t="n">
        <v>0.469484</v>
      </c>
      <c r="O3" s="28" t="n">
        <v>0.638612</v>
      </c>
      <c r="P3" s="28" t="n"/>
      <c r="Q3" s="28" t="n">
        <v>0.169128</v>
      </c>
      <c r="R3" s="26" t="n">
        <v>64</v>
      </c>
      <c r="S3" s="29" t="n">
        <v>1</v>
      </c>
      <c r="T3" s="24" t="inlineStr">
        <is>
          <t>lol-tiered-elo-v4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-1</v>
      </c>
      <c r="AD3" s="24" t="inlineStr">
        <is>
          <t>2026-07-25T15:25:48.117699Z</t>
        </is>
      </c>
      <c r="AE3" s="31" t="inlineStr">
        <is>
          <t>Neutral Elo baseline; executable ask 0.4700 (market_slug=aec-lol-ig-wb-2026-07-25).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Weibo Gaming</t>
        </is>
      </c>
      <c r="AQ3" s="24" t="inlineStr">
        <is>
          <t>Weibo Gaming</t>
        </is>
      </c>
      <c r="AR3" s="24" t="inlineStr">
        <is>
          <t>Weibo Gaming</t>
        </is>
      </c>
      <c r="AS3" s="24" t="inlineStr">
        <is>
          <t>Invictus Gaming</t>
        </is>
      </c>
      <c r="AT3" s="24" t="inlineStr">
        <is>
          <t>Invictus Gaming</t>
        </is>
      </c>
      <c r="AU3" s="24" t="inlineStr">
        <is>
          <t>Invictus Gaming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35087e828a0053011a97024de693e2ee7eb80eb03024c91d28d254de09d93778</t>
        </is>
      </c>
      <c r="BB3" s="24" t="inlineStr">
        <is>
          <t>neutral_elo</t>
        </is>
      </c>
      <c r="BC3" s="24" t="inlineStr">
        <is>
          <t>lol-tiered-elo-v3</t>
        </is>
      </c>
      <c r="BD3" s="24" t="inlineStr">
        <is>
          <t>dbc38ecdb090b63690db810d40eb29d0a69435c83dfbf24eb00d22aa42c177ae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lol-tiered-elo-v3</t>
        </is>
      </c>
      <c r="BH3" s="24" t="inlineStr">
        <is>
          <t>2026-07-24T10:51:41.784002Z</t>
        </is>
      </c>
      <c r="BI3" s="24" t="inlineStr">
        <is>
          <t>["same_event","same_team_same_day","same_league_same_day"]</t>
        </is>
      </c>
      <c r="BJ3" s="25" t="n"/>
      <c r="BK3" s="26" t="n">
        <v>113</v>
      </c>
      <c r="BL3" s="27" t="n">
        <v>2.13</v>
      </c>
      <c r="BM3" s="28" t="n">
        <v>0.469484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79acf4e1e7f0475b</t>
        </is>
      </c>
      <c r="B4" s="24" t="inlineStr">
        <is>
          <t>2026-07-24T15:45:33.271721Z</t>
        </is>
      </c>
      <c r="C4" s="24" t="inlineStr">
        <is>
          <t>2026-07-24T19:00:00Z</t>
        </is>
      </c>
      <c r="D4" s="24" t="inlineStr">
        <is>
          <t>58783</t>
        </is>
      </c>
      <c r="E4" s="24" t="inlineStr">
        <is>
          <t>LOL</t>
        </is>
      </c>
      <c r="F4" s="24" t="inlineStr">
        <is>
          <t>EKO Esports</t>
        </is>
      </c>
      <c r="G4" s="24" t="inlineStr">
        <is>
          <t>Aeterna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0.448445</v>
      </c>
      <c r="P4" s="28" t="n"/>
      <c r="Q4" s="28" t="n">
        <v>0.01926</v>
      </c>
      <c r="R4" s="26" t="n">
        <v>62</v>
      </c>
      <c r="S4" s="29" t="n">
        <v>0</v>
      </c>
      <c r="T4" s="24" t="inlineStr">
        <is>
          <t>lol-tiered-elo-v4</t>
        </is>
      </c>
      <c r="U4" s="24" t="inlineStr">
        <is>
          <t>settled</t>
        </is>
      </c>
      <c r="V4" s="24" t="inlineStr">
        <is>
          <t>push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0</v>
      </c>
      <c r="AD4" s="24" t="inlineStr">
        <is>
          <t>2026-07-25T23:18:34.089000Z</t>
        </is>
      </c>
      <c r="AE4" s="31" t="inlineStr">
        <is>
          <t>Neutral Elo baseline; executable ask 0.4300 (market_slug=aec-lol-aee-eko-2026-07-24).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NO_CALL_MODEL_INELIGIBLE</t>
        </is>
      </c>
      <c r="AP4" s="24" t="inlineStr">
        <is>
          <t>EKO Esports</t>
        </is>
      </c>
      <c r="AQ4" s="24" t="inlineStr">
        <is>
          <t>EKO Esports</t>
        </is>
      </c>
      <c r="AR4" s="24" t="inlineStr">
        <is>
          <t>EKO Esports</t>
        </is>
      </c>
      <c r="AS4" s="24" t="inlineStr">
        <is>
          <t>Aeterna Esports</t>
        </is>
      </c>
      <c r="AT4" s="24" t="inlineStr">
        <is>
          <t>Aeterna Esports</t>
        </is>
      </c>
      <c r="AU4" s="24" t="inlineStr">
        <is>
          <t>Aeterna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35087e828a0053011a97024de693e2ee7eb80eb03024c91d28d254de09d93778</t>
        </is>
      </c>
      <c r="BB4" s="24" t="inlineStr">
        <is>
          <t>neutral_elo</t>
        </is>
      </c>
      <c r="BC4" s="24" t="inlineStr">
        <is>
          <t>lol-tiered-elo-v3</t>
        </is>
      </c>
      <c r="BD4" s="24" t="inlineStr">
        <is>
          <t>dbc38ecdb090b63690db810d40eb29d0a69435c83dfbf24eb00d22aa42c177ae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lol-tiered-elo-v3</t>
        </is>
      </c>
      <c r="BH4" s="24" t="inlineStr">
        <is>
          <t>2026-07-24T15:45:23.824161Z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inlineStr">
        <is>
          <t>model_prob_below_0.5_bug: selected side was never actually favored by the model (pre-fix esports logging bug in _log_esports_forecast, fixed 2026-07-25 with model_prob&lt;0.5 guard)</t>
        </is>
      </c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53a994676d2b46c8</t>
        </is>
      </c>
      <c r="B5" s="24" t="inlineStr">
        <is>
          <t>2026-07-25T16:16:17.517287Z</t>
        </is>
      </c>
      <c r="C5" s="24" t="inlineStr">
        <is>
          <t>2026-07-25T17:00:00Z</t>
        </is>
      </c>
      <c r="D5" s="24" t="inlineStr">
        <is>
          <t>59392</t>
        </is>
      </c>
      <c r="E5" s="24" t="inlineStr">
        <is>
          <t>LOL</t>
        </is>
      </c>
      <c r="F5" s="24" t="inlineStr">
        <is>
          <t>Movistar KOI</t>
        </is>
      </c>
      <c r="G5" s="24" t="inlineStr">
        <is>
          <t>Karmine Corp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0.761127</v>
      </c>
      <c r="P5" s="28" t="n"/>
      <c r="Q5" s="28" t="n">
        <v>0.09116</v>
      </c>
      <c r="R5" s="26" t="n">
        <v>66</v>
      </c>
      <c r="S5" s="29" t="n">
        <v>2</v>
      </c>
      <c r="T5" s="24" t="inlineStr">
        <is>
          <t>lol-tiered-elo-v4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0.9852</v>
      </c>
      <c r="AD5" s="24" t="inlineStr">
        <is>
          <t>2026-07-25T19:18:07.087318Z</t>
        </is>
      </c>
      <c r="AE5" s="31" t="inlineStr">
        <is>
          <t>Neutral Elo baseline; executable ask 0.6700 (market_slug=aec-lol-kc-mkoi-2026-07-25).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Movistar KOI</t>
        </is>
      </c>
      <c r="AQ5" s="24" t="inlineStr">
        <is>
          <t>Movistar KOI</t>
        </is>
      </c>
      <c r="AR5" s="24" t="inlineStr">
        <is>
          <t>Movistar KOI</t>
        </is>
      </c>
      <c r="AS5" s="24" t="inlineStr">
        <is>
          <t>Karmine Corp</t>
        </is>
      </c>
      <c r="AT5" s="24" t="inlineStr">
        <is>
          <t>Karmine Corp</t>
        </is>
      </c>
      <c r="AU5" s="24" t="inlineStr">
        <is>
          <t>Karmine Corp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35087e828a0053011a97024de693e2ee7eb80eb03024c91d28d254de09d93778</t>
        </is>
      </c>
      <c r="BB5" s="24" t="inlineStr">
        <is>
          <t>neutral_elo</t>
        </is>
      </c>
      <c r="BC5" s="24" t="inlineStr">
        <is>
          <t>lol-tiered-elo-v4</t>
        </is>
      </c>
      <c r="BD5" s="24" t="inlineStr">
        <is>
          <t>35087e828a0053011a97024de693e2ee7eb80eb03024c91d28d254de09d93778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lol-tiered-elo-v4</t>
        </is>
      </c>
      <c r="BH5" s="24" t="inlineStr">
        <is>
          <t>2026-07-25T16:16:06.872882Z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a42e170c751e4309</t>
        </is>
      </c>
      <c r="B6" s="24" t="inlineStr">
        <is>
          <t>2026-07-26T12:49:32.359065Z</t>
        </is>
      </c>
      <c r="C6" s="24" t="inlineStr">
        <is>
          <t>2026-07-26T13:00:00Z</t>
        </is>
      </c>
      <c r="D6" s="24" t="inlineStr">
        <is>
          <t>60120</t>
        </is>
      </c>
      <c r="E6" s="24" t="inlineStr">
        <is>
          <t>LOL</t>
        </is>
      </c>
      <c r="F6" s="24" t="inlineStr">
        <is>
          <t>Team High Ground</t>
        </is>
      </c>
      <c r="G6" s="24" t="inlineStr">
        <is>
          <t>Galions Sharks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0.5456</v>
      </c>
      <c r="P6" s="28" t="n"/>
      <c r="Q6" s="28" t="n">
        <v>0.135764</v>
      </c>
      <c r="R6" s="26" t="n">
        <v>88</v>
      </c>
      <c r="S6" s="29" t="n">
        <v>1</v>
      </c>
      <c r="T6" s="24" t="inlineStr">
        <is>
          <t>lol-tiered-elo-v4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-1</v>
      </c>
      <c r="AD6" s="24" t="inlineStr">
        <is>
          <t>2026-07-26T17:52:33.905977Z</t>
        </is>
      </c>
      <c r="AE6" s="31" t="inlineStr">
        <is>
          <t>Neutral Elo baseline; executable ask 0.4100 (market_slug=aec-lol-gls-thg-2026-07-26).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Team High Ground</t>
        </is>
      </c>
      <c r="AQ6" s="24" t="inlineStr">
        <is>
          <t>Team High Ground</t>
        </is>
      </c>
      <c r="AR6" s="24" t="inlineStr">
        <is>
          <t>Team High Ground</t>
        </is>
      </c>
      <c r="AS6" s="24" t="inlineStr">
        <is>
          <t>Galions Sharks</t>
        </is>
      </c>
      <c r="AT6" s="24" t="inlineStr">
        <is>
          <t>Galions Sharks</t>
        </is>
      </c>
      <c r="AU6" s="24" t="inlineStr">
        <is>
          <t>Galions Sharks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35087e828a0053011a97024de693e2ee7eb80eb03024c91d28d254de09d93778</t>
        </is>
      </c>
      <c r="BB6" s="24" t="inlineStr">
        <is>
          <t>neutral_elo</t>
        </is>
      </c>
      <c r="BC6" s="24" t="inlineStr">
        <is>
          <t>lol-tiered-elo-v4</t>
        </is>
      </c>
      <c r="BD6" s="24" t="inlineStr">
        <is>
          <t>35087e828a0053011a97024de693e2ee7eb80eb03024c91d28d254de09d93778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lol-tiered-elo-v4</t>
        </is>
      </c>
      <c r="BH6" s="24" t="inlineStr">
        <is>
          <t>2026-07-26T12:49:10.049609Z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4251a66dd47d405b</t>
        </is>
      </c>
      <c r="B7" s="24" t="inlineStr">
        <is>
          <t>2026-07-26T12:49:32.359065Z</t>
        </is>
      </c>
      <c r="C7" s="24" t="inlineStr">
        <is>
          <t>2026-07-26T17:00:00Z</t>
        </is>
      </c>
      <c r="D7" s="24" t="inlineStr">
        <is>
          <t>60180</t>
        </is>
      </c>
      <c r="E7" s="24" t="inlineStr">
        <is>
          <t>LOL</t>
        </is>
      </c>
      <c r="F7" s="24" t="inlineStr">
        <is>
          <t>Karmine Corp</t>
        </is>
      </c>
      <c r="G7" s="24" t="inlineStr">
        <is>
          <t>G2 Esports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150</v>
      </c>
      <c r="M7" s="27" t="n">
        <v>2.5</v>
      </c>
      <c r="N7" s="28" t="n">
        <v>0.4</v>
      </c>
      <c r="O7" s="28" t="n">
        <v>0.621842</v>
      </c>
      <c r="P7" s="28" t="n"/>
      <c r="Q7" s="28" t="n">
        <v>0.221842</v>
      </c>
      <c r="R7" s="26" t="n">
        <v>100</v>
      </c>
      <c r="S7" s="29" t="n">
        <v>1.75</v>
      </c>
      <c r="T7" s="24" t="inlineStr">
        <is>
          <t>lol-tiered-elo-v4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2.625</v>
      </c>
      <c r="AD7" s="24" t="inlineStr">
        <is>
          <t>2026-07-27T01:51:59.451937Z</t>
        </is>
      </c>
      <c r="AE7" s="31" t="inlineStr">
        <is>
          <t>Neutral Elo baseline; executable ask 0.4000 (market_slug=aec-lol-g2-kc-2026-07-26).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Karmine Corp</t>
        </is>
      </c>
      <c r="AQ7" s="24" t="inlineStr">
        <is>
          <t>Karmine Corp</t>
        </is>
      </c>
      <c r="AR7" s="24" t="inlineStr">
        <is>
          <t>Karmine Corp</t>
        </is>
      </c>
      <c r="AS7" s="24" t="inlineStr">
        <is>
          <t>G2 Esports</t>
        </is>
      </c>
      <c r="AT7" s="24" t="inlineStr">
        <is>
          <t>G2 Esports</t>
        </is>
      </c>
      <c r="AU7" s="24" t="inlineStr">
        <is>
          <t>G2 Esports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35087e828a0053011a97024de693e2ee7eb80eb03024c91d28d254de09d93778</t>
        </is>
      </c>
      <c r="BB7" s="24" t="inlineStr">
        <is>
          <t>neutral_elo</t>
        </is>
      </c>
      <c r="BC7" s="24" t="inlineStr">
        <is>
          <t>lol-tiered-elo-v4</t>
        </is>
      </c>
      <c r="BD7" s="24" t="inlineStr">
        <is>
          <t>35087e828a0053011a97024de693e2ee7eb80eb03024c91d28d254de09d93778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lol-tiered-elo-v4</t>
        </is>
      </c>
      <c r="BH7" s="24" t="inlineStr">
        <is>
          <t>2026-07-26T12:49:13.248928Z</t>
        </is>
      </c>
      <c r="BI7" s="24" t="inlineStr">
        <is>
          <t>["same_event","same_team_same_day","same_league_same_day"]</t>
        </is>
      </c>
      <c r="BJ7" s="25" t="n"/>
      <c r="BK7" s="26" t="n">
        <v>150</v>
      </c>
      <c r="BL7" s="27" t="n">
        <v>2.5</v>
      </c>
      <c r="BM7" s="28" t="n">
        <v>0.4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1f517fe029654f3d</t>
        </is>
      </c>
      <c r="B8" s="24" t="inlineStr">
        <is>
          <t>2026-07-26T19:32:06.087195Z</t>
        </is>
      </c>
      <c r="C8" s="24" t="inlineStr">
        <is>
          <t>2026-07-26T20:00:00Z</t>
        </is>
      </c>
      <c r="D8" s="24" t="inlineStr">
        <is>
          <t>60465</t>
        </is>
      </c>
      <c r="E8" s="24" t="inlineStr">
        <is>
          <t>LOL</t>
        </is>
      </c>
      <c r="F8" s="24" t="inlineStr">
        <is>
          <t>Cloud9</t>
        </is>
      </c>
      <c r="G8" s="24" t="inlineStr">
        <is>
          <t>Team Liquid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-144</v>
      </c>
      <c r="M8" s="27" t="n">
        <v>1.694444</v>
      </c>
      <c r="N8" s="28" t="n">
        <v>0.590164</v>
      </c>
      <c r="O8" s="28" t="n">
        <v>0.723066</v>
      </c>
      <c r="P8" s="28" t="n"/>
      <c r="Q8" s="28" t="n">
        <v>0.132902</v>
      </c>
      <c r="R8" s="26" t="n">
        <v>86</v>
      </c>
      <c r="S8" s="29" t="n">
        <v>2</v>
      </c>
      <c r="T8" s="24" t="inlineStr">
        <is>
          <t>lol-tiered-elo-v4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1.3889</v>
      </c>
      <c r="AD8" s="24" t="inlineStr">
        <is>
          <t>2026-07-27T01:52:01.961047Z</t>
        </is>
      </c>
      <c r="AE8" s="31" t="inlineStr">
        <is>
          <t>Neutral Elo baseline; executable ask 0.5900 (market_slug=aec-lol-tl-c9-2026-07-26).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Cloud9</t>
        </is>
      </c>
      <c r="AQ8" s="24" t="inlineStr">
        <is>
          <t>Cloud9</t>
        </is>
      </c>
      <c r="AR8" s="24" t="inlineStr">
        <is>
          <t>Cloud9</t>
        </is>
      </c>
      <c r="AS8" s="24" t="inlineStr">
        <is>
          <t>Team Liquid</t>
        </is>
      </c>
      <c r="AT8" s="24" t="inlineStr">
        <is>
          <t>Team Liquid</t>
        </is>
      </c>
      <c r="AU8" s="24" t="inlineStr">
        <is>
          <t>Team Liquid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35087e828a0053011a97024de693e2ee7eb80eb03024c91d28d254de09d93778</t>
        </is>
      </c>
      <c r="BB8" s="24" t="inlineStr">
        <is>
          <t>neutral_elo</t>
        </is>
      </c>
      <c r="BC8" s="24" t="inlineStr">
        <is>
          <t>lol-tiered-elo-v4</t>
        </is>
      </c>
      <c r="BD8" s="24" t="inlineStr">
        <is>
          <t>35087e828a0053011a97024de693e2ee7eb80eb03024c91d28d254de09d93778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lol-tiered-elo-v4</t>
        </is>
      </c>
      <c r="BH8" s="24" t="inlineStr">
        <is>
          <t>2026-07-26T19:31:54.450139Z</t>
        </is>
      </c>
      <c r="BI8" s="24" t="inlineStr">
        <is>
          <t>["same_event","same_team_same_day","same_league_same_day"]</t>
        </is>
      </c>
      <c r="BJ8" s="25" t="n"/>
      <c r="BK8" s="26" t="n">
        <v>-144</v>
      </c>
      <c r="BL8" s="27" t="n">
        <v>1.694444</v>
      </c>
      <c r="BM8" s="28" t="n">
        <v>0.590164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609696ae2e8245cf</t>
        </is>
      </c>
      <c r="B9" s="24" t="inlineStr">
        <is>
          <t>2026-07-26T20:10:52.122105Z</t>
        </is>
      </c>
      <c r="C9" s="24" t="inlineStr">
        <is>
          <t>2026-07-26T23:00:00Z</t>
        </is>
      </c>
      <c r="D9" s="24" t="inlineStr">
        <is>
          <t>60600</t>
        </is>
      </c>
      <c r="E9" s="24" t="inlineStr">
        <is>
          <t>LOL</t>
        </is>
      </c>
      <c r="F9" s="24" t="inlineStr">
        <is>
          <t>Disguised</t>
        </is>
      </c>
      <c r="G9" s="24" t="inlineStr">
        <is>
          <t>Shopify Rebellion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-133</v>
      </c>
      <c r="M9" s="27" t="n">
        <v>1.75188</v>
      </c>
      <c r="N9" s="28" t="n">
        <v>0.570815</v>
      </c>
      <c r="O9" s="28" t="n">
        <v>0.543543</v>
      </c>
      <c r="P9" s="28" t="n"/>
      <c r="Q9" s="28" t="n">
        <v>-0.027272</v>
      </c>
      <c r="R9" s="26" t="n">
        <v>6</v>
      </c>
      <c r="S9" s="29" t="n">
        <v>0</v>
      </c>
      <c r="T9" s="24" t="inlineStr">
        <is>
          <t>lol-tiered-elo-v4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</v>
      </c>
      <c r="AD9" s="24" t="inlineStr">
        <is>
          <t>2026-07-27T01:52:03.138650Z</t>
        </is>
      </c>
      <c r="AE9" s="31" t="inlineStr">
        <is>
          <t>Neutral Elo baseline; executable ask 0.5700 (market_slug=aec-lol-sr-dsg-2026-07-26).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Disguised</t>
        </is>
      </c>
      <c r="AQ9" s="24" t="inlineStr">
        <is>
          <t>Disguised</t>
        </is>
      </c>
      <c r="AR9" s="24" t="inlineStr">
        <is>
          <t>Disguised</t>
        </is>
      </c>
      <c r="AS9" s="24" t="inlineStr">
        <is>
          <t>Shopify Rebellion</t>
        </is>
      </c>
      <c r="AT9" s="24" t="inlineStr">
        <is>
          <t>Shopify Rebellion</t>
        </is>
      </c>
      <c r="AU9" s="24" t="inlineStr">
        <is>
          <t>Shopify Rebellion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35087e828a0053011a97024de693e2ee7eb80eb03024c91d28d254de09d93778</t>
        </is>
      </c>
      <c r="BB9" s="24" t="inlineStr">
        <is>
          <t>neutral_elo</t>
        </is>
      </c>
      <c r="BC9" s="24" t="inlineStr">
        <is>
          <t>lol-tiered-elo-v4</t>
        </is>
      </c>
      <c r="BD9" s="24" t="inlineStr">
        <is>
          <t>35087e828a0053011a97024de693e2ee7eb80eb03024c91d28d254de09d93778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lol-tiered-elo-v4</t>
        </is>
      </c>
      <c r="BH9" s="24" t="inlineStr">
        <is>
          <t>2026-07-26T20:10:41.893354Z</t>
        </is>
      </c>
      <c r="BI9" s="24" t="inlineStr">
        <is>
          <t>["same_event","same_team_same_day","same_league_same_day"]</t>
        </is>
      </c>
      <c r="BJ9" s="25" t="n"/>
      <c r="BK9" s="26" t="n">
        <v>-133</v>
      </c>
      <c r="BL9" s="27" t="n">
        <v>1.75188</v>
      </c>
      <c r="BM9" s="28" t="n">
        <v>0.570815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fd1d1301189448ab</t>
        </is>
      </c>
      <c r="B10" s="24" t="inlineStr">
        <is>
          <t>2026-07-27T05:24:25.946584Z</t>
        </is>
      </c>
      <c r="C10" s="24" t="inlineStr">
        <is>
          <t>2026-07-27T06:45:00Z</t>
        </is>
      </c>
      <c r="D10" s="24" t="inlineStr">
        <is>
          <t>60706</t>
        </is>
      </c>
      <c r="E10" s="24" t="inlineStr">
        <is>
          <t>LOL</t>
        </is>
      </c>
      <c r="F10" s="24" t="inlineStr">
        <is>
          <t>Hanwha Life Esports</t>
        </is>
      </c>
      <c r="G10" s="24" t="inlineStr">
        <is>
          <t>Dplus KIA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-194</v>
      </c>
      <c r="M10" s="27" t="n">
        <v>1.515464</v>
      </c>
      <c r="N10" s="28" t="n">
        <v>0.659864</v>
      </c>
      <c r="O10" s="28" t="n">
        <v>0.608349</v>
      </c>
      <c r="P10" s="28" t="n"/>
      <c r="Q10" s="28" t="n">
        <v>-0.051515</v>
      </c>
      <c r="R10" s="26" t="n">
        <v>0</v>
      </c>
      <c r="S10" s="29" t="n">
        <v>0</v>
      </c>
      <c r="T10" s="24" t="inlineStr">
        <is>
          <t>lol-tiered-elo-v4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</v>
      </c>
      <c r="AD10" s="24" t="inlineStr">
        <is>
          <t>2026-07-27T10:24:44.763051Z</t>
        </is>
      </c>
      <c r="AE10" s="31" t="inlineStr">
        <is>
          <t>Neutral Elo baseline; executable ask 0.6600 (market_slug=aec-lol-dk-hle-2026-07-27).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Hanwha Life Esports</t>
        </is>
      </c>
      <c r="AQ10" s="24" t="inlineStr">
        <is>
          <t>Hanwha Life Esports</t>
        </is>
      </c>
      <c r="AR10" s="24" t="inlineStr">
        <is>
          <t>Hanwha Life Esports</t>
        </is>
      </c>
      <c r="AS10" s="24" t="inlineStr">
        <is>
          <t>Dplus KIA</t>
        </is>
      </c>
      <c r="AT10" s="24" t="inlineStr">
        <is>
          <t>Dplus KIA</t>
        </is>
      </c>
      <c r="AU10" s="24" t="inlineStr">
        <is>
          <t>Dplus KIA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35087e828a0053011a97024de693e2ee7eb80eb03024c91d28d254de09d93778</t>
        </is>
      </c>
      <c r="BB10" s="24" t="inlineStr">
        <is>
          <t>neutral_elo</t>
        </is>
      </c>
      <c r="BC10" s="24" t="inlineStr">
        <is>
          <t>lol-tiered-elo-v4</t>
        </is>
      </c>
      <c r="BD10" s="24" t="inlineStr">
        <is>
          <t>35087e828a0053011a97024de693e2ee7eb80eb03024c91d28d254de09d93778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lol-tiered-elo-v4</t>
        </is>
      </c>
      <c r="BH10" s="24" t="inlineStr">
        <is>
          <t>2026-07-27T05:24:02.567595Z</t>
        </is>
      </c>
      <c r="BI10" s="24" t="inlineStr">
        <is>
          <t>["same_event","same_team_same_day","same_league_same_day"]</t>
        </is>
      </c>
      <c r="BJ10" s="25" t="n"/>
      <c r="BK10" s="26" t="n">
        <v>-194</v>
      </c>
      <c r="BL10" s="27" t="n">
        <v>1.515464</v>
      </c>
      <c r="BM10" s="28" t="n">
        <v>0.659864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75fe356302e240e0</t>
        </is>
      </c>
      <c r="B11" s="24" t="inlineStr">
        <is>
          <t>2026-07-27T17:37:52.168845Z</t>
        </is>
      </c>
      <c r="C11" s="24" t="inlineStr">
        <is>
          <t>2026-07-27T18:00:00Z</t>
        </is>
      </c>
      <c r="D11" s="24" t="inlineStr">
        <is>
          <t>60818</t>
        </is>
      </c>
      <c r="E11" s="24" t="inlineStr">
        <is>
          <t>LOL</t>
        </is>
      </c>
      <c r="F11" s="24" t="inlineStr">
        <is>
          <t>Bulldog Esports</t>
        </is>
      </c>
      <c r="G11" s="24" t="inlineStr">
        <is>
          <t>Arctic Pandas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-104</v>
      </c>
      <c r="M11" s="27" t="n">
        <v>1.961538</v>
      </c>
      <c r="N11" s="28" t="n">
        <v>0.509804</v>
      </c>
      <c r="O11" s="28" t="n">
        <v>0.596094</v>
      </c>
      <c r="P11" s="28" t="n"/>
      <c r="Q11" s="28" t="n">
        <v>0.08629000000000001</v>
      </c>
      <c r="R11" s="26" t="n">
        <v>63</v>
      </c>
      <c r="S11" s="29" t="n">
        <v>1.5</v>
      </c>
      <c r="T11" s="24" t="inlineStr">
        <is>
          <t>lol-tiered-elo-v4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-1.5</v>
      </c>
      <c r="AD11" s="24" t="inlineStr">
        <is>
          <t>2026-07-27T19:47:25.392207Z</t>
        </is>
      </c>
      <c r="AE11" s="31" t="inlineStr">
        <is>
          <t>Neutral Elo baseline; executable ask 0.5100 (market_slug=aec-lol-ap-bld-2026-07-27).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Bulldog Esports</t>
        </is>
      </c>
      <c r="AQ11" s="24" t="inlineStr">
        <is>
          <t>Bulldog Esports</t>
        </is>
      </c>
      <c r="AR11" s="24" t="inlineStr">
        <is>
          <t>Bulldog Esports</t>
        </is>
      </c>
      <c r="AS11" s="24" t="inlineStr">
        <is>
          <t>Arctic Pandas</t>
        </is>
      </c>
      <c r="AT11" s="24" t="inlineStr">
        <is>
          <t>Arctic Pandas</t>
        </is>
      </c>
      <c r="AU11" s="24" t="inlineStr">
        <is>
          <t>Arctic Pandas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181f161eadbc9c7936d57f0cb930b26b3363dbf664c19f1b39e954282aa7d3a8</t>
        </is>
      </c>
      <c r="BB11" s="24" t="inlineStr">
        <is>
          <t>neutral_elo</t>
        </is>
      </c>
      <c r="BC11" s="24" t="inlineStr">
        <is>
          <t>lol-tiered-elo-v4</t>
        </is>
      </c>
      <c r="BD11" s="24" t="inlineStr">
        <is>
          <t>181f161eadbc9c7936d57f0cb930b26b3363dbf664c19f1b39e954282aa7d3a8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lol-tiered-elo-v4</t>
        </is>
      </c>
      <c r="BH11" s="24" t="inlineStr">
        <is>
          <t>2026-07-27T17:37:32.913782Z</t>
        </is>
      </c>
      <c r="BI11" s="24" t="inlineStr">
        <is>
          <t>["same_event","same_team_same_day","same_league_same_day"]</t>
        </is>
      </c>
      <c r="BJ11" s="25" t="n"/>
      <c r="BK11" s="26" t="n">
        <v>-104</v>
      </c>
      <c r="BL11" s="27" t="n">
        <v>1.961538</v>
      </c>
      <c r="BM11" s="28" t="n">
        <v>0.509804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ca40c6c8e3314622</t>
        </is>
      </c>
      <c r="B12" s="24" t="inlineStr">
        <is>
          <t>2026-07-27T19:51:04.764967Z</t>
        </is>
      </c>
      <c r="C12" s="24" t="inlineStr">
        <is>
          <t>2026-07-27T21:00:00Z</t>
        </is>
      </c>
      <c r="D12" s="24" t="inlineStr">
        <is>
          <t>61044</t>
        </is>
      </c>
      <c r="E12" s="24" t="inlineStr">
        <is>
          <t>LOL</t>
        </is>
      </c>
      <c r="F12" s="24" t="inlineStr">
        <is>
          <t>Ei Nerd Esports</t>
        </is>
      </c>
      <c r="G12" s="24" t="inlineStr">
        <is>
          <t>paiN Gaming Academy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-178</v>
      </c>
      <c r="M12" s="27" t="n">
        <v>1.561798</v>
      </c>
      <c r="N12" s="28" t="n">
        <v>0.640288</v>
      </c>
      <c r="O12" s="28" t="n">
        <v>0.654099</v>
      </c>
      <c r="P12" s="28" t="n"/>
      <c r="Q12" s="28" t="n">
        <v>0.013811</v>
      </c>
      <c r="R12" s="26" t="n">
        <v>27</v>
      </c>
      <c r="S12" s="29" t="n">
        <v>2</v>
      </c>
      <c r="T12" s="24" t="inlineStr">
        <is>
          <t>lol-tiered-elo-v4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1.1236</v>
      </c>
      <c r="AD12" s="24" t="inlineStr">
        <is>
          <t>2026-07-27T22:51:53.746120Z</t>
        </is>
      </c>
      <c r="AE12" s="31" t="inlineStr">
        <is>
          <t>Neutral Elo baseline; executable ask 0.6400 (market_slug=aec-lol-pnga-nerd-2026-07-27).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Ei Nerd Esports</t>
        </is>
      </c>
      <c r="AQ12" s="24" t="inlineStr">
        <is>
          <t>Ei Nerd Esports</t>
        </is>
      </c>
      <c r="AR12" s="24" t="inlineStr">
        <is>
          <t>Ei Nerd Esports</t>
        </is>
      </c>
      <c r="AS12" s="24" t="inlineStr">
        <is>
          <t>paiN Gaming Academy</t>
        </is>
      </c>
      <c r="AT12" s="24" t="inlineStr">
        <is>
          <t>paiN Gaming Academy</t>
        </is>
      </c>
      <c r="AU12" s="24" t="inlineStr">
        <is>
          <t>paiN Gaming Academy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a1ec01e655fe8c74e1a10624d033e1ed3a28f75c65521824090c359f6c375c81</t>
        </is>
      </c>
      <c r="BB12" s="24" t="inlineStr">
        <is>
          <t>neutral_elo</t>
        </is>
      </c>
      <c r="BC12" s="24" t="inlineStr">
        <is>
          <t>lol-tiered-elo-v4</t>
        </is>
      </c>
      <c r="BD12" s="24" t="inlineStr">
        <is>
          <t>a1ec01e655fe8c74e1a10624d033e1ed3a28f75c65521824090c359f6c375c81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lol-tiered-elo-v4</t>
        </is>
      </c>
      <c r="BH12" s="24" t="inlineStr">
        <is>
          <t>2026-07-27T19:50:48.466474Z</t>
        </is>
      </c>
      <c r="BI12" s="24" t="inlineStr">
        <is>
          <t>["same_event","same_team_same_day","same_league_same_day"]</t>
        </is>
      </c>
      <c r="BJ12" s="25" t="n"/>
      <c r="BK12" s="26" t="n">
        <v>-178</v>
      </c>
      <c r="BL12" s="27" t="n">
        <v>1.561798</v>
      </c>
      <c r="BM12" s="28" t="n">
        <v>0.640288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65f050e2f5d7407e</t>
        </is>
      </c>
      <c r="B13" s="24" t="inlineStr">
        <is>
          <t>2026-07-28T05:05:19.448075Z</t>
        </is>
      </c>
      <c r="C13" s="24" t="inlineStr">
        <is>
          <t>2026-07-28T08:00:00Z</t>
        </is>
      </c>
      <c r="D13" s="24" t="inlineStr">
        <is>
          <t>61376</t>
        </is>
      </c>
      <c r="E13" s="24" t="inlineStr">
        <is>
          <t>LOL</t>
        </is>
      </c>
      <c r="F13" s="24" t="inlineStr">
        <is>
          <t>HANJIN BRION Challengers</t>
        </is>
      </c>
      <c r="G13" s="24" t="inlineStr">
        <is>
          <t>Hanwha Life Esports Challengers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-178</v>
      </c>
      <c r="M13" s="27" t="n">
        <v>1.561798</v>
      </c>
      <c r="N13" s="28" t="n">
        <v>0.640288</v>
      </c>
      <c r="O13" s="28" t="n">
        <v>0.6502599999999999</v>
      </c>
      <c r="P13" s="28" t="n"/>
      <c r="Q13" s="28" t="n">
        <v>0.009972</v>
      </c>
      <c r="R13" s="26" t="n">
        <v>25</v>
      </c>
      <c r="S13" s="29" t="n">
        <v>2</v>
      </c>
      <c r="T13" s="24" t="inlineStr">
        <is>
          <t>lol-tiered-elo-v4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/>
      <c r="AA13" s="28" t="n"/>
      <c r="AB13" s="28" t="n"/>
      <c r="AC13" s="30" t="n">
        <v>-2</v>
      </c>
      <c r="AD13" s="24" t="inlineStr">
        <is>
          <t>2026-07-28T11:12:37.047119Z</t>
        </is>
      </c>
      <c r="AE13" s="31" t="inlineStr">
        <is>
          <t>Neutral Elo baseline; executable ask 0.6400 (market_slug=aec-lol-hlec-hbc-2026-07-28).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HANJIN BRION Challengers</t>
        </is>
      </c>
      <c r="AQ13" s="24" t="inlineStr">
        <is>
          <t>HANJIN BRION Challengers</t>
        </is>
      </c>
      <c r="AR13" s="24" t="inlineStr">
        <is>
          <t>HANJIN BRION Challengers</t>
        </is>
      </c>
      <c r="AS13" s="24" t="inlineStr">
        <is>
          <t>Hanwha Life Esports Challengers</t>
        </is>
      </c>
      <c r="AT13" s="24" t="inlineStr">
        <is>
          <t>Hanwha Life Esports Challengers</t>
        </is>
      </c>
      <c r="AU13" s="24" t="inlineStr">
        <is>
          <t>Hanwha Life Esports Challengers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9a599be054d1f2f2548e59017ab201f151d7f9e118fd5b364d64e4e515bcc72a</t>
        </is>
      </c>
      <c r="BB13" s="24" t="inlineStr">
        <is>
          <t>neutral_elo</t>
        </is>
      </c>
      <c r="BC13" s="24" t="inlineStr">
        <is>
          <t>lol-tiered-elo-v4</t>
        </is>
      </c>
      <c r="BD13" s="24" t="inlineStr">
        <is>
          <t>9a599be054d1f2f2548e59017ab201f151d7f9e118fd5b364d64e4e515bcc72a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lol-tiered-elo-v4</t>
        </is>
      </c>
      <c r="BH13" s="24" t="inlineStr">
        <is>
          <t>2026-07-28T05:04:47.620446Z</t>
        </is>
      </c>
      <c r="BI13" s="24" t="inlineStr">
        <is>
          <t>["same_event","same_team_same_day","same_league_same_day"]</t>
        </is>
      </c>
      <c r="BJ13" s="25" t="n"/>
      <c r="BK13" s="26" t="n">
        <v>-178</v>
      </c>
      <c r="BL13" s="27" t="n">
        <v>1.561798</v>
      </c>
      <c r="BM13" s="28" t="n">
        <v>0.640288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91b03e93b6bb4b49</t>
        </is>
      </c>
      <c r="B14" s="24" t="inlineStr">
        <is>
          <t>2026-07-28T08:11:25.230149Z</t>
        </is>
      </c>
      <c r="C14" s="24" t="inlineStr">
        <is>
          <t>2026-07-28T10:00:00Z</t>
        </is>
      </c>
      <c r="D14" s="24" t="inlineStr">
        <is>
          <t>61400</t>
        </is>
      </c>
      <c r="E14" s="24" t="inlineStr">
        <is>
          <t>LOL</t>
        </is>
      </c>
      <c r="F14" s="24" t="inlineStr">
        <is>
          <t>Dplus KIA Challengers</t>
        </is>
      </c>
      <c r="G14" s="24" t="inlineStr">
        <is>
          <t>KT Rolster Challengers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113</v>
      </c>
      <c r="M14" s="27" t="n">
        <v>2.13</v>
      </c>
      <c r="N14" s="28" t="n">
        <v>0.469484</v>
      </c>
      <c r="O14" s="28" t="n">
        <v>0.659678</v>
      </c>
      <c r="P14" s="28" t="n"/>
      <c r="Q14" s="28" t="n">
        <v>0.190194</v>
      </c>
      <c r="R14" s="26" t="n">
        <v>100</v>
      </c>
      <c r="S14" s="29" t="n">
        <v>2</v>
      </c>
      <c r="T14" s="24" t="inlineStr">
        <is>
          <t>lol-tiered-elo-v4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2.26</v>
      </c>
      <c r="AD14" s="24" t="inlineStr">
        <is>
          <t>2026-07-28T14:18:42.681308Z</t>
        </is>
      </c>
      <c r="AE14" s="31" t="inlineStr">
        <is>
          <t>Neutral Elo baseline; executable ask 0.4700 (market_slug=aec-lol-ktc-dkc-2026-07-28).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Dplus KIA Challengers</t>
        </is>
      </c>
      <c r="AQ14" s="24" t="inlineStr">
        <is>
          <t>Dplus KIA Challengers</t>
        </is>
      </c>
      <c r="AR14" s="24" t="inlineStr">
        <is>
          <t>Dplus KIA Challengers</t>
        </is>
      </c>
      <c r="AS14" s="24" t="inlineStr">
        <is>
          <t>KT Rolster Challengers</t>
        </is>
      </c>
      <c r="AT14" s="24" t="inlineStr">
        <is>
          <t>KT Rolster Challengers</t>
        </is>
      </c>
      <c r="AU14" s="24" t="inlineStr">
        <is>
          <t>KT Rolster Challengers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f70c60dff382bbc12c8f4c5f7776a2ae9cb7c56547818c66aa81fe255bb5bb7d</t>
        </is>
      </c>
      <c r="BB14" s="24" t="inlineStr">
        <is>
          <t>neutral_elo</t>
        </is>
      </c>
      <c r="BC14" s="24" t="inlineStr">
        <is>
          <t>lol-tiered-elo-v4</t>
        </is>
      </c>
      <c r="BD14" s="24" t="inlineStr">
        <is>
          <t>f70c60dff382bbc12c8f4c5f7776a2ae9cb7c56547818c66aa81fe255bb5bb7d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lol-tiered-elo-v4</t>
        </is>
      </c>
      <c r="BH14" s="24" t="inlineStr">
        <is>
          <t>2026-07-28T08:10:53.411585Z</t>
        </is>
      </c>
      <c r="BI14" s="24" t="inlineStr">
        <is>
          <t>["same_event","same_team_same_day","same_league_same_day"]</t>
        </is>
      </c>
      <c r="BJ14" s="25" t="n"/>
      <c r="BK14" s="26" t="n">
        <v>113</v>
      </c>
      <c r="BL14" s="27" t="n">
        <v>2.13</v>
      </c>
      <c r="BM14" s="28" t="n">
        <v>0.469484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2026-07-28T15:00:51Z</dcterms:created>
  <dcterms:modified xsi:type="dcterms:W3CDTF">2026-07-28T15:00:51Z</dcterms:modified>
</cp:coreProperties>
</file>