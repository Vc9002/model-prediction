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46" headerRowCount="1">
  <autoFilter ref="A1:CQ4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COUNTA('Picks'!$A$2:$A$46)</f>
        <v/>
      </c>
      <c r="C4" s="6">
        <f>COUNTIF('Picks'!$U$2:$U$46,"open")</f>
        <v/>
      </c>
      <c r="E4" s="6">
        <f>COUNTIF('Picks'!$U$2:$U$46,"settled")</f>
        <v/>
      </c>
      <c r="G4" s="6">
        <f>IF(COUNTIFS('Picks'!$U$2:$U$46,"settled",'Picks'!$V$2:$V$46,"win")+COUNTIFS('Picks'!$U$2:$U$46,"settled",'Picks'!$V$2:$V$46,"loss")&gt;=$L$2,"Ready","Insufficient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COUNTIF('Picks'!$BX$2:$BX$46,"&gt;0")</f>
        <v/>
      </c>
      <c r="C7" s="6">
        <f>COUNTIFS('Picks'!$BX$2:$BX$46,"&gt;0",'Picks'!$V$2:$V$46,"win")&amp;"-"&amp;COUNTIFS('Picks'!$BX$2:$BX$46,"&gt;0",'Picks'!$V$2:$V$46,"loss")</f>
        <v/>
      </c>
      <c r="E7" s="7">
        <f>IFERROR(COUNTIFS('Picks'!$BX$2:$BX$46,"&gt;0",'Picks'!$V$2:$V$46,"win")/(COUNTIFS('Picks'!$BX$2:$BX$46,"&gt;0",'Picks'!$V$2:$V$46,"win")+COUNTIFS('Picks'!$BX$2:$BX$46,"&gt;0",'Picks'!$V$2:$V$46,"loss")),0)</f>
        <v/>
      </c>
      <c r="G7" s="7">
        <f>IFERROR(SUM('Picks'!$BY$2:$BY$46)/SUM('Picks'!$BX$2:$BX$46),0)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SUM('Picks'!$BY$2:$BY$46)</f>
        <v/>
      </c>
      <c r="C10" s="9">
        <f>IFERROR(AVERAGEIF('Picks'!$AB$2:$AB$46,"&lt;&gt;",'Picks'!$AB$2:$AB$46),0)</f>
        <v/>
      </c>
      <c r="E10" s="6">
        <f>COUNTIFS('Picks'!$AM$2:$AM$46,"QUALIFIED_SHADOW_CALL",'Picks'!$U$2:$U$46,"settled")</f>
        <v/>
      </c>
      <c r="G10" s="8">
        <f>SUMIFS('Picks'!$AC$2:$AC$46,'Picks'!$AM$2:$AM$46,"QUALIFIED_SHADOW_CALL")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COUNTIFS('Picks'!$H$2:$H$46,$A14,'Picks'!$U$2:$U$46,"settled")</f>
        <v/>
      </c>
      <c r="C14" s="13">
        <f>COUNTIFS('Picks'!$H$2:$H$46,$A14,'Picks'!$U$2:$U$46,"settled",'Picks'!$V$2:$V$46,"win")</f>
        <v/>
      </c>
      <c r="D14" s="13">
        <f>COUNTIFS('Picks'!$H$2:$H$46,$A14,'Picks'!$U$2:$U$46,"settled",'Picks'!$V$2:$V$46,"loss")</f>
        <v/>
      </c>
      <c r="E14" s="14">
        <f>IFERROR(C14/(C14+D14),0)</f>
        <v/>
      </c>
      <c r="F14" s="15">
        <f>SUMIFS('Picks'!$BY$2:$BY$46,'Picks'!$H$2:$H$46,$A14)</f>
        <v/>
      </c>
      <c r="G14" s="16">
        <f>IFERROR(AVERAGEIFS('Picks'!$AB$2:$AB$46,'Picks'!$H$2:$H$46,$A14,'Picks'!$U$2:$U$46,"settled"),0)</f>
        <v/>
      </c>
    </row>
    <row r="15">
      <c r="A15" s="17" t="inlineStr">
        <is>
          <t>spread</t>
        </is>
      </c>
      <c r="B15" s="18">
        <f>COUNTIFS('Picks'!$H$2:$H$46,$A15,'Picks'!$U$2:$U$46,"settled")</f>
        <v/>
      </c>
      <c r="C15" s="18">
        <f>COUNTIFS('Picks'!$H$2:$H$46,$A15,'Picks'!$U$2:$U$46,"settled",'Picks'!$V$2:$V$46,"win")</f>
        <v/>
      </c>
      <c r="D15" s="18">
        <f>COUNTIFS('Picks'!$H$2:$H$46,$A15,'Picks'!$U$2:$U$46,"settled",'Picks'!$V$2:$V$46,"loss")</f>
        <v/>
      </c>
      <c r="E15" s="19">
        <f>IFERROR(C15/(C15+D15),0)</f>
        <v/>
      </c>
      <c r="F15" s="20">
        <f>SUMIFS('Picks'!$BY$2:$BY$46,'Picks'!$H$2:$H$46,$A15)</f>
        <v/>
      </c>
      <c r="G15" s="21">
        <f>IFERROR(AVERAGEIFS('Picks'!$AB$2:$AB$46,'Picks'!$H$2:$H$46,$A15,'Picks'!$U$2:$U$46,"settled"),0)</f>
        <v/>
      </c>
    </row>
    <row r="16">
      <c r="A16" s="12" t="inlineStr">
        <is>
          <t>total</t>
        </is>
      </c>
      <c r="B16" s="13">
        <f>COUNTIFS('Picks'!$H$2:$H$46,$A16,'Picks'!$U$2:$U$46,"settled")</f>
        <v/>
      </c>
      <c r="C16" s="13">
        <f>COUNTIFS('Picks'!$H$2:$H$46,$A16,'Picks'!$U$2:$U$46,"settled",'Picks'!$V$2:$V$46,"win")</f>
        <v/>
      </c>
      <c r="D16" s="13">
        <f>COUNTIFS('Picks'!$H$2:$H$46,$A16,'Picks'!$U$2:$U$46,"settled",'Picks'!$V$2:$V$46,"loss")</f>
        <v/>
      </c>
      <c r="E16" s="14">
        <f>IFERROR(C16/(C16+D16),0)</f>
        <v/>
      </c>
      <c r="F16" s="15">
        <f>SUMIFS('Picks'!$BY$2:$BY$46,'Picks'!$H$2:$H$46,$A16)</f>
        <v/>
      </c>
      <c r="G16" s="16">
        <f>IFERROR(AVERAGEIFS('Picks'!$AB$2:$AB$46,'Picks'!$H$2:$H$46,$A16,'Picks'!$U$2:$U$46,"settled"),0)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-117</v>
      </c>
      <c r="AA19" s="28" t="n">
        <v>0.54</v>
      </c>
      <c r="AB19" s="28" t="n">
        <v>0.000829</v>
      </c>
      <c r="AC19" s="30" t="n">
        <v>0.8547</v>
      </c>
      <c r="AD19" s="24" t="inlineStr">
        <is>
          <t>2026-08-02T17:34:43.910160Z</t>
        </is>
      </c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>
        <v>1.854701</v>
      </c>
      <c r="BR19" s="28" t="n">
        <v>0.54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12fc8231d03748b7</t>
        </is>
      </c>
      <c r="B20" s="24" t="inlineStr">
        <is>
          <t>2026-08-02T16:53:11.967172Z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1.537634</v>
      </c>
      <c r="N20" s="28" t="n">
        <v>0.65035</v>
      </c>
      <c r="O20" s="28" t="n">
        <v>0.592731</v>
      </c>
      <c r="P20" s="28" t="n"/>
      <c r="Q20" s="28" t="n">
        <v>-0.057619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-186</v>
      </c>
      <c r="AA20" s="28" t="n">
        <v>0.65</v>
      </c>
      <c r="AB20" s="28" t="n">
        <v>-0.00035</v>
      </c>
      <c r="AC20" s="30" t="n">
        <v>0.672</v>
      </c>
      <c r="AD20" s="24" t="inlineStr">
        <is>
          <t>2026-08-02T23:13:21.369953Z</t>
        </is>
      </c>
      <c r="AE20" s="31" t="inlineStr">
        <is>
          <t>Neutral Elo baseline; executable ask 0.6500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7a524d830547b62f7f9c941aadbdf0fc52dbd67b16b701b974612cc0a7507dd8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7a524d830547b62f7f9c941aadbdf0fc52dbd67b16b701b974612cc0a7507dd8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2026-08-02T16:53:02.304568Z</t>
        </is>
      </c>
      <c r="BI20" s="24" t="inlineStr">
        <is>
          <t>["same_event","same_team_same_day","same_league_same_day"]</t>
        </is>
      </c>
      <c r="BJ20" s="25" t="n"/>
      <c r="BK20" s="26" t="n">
        <v>-186</v>
      </c>
      <c r="BL20" s="27" t="n">
        <v>1.537634</v>
      </c>
      <c r="BM20" s="28" t="n">
        <v>0.65035</v>
      </c>
      <c r="BN20" s="28" t="n"/>
      <c r="BO20" s="28" t="n"/>
      <c r="BP20" s="25" t="n"/>
      <c r="BQ20" s="27" t="n">
        <v>1.537634</v>
      </c>
      <c r="BR20" s="28" t="n">
        <v>0.65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ec894d2a1ca74d47</t>
        </is>
      </c>
      <c r="B21" s="24" t="inlineStr">
        <is>
          <t>2026-08-03T06:30:34.654651Z</t>
        </is>
      </c>
      <c r="C21" s="24" t="inlineStr">
        <is>
          <t>2026-08-03T08:00:00Z</t>
        </is>
      </c>
      <c r="D21" s="24" t="inlineStr">
        <is>
          <t>67491</t>
        </is>
      </c>
      <c r="E21" s="24" t="inlineStr">
        <is>
          <t>LOL</t>
        </is>
      </c>
      <c r="F21" s="24" t="inlineStr">
        <is>
          <t>Hanwha Life Esports</t>
        </is>
      </c>
      <c r="G21" s="24" t="inlineStr">
        <is>
          <t>Gen.G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0.536423</v>
      </c>
      <c r="P21" s="28" t="n"/>
      <c r="Q21" s="28" t="n">
        <v>0.005907</v>
      </c>
      <c r="R21" s="26" t="n">
        <v>23</v>
      </c>
      <c r="S21" s="29" t="n">
        <v>1</v>
      </c>
      <c r="T21" s="24" t="inlineStr">
        <is>
          <t>lol-tiered-elo-v5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0.885</v>
      </c>
      <c r="AD21" s="24" t="inlineStr">
        <is>
          <t>2026-08-03T10:06:50.751709Z</t>
        </is>
      </c>
      <c r="AE21" s="31" t="inlineStr">
        <is>
          <t>Neutral Elo baseline; executable ask 0.5300 (market_slug=aec-lol-gen-hle-2026-08-03).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Life Esports</t>
        </is>
      </c>
      <c r="AQ21" s="24" t="inlineStr">
        <is>
          <t>Hanwha Life Esports</t>
        </is>
      </c>
      <c r="AR21" s="24" t="inlineStr">
        <is>
          <t>Hanwha Life Esports</t>
        </is>
      </c>
      <c r="AS21" s="24" t="inlineStr">
        <is>
          <t>Gen.G</t>
        </is>
      </c>
      <c r="AT21" s="24" t="inlineStr">
        <is>
          <t>Gen.G</t>
        </is>
      </c>
      <c r="AU21" s="24" t="inlineStr">
        <is>
          <t>Gen.G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ff2b770f59073a39e60976cbc1ae4f05ce9c0ac0477f1609e756119cbdd7431b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ff2b770f59073a39e60976cbc1ae4f05ce9c0ac0477f1609e756119cbdd7431b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2026-08-03T06:30:12.139868Z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True</t>
        </is>
      </c>
    </row>
    <row r="22" ht="36" customHeight="1">
      <c r="A22" s="24" t="inlineStr">
        <is>
          <t>189c180a73404fa7</t>
        </is>
      </c>
      <c r="B22" s="24" t="inlineStr">
        <is>
          <t>2026-08-03T06:30:34.654651Z</t>
        </is>
      </c>
      <c r="C22" s="24" t="inlineStr">
        <is>
          <t>2026-08-03T10:00:00Z</t>
        </is>
      </c>
      <c r="D22" s="24" t="inlineStr">
        <is>
          <t>67511</t>
        </is>
      </c>
      <c r="E22" s="24" t="inlineStr">
        <is>
          <t>LOL</t>
        </is>
      </c>
      <c r="F22" s="24" t="inlineStr">
        <is>
          <t>Dplus KIA Challengers</t>
        </is>
      </c>
      <c r="G22" s="24" t="inlineStr">
        <is>
          <t>DN SOOPers Challengers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-170</v>
      </c>
      <c r="M22" s="27" t="n">
        <v>1.588235</v>
      </c>
      <c r="N22" s="28" t="n">
        <v>0.62963</v>
      </c>
      <c r="O22" s="28" t="n">
        <v>0.703892</v>
      </c>
      <c r="P22" s="28" t="n"/>
      <c r="Q22" s="28" t="n">
        <v>0.07426199999999999</v>
      </c>
      <c r="R22" s="26" t="n">
        <v>57</v>
      </c>
      <c r="S22" s="29" t="n">
        <v>2</v>
      </c>
      <c r="T22" s="24" t="inlineStr">
        <is>
          <t>lol-tiered-elo-v5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-170</v>
      </c>
      <c r="AA22" s="28" t="n">
        <v>0.63</v>
      </c>
      <c r="AB22" s="28" t="n">
        <v>0.00037</v>
      </c>
      <c r="AC22" s="30" t="n">
        <v>-2</v>
      </c>
      <c r="AD22" s="24" t="inlineStr">
        <is>
          <t>2026-08-03T13:27:30.699600Z</t>
        </is>
      </c>
      <c r="AE22" s="31" t="inlineStr">
        <is>
          <t>Neutral Elo baseline; executable ask 0.6300 (market_slug=aec-lol-dnsc-dkc-2026-08-03).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Dplus KIA Challengers</t>
        </is>
      </c>
      <c r="AQ22" s="24" t="inlineStr">
        <is>
          <t>Dplus KIA Challengers</t>
        </is>
      </c>
      <c r="AR22" s="24" t="inlineStr">
        <is>
          <t>Dplus KIA Challengers</t>
        </is>
      </c>
      <c r="AS22" s="24" t="inlineStr">
        <is>
          <t>DN SOOPers Challengers</t>
        </is>
      </c>
      <c r="AT22" s="24" t="inlineStr">
        <is>
          <t>DN SOOPers Challengers</t>
        </is>
      </c>
      <c r="AU22" s="24" t="inlineStr">
        <is>
          <t>DN SOOPers Challengers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ff2b770f59073a39e60976cbc1ae4f05ce9c0ac0477f1609e756119cbdd7431b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ff2b770f59073a39e60976cbc1ae4f05ce9c0ac0477f1609e756119cbdd7431b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2026-08-03T06:30:13.245481Z</t>
        </is>
      </c>
      <c r="BI22" s="24" t="inlineStr">
        <is>
          <t>["same_event","same_team_same_day","same_league_same_day"]</t>
        </is>
      </c>
      <c r="BJ22" s="25" t="n"/>
      <c r="BK22" s="26" t="n">
        <v>-170</v>
      </c>
      <c r="BL22" s="27" t="n">
        <v>1.588235</v>
      </c>
      <c r="BM22" s="28" t="n">
        <v>0.62963</v>
      </c>
      <c r="BN22" s="28" t="n"/>
      <c r="BO22" s="28" t="n"/>
      <c r="BP22" s="25" t="n"/>
      <c r="BQ22" s="27" t="n">
        <v>1.588235</v>
      </c>
      <c r="BR22" s="28" t="n">
        <v>0.63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True</t>
        </is>
      </c>
    </row>
    <row r="23" ht="36" customHeight="1">
      <c r="A23" s="24" t="inlineStr">
        <is>
          <t>48604a24f80c46ae</t>
        </is>
      </c>
      <c r="B23" s="24" t="inlineStr">
        <is>
          <t>2026-08-03T13:30:58.881408Z</t>
        </is>
      </c>
      <c r="C23" s="24" t="inlineStr">
        <is>
          <t>2026-08-03T15:00:00Z</t>
        </is>
      </c>
      <c r="D23" s="24" t="inlineStr">
        <is>
          <t>67566</t>
        </is>
      </c>
      <c r="E23" s="24" t="inlineStr">
        <is>
          <t>LOL</t>
        </is>
      </c>
      <c r="F23" s="24" t="inlineStr">
        <is>
          <t>Shifters</t>
        </is>
      </c>
      <c r="G23" s="24" t="inlineStr">
        <is>
          <t>Natus Vincere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0.745478</v>
      </c>
      <c r="P23" s="28" t="n"/>
      <c r="Q23" s="28" t="n">
        <v>0.055076</v>
      </c>
      <c r="R23" s="26" t="n">
        <v>48</v>
      </c>
      <c r="S23" s="29" t="n">
        <v>2</v>
      </c>
      <c r="T23" s="24" t="inlineStr">
        <is>
          <t>lol-tiered-elo-v5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-223</v>
      </c>
      <c r="AA23" s="28" t="n">
        <v>0.6899999999999999</v>
      </c>
      <c r="AB23" s="28" t="n">
        <v>-0.000402</v>
      </c>
      <c r="AC23" s="30" t="n">
        <v>0.8969</v>
      </c>
      <c r="AD23" s="24" t="inlineStr">
        <is>
          <t>2026-08-03T17:05:58.041180Z</t>
        </is>
      </c>
      <c r="AE23" s="31" t="inlineStr">
        <is>
          <t>Neutral Elo baseline; executable ask 0.6900 (market_slug=aec-lol-navi-shft-2026-08-03).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Shifters</t>
        </is>
      </c>
      <c r="AQ23" s="24" t="inlineStr">
        <is>
          <t>Shifters</t>
        </is>
      </c>
      <c r="AR23" s="24" t="inlineStr">
        <is>
          <t>Shifters</t>
        </is>
      </c>
      <c r="AS23" s="24" t="inlineStr">
        <is>
          <t>Natus Vincere</t>
        </is>
      </c>
      <c r="AT23" s="24" t="inlineStr">
        <is>
          <t>Natus Vincere</t>
        </is>
      </c>
      <c r="AU23" s="24" t="inlineStr">
        <is>
          <t>Natus Vincere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8e100718c38982e9b6a67d6c835251aad775fa6c0f7d64cbcae66021f2cd7f9c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8e100718c38982e9b6a67d6c835251aad775fa6c0f7d64cbcae66021f2cd7f9c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2026-08-03T13:30:33.645010Z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>
        <v>1.44843</v>
      </c>
      <c r="BR23" s="28" t="n">
        <v>0.6899999999999999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041c950aba214cca</t>
        </is>
      </c>
      <c r="B24" s="24" t="inlineStr">
        <is>
          <t>2026-08-03T17:09:03.086605Z</t>
        </is>
      </c>
      <c r="C24" s="24" t="inlineStr">
        <is>
          <t>2026-08-03T18:00:00Z</t>
        </is>
      </c>
      <c r="D24" s="24" t="inlineStr">
        <is>
          <t>67655</t>
        </is>
      </c>
      <c r="E24" s="24" t="inlineStr">
        <is>
          <t>LOL</t>
        </is>
      </c>
      <c r="F24" s="24" t="inlineStr">
        <is>
          <t>Lundqvist Lightside</t>
        </is>
      </c>
      <c r="G24" s="24" t="inlineStr">
        <is>
          <t>LEO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-203</v>
      </c>
      <c r="M24" s="27" t="n">
        <v>1.492611</v>
      </c>
      <c r="N24" s="28" t="n">
        <v>0.669967</v>
      </c>
      <c r="O24" s="28" t="n">
        <v>0.617946</v>
      </c>
      <c r="P24" s="28" t="n"/>
      <c r="Q24" s="28" t="n">
        <v>-0.052021</v>
      </c>
      <c r="R24" s="26" t="n">
        <v>0</v>
      </c>
      <c r="S24" s="29" t="n">
        <v>1.5</v>
      </c>
      <c r="T24" s="24" t="inlineStr">
        <is>
          <t>lol-tiered-elo-v5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-203</v>
      </c>
      <c r="AA24" s="28" t="n">
        <v>0.67</v>
      </c>
      <c r="AB24" s="28" t="n">
        <v>3.3e-05</v>
      </c>
      <c r="AC24" s="30" t="n">
        <v>-1.5</v>
      </c>
      <c r="AD24" s="24" t="inlineStr">
        <is>
          <t>2026-08-03T22:55:40.163072Z</t>
        </is>
      </c>
      <c r="AE24" s="31" t="inlineStr">
        <is>
          <t>Neutral Elo baseline; executable ask 0.6700 (market_slug=aec-lol-leo-ll-2026-08-03).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Lundqvist Lightside</t>
        </is>
      </c>
      <c r="AQ24" s="24" t="inlineStr">
        <is>
          <t>Lundqvist Lightside</t>
        </is>
      </c>
      <c r="AR24" s="24" t="inlineStr">
        <is>
          <t>Lundqvist Lightside</t>
        </is>
      </c>
      <c r="AS24" s="24" t="inlineStr">
        <is>
          <t>LEO</t>
        </is>
      </c>
      <c r="AT24" s="24" t="inlineStr">
        <is>
          <t>LEO</t>
        </is>
      </c>
      <c r="AU24" s="24" t="inlineStr">
        <is>
          <t>LEO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efcbb93ea7594fbafcf9325219d1c95ecb0ddde1698943dd2007a07a55350fa4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efcbb93ea7594fbafcf9325219d1c95ecb0ddde1698943dd2007a07a55350fa4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2026-08-03T17:08:42.741673Z</t>
        </is>
      </c>
      <c r="BI24" s="24" t="inlineStr">
        <is>
          <t>["same_event","same_team_same_day","same_league_same_day"]</t>
        </is>
      </c>
      <c r="BJ24" s="25" t="n"/>
      <c r="BK24" s="26" t="n">
        <v>-203</v>
      </c>
      <c r="BL24" s="27" t="n">
        <v>1.492611</v>
      </c>
      <c r="BM24" s="28" t="n">
        <v>0.669967</v>
      </c>
      <c r="BN24" s="28" t="n"/>
      <c r="BO24" s="28" t="n"/>
      <c r="BP24" s="25" t="n"/>
      <c r="BQ24" s="27" t="n">
        <v>1.492611</v>
      </c>
      <c r="BR24" s="28" t="n">
        <v>0.67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False</t>
        </is>
      </c>
    </row>
    <row r="25" ht="36" customHeight="1">
      <c r="A25" s="24" t="inlineStr">
        <is>
          <t>809bba47d823450b</t>
        </is>
      </c>
      <c r="B25" s="24" t="inlineStr">
        <is>
          <t>2026-08-03T17:09:03.086605Z</t>
        </is>
      </c>
      <c r="C25" s="24" t="inlineStr">
        <is>
          <t>2026-08-03T19:00:00Z</t>
        </is>
      </c>
      <c r="D25" s="24" t="inlineStr">
        <is>
          <t>63451</t>
        </is>
      </c>
      <c r="E25" s="24" t="inlineStr">
        <is>
          <t>LOL</t>
        </is>
      </c>
      <c r="F25" s="24" t="inlineStr">
        <is>
          <t>Vivo Keyd Stars Academy</t>
        </is>
      </c>
      <c r="G25" s="24" t="inlineStr">
        <is>
          <t>Team Solid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0.727674</v>
      </c>
      <c r="P25" s="28" t="n"/>
      <c r="Q25" s="28" t="n">
        <v>0.037272</v>
      </c>
      <c r="R25" s="26" t="n">
        <v>39</v>
      </c>
      <c r="S25" s="29" t="n">
        <v>2</v>
      </c>
      <c r="T25" s="24" t="inlineStr">
        <is>
          <t>lol-tiered-elo-v5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-223</v>
      </c>
      <c r="AA25" s="28" t="n">
        <v>0.6899999999999999</v>
      </c>
      <c r="AB25" s="28" t="n">
        <v>-0.000402</v>
      </c>
      <c r="AC25" s="30" t="n">
        <v>-2</v>
      </c>
      <c r="AD25" s="24" t="inlineStr">
        <is>
          <t>2026-08-03T19:52:08.258946Z</t>
        </is>
      </c>
      <c r="AE25" s="31" t="inlineStr">
        <is>
          <t>Neutral Elo baseline; executable ask 0.6900 (market_slug=aec-lol-tse-vksa-2026-07-30).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Vivo Keyd Stars Academy</t>
        </is>
      </c>
      <c r="AQ25" s="24" t="inlineStr">
        <is>
          <t>Vivo Keyd Stars Academy</t>
        </is>
      </c>
      <c r="AR25" s="24" t="inlineStr">
        <is>
          <t>Vivo Keyd Stars Academy</t>
        </is>
      </c>
      <c r="AS25" s="24" t="inlineStr">
        <is>
          <t>Team Solid</t>
        </is>
      </c>
      <c r="AT25" s="24" t="inlineStr">
        <is>
          <t>Team Solid</t>
        </is>
      </c>
      <c r="AU25" s="24" t="inlineStr">
        <is>
          <t>Team Solid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efcbb93ea7594fbafcf9325219d1c95ecb0ddde1698943dd2007a07a55350fa4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efcbb93ea7594fbafcf9325219d1c95ecb0ddde1698943dd2007a07a55350fa4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2026-08-03T17:08:43.723243Z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>
        <v>1.44843</v>
      </c>
      <c r="BR25" s="28" t="n">
        <v>0.6899999999999999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True</t>
        </is>
      </c>
    </row>
    <row r="26" ht="36" customHeight="1">
      <c r="A26" s="24" t="inlineStr">
        <is>
          <t>f63ed8330d2b456d</t>
        </is>
      </c>
      <c r="B26" s="24" t="inlineStr">
        <is>
          <t>2026-08-03T19:55:05.099553Z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-233</v>
      </c>
      <c r="M26" s="27" t="n">
        <v>1.429185</v>
      </c>
      <c r="N26" s="28" t="n">
        <v>0.6997</v>
      </c>
      <c r="O26" s="28" t="n">
        <v>0.648218</v>
      </c>
      <c r="P26" s="28" t="n"/>
      <c r="Q26" s="28" t="n">
        <v>-0.051482</v>
      </c>
      <c r="R26" s="26" t="n">
        <v>0</v>
      </c>
      <c r="S26" s="29" t="n">
        <v>1.75</v>
      </c>
      <c r="T26" s="24" t="inlineStr">
        <is>
          <t>lol-tiered-elo-v5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-233</v>
      </c>
      <c r="AA26" s="28" t="n">
        <v>0.7</v>
      </c>
      <c r="AB26" s="28" t="n">
        <v>0.0003</v>
      </c>
      <c r="AC26" s="30" t="n">
        <v>-1.75</v>
      </c>
      <c r="AD26" s="24" t="inlineStr">
        <is>
          <t>2026-08-04T01:58:52.039236Z</t>
        </is>
      </c>
      <c r="AE26" s="31" t="inlineStr">
        <is>
          <t>Neutral Elo baseline; executable ask 0.7000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9ed3b7c0f543c614a78fccecbb0979eec8778e51fbb9fd911e0de01bc829c3f7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9ed3b7c0f543c614a78fccecbb0979eec8778e51fbb9fd911e0de01bc829c3f7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2026-08-03T19:54:45.717086Z</t>
        </is>
      </c>
      <c r="BI26" s="24" t="inlineStr">
        <is>
          <t>["same_event","same_team_same_day","same_league_same_day"]</t>
        </is>
      </c>
      <c r="BJ26" s="25" t="n"/>
      <c r="BK26" s="26" t="n">
        <v>-233</v>
      </c>
      <c r="BL26" s="27" t="n">
        <v>1.429185</v>
      </c>
      <c r="BM26" s="28" t="n">
        <v>0.6997</v>
      </c>
      <c r="BN26" s="28" t="n"/>
      <c r="BO26" s="28" t="n"/>
      <c r="BP26" s="25" t="n"/>
      <c r="BQ26" s="27" t="n">
        <v>1.429185</v>
      </c>
      <c r="BR26" s="28" t="n">
        <v>0.7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False</t>
        </is>
      </c>
    </row>
    <row r="27" ht="36" customHeight="1">
      <c r="A27" s="24" t="inlineStr">
        <is>
          <t>4f3d9aa6fc9b4d2c</t>
        </is>
      </c>
      <c r="B27" s="24" t="inlineStr">
        <is>
          <t>2026-08-03T19:55:05.099553Z</t>
        </is>
      </c>
      <c r="C27" s="24" t="inlineStr">
        <is>
          <t>2026-08-03T20:00:00Z</t>
        </is>
      </c>
      <c r="D27" s="24" t="inlineStr">
        <is>
          <t>67938</t>
        </is>
      </c>
      <c r="E27" s="24" t="inlineStr">
        <is>
          <t>LOL</t>
        </is>
      </c>
      <c r="F27" s="24" t="inlineStr">
        <is>
          <t>Ei Nerd Esports</t>
        </is>
      </c>
      <c r="G27" s="24" t="inlineStr">
        <is>
          <t>RMD Gaming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-233</v>
      </c>
      <c r="M27" s="27" t="n">
        <v>1.429185</v>
      </c>
      <c r="N27" s="28" t="n">
        <v>0.6997</v>
      </c>
      <c r="O27" s="28" t="n">
        <v>0.623328</v>
      </c>
      <c r="P27" s="28" t="n"/>
      <c r="Q27" s="28" t="n">
        <v>-0.076372</v>
      </c>
      <c r="R27" s="26" t="n">
        <v>0</v>
      </c>
      <c r="S27" s="29" t="n">
        <v>1.5</v>
      </c>
      <c r="T27" s="24" t="inlineStr">
        <is>
          <t>lol-tiered-elo-v5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0.0003</v>
      </c>
      <c r="AC27" s="30" t="n">
        <v>-1.5</v>
      </c>
      <c r="AD27" s="24" t="inlineStr">
        <is>
          <t>2026-08-03T22:55:42.656458Z</t>
        </is>
      </c>
      <c r="AE27" s="31" t="inlineStr">
        <is>
          <t>Neutral Elo baseline; executable ask 0.7000 (market_slug=aec-lol-rmd-nerd-2026-08-03).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Ei Nerd Esports</t>
        </is>
      </c>
      <c r="AQ27" s="24" t="inlineStr">
        <is>
          <t>Ei Nerd Esports</t>
        </is>
      </c>
      <c r="AR27" s="24" t="inlineStr">
        <is>
          <t>Ei Nerd Esports</t>
        </is>
      </c>
      <c r="AS27" s="24" t="inlineStr">
        <is>
          <t>RMD Gaming</t>
        </is>
      </c>
      <c r="AT27" s="24" t="inlineStr">
        <is>
          <t>RMD Gaming</t>
        </is>
      </c>
      <c r="AU27" s="24" t="inlineStr">
        <is>
          <t>RMD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9ed3b7c0f543c614a78fccecbb0979eec8778e51fbb9fd911e0de01bc829c3f7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9ed3b7c0f543c614a78fccecbb0979eec8778e51fbb9fd911e0de01bc829c3f7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2026-08-03T19:54:46.201689Z</t>
        </is>
      </c>
      <c r="BI27" s="24" t="inlineStr">
        <is>
          <t>["same_event","same_team_same_day","same_league_same_day"]</t>
        </is>
      </c>
      <c r="BJ27" s="25" t="n"/>
      <c r="BK27" s="26" t="n">
        <v>-233</v>
      </c>
      <c r="BL27" s="27" t="n">
        <v>1.429185</v>
      </c>
      <c r="BM27" s="28" t="n">
        <v>0.6997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inlineStr">
        <is>
          <t>False</t>
        </is>
      </c>
    </row>
    <row r="28" ht="36" customHeight="1">
      <c r="A28" s="24" t="inlineStr">
        <is>
          <t>a7f139b165184216</t>
        </is>
      </c>
      <c r="B28" s="24" t="inlineStr">
        <is>
          <t>2026-08-03T19:55:05.099553Z</t>
        </is>
      </c>
      <c r="C28" s="24" t="inlineStr">
        <is>
          <t>2026-08-03T22:00:00Z</t>
        </is>
      </c>
      <c r="D28" s="24" t="inlineStr">
        <is>
          <t>68011</t>
        </is>
      </c>
      <c r="E28" s="24" t="inlineStr">
        <is>
          <t>LOL</t>
        </is>
      </c>
      <c r="F28" s="24" t="inlineStr">
        <is>
          <t>Vivo Keyd Stars Academy</t>
        </is>
      </c>
      <c r="G28" s="24" t="inlineStr">
        <is>
          <t>paiN Gaming Academy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113</v>
      </c>
      <c r="M28" s="27" t="n">
        <v>2.13</v>
      </c>
      <c r="N28" s="28" t="n">
        <v>0.469484</v>
      </c>
      <c r="O28" s="28" t="n">
        <v>0.53706</v>
      </c>
      <c r="P28" s="28" t="n"/>
      <c r="Q28" s="28" t="n">
        <v>0.067576</v>
      </c>
      <c r="R28" s="26" t="n">
        <v>54</v>
      </c>
      <c r="S28" s="29" t="n">
        <v>1</v>
      </c>
      <c r="T28" s="24" t="inlineStr">
        <is>
          <t>lol-tiered-elo-v5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113</v>
      </c>
      <c r="AA28" s="28" t="n">
        <v>0.47</v>
      </c>
      <c r="AB28" s="28" t="n">
        <v>0.000516</v>
      </c>
      <c r="AC28" s="30" t="n">
        <v>1.13</v>
      </c>
      <c r="AD28" s="24" t="inlineStr">
        <is>
          <t>2026-08-03T22:55:44.139370Z</t>
        </is>
      </c>
      <c r="AE28" s="31" t="inlineStr">
        <is>
          <t>Neutral Elo baseline; executable ask 0.4700 (market_slug=aec-lol-pnga-vksa-2026-08-03).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Vivo Keyd Stars Academy</t>
        </is>
      </c>
      <c r="AQ28" s="24" t="inlineStr">
        <is>
          <t>Vivo Keyd Stars Academy</t>
        </is>
      </c>
      <c r="AR28" s="24" t="inlineStr">
        <is>
          <t>Vivo Keyd Stars Academy</t>
        </is>
      </c>
      <c r="AS28" s="24" t="inlineStr">
        <is>
          <t>paiN Gaming Academy</t>
        </is>
      </c>
      <c r="AT28" s="24" t="inlineStr">
        <is>
          <t>paiN Gaming Academy</t>
        </is>
      </c>
      <c r="AU28" s="24" t="inlineStr">
        <is>
          <t>paiN Gaming Academy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9ed3b7c0f543c614a78fccecbb0979eec8778e51fbb9fd911e0de01bc829c3f7</t>
        </is>
      </c>
      <c r="BB28" s="24" t="inlineStr">
        <is>
          <t>neutral_elo</t>
        </is>
      </c>
      <c r="BC28" s="24" t="inlineStr">
        <is>
          <t>lol-tiered-elo-v5</t>
        </is>
      </c>
      <c r="BD28" s="24" t="inlineStr">
        <is>
          <t>9ed3b7c0f543c614a78fccecbb0979eec8778e51fbb9fd911e0de01bc829c3f7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lol-tiered-elo-v5</t>
        </is>
      </c>
      <c r="BH28" s="24" t="inlineStr">
        <is>
          <t>2026-08-03T19:54:47.216198Z</t>
        </is>
      </c>
      <c r="BI28" s="24" t="inlineStr">
        <is>
          <t>["same_event","same_team_same_day","same_league_same_day"]</t>
        </is>
      </c>
      <c r="BJ28" s="25" t="n"/>
      <c r="BK28" s="26" t="n">
        <v>113</v>
      </c>
      <c r="BL28" s="27" t="n">
        <v>2.13</v>
      </c>
      <c r="BM28" s="28" t="n">
        <v>0.469484</v>
      </c>
      <c r="BN28" s="28" t="n"/>
      <c r="BO28" s="28" t="n"/>
      <c r="BP28" s="25" t="n"/>
      <c r="BQ28" s="27" t="n">
        <v>2.13</v>
      </c>
      <c r="BR28" s="28" t="n">
        <v>0.47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inlineStr">
        <is>
          <t>True</t>
        </is>
      </c>
    </row>
    <row r="29" ht="36" customHeight="1">
      <c r="A29" s="24" t="inlineStr">
        <is>
          <t>b2c01b5fde4a412c</t>
        </is>
      </c>
      <c r="B29" s="24" t="inlineStr">
        <is>
          <t>2026-08-04T02:00:56.302645Z</t>
        </is>
      </c>
      <c r="C29" s="24" t="inlineStr">
        <is>
          <t>2026-08-04T06:00:00Z</t>
        </is>
      </c>
      <c r="D29" s="24" t="inlineStr">
        <is>
          <t>70669</t>
        </is>
      </c>
      <c r="E29" s="24" t="inlineStr">
        <is>
          <t>LOL</t>
        </is>
      </c>
      <c r="F29" s="24" t="inlineStr">
        <is>
          <t>Hanwha Life Esports</t>
        </is>
      </c>
      <c r="G29" s="24" t="inlineStr">
        <is>
          <t>T1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0.530268</v>
      </c>
      <c r="P29" s="28" t="n"/>
      <c r="Q29" s="28" t="n">
        <v>-0.129596</v>
      </c>
      <c r="R29" s="26" t="n">
        <v>0</v>
      </c>
      <c r="S29" s="29" t="n">
        <v>1</v>
      </c>
      <c r="T29" s="24" t="inlineStr">
        <is>
          <t>lol-tiered-elo-v5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0.6600 (market_slug=aec-lol-t1-hle-2026-08-04).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Hanwha Life Esports</t>
        </is>
      </c>
      <c r="AQ29" s="24" t="inlineStr">
        <is>
          <t>Hanwha Life Esports</t>
        </is>
      </c>
      <c r="AR29" s="24" t="inlineStr">
        <is>
          <t>Hanwha Life Esports</t>
        </is>
      </c>
      <c r="AS29" s="24" t="inlineStr">
        <is>
          <t>T1</t>
        </is>
      </c>
      <c r="AT29" s="24" t="inlineStr">
        <is>
          <t>T1</t>
        </is>
      </c>
      <c r="AU29" s="24" t="inlineStr">
        <is>
          <t>T1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c0f2a708ccc94d5696faff9ca4ff9d58f719424636136d100ed9404e22178026</t>
        </is>
      </c>
      <c r="BB29" s="24" t="inlineStr">
        <is>
          <t>neutral_elo</t>
        </is>
      </c>
      <c r="BC29" s="24" t="inlineStr">
        <is>
          <t>lol-tiered-elo-v5</t>
        </is>
      </c>
      <c r="BD29" s="24" t="inlineStr">
        <is>
          <t>c0f2a708ccc94d5696faff9ca4ff9d58f719424636136d100ed9404e22178026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lol-tiered-elo-v5</t>
        </is>
      </c>
      <c r="BH29" s="24" t="inlineStr">
        <is>
          <t>2026-08-04T02:00:40.152554Z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inlineStr">
        <is>
          <t>False</t>
        </is>
      </c>
    </row>
    <row r="30" ht="36" customHeight="1">
      <c r="A30" s="24" t="inlineStr">
        <is>
          <t>3519cc599f834356</t>
        </is>
      </c>
      <c r="B30" s="24" t="inlineStr">
        <is>
          <t>2026-08-04T02:00:56.302645Z</t>
        </is>
      </c>
      <c r="C30" s="24" t="inlineStr">
        <is>
          <t>2026-08-04T10:00:00Z</t>
        </is>
      </c>
      <c r="D30" s="24" t="inlineStr">
        <is>
          <t>68284</t>
        </is>
      </c>
      <c r="E30" s="24" t="inlineStr">
        <is>
          <t>LOL</t>
        </is>
      </c>
      <c r="F30" s="24" t="inlineStr">
        <is>
          <t>KT Rolster Challengers</t>
        </is>
      </c>
      <c r="G30" s="24" t="inlineStr">
        <is>
          <t>T1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-213</v>
      </c>
      <c r="M30" s="27" t="n">
        <v>1.469484</v>
      </c>
      <c r="N30" s="28" t="n">
        <v>0.680511</v>
      </c>
      <c r="O30" s="28" t="n">
        <v>0.613874</v>
      </c>
      <c r="P30" s="28" t="n"/>
      <c r="Q30" s="28" t="n">
        <v>-0.066637</v>
      </c>
      <c r="R30" s="26" t="n">
        <v>0</v>
      </c>
      <c r="S30" s="29" t="n">
        <v>1.5</v>
      </c>
      <c r="T30" s="24" t="inlineStr">
        <is>
          <t>lol-tiered-elo-v5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0.6800 (market_slug=aec-lol-t1a-ktc-2026-08-04).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KT Rolster Challengers</t>
        </is>
      </c>
      <c r="AQ30" s="24" t="inlineStr">
        <is>
          <t>KT Rolster Challengers</t>
        </is>
      </c>
      <c r="AR30" s="24" t="inlineStr">
        <is>
          <t>KT Rolster Challengers</t>
        </is>
      </c>
      <c r="AS30" s="24" t="inlineStr">
        <is>
          <t>T1 Academy</t>
        </is>
      </c>
      <c r="AT30" s="24" t="inlineStr">
        <is>
          <t>T1 Academy</t>
        </is>
      </c>
      <c r="AU30" s="24" t="inlineStr">
        <is>
          <t>T1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c0f2a708ccc94d5696faff9ca4ff9d58f719424636136d100ed9404e22178026</t>
        </is>
      </c>
      <c r="BB30" s="24" t="inlineStr">
        <is>
          <t>neutral_elo</t>
        </is>
      </c>
      <c r="BC30" s="24" t="inlineStr">
        <is>
          <t>lol-tiered-elo-v5</t>
        </is>
      </c>
      <c r="BD30" s="24" t="inlineStr">
        <is>
          <t>c0f2a708ccc94d5696faff9ca4ff9d58f719424636136d100ed9404e22178026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lol-tiered-elo-v5</t>
        </is>
      </c>
      <c r="BH30" s="24" t="inlineStr">
        <is>
          <t>2026-08-04T02:00:41.711967Z</t>
        </is>
      </c>
      <c r="BI30" s="24" t="inlineStr">
        <is>
          <t>["same_event","same_team_same_day","same_league_same_day"]</t>
        </is>
      </c>
      <c r="BJ30" s="25" t="n"/>
      <c r="BK30" s="26" t="n">
        <v>-213</v>
      </c>
      <c r="BL30" s="27" t="n">
        <v>1.469484</v>
      </c>
      <c r="BM30" s="28" t="n">
        <v>0.680511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inlineStr">
        <is>
          <t>False</t>
        </is>
      </c>
    </row>
    <row r="31" ht="36" customHeight="1">
      <c r="A31" s="24" t="inlineStr">
        <is>
          <t>3fb0de25f8e046fa</t>
        </is>
      </c>
      <c r="B31" s="24" t="inlineStr">
        <is>
          <t>2026-08-04T02:00:56.302645Z</t>
        </is>
      </c>
      <c r="C31" s="24" t="inlineStr">
        <is>
          <t>2026-08-04T10:30:00Z</t>
        </is>
      </c>
      <c r="D31" s="24" t="inlineStr">
        <is>
          <t>68295</t>
        </is>
      </c>
      <c r="E31" s="24" t="inlineStr">
        <is>
          <t>LOL</t>
        </is>
      </c>
      <c r="F31" s="24" t="inlineStr">
        <is>
          <t>Kiwoom DRX</t>
        </is>
      </c>
      <c r="G31" s="24" t="inlineStr">
        <is>
          <t>HANJIN BRION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-150</v>
      </c>
      <c r="M31" s="27" t="n">
        <v>1.666667</v>
      </c>
      <c r="N31" s="28" t="n">
        <v>0.6</v>
      </c>
      <c r="O31" s="28" t="n">
        <v>0.578292</v>
      </c>
      <c r="P31" s="28" t="n"/>
      <c r="Q31" s="28" t="n">
        <v>-0.021708</v>
      </c>
      <c r="R31" s="26" t="n">
        <v>9</v>
      </c>
      <c r="S31" s="29" t="n">
        <v>1.25</v>
      </c>
      <c r="T31" s="24" t="inlineStr">
        <is>
          <t>lol-tiered-elo-v5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0.6000 (market_slug=aec-lol-bro-krx-2026-08-04).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Kiwoom DRX</t>
        </is>
      </c>
      <c r="AQ31" s="24" t="inlineStr">
        <is>
          <t>Kiwoom DRX</t>
        </is>
      </c>
      <c r="AR31" s="24" t="inlineStr">
        <is>
          <t>Kiwoom DRX</t>
        </is>
      </c>
      <c r="AS31" s="24" t="inlineStr">
        <is>
          <t>HANJIN BRION</t>
        </is>
      </c>
      <c r="AT31" s="24" t="inlineStr">
        <is>
          <t>HANJIN BRION</t>
        </is>
      </c>
      <c r="AU31" s="24" t="inlineStr">
        <is>
          <t>HANJIN BRION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c0f2a708ccc94d5696faff9ca4ff9d58f719424636136d100ed9404e22178026</t>
        </is>
      </c>
      <c r="BB31" s="24" t="inlineStr">
        <is>
          <t>neutral_elo</t>
        </is>
      </c>
      <c r="BC31" s="24" t="inlineStr">
        <is>
          <t>lol-tiered-elo-v5</t>
        </is>
      </c>
      <c r="BD31" s="24" t="inlineStr">
        <is>
          <t>c0f2a708ccc94d5696faff9ca4ff9d58f719424636136d100ed9404e22178026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lol-tiered-elo-v5</t>
        </is>
      </c>
      <c r="BH31" s="24" t="inlineStr">
        <is>
          <t>2026-08-04T02:00:42.207831Z</t>
        </is>
      </c>
      <c r="BI31" s="24" t="inlineStr">
        <is>
          <t>["same_event","same_team_same_day","same_league_same_day"]</t>
        </is>
      </c>
      <c r="BJ31" s="25" t="n"/>
      <c r="BK31" s="26" t="n">
        <v>-150</v>
      </c>
      <c r="BL31" s="27" t="n">
        <v>1.666667</v>
      </c>
      <c r="BM31" s="28" t="n">
        <v>0.6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inlineStr">
        <is>
          <t>False</t>
        </is>
      </c>
    </row>
    <row r="32" ht="36" customHeight="1">
      <c r="A32" s="24" t="inlineStr">
        <is>
          <t>966d0ee860cf46b4</t>
        </is>
      </c>
      <c r="B32" s="24" t="inlineStr">
        <is>
          <t>2026-08-04T02:00:56.302645Z</t>
        </is>
      </c>
      <c r="C32" s="24" t="inlineStr">
        <is>
          <t>2026-08-04T15:00:00Z</t>
        </is>
      </c>
      <c r="D32" s="24" t="inlineStr">
        <is>
          <t>70566</t>
        </is>
      </c>
      <c r="E32" s="24" t="inlineStr">
        <is>
          <t>LOL</t>
        </is>
      </c>
      <c r="F32" s="24" t="inlineStr">
        <is>
          <t>Barcząca Esports</t>
        </is>
      </c>
      <c r="G32" s="24" t="inlineStr">
        <is>
          <t>Lodis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223</v>
      </c>
      <c r="M32" s="27" t="n">
        <v>3.23</v>
      </c>
      <c r="N32" s="28" t="n">
        <v>0.309598</v>
      </c>
      <c r="O32" s="28" t="n">
        <v>0.69409</v>
      </c>
      <c r="P32" s="28" t="n"/>
      <c r="Q32" s="28" t="n">
        <v>0.384492</v>
      </c>
      <c r="R32" s="26" t="n">
        <v>100</v>
      </c>
      <c r="S32" s="29" t="n">
        <v>2</v>
      </c>
      <c r="T32" s="24" t="inlineStr">
        <is>
          <t>lol-tiered-elo-v5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0.3100 (market_slug=aec-lol-lds-bce-2026-08-04).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Barcząca Esports</t>
        </is>
      </c>
      <c r="AQ32" s="24" t="inlineStr">
        <is>
          <t>Barcząca Esports</t>
        </is>
      </c>
      <c r="AR32" s="24" t="inlineStr">
        <is>
          <t>Barcząca Esports</t>
        </is>
      </c>
      <c r="AS32" s="24" t="inlineStr">
        <is>
          <t>Lodis</t>
        </is>
      </c>
      <c r="AT32" s="24" t="inlineStr">
        <is>
          <t>Lodis</t>
        </is>
      </c>
      <c r="AU32" s="24" t="inlineStr">
        <is>
          <t>Lodis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c0f2a708ccc94d5696faff9ca4ff9d58f719424636136d100ed9404e22178026</t>
        </is>
      </c>
      <c r="BB32" s="24" t="inlineStr">
        <is>
          <t>neutral_elo</t>
        </is>
      </c>
      <c r="BC32" s="24" t="inlineStr">
        <is>
          <t>lol-tiered-elo-v5</t>
        </is>
      </c>
      <c r="BD32" s="24" t="inlineStr">
        <is>
          <t>c0f2a708ccc94d5696faff9ca4ff9d58f719424636136d100ed9404e22178026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lol-tiered-elo-v5</t>
        </is>
      </c>
      <c r="BH32" s="24" t="inlineStr">
        <is>
          <t>2026-08-04T02:00:43.286617Z</t>
        </is>
      </c>
      <c r="BI32" s="24" t="inlineStr">
        <is>
          <t>["same_event","same_team_same_day","same_league_same_day"]</t>
        </is>
      </c>
      <c r="BJ32" s="25" t="n"/>
      <c r="BK32" s="26" t="n">
        <v>223</v>
      </c>
      <c r="BL32" s="27" t="n">
        <v>3.23</v>
      </c>
      <c r="BM32" s="28" t="n">
        <v>0.309598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inlineStr">
        <is>
          <t>True</t>
        </is>
      </c>
    </row>
    <row r="33" ht="36" customHeight="1">
      <c r="A33" s="24" t="inlineStr">
        <is>
          <t>87e0f926f2124592</t>
        </is>
      </c>
      <c r="B33" s="24" t="inlineStr">
        <is>
          <t>2026-08-04T02:00:56.302645Z</t>
        </is>
      </c>
      <c r="C33" s="24" t="inlineStr">
        <is>
          <t>2026-08-04T16:00:00Z</t>
        </is>
      </c>
      <c r="D33" s="24" t="inlineStr">
        <is>
          <t>68509</t>
        </is>
      </c>
      <c r="E33" s="24" t="inlineStr">
        <is>
          <t>LOL</t>
        </is>
      </c>
      <c r="F33" s="24" t="inlineStr">
        <is>
          <t>Skillcamp Esport</t>
        </is>
      </c>
      <c r="G33" s="24" t="inlineStr">
        <is>
          <t>Ici Japon Corp. Esport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-104</v>
      </c>
      <c r="M33" s="27" t="n">
        <v>1.961538</v>
      </c>
      <c r="N33" s="28" t="n">
        <v>0.509804</v>
      </c>
      <c r="O33" s="28" t="n">
        <v>0.631317</v>
      </c>
      <c r="P33" s="28" t="n"/>
      <c r="Q33" s="28" t="n">
        <v>0.121513</v>
      </c>
      <c r="R33" s="26" t="n">
        <v>81</v>
      </c>
      <c r="S33" s="29" t="n">
        <v>1.5</v>
      </c>
      <c r="T33" s="24" t="inlineStr">
        <is>
          <t>lol-tiered-elo-v5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0.5100 (market_slug=aec-lol-ijc-sc-2026-08-04).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Skillcamp Esport</t>
        </is>
      </c>
      <c r="AQ33" s="24" t="inlineStr">
        <is>
          <t>Skillcamp Esport</t>
        </is>
      </c>
      <c r="AR33" s="24" t="inlineStr">
        <is>
          <t>Skillcamp Esport</t>
        </is>
      </c>
      <c r="AS33" s="24" t="inlineStr">
        <is>
          <t>Ici Japon Corp. Esport</t>
        </is>
      </c>
      <c r="AT33" s="24" t="inlineStr">
        <is>
          <t>Ici Japon Corp. Esport</t>
        </is>
      </c>
      <c r="AU33" s="24" t="inlineStr">
        <is>
          <t>Ici Japon Corp. Esport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c0f2a708ccc94d5696faff9ca4ff9d58f719424636136d100ed9404e22178026</t>
        </is>
      </c>
      <c r="BB33" s="24" t="inlineStr">
        <is>
          <t>neutral_elo</t>
        </is>
      </c>
      <c r="BC33" s="24" t="inlineStr">
        <is>
          <t>lol-tiered-elo-v5</t>
        </is>
      </c>
      <c r="BD33" s="24" t="inlineStr">
        <is>
          <t>c0f2a708ccc94d5696faff9ca4ff9d58f719424636136d100ed9404e22178026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lol-tiered-elo-v5</t>
        </is>
      </c>
      <c r="BH33" s="24" t="inlineStr">
        <is>
          <t>2026-08-04T02:00:44.932625Z</t>
        </is>
      </c>
      <c r="BI33" s="24" t="inlineStr">
        <is>
          <t>["same_event","same_team_same_day","same_league_same_day"]</t>
        </is>
      </c>
      <c r="BJ33" s="25" t="n"/>
      <c r="BK33" s="26" t="n">
        <v>-104</v>
      </c>
      <c r="BL33" s="27" t="n">
        <v>1.961538</v>
      </c>
      <c r="BM33" s="28" t="n">
        <v>0.509804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inlineStr">
        <is>
          <t>True</t>
        </is>
      </c>
    </row>
    <row r="34" ht="36" customHeight="1">
      <c r="A34" s="24" t="inlineStr">
        <is>
          <t>6bdcf6660f9a4dde</t>
        </is>
      </c>
      <c r="B34" s="24" t="inlineStr">
        <is>
          <t>2026-08-04T02:00:56.302645Z</t>
        </is>
      </c>
      <c r="C34" s="24" t="inlineStr">
        <is>
          <t>2026-08-04T17:00:00Z</t>
        </is>
      </c>
      <c r="D34" s="24" t="inlineStr">
        <is>
          <t>68585</t>
        </is>
      </c>
      <c r="E34" s="24" t="inlineStr">
        <is>
          <t>LOL</t>
        </is>
      </c>
      <c r="F34" s="24" t="inlineStr">
        <is>
          <t>The Bandits</t>
        </is>
      </c>
      <c r="G34" s="24" t="inlineStr">
        <is>
          <t>mCon esports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212</v>
      </c>
      <c r="M34" s="27" t="n">
        <v>3.12</v>
      </c>
      <c r="N34" s="28" t="n">
        <v>0.320513</v>
      </c>
      <c r="O34" s="28" t="n">
        <v>0.509157</v>
      </c>
      <c r="P34" s="28" t="n"/>
      <c r="Q34" s="28" t="n">
        <v>0.188644</v>
      </c>
      <c r="R34" s="26" t="n">
        <v>100</v>
      </c>
      <c r="S34" s="29" t="n">
        <v>1</v>
      </c>
      <c r="T34" s="24" t="inlineStr">
        <is>
          <t>lol-tiered-elo-v5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0.3200 (market_slug=aec-lol-mcn-ban-2026-08-04).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The Bandits</t>
        </is>
      </c>
      <c r="AQ34" s="24" t="inlineStr">
        <is>
          <t>The Bandits</t>
        </is>
      </c>
      <c r="AR34" s="24" t="inlineStr">
        <is>
          <t>The Bandits</t>
        </is>
      </c>
      <c r="AS34" s="24" t="inlineStr">
        <is>
          <t>mCon esports</t>
        </is>
      </c>
      <c r="AT34" s="24" t="inlineStr">
        <is>
          <t>mCon esports</t>
        </is>
      </c>
      <c r="AU34" s="24" t="inlineStr">
        <is>
          <t>mCon esports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c0f2a708ccc94d5696faff9ca4ff9d58f719424636136d100ed9404e22178026</t>
        </is>
      </c>
      <c r="BB34" s="24" t="inlineStr">
        <is>
          <t>neutral_elo</t>
        </is>
      </c>
      <c r="BC34" s="24" t="inlineStr">
        <is>
          <t>lol-tiered-elo-v5</t>
        </is>
      </c>
      <c r="BD34" s="24" t="inlineStr">
        <is>
          <t>c0f2a708ccc94d5696faff9ca4ff9d58f719424636136d100ed9404e22178026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lol-tiered-elo-v5</t>
        </is>
      </c>
      <c r="BH34" s="24" t="inlineStr">
        <is>
          <t>2026-08-04T02:00:46.530291Z</t>
        </is>
      </c>
      <c r="BI34" s="24" t="inlineStr">
        <is>
          <t>["same_event","same_team_same_day","same_league_same_day"]</t>
        </is>
      </c>
      <c r="BJ34" s="25" t="n"/>
      <c r="BK34" s="26" t="n">
        <v>212</v>
      </c>
      <c r="BL34" s="27" t="n">
        <v>3.12</v>
      </c>
      <c r="BM34" s="28" t="n">
        <v>0.320513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inlineStr">
        <is>
          <t>True</t>
        </is>
      </c>
    </row>
    <row r="35" ht="36" customHeight="1">
      <c r="A35" s="24" t="inlineStr">
        <is>
          <t>c9c778eee56441ba</t>
        </is>
      </c>
      <c r="B35" s="24" t="inlineStr">
        <is>
          <t>2026-08-04T02:00:56.302645Z</t>
        </is>
      </c>
      <c r="C35" s="24" t="inlineStr">
        <is>
          <t>2026-08-04T17:00:00Z</t>
        </is>
      </c>
      <c r="D35" s="24" t="inlineStr">
        <is>
          <t>70567</t>
        </is>
      </c>
      <c r="E35" s="24" t="inlineStr">
        <is>
          <t>LOL</t>
        </is>
      </c>
      <c r="F35" s="24" t="inlineStr">
        <is>
          <t>Anonymo Esports</t>
        </is>
      </c>
      <c r="G35" s="24" t="inlineStr">
        <is>
          <t>DOCISK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163</v>
      </c>
      <c r="M35" s="27" t="n">
        <v>2.63</v>
      </c>
      <c r="N35" s="28" t="n">
        <v>0.380228</v>
      </c>
      <c r="O35" s="28" t="n">
        <v>0.518338</v>
      </c>
      <c r="P35" s="28" t="n"/>
      <c r="Q35" s="28" t="n">
        <v>0.13811</v>
      </c>
      <c r="R35" s="26" t="n">
        <v>89</v>
      </c>
      <c r="S35" s="29" t="n">
        <v>1</v>
      </c>
      <c r="T35" s="24" t="inlineStr">
        <is>
          <t>lol-tiered-elo-v5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0.3800 (market_slug=aec-lol-doc-ae-2026-08-04).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Anonymo Esports</t>
        </is>
      </c>
      <c r="AQ35" s="24" t="inlineStr">
        <is>
          <t>Anonymo Esports</t>
        </is>
      </c>
      <c r="AR35" s="24" t="inlineStr">
        <is>
          <t>Anonymo Esports</t>
        </is>
      </c>
      <c r="AS35" s="24" t="inlineStr">
        <is>
          <t>DOCISK</t>
        </is>
      </c>
      <c r="AT35" s="24" t="inlineStr">
        <is>
          <t>DOCISK</t>
        </is>
      </c>
      <c r="AU35" s="24" t="inlineStr">
        <is>
          <t>DOCISK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c0f2a708ccc94d5696faff9ca4ff9d58f719424636136d100ed9404e22178026</t>
        </is>
      </c>
      <c r="BB35" s="24" t="inlineStr">
        <is>
          <t>neutral_elo</t>
        </is>
      </c>
      <c r="BC35" s="24" t="inlineStr">
        <is>
          <t>lol-tiered-elo-v5</t>
        </is>
      </c>
      <c r="BD35" s="24" t="inlineStr">
        <is>
          <t>c0f2a708ccc94d5696faff9ca4ff9d58f719424636136d100ed9404e22178026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lol-tiered-elo-v5</t>
        </is>
      </c>
      <c r="BH35" s="24" t="inlineStr">
        <is>
          <t>2026-08-04T02:00:47.025076Z</t>
        </is>
      </c>
      <c r="BI35" s="24" t="inlineStr">
        <is>
          <t>["same_event","same_team_same_day","same_league_same_day"]</t>
        </is>
      </c>
      <c r="BJ35" s="25" t="n"/>
      <c r="BK35" s="26" t="n">
        <v>163</v>
      </c>
      <c r="BL35" s="27" t="n">
        <v>2.63</v>
      </c>
      <c r="BM35" s="28" t="n">
        <v>0.380228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inlineStr">
        <is>
          <t>True</t>
        </is>
      </c>
    </row>
    <row r="36" ht="36" customHeight="1">
      <c r="A36" s="24" t="inlineStr">
        <is>
          <t>800cb61d26c84c57</t>
        </is>
      </c>
      <c r="B36" s="24" t="inlineStr">
        <is>
          <t>2026-08-04T02:00:56.302645Z</t>
        </is>
      </c>
      <c r="C36" s="24" t="inlineStr">
        <is>
          <t>2026-08-04T18:00:00Z</t>
        </is>
      </c>
      <c r="D36" s="24" t="inlineStr">
        <is>
          <t>68691</t>
        </is>
      </c>
      <c r="E36" s="24" t="inlineStr">
        <is>
          <t>LOL</t>
        </is>
      </c>
      <c r="F36" s="24" t="inlineStr">
        <is>
          <t>ZennIT</t>
        </is>
      </c>
      <c r="G36" s="24" t="inlineStr">
        <is>
          <t>Once Upon A Team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-203</v>
      </c>
      <c r="M36" s="27" t="n">
        <v>1.492611</v>
      </c>
      <c r="N36" s="28" t="n">
        <v>0.669967</v>
      </c>
      <c r="O36" s="28" t="n">
        <v>0.549366</v>
      </c>
      <c r="P36" s="28" t="n"/>
      <c r="Q36" s="28" t="n">
        <v>-0.120601</v>
      </c>
      <c r="R36" s="26" t="n">
        <v>0</v>
      </c>
      <c r="S36" s="29" t="n">
        <v>1</v>
      </c>
      <c r="T36" s="24" t="inlineStr">
        <is>
          <t>lol-tiered-elo-v5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0.6700 (market_slug=aec-lol-ouat-znt-2026-08-04).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ZennIT</t>
        </is>
      </c>
      <c r="AQ36" s="24" t="inlineStr">
        <is>
          <t>ZennIT</t>
        </is>
      </c>
      <c r="AR36" s="24" t="inlineStr">
        <is>
          <t>ZennIT</t>
        </is>
      </c>
      <c r="AS36" s="24" t="inlineStr">
        <is>
          <t>Once Upon A Team</t>
        </is>
      </c>
      <c r="AT36" s="24" t="inlineStr">
        <is>
          <t>Once Upon A Team</t>
        </is>
      </c>
      <c r="AU36" s="24" t="inlineStr">
        <is>
          <t>Once Upon A Team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c0f2a708ccc94d5696faff9ca4ff9d58f719424636136d100ed9404e22178026</t>
        </is>
      </c>
      <c r="BB36" s="24" t="inlineStr">
        <is>
          <t>neutral_elo</t>
        </is>
      </c>
      <c r="BC36" s="24" t="inlineStr">
        <is>
          <t>lol-tiered-elo-v5</t>
        </is>
      </c>
      <c r="BD36" s="24" t="inlineStr">
        <is>
          <t>c0f2a708ccc94d5696faff9ca4ff9d58f719424636136d100ed9404e22178026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lol-tiered-elo-v5</t>
        </is>
      </c>
      <c r="BH36" s="24" t="inlineStr">
        <is>
          <t>2026-08-04T02:00:48.018849Z</t>
        </is>
      </c>
      <c r="BI36" s="24" t="inlineStr">
        <is>
          <t>["same_event","same_team_same_day","same_league_same_day"]</t>
        </is>
      </c>
      <c r="BJ36" s="25" t="n"/>
      <c r="BK36" s="26" t="n">
        <v>-203</v>
      </c>
      <c r="BL36" s="27" t="n">
        <v>1.492611</v>
      </c>
      <c r="BM36" s="28" t="n">
        <v>0.669967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inlineStr">
        <is>
          <t>False</t>
        </is>
      </c>
    </row>
    <row r="37" ht="36" customHeight="1">
      <c r="A37" s="24" t="inlineStr">
        <is>
          <t>9dfd7a89789f4d73</t>
        </is>
      </c>
      <c r="B37" s="24" t="inlineStr">
        <is>
          <t>2026-08-04T02:00:56.302645Z</t>
        </is>
      </c>
      <c r="C37" s="24" t="inlineStr">
        <is>
          <t>2026-08-04T18:00:00Z</t>
        </is>
      </c>
      <c r="D37" s="24" t="inlineStr">
        <is>
          <t>68689</t>
        </is>
      </c>
      <c r="E37" s="24" t="inlineStr">
        <is>
          <t>LOL</t>
        </is>
      </c>
      <c r="F37" s="24" t="inlineStr">
        <is>
          <t>Way Gaming Esports</t>
        </is>
      </c>
      <c r="G37" s="24" t="inlineStr">
        <is>
          <t>Capybara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-133</v>
      </c>
      <c r="M37" s="27" t="n">
        <v>1.75188</v>
      </c>
      <c r="N37" s="28" t="n">
        <v>0.570815</v>
      </c>
      <c r="O37" s="28" t="n">
        <v>0.5739340000000001</v>
      </c>
      <c r="P37" s="28" t="n"/>
      <c r="Q37" s="28" t="n">
        <v>0.003119</v>
      </c>
      <c r="R37" s="26" t="n">
        <v>22</v>
      </c>
      <c r="S37" s="29" t="n">
        <v>1.25</v>
      </c>
      <c r="T37" s="24" t="inlineStr">
        <is>
          <t>lol-tiered-elo-v5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0.5700 (market_slug=aec-lol-capy-wge-2026-08-04).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Way Gaming Esports</t>
        </is>
      </c>
      <c r="AQ37" s="24" t="inlineStr">
        <is>
          <t>Way Gaming Esports</t>
        </is>
      </c>
      <c r="AR37" s="24" t="inlineStr">
        <is>
          <t>Way Gaming Esports</t>
        </is>
      </c>
      <c r="AS37" s="24" t="inlineStr">
        <is>
          <t>Capybara Esports</t>
        </is>
      </c>
      <c r="AT37" s="24" t="inlineStr">
        <is>
          <t>Capybara Esports</t>
        </is>
      </c>
      <c r="AU37" s="24" t="inlineStr">
        <is>
          <t>Capybara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c0f2a708ccc94d5696faff9ca4ff9d58f719424636136d100ed9404e22178026</t>
        </is>
      </c>
      <c r="BB37" s="24" t="inlineStr">
        <is>
          <t>neutral_elo</t>
        </is>
      </c>
      <c r="BC37" s="24" t="inlineStr">
        <is>
          <t>lol-tiered-elo-v5</t>
        </is>
      </c>
      <c r="BD37" s="24" t="inlineStr">
        <is>
          <t>c0f2a708ccc94d5696faff9ca4ff9d58f719424636136d100ed9404e22178026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lol-tiered-elo-v5</t>
        </is>
      </c>
      <c r="BH37" s="24" t="inlineStr">
        <is>
          <t>2026-08-04T02:00:48.567590Z</t>
        </is>
      </c>
      <c r="BI37" s="24" t="inlineStr">
        <is>
          <t>["same_event","same_team_same_day","same_league_same_day"]</t>
        </is>
      </c>
      <c r="BJ37" s="25" t="n"/>
      <c r="BK37" s="26" t="n">
        <v>-133</v>
      </c>
      <c r="BL37" s="27" t="n">
        <v>1.75188</v>
      </c>
      <c r="BM37" s="28" t="n">
        <v>0.570815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inlineStr">
        <is>
          <t>True</t>
        </is>
      </c>
    </row>
    <row r="38" ht="36" customHeight="1">
      <c r="A38" s="24" t="inlineStr">
        <is>
          <t>e048b6e77c6f407e</t>
        </is>
      </c>
      <c r="B38" s="24" t="inlineStr">
        <is>
          <t>2026-08-04T02:00:56.302645Z</t>
        </is>
      </c>
      <c r="C38" s="24" t="inlineStr">
        <is>
          <t>2026-08-04T18:00:00Z</t>
        </is>
      </c>
      <c r="D38" s="24" t="inlineStr">
        <is>
          <t>68688</t>
        </is>
      </c>
      <c r="E38" s="24" t="inlineStr">
        <is>
          <t>LOL</t>
        </is>
      </c>
      <c r="F38" s="24" t="inlineStr">
        <is>
          <t>Joblife</t>
        </is>
      </c>
      <c r="G38" s="24" t="inlineStr">
        <is>
          <t>ZYB Esport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-122</v>
      </c>
      <c r="M38" s="27" t="n">
        <v>1.819672</v>
      </c>
      <c r="N38" s="28" t="n">
        <v>0.54955</v>
      </c>
      <c r="O38" s="28" t="n">
        <v>0.531003</v>
      </c>
      <c r="P38" s="28" t="n"/>
      <c r="Q38" s="28" t="n">
        <v>-0.018547</v>
      </c>
      <c r="R38" s="26" t="n">
        <v>11</v>
      </c>
      <c r="S38" s="29" t="n">
        <v>1</v>
      </c>
      <c r="T38" s="24" t="inlineStr">
        <is>
          <t>lol-tiered-elo-v5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0.5500 (market_slug=aec-lol-zyb-jl-2026-08-04).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Joblife</t>
        </is>
      </c>
      <c r="AQ38" s="24" t="inlineStr">
        <is>
          <t>Joblife</t>
        </is>
      </c>
      <c r="AR38" s="24" t="inlineStr">
        <is>
          <t>Joblife</t>
        </is>
      </c>
      <c r="AS38" s="24" t="inlineStr">
        <is>
          <t>ZYB Esport</t>
        </is>
      </c>
      <c r="AT38" s="24" t="inlineStr">
        <is>
          <t>ZYB Esport</t>
        </is>
      </c>
      <c r="AU38" s="24" t="inlineStr">
        <is>
          <t>ZYB Esport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c0f2a708ccc94d5696faff9ca4ff9d58f719424636136d100ed9404e22178026</t>
        </is>
      </c>
      <c r="BB38" s="24" t="inlineStr">
        <is>
          <t>neutral_elo</t>
        </is>
      </c>
      <c r="BC38" s="24" t="inlineStr">
        <is>
          <t>lol-tiered-elo-v5</t>
        </is>
      </c>
      <c r="BD38" s="24" t="inlineStr">
        <is>
          <t>c0f2a708ccc94d5696faff9ca4ff9d58f719424636136d100ed9404e22178026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lol-tiered-elo-v5</t>
        </is>
      </c>
      <c r="BH38" s="24" t="inlineStr">
        <is>
          <t>2026-08-04T02:00:49.048776Z</t>
        </is>
      </c>
      <c r="BI38" s="24" t="inlineStr">
        <is>
          <t>["same_event","same_team_same_day","same_league_same_day"]</t>
        </is>
      </c>
      <c r="BJ38" s="25" t="n"/>
      <c r="BK38" s="26" t="n">
        <v>-122</v>
      </c>
      <c r="BL38" s="27" t="n">
        <v>1.819672</v>
      </c>
      <c r="BM38" s="28" t="n">
        <v>0.54955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False</t>
        </is>
      </c>
    </row>
    <row r="39" ht="36" customHeight="1">
      <c r="A39" s="24" t="inlineStr">
        <is>
          <t>cfb2d9fb5c744b21</t>
        </is>
      </c>
      <c r="B39" s="24" t="inlineStr">
        <is>
          <t>2026-08-04T02:00:56.302645Z</t>
        </is>
      </c>
      <c r="C39" s="24" t="inlineStr">
        <is>
          <t>2026-08-04T18:00:00Z</t>
        </is>
      </c>
      <c r="D39" s="24" t="inlineStr">
        <is>
          <t>68690</t>
        </is>
      </c>
      <c r="E39" s="24" t="inlineStr">
        <is>
          <t>LOL</t>
        </is>
      </c>
      <c r="F39" s="24" t="inlineStr">
        <is>
          <t>Lupus Esports</t>
        </is>
      </c>
      <c r="G39" s="24" t="inlineStr">
        <is>
          <t xml:space="preserve">Croatian Flair x RLX 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0.55055</v>
      </c>
      <c r="P39" s="28" t="n"/>
      <c r="Q39" s="28" t="n">
        <v>0.001</v>
      </c>
      <c r="R39" s="26" t="n">
        <v>21</v>
      </c>
      <c r="S39" s="29" t="n">
        <v>1</v>
      </c>
      <c r="T39" s="24" t="inlineStr">
        <is>
          <t>lol-tiered-elo-v5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0.5500 (market_slug=aec-lol-cfxr-lps-2026-08-04).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Lupus Esports</t>
        </is>
      </c>
      <c r="AQ39" s="24" t="inlineStr">
        <is>
          <t>Lupus Esports</t>
        </is>
      </c>
      <c r="AR39" s="24" t="inlineStr">
        <is>
          <t>Lupus Esports</t>
        </is>
      </c>
      <c r="AS39" s="24" t="inlineStr">
        <is>
          <t xml:space="preserve">Croatian Flair x RLX </t>
        </is>
      </c>
      <c r="AT39" s="24" t="inlineStr">
        <is>
          <t xml:space="preserve">Croatian Flair x RLX </t>
        </is>
      </c>
      <c r="AU39" s="24" t="inlineStr">
        <is>
          <t xml:space="preserve">Croatian Flair x RLX 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c0f2a708ccc94d5696faff9ca4ff9d58f719424636136d100ed9404e22178026</t>
        </is>
      </c>
      <c r="BB39" s="24" t="inlineStr">
        <is>
          <t>neutral_elo</t>
        </is>
      </c>
      <c r="BC39" s="24" t="inlineStr">
        <is>
          <t>lol-tiered-elo-v5</t>
        </is>
      </c>
      <c r="BD39" s="24" t="inlineStr">
        <is>
          <t>c0f2a708ccc94d5696faff9ca4ff9d58f719424636136d100ed9404e22178026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lol-tiered-elo-v5</t>
        </is>
      </c>
      <c r="BH39" s="24" t="inlineStr">
        <is>
          <t>2026-08-04T02:00:49.613554Z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2c772ea2540843f1</t>
        </is>
      </c>
      <c r="B40" s="24" t="inlineStr">
        <is>
          <t>2026-08-04T02:00:56.302645Z</t>
        </is>
      </c>
      <c r="C40" s="24" t="inlineStr">
        <is>
          <t>2026-08-04T20:00:00Z</t>
        </is>
      </c>
      <c r="D40" s="24" t="inlineStr">
        <is>
          <t>69143</t>
        </is>
      </c>
      <c r="E40" s="24" t="inlineStr">
        <is>
          <t>LOL</t>
        </is>
      </c>
      <c r="F40" s="24" t="inlineStr">
        <is>
          <t>Malvinas Gaming</t>
        </is>
      </c>
      <c r="G40" s="24" t="inlineStr">
        <is>
          <t>Maze Gaming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-163</v>
      </c>
      <c r="M40" s="27" t="n">
        <v>1.613497</v>
      </c>
      <c r="N40" s="28" t="n">
        <v>0.619772</v>
      </c>
      <c r="O40" s="28" t="n">
        <v>0.624143</v>
      </c>
      <c r="P40" s="28" t="n"/>
      <c r="Q40" s="28" t="n">
        <v>0.004371</v>
      </c>
      <c r="R40" s="26" t="n">
        <v>22</v>
      </c>
      <c r="S40" s="29" t="n">
        <v>1.5</v>
      </c>
      <c r="T40" s="24" t="inlineStr">
        <is>
          <t>lol-tiered-elo-v5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0.6200 (market_slug=aec-lol-maz-mg-2026-08-04).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Malvinas Gaming</t>
        </is>
      </c>
      <c r="AQ40" s="24" t="inlineStr">
        <is>
          <t>Malvinas Gaming</t>
        </is>
      </c>
      <c r="AR40" s="24" t="inlineStr">
        <is>
          <t>Malvinas Gaming</t>
        </is>
      </c>
      <c r="AS40" s="24" t="inlineStr">
        <is>
          <t>Maze Gaming</t>
        </is>
      </c>
      <c r="AT40" s="24" t="inlineStr">
        <is>
          <t>Maze Gaming</t>
        </is>
      </c>
      <c r="AU40" s="24" t="inlineStr">
        <is>
          <t>Maze Gaming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c0f2a708ccc94d5696faff9ca4ff9d58f719424636136d100ed9404e22178026</t>
        </is>
      </c>
      <c r="BB40" s="24" t="inlineStr">
        <is>
          <t>neutral_elo</t>
        </is>
      </c>
      <c r="BC40" s="24" t="inlineStr">
        <is>
          <t>lol-tiered-elo-v5</t>
        </is>
      </c>
      <c r="BD40" s="24" t="inlineStr">
        <is>
          <t>c0f2a708ccc94d5696faff9ca4ff9d58f719424636136d100ed9404e22178026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lol-tiered-elo-v5</t>
        </is>
      </c>
      <c r="BH40" s="24" t="inlineStr">
        <is>
          <t>2026-08-04T02:00:52.417381Z</t>
        </is>
      </c>
      <c r="BI40" s="24" t="inlineStr">
        <is>
          <t>["same_event","same_team_same_day","same_league_same_day"]</t>
        </is>
      </c>
      <c r="BJ40" s="25" t="n"/>
      <c r="BK40" s="26" t="n">
        <v>-163</v>
      </c>
      <c r="BL40" s="27" t="n">
        <v>1.613497</v>
      </c>
      <c r="BM40" s="28" t="n">
        <v>0.619772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  <row r="41" ht="36" customHeight="1">
      <c r="A41" s="24" t="inlineStr">
        <is>
          <t>442ac140fc9b4803</t>
        </is>
      </c>
      <c r="B41" s="24" t="inlineStr">
        <is>
          <t>2026-08-04T02:00:56.302645Z</t>
        </is>
      </c>
      <c r="C41" s="24" t="inlineStr">
        <is>
          <t>2026-08-04T20:00:00Z</t>
        </is>
      </c>
      <c r="D41" s="24" t="inlineStr">
        <is>
          <t>69144</t>
        </is>
      </c>
      <c r="E41" s="24" t="inlineStr">
        <is>
          <t>LOL</t>
        </is>
      </c>
      <c r="F41" s="24" t="inlineStr">
        <is>
          <t>INTZ e-Sports</t>
        </is>
      </c>
      <c r="G41" s="24" t="inlineStr">
        <is>
          <t>Vivo Keyd Stars Academy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-127</v>
      </c>
      <c r="M41" s="27" t="n">
        <v>1.787402</v>
      </c>
      <c r="N41" s="28" t="n">
        <v>0.5594710000000001</v>
      </c>
      <c r="O41" s="28" t="n">
        <v>0.591618</v>
      </c>
      <c r="P41" s="28" t="n"/>
      <c r="Q41" s="28" t="n">
        <v>0.032147</v>
      </c>
      <c r="R41" s="26" t="n">
        <v>36</v>
      </c>
      <c r="S41" s="29" t="n">
        <v>1.25</v>
      </c>
      <c r="T41" s="24" t="inlineStr">
        <is>
          <t>lol-tiered-elo-v5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0.5600 (market_slug=aec-lol-vksa-itz-2026-08-04).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INTZ e-Sports</t>
        </is>
      </c>
      <c r="AQ41" s="24" t="inlineStr">
        <is>
          <t>INTZ e-Sports</t>
        </is>
      </c>
      <c r="AR41" s="24" t="inlineStr">
        <is>
          <t>INTZ e-Sports</t>
        </is>
      </c>
      <c r="AS41" s="24" t="inlineStr">
        <is>
          <t>Vivo Keyd Stars Academy</t>
        </is>
      </c>
      <c r="AT41" s="24" t="inlineStr">
        <is>
          <t>Vivo Keyd Stars Academy</t>
        </is>
      </c>
      <c r="AU41" s="24" t="inlineStr">
        <is>
          <t>Vivo Keyd Stars Academy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c0f2a708ccc94d5696faff9ca4ff9d58f719424636136d100ed9404e22178026</t>
        </is>
      </c>
      <c r="BB41" s="24" t="inlineStr">
        <is>
          <t>neutral_elo</t>
        </is>
      </c>
      <c r="BC41" s="24" t="inlineStr">
        <is>
          <t>lol-tiered-elo-v5</t>
        </is>
      </c>
      <c r="BD41" s="24" t="inlineStr">
        <is>
          <t>c0f2a708ccc94d5696faff9ca4ff9d58f719424636136d100ed9404e22178026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lol-tiered-elo-v5</t>
        </is>
      </c>
      <c r="BH41" s="24" t="inlineStr">
        <is>
          <t>2026-08-04T02:00:53.026230Z</t>
        </is>
      </c>
      <c r="BI41" s="24" t="inlineStr">
        <is>
          <t>["same_event","same_team_same_day","same_league_same_day"]</t>
        </is>
      </c>
      <c r="BJ41" s="25" t="n"/>
      <c r="BK41" s="26" t="n">
        <v>-127</v>
      </c>
      <c r="BL41" s="27" t="n">
        <v>1.787402</v>
      </c>
      <c r="BM41" s="28" t="n">
        <v>0.5594710000000001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True</t>
        </is>
      </c>
    </row>
    <row r="42" ht="36" customHeight="1">
      <c r="A42" s="24" t="inlineStr">
        <is>
          <t>c041d27567494ec6</t>
        </is>
      </c>
      <c r="B42" s="24" t="inlineStr">
        <is>
          <t>2026-08-04T02:00:56.302645Z</t>
        </is>
      </c>
      <c r="C42" s="24" t="inlineStr">
        <is>
          <t>2026-08-04T20:00:00Z</t>
        </is>
      </c>
      <c r="D42" s="24" t="inlineStr">
        <is>
          <t>69141</t>
        </is>
      </c>
      <c r="E42" s="24" t="inlineStr">
        <is>
          <t>LOL</t>
        </is>
      </c>
      <c r="F42" s="24" t="inlineStr">
        <is>
          <t>Vitality.Bee</t>
        </is>
      </c>
      <c r="G42" s="24" t="inlineStr">
        <is>
          <t>Karmine Corp Blue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0.649994</v>
      </c>
      <c r="P42" s="28" t="n"/>
      <c r="Q42" s="28" t="n">
        <v>-0.000356</v>
      </c>
      <c r="R42" s="26" t="n">
        <v>20</v>
      </c>
      <c r="S42" s="29" t="n">
        <v>1.75</v>
      </c>
      <c r="T42" s="24" t="inlineStr">
        <is>
          <t>lol-tiered-elo-v5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0.6500 (market_slug=aec-lol-kcb-vitb-2026-08-04).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Vitality.Bee</t>
        </is>
      </c>
      <c r="AQ42" s="24" t="inlineStr">
        <is>
          <t>Vitality.Bee</t>
        </is>
      </c>
      <c r="AR42" s="24" t="inlineStr">
        <is>
          <t>Vitality.Bee</t>
        </is>
      </c>
      <c r="AS42" s="24" t="inlineStr">
        <is>
          <t>Karmine Corp Blue</t>
        </is>
      </c>
      <c r="AT42" s="24" t="inlineStr">
        <is>
          <t>Karmine Corp Blue</t>
        </is>
      </c>
      <c r="AU42" s="24" t="inlineStr">
        <is>
          <t>Karmine Corp Blue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c0f2a708ccc94d5696faff9ca4ff9d58f719424636136d100ed9404e22178026</t>
        </is>
      </c>
      <c r="BB42" s="24" t="inlineStr">
        <is>
          <t>neutral_elo</t>
        </is>
      </c>
      <c r="BC42" s="24" t="inlineStr">
        <is>
          <t>lol-tiered-elo-v5</t>
        </is>
      </c>
      <c r="BD42" s="24" t="inlineStr">
        <is>
          <t>c0f2a708ccc94d5696faff9ca4ff9d58f719424636136d100ed9404e22178026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lol-tiered-elo-v5</t>
        </is>
      </c>
      <c r="BH42" s="24" t="inlineStr">
        <is>
          <t>2026-08-04T02:00:53.530335Z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inlineStr">
        <is>
          <t>False</t>
        </is>
      </c>
    </row>
    <row r="43" ht="36" customHeight="1">
      <c r="A43" s="24" t="inlineStr">
        <is>
          <t>f6954aaa8b72488e</t>
        </is>
      </c>
      <c r="B43" s="24" t="inlineStr">
        <is>
          <t>2026-08-04T02:00:56.302645Z</t>
        </is>
      </c>
      <c r="C43" s="24" t="inlineStr">
        <is>
          <t>2026-08-04T21:00:00Z</t>
        </is>
      </c>
      <c r="D43" s="24" t="inlineStr">
        <is>
          <t>69234</t>
        </is>
      </c>
      <c r="E43" s="24" t="inlineStr">
        <is>
          <t>LOL</t>
        </is>
      </c>
      <c r="F43" s="24" t="inlineStr">
        <is>
          <t>Bubliki</t>
        </is>
      </c>
      <c r="G43" s="24" t="inlineStr">
        <is>
          <t>Francesinhas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156</v>
      </c>
      <c r="M43" s="27" t="n">
        <v>2.56</v>
      </c>
      <c r="N43" s="28" t="n">
        <v>0.390625</v>
      </c>
      <c r="O43" s="28" t="n">
        <v>0.51668</v>
      </c>
      <c r="P43" s="28" t="n"/>
      <c r="Q43" s="28" t="n">
        <v>0.126055</v>
      </c>
      <c r="R43" s="26" t="n">
        <v>83</v>
      </c>
      <c r="S43" s="29" t="n">
        <v>1</v>
      </c>
      <c r="T43" s="24" t="inlineStr">
        <is>
          <t>lol-tiered-elo-v5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0.3900 (market_slug=aec-lol-fcn-bub-2026-08-04).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Bubliki</t>
        </is>
      </c>
      <c r="AQ43" s="24" t="inlineStr">
        <is>
          <t>Bubliki</t>
        </is>
      </c>
      <c r="AR43" s="24" t="inlineStr">
        <is>
          <t>Bubliki</t>
        </is>
      </c>
      <c r="AS43" s="24" t="inlineStr">
        <is>
          <t>Francesinhas</t>
        </is>
      </c>
      <c r="AT43" s="24" t="inlineStr">
        <is>
          <t>Francesinhas</t>
        </is>
      </c>
      <c r="AU43" s="24" t="inlineStr">
        <is>
          <t>Francesinhas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c0f2a708ccc94d5696faff9ca4ff9d58f719424636136d100ed9404e22178026</t>
        </is>
      </c>
      <c r="BB43" s="24" t="inlineStr">
        <is>
          <t>neutral_elo</t>
        </is>
      </c>
      <c r="BC43" s="24" t="inlineStr">
        <is>
          <t>lol-tiered-elo-v5</t>
        </is>
      </c>
      <c r="BD43" s="24" t="inlineStr">
        <is>
          <t>c0f2a708ccc94d5696faff9ca4ff9d58f719424636136d100ed9404e22178026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lol-tiered-elo-v5</t>
        </is>
      </c>
      <c r="BH43" s="24" t="inlineStr">
        <is>
          <t>2026-08-04T02:00:54.079734Z</t>
        </is>
      </c>
      <c r="BI43" s="24" t="inlineStr">
        <is>
          <t>["same_event","same_team_same_day","same_league_same_day"]</t>
        </is>
      </c>
      <c r="BJ43" s="25" t="n"/>
      <c r="BK43" s="26" t="n">
        <v>156</v>
      </c>
      <c r="BL43" s="27" t="n">
        <v>2.56</v>
      </c>
      <c r="BM43" s="28" t="n">
        <v>0.390625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inlineStr">
        <is>
          <t>True</t>
        </is>
      </c>
    </row>
    <row r="44" ht="36" customHeight="1">
      <c r="A44" s="24" t="inlineStr">
        <is>
          <t>408f74d7de044559</t>
        </is>
      </c>
      <c r="B44" s="24" t="inlineStr">
        <is>
          <t>2026-08-04T02:00:56.302645Z</t>
        </is>
      </c>
      <c r="C44" s="24" t="inlineStr">
        <is>
          <t>2026-08-04T22:00:00Z</t>
        </is>
      </c>
      <c r="D44" s="24" t="inlineStr">
        <is>
          <t>69273</t>
        </is>
      </c>
      <c r="E44" s="24" t="inlineStr">
        <is>
          <t>LOL</t>
        </is>
      </c>
      <c r="F44" s="24" t="inlineStr">
        <is>
          <t>RMD Gaming</t>
        </is>
      </c>
      <c r="G44" s="24" t="inlineStr">
        <is>
          <t>7REX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-150</v>
      </c>
      <c r="M44" s="27" t="n">
        <v>1.666667</v>
      </c>
      <c r="N44" s="28" t="n">
        <v>0.6</v>
      </c>
      <c r="O44" s="28" t="n">
        <v>0.604656</v>
      </c>
      <c r="P44" s="28" t="n"/>
      <c r="Q44" s="28" t="n">
        <v>0.004656</v>
      </c>
      <c r="R44" s="26" t="n">
        <v>22</v>
      </c>
      <c r="S44" s="29" t="n">
        <v>1.25</v>
      </c>
      <c r="T44" s="24" t="inlineStr">
        <is>
          <t>lol-tiered-elo-v5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0.6000 (market_slug=aec-lol-7rex-rmd-2026-08-04).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RMD Gaming</t>
        </is>
      </c>
      <c r="AQ44" s="24" t="inlineStr">
        <is>
          <t>RMD Gaming</t>
        </is>
      </c>
      <c r="AR44" s="24" t="inlineStr">
        <is>
          <t>RMD Gaming</t>
        </is>
      </c>
      <c r="AS44" s="24" t="inlineStr">
        <is>
          <t>7REX</t>
        </is>
      </c>
      <c r="AT44" s="24" t="inlineStr">
        <is>
          <t>7REX</t>
        </is>
      </c>
      <c r="AU44" s="24" t="inlineStr">
        <is>
          <t>7REX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c0f2a708ccc94d5696faff9ca4ff9d58f719424636136d100ed9404e22178026</t>
        </is>
      </c>
      <c r="BB44" s="24" t="inlineStr">
        <is>
          <t>neutral_elo</t>
        </is>
      </c>
      <c r="BC44" s="24" t="inlineStr">
        <is>
          <t>lol-tiered-elo-v5</t>
        </is>
      </c>
      <c r="BD44" s="24" t="inlineStr">
        <is>
          <t>c0f2a708ccc94d5696faff9ca4ff9d58f719424636136d100ed9404e22178026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lol-tiered-elo-v5</t>
        </is>
      </c>
      <c r="BH44" s="24" t="inlineStr">
        <is>
          <t>2026-08-04T02:00:55.187744Z</t>
        </is>
      </c>
      <c r="BI44" s="24" t="inlineStr">
        <is>
          <t>["same_event","same_team_same_day","same_league_same_day"]</t>
        </is>
      </c>
      <c r="BJ44" s="25" t="n"/>
      <c r="BK44" s="26" t="n">
        <v>-150</v>
      </c>
      <c r="BL44" s="27" t="n">
        <v>1.666667</v>
      </c>
      <c r="BM44" s="28" t="n">
        <v>0.6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inlineStr">
        <is>
          <t>True</t>
        </is>
      </c>
    </row>
    <row r="45" ht="36" customHeight="1">
      <c r="A45" s="24" t="inlineStr">
        <is>
          <t>e34cd34cab424131</t>
        </is>
      </c>
      <c r="B45" s="24" t="inlineStr">
        <is>
          <t>2026-08-04T02:00:56.302645Z</t>
        </is>
      </c>
      <c r="C45" s="24" t="inlineStr">
        <is>
          <t>2026-08-04T23:00:00Z</t>
        </is>
      </c>
      <c r="D45" s="24" t="inlineStr">
        <is>
          <t>69304</t>
        </is>
      </c>
      <c r="E45" s="24" t="inlineStr">
        <is>
          <t>LOL</t>
        </is>
      </c>
      <c r="F45" s="24" t="inlineStr">
        <is>
          <t>paiN Gaming Academy</t>
        </is>
      </c>
      <c r="G45" s="24" t="inlineStr">
        <is>
          <t>KaBuM! Ilha das Lendas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-104</v>
      </c>
      <c r="M45" s="27" t="n">
        <v>1.961538</v>
      </c>
      <c r="N45" s="28" t="n">
        <v>0.509804</v>
      </c>
      <c r="O45" s="28" t="n">
        <v>0.546359</v>
      </c>
      <c r="P45" s="28" t="n"/>
      <c r="Q45" s="28" t="n">
        <v>0.036555</v>
      </c>
      <c r="R45" s="26" t="n">
        <v>38</v>
      </c>
      <c r="S45" s="29" t="n">
        <v>1</v>
      </c>
      <c r="T45" s="24" t="inlineStr">
        <is>
          <t>lol-tiered-elo-v5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0.5100 (market_slug=aec-lol-kbm-pnga-2026-08-04).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paiN Gaming Academy</t>
        </is>
      </c>
      <c r="AQ45" s="24" t="inlineStr">
        <is>
          <t>paiN Gaming Academy</t>
        </is>
      </c>
      <c r="AR45" s="24" t="inlineStr">
        <is>
          <t>paiN Gaming Academy</t>
        </is>
      </c>
      <c r="AS45" s="24" t="inlineStr">
        <is>
          <t>KaBuM! Ilha das Lendas</t>
        </is>
      </c>
      <c r="AT45" s="24" t="inlineStr">
        <is>
          <t>KaBuM! Ilha das Lendas</t>
        </is>
      </c>
      <c r="AU45" s="24" t="inlineStr">
        <is>
          <t>KaBuM! Ilha das Lendas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c0f2a708ccc94d5696faff9ca4ff9d58f719424636136d100ed9404e22178026</t>
        </is>
      </c>
      <c r="BB45" s="24" t="inlineStr">
        <is>
          <t>neutral_elo</t>
        </is>
      </c>
      <c r="BC45" s="24" t="inlineStr">
        <is>
          <t>lol-tiered-elo-v5</t>
        </is>
      </c>
      <c r="BD45" s="24" t="inlineStr">
        <is>
          <t>c0f2a708ccc94d5696faff9ca4ff9d58f719424636136d100ed9404e22178026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lol-tiered-elo-v5</t>
        </is>
      </c>
      <c r="BH45" s="24" t="inlineStr">
        <is>
          <t>2026-08-04T02:00:55.701889Z</t>
        </is>
      </c>
      <c r="BI45" s="24" t="inlineStr">
        <is>
          <t>["same_event","same_team_same_day","same_league_same_day"]</t>
        </is>
      </c>
      <c r="BJ45" s="25" t="n"/>
      <c r="BK45" s="26" t="n">
        <v>-104</v>
      </c>
      <c r="BL45" s="27" t="n">
        <v>1.961538</v>
      </c>
      <c r="BM45" s="28" t="n">
        <v>0.509804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inlineStr">
        <is>
          <t>True</t>
        </is>
      </c>
    </row>
    <row r="46" ht="36" customHeight="1">
      <c r="A46" s="24" t="inlineStr">
        <is>
          <t>bbe7069cec06486f</t>
        </is>
      </c>
      <c r="B46" s="24" t="inlineStr">
        <is>
          <t>2026-08-04T02:00:56.302645Z</t>
        </is>
      </c>
      <c r="C46" s="24" t="inlineStr">
        <is>
          <t>2026-08-05T00:00:00Z</t>
        </is>
      </c>
      <c r="D46" s="24" t="inlineStr">
        <is>
          <t>69336</t>
        </is>
      </c>
      <c r="E46" s="24" t="inlineStr">
        <is>
          <t>LOL</t>
        </is>
      </c>
      <c r="F46" s="24" t="inlineStr">
        <is>
          <t>Ei Nerd Esports</t>
        </is>
      </c>
      <c r="G46" s="24" t="inlineStr">
        <is>
          <t>Estral Esports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-203</v>
      </c>
      <c r="M46" s="27" t="n">
        <v>1.492611</v>
      </c>
      <c r="N46" s="28" t="n">
        <v>0.669967</v>
      </c>
      <c r="O46" s="28" t="n">
        <v>0.74222</v>
      </c>
      <c r="P46" s="28" t="n"/>
      <c r="Q46" s="28" t="n">
        <v>0.072253</v>
      </c>
      <c r="R46" s="26" t="n">
        <v>56</v>
      </c>
      <c r="S46" s="29" t="n">
        <v>2</v>
      </c>
      <c r="T46" s="24" t="inlineStr">
        <is>
          <t>lol-tiered-elo-v5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0.6700 (market_slug=aec-lol-est-nerd-2026-08-05).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Ei Nerd Esports</t>
        </is>
      </c>
      <c r="AQ46" s="24" t="inlineStr">
        <is>
          <t>Ei Nerd Esports</t>
        </is>
      </c>
      <c r="AR46" s="24" t="inlineStr">
        <is>
          <t>Ei Nerd Esports</t>
        </is>
      </c>
      <c r="AS46" s="24" t="inlineStr">
        <is>
          <t>Estral Esports</t>
        </is>
      </c>
      <c r="AT46" s="24" t="inlineStr">
        <is>
          <t>Estral Esports</t>
        </is>
      </c>
      <c r="AU46" s="24" t="inlineStr">
        <is>
          <t>Estral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c0f2a708ccc94d5696faff9ca4ff9d58f719424636136d100ed9404e22178026</t>
        </is>
      </c>
      <c r="BB46" s="24" t="inlineStr">
        <is>
          <t>neutral_elo</t>
        </is>
      </c>
      <c r="BC46" s="24" t="inlineStr">
        <is>
          <t>lol-tiered-elo-v5</t>
        </is>
      </c>
      <c r="BD46" s="24" t="inlineStr">
        <is>
          <t>c0f2a708ccc94d5696faff9ca4ff9d58f719424636136d100ed9404e22178026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lol-tiered-elo-v5</t>
        </is>
      </c>
      <c r="BH46" s="24" t="inlineStr">
        <is>
          <t>2026-08-04T02:00:56.301588Z</t>
        </is>
      </c>
      <c r="BI46" s="24" t="inlineStr">
        <is>
          <t>["same_event","same_team_same_day","same_league_same_day"]</t>
        </is>
      </c>
      <c r="BJ46" s="25" t="n"/>
      <c r="BK46" s="26" t="n">
        <v>-203</v>
      </c>
      <c r="BL46" s="27" t="n">
        <v>1.492611</v>
      </c>
      <c r="BM46" s="28" t="n">
        <v>0.669967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2026-08-04T02:01:04Z</dcterms:created>
  <dcterms:modified xsi:type="dcterms:W3CDTF">2026-08-04T02:01:04Z</dcterms:modified>
</cp:coreProperties>
</file>