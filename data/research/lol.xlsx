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141" headerRowCount="1">
  <autoFilter ref="A1:CS141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COUNTA('Picks'!$A$2:$A$141)</f>
        <v/>
      </c>
      <c r="C4" s="6">
        <f>COUNTIF('Picks'!$U$2:$U$141,"open")</f>
        <v/>
      </c>
      <c r="E4" s="6">
        <f>COUNTIF('Picks'!$U$2:$U$141,"settled")</f>
        <v/>
      </c>
      <c r="G4" s="6">
        <f>IF(COUNTIFS('Picks'!$U$2:$U$141,"settled",'Picks'!$V$2:$V$141,"win")+COUNTIFS('Picks'!$U$2:$U$141,"settled",'Picks'!$V$2:$V$141,"loss")&gt;=$L$2,"Ready","Insufficient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COUNTIF('Picks'!$BX$2:$BX$141,"&gt;0")</f>
        <v/>
      </c>
      <c r="C7" s="6">
        <f>COUNTIFS('Picks'!$BX$2:$BX$141,"&gt;0",'Picks'!$V$2:$V$141,"win")&amp;"-"&amp;COUNTIFS('Picks'!$BX$2:$BX$141,"&gt;0",'Picks'!$V$2:$V$141,"loss")</f>
        <v/>
      </c>
      <c r="E7" s="7">
        <f>IFERROR(COUNTIFS('Picks'!$BX$2:$BX$141,"&gt;0",'Picks'!$V$2:$V$141,"win")/(COUNTIFS('Picks'!$BX$2:$BX$141,"&gt;0",'Picks'!$V$2:$V$141,"win")+COUNTIFS('Picks'!$BX$2:$BX$141,"&gt;0",'Picks'!$V$2:$V$141,"loss")),0)</f>
        <v/>
      </c>
      <c r="G7" s="7">
        <f>IFERROR(SUM('Picks'!$BY$2:$BY$141)/SUM('Picks'!$BX$2:$BX$141),0)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SUM('Picks'!$BY$2:$BY$141)</f>
        <v/>
      </c>
      <c r="C10" s="9">
        <f>IFERROR(AVERAGEIF('Picks'!$AB$2:$AB$141,"&lt;&gt;",'Picks'!$AB$2:$AB$141),0)</f>
        <v/>
      </c>
      <c r="E10" s="6">
        <f>COUNTIFS('Picks'!$AM$2:$AM$141,"QUALIFIED_SHADOW_CALL",'Picks'!$U$2:$U$141,"settled")</f>
        <v/>
      </c>
      <c r="G10" s="8">
        <f>SUMIFS('Picks'!$AC$2:$AC$141,'Picks'!$AM$2:$AM$141,"QUALIFIED_SHADOW_CALL")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COUNTIFS('Picks'!$H$2:$H$141,$A14,'Picks'!$U$2:$U$141,"settled")</f>
        <v/>
      </c>
      <c r="C14" s="13">
        <f>COUNTIFS('Picks'!$H$2:$H$141,$A14,'Picks'!$U$2:$U$141,"settled",'Picks'!$V$2:$V$141,"win")</f>
        <v/>
      </c>
      <c r="D14" s="13">
        <f>COUNTIFS('Picks'!$H$2:$H$141,$A14,'Picks'!$U$2:$U$141,"settled",'Picks'!$V$2:$V$141,"loss")</f>
        <v/>
      </c>
      <c r="E14" s="14">
        <f>IFERROR(C14/(C14+D14),0)</f>
        <v/>
      </c>
      <c r="F14" s="15">
        <f>SUMIFS('Picks'!$BY$2:$BY$141,'Picks'!$H$2:$H$141,$A14)</f>
        <v/>
      </c>
      <c r="G14" s="16">
        <f>IFERROR(AVERAGEIFS('Picks'!$AB$2:$AB$141,'Picks'!$H$2:$H$141,$A14,'Picks'!$U$2:$U$141,"settled"),0)</f>
        <v/>
      </c>
    </row>
    <row r="15">
      <c r="A15" s="17" t="inlineStr">
        <is>
          <t>spread</t>
        </is>
      </c>
      <c r="B15" s="18">
        <f>COUNTIFS('Picks'!$H$2:$H$141,$A15,'Picks'!$U$2:$U$141,"settled")</f>
        <v/>
      </c>
      <c r="C15" s="18">
        <f>COUNTIFS('Picks'!$H$2:$H$141,$A15,'Picks'!$U$2:$U$141,"settled",'Picks'!$V$2:$V$141,"win")</f>
        <v/>
      </c>
      <c r="D15" s="18">
        <f>COUNTIFS('Picks'!$H$2:$H$141,$A15,'Picks'!$U$2:$U$141,"settled",'Picks'!$V$2:$V$141,"loss")</f>
        <v/>
      </c>
      <c r="E15" s="19">
        <f>IFERROR(C15/(C15+D15),0)</f>
        <v/>
      </c>
      <c r="F15" s="20">
        <f>SUMIFS('Picks'!$BY$2:$BY$141,'Picks'!$H$2:$H$141,$A15)</f>
        <v/>
      </c>
      <c r="G15" s="21">
        <f>IFERROR(AVERAGEIFS('Picks'!$AB$2:$AB$141,'Picks'!$H$2:$H$141,$A15,'Picks'!$U$2:$U$141,"settled"),0)</f>
        <v/>
      </c>
    </row>
    <row r="16">
      <c r="A16" s="12" t="inlineStr">
        <is>
          <t>total</t>
        </is>
      </c>
      <c r="B16" s="13">
        <f>COUNTIFS('Picks'!$H$2:$H$141,$A16,'Picks'!$U$2:$U$141,"settled")</f>
        <v/>
      </c>
      <c r="C16" s="13">
        <f>COUNTIFS('Picks'!$H$2:$H$141,$A16,'Picks'!$U$2:$U$141,"settled",'Picks'!$V$2:$V$141,"win")</f>
        <v/>
      </c>
      <c r="D16" s="13">
        <f>COUNTIFS('Picks'!$H$2:$H$141,$A16,'Picks'!$U$2:$U$141,"settled",'Picks'!$V$2:$V$141,"loss")</f>
        <v/>
      </c>
      <c r="E16" s="14">
        <f>IFERROR(C16/(C16+D16),0)</f>
        <v/>
      </c>
      <c r="F16" s="15">
        <f>SUMIFS('Picks'!$BY$2:$BY$141,'Picks'!$H$2:$H$141,$A16)</f>
        <v/>
      </c>
      <c r="G16" s="16">
        <f>IFERROR(AVERAGEIFS('Picks'!$AB$2:$AB$141,'Picks'!$H$2:$H$141,$A16,'Picks'!$U$2:$U$141,"settled"),0)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>
        <v>1</v>
      </c>
      <c r="BY2" s="27" t="n">
        <v>-1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>
        <v>1</v>
      </c>
      <c r="BY3" s="27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>
        <v>1</v>
      </c>
      <c r="BY4" s="27" t="n">
        <v>0.91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>
        <v>1</v>
      </c>
      <c r="BY5" s="27" t="n">
        <v>-1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>
        <v>1</v>
      </c>
      <c r="BY6" s="27" t="n">
        <v>0.91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>
        <v>1</v>
      </c>
      <c r="BY7" s="27" t="n">
        <v>-1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>
        <v>1</v>
      </c>
      <c r="BY10" s="27" t="n">
        <v>0.91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-1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-1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73f8433cce1a461e</t>
        </is>
      </c>
      <c r="B13" s="24" t="inlineStr">
        <is>
          <t>2026-08-02T06:51:56.046278Z</t>
        </is>
      </c>
      <c r="C13" s="24" t="inlineStr">
        <is>
          <t>2026-08-02T07:00:00Z</t>
        </is>
      </c>
      <c r="D13" s="24" t="inlineStr">
        <is>
          <t>66779</t>
        </is>
      </c>
      <c r="E13" s="24" t="inlineStr">
        <is>
          <t>LOL</t>
        </is>
      </c>
      <c r="F13" s="24" t="inlineStr">
        <is>
          <t>Team WE</t>
        </is>
      </c>
      <c r="G13" s="24" t="inlineStr">
        <is>
          <t>ThunderTalk Gaming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0.652554</v>
      </c>
      <c r="P13" s="28" t="n"/>
      <c r="Q13" s="28" t="n">
        <v>-0.047146</v>
      </c>
      <c r="R13" s="26" t="n">
        <v>0</v>
      </c>
      <c r="S13" s="29" t="n">
        <v>1.75</v>
      </c>
      <c r="T13" s="24" t="inlineStr">
        <is>
          <t>lol-tiered-elo-v5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-233</v>
      </c>
      <c r="AA13" s="28" t="n">
        <v>0.7</v>
      </c>
      <c r="AB13" s="28" t="n">
        <v>0.0003</v>
      </c>
      <c r="AC13" s="30" t="n">
        <v>0.7511</v>
      </c>
      <c r="AD13" s="24" t="inlineStr">
        <is>
          <t>2026-08-02T09:53:38.533320Z</t>
        </is>
      </c>
      <c r="AE13" s="31" t="inlineStr">
        <is>
          <t>Neutral Elo baseline; executable ask 0.7000 (market_slug=aec-lol-tt-we-2026-08-02).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Team WE</t>
        </is>
      </c>
      <c r="AQ13" s="24" t="inlineStr">
        <is>
          <t>Team WE</t>
        </is>
      </c>
      <c r="AR13" s="24" t="inlineStr">
        <is>
          <t>Team WE</t>
        </is>
      </c>
      <c r="AS13" s="24" t="inlineStr">
        <is>
          <t>ThunderTalk Gaming</t>
        </is>
      </c>
      <c r="AT13" s="24" t="inlineStr">
        <is>
          <t>ThunderTalk Gaming</t>
        </is>
      </c>
      <c r="AU13" s="24" t="inlineStr">
        <is>
          <t>ThunderTalk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bdf823330923d145365ad4f6a02dd0ec337f4e55dcb78716824f971491f65d6e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bdf823330923d145365ad4f6a02dd0ec337f4e55dcb78716824f971491f65d6e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2026-08-02T06:51:40.260979Z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>
        <v>1.429185</v>
      </c>
      <c r="BR13" s="28" t="n">
        <v>0.7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0.91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33757bba99024f37</t>
        </is>
      </c>
      <c r="B14" s="24" t="inlineStr">
        <is>
          <t>2026-08-02T09:59:37.296167Z</t>
        </is>
      </c>
      <c r="C14" s="24" t="inlineStr">
        <is>
          <t>2026-08-02T10:00:00Z</t>
        </is>
      </c>
      <c r="D14" s="24" t="inlineStr">
        <is>
          <t>66811</t>
        </is>
      </c>
      <c r="E14" s="24" t="inlineStr">
        <is>
          <t>LOL</t>
        </is>
      </c>
      <c r="F14" s="24" t="inlineStr">
        <is>
          <t>Ancient Ones</t>
        </is>
      </c>
      <c r="G14" s="24" t="inlineStr">
        <is>
          <t>Crystal Rose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0.614494</v>
      </c>
      <c r="P14" s="28" t="n"/>
      <c r="Q14" s="28" t="n">
        <v>0.14501</v>
      </c>
      <c r="R14" s="26" t="n">
        <v>93</v>
      </c>
      <c r="S14" s="29" t="n">
        <v>1.5</v>
      </c>
      <c r="T14" s="24" t="inlineStr">
        <is>
          <t>lol-tiered-elo-v5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113</v>
      </c>
      <c r="AA14" s="28" t="n">
        <v>0.47</v>
      </c>
      <c r="AB14" s="28" t="n">
        <v>0.000516</v>
      </c>
      <c r="AC14" s="30" t="n">
        <v>1.695</v>
      </c>
      <c r="AD14" s="24" t="inlineStr">
        <is>
          <t>2026-08-02T11:45:14.956616Z</t>
        </is>
      </c>
      <c r="AE14" s="31" t="inlineStr">
        <is>
          <t>Neutral Elo baseline; executable ask 0.4700 (market_slug=aec-lol-cr-ao-2026-08-02).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Ancient Ones</t>
        </is>
      </c>
      <c r="AQ14" s="24" t="inlineStr">
        <is>
          <t>Ancient Ones</t>
        </is>
      </c>
      <c r="AR14" s="24" t="inlineStr">
        <is>
          <t>Ancient Ones</t>
        </is>
      </c>
      <c r="AS14" s="24" t="inlineStr">
        <is>
          <t>Crystal Rose</t>
        </is>
      </c>
      <c r="AT14" s="24" t="inlineStr">
        <is>
          <t>Crystal Rose</t>
        </is>
      </c>
      <c r="AU14" s="24" t="inlineStr">
        <is>
          <t>Crystal Rose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872990f5864d469e34c183f4364739fd3897540762b962f4ec2e55405665b2e8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872990f5864d469e34c183f4364739fd3897540762b962f4ec2e55405665b2e8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2026-08-02T09:59:22.583724Z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>
        <v>2.13</v>
      </c>
      <c r="BR14" s="28" t="n">
        <v>0.47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0.91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74461a45898a4a7d</t>
        </is>
      </c>
      <c r="B15" s="24" t="inlineStr">
        <is>
          <t>2026-08-02T09:59:37.296167Z</t>
        </is>
      </c>
      <c r="C15" s="24" t="inlineStr">
        <is>
          <t>2026-08-02T11:00:00Z</t>
        </is>
      </c>
      <c r="D15" s="24" t="inlineStr">
        <is>
          <t>66837</t>
        </is>
      </c>
      <c r="E15" s="24" t="inlineStr">
        <is>
          <t>LOL</t>
        </is>
      </c>
      <c r="F15" s="24" t="inlineStr">
        <is>
          <t>Lille Esport</t>
        </is>
      </c>
      <c r="G15" s="24" t="inlineStr">
        <is>
          <t>Lausanne-Sport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100</v>
      </c>
      <c r="M15" s="27" t="n">
        <v>2</v>
      </c>
      <c r="N15" s="28" t="n">
        <v>0.5</v>
      </c>
      <c r="O15" s="28" t="n">
        <v>0.586093</v>
      </c>
      <c r="P15" s="28" t="n"/>
      <c r="Q15" s="28" t="n">
        <v>0.086093</v>
      </c>
      <c r="R15" s="26" t="n">
        <v>63</v>
      </c>
      <c r="S15" s="29" t="n">
        <v>1.25</v>
      </c>
      <c r="T15" s="24" t="inlineStr">
        <is>
          <t>lol-tiered-elo-v5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100</v>
      </c>
      <c r="AA15" s="28" t="n">
        <v>0.5</v>
      </c>
      <c r="AB15" s="28" t="n">
        <v>0</v>
      </c>
      <c r="AC15" s="30" t="n">
        <v>-1.25</v>
      </c>
      <c r="AD15" s="24" t="inlineStr">
        <is>
          <t>2026-08-02T11:45:16.142000Z</t>
        </is>
      </c>
      <c r="AE15" s="31" t="inlineStr">
        <is>
          <t>Neutral Elo baseline; executable ask 0.5000 (market_slug=aec-lol-els-lil-2026-08-02).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Lille Esport</t>
        </is>
      </c>
      <c r="AQ15" s="24" t="inlineStr">
        <is>
          <t>Lille Esport</t>
        </is>
      </c>
      <c r="AR15" s="24" t="inlineStr">
        <is>
          <t>Lille Esport</t>
        </is>
      </c>
      <c r="AS15" s="24" t="inlineStr">
        <is>
          <t>Lausanne-Sport Esports</t>
        </is>
      </c>
      <c r="AT15" s="24" t="inlineStr">
        <is>
          <t>Lausanne-Sport Esports</t>
        </is>
      </c>
      <c r="AU15" s="24" t="inlineStr">
        <is>
          <t>Lausanne-Sport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872990f5864d469e34c183f4364739fd3897540762b962f4ec2e55405665b2e8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872990f5864d469e34c183f4364739fd3897540762b962f4ec2e55405665b2e8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2026-08-02T09:59:23.587864Z</t>
        </is>
      </c>
      <c r="BI15" s="24" t="inlineStr">
        <is>
          <t>["same_event","same_team_same_day","same_league_same_day"]</t>
        </is>
      </c>
      <c r="BJ15" s="25" t="n"/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>
        <v>2</v>
      </c>
      <c r="BR15" s="28" t="n">
        <v>0.5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7b4139d22f3f4b67</t>
        </is>
      </c>
      <c r="B16" s="24" t="inlineStr">
        <is>
          <t>2026-08-02T09:59:37.296167Z</t>
        </is>
      </c>
      <c r="C16" s="24" t="inlineStr">
        <is>
          <t>2026-08-02T11:00:00Z</t>
        </is>
      </c>
      <c r="D16" s="24" t="inlineStr">
        <is>
          <t>66838</t>
        </is>
      </c>
      <c r="E16" s="24" t="inlineStr">
        <is>
          <t>LOL</t>
        </is>
      </c>
      <c r="F16" s="24" t="inlineStr">
        <is>
          <t>JD Gaming</t>
        </is>
      </c>
      <c r="G16" s="24" t="inlineStr">
        <is>
          <t>Top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0.5497840000000001</v>
      </c>
      <c r="P16" s="28" t="n"/>
      <c r="Q16" s="28" t="n">
        <v>0.010613</v>
      </c>
      <c r="R16" s="26" t="n">
        <v>25</v>
      </c>
      <c r="S16" s="29" t="n">
        <v>1</v>
      </c>
      <c r="T16" s="24" t="inlineStr">
        <is>
          <t>lol-tiered-elo-v5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-117</v>
      </c>
      <c r="AA16" s="28" t="n">
        <v>0.54</v>
      </c>
      <c r="AB16" s="28" t="n">
        <v>0.000829</v>
      </c>
      <c r="AC16" s="30" t="n">
        <v>0.8547</v>
      </c>
      <c r="AD16" s="24" t="inlineStr">
        <is>
          <t>2026-08-02T15:53:03.900779Z</t>
        </is>
      </c>
      <c r="AE16" s="31" t="inlineStr">
        <is>
          <t>Neutral Elo baseline; executable ask 0.5400 (market_slug=aec-lol-tes-jdg-2026-08-02).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JD Gaming</t>
        </is>
      </c>
      <c r="AQ16" s="24" t="inlineStr">
        <is>
          <t>JD Gaming</t>
        </is>
      </c>
      <c r="AR16" s="24" t="inlineStr">
        <is>
          <t>JD Gaming</t>
        </is>
      </c>
      <c r="AS16" s="24" t="inlineStr">
        <is>
          <t>Top Esports</t>
        </is>
      </c>
      <c r="AT16" s="24" t="inlineStr">
        <is>
          <t>Top Esports</t>
        </is>
      </c>
      <c r="AU16" s="24" t="inlineStr">
        <is>
          <t>Top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872990f5864d469e34c183f4364739fd3897540762b962f4ec2e55405665b2e8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872990f5864d469e34c183f4364739fd3897540762b962f4ec2e55405665b2e8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2026-08-02T09:59:24.043094Z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>
        <v>1.854701</v>
      </c>
      <c r="BR16" s="28" t="n">
        <v>0.54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0.91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d68cc80d286f41da</t>
        </is>
      </c>
      <c r="B17" s="24" t="inlineStr">
        <is>
          <t>2026-08-02T11:51:23.384049Z</t>
        </is>
      </c>
      <c r="C17" s="24" t="inlineStr">
        <is>
          <t>2026-08-02T12:00:00Z</t>
        </is>
      </c>
      <c r="D17" s="24" t="inlineStr">
        <is>
          <t>66847</t>
        </is>
      </c>
      <c r="E17" s="24" t="inlineStr">
        <is>
          <t>LOL</t>
        </is>
      </c>
      <c r="F17" s="24" t="inlineStr">
        <is>
          <t>Galions Sharks</t>
        </is>
      </c>
      <c r="G17" s="24" t="inlineStr">
        <is>
          <t>Karmine Corp Blue Stars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-213</v>
      </c>
      <c r="M17" s="27" t="n">
        <v>1.469484</v>
      </c>
      <c r="N17" s="28" t="n">
        <v>0.680511</v>
      </c>
      <c r="O17" s="28" t="n">
        <v>0.55445</v>
      </c>
      <c r="P17" s="28" t="n"/>
      <c r="Q17" s="28" t="n">
        <v>-0.126061</v>
      </c>
      <c r="R17" s="26" t="n">
        <v>0</v>
      </c>
      <c r="S17" s="29" t="n">
        <v>1</v>
      </c>
      <c r="T17" s="24" t="inlineStr">
        <is>
          <t>lol-tiered-elo-v5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-213</v>
      </c>
      <c r="AA17" s="28" t="n">
        <v>0.68</v>
      </c>
      <c r="AB17" s="28" t="n">
        <v>-0.000511</v>
      </c>
      <c r="AC17" s="30" t="n">
        <v>0.4695</v>
      </c>
      <c r="AD17" s="24" t="inlineStr">
        <is>
          <t>2026-08-02T13:01:29.241433Z</t>
        </is>
      </c>
      <c r="AE17" s="31" t="inlineStr">
        <is>
          <t>Neutral Elo baseline; executable ask 0.6800 (market_slug=aec-lol-kcbs-gls-2026-08-02).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Galions Sharks</t>
        </is>
      </c>
      <c r="AQ17" s="24" t="inlineStr">
        <is>
          <t>Galions Sharks</t>
        </is>
      </c>
      <c r="AR17" s="24" t="inlineStr">
        <is>
          <t>Galions Sharks</t>
        </is>
      </c>
      <c r="AS17" s="24" t="inlineStr">
        <is>
          <t>Karmine Corp Blue Stars</t>
        </is>
      </c>
      <c r="AT17" s="24" t="inlineStr">
        <is>
          <t>Karmine Corp Blue Stars</t>
        </is>
      </c>
      <c r="AU17" s="24" t="inlineStr">
        <is>
          <t>Karmine Corp Blue Stars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0b6e6d5c93b93c005802ef0c5f9541d5ee8d587023a9a0b60009a394291af476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0b6e6d5c93b93c005802ef0c5f9541d5ee8d587023a9a0b60009a394291af476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2026-08-02T11:51:10.693295Z</t>
        </is>
      </c>
      <c r="BI17" s="24" t="inlineStr">
        <is>
          <t>["same_event","same_team_same_day","same_league_same_day"]</t>
        </is>
      </c>
      <c r="BJ17" s="25" t="n"/>
      <c r="BK17" s="26" t="n">
        <v>-213</v>
      </c>
      <c r="BL17" s="27" t="n">
        <v>1.469484</v>
      </c>
      <c r="BM17" s="28" t="n">
        <v>0.680511</v>
      </c>
      <c r="BN17" s="28" t="n"/>
      <c r="BO17" s="28" t="n"/>
      <c r="BP17" s="25" t="n"/>
      <c r="BQ17" s="27" t="n">
        <v>1.469484</v>
      </c>
      <c r="BR17" s="28" t="n">
        <v>0.68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0.91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2b83893e5c494a36</t>
        </is>
      </c>
      <c r="B18" s="24" t="inlineStr">
        <is>
          <t>2026-08-02T13:07:30.652675Z</t>
        </is>
      </c>
      <c r="C18" s="24" t="inlineStr">
        <is>
          <t>2026-08-02T14:00:00Z</t>
        </is>
      </c>
      <c r="D18" s="24" t="inlineStr">
        <is>
          <t>66876</t>
        </is>
      </c>
      <c r="E18" s="24" t="inlineStr">
        <is>
          <t>LOL</t>
        </is>
      </c>
      <c r="F18" s="24" t="inlineStr">
        <is>
          <t>Caldya Esport</t>
        </is>
      </c>
      <c r="G18" s="24" t="inlineStr">
        <is>
          <t>Zephyr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186</v>
      </c>
      <c r="M18" s="27" t="n">
        <v>2.86</v>
      </c>
      <c r="N18" s="28" t="n">
        <v>0.34965</v>
      </c>
      <c r="O18" s="28" t="n">
        <v>0.526683</v>
      </c>
      <c r="P18" s="28" t="n"/>
      <c r="Q18" s="28" t="n">
        <v>0.177033</v>
      </c>
      <c r="R18" s="26" t="n">
        <v>100</v>
      </c>
      <c r="S18" s="29" t="n">
        <v>1</v>
      </c>
      <c r="T18" s="24" t="inlineStr">
        <is>
          <t>lol-tiered-elo-v5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186</v>
      </c>
      <c r="AA18" s="28" t="n">
        <v>0.35</v>
      </c>
      <c r="AB18" s="28" t="n">
        <v>0.00035</v>
      </c>
      <c r="AC18" s="30" t="n">
        <v>-1</v>
      </c>
      <c r="AD18" s="24" t="inlineStr">
        <is>
          <t>2026-08-02T15:53:05.143124Z</t>
        </is>
      </c>
      <c r="AE18" s="31" t="inlineStr">
        <is>
          <t>Neutral Elo baseline; executable ask 0.3500 (market_slug=aec-lol-zpr-cla-2026-08-02).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Caldya Esport</t>
        </is>
      </c>
      <c r="AQ18" s="24" t="inlineStr">
        <is>
          <t>Caldya Esport</t>
        </is>
      </c>
      <c r="AR18" s="24" t="inlineStr">
        <is>
          <t>Caldya Esport</t>
        </is>
      </c>
      <c r="AS18" s="24" t="inlineStr">
        <is>
          <t>Zephyr Esport</t>
        </is>
      </c>
      <c r="AT18" s="24" t="inlineStr">
        <is>
          <t>Zephyr Esport</t>
        </is>
      </c>
      <c r="AU18" s="24" t="inlineStr">
        <is>
          <t>Zephyr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20de1d712cda0a66426c95ed103aa2e610c5fbde0bd61721abf492218cad1cd2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20de1d712cda0a66426c95ed103aa2e610c5fbde0bd61721abf492218cad1cd2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2026-08-02T13:07:18.920620Z</t>
        </is>
      </c>
      <c r="BI18" s="24" t="inlineStr">
        <is>
          <t>["same_event","same_team_same_day","same_league_same_day"]</t>
        </is>
      </c>
      <c r="BJ18" s="25" t="n"/>
      <c r="BK18" s="26" t="n">
        <v>186</v>
      </c>
      <c r="BL18" s="27" t="n">
        <v>2.86</v>
      </c>
      <c r="BM18" s="28" t="n">
        <v>0.34965</v>
      </c>
      <c r="BN18" s="28" t="n"/>
      <c r="BO18" s="28" t="n"/>
      <c r="BP18" s="25" t="n"/>
      <c r="BQ18" s="27" t="n">
        <v>2.86</v>
      </c>
      <c r="BR18" s="28" t="n">
        <v>0.35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3afbf086a69f4a1f</t>
        </is>
      </c>
      <c r="B19" s="24" t="inlineStr">
        <is>
          <t>2026-08-02T15:51:19.985321Z</t>
        </is>
      </c>
      <c r="C19" s="24" t="inlineStr">
        <is>
          <t>2026-08-02T16:00:00Z</t>
        </is>
      </c>
      <c r="D19" s="24" t="inlineStr">
        <is>
          <t>66902</t>
        </is>
      </c>
      <c r="E19" s="24" t="inlineStr">
        <is>
          <t>LOL</t>
        </is>
      </c>
      <c r="F19" s="24" t="inlineStr">
        <is>
          <t>LOUD</t>
        </is>
      </c>
      <c r="G19" s="24" t="inlineStr">
        <is>
          <t>Fluxo W7M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-117</v>
      </c>
      <c r="M19" s="27" t="n">
        <v>1.854701</v>
      </c>
      <c r="N19" s="28" t="n">
        <v>0.539171</v>
      </c>
      <c r="O19" s="28" t="n">
        <v>0.558818</v>
      </c>
      <c r="P19" s="28" t="n"/>
      <c r="Q19" s="28" t="n">
        <v>0.019647</v>
      </c>
      <c r="R19" s="26" t="n">
        <v>30</v>
      </c>
      <c r="S19" s="29" t="n">
        <v>1</v>
      </c>
      <c r="T19" s="24" t="inlineStr">
        <is>
          <t>lol-tiered-elo-v5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-117</v>
      </c>
      <c r="AA19" s="28" t="n">
        <v>0.54</v>
      </c>
      <c r="AB19" s="28" t="n">
        <v>0.000829</v>
      </c>
      <c r="AC19" s="30" t="n">
        <v>0.8547</v>
      </c>
      <c r="AD19" s="24" t="inlineStr">
        <is>
          <t>2026-08-02T17:34:43.910160Z</t>
        </is>
      </c>
      <c r="AE19" s="31" t="inlineStr">
        <is>
          <t>Neutral Elo baseline; executable ask 0.5400 (market_slug=aec-lol-fxw7-lll-2026-08-02).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LOUD</t>
        </is>
      </c>
      <c r="AQ19" s="24" t="inlineStr">
        <is>
          <t>LOUD</t>
        </is>
      </c>
      <c r="AR19" s="24" t="inlineStr">
        <is>
          <t>LOUD</t>
        </is>
      </c>
      <c r="AS19" s="24" t="inlineStr">
        <is>
          <t>Fluxo W7M</t>
        </is>
      </c>
      <c r="AT19" s="24" t="inlineStr">
        <is>
          <t>Fluxo W7M</t>
        </is>
      </c>
      <c r="AU19" s="24" t="inlineStr">
        <is>
          <t>Fluxo W7M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4ef0b19fe97fa070abfaae40ffb41addfe8947e35583480b0b6feebe14b9f7ac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4ef0b19fe97fa070abfaae40ffb41addfe8947e35583480b0b6feebe14b9f7ac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2026-08-02T15:51:09.199778Z</t>
        </is>
      </c>
      <c r="BI19" s="24" t="inlineStr">
        <is>
          <t>["same_event","same_team_same_day","same_league_same_day"]</t>
        </is>
      </c>
      <c r="BJ19" s="25" t="n"/>
      <c r="BK19" s="26" t="n">
        <v>-117</v>
      </c>
      <c r="BL19" s="27" t="n">
        <v>1.854701</v>
      </c>
      <c r="BM19" s="28" t="n">
        <v>0.539171</v>
      </c>
      <c r="BN19" s="28" t="n"/>
      <c r="BO19" s="28" t="n"/>
      <c r="BP19" s="25" t="n"/>
      <c r="BQ19" s="27" t="n">
        <v>1.854701</v>
      </c>
      <c r="BR19" s="28" t="n">
        <v>0.54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0.91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12fc8231d03748b7</t>
        </is>
      </c>
      <c r="B20" s="24" t="inlineStr">
        <is>
          <t>2026-08-02T16:53:11.967172Z</t>
        </is>
      </c>
      <c r="C20" s="24" t="inlineStr">
        <is>
          <t>2026-08-02T17:15:00Z</t>
        </is>
      </c>
      <c r="D20" s="24" t="inlineStr">
        <is>
          <t>66955</t>
        </is>
      </c>
      <c r="E20" s="24" t="inlineStr">
        <is>
          <t>LOL</t>
        </is>
      </c>
      <c r="F20" s="24" t="inlineStr">
        <is>
          <t>Movistar KOI</t>
        </is>
      </c>
      <c r="G20" s="24" t="inlineStr">
        <is>
          <t>Fnatic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0.592731</v>
      </c>
      <c r="P20" s="28" t="n"/>
      <c r="Q20" s="28" t="n">
        <v>-0.057619</v>
      </c>
      <c r="R20" s="26" t="n">
        <v>0</v>
      </c>
      <c r="S20" s="29" t="n">
        <v>1.25</v>
      </c>
      <c r="T20" s="24" t="inlineStr">
        <is>
          <t>lol-tiered-elo-v5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-186</v>
      </c>
      <c r="AA20" s="28" t="n">
        <v>0.65</v>
      </c>
      <c r="AB20" s="28" t="n">
        <v>-0.00035</v>
      </c>
      <c r="AC20" s="30" t="n">
        <v>0.672</v>
      </c>
      <c r="AD20" s="24" t="inlineStr">
        <is>
          <t>2026-08-02T23:13:21.369953Z</t>
        </is>
      </c>
      <c r="AE20" s="31" t="inlineStr">
        <is>
          <t>Neutral Elo baseline; executable ask 0.6500 (market_slug=aec-lol-fnc-mkoi-2026-08-02).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Movistar KOI</t>
        </is>
      </c>
      <c r="AQ20" s="24" t="inlineStr">
        <is>
          <t>Movistar KOI</t>
        </is>
      </c>
      <c r="AR20" s="24" t="inlineStr">
        <is>
          <t>Movistar KOI</t>
        </is>
      </c>
      <c r="AS20" s="24" t="inlineStr">
        <is>
          <t>Fnatic</t>
        </is>
      </c>
      <c r="AT20" s="24" t="inlineStr">
        <is>
          <t>Fnatic</t>
        </is>
      </c>
      <c r="AU20" s="24" t="inlineStr">
        <is>
          <t>Fnatic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7a524d830547b62f7f9c941aadbdf0fc52dbd67b16b701b974612cc0a7507dd8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7a524d830547b62f7f9c941aadbdf0fc52dbd67b16b701b974612cc0a7507dd8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2026-08-02T16:53:02.304568Z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>
        <v>1.537634</v>
      </c>
      <c r="BR20" s="28" t="n">
        <v>0.65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0.91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ec894d2a1ca74d47</t>
        </is>
      </c>
      <c r="B21" s="24" t="inlineStr">
        <is>
          <t>2026-08-03T06:30:34.654651Z</t>
        </is>
      </c>
      <c r="C21" s="24" t="inlineStr">
        <is>
          <t>2026-08-03T08:00:00Z</t>
        </is>
      </c>
      <c r="D21" s="24" t="inlineStr">
        <is>
          <t>67491</t>
        </is>
      </c>
      <c r="E21" s="24" t="inlineStr">
        <is>
          <t>LOL</t>
        </is>
      </c>
      <c r="F21" s="24" t="inlineStr">
        <is>
          <t>Hanwha Life Esports</t>
        </is>
      </c>
      <c r="G21" s="24" t="inlineStr">
        <is>
          <t>Gen.G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-113</v>
      </c>
      <c r="M21" s="27" t="n">
        <v>1.884956</v>
      </c>
      <c r="N21" s="28" t="n">
        <v>0.530516</v>
      </c>
      <c r="O21" s="28" t="n">
        <v>0.536423</v>
      </c>
      <c r="P21" s="28" t="n"/>
      <c r="Q21" s="28" t="n">
        <v>0.005907</v>
      </c>
      <c r="R21" s="26" t="n">
        <v>23</v>
      </c>
      <c r="S21" s="29" t="n">
        <v>1</v>
      </c>
      <c r="T21" s="24" t="inlineStr">
        <is>
          <t>lol-tiered-elo-v5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>
        <v>-113</v>
      </c>
      <c r="AA21" s="28" t="n">
        <v>0.53</v>
      </c>
      <c r="AB21" s="28" t="n">
        <v>-0.000516</v>
      </c>
      <c r="AC21" s="30" t="n">
        <v>0.885</v>
      </c>
      <c r="AD21" s="24" t="inlineStr">
        <is>
          <t>2026-08-03T10:06:50.751709Z</t>
        </is>
      </c>
      <c r="AE21" s="31" t="inlineStr">
        <is>
          <t>Neutral Elo baseline; executable ask 0.5300 (market_slug=aec-lol-gen-hle-2026-08-03).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Hanwha Life Esports</t>
        </is>
      </c>
      <c r="AQ21" s="24" t="inlineStr">
        <is>
          <t>Hanwha Life Esports</t>
        </is>
      </c>
      <c r="AR21" s="24" t="inlineStr">
        <is>
          <t>Hanwha Life Esports</t>
        </is>
      </c>
      <c r="AS21" s="24" t="inlineStr">
        <is>
          <t>Gen.G</t>
        </is>
      </c>
      <c r="AT21" s="24" t="inlineStr">
        <is>
          <t>Gen.G</t>
        </is>
      </c>
      <c r="AU21" s="24" t="inlineStr">
        <is>
          <t>Gen.G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ff2b770f59073a39e60976cbc1ae4f05ce9c0ac0477f1609e756119cbdd7431b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ff2b770f59073a39e60976cbc1ae4f05ce9c0ac0477f1609e756119cbdd7431b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2026-08-03T06:30:12.139868Z</t>
        </is>
      </c>
      <c r="BI21" s="24" t="inlineStr">
        <is>
          <t>["same_event","same_team_same_day","same_league_same_day"]</t>
        </is>
      </c>
      <c r="BJ21" s="25" t="n"/>
      <c r="BK21" s="26" t="n">
        <v>-113</v>
      </c>
      <c r="BL21" s="27" t="n">
        <v>1.884956</v>
      </c>
      <c r="BM21" s="28" t="n">
        <v>0.530516</v>
      </c>
      <c r="BN21" s="28" t="n"/>
      <c r="BO21" s="28" t="n"/>
      <c r="BP21" s="25" t="n"/>
      <c r="BQ21" s="27" t="n">
        <v>1.884956</v>
      </c>
      <c r="BR21" s="28" t="n">
        <v>0.53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0.91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189c180a73404fa7</t>
        </is>
      </c>
      <c r="B22" s="24" t="inlineStr">
        <is>
          <t>2026-08-03T06:30:34.654651Z</t>
        </is>
      </c>
      <c r="C22" s="24" t="inlineStr">
        <is>
          <t>2026-08-03T10:00:00Z</t>
        </is>
      </c>
      <c r="D22" s="24" t="inlineStr">
        <is>
          <t>67511</t>
        </is>
      </c>
      <c r="E22" s="24" t="inlineStr">
        <is>
          <t>LOL</t>
        </is>
      </c>
      <c r="F22" s="24" t="inlineStr">
        <is>
          <t>Dplus KIA Challengers</t>
        </is>
      </c>
      <c r="G22" s="24" t="inlineStr">
        <is>
          <t>DN SOOPers Challengers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-170</v>
      </c>
      <c r="M22" s="27" t="n">
        <v>1.588235</v>
      </c>
      <c r="N22" s="28" t="n">
        <v>0.62963</v>
      </c>
      <c r="O22" s="28" t="n">
        <v>0.703892</v>
      </c>
      <c r="P22" s="28" t="n"/>
      <c r="Q22" s="28" t="n">
        <v>0.07426199999999999</v>
      </c>
      <c r="R22" s="26" t="n">
        <v>57</v>
      </c>
      <c r="S22" s="29" t="n">
        <v>2</v>
      </c>
      <c r="T22" s="24" t="inlineStr">
        <is>
          <t>lol-tiered-elo-v5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-170</v>
      </c>
      <c r="AA22" s="28" t="n">
        <v>0.63</v>
      </c>
      <c r="AB22" s="28" t="n">
        <v>0.00037</v>
      </c>
      <c r="AC22" s="30" t="n">
        <v>-2</v>
      </c>
      <c r="AD22" s="24" t="inlineStr">
        <is>
          <t>2026-08-03T13:27:30.699600Z</t>
        </is>
      </c>
      <c r="AE22" s="31" t="inlineStr">
        <is>
          <t>Neutral Elo baseline; executable ask 0.6300 (market_slug=aec-lol-dnsc-dkc-2026-08-03).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Dplus KIA Challengers</t>
        </is>
      </c>
      <c r="AQ22" s="24" t="inlineStr">
        <is>
          <t>Dplus KIA Challengers</t>
        </is>
      </c>
      <c r="AR22" s="24" t="inlineStr">
        <is>
          <t>Dplus KIA Challengers</t>
        </is>
      </c>
      <c r="AS22" s="24" t="inlineStr">
        <is>
          <t>DN SOOPers Challengers</t>
        </is>
      </c>
      <c r="AT22" s="24" t="inlineStr">
        <is>
          <t>DN SOOPers Challengers</t>
        </is>
      </c>
      <c r="AU22" s="24" t="inlineStr">
        <is>
          <t>DN SOOPers Challengers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ff2b770f59073a39e60976cbc1ae4f05ce9c0ac0477f1609e756119cbdd7431b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ff2b770f59073a39e60976cbc1ae4f05ce9c0ac0477f1609e756119cbdd7431b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2026-08-03T06:30:13.245481Z</t>
        </is>
      </c>
      <c r="BI22" s="24" t="inlineStr">
        <is>
          <t>["same_event","same_team_same_day","same_league_same_day"]</t>
        </is>
      </c>
      <c r="BJ22" s="25" t="n"/>
      <c r="BK22" s="26" t="n">
        <v>-170</v>
      </c>
      <c r="BL22" s="27" t="n">
        <v>1.588235</v>
      </c>
      <c r="BM22" s="28" t="n">
        <v>0.62963</v>
      </c>
      <c r="BN22" s="28" t="n"/>
      <c r="BO22" s="28" t="n"/>
      <c r="BP22" s="25" t="n"/>
      <c r="BQ22" s="27" t="n">
        <v>1.588235</v>
      </c>
      <c r="BR22" s="28" t="n">
        <v>0.63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48604a24f80c46ae</t>
        </is>
      </c>
      <c r="B23" s="24" t="inlineStr">
        <is>
          <t>2026-08-03T13:30:58.881408Z</t>
        </is>
      </c>
      <c r="C23" s="24" t="inlineStr">
        <is>
          <t>2026-08-03T15:00:00Z</t>
        </is>
      </c>
      <c r="D23" s="24" t="inlineStr">
        <is>
          <t>67566</t>
        </is>
      </c>
      <c r="E23" s="24" t="inlineStr">
        <is>
          <t>LOL</t>
        </is>
      </c>
      <c r="F23" s="24" t="inlineStr">
        <is>
          <t>Shifters</t>
        </is>
      </c>
      <c r="G23" s="24" t="inlineStr">
        <is>
          <t>Natus Vincere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0.745478</v>
      </c>
      <c r="P23" s="28" t="n"/>
      <c r="Q23" s="28" t="n">
        <v>0.055076</v>
      </c>
      <c r="R23" s="26" t="n">
        <v>48</v>
      </c>
      <c r="S23" s="29" t="n">
        <v>2</v>
      </c>
      <c r="T23" s="24" t="inlineStr">
        <is>
          <t>lol-tiered-elo-v5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-223</v>
      </c>
      <c r="AA23" s="28" t="n">
        <v>0.6899999999999999</v>
      </c>
      <c r="AB23" s="28" t="n">
        <v>-0.000402</v>
      </c>
      <c r="AC23" s="30" t="n">
        <v>0.8969</v>
      </c>
      <c r="AD23" s="24" t="inlineStr">
        <is>
          <t>2026-08-03T17:05:58.041180Z</t>
        </is>
      </c>
      <c r="AE23" s="31" t="inlineStr">
        <is>
          <t>Neutral Elo baseline; executable ask 0.6900 (market_slug=aec-lol-navi-shft-2026-08-03).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Shifters</t>
        </is>
      </c>
      <c r="AQ23" s="24" t="inlineStr">
        <is>
          <t>Shifters</t>
        </is>
      </c>
      <c r="AR23" s="24" t="inlineStr">
        <is>
          <t>Shifters</t>
        </is>
      </c>
      <c r="AS23" s="24" t="inlineStr">
        <is>
          <t>Natus Vincere</t>
        </is>
      </c>
      <c r="AT23" s="24" t="inlineStr">
        <is>
          <t>Natus Vincere</t>
        </is>
      </c>
      <c r="AU23" s="24" t="inlineStr">
        <is>
          <t>Natus Vincere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8e100718c38982e9b6a67d6c835251aad775fa6c0f7d64cbcae66021f2cd7f9c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8e100718c38982e9b6a67d6c835251aad775fa6c0f7d64cbcae66021f2cd7f9c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2026-08-03T13:30:33.645010Z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>
        <v>1.44843</v>
      </c>
      <c r="BR23" s="28" t="n">
        <v>0.6899999999999999</v>
      </c>
      <c r="BS23" s="28" t="n"/>
      <c r="BT23" s="28" t="n"/>
      <c r="BU23" s="25" t="n"/>
      <c r="BV23" s="29" t="n"/>
      <c r="BW23" s="24" t="n"/>
      <c r="BX23" s="30" t="n">
        <v>1</v>
      </c>
      <c r="BY23" s="27" t="n">
        <v>0.91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041c950aba214cca</t>
        </is>
      </c>
      <c r="B24" s="24" t="inlineStr">
        <is>
          <t>2026-08-03T17:09:03.086605Z</t>
        </is>
      </c>
      <c r="C24" s="24" t="inlineStr">
        <is>
          <t>2026-08-03T18:00:00Z</t>
        </is>
      </c>
      <c r="D24" s="24" t="inlineStr">
        <is>
          <t>67655</t>
        </is>
      </c>
      <c r="E24" s="24" t="inlineStr">
        <is>
          <t>LOL</t>
        </is>
      </c>
      <c r="F24" s="24" t="inlineStr">
        <is>
          <t>Lundqvist Lightside</t>
        </is>
      </c>
      <c r="G24" s="24" t="inlineStr">
        <is>
          <t>LEO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-203</v>
      </c>
      <c r="M24" s="27" t="n">
        <v>1.492611</v>
      </c>
      <c r="N24" s="28" t="n">
        <v>0.669967</v>
      </c>
      <c r="O24" s="28" t="n">
        <v>0.617946</v>
      </c>
      <c r="P24" s="28" t="n"/>
      <c r="Q24" s="28" t="n">
        <v>-0.052021</v>
      </c>
      <c r="R24" s="26" t="n">
        <v>0</v>
      </c>
      <c r="S24" s="29" t="n">
        <v>1.5</v>
      </c>
      <c r="T24" s="24" t="inlineStr">
        <is>
          <t>lol-tiered-elo-v5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-203</v>
      </c>
      <c r="AA24" s="28" t="n">
        <v>0.67</v>
      </c>
      <c r="AB24" s="28" t="n">
        <v>3.3e-05</v>
      </c>
      <c r="AC24" s="30" t="n">
        <v>-1.5</v>
      </c>
      <c r="AD24" s="24" t="inlineStr">
        <is>
          <t>2026-08-03T22:55:40.163072Z</t>
        </is>
      </c>
      <c r="AE24" s="31" t="inlineStr">
        <is>
          <t>Neutral Elo baseline; executable ask 0.6700 (market_slug=aec-lol-leo-ll-2026-08-03).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Lundqvist Lightside</t>
        </is>
      </c>
      <c r="AQ24" s="24" t="inlineStr">
        <is>
          <t>Lundqvist Lightside</t>
        </is>
      </c>
      <c r="AR24" s="24" t="inlineStr">
        <is>
          <t>Lundqvist Lightside</t>
        </is>
      </c>
      <c r="AS24" s="24" t="inlineStr">
        <is>
          <t>LEO</t>
        </is>
      </c>
      <c r="AT24" s="24" t="inlineStr">
        <is>
          <t>LEO</t>
        </is>
      </c>
      <c r="AU24" s="24" t="inlineStr">
        <is>
          <t>LEO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efcbb93ea7594fbafcf9325219d1c95ecb0ddde1698943dd2007a07a55350fa4</t>
        </is>
      </c>
      <c r="BB24" s="24" t="inlineStr">
        <is>
          <t>neutral_elo</t>
        </is>
      </c>
      <c r="BC24" s="24" t="inlineStr">
        <is>
          <t>lol-tiered-elo-v5</t>
        </is>
      </c>
      <c r="BD24" s="24" t="inlineStr">
        <is>
          <t>efcbb93ea7594fbafcf9325219d1c95ecb0ddde1698943dd2007a07a55350fa4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lol-tiered-elo-v5</t>
        </is>
      </c>
      <c r="BH24" s="24" t="inlineStr">
        <is>
          <t>2026-08-03T17:08:42.741673Z</t>
        </is>
      </c>
      <c r="BI24" s="24" t="inlineStr">
        <is>
          <t>["same_event","same_team_same_day","same_league_same_day"]</t>
        </is>
      </c>
      <c r="BJ24" s="25" t="n"/>
      <c r="BK24" s="26" t="n">
        <v>-203</v>
      </c>
      <c r="BL24" s="27" t="n">
        <v>1.492611</v>
      </c>
      <c r="BM24" s="28" t="n">
        <v>0.669967</v>
      </c>
      <c r="BN24" s="28" t="n"/>
      <c r="BO24" s="28" t="n"/>
      <c r="BP24" s="25" t="n"/>
      <c r="BQ24" s="27" t="n">
        <v>1.492611</v>
      </c>
      <c r="BR24" s="28" t="n">
        <v>0.67</v>
      </c>
      <c r="BS24" s="28" t="n"/>
      <c r="BT24" s="28" t="n"/>
      <c r="BU24" s="25" t="n"/>
      <c r="BV24" s="29" t="n"/>
      <c r="BW24" s="24" t="n"/>
      <c r="BX24" s="30" t="n">
        <v>1</v>
      </c>
      <c r="BY24" s="27" t="n">
        <v>-1</v>
      </c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</row>
    <row r="25" ht="36" customHeight="1">
      <c r="A25" s="24" t="inlineStr">
        <is>
          <t>809bba47d823450b</t>
        </is>
      </c>
      <c r="B25" s="24" t="inlineStr">
        <is>
          <t>2026-08-03T17:09:03.086605Z</t>
        </is>
      </c>
      <c r="C25" s="24" t="inlineStr">
        <is>
          <t>2026-08-03T19:00:00Z</t>
        </is>
      </c>
      <c r="D25" s="24" t="inlineStr">
        <is>
          <t>63451</t>
        </is>
      </c>
      <c r="E25" s="24" t="inlineStr">
        <is>
          <t>LOL</t>
        </is>
      </c>
      <c r="F25" s="24" t="inlineStr">
        <is>
          <t>Vivo Keyd Stars Academy</t>
        </is>
      </c>
      <c r="G25" s="24" t="inlineStr">
        <is>
          <t>Team Solid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-223</v>
      </c>
      <c r="M25" s="27" t="n">
        <v>1.44843</v>
      </c>
      <c r="N25" s="28" t="n">
        <v>0.690402</v>
      </c>
      <c r="O25" s="28" t="n">
        <v>0.727674</v>
      </c>
      <c r="P25" s="28" t="n"/>
      <c r="Q25" s="28" t="n">
        <v>0.037272</v>
      </c>
      <c r="R25" s="26" t="n">
        <v>39</v>
      </c>
      <c r="S25" s="29" t="n">
        <v>2</v>
      </c>
      <c r="T25" s="24" t="inlineStr">
        <is>
          <t>lol-tiered-elo-v5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>
        <v>-223</v>
      </c>
      <c r="AA25" s="28" t="n">
        <v>0.6899999999999999</v>
      </c>
      <c r="AB25" s="28" t="n">
        <v>-0.000402</v>
      </c>
      <c r="AC25" s="30" t="n">
        <v>-2</v>
      </c>
      <c r="AD25" s="24" t="inlineStr">
        <is>
          <t>2026-08-03T19:52:08.258946Z</t>
        </is>
      </c>
      <c r="AE25" s="31" t="inlineStr">
        <is>
          <t>Neutral Elo baseline; executable ask 0.6900 (market_slug=aec-lol-tse-vksa-2026-07-30).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Vivo Keyd Stars Academy</t>
        </is>
      </c>
      <c r="AQ25" s="24" t="inlineStr">
        <is>
          <t>Vivo Keyd Stars Academy</t>
        </is>
      </c>
      <c r="AR25" s="24" t="inlineStr">
        <is>
          <t>Vivo Keyd Stars Academy</t>
        </is>
      </c>
      <c r="AS25" s="24" t="inlineStr">
        <is>
          <t>Team Solid</t>
        </is>
      </c>
      <c r="AT25" s="24" t="inlineStr">
        <is>
          <t>Team Solid</t>
        </is>
      </c>
      <c r="AU25" s="24" t="inlineStr">
        <is>
          <t>Team Solid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efcbb93ea7594fbafcf9325219d1c95ecb0ddde1698943dd2007a07a55350fa4</t>
        </is>
      </c>
      <c r="BB25" s="24" t="inlineStr">
        <is>
          <t>neutral_elo</t>
        </is>
      </c>
      <c r="BC25" s="24" t="inlineStr">
        <is>
          <t>lol-tiered-elo-v5</t>
        </is>
      </c>
      <c r="BD25" s="24" t="inlineStr">
        <is>
          <t>efcbb93ea7594fbafcf9325219d1c95ecb0ddde1698943dd2007a07a55350fa4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lol-tiered-elo-v5</t>
        </is>
      </c>
      <c r="BH25" s="24" t="inlineStr">
        <is>
          <t>2026-08-03T17:08:43.723243Z</t>
        </is>
      </c>
      <c r="BI25" s="24" t="inlineStr">
        <is>
          <t>["same_event","same_team_same_day","same_league_same_day"]</t>
        </is>
      </c>
      <c r="BJ25" s="25" t="n"/>
      <c r="BK25" s="26" t="n">
        <v>-223</v>
      </c>
      <c r="BL25" s="27" t="n">
        <v>1.44843</v>
      </c>
      <c r="BM25" s="28" t="n">
        <v>0.690402</v>
      </c>
      <c r="BN25" s="28" t="n"/>
      <c r="BO25" s="28" t="n"/>
      <c r="BP25" s="25" t="n"/>
      <c r="BQ25" s="27" t="n">
        <v>1.44843</v>
      </c>
      <c r="BR25" s="28" t="n">
        <v>0.6899999999999999</v>
      </c>
      <c r="BS25" s="28" t="n"/>
      <c r="BT25" s="28" t="n"/>
      <c r="BU25" s="25" t="n"/>
      <c r="BV25" s="29" t="n"/>
      <c r="BW25" s="24" t="n"/>
      <c r="BX25" s="30" t="n">
        <v>1</v>
      </c>
      <c r="BY25" s="27" t="n">
        <v>-1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f63ed8330d2b456d</t>
        </is>
      </c>
      <c r="B26" s="24" t="inlineStr">
        <is>
          <t>2026-08-03T19:55:05.099553Z</t>
        </is>
      </c>
      <c r="C26" s="24" t="inlineStr">
        <is>
          <t>2026-08-03T20:00:00Z</t>
        </is>
      </c>
      <c r="D26" s="24" t="inlineStr">
        <is>
          <t>67937</t>
        </is>
      </c>
      <c r="E26" s="24" t="inlineStr">
        <is>
          <t>LOL</t>
        </is>
      </c>
      <c r="F26" s="24" t="inlineStr">
        <is>
          <t>Docta Esports</t>
        </is>
      </c>
      <c r="G26" s="24" t="inlineStr">
        <is>
          <t>Volticons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-233</v>
      </c>
      <c r="M26" s="27" t="n">
        <v>1.429185</v>
      </c>
      <c r="N26" s="28" t="n">
        <v>0.6997</v>
      </c>
      <c r="O26" s="28" t="n">
        <v>0.648218</v>
      </c>
      <c r="P26" s="28" t="n"/>
      <c r="Q26" s="28" t="n">
        <v>-0.051482</v>
      </c>
      <c r="R26" s="26" t="n">
        <v>0</v>
      </c>
      <c r="S26" s="29" t="n">
        <v>1.75</v>
      </c>
      <c r="T26" s="24" t="inlineStr">
        <is>
          <t>lol-tiered-elo-v5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-233</v>
      </c>
      <c r="AA26" s="28" t="n">
        <v>0.7</v>
      </c>
      <c r="AB26" s="28" t="n">
        <v>0.0003</v>
      </c>
      <c r="AC26" s="30" t="n">
        <v>-1.75</v>
      </c>
      <c r="AD26" s="24" t="inlineStr">
        <is>
          <t>2026-08-04T01:58:52.039236Z</t>
        </is>
      </c>
      <c r="AE26" s="31" t="inlineStr">
        <is>
          <t>Neutral Elo baseline; executable ask 0.7000 (market_slug=aec-lol-vtc-doh-2026-08-03).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Docta Esports</t>
        </is>
      </c>
      <c r="AQ26" s="24" t="inlineStr">
        <is>
          <t>Docta Esports</t>
        </is>
      </c>
      <c r="AR26" s="24" t="inlineStr">
        <is>
          <t>Docta Esports</t>
        </is>
      </c>
      <c r="AS26" s="24" t="inlineStr">
        <is>
          <t>Volticons</t>
        </is>
      </c>
      <c r="AT26" s="24" t="inlineStr">
        <is>
          <t>Volticons</t>
        </is>
      </c>
      <c r="AU26" s="24" t="inlineStr">
        <is>
          <t>Volticons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9ed3b7c0f543c614a78fccecbb0979eec8778e51fbb9fd911e0de01bc829c3f7</t>
        </is>
      </c>
      <c r="BB26" s="24" t="inlineStr">
        <is>
          <t>neutral_elo</t>
        </is>
      </c>
      <c r="BC26" s="24" t="inlineStr">
        <is>
          <t>lol-tiered-elo-v5</t>
        </is>
      </c>
      <c r="BD26" s="24" t="inlineStr">
        <is>
          <t>9ed3b7c0f543c614a78fccecbb0979eec8778e51fbb9fd911e0de01bc829c3f7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lol-tiered-elo-v5</t>
        </is>
      </c>
      <c r="BH26" s="24" t="inlineStr">
        <is>
          <t>2026-08-03T19:54:45.717086Z</t>
        </is>
      </c>
      <c r="BI26" s="24" t="inlineStr">
        <is>
          <t>["same_event","same_team_same_day","same_league_same_day"]</t>
        </is>
      </c>
      <c r="BJ26" s="25" t="n"/>
      <c r="BK26" s="26" t="n">
        <v>-233</v>
      </c>
      <c r="BL26" s="27" t="n">
        <v>1.429185</v>
      </c>
      <c r="BM26" s="28" t="n">
        <v>0.6997</v>
      </c>
      <c r="BN26" s="28" t="n"/>
      <c r="BO26" s="28" t="n"/>
      <c r="BP26" s="25" t="n"/>
      <c r="BQ26" s="27" t="n">
        <v>1.429185</v>
      </c>
      <c r="BR26" s="28" t="n">
        <v>0.7</v>
      </c>
      <c r="BS26" s="28" t="n"/>
      <c r="BT26" s="28" t="n"/>
      <c r="BU26" s="25" t="n"/>
      <c r="BV26" s="29" t="n"/>
      <c r="BW26" s="24" t="n"/>
      <c r="BX26" s="30" t="n">
        <v>1</v>
      </c>
      <c r="BY26" s="27" t="n">
        <v>-1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</row>
    <row r="27" ht="36" customHeight="1">
      <c r="A27" s="24" t="inlineStr">
        <is>
          <t>4f3d9aa6fc9b4d2c</t>
        </is>
      </c>
      <c r="B27" s="24" t="inlineStr">
        <is>
          <t>2026-08-03T19:55:05.099553Z</t>
        </is>
      </c>
      <c r="C27" s="24" t="inlineStr">
        <is>
          <t>2026-08-03T20:00:00Z</t>
        </is>
      </c>
      <c r="D27" s="24" t="inlineStr">
        <is>
          <t>67938</t>
        </is>
      </c>
      <c r="E27" s="24" t="inlineStr">
        <is>
          <t>LOL</t>
        </is>
      </c>
      <c r="F27" s="24" t="inlineStr">
        <is>
          <t>Ei Nerd Esports</t>
        </is>
      </c>
      <c r="G27" s="24" t="inlineStr">
        <is>
          <t>RMD Gaming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-233</v>
      </c>
      <c r="M27" s="27" t="n">
        <v>1.429185</v>
      </c>
      <c r="N27" s="28" t="n">
        <v>0.6997</v>
      </c>
      <c r="O27" s="28" t="n">
        <v>0.623328</v>
      </c>
      <c r="P27" s="28" t="n"/>
      <c r="Q27" s="28" t="n">
        <v>-0.076372</v>
      </c>
      <c r="R27" s="26" t="n">
        <v>0</v>
      </c>
      <c r="S27" s="29" t="n">
        <v>1.5</v>
      </c>
      <c r="T27" s="24" t="inlineStr">
        <is>
          <t>lol-tiered-elo-v5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0.0003</v>
      </c>
      <c r="AC27" s="30" t="n">
        <v>-1.5</v>
      </c>
      <c r="AD27" s="24" t="inlineStr">
        <is>
          <t>2026-08-03T22:55:42.656458Z</t>
        </is>
      </c>
      <c r="AE27" s="31" t="inlineStr">
        <is>
          <t>Neutral Elo baseline; executable ask 0.7000 (market_slug=aec-lol-rmd-nerd-2026-08-03).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Ei Nerd Esports</t>
        </is>
      </c>
      <c r="AQ27" s="24" t="inlineStr">
        <is>
          <t>Ei Nerd Esports</t>
        </is>
      </c>
      <c r="AR27" s="24" t="inlineStr">
        <is>
          <t>Ei Nerd Esports</t>
        </is>
      </c>
      <c r="AS27" s="24" t="inlineStr">
        <is>
          <t>RMD Gaming</t>
        </is>
      </c>
      <c r="AT27" s="24" t="inlineStr">
        <is>
          <t>RMD Gaming</t>
        </is>
      </c>
      <c r="AU27" s="24" t="inlineStr">
        <is>
          <t>RMD Gaming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9ed3b7c0f543c614a78fccecbb0979eec8778e51fbb9fd911e0de01bc829c3f7</t>
        </is>
      </c>
      <c r="BB27" s="24" t="inlineStr">
        <is>
          <t>neutral_elo</t>
        </is>
      </c>
      <c r="BC27" s="24" t="inlineStr">
        <is>
          <t>lol-tiered-elo-v5</t>
        </is>
      </c>
      <c r="BD27" s="24" t="inlineStr">
        <is>
          <t>9ed3b7c0f543c614a78fccecbb0979eec8778e51fbb9fd911e0de01bc829c3f7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lol-tiered-elo-v5</t>
        </is>
      </c>
      <c r="BH27" s="24" t="inlineStr">
        <is>
          <t>2026-08-03T19:54:46.201689Z</t>
        </is>
      </c>
      <c r="BI27" s="24" t="inlineStr">
        <is>
          <t>["same_event","same_team_same_day","same_league_same_day"]</t>
        </is>
      </c>
      <c r="BJ27" s="25" t="n"/>
      <c r="BK27" s="26" t="n">
        <v>-233</v>
      </c>
      <c r="BL27" s="27" t="n">
        <v>1.429185</v>
      </c>
      <c r="BM27" s="28" t="n">
        <v>0.6997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>
        <v>1</v>
      </c>
      <c r="BY27" s="27" t="n">
        <v>-1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</row>
    <row r="28" ht="36" customHeight="1">
      <c r="A28" s="24" t="inlineStr">
        <is>
          <t>a7f139b165184216</t>
        </is>
      </c>
      <c r="B28" s="24" t="inlineStr">
        <is>
          <t>2026-08-03T19:55:05.099553Z</t>
        </is>
      </c>
      <c r="C28" s="24" t="inlineStr">
        <is>
          <t>2026-08-03T22:00:00Z</t>
        </is>
      </c>
      <c r="D28" s="24" t="inlineStr">
        <is>
          <t>68011</t>
        </is>
      </c>
      <c r="E28" s="24" t="inlineStr">
        <is>
          <t>LOL</t>
        </is>
      </c>
      <c r="F28" s="24" t="inlineStr">
        <is>
          <t>Vivo Keyd Stars Academy</t>
        </is>
      </c>
      <c r="G28" s="24" t="inlineStr">
        <is>
          <t>paiN Gaming Academy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113</v>
      </c>
      <c r="M28" s="27" t="n">
        <v>2.13</v>
      </c>
      <c r="N28" s="28" t="n">
        <v>0.469484</v>
      </c>
      <c r="O28" s="28" t="n">
        <v>0.53706</v>
      </c>
      <c r="P28" s="28" t="n"/>
      <c r="Q28" s="28" t="n">
        <v>0.067576</v>
      </c>
      <c r="R28" s="26" t="n">
        <v>54</v>
      </c>
      <c r="S28" s="29" t="n">
        <v>1</v>
      </c>
      <c r="T28" s="24" t="inlineStr">
        <is>
          <t>lol-tiered-elo-v5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113</v>
      </c>
      <c r="AA28" s="28" t="n">
        <v>0.47</v>
      </c>
      <c r="AB28" s="28" t="n">
        <v>0.000516</v>
      </c>
      <c r="AC28" s="30" t="n">
        <v>1.13</v>
      </c>
      <c r="AD28" s="24" t="inlineStr">
        <is>
          <t>2026-08-03T22:55:44.139370Z</t>
        </is>
      </c>
      <c r="AE28" s="31" t="inlineStr">
        <is>
          <t>Neutral Elo baseline; executable ask 0.4700 (market_slug=aec-lol-pnga-vksa-2026-08-03).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Vivo Keyd Stars Academy</t>
        </is>
      </c>
      <c r="AQ28" s="24" t="inlineStr">
        <is>
          <t>Vivo Keyd Stars Academy</t>
        </is>
      </c>
      <c r="AR28" s="24" t="inlineStr">
        <is>
          <t>Vivo Keyd Stars Academy</t>
        </is>
      </c>
      <c r="AS28" s="24" t="inlineStr">
        <is>
          <t>paiN Gaming Academy</t>
        </is>
      </c>
      <c r="AT28" s="24" t="inlineStr">
        <is>
          <t>paiN Gaming Academy</t>
        </is>
      </c>
      <c r="AU28" s="24" t="inlineStr">
        <is>
          <t>paiN Gaming Academy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9ed3b7c0f543c614a78fccecbb0979eec8778e51fbb9fd911e0de01bc829c3f7</t>
        </is>
      </c>
      <c r="BB28" s="24" t="inlineStr">
        <is>
          <t>neutral_elo</t>
        </is>
      </c>
      <c r="BC28" s="24" t="inlineStr">
        <is>
          <t>lol-tiered-elo-v5</t>
        </is>
      </c>
      <c r="BD28" s="24" t="inlineStr">
        <is>
          <t>9ed3b7c0f543c614a78fccecbb0979eec8778e51fbb9fd911e0de01bc829c3f7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lol-tiered-elo-v5</t>
        </is>
      </c>
      <c r="BH28" s="24" t="inlineStr">
        <is>
          <t>2026-08-03T19:54:47.216198Z</t>
        </is>
      </c>
      <c r="BI28" s="24" t="inlineStr">
        <is>
          <t>["same_event","same_team_same_day","same_league_same_day"]</t>
        </is>
      </c>
      <c r="BJ28" s="25" t="n"/>
      <c r="BK28" s="26" t="n">
        <v>113</v>
      </c>
      <c r="BL28" s="27" t="n">
        <v>2.13</v>
      </c>
      <c r="BM28" s="28" t="n">
        <v>0.469484</v>
      </c>
      <c r="BN28" s="28" t="n"/>
      <c r="BO28" s="28" t="n"/>
      <c r="BP28" s="25" t="n"/>
      <c r="BQ28" s="27" t="n">
        <v>2.13</v>
      </c>
      <c r="BR28" s="28" t="n">
        <v>0.47</v>
      </c>
      <c r="BS28" s="28" t="n"/>
      <c r="BT28" s="28" t="n"/>
      <c r="BU28" s="25" t="n"/>
      <c r="BV28" s="29" t="n"/>
      <c r="BW28" s="24" t="n"/>
      <c r="BX28" s="30" t="n">
        <v>1</v>
      </c>
      <c r="BY28" s="27" t="n">
        <v>0.91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e164be4d60ab48f6</t>
        </is>
      </c>
      <c r="B29" s="24" t="inlineStr">
        <is>
          <t>2026-08-04T05:18:58.736816Z</t>
        </is>
      </c>
      <c r="C29" s="24" t="inlineStr">
        <is>
          <t>2026-08-04T06:00:00Z</t>
        </is>
      </c>
      <c r="D29" s="24" t="inlineStr">
        <is>
          <t>70669</t>
        </is>
      </c>
      <c r="E29" s="24" t="inlineStr">
        <is>
          <t>LOL</t>
        </is>
      </c>
      <c r="F29" s="24" t="inlineStr">
        <is>
          <t>Hanwha Life Esports</t>
        </is>
      </c>
      <c r="G29" s="24" t="inlineStr">
        <is>
          <t>T1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-117</v>
      </c>
      <c r="M29" s="27" t="n">
        <v>1.854701</v>
      </c>
      <c r="N29" s="28" t="n">
        <v>0.539171</v>
      </c>
      <c r="O29" s="28" t="n">
        <v>0.530268</v>
      </c>
      <c r="P29" s="28" t="n"/>
      <c r="Q29" s="28" t="n">
        <v>-0.008902999999999999</v>
      </c>
      <c r="R29" s="26" t="n">
        <v>16</v>
      </c>
      <c r="S29" s="29" t="n">
        <v>1</v>
      </c>
      <c r="T29" s="24" t="inlineStr">
        <is>
          <t>lol-tiered-elo-v5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>
        <v>-117</v>
      </c>
      <c r="AA29" s="28" t="n">
        <v>0.54</v>
      </c>
      <c r="AB29" s="28" t="n">
        <v>0.000829</v>
      </c>
      <c r="AC29" s="30" t="n">
        <v>-1</v>
      </c>
      <c r="AD29" s="24" t="inlineStr">
        <is>
          <t>2026-08-04T11:58:03.728171Z</t>
        </is>
      </c>
      <c r="AE29" s="31" t="inlineStr">
        <is>
          <t>Neutral Elo baseline; executable ask 0.5400 (market_slug=aec-lol-t1-hle-2026-08-04).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Hanwha Life Esports</t>
        </is>
      </c>
      <c r="AQ29" s="24" t="inlineStr">
        <is>
          <t>Hanwha Life Esports</t>
        </is>
      </c>
      <c r="AR29" s="24" t="inlineStr">
        <is>
          <t>Hanwha Life Esports</t>
        </is>
      </c>
      <c r="AS29" s="24" t="inlineStr">
        <is>
          <t>T1</t>
        </is>
      </c>
      <c r="AT29" s="24" t="inlineStr">
        <is>
          <t>T1</t>
        </is>
      </c>
      <c r="AU29" s="24" t="inlineStr">
        <is>
          <t>T1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3cad1698285ce067945fffa86d78b132eab6a11da046a54b1a9513fa3414e5e2</t>
        </is>
      </c>
      <c r="BB29" s="24" t="inlineStr">
        <is>
          <t>neutral_elo</t>
        </is>
      </c>
      <c r="BC29" s="24" t="inlineStr">
        <is>
          <t>lol-tiered-elo-v5</t>
        </is>
      </c>
      <c r="BD29" s="24" t="inlineStr">
        <is>
          <t>3cad1698285ce067945fffa86d78b132eab6a11da046a54b1a9513fa3414e5e2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lol-tiered-elo-v5</t>
        </is>
      </c>
      <c r="BH29" s="24" t="inlineStr">
        <is>
          <t>2026-08-04T05:18:18.693939Z</t>
        </is>
      </c>
      <c r="BI29" s="24" t="inlineStr">
        <is>
          <t>["same_event","same_team_same_day","same_league_same_day"]</t>
        </is>
      </c>
      <c r="BJ29" s="25" t="n"/>
      <c r="BK29" s="26" t="n">
        <v>-117</v>
      </c>
      <c r="BL29" s="27" t="n">
        <v>1.854701</v>
      </c>
      <c r="BM29" s="28" t="n">
        <v>0.539171</v>
      </c>
      <c r="BN29" s="28" t="n"/>
      <c r="BO29" s="28" t="n"/>
      <c r="BP29" s="25" t="n"/>
      <c r="BQ29" s="27" t="n">
        <v>1.854701</v>
      </c>
      <c r="BR29" s="28" t="n">
        <v>0.54</v>
      </c>
      <c r="BS29" s="28" t="n"/>
      <c r="BT29" s="28" t="n"/>
      <c r="BU29" s="25" t="n"/>
      <c r="BV29" s="29" t="n"/>
      <c r="BW29" s="24" t="n"/>
      <c r="BX29" s="30" t="n">
        <v>1</v>
      </c>
      <c r="BY29" s="27" t="n">
        <v>-1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</row>
    <row r="30" ht="36" customHeight="1">
      <c r="A30" s="24" t="inlineStr">
        <is>
          <t>543dd0d72d1946a9</t>
        </is>
      </c>
      <c r="B30" s="24" t="inlineStr">
        <is>
          <t>2026-08-04T08:56:56.469660Z</t>
        </is>
      </c>
      <c r="C30" s="24" t="inlineStr">
        <is>
          <t>2026-08-04T10:00:00Z</t>
        </is>
      </c>
      <c r="D30" s="24" t="inlineStr">
        <is>
          <t>68284</t>
        </is>
      </c>
      <c r="E30" s="24" t="inlineStr">
        <is>
          <t>LOL</t>
        </is>
      </c>
      <c r="F30" s="24" t="inlineStr">
        <is>
          <t>KT Rolster Challengers</t>
        </is>
      </c>
      <c r="G30" s="24" t="inlineStr">
        <is>
          <t>T1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-223</v>
      </c>
      <c r="M30" s="27" t="n">
        <v>1.44843</v>
      </c>
      <c r="N30" s="28" t="n">
        <v>0.690402</v>
      </c>
      <c r="O30" s="28" t="n">
        <v>0.613874</v>
      </c>
      <c r="P30" s="28" t="n"/>
      <c r="Q30" s="28" t="n">
        <v>-0.076528</v>
      </c>
      <c r="R30" s="26" t="n">
        <v>0</v>
      </c>
      <c r="S30" s="29" t="n">
        <v>1.5</v>
      </c>
      <c r="T30" s="24" t="inlineStr">
        <is>
          <t>lol-tiered-elo-v5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>
        <v>-223</v>
      </c>
      <c r="AA30" s="28" t="n">
        <v>0.6899999999999999</v>
      </c>
      <c r="AB30" s="28" t="n">
        <v>-0.000402</v>
      </c>
      <c r="AC30" s="30" t="n">
        <v>0.6726</v>
      </c>
      <c r="AD30" s="24" t="inlineStr">
        <is>
          <t>2026-08-04T14:03:37.106120Z</t>
        </is>
      </c>
      <c r="AE30" s="31" t="inlineStr">
        <is>
          <t>Neutral Elo baseline; executable ask 0.6900 (market_slug=aec-lol-t1a-ktc-2026-08-04).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KT Rolster Challengers</t>
        </is>
      </c>
      <c r="AQ30" s="24" t="inlineStr">
        <is>
          <t>KT Rolster Challengers</t>
        </is>
      </c>
      <c r="AR30" s="24" t="inlineStr">
        <is>
          <t>KT Rolster Challengers</t>
        </is>
      </c>
      <c r="AS30" s="24" t="inlineStr">
        <is>
          <t>T1 Academy</t>
        </is>
      </c>
      <c r="AT30" s="24" t="inlineStr">
        <is>
          <t>T1 Academy</t>
        </is>
      </c>
      <c r="AU30" s="24" t="inlineStr">
        <is>
          <t>T1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2aef9ef293099f7e3d21d8b6a25daad858c9b2bc1905102110b3b5d06e41ccd8</t>
        </is>
      </c>
      <c r="BB30" s="24" t="inlineStr">
        <is>
          <t>neutral_elo</t>
        </is>
      </c>
      <c r="BC30" s="24" t="inlineStr">
        <is>
          <t>lol-tiered-elo-v5</t>
        </is>
      </c>
      <c r="BD30" s="24" t="inlineStr">
        <is>
          <t>2aef9ef293099f7e3d21d8b6a25daad858c9b2bc1905102110b3b5d06e41ccd8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lol-tiered-elo-v5</t>
        </is>
      </c>
      <c r="BH30" s="24" t="inlineStr">
        <is>
          <t>2026-08-04T08:56:22.321845Z</t>
        </is>
      </c>
      <c r="BI30" s="24" t="inlineStr">
        <is>
          <t>["same_event","same_team_same_day","same_league_same_day"]</t>
        </is>
      </c>
      <c r="BJ30" s="25" t="n"/>
      <c r="BK30" s="26" t="n">
        <v>-223</v>
      </c>
      <c r="BL30" s="27" t="n">
        <v>1.44843</v>
      </c>
      <c r="BM30" s="28" t="n">
        <v>0.690402</v>
      </c>
      <c r="BN30" s="28" t="n"/>
      <c r="BO30" s="28" t="n"/>
      <c r="BP30" s="25" t="n"/>
      <c r="BQ30" s="27" t="n">
        <v>1.44843</v>
      </c>
      <c r="BR30" s="28" t="n">
        <v>0.6899999999999999</v>
      </c>
      <c r="BS30" s="28" t="n"/>
      <c r="BT30" s="28" t="n"/>
      <c r="BU30" s="25" t="n"/>
      <c r="BV30" s="29" t="n"/>
      <c r="BW30" s="24" t="n"/>
      <c r="BX30" s="30" t="n">
        <v>1</v>
      </c>
      <c r="BY30" s="27" t="n">
        <v>0.91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</row>
    <row r="31" ht="36" customHeight="1">
      <c r="A31" s="24" t="inlineStr">
        <is>
          <t>d945818735054c3c</t>
        </is>
      </c>
      <c r="B31" s="24" t="inlineStr">
        <is>
          <t>2026-08-04T08:56:56.469660Z</t>
        </is>
      </c>
      <c r="C31" s="24" t="inlineStr">
        <is>
          <t>2026-08-04T10:30:00Z</t>
        </is>
      </c>
      <c r="D31" s="24" t="inlineStr">
        <is>
          <t>68295</t>
        </is>
      </c>
      <c r="E31" s="24" t="inlineStr">
        <is>
          <t>LOL</t>
        </is>
      </c>
      <c r="F31" s="24" t="inlineStr">
        <is>
          <t>Kiwoom DRX</t>
        </is>
      </c>
      <c r="G31" s="24" t="inlineStr">
        <is>
          <t>HANJIN BRION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-170</v>
      </c>
      <c r="M31" s="27" t="n">
        <v>1.588235</v>
      </c>
      <c r="N31" s="28" t="n">
        <v>0.62963</v>
      </c>
      <c r="O31" s="28" t="n">
        <v>0.578292</v>
      </c>
      <c r="P31" s="28" t="n"/>
      <c r="Q31" s="28" t="n">
        <v>-0.051338</v>
      </c>
      <c r="R31" s="26" t="n">
        <v>0</v>
      </c>
      <c r="S31" s="29" t="n">
        <v>1.25</v>
      </c>
      <c r="T31" s="24" t="inlineStr">
        <is>
          <t>lol-tiered-elo-v5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-170</v>
      </c>
      <c r="AA31" s="28" t="n">
        <v>0.63</v>
      </c>
      <c r="AB31" s="28" t="n">
        <v>0.00037</v>
      </c>
      <c r="AC31" s="30" t="n">
        <v>0.7353</v>
      </c>
      <c r="AD31" s="24" t="inlineStr">
        <is>
          <t>2026-08-04T14:03:38.702339Z</t>
        </is>
      </c>
      <c r="AE31" s="31" t="inlineStr">
        <is>
          <t>Neutral Elo baseline; executable ask 0.6300 (market_slug=aec-lol-bro-krx-2026-08-04).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Kiwoom DRX</t>
        </is>
      </c>
      <c r="AQ31" s="24" t="inlineStr">
        <is>
          <t>Kiwoom DRX</t>
        </is>
      </c>
      <c r="AR31" s="24" t="inlineStr">
        <is>
          <t>Kiwoom DRX</t>
        </is>
      </c>
      <c r="AS31" s="24" t="inlineStr">
        <is>
          <t>HANJIN BRION</t>
        </is>
      </c>
      <c r="AT31" s="24" t="inlineStr">
        <is>
          <t>HANJIN BRION</t>
        </is>
      </c>
      <c r="AU31" s="24" t="inlineStr">
        <is>
          <t>HANJIN BRION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2aef9ef293099f7e3d21d8b6a25daad858c9b2bc1905102110b3b5d06e41ccd8</t>
        </is>
      </c>
      <c r="BB31" s="24" t="inlineStr">
        <is>
          <t>neutral_elo</t>
        </is>
      </c>
      <c r="BC31" s="24" t="inlineStr">
        <is>
          <t>lol-tiered-elo-v5</t>
        </is>
      </c>
      <c r="BD31" s="24" t="inlineStr">
        <is>
          <t>2aef9ef293099f7e3d21d8b6a25daad858c9b2bc1905102110b3b5d06e41ccd8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lol-tiered-elo-v5</t>
        </is>
      </c>
      <c r="BH31" s="24" t="inlineStr">
        <is>
          <t>2026-08-04T08:56:22.857906Z</t>
        </is>
      </c>
      <c r="BI31" s="24" t="inlineStr">
        <is>
          <t>["same_event","same_team_same_day","same_league_same_day"]</t>
        </is>
      </c>
      <c r="BJ31" s="25" t="n"/>
      <c r="BK31" s="26" t="n">
        <v>-170</v>
      </c>
      <c r="BL31" s="27" t="n">
        <v>1.588235</v>
      </c>
      <c r="BM31" s="28" t="n">
        <v>0.62963</v>
      </c>
      <c r="BN31" s="28" t="n"/>
      <c r="BO31" s="28" t="n"/>
      <c r="BP31" s="25" t="n"/>
      <c r="BQ31" s="27" t="n">
        <v>1.588235</v>
      </c>
      <c r="BR31" s="28" t="n">
        <v>0.63</v>
      </c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</row>
    <row r="32" ht="36" customHeight="1">
      <c r="A32" s="24" t="inlineStr">
        <is>
          <t>4c360ccf92304cd4</t>
        </is>
      </c>
      <c r="B32" s="24" t="inlineStr">
        <is>
          <t>2026-08-04T15:04:56.339784Z</t>
        </is>
      </c>
      <c r="C32" s="24" t="inlineStr">
        <is>
          <t>2026-08-04T16:00:00Z</t>
        </is>
      </c>
      <c r="D32" s="24" t="inlineStr">
        <is>
          <t>68509</t>
        </is>
      </c>
      <c r="E32" s="24" t="inlineStr">
        <is>
          <t>LOL</t>
        </is>
      </c>
      <c r="F32" s="24" t="inlineStr">
        <is>
          <t>Skillcamp Esport</t>
        </is>
      </c>
      <c r="G32" s="24" t="inlineStr">
        <is>
          <t>Ici Japon Corp. Esport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0.631258</v>
      </c>
      <c r="P32" s="28" t="n"/>
      <c r="Q32" s="28" t="n">
        <v>0.051426</v>
      </c>
      <c r="R32" s="26" t="n">
        <v>46</v>
      </c>
      <c r="S32" s="29" t="n">
        <v>1.5</v>
      </c>
      <c r="T32" s="24" t="inlineStr">
        <is>
          <t>lol-tiered-elo-v5</t>
        </is>
      </c>
      <c r="U32" s="24" t="inlineStr">
        <is>
          <t>settled</t>
        </is>
      </c>
      <c r="V32" s="24" t="inlineStr">
        <is>
          <t>loss</t>
        </is>
      </c>
      <c r="W32" s="26" t="n">
        <v>1</v>
      </c>
      <c r="X32" s="26" t="n">
        <v>0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-1.5</v>
      </c>
      <c r="AD32" s="24" t="inlineStr">
        <is>
          <t>2026-08-04T18:04:33.404399Z</t>
        </is>
      </c>
      <c r="AE32" s="31" t="inlineStr">
        <is>
          <t>Neutral Elo baseline; executable ask 0.5800 (market_slug=aec-lol-ijc-sc-2026-08-04).</t>
        </is>
      </c>
      <c r="AF32" s="31" t="inlineStr">
        <is>
          <t>Config-promoted esports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Skillcamp Esport</t>
        </is>
      </c>
      <c r="AQ32" s="24" t="inlineStr">
        <is>
          <t>Skillcamp Esport</t>
        </is>
      </c>
      <c r="AR32" s="24" t="inlineStr">
        <is>
          <t>Skillcamp Esport</t>
        </is>
      </c>
      <c r="AS32" s="24" t="inlineStr">
        <is>
          <t>Ici Japon Corp. Esport</t>
        </is>
      </c>
      <c r="AT32" s="24" t="inlineStr">
        <is>
          <t>Ici Japon Corp. Esport</t>
        </is>
      </c>
      <c r="AU32" s="24" t="inlineStr">
        <is>
          <t>Ici Japon Corp. Esport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70926375efdbac84dce8c51337c5a10529e7ee005d64ab556a8536dd0bdf8d2f</t>
        </is>
      </c>
      <c r="BB32" s="24" t="inlineStr">
        <is>
          <t>neutral_elo</t>
        </is>
      </c>
      <c r="BC32" s="24" t="inlineStr">
        <is>
          <t>lol-tiered-elo-v5</t>
        </is>
      </c>
      <c r="BD32" s="24" t="inlineStr">
        <is>
          <t>70926375efdbac84dce8c51337c5a10529e7ee005d64ab556a8536dd0bdf8d2f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lol-tiered-elo-v5</t>
        </is>
      </c>
      <c r="BH32" s="24" t="inlineStr">
        <is>
          <t>2026-08-04T15:04:19.459782Z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/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>
        <v>1</v>
      </c>
      <c r="BY32" s="27" t="n">
        <v>-1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16e38b0f2055496b</t>
        </is>
      </c>
      <c r="B33" s="24" t="inlineStr">
        <is>
          <t>2026-08-04T16:54:52.896251Z</t>
        </is>
      </c>
      <c r="C33" s="24" t="inlineStr">
        <is>
          <t>2026-08-04T17:00:00Z</t>
        </is>
      </c>
      <c r="D33" s="24" t="inlineStr">
        <is>
          <t>70567</t>
        </is>
      </c>
      <c r="E33" s="24" t="inlineStr">
        <is>
          <t>LOL</t>
        </is>
      </c>
      <c r="F33" s="24" t="inlineStr">
        <is>
          <t>Anonymo Esports</t>
        </is>
      </c>
      <c r="G33" s="24" t="inlineStr">
        <is>
          <t>DOCISK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163</v>
      </c>
      <c r="M33" s="27" t="n">
        <v>2.63</v>
      </c>
      <c r="N33" s="28" t="n">
        <v>0.380228</v>
      </c>
      <c r="O33" s="28" t="n">
        <v>0.522312</v>
      </c>
      <c r="P33" s="28" t="n"/>
      <c r="Q33" s="28" t="n">
        <v>0.142084</v>
      </c>
      <c r="R33" s="26" t="n">
        <v>91</v>
      </c>
      <c r="S33" s="29" t="n">
        <v>1</v>
      </c>
      <c r="T33" s="24" t="inlineStr">
        <is>
          <t>lol-tiered-elo-v6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>
        <v>163</v>
      </c>
      <c r="AA33" s="28" t="n">
        <v>0.38</v>
      </c>
      <c r="AB33" s="28" t="n">
        <v>-0.000228</v>
      </c>
      <c r="AC33" s="30" t="n">
        <v>-1</v>
      </c>
      <c r="AD33" s="24" t="inlineStr">
        <is>
          <t>2026-08-04T21:59:44.576139Z</t>
        </is>
      </c>
      <c r="AE33" s="31" t="inlineStr">
        <is>
          <t>Neutral Elo baseline; executable ask 0.3800 (market_slug=aec-lol-doc-ae-2026-08-04).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Anonymo Esports</t>
        </is>
      </c>
      <c r="AQ33" s="24" t="inlineStr">
        <is>
          <t>Anonymo Esports</t>
        </is>
      </c>
      <c r="AR33" s="24" t="inlineStr">
        <is>
          <t>Anonymo Esports</t>
        </is>
      </c>
      <c r="AS33" s="24" t="inlineStr">
        <is>
          <t>DOCISK</t>
        </is>
      </c>
      <c r="AT33" s="24" t="inlineStr">
        <is>
          <t>DOCISK</t>
        </is>
      </c>
      <c r="AU33" s="24" t="inlineStr">
        <is>
          <t>DOCISK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5bcf4e232e6e233164ffd78633a5487d986e0433e7ea70b93f7ff1c53933694d</t>
        </is>
      </c>
      <c r="BB33" s="24" t="inlineStr">
        <is>
          <t>neutral_elo</t>
        </is>
      </c>
      <c r="BC33" s="24" t="inlineStr">
        <is>
          <t>lol-tiered-elo-v6</t>
        </is>
      </c>
      <c r="BD33" s="24" t="inlineStr">
        <is>
          <t>5bcf4e232e6e233164ffd78633a5487d986e0433e7ea70b93f7ff1c53933694d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lol-tiered-elo-v6</t>
        </is>
      </c>
      <c r="BH33" s="24" t="inlineStr">
        <is>
          <t>2026-08-04T16:54:15.758258Z</t>
        </is>
      </c>
      <c r="BI33" s="24" t="inlineStr">
        <is>
          <t>["same_event","same_team_same_day","same_league_same_day"]</t>
        </is>
      </c>
      <c r="BJ33" s="25" t="n"/>
      <c r="BK33" s="26" t="n">
        <v>163</v>
      </c>
      <c r="BL33" s="27" t="n">
        <v>2.63</v>
      </c>
      <c r="BM33" s="28" t="n">
        <v>0.380228</v>
      </c>
      <c r="BN33" s="28" t="n"/>
      <c r="BO33" s="28" t="n"/>
      <c r="BP33" s="25" t="n"/>
      <c r="BQ33" s="27" t="n">
        <v>2.63</v>
      </c>
      <c r="BR33" s="28" t="n">
        <v>0.38</v>
      </c>
      <c r="BS33" s="28" t="n"/>
      <c r="BT33" s="28" t="n"/>
      <c r="BU33" s="25" t="n"/>
      <c r="BV33" s="29" t="n"/>
      <c r="BW33" s="24" t="n"/>
      <c r="BX33" s="30" t="n">
        <v>1</v>
      </c>
      <c r="BY33" s="27" t="n">
        <v>-1</v>
      </c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a7eb426f0acf438c</t>
        </is>
      </c>
      <c r="B34" s="24" t="inlineStr">
        <is>
          <t>2026-08-04T16:54:52.896251Z</t>
        </is>
      </c>
      <c r="C34" s="24" t="inlineStr">
        <is>
          <t>2026-08-04T18:00:00Z</t>
        </is>
      </c>
      <c r="D34" s="24" t="inlineStr">
        <is>
          <t>68690</t>
        </is>
      </c>
      <c r="E34" s="24" t="inlineStr">
        <is>
          <t>LOL</t>
        </is>
      </c>
      <c r="F34" s="24" t="inlineStr">
        <is>
          <t>Lupus Esports</t>
        </is>
      </c>
      <c r="G34" s="24" t="inlineStr">
        <is>
          <t xml:space="preserve">Croatian Flair x RLX 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-117</v>
      </c>
      <c r="M34" s="27" t="n">
        <v>1.854701</v>
      </c>
      <c r="N34" s="28" t="n">
        <v>0.539171</v>
      </c>
      <c r="O34" s="28" t="n">
        <v>0.5257230000000001</v>
      </c>
      <c r="P34" s="28" t="n"/>
      <c r="Q34" s="28" t="n">
        <v>-0.013448</v>
      </c>
      <c r="R34" s="26" t="n">
        <v>13</v>
      </c>
      <c r="S34" s="29" t="n">
        <v>1</v>
      </c>
      <c r="T34" s="24" t="inlineStr">
        <is>
          <t>lol-tiered-elo-v6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-117</v>
      </c>
      <c r="AA34" s="28" t="n">
        <v>0.54</v>
      </c>
      <c r="AB34" s="28" t="n">
        <v>0.000829</v>
      </c>
      <c r="AC34" s="30" t="n">
        <v>0.8547</v>
      </c>
      <c r="AD34" s="24" t="inlineStr">
        <is>
          <t>2026-08-04T21:59:46.124530Z</t>
        </is>
      </c>
      <c r="AE34" s="31" t="inlineStr">
        <is>
          <t>Neutral Elo baseline; executable ask 0.5400 (market_slug=aec-lol-cfxr-lps-2026-08-04).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Lupus Esports</t>
        </is>
      </c>
      <c r="AQ34" s="24" t="inlineStr">
        <is>
          <t>Lupus Esports</t>
        </is>
      </c>
      <c r="AR34" s="24" t="inlineStr">
        <is>
          <t>Lupus Esports</t>
        </is>
      </c>
      <c r="AS34" s="24" t="inlineStr">
        <is>
          <t xml:space="preserve">Croatian Flair x RLX </t>
        </is>
      </c>
      <c r="AT34" s="24" t="inlineStr">
        <is>
          <t xml:space="preserve">Croatian Flair x RLX </t>
        </is>
      </c>
      <c r="AU34" s="24" t="inlineStr">
        <is>
          <t xml:space="preserve">Croatian Flair x RLX 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5bcf4e232e6e233164ffd78633a5487d986e0433e7ea70b93f7ff1c53933694d</t>
        </is>
      </c>
      <c r="BB34" s="24" t="inlineStr">
        <is>
          <t>neutral_elo</t>
        </is>
      </c>
      <c r="BC34" s="24" t="inlineStr">
        <is>
          <t>lol-tiered-elo-v6</t>
        </is>
      </c>
      <c r="BD34" s="24" t="inlineStr">
        <is>
          <t>5bcf4e232e6e233164ffd78633a5487d986e0433e7ea70b93f7ff1c53933694d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lol-tiered-elo-v6</t>
        </is>
      </c>
      <c r="BH34" s="24" t="inlineStr">
        <is>
          <t>2026-08-04T16:54:17.856775Z</t>
        </is>
      </c>
      <c r="BI34" s="24" t="inlineStr">
        <is>
          <t>["same_event","same_team_same_day","same_league_same_day"]</t>
        </is>
      </c>
      <c r="BJ34" s="25" t="n"/>
      <c r="BK34" s="26" t="n">
        <v>-117</v>
      </c>
      <c r="BL34" s="27" t="n">
        <v>1.854701</v>
      </c>
      <c r="BM34" s="28" t="n">
        <v>0.539171</v>
      </c>
      <c r="BN34" s="28" t="n"/>
      <c r="BO34" s="28" t="n"/>
      <c r="BP34" s="25" t="n"/>
      <c r="BQ34" s="27" t="n">
        <v>1.854701</v>
      </c>
      <c r="BR34" s="28" t="n">
        <v>0.54</v>
      </c>
      <c r="BS34" s="28" t="n"/>
      <c r="BT34" s="28" t="n"/>
      <c r="BU34" s="25" t="n"/>
      <c r="BV34" s="29" t="n"/>
      <c r="BW34" s="24" t="n"/>
      <c r="BX34" s="30" t="n">
        <v>1</v>
      </c>
      <c r="BY34" s="27" t="n">
        <v>0.91</v>
      </c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</row>
    <row r="35" ht="36" customHeight="1">
      <c r="A35" s="24" t="inlineStr">
        <is>
          <t>4c2f3fc7bb604d61</t>
        </is>
      </c>
      <c r="B35" s="24" t="inlineStr">
        <is>
          <t>2026-08-04T16:54:52.896251Z</t>
        </is>
      </c>
      <c r="C35" s="24" t="inlineStr">
        <is>
          <t>2026-08-04T18:00:00Z</t>
        </is>
      </c>
      <c r="D35" s="24" t="inlineStr">
        <is>
          <t>68691</t>
        </is>
      </c>
      <c r="E35" s="24" t="inlineStr">
        <is>
          <t>LOL</t>
        </is>
      </c>
      <c r="F35" s="24" t="inlineStr">
        <is>
          <t>ZennIT</t>
        </is>
      </c>
      <c r="G35" s="24" t="inlineStr">
        <is>
          <t>Once Upon A Team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-223</v>
      </c>
      <c r="M35" s="27" t="n">
        <v>1.44843</v>
      </c>
      <c r="N35" s="28" t="n">
        <v>0.690402</v>
      </c>
      <c r="O35" s="28" t="n">
        <v>0.531852</v>
      </c>
      <c r="P35" s="28" t="n"/>
      <c r="Q35" s="28" t="n">
        <v>-0.15855</v>
      </c>
      <c r="R35" s="26" t="n">
        <v>0</v>
      </c>
      <c r="S35" s="29" t="n">
        <v>1</v>
      </c>
      <c r="T35" s="24" t="inlineStr">
        <is>
          <t>lol-tiered-elo-v6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0</v>
      </c>
      <c r="Y35" s="25" t="n"/>
      <c r="Z35" s="26" t="n">
        <v>-223</v>
      </c>
      <c r="AA35" s="28" t="n">
        <v>0.6899999999999999</v>
      </c>
      <c r="AB35" s="28" t="n">
        <v>-0.000402</v>
      </c>
      <c r="AC35" s="30" t="n">
        <v>0.4484</v>
      </c>
      <c r="AD35" s="24" t="inlineStr">
        <is>
          <t>2026-08-04T21:59:47.648454Z</t>
        </is>
      </c>
      <c r="AE35" s="31" t="inlineStr">
        <is>
          <t>Neutral Elo baseline; executable ask 0.6900 (market_slug=aec-lol-ouat-znt-2026-08-04).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ZennIT</t>
        </is>
      </c>
      <c r="AQ35" s="24" t="inlineStr">
        <is>
          <t>ZennIT</t>
        </is>
      </c>
      <c r="AR35" s="24" t="inlineStr">
        <is>
          <t>ZennIT</t>
        </is>
      </c>
      <c r="AS35" s="24" t="inlineStr">
        <is>
          <t>Once Upon A Team</t>
        </is>
      </c>
      <c r="AT35" s="24" t="inlineStr">
        <is>
          <t>Once Upon A Team</t>
        </is>
      </c>
      <c r="AU35" s="24" t="inlineStr">
        <is>
          <t>Once Upon A Team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5bcf4e232e6e233164ffd78633a5487d986e0433e7ea70b93f7ff1c53933694d</t>
        </is>
      </c>
      <c r="BB35" s="24" t="inlineStr">
        <is>
          <t>neutral_elo</t>
        </is>
      </c>
      <c r="BC35" s="24" t="inlineStr">
        <is>
          <t>lol-tiered-elo-v6</t>
        </is>
      </c>
      <c r="BD35" s="24" t="inlineStr">
        <is>
          <t>5bcf4e232e6e233164ffd78633a5487d986e0433e7ea70b93f7ff1c53933694d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lol-tiered-elo-v6</t>
        </is>
      </c>
      <c r="BH35" s="24" t="inlineStr">
        <is>
          <t>2026-08-04T16:54:18.441971Z</t>
        </is>
      </c>
      <c r="BI35" s="24" t="inlineStr">
        <is>
          <t>["same_event","same_team_same_day","same_league_same_day"]</t>
        </is>
      </c>
      <c r="BJ35" s="25" t="n"/>
      <c r="BK35" s="26" t="n">
        <v>-223</v>
      </c>
      <c r="BL35" s="27" t="n">
        <v>1.44843</v>
      </c>
      <c r="BM35" s="28" t="n">
        <v>0.690402</v>
      </c>
      <c r="BN35" s="28" t="n"/>
      <c r="BO35" s="28" t="n"/>
      <c r="BP35" s="25" t="n"/>
      <c r="BQ35" s="27" t="n">
        <v>1.44843</v>
      </c>
      <c r="BR35" s="28" t="n">
        <v>0.6899999999999999</v>
      </c>
      <c r="BS35" s="28" t="n"/>
      <c r="BT35" s="28" t="n"/>
      <c r="BU35" s="25" t="n"/>
      <c r="BV35" s="29" t="n"/>
      <c r="BW35" s="24" t="n"/>
      <c r="BX35" s="30" t="n">
        <v>1</v>
      </c>
      <c r="BY35" s="27" t="n">
        <v>0.91</v>
      </c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</row>
    <row r="36" ht="36" customHeight="1">
      <c r="A36" s="24" t="inlineStr">
        <is>
          <t>312fecbe196f42f3</t>
        </is>
      </c>
      <c r="B36" s="24" t="inlineStr">
        <is>
          <t>2026-08-04T16:54:52.896251Z</t>
        </is>
      </c>
      <c r="C36" s="24" t="inlineStr">
        <is>
          <t>2026-08-04T18:00:00Z</t>
        </is>
      </c>
      <c r="D36" s="24" t="inlineStr">
        <is>
          <t>68689</t>
        </is>
      </c>
      <c r="E36" s="24" t="inlineStr">
        <is>
          <t>LOL</t>
        </is>
      </c>
      <c r="F36" s="24" t="inlineStr">
        <is>
          <t>Way Gaming Esports</t>
        </is>
      </c>
      <c r="G36" s="24" t="inlineStr">
        <is>
          <t>Capybara Esports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-194</v>
      </c>
      <c r="M36" s="27" t="n">
        <v>1.515464</v>
      </c>
      <c r="N36" s="28" t="n">
        <v>0.659864</v>
      </c>
      <c r="O36" s="28" t="n">
        <v>0.550211</v>
      </c>
      <c r="P36" s="28" t="n"/>
      <c r="Q36" s="28" t="n">
        <v>-0.109653</v>
      </c>
      <c r="R36" s="26" t="n">
        <v>0</v>
      </c>
      <c r="S36" s="29" t="n">
        <v>1</v>
      </c>
      <c r="T36" s="24" t="inlineStr">
        <is>
          <t>lol-tiered-elo-v6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>
        <v>-194</v>
      </c>
      <c r="AA36" s="28" t="n">
        <v>0.66</v>
      </c>
      <c r="AB36" s="28" t="n">
        <v>0.000136</v>
      </c>
      <c r="AC36" s="30" t="n">
        <v>0.5155</v>
      </c>
      <c r="AD36" s="24" t="inlineStr">
        <is>
          <t>2026-08-04T21:59:49.170570Z</t>
        </is>
      </c>
      <c r="AE36" s="31" t="inlineStr">
        <is>
          <t>Neutral Elo baseline; executable ask 0.6600 (market_slug=aec-lol-capy-wge-2026-08-04).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Way Gaming Esports</t>
        </is>
      </c>
      <c r="AQ36" s="24" t="inlineStr">
        <is>
          <t>Way Gaming Esports</t>
        </is>
      </c>
      <c r="AR36" s="24" t="inlineStr">
        <is>
          <t>Way Gaming Esports</t>
        </is>
      </c>
      <c r="AS36" s="24" t="inlineStr">
        <is>
          <t>Capybara Esports</t>
        </is>
      </c>
      <c r="AT36" s="24" t="inlineStr">
        <is>
          <t>Capybara Esports</t>
        </is>
      </c>
      <c r="AU36" s="24" t="inlineStr">
        <is>
          <t>Capybara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5bcf4e232e6e233164ffd78633a5487d986e0433e7ea70b93f7ff1c53933694d</t>
        </is>
      </c>
      <c r="BB36" s="24" t="inlineStr">
        <is>
          <t>neutral_elo</t>
        </is>
      </c>
      <c r="BC36" s="24" t="inlineStr">
        <is>
          <t>lol-tiered-elo-v6</t>
        </is>
      </c>
      <c r="BD36" s="24" t="inlineStr">
        <is>
          <t>5bcf4e232e6e233164ffd78633a5487d986e0433e7ea70b93f7ff1c53933694d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lol-tiered-elo-v6</t>
        </is>
      </c>
      <c r="BH36" s="24" t="inlineStr">
        <is>
          <t>2026-08-04T16:54:19.015867Z</t>
        </is>
      </c>
      <c r="BI36" s="24" t="inlineStr">
        <is>
          <t>["same_event","same_team_same_day","same_league_same_day"]</t>
        </is>
      </c>
      <c r="BJ36" s="25" t="n"/>
      <c r="BK36" s="26" t="n">
        <v>-194</v>
      </c>
      <c r="BL36" s="27" t="n">
        <v>1.515464</v>
      </c>
      <c r="BM36" s="28" t="n">
        <v>0.659864</v>
      </c>
      <c r="BN36" s="28" t="n"/>
      <c r="BO36" s="28" t="n"/>
      <c r="BP36" s="25" t="n"/>
      <c r="BQ36" s="27" t="n">
        <v>1.515464</v>
      </c>
      <c r="BR36" s="28" t="n">
        <v>0.66</v>
      </c>
      <c r="BS36" s="28" t="n"/>
      <c r="BT36" s="28" t="n"/>
      <c r="BU36" s="25" t="n"/>
      <c r="BV36" s="29" t="n"/>
      <c r="BW36" s="24" t="n"/>
      <c r="BX36" s="30" t="n">
        <v>1</v>
      </c>
      <c r="BY36" s="27" t="n">
        <v>0.91</v>
      </c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</row>
    <row r="37" ht="36" customHeight="1">
      <c r="A37" s="24" t="inlineStr">
        <is>
          <t>b6b9be5e88d64498</t>
        </is>
      </c>
      <c r="B37" s="24" t="inlineStr">
        <is>
          <t>2026-08-04T16:54:52.896251Z</t>
        </is>
      </c>
      <c r="C37" s="24" t="inlineStr">
        <is>
          <t>2026-08-04T18:00:00Z</t>
        </is>
      </c>
      <c r="D37" s="24" t="inlineStr">
        <is>
          <t>68688</t>
        </is>
      </c>
      <c r="E37" s="24" t="inlineStr">
        <is>
          <t>LOL</t>
        </is>
      </c>
      <c r="F37" s="24" t="inlineStr">
        <is>
          <t>Joblife</t>
        </is>
      </c>
      <c r="G37" s="24" t="inlineStr">
        <is>
          <t>ZYB Esport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-104</v>
      </c>
      <c r="M37" s="27" t="n">
        <v>1.961538</v>
      </c>
      <c r="N37" s="28" t="n">
        <v>0.509804</v>
      </c>
      <c r="O37" s="28" t="n">
        <v>0.530674</v>
      </c>
      <c r="P37" s="28" t="n"/>
      <c r="Q37" s="28" t="n">
        <v>0.02087</v>
      </c>
      <c r="R37" s="26" t="n">
        <v>30</v>
      </c>
      <c r="S37" s="29" t="n">
        <v>1</v>
      </c>
      <c r="T37" s="24" t="inlineStr">
        <is>
          <t>lol-tiered-elo-v6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-104</v>
      </c>
      <c r="AA37" s="28" t="n">
        <v>0.51</v>
      </c>
      <c r="AB37" s="28" t="n">
        <v>0.000196</v>
      </c>
      <c r="AC37" s="30" t="n">
        <v>0.9615</v>
      </c>
      <c r="AD37" s="24" t="inlineStr">
        <is>
          <t>2026-08-04T21:59:50.731143Z</t>
        </is>
      </c>
      <c r="AE37" s="31" t="inlineStr">
        <is>
          <t>Neutral Elo baseline; executable ask 0.5100 (market_slug=aec-lol-zyb-jl-2026-08-04).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Joblife</t>
        </is>
      </c>
      <c r="AQ37" s="24" t="inlineStr">
        <is>
          <t>Joblife</t>
        </is>
      </c>
      <c r="AR37" s="24" t="inlineStr">
        <is>
          <t>Joblife</t>
        </is>
      </c>
      <c r="AS37" s="24" t="inlineStr">
        <is>
          <t>ZYB Esport</t>
        </is>
      </c>
      <c r="AT37" s="24" t="inlineStr">
        <is>
          <t>ZYB Esport</t>
        </is>
      </c>
      <c r="AU37" s="24" t="inlineStr">
        <is>
          <t>ZYB Esport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5bcf4e232e6e233164ffd78633a5487d986e0433e7ea70b93f7ff1c53933694d</t>
        </is>
      </c>
      <c r="BB37" s="24" t="inlineStr">
        <is>
          <t>neutral_elo</t>
        </is>
      </c>
      <c r="BC37" s="24" t="inlineStr">
        <is>
          <t>lol-tiered-elo-v6</t>
        </is>
      </c>
      <c r="BD37" s="24" t="inlineStr">
        <is>
          <t>5bcf4e232e6e233164ffd78633a5487d986e0433e7ea70b93f7ff1c53933694d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lol-tiered-elo-v6</t>
        </is>
      </c>
      <c r="BH37" s="24" t="inlineStr">
        <is>
          <t>2026-08-04T16:54:19.630031Z</t>
        </is>
      </c>
      <c r="BI37" s="24" t="inlineStr">
        <is>
          <t>["same_event","same_team_same_day","same_league_same_day"]</t>
        </is>
      </c>
      <c r="BJ37" s="25" t="n"/>
      <c r="BK37" s="26" t="n">
        <v>-104</v>
      </c>
      <c r="BL37" s="27" t="n">
        <v>1.961538</v>
      </c>
      <c r="BM37" s="28" t="n">
        <v>0.509804</v>
      </c>
      <c r="BN37" s="28" t="n"/>
      <c r="BO37" s="28" t="n"/>
      <c r="BP37" s="25" t="n"/>
      <c r="BQ37" s="27" t="n">
        <v>1.961538</v>
      </c>
      <c r="BR37" s="28" t="n">
        <v>0.51</v>
      </c>
      <c r="BS37" s="28" t="n"/>
      <c r="BT37" s="28" t="n"/>
      <c r="BU37" s="25" t="n"/>
      <c r="BV37" s="29" t="n"/>
      <c r="BW37" s="24" t="n"/>
      <c r="BX37" s="30" t="n">
        <v>1</v>
      </c>
      <c r="BY37" s="27" t="n">
        <v>0.91</v>
      </c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3985a2309660461e</t>
        </is>
      </c>
      <c r="B38" s="24" t="inlineStr">
        <is>
          <t>2026-08-04T18:08:50.279200Z</t>
        </is>
      </c>
      <c r="C38" s="24" t="inlineStr">
        <is>
          <t>2026-08-04T20:00:00Z</t>
        </is>
      </c>
      <c r="D38" s="24" t="inlineStr">
        <is>
          <t>69143</t>
        </is>
      </c>
      <c r="E38" s="24" t="inlineStr">
        <is>
          <t>LOL</t>
        </is>
      </c>
      <c r="F38" s="24" t="inlineStr">
        <is>
          <t>Malvinas Gaming</t>
        </is>
      </c>
      <c r="G38" s="24" t="inlineStr">
        <is>
          <t>Maze Gaming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-213</v>
      </c>
      <c r="M38" s="27" t="n">
        <v>1.469484</v>
      </c>
      <c r="N38" s="28" t="n">
        <v>0.680511</v>
      </c>
      <c r="O38" s="28" t="n">
        <v>0.6271600000000001</v>
      </c>
      <c r="P38" s="28" t="n"/>
      <c r="Q38" s="28" t="n">
        <v>-0.053351</v>
      </c>
      <c r="R38" s="26" t="n">
        <v>0</v>
      </c>
      <c r="S38" s="29" t="n">
        <v>1.5</v>
      </c>
      <c r="T38" s="24" t="inlineStr">
        <is>
          <t>lol-tiered-elo-v6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-213</v>
      </c>
      <c r="AA38" s="28" t="n">
        <v>0.68</v>
      </c>
      <c r="AB38" s="28" t="n">
        <v>-0.000511</v>
      </c>
      <c r="AC38" s="30" t="n">
        <v>0.7042</v>
      </c>
      <c r="AD38" s="24" t="inlineStr">
        <is>
          <t>2026-08-05T01:06:23.548766Z</t>
        </is>
      </c>
      <c r="AE38" s="31" t="inlineStr">
        <is>
          <t>Neutral Elo baseline; executable ask 0.6800 (market_slug=aec-lol-maz-mg-2026-08-04).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Malvinas Gaming</t>
        </is>
      </c>
      <c r="AQ38" s="24" t="inlineStr">
        <is>
          <t>Malvinas Gaming</t>
        </is>
      </c>
      <c r="AR38" s="24" t="inlineStr">
        <is>
          <t>Malvinas Gaming</t>
        </is>
      </c>
      <c r="AS38" s="24" t="inlineStr">
        <is>
          <t>Maze Gaming</t>
        </is>
      </c>
      <c r="AT38" s="24" t="inlineStr">
        <is>
          <t>Maze Gaming</t>
        </is>
      </c>
      <c r="AU38" s="24" t="inlineStr">
        <is>
          <t>Maze Gaming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581bb511aff842f9af01d132a2c739b65878388c9d1d8f1182f28b3c271e9a2c</t>
        </is>
      </c>
      <c r="BB38" s="24" t="inlineStr">
        <is>
          <t>neutral_elo</t>
        </is>
      </c>
      <c r="BC38" s="24" t="inlineStr">
        <is>
          <t>lol-tiered-elo-v6</t>
        </is>
      </c>
      <c r="BD38" s="24" t="inlineStr">
        <is>
          <t>581bb511aff842f9af01d132a2c739b65878388c9d1d8f1182f28b3c271e9a2c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lol-tiered-elo-v6</t>
        </is>
      </c>
      <c r="BH38" s="24" t="inlineStr">
        <is>
          <t>2026-08-04T18:08:13.789004Z</t>
        </is>
      </c>
      <c r="BI38" s="24" t="inlineStr">
        <is>
          <t>["same_event","same_team_same_day","same_league_same_day"]</t>
        </is>
      </c>
      <c r="BJ38" s="25" t="n"/>
      <c r="BK38" s="26" t="n">
        <v>-213</v>
      </c>
      <c r="BL38" s="27" t="n">
        <v>1.469484</v>
      </c>
      <c r="BM38" s="28" t="n">
        <v>0.680511</v>
      </c>
      <c r="BN38" s="28" t="n"/>
      <c r="BO38" s="28" t="n"/>
      <c r="BP38" s="25" t="n"/>
      <c r="BQ38" s="27" t="n">
        <v>1.469484</v>
      </c>
      <c r="BR38" s="28" t="n">
        <v>0.68</v>
      </c>
      <c r="BS38" s="28" t="n"/>
      <c r="BT38" s="28" t="n"/>
      <c r="BU38" s="25" t="n"/>
      <c r="BV38" s="29" t="n"/>
      <c r="BW38" s="24" t="n"/>
      <c r="BX38" s="30" t="n">
        <v>1</v>
      </c>
      <c r="BY38" s="27" t="n">
        <v>0.91</v>
      </c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</row>
    <row r="39" ht="36" customHeight="1">
      <c r="A39" s="24" t="inlineStr">
        <is>
          <t>bd39184336f843dd</t>
        </is>
      </c>
      <c r="B39" s="24" t="inlineStr">
        <is>
          <t>2026-08-04T18:08:50.279200Z</t>
        </is>
      </c>
      <c r="C39" s="24" t="inlineStr">
        <is>
          <t>2026-08-04T20:00:00Z</t>
        </is>
      </c>
      <c r="D39" s="24" t="inlineStr">
        <is>
          <t>69144</t>
        </is>
      </c>
      <c r="E39" s="24" t="inlineStr">
        <is>
          <t>LOL</t>
        </is>
      </c>
      <c r="F39" s="24" t="inlineStr">
        <is>
          <t>INTZ e-Sports</t>
        </is>
      </c>
      <c r="G39" s="24" t="inlineStr">
        <is>
          <t>Vivo Keyd Stars Academy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122</v>
      </c>
      <c r="M39" s="27" t="n">
        <v>2.22</v>
      </c>
      <c r="N39" s="28" t="n">
        <v>0.45045</v>
      </c>
      <c r="O39" s="28" t="n">
        <v>0.56541</v>
      </c>
      <c r="P39" s="28" t="n"/>
      <c r="Q39" s="28" t="n">
        <v>0.11496</v>
      </c>
      <c r="R39" s="26" t="n">
        <v>77</v>
      </c>
      <c r="S39" s="29" t="n">
        <v>1</v>
      </c>
      <c r="T39" s="24" t="inlineStr">
        <is>
          <t>lol-tiered-elo-v6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>
        <v>122</v>
      </c>
      <c r="AA39" s="28" t="n">
        <v>0.45</v>
      </c>
      <c r="AB39" s="28" t="n">
        <v>-0.00045</v>
      </c>
      <c r="AC39" s="30" t="n">
        <v>-1</v>
      </c>
      <c r="AD39" s="24" t="inlineStr">
        <is>
          <t>2026-08-04T21:59:53.354486Z</t>
        </is>
      </c>
      <c r="AE39" s="31" t="inlineStr">
        <is>
          <t>Neutral Elo baseline; executable ask 0.4500 (market_slug=aec-lol-vksa-itz-2026-08-04).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INTZ e-Sports</t>
        </is>
      </c>
      <c r="AQ39" s="24" t="inlineStr">
        <is>
          <t>INTZ e-Sports</t>
        </is>
      </c>
      <c r="AR39" s="24" t="inlineStr">
        <is>
          <t>INTZ e-Sports</t>
        </is>
      </c>
      <c r="AS39" s="24" t="inlineStr">
        <is>
          <t>Vivo Keyd Stars Academy</t>
        </is>
      </c>
      <c r="AT39" s="24" t="inlineStr">
        <is>
          <t>Vivo Keyd Stars Academy</t>
        </is>
      </c>
      <c r="AU39" s="24" t="inlineStr">
        <is>
          <t>Vivo Keyd Stars Academy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581bb511aff842f9af01d132a2c739b65878388c9d1d8f1182f28b3c271e9a2c</t>
        </is>
      </c>
      <c r="BB39" s="24" t="inlineStr">
        <is>
          <t>neutral_elo</t>
        </is>
      </c>
      <c r="BC39" s="24" t="inlineStr">
        <is>
          <t>lol-tiered-elo-v6</t>
        </is>
      </c>
      <c r="BD39" s="24" t="inlineStr">
        <is>
          <t>581bb511aff842f9af01d132a2c739b65878388c9d1d8f1182f28b3c271e9a2c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lol-tiered-elo-v6</t>
        </is>
      </c>
      <c r="BH39" s="24" t="inlineStr">
        <is>
          <t>2026-08-04T18:08:14.538966Z</t>
        </is>
      </c>
      <c r="BI39" s="24" t="inlineStr">
        <is>
          <t>["same_event","same_team_same_day","same_league_same_day"]</t>
        </is>
      </c>
      <c r="BJ39" s="25" t="n"/>
      <c r="BK39" s="26" t="n">
        <v>122</v>
      </c>
      <c r="BL39" s="27" t="n">
        <v>2.22</v>
      </c>
      <c r="BM39" s="28" t="n">
        <v>0.45045</v>
      </c>
      <c r="BN39" s="28" t="n"/>
      <c r="BO39" s="28" t="n"/>
      <c r="BP39" s="25" t="n"/>
      <c r="BQ39" s="27" t="n">
        <v>2.22</v>
      </c>
      <c r="BR39" s="28" t="n">
        <v>0.45</v>
      </c>
      <c r="BS39" s="28" t="n"/>
      <c r="BT39" s="28" t="n"/>
      <c r="BU39" s="25" t="n"/>
      <c r="BV39" s="29" t="n"/>
      <c r="BW39" s="24" t="n"/>
      <c r="BX39" s="30" t="n">
        <v>1</v>
      </c>
      <c r="BY39" s="27" t="n">
        <v>-1</v>
      </c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64fa4023946d4aeb</t>
        </is>
      </c>
      <c r="B40" s="24" t="inlineStr">
        <is>
          <t>2026-08-04T18:08:50.279200Z</t>
        </is>
      </c>
      <c r="C40" s="24" t="inlineStr">
        <is>
          <t>2026-08-04T20:00:00Z</t>
        </is>
      </c>
      <c r="D40" s="24" t="inlineStr">
        <is>
          <t>69141</t>
        </is>
      </c>
      <c r="E40" s="24" t="inlineStr">
        <is>
          <t>LOL</t>
        </is>
      </c>
      <c r="F40" s="24" t="inlineStr">
        <is>
          <t>Vitality.Bee</t>
        </is>
      </c>
      <c r="G40" s="24" t="inlineStr">
        <is>
          <t>Karmine Corp Blue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-194</v>
      </c>
      <c r="M40" s="27" t="n">
        <v>1.515464</v>
      </c>
      <c r="N40" s="28" t="n">
        <v>0.659864</v>
      </c>
      <c r="O40" s="28" t="n">
        <v>0.663313</v>
      </c>
      <c r="P40" s="28" t="n"/>
      <c r="Q40" s="28" t="n">
        <v>0.003449</v>
      </c>
      <c r="R40" s="26" t="n">
        <v>22</v>
      </c>
      <c r="S40" s="29" t="n">
        <v>1.75</v>
      </c>
      <c r="T40" s="24" t="inlineStr">
        <is>
          <t>lol-tiered-elo-v6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>
        <v>-194</v>
      </c>
      <c r="AA40" s="28" t="n">
        <v>0.66</v>
      </c>
      <c r="AB40" s="28" t="n">
        <v>0.000136</v>
      </c>
      <c r="AC40" s="30" t="n">
        <v>0.9021</v>
      </c>
      <c r="AD40" s="24" t="inlineStr">
        <is>
          <t>2026-08-04T21:59:54.893203Z</t>
        </is>
      </c>
      <c r="AE40" s="31" t="inlineStr">
        <is>
          <t>Neutral Elo baseline; executable ask 0.6600 (market_slug=aec-lol-kcb-vitb-2026-08-04).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Vitality.Bee</t>
        </is>
      </c>
      <c r="AQ40" s="24" t="inlineStr">
        <is>
          <t>Vitality.Bee</t>
        </is>
      </c>
      <c r="AR40" s="24" t="inlineStr">
        <is>
          <t>Vitality.Bee</t>
        </is>
      </c>
      <c r="AS40" s="24" t="inlineStr">
        <is>
          <t>Karmine Corp Blue</t>
        </is>
      </c>
      <c r="AT40" s="24" t="inlineStr">
        <is>
          <t>Karmine Corp Blue</t>
        </is>
      </c>
      <c r="AU40" s="24" t="inlineStr">
        <is>
          <t>Karmine Corp Blue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581bb511aff842f9af01d132a2c739b65878388c9d1d8f1182f28b3c271e9a2c</t>
        </is>
      </c>
      <c r="BB40" s="24" t="inlineStr">
        <is>
          <t>neutral_elo</t>
        </is>
      </c>
      <c r="BC40" s="24" t="inlineStr">
        <is>
          <t>lol-tiered-elo-v6</t>
        </is>
      </c>
      <c r="BD40" s="24" t="inlineStr">
        <is>
          <t>581bb511aff842f9af01d132a2c739b65878388c9d1d8f1182f28b3c271e9a2c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lol-tiered-elo-v6</t>
        </is>
      </c>
      <c r="BH40" s="24" t="inlineStr">
        <is>
          <t>2026-08-04T18:08:15.286337Z</t>
        </is>
      </c>
      <c r="BI40" s="24" t="inlineStr">
        <is>
          <t>["same_event","same_team_same_day","same_league_same_day"]</t>
        </is>
      </c>
      <c r="BJ40" s="25" t="n"/>
      <c r="BK40" s="26" t="n">
        <v>-194</v>
      </c>
      <c r="BL40" s="27" t="n">
        <v>1.515464</v>
      </c>
      <c r="BM40" s="28" t="n">
        <v>0.659864</v>
      </c>
      <c r="BN40" s="28" t="n"/>
      <c r="BO40" s="28" t="n"/>
      <c r="BP40" s="25" t="n"/>
      <c r="BQ40" s="27" t="n">
        <v>1.515464</v>
      </c>
      <c r="BR40" s="28" t="n">
        <v>0.66</v>
      </c>
      <c r="BS40" s="28" t="n"/>
      <c r="BT40" s="28" t="n"/>
      <c r="BU40" s="25" t="n"/>
      <c r="BV40" s="29" t="n"/>
      <c r="BW40" s="24" t="n"/>
      <c r="BX40" s="30" t="n">
        <v>1</v>
      </c>
      <c r="BY40" s="27" t="n">
        <v>0.91</v>
      </c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a4b03c6c306f403b</t>
        </is>
      </c>
      <c r="B41" s="24" t="inlineStr">
        <is>
          <t>2026-08-04T18:08:50.279200Z</t>
        </is>
      </c>
      <c r="C41" s="24" t="inlineStr">
        <is>
          <t>2026-08-04T21:00:00Z</t>
        </is>
      </c>
      <c r="D41" s="24" t="inlineStr">
        <is>
          <t>69234</t>
        </is>
      </c>
      <c r="E41" s="24" t="inlineStr">
        <is>
          <t>LOL</t>
        </is>
      </c>
      <c r="F41" s="24" t="inlineStr">
        <is>
          <t>Bubliki</t>
        </is>
      </c>
      <c r="G41" s="24" t="inlineStr">
        <is>
          <t>Francesinhas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127</v>
      </c>
      <c r="M41" s="27" t="n">
        <v>2.27</v>
      </c>
      <c r="N41" s="28" t="n">
        <v>0.440529</v>
      </c>
      <c r="O41" s="28" t="n">
        <v>0.518543</v>
      </c>
      <c r="P41" s="28" t="n"/>
      <c r="Q41" s="28" t="n">
        <v>0.078014</v>
      </c>
      <c r="R41" s="26" t="n">
        <v>59</v>
      </c>
      <c r="S41" s="29" t="n">
        <v>1</v>
      </c>
      <c r="T41" s="24" t="inlineStr">
        <is>
          <t>lol-tiered-elo-v6</t>
        </is>
      </c>
      <c r="U41" s="24" t="inlineStr">
        <is>
          <t>settled</t>
        </is>
      </c>
      <c r="V41" s="24" t="inlineStr">
        <is>
          <t>loss</t>
        </is>
      </c>
      <c r="W41" s="26" t="n">
        <v>1</v>
      </c>
      <c r="X41" s="26" t="n">
        <v>0</v>
      </c>
      <c r="Y41" s="25" t="n"/>
      <c r="Z41" s="26" t="n">
        <v>127</v>
      </c>
      <c r="AA41" s="28" t="n">
        <v>0.44</v>
      </c>
      <c r="AB41" s="28" t="n">
        <v>-0.000529</v>
      </c>
      <c r="AC41" s="30" t="n">
        <v>-1</v>
      </c>
      <c r="AD41" s="24" t="inlineStr">
        <is>
          <t>2026-08-04T21:59:56.428752Z</t>
        </is>
      </c>
      <c r="AE41" s="31" t="inlineStr">
        <is>
          <t>Neutral Elo baseline; executable ask 0.4400 (market_slug=aec-lol-fcn-bub-2026-08-04).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NO_CALL_LOW_EDGE</t>
        </is>
      </c>
      <c r="AP41" s="24" t="inlineStr">
        <is>
          <t>Bubliki</t>
        </is>
      </c>
      <c r="AQ41" s="24" t="inlineStr">
        <is>
          <t>Bubliki</t>
        </is>
      </c>
      <c r="AR41" s="24" t="inlineStr">
        <is>
          <t>Bubliki</t>
        </is>
      </c>
      <c r="AS41" s="24" t="inlineStr">
        <is>
          <t>Francesinhas</t>
        </is>
      </c>
      <c r="AT41" s="24" t="inlineStr">
        <is>
          <t>Francesinhas</t>
        </is>
      </c>
      <c r="AU41" s="24" t="inlineStr">
        <is>
          <t>Francesinhas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581bb511aff842f9af01d132a2c739b65878388c9d1d8f1182f28b3c271e9a2c</t>
        </is>
      </c>
      <c r="BB41" s="24" t="inlineStr">
        <is>
          <t>neutral_elo</t>
        </is>
      </c>
      <c r="BC41" s="24" t="inlineStr">
        <is>
          <t>lol-tiered-elo-v6</t>
        </is>
      </c>
      <c r="BD41" s="24" t="inlineStr">
        <is>
          <t>581bb511aff842f9af01d132a2c739b65878388c9d1d8f1182f28b3c271e9a2c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lol-tiered-elo-v6</t>
        </is>
      </c>
      <c r="BH41" s="24" t="inlineStr">
        <is>
          <t>2026-08-04T18:08:16.046088Z</t>
        </is>
      </c>
      <c r="BI41" s="24" t="inlineStr">
        <is>
          <t>["same_event","same_team_same_day","same_league_same_day"]</t>
        </is>
      </c>
      <c r="BJ41" s="25" t="n"/>
      <c r="BK41" s="26" t="n">
        <v>127</v>
      </c>
      <c r="BL41" s="27" t="n">
        <v>2.27</v>
      </c>
      <c r="BM41" s="28" t="n">
        <v>0.440529</v>
      </c>
      <c r="BN41" s="28" t="n"/>
      <c r="BO41" s="28" t="n"/>
      <c r="BP41" s="25" t="n"/>
      <c r="BQ41" s="27" t="n">
        <v>2.27</v>
      </c>
      <c r="BR41" s="28" t="n">
        <v>0.44</v>
      </c>
      <c r="BS41" s="28" t="n"/>
      <c r="BT41" s="28" t="n"/>
      <c r="BU41" s="25" t="n"/>
      <c r="BV41" s="29" t="n"/>
      <c r="BW41" s="24" t="n"/>
      <c r="BX41" s="30" t="n">
        <v>1</v>
      </c>
      <c r="BY41" s="27" t="n">
        <v>-1</v>
      </c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7c589802e1654dae</t>
        </is>
      </c>
      <c r="B42" s="24" t="inlineStr">
        <is>
          <t>2026-08-04T18:08:50.279200Z</t>
        </is>
      </c>
      <c r="C42" s="24" t="inlineStr">
        <is>
          <t>2026-08-04T21:00:00Z</t>
        </is>
      </c>
      <c r="D42" s="24" t="inlineStr">
        <is>
          <t>69233</t>
        </is>
      </c>
      <c r="E42" s="24" t="inlineStr">
        <is>
          <t>LOL</t>
        </is>
      </c>
      <c r="F42" s="24" t="inlineStr">
        <is>
          <t>Team Solid</t>
        </is>
      </c>
      <c r="G42" s="24" t="inlineStr">
        <is>
          <t>RED Academy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203</v>
      </c>
      <c r="M42" s="27" t="n">
        <v>3.03</v>
      </c>
      <c r="N42" s="28" t="n">
        <v>0.330033</v>
      </c>
      <c r="O42" s="28" t="n">
        <v>0.552115</v>
      </c>
      <c r="P42" s="28" t="n"/>
      <c r="Q42" s="28" t="n">
        <v>0.222082</v>
      </c>
      <c r="R42" s="26" t="n">
        <v>100</v>
      </c>
      <c r="S42" s="29" t="n">
        <v>1</v>
      </c>
      <c r="T42" s="24" t="inlineStr">
        <is>
          <t>lol-tiered-elo-v6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203</v>
      </c>
      <c r="AA42" s="28" t="n">
        <v>0.33</v>
      </c>
      <c r="AB42" s="28" t="n">
        <v>-3.3e-05</v>
      </c>
      <c r="AC42" s="30" t="n">
        <v>-1</v>
      </c>
      <c r="AD42" s="24" t="inlineStr">
        <is>
          <t>2026-08-05T01:06:26.072414Z</t>
        </is>
      </c>
      <c r="AE42" s="31" t="inlineStr">
        <is>
          <t>Neutral Elo baseline; executable ask 0.3300 (market_slug=aec-lol-reda-tse-2026-08-04).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Team Solid</t>
        </is>
      </c>
      <c r="AQ42" s="24" t="inlineStr">
        <is>
          <t>Team Solid</t>
        </is>
      </c>
      <c r="AR42" s="24" t="inlineStr">
        <is>
          <t>Team Solid</t>
        </is>
      </c>
      <c r="AS42" s="24" t="inlineStr">
        <is>
          <t>RED Academy</t>
        </is>
      </c>
      <c r="AT42" s="24" t="inlineStr">
        <is>
          <t>RED Academy</t>
        </is>
      </c>
      <c r="AU42" s="24" t="inlineStr">
        <is>
          <t>RED Academy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581bb511aff842f9af01d132a2c739b65878388c9d1d8f1182f28b3c271e9a2c</t>
        </is>
      </c>
      <c r="BB42" s="24" t="inlineStr">
        <is>
          <t>neutral_elo</t>
        </is>
      </c>
      <c r="BC42" s="24" t="inlineStr">
        <is>
          <t>lol-tiered-elo-v6</t>
        </is>
      </c>
      <c r="BD42" s="24" t="inlineStr">
        <is>
          <t>581bb511aff842f9af01d132a2c739b65878388c9d1d8f1182f28b3c271e9a2c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lol-tiered-elo-v6</t>
        </is>
      </c>
      <c r="BH42" s="24" t="inlineStr">
        <is>
          <t>2026-08-04T18:08:16.814975Z</t>
        </is>
      </c>
      <c r="BI42" s="24" t="inlineStr">
        <is>
          <t>["same_event","same_team_same_day","same_league_same_day"]</t>
        </is>
      </c>
      <c r="BJ42" s="25" t="n"/>
      <c r="BK42" s="26" t="n">
        <v>203</v>
      </c>
      <c r="BL42" s="27" t="n">
        <v>3.03</v>
      </c>
      <c r="BM42" s="28" t="n">
        <v>0.330033</v>
      </c>
      <c r="BN42" s="28" t="n"/>
      <c r="BO42" s="28" t="n"/>
      <c r="BP42" s="25" t="n"/>
      <c r="BQ42" s="27" t="n">
        <v>3.03</v>
      </c>
      <c r="BR42" s="28" t="n">
        <v>0.33</v>
      </c>
      <c r="BS42" s="28" t="n"/>
      <c r="BT42" s="28" t="n"/>
      <c r="BU42" s="25" t="n"/>
      <c r="BV42" s="29" t="n"/>
      <c r="BW42" s="24" t="n"/>
      <c r="BX42" s="30" t="n">
        <v>1</v>
      </c>
      <c r="BY42" s="27" t="n">
        <v>-1</v>
      </c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b93c869bd9034b6b</t>
        </is>
      </c>
      <c r="B43" s="24" t="inlineStr">
        <is>
          <t>2026-08-04T18:08:50.279200Z</t>
        </is>
      </c>
      <c r="C43" s="24" t="inlineStr">
        <is>
          <t>2026-08-04T22:00:00Z</t>
        </is>
      </c>
      <c r="D43" s="24" t="inlineStr">
        <is>
          <t>69273</t>
        </is>
      </c>
      <c r="E43" s="24" t="inlineStr">
        <is>
          <t>LOL</t>
        </is>
      </c>
      <c r="F43" s="24" t="inlineStr">
        <is>
          <t>RMD Gaming</t>
        </is>
      </c>
      <c r="G43" s="24" t="inlineStr">
        <is>
          <t>7REX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-113</v>
      </c>
      <c r="M43" s="27" t="n">
        <v>1.884956</v>
      </c>
      <c r="N43" s="28" t="n">
        <v>0.530516</v>
      </c>
      <c r="O43" s="28" t="n">
        <v>0.610688</v>
      </c>
      <c r="P43" s="28" t="n"/>
      <c r="Q43" s="28" t="n">
        <v>0.08017199999999999</v>
      </c>
      <c r="R43" s="26" t="n">
        <v>60</v>
      </c>
      <c r="S43" s="29" t="n">
        <v>1.5</v>
      </c>
      <c r="T43" s="24" t="inlineStr">
        <is>
          <t>lol-tiered-elo-v6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0</v>
      </c>
      <c r="X43" s="26" t="n">
        <v>1</v>
      </c>
      <c r="Y43" s="25" t="n"/>
      <c r="Z43" s="26" t="n">
        <v>-113</v>
      </c>
      <c r="AA43" s="28" t="n">
        <v>0.53</v>
      </c>
      <c r="AB43" s="28" t="n">
        <v>-0.000516</v>
      </c>
      <c r="AC43" s="30" t="n">
        <v>1.3274</v>
      </c>
      <c r="AD43" s="24" t="inlineStr">
        <is>
          <t>2026-08-05T01:06:28.260008Z</t>
        </is>
      </c>
      <c r="AE43" s="31" t="inlineStr">
        <is>
          <t>Neutral Elo baseline; executable ask 0.5300 (market_slug=aec-lol-7rex-rmd-2026-08-04).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RMD Gaming</t>
        </is>
      </c>
      <c r="AQ43" s="24" t="inlineStr">
        <is>
          <t>RMD Gaming</t>
        </is>
      </c>
      <c r="AR43" s="24" t="inlineStr">
        <is>
          <t>RMD Gaming</t>
        </is>
      </c>
      <c r="AS43" s="24" t="inlineStr">
        <is>
          <t>7REX</t>
        </is>
      </c>
      <c r="AT43" s="24" t="inlineStr">
        <is>
          <t>7REX</t>
        </is>
      </c>
      <c r="AU43" s="24" t="inlineStr">
        <is>
          <t>7REX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581bb511aff842f9af01d132a2c739b65878388c9d1d8f1182f28b3c271e9a2c</t>
        </is>
      </c>
      <c r="BB43" s="24" t="inlineStr">
        <is>
          <t>neutral_elo</t>
        </is>
      </c>
      <c r="BC43" s="24" t="inlineStr">
        <is>
          <t>lol-tiered-elo-v6</t>
        </is>
      </c>
      <c r="BD43" s="24" t="inlineStr">
        <is>
          <t>581bb511aff842f9af01d132a2c739b65878388c9d1d8f1182f28b3c271e9a2c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lol-tiered-elo-v6</t>
        </is>
      </c>
      <c r="BH43" s="24" t="inlineStr">
        <is>
          <t>2026-08-04T18:08:17.591273Z</t>
        </is>
      </c>
      <c r="BI43" s="24" t="inlineStr">
        <is>
          <t>["same_event","same_team_same_day","same_league_same_day"]</t>
        </is>
      </c>
      <c r="BJ43" s="25" t="n"/>
      <c r="BK43" s="26" t="n">
        <v>-113</v>
      </c>
      <c r="BL43" s="27" t="n">
        <v>1.884956</v>
      </c>
      <c r="BM43" s="28" t="n">
        <v>0.530516</v>
      </c>
      <c r="BN43" s="28" t="n"/>
      <c r="BO43" s="28" t="n"/>
      <c r="BP43" s="25" t="n"/>
      <c r="BQ43" s="27" t="n">
        <v>1.884956</v>
      </c>
      <c r="BR43" s="28" t="n">
        <v>0.53</v>
      </c>
      <c r="BS43" s="28" t="n"/>
      <c r="BT43" s="28" t="n"/>
      <c r="BU43" s="25" t="n"/>
      <c r="BV43" s="29" t="n"/>
      <c r="BW43" s="24" t="n"/>
      <c r="BX43" s="30" t="n">
        <v>1</v>
      </c>
      <c r="BY43" s="27" t="n">
        <v>0.91</v>
      </c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c139e1599b324f74</t>
        </is>
      </c>
      <c r="B44" s="24" t="inlineStr">
        <is>
          <t>2026-08-04T22:03:07.434111Z</t>
        </is>
      </c>
      <c r="C44" s="24" t="inlineStr">
        <is>
          <t>2026-08-04T23:00:00Z</t>
        </is>
      </c>
      <c r="D44" s="24" t="inlineStr">
        <is>
          <t>69304</t>
        </is>
      </c>
      <c r="E44" s="24" t="inlineStr">
        <is>
          <t>LOL</t>
        </is>
      </c>
      <c r="F44" s="24" t="inlineStr">
        <is>
          <t>paiN Gaming Academy</t>
        </is>
      </c>
      <c r="G44" s="24" t="inlineStr">
        <is>
          <t>KaBuM! Ilha das Lendas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-117</v>
      </c>
      <c r="M44" s="27" t="n">
        <v>1.854701</v>
      </c>
      <c r="N44" s="28" t="n">
        <v>0.539171</v>
      </c>
      <c r="O44" s="28" t="n">
        <v>0.542093</v>
      </c>
      <c r="P44" s="28" t="n"/>
      <c r="Q44" s="28" t="n">
        <v>0.002922</v>
      </c>
      <c r="R44" s="26" t="n">
        <v>21</v>
      </c>
      <c r="S44" s="29" t="n">
        <v>1</v>
      </c>
      <c r="T44" s="24" t="inlineStr">
        <is>
          <t>lol-tiered-elo-v6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0</v>
      </c>
      <c r="X44" s="26" t="n">
        <v>1</v>
      </c>
      <c r="Y44" s="25" t="n"/>
      <c r="Z44" s="26" t="n">
        <v>-117</v>
      </c>
      <c r="AA44" s="28" t="n">
        <v>0.54</v>
      </c>
      <c r="AB44" s="28" t="n">
        <v>0.000829</v>
      </c>
      <c r="AC44" s="30" t="n">
        <v>-1</v>
      </c>
      <c r="AD44" s="24" t="inlineStr">
        <is>
          <t>2026-08-05T01:06:31.023142Z</t>
        </is>
      </c>
      <c r="AE44" s="31" t="inlineStr">
        <is>
          <t>Neutral Elo baseline; executable ask 0.5400 (market_slug=aec-lol-kbm-pnga-2026-08-04).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paiN Gaming Academy</t>
        </is>
      </c>
      <c r="AQ44" s="24" t="inlineStr">
        <is>
          <t>paiN Gaming Academy</t>
        </is>
      </c>
      <c r="AR44" s="24" t="inlineStr">
        <is>
          <t>paiN Gaming Academy</t>
        </is>
      </c>
      <c r="AS44" s="24" t="inlineStr">
        <is>
          <t>KaBuM! Ilha das Lendas</t>
        </is>
      </c>
      <c r="AT44" s="24" t="inlineStr">
        <is>
          <t>KaBuM! Ilha das Lendas</t>
        </is>
      </c>
      <c r="AU44" s="24" t="inlineStr">
        <is>
          <t>KaBuM! Ilha das Lendas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97b6e7d388d98e9492a794fb2cdef05114fd516a988a71f95285158326a46434</t>
        </is>
      </c>
      <c r="BB44" s="24" t="inlineStr">
        <is>
          <t>neutral_elo</t>
        </is>
      </c>
      <c r="BC44" s="24" t="inlineStr">
        <is>
          <t>lol-tiered-elo-v6</t>
        </is>
      </c>
      <c r="BD44" s="24" t="inlineStr">
        <is>
          <t>97b6e7d388d98e9492a794fb2cdef05114fd516a988a71f95285158326a46434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lol-tiered-elo-v6</t>
        </is>
      </c>
      <c r="BH44" s="24" t="inlineStr">
        <is>
          <t>2026-08-04T22:02:38.695907Z</t>
        </is>
      </c>
      <c r="BI44" s="24" t="inlineStr">
        <is>
          <t>["same_event","same_team_same_day","same_league_same_day"]</t>
        </is>
      </c>
      <c r="BJ44" s="25" t="n"/>
      <c r="BK44" s="26" t="n">
        <v>-117</v>
      </c>
      <c r="BL44" s="27" t="n">
        <v>1.854701</v>
      </c>
      <c r="BM44" s="28" t="n">
        <v>0.539171</v>
      </c>
      <c r="BN44" s="28" t="n"/>
      <c r="BO44" s="28" t="n"/>
      <c r="BP44" s="25" t="n"/>
      <c r="BQ44" s="27" t="n">
        <v>1.854701</v>
      </c>
      <c r="BR44" s="28" t="n">
        <v>0.54</v>
      </c>
      <c r="BS44" s="28" t="n"/>
      <c r="BT44" s="28" t="n"/>
      <c r="BU44" s="25" t="n"/>
      <c r="BV44" s="29" t="n"/>
      <c r="BW44" s="24" t="n"/>
      <c r="BX44" s="30" t="n">
        <v>1</v>
      </c>
      <c r="BY44" s="27" t="n">
        <v>-1</v>
      </c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</row>
    <row r="45" ht="36" customHeight="1">
      <c r="A45" s="24" t="inlineStr">
        <is>
          <t>b2a95723c8aa4852</t>
        </is>
      </c>
      <c r="B45" s="24" t="inlineStr">
        <is>
          <t>2026-08-05T04:39:12.089327Z</t>
        </is>
      </c>
      <c r="C45" s="24" t="inlineStr">
        <is>
          <t>2026-08-05T05:00:00Z</t>
        </is>
      </c>
      <c r="D45" s="24" t="inlineStr">
        <is>
          <t>69506</t>
        </is>
      </c>
      <c r="E45" s="24" t="inlineStr">
        <is>
          <t>LOL</t>
        </is>
      </c>
      <c r="F45" s="24" t="inlineStr">
        <is>
          <t>Kiwoom DRX Challengers</t>
        </is>
      </c>
      <c r="G45" s="24" t="inlineStr">
        <is>
          <t>BNK FearX Youth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138</v>
      </c>
      <c r="M45" s="27" t="n">
        <v>2.38</v>
      </c>
      <c r="N45" s="28" t="n">
        <v>0.420168</v>
      </c>
      <c r="O45" s="28" t="n">
        <v>0.5592200000000001</v>
      </c>
      <c r="P45" s="28" t="n"/>
      <c r="Q45" s="28" t="n">
        <v>0.139052</v>
      </c>
      <c r="R45" s="26" t="n">
        <v>90</v>
      </c>
      <c r="S45" s="29" t="n">
        <v>1</v>
      </c>
      <c r="T45" s="24" t="inlineStr">
        <is>
          <t>lol-tiered-elo-v6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144</v>
      </c>
      <c r="AA45" s="28" t="n">
        <v>0.41</v>
      </c>
      <c r="AB45" s="28" t="n">
        <v>-0.010168</v>
      </c>
      <c r="AC45" s="30" t="n">
        <v>-1</v>
      </c>
      <c r="AD45" s="24" t="inlineStr">
        <is>
          <t>2026-08-05T10:17:46.347305Z</t>
        </is>
      </c>
      <c r="AE45" s="31" t="inlineStr">
        <is>
          <t>Neutral Elo baseline; executable ask 0.4200 (market_slug=aec-lol-foxy-krxc-2026-08-05).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Kiwoom DRX Challengers</t>
        </is>
      </c>
      <c r="AQ45" s="24" t="inlineStr">
        <is>
          <t>Kiwoom DRX Challengers</t>
        </is>
      </c>
      <c r="AR45" s="24" t="inlineStr">
        <is>
          <t>Kiwoom DRX Challengers</t>
        </is>
      </c>
      <c r="AS45" s="24" t="inlineStr">
        <is>
          <t>BNK FearX Youth</t>
        </is>
      </c>
      <c r="AT45" s="24" t="inlineStr">
        <is>
          <t>BNK FearX Youth</t>
        </is>
      </c>
      <c r="AU45" s="24" t="inlineStr">
        <is>
          <t>BNK FearX Youth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9a8d5ad7f045de5eb1cb17aea82bbcf9812b40ca30a6256eba6436fea9a94482</t>
        </is>
      </c>
      <c r="BB45" s="24" t="inlineStr">
        <is>
          <t>neutral_elo</t>
        </is>
      </c>
      <c r="BC45" s="24" t="inlineStr">
        <is>
          <t>lol-tiered-elo-v6</t>
        </is>
      </c>
      <c r="BD45" s="24" t="inlineStr">
        <is>
          <t>9a8d5ad7f045de5eb1cb17aea82bbcf9812b40ca30a6256eba6436fea9a94482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lol-tiered-elo-v6</t>
        </is>
      </c>
      <c r="BH45" s="24" t="inlineStr">
        <is>
          <t>2026-08-05T04:38:09.799050Z</t>
        </is>
      </c>
      <c r="BI45" s="24" t="inlineStr">
        <is>
          <t>["same_event","same_team_same_day","same_league_same_day"]</t>
        </is>
      </c>
      <c r="BJ45" s="25" t="n"/>
      <c r="BK45" s="26" t="n">
        <v>138</v>
      </c>
      <c r="BL45" s="27" t="n">
        <v>2.38</v>
      </c>
      <c r="BM45" s="28" t="n">
        <v>0.420168</v>
      </c>
      <c r="BN45" s="28" t="n"/>
      <c r="BO45" s="28" t="n"/>
      <c r="BP45" s="25" t="n"/>
      <c r="BQ45" s="27" t="n">
        <v>2.44</v>
      </c>
      <c r="BR45" s="28" t="n">
        <v>0.41</v>
      </c>
      <c r="BS45" s="28" t="n"/>
      <c r="BT45" s="28" t="n"/>
      <c r="BU45" s="25" t="n"/>
      <c r="BV45" s="29" t="n"/>
      <c r="BW45" s="24" t="n"/>
      <c r="BX45" s="30" t="n">
        <v>1</v>
      </c>
      <c r="BY45" s="27" t="n">
        <v>-1</v>
      </c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</row>
    <row r="46" ht="36" customHeight="1">
      <c r="A46" s="24" t="inlineStr">
        <is>
          <t>a8af35d46d754d4b</t>
        </is>
      </c>
      <c r="B46" s="24" t="inlineStr">
        <is>
          <t>2026-08-05T04:39:12.089327Z</t>
        </is>
      </c>
      <c r="C46" s="24" t="inlineStr">
        <is>
          <t>2026-08-05T05:00:00Z</t>
        </is>
      </c>
      <c r="D46" s="24" t="inlineStr">
        <is>
          <t>69507</t>
        </is>
      </c>
      <c r="E46" s="24" t="inlineStr">
        <is>
          <t>LOL</t>
        </is>
      </c>
      <c r="F46" s="24" t="inlineStr">
        <is>
          <t>Nongshim Esports Academy</t>
        </is>
      </c>
      <c r="G46" s="24" t="inlineStr">
        <is>
          <t>Dplus KIA Challengers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-104</v>
      </c>
      <c r="M46" s="27" t="n">
        <v>1.961538</v>
      </c>
      <c r="N46" s="28" t="n">
        <v>0.509804</v>
      </c>
      <c r="O46" s="28" t="n">
        <v>0.675544</v>
      </c>
      <c r="P46" s="28" t="n"/>
      <c r="Q46" s="28" t="n">
        <v>0.16574</v>
      </c>
      <c r="R46" s="26" t="n">
        <v>100</v>
      </c>
      <c r="S46" s="29" t="n">
        <v>1.75</v>
      </c>
      <c r="T46" s="24" t="inlineStr">
        <is>
          <t>lol-tiered-elo-v6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-104</v>
      </c>
      <c r="AA46" s="28" t="n">
        <v>0.51</v>
      </c>
      <c r="AB46" s="28" t="n">
        <v>0.000196</v>
      </c>
      <c r="AC46" s="30" t="n">
        <v>1.6827</v>
      </c>
      <c r="AD46" s="24" t="inlineStr">
        <is>
          <t>2026-08-05T10:17:48.746724Z</t>
        </is>
      </c>
      <c r="AE46" s="31" t="inlineStr">
        <is>
          <t>Neutral Elo baseline; executable ask 0.5100 (market_slug=aec-lol-dkc-nsea-2026-08-05).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Nongshim Esports Academy</t>
        </is>
      </c>
      <c r="AQ46" s="24" t="inlineStr">
        <is>
          <t>Nongshim Esports Academy</t>
        </is>
      </c>
      <c r="AR46" s="24" t="inlineStr">
        <is>
          <t>Nongshim Esports Academy</t>
        </is>
      </c>
      <c r="AS46" s="24" t="inlineStr">
        <is>
          <t>Dplus KIA Challengers</t>
        </is>
      </c>
      <c r="AT46" s="24" t="inlineStr">
        <is>
          <t>Dplus KIA Challengers</t>
        </is>
      </c>
      <c r="AU46" s="24" t="inlineStr">
        <is>
          <t>Dplus KIA Challengers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9a8d5ad7f045de5eb1cb17aea82bbcf9812b40ca30a6256eba6436fea9a94482</t>
        </is>
      </c>
      <c r="BB46" s="24" t="inlineStr">
        <is>
          <t>neutral_elo</t>
        </is>
      </c>
      <c r="BC46" s="24" t="inlineStr">
        <is>
          <t>lol-tiered-elo-v6</t>
        </is>
      </c>
      <c r="BD46" s="24" t="inlineStr">
        <is>
          <t>9a8d5ad7f045de5eb1cb17aea82bbcf9812b40ca30a6256eba6436fea9a94482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lol-tiered-elo-v6</t>
        </is>
      </c>
      <c r="BH46" s="24" t="inlineStr">
        <is>
          <t>2026-08-05T04:38:10.815485Z</t>
        </is>
      </c>
      <c r="BI46" s="24" t="inlineStr">
        <is>
          <t>["same_event","same_team_same_day","same_league_same_day"]</t>
        </is>
      </c>
      <c r="BJ46" s="25" t="n"/>
      <c r="BK46" s="26" t="n">
        <v>-104</v>
      </c>
      <c r="BL46" s="27" t="n">
        <v>1.961538</v>
      </c>
      <c r="BM46" s="28" t="n">
        <v>0.509804</v>
      </c>
      <c r="BN46" s="28" t="n"/>
      <c r="BO46" s="28" t="n"/>
      <c r="BP46" s="25" t="n"/>
      <c r="BQ46" s="27" t="n">
        <v>1.961538</v>
      </c>
      <c r="BR46" s="28" t="n">
        <v>0.51</v>
      </c>
      <c r="BS46" s="28" t="n"/>
      <c r="BT46" s="28" t="n"/>
      <c r="BU46" s="25" t="n"/>
      <c r="BV46" s="29" t="n"/>
      <c r="BW46" s="24" t="n"/>
      <c r="BX46" s="30" t="n">
        <v>1</v>
      </c>
      <c r="BY46" s="27" t="n">
        <v>0.91</v>
      </c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60355cfdd4f64949</t>
        </is>
      </c>
      <c r="B47" s="24" t="inlineStr">
        <is>
          <t>2026-08-05T04:39:12.089327Z</t>
        </is>
      </c>
      <c r="C47" s="24" t="inlineStr">
        <is>
          <t>2026-08-05T08:00:00Z</t>
        </is>
      </c>
      <c r="D47" s="24" t="inlineStr">
        <is>
          <t>69511</t>
        </is>
      </c>
      <c r="E47" s="24" t="inlineStr">
        <is>
          <t>LOL</t>
        </is>
      </c>
      <c r="F47" s="24" t="inlineStr">
        <is>
          <t>New Meta</t>
        </is>
      </c>
      <c r="G47" s="24" t="inlineStr">
        <is>
          <t>FENNEL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-223</v>
      </c>
      <c r="M47" s="27" t="n">
        <v>1.44843</v>
      </c>
      <c r="N47" s="28" t="n">
        <v>0.690402</v>
      </c>
      <c r="O47" s="28" t="n">
        <v>0.692195</v>
      </c>
      <c r="P47" s="28" t="n"/>
      <c r="Q47" s="28" t="n">
        <v>0.001793</v>
      </c>
      <c r="R47" s="26" t="n">
        <v>21</v>
      </c>
      <c r="S47" s="29" t="n">
        <v>2</v>
      </c>
      <c r="T47" s="24" t="inlineStr">
        <is>
          <t>lol-tiered-elo-v6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-223</v>
      </c>
      <c r="AA47" s="28" t="n">
        <v>0.6899999999999999</v>
      </c>
      <c r="AB47" s="28" t="n">
        <v>-0.000402</v>
      </c>
      <c r="AC47" s="30" t="n">
        <v>0.8969</v>
      </c>
      <c r="AD47" s="24" t="inlineStr">
        <is>
          <t>2026-08-05T10:41:19.592577Z</t>
        </is>
      </c>
      <c r="AE47" s="31" t="inlineStr">
        <is>
          <t>Neutral Elo baseline; executable ask 0.6900 (market_slug=aec-lol-fnl-nme-2026-08-05).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New Meta</t>
        </is>
      </c>
      <c r="AQ47" s="24" t="inlineStr">
        <is>
          <t>New Meta</t>
        </is>
      </c>
      <c r="AR47" s="24" t="inlineStr">
        <is>
          <t>New Meta</t>
        </is>
      </c>
      <c r="AS47" s="24" t="inlineStr">
        <is>
          <t>FENNEL</t>
        </is>
      </c>
      <c r="AT47" s="24" t="inlineStr">
        <is>
          <t>FENNEL</t>
        </is>
      </c>
      <c r="AU47" s="24" t="inlineStr">
        <is>
          <t>FENNEL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9a8d5ad7f045de5eb1cb17aea82bbcf9812b40ca30a6256eba6436fea9a94482</t>
        </is>
      </c>
      <c r="BB47" s="24" t="inlineStr">
        <is>
          <t>neutral_elo</t>
        </is>
      </c>
      <c r="BC47" s="24" t="inlineStr">
        <is>
          <t>lol-tiered-elo-v6</t>
        </is>
      </c>
      <c r="BD47" s="24" t="inlineStr">
        <is>
          <t>9a8d5ad7f045de5eb1cb17aea82bbcf9812b40ca30a6256eba6436fea9a94482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lol-tiered-elo-v6</t>
        </is>
      </c>
      <c r="BH47" s="24" t="inlineStr">
        <is>
          <t>2026-08-05T04:38:12.003217Z</t>
        </is>
      </c>
      <c r="BI47" s="24" t="inlineStr">
        <is>
          <t>["same_event","same_team_same_day","same_league_same_day"]</t>
        </is>
      </c>
      <c r="BJ47" s="25" t="n"/>
      <c r="BK47" s="26" t="n">
        <v>-223</v>
      </c>
      <c r="BL47" s="27" t="n">
        <v>1.44843</v>
      </c>
      <c r="BM47" s="28" t="n">
        <v>0.690402</v>
      </c>
      <c r="BN47" s="28" t="n"/>
      <c r="BO47" s="28" t="n"/>
      <c r="BP47" s="25" t="n"/>
      <c r="BQ47" s="27" t="n">
        <v>1.44843</v>
      </c>
      <c r="BR47" s="28" t="n">
        <v>0.6899999999999999</v>
      </c>
      <c r="BS47" s="28" t="n"/>
      <c r="BT47" s="28" t="n"/>
      <c r="BU47" s="25" t="n"/>
      <c r="BV47" s="29" t="n"/>
      <c r="BW47" s="24" t="n"/>
      <c r="BX47" s="30" t="n">
        <v>1</v>
      </c>
      <c r="BY47" s="27" t="n">
        <v>0.91</v>
      </c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</row>
    <row r="48" ht="36" customHeight="1">
      <c r="A48" s="24" t="inlineStr">
        <is>
          <t>ad28733883f34051</t>
        </is>
      </c>
      <c r="B48" s="24" t="inlineStr">
        <is>
          <t>2026-08-05T04:39:12.089327Z</t>
        </is>
      </c>
      <c r="C48" s="24" t="inlineStr">
        <is>
          <t>2026-08-05T08:00:00Z</t>
        </is>
      </c>
      <c r="D48" s="24" t="inlineStr">
        <is>
          <t>69512</t>
        </is>
      </c>
      <c r="E48" s="24" t="inlineStr">
        <is>
          <t>LOL</t>
        </is>
      </c>
      <c r="F48" s="24" t="inlineStr">
        <is>
          <t>Nongshim Red Force</t>
        </is>
      </c>
      <c r="G48" s="24" t="inlineStr">
        <is>
          <t>HANJIN BRION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-233</v>
      </c>
      <c r="M48" s="27" t="n">
        <v>1.429185</v>
      </c>
      <c r="N48" s="28" t="n">
        <v>0.6997</v>
      </c>
      <c r="O48" s="28" t="n">
        <v>0.7818929999999999</v>
      </c>
      <c r="P48" s="28" t="n"/>
      <c r="Q48" s="28" t="n">
        <v>0.082193</v>
      </c>
      <c r="R48" s="26" t="n">
        <v>61</v>
      </c>
      <c r="S48" s="29" t="n">
        <v>2</v>
      </c>
      <c r="T48" s="24" t="inlineStr">
        <is>
          <t>lol-tiered-elo-v6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0</v>
      </c>
      <c r="X48" s="26" t="n">
        <v>1</v>
      </c>
      <c r="Y48" s="25" t="n"/>
      <c r="Z48" s="26" t="n">
        <v>-233</v>
      </c>
      <c r="AA48" s="28" t="n">
        <v>0.7</v>
      </c>
      <c r="AB48" s="28" t="n">
        <v>0.0003</v>
      </c>
      <c r="AC48" s="30" t="n">
        <v>-2</v>
      </c>
      <c r="AD48" s="24" t="inlineStr">
        <is>
          <t>2026-08-05T10:41:21.920279Z</t>
        </is>
      </c>
      <c r="AE48" s="31" t="inlineStr">
        <is>
          <t>Neutral Elo baseline; executable ask 0.7000 (market_slug=aec-lol-bro-ns-2026-08-05).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Nongshim Red Force</t>
        </is>
      </c>
      <c r="AQ48" s="24" t="inlineStr">
        <is>
          <t>Nongshim Red Force</t>
        </is>
      </c>
      <c r="AR48" s="24" t="inlineStr">
        <is>
          <t>Nongshim Red Force</t>
        </is>
      </c>
      <c r="AS48" s="24" t="inlineStr">
        <is>
          <t>HANJIN BRION</t>
        </is>
      </c>
      <c r="AT48" s="24" t="inlineStr">
        <is>
          <t>HANJIN BRION</t>
        </is>
      </c>
      <c r="AU48" s="24" t="inlineStr">
        <is>
          <t>HANJIN BRION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9a8d5ad7f045de5eb1cb17aea82bbcf9812b40ca30a6256eba6436fea9a94482</t>
        </is>
      </c>
      <c r="BB48" s="24" t="inlineStr">
        <is>
          <t>neutral_elo</t>
        </is>
      </c>
      <c r="BC48" s="24" t="inlineStr">
        <is>
          <t>lol-tiered-elo-v6</t>
        </is>
      </c>
      <c r="BD48" s="24" t="inlineStr">
        <is>
          <t>9a8d5ad7f045de5eb1cb17aea82bbcf9812b40ca30a6256eba6436fea9a94482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lol-tiered-elo-v6</t>
        </is>
      </c>
      <c r="BH48" s="24" t="inlineStr">
        <is>
          <t>2026-08-05T04:38:12.947438Z</t>
        </is>
      </c>
      <c r="BI48" s="24" t="inlineStr">
        <is>
          <t>["same_event","same_team_same_day","same_league_same_day"]</t>
        </is>
      </c>
      <c r="BJ48" s="25" t="n"/>
      <c r="BK48" s="26" t="n">
        <v>-233</v>
      </c>
      <c r="BL48" s="27" t="n">
        <v>1.429185</v>
      </c>
      <c r="BM48" s="28" t="n">
        <v>0.6997</v>
      </c>
      <c r="BN48" s="28" t="n"/>
      <c r="BO48" s="28" t="n"/>
      <c r="BP48" s="25" t="n"/>
      <c r="BQ48" s="27" t="n">
        <v>1.429185</v>
      </c>
      <c r="BR48" s="28" t="n">
        <v>0.7</v>
      </c>
      <c r="BS48" s="28" t="n"/>
      <c r="BT48" s="28" t="n"/>
      <c r="BU48" s="25" t="n"/>
      <c r="BV48" s="29" t="n"/>
      <c r="BW48" s="24" t="n"/>
      <c r="BX48" s="30" t="n">
        <v>1</v>
      </c>
      <c r="BY48" s="27" t="n">
        <v>-1</v>
      </c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1b6389cb8a3749e3</t>
        </is>
      </c>
      <c r="B49" s="24" t="inlineStr">
        <is>
          <t>2026-08-05T04:39:12.089327Z</t>
        </is>
      </c>
      <c r="C49" s="24" t="inlineStr">
        <is>
          <t>2026-08-05T10:00:00Z</t>
        </is>
      </c>
      <c r="D49" s="24" t="inlineStr">
        <is>
          <t>69539</t>
        </is>
      </c>
      <c r="E49" s="24" t="inlineStr">
        <is>
          <t>LOL</t>
        </is>
      </c>
      <c r="F49" s="24" t="inlineStr">
        <is>
          <t>Gen.G</t>
        </is>
      </c>
      <c r="G49" s="24" t="inlineStr">
        <is>
          <t>Hanwha Life Esports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-108</v>
      </c>
      <c r="M49" s="27" t="n">
        <v>1.925926</v>
      </c>
      <c r="N49" s="28" t="n">
        <v>0.519231</v>
      </c>
      <c r="O49" s="28" t="n">
        <v>0.6212029999999999</v>
      </c>
      <c r="P49" s="28" t="n"/>
      <c r="Q49" s="28" t="n">
        <v>0.101972</v>
      </c>
      <c r="R49" s="26" t="n">
        <v>71</v>
      </c>
      <c r="S49" s="29" t="n">
        <v>1.5</v>
      </c>
      <c r="T49" s="24" t="inlineStr">
        <is>
          <t>lol-tiered-elo-v6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>
        <v>-108</v>
      </c>
      <c r="AA49" s="28" t="n">
        <v>0.52</v>
      </c>
      <c r="AB49" s="28" t="n">
        <v>0.000769</v>
      </c>
      <c r="AC49" s="30" t="n">
        <v>-1.5</v>
      </c>
      <c r="AD49" s="24" t="inlineStr">
        <is>
          <t>2026-08-05T17:00:47.637235Z</t>
        </is>
      </c>
      <c r="AE49" s="31" t="inlineStr">
        <is>
          <t>Neutral Elo baseline; executable ask 0.5200 (market_slug=aec-lol-hle-gen-2026-08-05).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Gen.G</t>
        </is>
      </c>
      <c r="AQ49" s="24" t="inlineStr">
        <is>
          <t>Gen.G</t>
        </is>
      </c>
      <c r="AR49" s="24" t="inlineStr">
        <is>
          <t>Gen.G</t>
        </is>
      </c>
      <c r="AS49" s="24" t="inlineStr">
        <is>
          <t>Hanwha Life Esports</t>
        </is>
      </c>
      <c r="AT49" s="24" t="inlineStr">
        <is>
          <t>Hanwha Life Esports</t>
        </is>
      </c>
      <c r="AU49" s="24" t="inlineStr">
        <is>
          <t>Hanwha Life Esports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9a8d5ad7f045de5eb1cb17aea82bbcf9812b40ca30a6256eba6436fea9a94482</t>
        </is>
      </c>
      <c r="BB49" s="24" t="inlineStr">
        <is>
          <t>neutral_elo</t>
        </is>
      </c>
      <c r="BC49" s="24" t="inlineStr">
        <is>
          <t>lol-tiered-elo-v6</t>
        </is>
      </c>
      <c r="BD49" s="24" t="inlineStr">
        <is>
          <t>9a8d5ad7f045de5eb1cb17aea82bbcf9812b40ca30a6256eba6436fea9a94482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lol-tiered-elo-v6</t>
        </is>
      </c>
      <c r="BH49" s="24" t="inlineStr">
        <is>
          <t>2026-08-05T04:38:15.141988Z</t>
        </is>
      </c>
      <c r="BI49" s="24" t="inlineStr">
        <is>
          <t>["same_event","same_team_same_day","same_league_same_day"]</t>
        </is>
      </c>
      <c r="BJ49" s="25" t="n"/>
      <c r="BK49" s="26" t="n">
        <v>-108</v>
      </c>
      <c r="BL49" s="27" t="n">
        <v>1.925926</v>
      </c>
      <c r="BM49" s="28" t="n">
        <v>0.519231</v>
      </c>
      <c r="BN49" s="28" t="n"/>
      <c r="BO49" s="28" t="n"/>
      <c r="BP49" s="25" t="n"/>
      <c r="BQ49" s="27" t="n">
        <v>1.925926</v>
      </c>
      <c r="BR49" s="28" t="n">
        <v>0.52</v>
      </c>
      <c r="BS49" s="28" t="n"/>
      <c r="BT49" s="28" t="n"/>
      <c r="BU49" s="25" t="n"/>
      <c r="BV49" s="29" t="n"/>
      <c r="BW49" s="24" t="n"/>
      <c r="BX49" s="30" t="n">
        <v>1</v>
      </c>
      <c r="BY49" s="27" t="n">
        <v>-1</v>
      </c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244e97086bfd444f</t>
        </is>
      </c>
      <c r="B50" s="24" t="inlineStr">
        <is>
          <t>2026-08-05T13:56:43.896254Z</t>
        </is>
      </c>
      <c r="C50" s="24" t="inlineStr">
        <is>
          <t>2026-08-05T16:00:00Z</t>
        </is>
      </c>
      <c r="D50" s="24" t="inlineStr">
        <is>
          <t>69818</t>
        </is>
      </c>
      <c r="E50" s="24" t="inlineStr">
        <is>
          <t>LOL</t>
        </is>
      </c>
      <c r="F50" s="24" t="inlineStr">
        <is>
          <t>Pyramid IV Esports</t>
        </is>
      </c>
      <c r="G50" s="24" t="inlineStr">
        <is>
          <t>JSK Esports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138</v>
      </c>
      <c r="M50" s="27" t="n">
        <v>2.38</v>
      </c>
      <c r="N50" s="28" t="n">
        <v>0.420168</v>
      </c>
      <c r="O50" s="28" t="n">
        <v>0.513767</v>
      </c>
      <c r="P50" s="28" t="n"/>
      <c r="Q50" s="28" t="n">
        <v>0.093599</v>
      </c>
      <c r="R50" s="26" t="n">
        <v>67</v>
      </c>
      <c r="S50" s="29" t="n">
        <v>1</v>
      </c>
      <c r="T50" s="24" t="inlineStr">
        <is>
          <t>lol-tiered-elo-v6</t>
        </is>
      </c>
      <c r="U50" s="24" t="inlineStr">
        <is>
          <t>settled</t>
        </is>
      </c>
      <c r="V50" s="24" t="inlineStr">
        <is>
          <t>loss</t>
        </is>
      </c>
      <c r="W50" s="26" t="n">
        <v>0</v>
      </c>
      <c r="X50" s="26" t="n">
        <v>1</v>
      </c>
      <c r="Y50" s="25" t="n"/>
      <c r="Z50" s="26" t="n">
        <v>138</v>
      </c>
      <c r="AA50" s="28" t="n">
        <v>0.42</v>
      </c>
      <c r="AB50" s="28" t="n">
        <v>-0.000168</v>
      </c>
      <c r="AC50" s="30" t="n">
        <v>-1</v>
      </c>
      <c r="AD50" s="24" t="inlineStr">
        <is>
          <t>2026-08-05T20:59:36.529356Z</t>
        </is>
      </c>
      <c r="AE50" s="31" t="inlineStr">
        <is>
          <t>Neutral Elo baseline; executable ask 0.4200 (market_slug=aec-lol-jsk-piv-2026-08-05).</t>
        </is>
      </c>
      <c r="AF50" s="31" t="inlineStr">
        <is>
          <t>Config-promoted esports baseline; gates enforced at log time.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NO_CALL_LOW_EDGE</t>
        </is>
      </c>
      <c r="AP50" s="24" t="inlineStr">
        <is>
          <t>Pyramid IV Esports</t>
        </is>
      </c>
      <c r="AQ50" s="24" t="inlineStr">
        <is>
          <t>Pyramid IV Esports</t>
        </is>
      </c>
      <c r="AR50" s="24" t="inlineStr">
        <is>
          <t>Pyramid IV Esports</t>
        </is>
      </c>
      <c r="AS50" s="24" t="inlineStr">
        <is>
          <t>JSK Esports</t>
        </is>
      </c>
      <c r="AT50" s="24" t="inlineStr">
        <is>
          <t>JSK Esports</t>
        </is>
      </c>
      <c r="AU50" s="24" t="inlineStr">
        <is>
          <t>JSK Esports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3b2b7fa569f62411a6dc2753c695e98717a67f225e8074aac963d117b250c28b</t>
        </is>
      </c>
      <c r="BB50" s="24" t="inlineStr">
        <is>
          <t>neutral_elo</t>
        </is>
      </c>
      <c r="BC50" s="24" t="inlineStr">
        <is>
          <t>lol-tiered-elo-v6</t>
        </is>
      </c>
      <c r="BD50" s="24" t="inlineStr">
        <is>
          <t>3b2b7fa569f62411a6dc2753c695e98717a67f225e8074aac963d117b250c28b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lol-tiered-elo-v6</t>
        </is>
      </c>
      <c r="BH50" s="24" t="inlineStr">
        <is>
          <t>2026-08-05T13:56:11.509518Z</t>
        </is>
      </c>
      <c r="BI50" s="24" t="inlineStr">
        <is>
          <t>["same_event","same_team_same_day","same_league_same_day"]</t>
        </is>
      </c>
      <c r="BJ50" s="25" t="n"/>
      <c r="BK50" s="26" t="n">
        <v>138</v>
      </c>
      <c r="BL50" s="27" t="n">
        <v>2.38</v>
      </c>
      <c r="BM50" s="28" t="n">
        <v>0.420168</v>
      </c>
      <c r="BN50" s="28" t="n"/>
      <c r="BO50" s="28" t="n"/>
      <c r="BP50" s="25" t="n"/>
      <c r="BQ50" s="27" t="n">
        <v>2.38</v>
      </c>
      <c r="BR50" s="28" t="n">
        <v>0.42</v>
      </c>
      <c r="BS50" s="28" t="n"/>
      <c r="BT50" s="28" t="n"/>
      <c r="BU50" s="25" t="n"/>
      <c r="BV50" s="29" t="n"/>
      <c r="BW50" s="24" t="n"/>
      <c r="BX50" s="30" t="n">
        <v>1</v>
      </c>
      <c r="BY50" s="27" t="n">
        <v>-1</v>
      </c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00dd5007324144cb</t>
        </is>
      </c>
      <c r="B51" s="24" t="inlineStr">
        <is>
          <t>2026-08-05T13:56:43.896254Z</t>
        </is>
      </c>
      <c r="C51" s="24" t="inlineStr">
        <is>
          <t>2026-08-05T16:00:00Z</t>
        </is>
      </c>
      <c r="D51" s="24" t="inlineStr">
        <is>
          <t>69819</t>
        </is>
      </c>
      <c r="E51" s="24" t="inlineStr">
        <is>
          <t>LOL</t>
        </is>
      </c>
      <c r="F51" s="24" t="inlineStr">
        <is>
          <t>Epic Avalanche</t>
        </is>
      </c>
      <c r="G51" s="24" t="inlineStr">
        <is>
          <t>Brod n Friends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-178</v>
      </c>
      <c r="M51" s="27" t="n">
        <v>1.561798</v>
      </c>
      <c r="N51" s="28" t="n">
        <v>0.640288</v>
      </c>
      <c r="O51" s="28" t="n">
        <v>0.530813</v>
      </c>
      <c r="P51" s="28" t="n"/>
      <c r="Q51" s="28" t="n">
        <v>-0.109475</v>
      </c>
      <c r="R51" s="26" t="n">
        <v>0</v>
      </c>
      <c r="S51" s="29" t="n">
        <v>1</v>
      </c>
      <c r="T51" s="24" t="inlineStr">
        <is>
          <t>lol-tiered-elo-v6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>
        <v>-178</v>
      </c>
      <c r="AA51" s="28" t="n">
        <v>0.64</v>
      </c>
      <c r="AB51" s="28" t="n">
        <v>-0.000288</v>
      </c>
      <c r="AC51" s="30" t="n">
        <v>0.5618</v>
      </c>
      <c r="AD51" s="24" t="inlineStr">
        <is>
          <t>2026-08-05T20:59:38.302579Z</t>
        </is>
      </c>
      <c r="AE51" s="31" t="inlineStr">
        <is>
          <t>Neutral Elo baseline; executable ask 0.6400 (market_slug=aec-lol-bnf-ea-2026-08-05).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Epic Avalanche</t>
        </is>
      </c>
      <c r="AQ51" s="24" t="inlineStr">
        <is>
          <t>Epic Avalanche</t>
        </is>
      </c>
      <c r="AR51" s="24" t="inlineStr">
        <is>
          <t>Epic Avalanche</t>
        </is>
      </c>
      <c r="AS51" s="24" t="inlineStr">
        <is>
          <t>Brod n Friends</t>
        </is>
      </c>
      <c r="AT51" s="24" t="inlineStr">
        <is>
          <t>Brod n Friends</t>
        </is>
      </c>
      <c r="AU51" s="24" t="inlineStr">
        <is>
          <t>Brod n Friends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3b2b7fa569f62411a6dc2753c695e98717a67f225e8074aac963d117b250c28b</t>
        </is>
      </c>
      <c r="BB51" s="24" t="inlineStr">
        <is>
          <t>neutral_elo</t>
        </is>
      </c>
      <c r="BC51" s="24" t="inlineStr">
        <is>
          <t>lol-tiered-elo-v6</t>
        </is>
      </c>
      <c r="BD51" s="24" t="inlineStr">
        <is>
          <t>3b2b7fa569f62411a6dc2753c695e98717a67f225e8074aac963d117b250c28b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lol-tiered-elo-v6</t>
        </is>
      </c>
      <c r="BH51" s="24" t="inlineStr">
        <is>
          <t>2026-08-05T13:56:12.050160Z</t>
        </is>
      </c>
      <c r="BI51" s="24" t="inlineStr">
        <is>
          <t>["same_event","same_team_same_day","same_league_same_day"]</t>
        </is>
      </c>
      <c r="BJ51" s="25" t="n"/>
      <c r="BK51" s="26" t="n">
        <v>-178</v>
      </c>
      <c r="BL51" s="27" t="n">
        <v>1.561798</v>
      </c>
      <c r="BM51" s="28" t="n">
        <v>0.640288</v>
      </c>
      <c r="BN51" s="28" t="n"/>
      <c r="BO51" s="28" t="n"/>
      <c r="BP51" s="25" t="n"/>
      <c r="BQ51" s="27" t="n">
        <v>1.561798</v>
      </c>
      <c r="BR51" s="28" t="n">
        <v>0.64</v>
      </c>
      <c r="BS51" s="28" t="n"/>
      <c r="BT51" s="28" t="n"/>
      <c r="BU51" s="25" t="n"/>
      <c r="BV51" s="29" t="n"/>
      <c r="BW51" s="24" t="n"/>
      <c r="BX51" s="30" t="n">
        <v>1</v>
      </c>
      <c r="BY51" s="27" t="n">
        <v>0.91</v>
      </c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</row>
    <row r="52" ht="36" customHeight="1">
      <c r="A52" s="24" t="inlineStr">
        <is>
          <t>e600d12fed3b4a7c</t>
        </is>
      </c>
      <c r="B52" s="24" t="inlineStr">
        <is>
          <t>2026-08-05T13:56:43.896254Z</t>
        </is>
      </c>
      <c r="C52" s="24" t="inlineStr">
        <is>
          <t>2026-08-05T17:00:00Z</t>
        </is>
      </c>
      <c r="D52" s="24" t="inlineStr">
        <is>
          <t>69871</t>
        </is>
      </c>
      <c r="E52" s="24" t="inlineStr">
        <is>
          <t>LOL</t>
        </is>
      </c>
      <c r="F52" s="24" t="inlineStr">
        <is>
          <t>Kaufland Hangry Knights</t>
        </is>
      </c>
      <c r="G52" s="24" t="inlineStr">
        <is>
          <t>TeamOrangeGaming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104</v>
      </c>
      <c r="M52" s="27" t="n">
        <v>2.04</v>
      </c>
      <c r="N52" s="28" t="n">
        <v>0.490196</v>
      </c>
      <c r="O52" s="28" t="n">
        <v>0.54899</v>
      </c>
      <c r="P52" s="28" t="n"/>
      <c r="Q52" s="28" t="n">
        <v>0.058794</v>
      </c>
      <c r="R52" s="26" t="n">
        <v>49</v>
      </c>
      <c r="S52" s="29" t="n">
        <v>1</v>
      </c>
      <c r="T52" s="24" t="inlineStr">
        <is>
          <t>lol-tiered-elo-v6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>
        <v>104</v>
      </c>
      <c r="AA52" s="28" t="n">
        <v>0.49</v>
      </c>
      <c r="AB52" s="28" t="n">
        <v>-0.000196</v>
      </c>
      <c r="AC52" s="30" t="n">
        <v>1.04</v>
      </c>
      <c r="AD52" s="24" t="inlineStr">
        <is>
          <t>2026-08-05T20:59:40.019407Z</t>
        </is>
      </c>
      <c r="AE52" s="31" t="inlineStr">
        <is>
          <t>Neutral Elo baseline; executable ask 0.4900 (market_slug=aec-lol-tog-khk-2026-08-05).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Kaufland Hangry Knights</t>
        </is>
      </c>
      <c r="AQ52" s="24" t="inlineStr">
        <is>
          <t>Kaufland Hangry Knights</t>
        </is>
      </c>
      <c r="AR52" s="24" t="inlineStr">
        <is>
          <t>Kaufland Hangry Knights</t>
        </is>
      </c>
      <c r="AS52" s="24" t="inlineStr">
        <is>
          <t>TeamOrangeGaming</t>
        </is>
      </c>
      <c r="AT52" s="24" t="inlineStr">
        <is>
          <t>TeamOrangeGaming</t>
        </is>
      </c>
      <c r="AU52" s="24" t="inlineStr">
        <is>
          <t>TeamOrangeGaming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3b2b7fa569f62411a6dc2753c695e98717a67f225e8074aac963d117b250c28b</t>
        </is>
      </c>
      <c r="BB52" s="24" t="inlineStr">
        <is>
          <t>neutral_elo</t>
        </is>
      </c>
      <c r="BC52" s="24" t="inlineStr">
        <is>
          <t>lol-tiered-elo-v6</t>
        </is>
      </c>
      <c r="BD52" s="24" t="inlineStr">
        <is>
          <t>3b2b7fa569f62411a6dc2753c695e98717a67f225e8074aac963d117b250c28b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lol-tiered-elo-v6</t>
        </is>
      </c>
      <c r="BH52" s="24" t="inlineStr">
        <is>
          <t>2026-08-05T13:56:13.554249Z</t>
        </is>
      </c>
      <c r="BI52" s="24" t="inlineStr">
        <is>
          <t>["same_event","same_team_same_day","same_league_same_day"]</t>
        </is>
      </c>
      <c r="BJ52" s="25" t="n"/>
      <c r="BK52" s="26" t="n">
        <v>104</v>
      </c>
      <c r="BL52" s="27" t="n">
        <v>2.04</v>
      </c>
      <c r="BM52" s="28" t="n">
        <v>0.490196</v>
      </c>
      <c r="BN52" s="28" t="n"/>
      <c r="BO52" s="28" t="n"/>
      <c r="BP52" s="25" t="n"/>
      <c r="BQ52" s="27" t="n">
        <v>2.04</v>
      </c>
      <c r="BR52" s="28" t="n">
        <v>0.49</v>
      </c>
      <c r="BS52" s="28" t="n"/>
      <c r="BT52" s="28" t="n"/>
      <c r="BU52" s="25" t="n"/>
      <c r="BV52" s="29" t="n"/>
      <c r="BW52" s="24" t="n"/>
      <c r="BX52" s="30" t="n">
        <v>1</v>
      </c>
      <c r="BY52" s="27" t="n">
        <v>0.91</v>
      </c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</row>
    <row r="53" ht="36" customHeight="1">
      <c r="A53" s="24" t="inlineStr">
        <is>
          <t>d64b7da574c04576</t>
        </is>
      </c>
      <c r="B53" s="24" t="inlineStr">
        <is>
          <t>2026-08-05T13:56:43.896254Z</t>
        </is>
      </c>
      <c r="C53" s="24" t="inlineStr">
        <is>
          <t>2026-08-05T17:00:00Z</t>
        </is>
      </c>
      <c r="D53" s="24" t="inlineStr">
        <is>
          <t>70569</t>
        </is>
      </c>
      <c r="E53" s="24" t="inlineStr">
        <is>
          <t>LOL</t>
        </is>
      </c>
      <c r="F53" s="24" t="inlineStr">
        <is>
          <t>devils.one inStreamly</t>
        </is>
      </c>
      <c r="G53" s="24" t="inlineStr">
        <is>
          <t>BOMBA Team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-113</v>
      </c>
      <c r="M53" s="27" t="n">
        <v>1.884956</v>
      </c>
      <c r="N53" s="28" t="n">
        <v>0.530516</v>
      </c>
      <c r="O53" s="28" t="n">
        <v>0.761043</v>
      </c>
      <c r="P53" s="28" t="n"/>
      <c r="Q53" s="28" t="n">
        <v>0.230527</v>
      </c>
      <c r="R53" s="26" t="n">
        <v>100</v>
      </c>
      <c r="S53" s="29" t="n">
        <v>2</v>
      </c>
      <c r="T53" s="24" t="inlineStr">
        <is>
          <t>lol-tiered-elo-v6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>
        <v>-113</v>
      </c>
      <c r="AA53" s="28" t="n">
        <v>0.53</v>
      </c>
      <c r="AB53" s="28" t="n">
        <v>-0.000516</v>
      </c>
      <c r="AC53" s="30" t="n">
        <v>-2</v>
      </c>
      <c r="AD53" s="24" t="inlineStr">
        <is>
          <t>2026-08-05T20:59:41.741741Z</t>
        </is>
      </c>
      <c r="AE53" s="31" t="inlineStr">
        <is>
          <t>Neutral Elo baseline; executable ask 0.5300 (market_slug=aec-lol-boom-dv1-2026-08-05).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devils.one inStreamly</t>
        </is>
      </c>
      <c r="AQ53" s="24" t="inlineStr">
        <is>
          <t>devils.one inStreamly</t>
        </is>
      </c>
      <c r="AR53" s="24" t="inlineStr">
        <is>
          <t>devils.one inStreamly</t>
        </is>
      </c>
      <c r="AS53" s="24" t="inlineStr">
        <is>
          <t>BOMBA Team</t>
        </is>
      </c>
      <c r="AT53" s="24" t="inlineStr">
        <is>
          <t>BOMBA Team</t>
        </is>
      </c>
      <c r="AU53" s="24" t="inlineStr">
        <is>
          <t>BOMBA Team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3b2b7fa569f62411a6dc2753c695e98717a67f225e8074aac963d117b250c28b</t>
        </is>
      </c>
      <c r="BB53" s="24" t="inlineStr">
        <is>
          <t>neutral_elo</t>
        </is>
      </c>
      <c r="BC53" s="24" t="inlineStr">
        <is>
          <t>lol-tiered-elo-v6</t>
        </is>
      </c>
      <c r="BD53" s="24" t="inlineStr">
        <is>
          <t>3b2b7fa569f62411a6dc2753c695e98717a67f225e8074aac963d117b250c28b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lol-tiered-elo-v6</t>
        </is>
      </c>
      <c r="BH53" s="24" t="inlineStr">
        <is>
          <t>2026-08-05T13:56:15.101150Z</t>
        </is>
      </c>
      <c r="BI53" s="24" t="inlineStr">
        <is>
          <t>["same_event","same_team_same_day","same_league_same_day"]</t>
        </is>
      </c>
      <c r="BJ53" s="25" t="n"/>
      <c r="BK53" s="26" t="n">
        <v>-113</v>
      </c>
      <c r="BL53" s="27" t="n">
        <v>1.884956</v>
      </c>
      <c r="BM53" s="28" t="n">
        <v>0.530516</v>
      </c>
      <c r="BN53" s="28" t="n"/>
      <c r="BO53" s="28" t="n"/>
      <c r="BP53" s="25" t="n"/>
      <c r="BQ53" s="27" t="n">
        <v>1.884956</v>
      </c>
      <c r="BR53" s="28" t="n">
        <v>0.53</v>
      </c>
      <c r="BS53" s="28" t="n"/>
      <c r="BT53" s="28" t="n"/>
      <c r="BU53" s="25" t="n"/>
      <c r="BV53" s="29" t="n"/>
      <c r="BW53" s="24" t="n"/>
      <c r="BX53" s="30" t="n">
        <v>1</v>
      </c>
      <c r="BY53" s="27" t="n">
        <v>-1</v>
      </c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3ec88eeb906b4de5</t>
        </is>
      </c>
      <c r="B54" s="24" t="inlineStr">
        <is>
          <t>2026-08-05T17:05:09.750488Z</t>
        </is>
      </c>
      <c r="C54" s="24" t="inlineStr">
        <is>
          <t>2026-08-05T17:30:00Z</t>
        </is>
      </c>
      <c r="D54" s="24" t="inlineStr">
        <is>
          <t>69931</t>
        </is>
      </c>
      <c r="E54" s="24" t="inlineStr">
        <is>
          <t>LOL</t>
        </is>
      </c>
      <c r="F54" s="24" t="inlineStr">
        <is>
          <t>⁠Movistar KOI Fénix</t>
        </is>
      </c>
      <c r="G54" s="24" t="inlineStr">
        <is>
          <t>UCAM Esports Club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104</v>
      </c>
      <c r="M54" s="27" t="n">
        <v>2.04</v>
      </c>
      <c r="N54" s="28" t="n">
        <v>0.490196</v>
      </c>
      <c r="O54" s="28" t="n">
        <v>0.597761</v>
      </c>
      <c r="P54" s="28" t="n"/>
      <c r="Q54" s="28" t="n">
        <v>0.107565</v>
      </c>
      <c r="R54" s="26" t="n">
        <v>74</v>
      </c>
      <c r="S54" s="29" t="n">
        <v>1.25</v>
      </c>
      <c r="T54" s="24" t="inlineStr">
        <is>
          <t>lol-tiered-elo-v6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>
        <v>104</v>
      </c>
      <c r="AA54" s="28" t="n">
        <v>0.49</v>
      </c>
      <c r="AB54" s="28" t="n">
        <v>-0.000196</v>
      </c>
      <c r="AC54" s="30" t="n">
        <v>-1.25</v>
      </c>
      <c r="AD54" s="24" t="inlineStr">
        <is>
          <t>2026-08-06T00:22:25.721709Z</t>
        </is>
      </c>
      <c r="AE54" s="31" t="inlineStr">
        <is>
          <t>Neutral Elo baseline; executable ask 0.4900 (market_slug=aec-lol-ucam-mkf-2026-08-05).</t>
        </is>
      </c>
      <c r="AF54" s="31" t="inlineStr">
        <is>
          <t>Config-promoted esports baseline; gates enforced at log time.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⁠Movistar KOI Fénix</t>
        </is>
      </c>
      <c r="AQ54" s="24" t="inlineStr">
        <is>
          <t>⁠Movistar KOI Fénix</t>
        </is>
      </c>
      <c r="AR54" s="24" t="inlineStr">
        <is>
          <t>⁠Movistar KOI Fénix</t>
        </is>
      </c>
      <c r="AS54" s="24" t="inlineStr">
        <is>
          <t>UCAM Esports Club</t>
        </is>
      </c>
      <c r="AT54" s="24" t="inlineStr">
        <is>
          <t>UCAM Esports Club</t>
        </is>
      </c>
      <c r="AU54" s="24" t="inlineStr">
        <is>
          <t>UCAM Esports Club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4863ace20696b49ac8d86afb992436652bb1bb2b13aa3380a50818cc662a18c0</t>
        </is>
      </c>
      <c r="BB54" s="24" t="inlineStr">
        <is>
          <t>neutral_elo</t>
        </is>
      </c>
      <c r="BC54" s="24" t="inlineStr">
        <is>
          <t>lol-tiered-elo-v6</t>
        </is>
      </c>
      <c r="BD54" s="24" t="inlineStr">
        <is>
          <t>4863ace20696b49ac8d86afb992436652bb1bb2b13aa3380a50818cc662a18c0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lol-tiered-elo-v6</t>
        </is>
      </c>
      <c r="BH54" s="24" t="inlineStr">
        <is>
          <t>2026-08-05T17:04:41.345485Z</t>
        </is>
      </c>
      <c r="BI54" s="24" t="inlineStr">
        <is>
          <t>["same_event","same_team_same_day","same_league_same_day"]</t>
        </is>
      </c>
      <c r="BJ54" s="25" t="n"/>
      <c r="BK54" s="26" t="n">
        <v>104</v>
      </c>
      <c r="BL54" s="27" t="n">
        <v>2.04</v>
      </c>
      <c r="BM54" s="28" t="n">
        <v>0.490196</v>
      </c>
      <c r="BN54" s="28" t="n"/>
      <c r="BO54" s="28" t="n"/>
      <c r="BP54" s="25" t="n"/>
      <c r="BQ54" s="27" t="n">
        <v>2.04</v>
      </c>
      <c r="BR54" s="28" t="n">
        <v>0.49</v>
      </c>
      <c r="BS54" s="28" t="n"/>
      <c r="BT54" s="28" t="n"/>
      <c r="BU54" s="25" t="n"/>
      <c r="BV54" s="29" t="n"/>
      <c r="BW54" s="24" t="n"/>
      <c r="BX54" s="30" t="n">
        <v>1</v>
      </c>
      <c r="BY54" s="27" t="n">
        <v>-1</v>
      </c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</row>
    <row r="55" ht="36" customHeight="1">
      <c r="A55" s="24" t="inlineStr">
        <is>
          <t>d200cf1b86d042c8</t>
        </is>
      </c>
      <c r="B55" s="24" t="inlineStr">
        <is>
          <t>2026-08-05T17:05:09.750488Z</t>
        </is>
      </c>
      <c r="C55" s="24" t="inlineStr">
        <is>
          <t>2026-08-05T18:00:00Z</t>
        </is>
      </c>
      <c r="D55" s="24" t="inlineStr">
        <is>
          <t>69950</t>
        </is>
      </c>
      <c r="E55" s="24" t="inlineStr">
        <is>
          <t>LOL</t>
        </is>
      </c>
      <c r="F55" s="24" t="inlineStr">
        <is>
          <t>Lupus Esports</t>
        </is>
      </c>
      <c r="G55" s="24" t="inlineStr">
        <is>
          <t>SPIKE Syndicate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-133</v>
      </c>
      <c r="M55" s="27" t="n">
        <v>1.75188</v>
      </c>
      <c r="N55" s="28" t="n">
        <v>0.570815</v>
      </c>
      <c r="O55" s="28" t="n">
        <v>0.554044</v>
      </c>
      <c r="P55" s="28" t="n"/>
      <c r="Q55" s="28" t="n">
        <v>-0.016771</v>
      </c>
      <c r="R55" s="26" t="n">
        <v>12</v>
      </c>
      <c r="S55" s="29" t="n">
        <v>0</v>
      </c>
      <c r="T55" s="24" t="inlineStr">
        <is>
          <t>lol-tiered-elo-v6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0.5700 (market_slug=aec-lol-spk-lps-2026-08-05).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NO_CALL_WINNER_OVERVALUED</t>
        </is>
      </c>
      <c r="AP55" s="24" t="inlineStr">
        <is>
          <t>Lupus Esports</t>
        </is>
      </c>
      <c r="AQ55" s="24" t="inlineStr">
        <is>
          <t>Lupus Esports</t>
        </is>
      </c>
      <c r="AR55" s="24" t="inlineStr">
        <is>
          <t>Lupus Esports</t>
        </is>
      </c>
      <c r="AS55" s="24" t="inlineStr">
        <is>
          <t>SPIKE Syndicate</t>
        </is>
      </c>
      <c r="AT55" s="24" t="inlineStr">
        <is>
          <t>SPIKE Syndicate</t>
        </is>
      </c>
      <c r="AU55" s="24" t="inlineStr">
        <is>
          <t>SPIKE Syndicate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4863ace20696b49ac8d86afb992436652bb1bb2b13aa3380a50818cc662a18c0</t>
        </is>
      </c>
      <c r="BB55" s="24" t="inlineStr">
        <is>
          <t>neutral_elo</t>
        </is>
      </c>
      <c r="BC55" s="24" t="inlineStr">
        <is>
          <t>lol-tiered-elo-v6</t>
        </is>
      </c>
      <c r="BD55" s="24" t="inlineStr">
        <is>
          <t>4863ace20696b49ac8d86afb992436652bb1bb2b13aa3380a50818cc662a18c0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lol-tiered-elo-v6</t>
        </is>
      </c>
      <c r="BH55" s="24" t="inlineStr">
        <is>
          <t>2026-08-05T17:04:42.614421Z</t>
        </is>
      </c>
      <c r="BI55" s="24" t="inlineStr">
        <is>
          <t>["same_event","same_team_same_day","same_league_same_day"]</t>
        </is>
      </c>
      <c r="BJ55" s="25" t="n"/>
      <c r="BK55" s="26" t="n">
        <v>-133</v>
      </c>
      <c r="BL55" s="27" t="n">
        <v>1.75188</v>
      </c>
      <c r="BM55" s="28" t="n">
        <v>0.570815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</row>
    <row r="56" ht="36" customHeight="1">
      <c r="A56" s="24" t="inlineStr">
        <is>
          <t>b04744a2dc5c4d96</t>
        </is>
      </c>
      <c r="B56" s="24" t="inlineStr">
        <is>
          <t>2026-08-05T17:05:09.750488Z</t>
        </is>
      </c>
      <c r="C56" s="24" t="inlineStr">
        <is>
          <t>2026-08-05T18:00:00Z</t>
        </is>
      </c>
      <c r="D56" s="24" t="inlineStr">
        <is>
          <t>69951</t>
        </is>
      </c>
      <c r="E56" s="24" t="inlineStr">
        <is>
          <t>LOL</t>
        </is>
      </c>
      <c r="F56" s="24" t="inlineStr">
        <is>
          <t>Rich Gang</t>
        </is>
      </c>
      <c r="G56" s="24" t="inlineStr">
        <is>
          <t>2 Massive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-127</v>
      </c>
      <c r="M56" s="27" t="n">
        <v>1.787402</v>
      </c>
      <c r="N56" s="28" t="n">
        <v>0.5594710000000001</v>
      </c>
      <c r="O56" s="28" t="n">
        <v>0.511567</v>
      </c>
      <c r="P56" s="28" t="n"/>
      <c r="Q56" s="28" t="n">
        <v>-0.047904</v>
      </c>
      <c r="R56" s="26" t="n">
        <v>0</v>
      </c>
      <c r="S56" s="29" t="n">
        <v>0</v>
      </c>
      <c r="T56" s="24" t="inlineStr">
        <is>
          <t>lol-tiered-elo-v6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0</v>
      </c>
      <c r="Y56" s="25" t="n"/>
      <c r="Z56" s="26" t="n">
        <v>-127</v>
      </c>
      <c r="AA56" s="28" t="n">
        <v>0.5600000000000001</v>
      </c>
      <c r="AB56" s="28" t="n">
        <v>0.000529</v>
      </c>
      <c r="AC56" s="30" t="n">
        <v>0</v>
      </c>
      <c r="AD56" s="24" t="inlineStr">
        <is>
          <t>2026-08-06T03:27:43.503872Z</t>
        </is>
      </c>
      <c r="AE56" s="31" t="inlineStr">
        <is>
          <t>Neutral Elo baseline; executable ask 0.5600 (market_slug=aec-lol-mas-rgi-2026-08-05).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NO_CALL_WINNER_OVERVALUED</t>
        </is>
      </c>
      <c r="AP56" s="24" t="inlineStr">
        <is>
          <t>Rich Gang</t>
        </is>
      </c>
      <c r="AQ56" s="24" t="inlineStr">
        <is>
          <t>Rich Gang</t>
        </is>
      </c>
      <c r="AR56" s="24" t="inlineStr">
        <is>
          <t>Rich Gang</t>
        </is>
      </c>
      <c r="AS56" s="24" t="inlineStr">
        <is>
          <t>2 Massive</t>
        </is>
      </c>
      <c r="AT56" s="24" t="inlineStr">
        <is>
          <t>2 Massive</t>
        </is>
      </c>
      <c r="AU56" s="24" t="inlineStr">
        <is>
          <t>2 Massive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4863ace20696b49ac8d86afb992436652bb1bb2b13aa3380a50818cc662a18c0</t>
        </is>
      </c>
      <c r="BB56" s="24" t="inlineStr">
        <is>
          <t>neutral_elo</t>
        </is>
      </c>
      <c r="BC56" s="24" t="inlineStr">
        <is>
          <t>lol-tiered-elo-v6</t>
        </is>
      </c>
      <c r="BD56" s="24" t="inlineStr">
        <is>
          <t>4863ace20696b49ac8d86afb992436652bb1bb2b13aa3380a50818cc662a18c0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lol-tiered-elo-v6</t>
        </is>
      </c>
      <c r="BH56" s="24" t="inlineStr">
        <is>
          <t>2026-08-05T17:04:43.228206Z</t>
        </is>
      </c>
      <c r="BI56" s="24" t="inlineStr">
        <is>
          <t>["same_event","same_team_same_day","same_league_same_day"]</t>
        </is>
      </c>
      <c r="BJ56" s="25" t="n"/>
      <c r="BK56" s="26" t="n">
        <v>-127</v>
      </c>
      <c r="BL56" s="27" t="n">
        <v>1.787402</v>
      </c>
      <c r="BM56" s="28" t="n">
        <v>0.5594710000000001</v>
      </c>
      <c r="BN56" s="28" t="n"/>
      <c r="BO56" s="28" t="n"/>
      <c r="BP56" s="25" t="n"/>
      <c r="BQ56" s="27" t="n">
        <v>1.787402</v>
      </c>
      <c r="BR56" s="28" t="n">
        <v>0.5600000000000001</v>
      </c>
      <c r="BS56" s="28" t="n"/>
      <c r="BT56" s="28" t="n"/>
      <c r="BU56" s="25" t="n"/>
      <c r="BV56" s="29" t="n"/>
      <c r="BW56" s="24" t="n"/>
      <c r="BX56" s="30" t="n">
        <v>1</v>
      </c>
      <c r="BY56" s="27" t="n">
        <v>0.91</v>
      </c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</row>
    <row r="57" ht="36" customHeight="1">
      <c r="A57" s="24" t="inlineStr">
        <is>
          <t>efeb2c2e3d1c4619</t>
        </is>
      </c>
      <c r="B57" s="24" t="inlineStr">
        <is>
          <t>2026-08-05T17:05:09.750488Z</t>
        </is>
      </c>
      <c r="C57" s="24" t="inlineStr">
        <is>
          <t>2026-08-05T18:00:00Z</t>
        </is>
      </c>
      <c r="D57" s="24" t="inlineStr">
        <is>
          <t>69948</t>
        </is>
      </c>
      <c r="E57" s="24" t="inlineStr">
        <is>
          <t>LOL</t>
        </is>
      </c>
      <c r="F57" s="24" t="inlineStr">
        <is>
          <t>Solary</t>
        </is>
      </c>
      <c r="G57" s="24" t="inlineStr">
        <is>
          <t>Karmine Corp Blue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203</v>
      </c>
      <c r="M57" s="27" t="n">
        <v>3.03</v>
      </c>
      <c r="N57" s="28" t="n">
        <v>0.330033</v>
      </c>
      <c r="O57" s="28" t="n">
        <v>0.506088</v>
      </c>
      <c r="P57" s="28" t="n"/>
      <c r="Q57" s="28" t="n">
        <v>0.176055</v>
      </c>
      <c r="R57" s="26" t="n">
        <v>100</v>
      </c>
      <c r="S57" s="29" t="n">
        <v>1</v>
      </c>
      <c r="T57" s="24" t="inlineStr">
        <is>
          <t>lol-tiered-elo-v6</t>
        </is>
      </c>
      <c r="U57" s="24" t="inlineStr">
        <is>
          <t>settled</t>
        </is>
      </c>
      <c r="V57" s="24" t="inlineStr">
        <is>
          <t>loss</t>
        </is>
      </c>
      <c r="W57" s="26" t="n">
        <v>1</v>
      </c>
      <c r="X57" s="26" t="n">
        <v>0</v>
      </c>
      <c r="Y57" s="25" t="n"/>
      <c r="Z57" s="26" t="n">
        <v>203</v>
      </c>
      <c r="AA57" s="28" t="n">
        <v>0.33</v>
      </c>
      <c r="AB57" s="28" t="n">
        <v>-3.3e-05</v>
      </c>
      <c r="AC57" s="30" t="n">
        <v>-1</v>
      </c>
      <c r="AD57" s="24" t="inlineStr">
        <is>
          <t>2026-08-05T20:59:46.654572Z</t>
        </is>
      </c>
      <c r="AE57" s="31" t="inlineStr">
        <is>
          <t>Neutral Elo baseline; executable ask 0.3300 (market_slug=aec-lol-kcb-sly-2026-08-05).</t>
        </is>
      </c>
      <c r="AF57" s="31" t="inlineStr">
        <is>
          <t>Config-promoted esports baseline; gates enforced at log time.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NO_CALL_LOW_EDGE</t>
        </is>
      </c>
      <c r="AP57" s="24" t="inlineStr">
        <is>
          <t>Solary</t>
        </is>
      </c>
      <c r="AQ57" s="24" t="inlineStr">
        <is>
          <t>Solary</t>
        </is>
      </c>
      <c r="AR57" s="24" t="inlineStr">
        <is>
          <t>Solary</t>
        </is>
      </c>
      <c r="AS57" s="24" t="inlineStr">
        <is>
          <t>Karmine Corp Blue</t>
        </is>
      </c>
      <c r="AT57" s="24" t="inlineStr">
        <is>
          <t>Karmine Corp Blue</t>
        </is>
      </c>
      <c r="AU57" s="24" t="inlineStr">
        <is>
          <t>Karmine Corp Blue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4863ace20696b49ac8d86afb992436652bb1bb2b13aa3380a50818cc662a18c0</t>
        </is>
      </c>
      <c r="BB57" s="24" t="inlineStr">
        <is>
          <t>neutral_elo</t>
        </is>
      </c>
      <c r="BC57" s="24" t="inlineStr">
        <is>
          <t>lol-tiered-elo-v6</t>
        </is>
      </c>
      <c r="BD57" s="24" t="inlineStr">
        <is>
          <t>4863ace20696b49ac8d86afb992436652bb1bb2b13aa3380a50818cc662a18c0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lol-tiered-elo-v6</t>
        </is>
      </c>
      <c r="BH57" s="24" t="inlineStr">
        <is>
          <t>2026-08-05T17:04:44.255380Z</t>
        </is>
      </c>
      <c r="BI57" s="24" t="inlineStr">
        <is>
          <t>["same_event","same_team_same_day","same_league_same_day"]</t>
        </is>
      </c>
      <c r="BJ57" s="25" t="n"/>
      <c r="BK57" s="26" t="n">
        <v>203</v>
      </c>
      <c r="BL57" s="27" t="n">
        <v>3.03</v>
      </c>
      <c r="BM57" s="28" t="n">
        <v>0.330033</v>
      </c>
      <c r="BN57" s="28" t="n"/>
      <c r="BO57" s="28" t="n"/>
      <c r="BP57" s="25" t="n"/>
      <c r="BQ57" s="27" t="n">
        <v>3.03</v>
      </c>
      <c r="BR57" s="28" t="n">
        <v>0.33</v>
      </c>
      <c r="BS57" s="28" t="n"/>
      <c r="BT57" s="28" t="n"/>
      <c r="BU57" s="25" t="n"/>
      <c r="BV57" s="29" t="n"/>
      <c r="BW57" s="24" t="n"/>
      <c r="BX57" s="30" t="n">
        <v>1</v>
      </c>
      <c r="BY57" s="27" t="n">
        <v>-1</v>
      </c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</row>
    <row r="58" ht="36" customHeight="1">
      <c r="A58" s="24" t="inlineStr">
        <is>
          <t>fe439b06cd374812</t>
        </is>
      </c>
      <c r="B58" s="24" t="inlineStr">
        <is>
          <t>2026-08-05T17:05:09.750488Z</t>
        </is>
      </c>
      <c r="C58" s="24" t="inlineStr">
        <is>
          <t>2026-08-05T18:00:00Z</t>
        </is>
      </c>
      <c r="D58" s="24" t="inlineStr">
        <is>
          <t>69949</t>
        </is>
      </c>
      <c r="E58" s="24" t="inlineStr">
        <is>
          <t>LOL</t>
        </is>
      </c>
      <c r="F58" s="24" t="inlineStr">
        <is>
          <t>Hyperion</t>
        </is>
      </c>
      <c r="G58" s="24" t="inlineStr">
        <is>
          <t>Dominion Goblins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104</v>
      </c>
      <c r="M58" s="27" t="n">
        <v>2.04</v>
      </c>
      <c r="N58" s="28" t="n">
        <v>0.490196</v>
      </c>
      <c r="O58" s="28" t="n">
        <v>0.519011</v>
      </c>
      <c r="P58" s="28" t="n"/>
      <c r="Q58" s="28" t="n">
        <v>0.028815</v>
      </c>
      <c r="R58" s="26" t="n">
        <v>34</v>
      </c>
      <c r="S58" s="29" t="n">
        <v>0</v>
      </c>
      <c r="T58" s="24" t="inlineStr">
        <is>
          <t>lol-tiered-elo-v6</t>
        </is>
      </c>
      <c r="U58" s="24" t="inlineStr">
        <is>
          <t>settled</t>
        </is>
      </c>
      <c r="V58" s="24" t="inlineStr">
        <is>
          <t>loss</t>
        </is>
      </c>
      <c r="W58" s="26" t="n">
        <v>1</v>
      </c>
      <c r="X58" s="26" t="n">
        <v>0</v>
      </c>
      <c r="Y58" s="25" t="n"/>
      <c r="Z58" s="26" t="n">
        <v>104</v>
      </c>
      <c r="AA58" s="28" t="n">
        <v>0.49</v>
      </c>
      <c r="AB58" s="28" t="n">
        <v>-0.000196</v>
      </c>
      <c r="AC58" s="30" t="n">
        <v>0</v>
      </c>
      <c r="AD58" s="24" t="inlineStr">
        <is>
          <t>2026-08-05T20:59:48.344345Z</t>
        </is>
      </c>
      <c r="AE58" s="31" t="inlineStr">
        <is>
          <t>Neutral Elo baseline; executable ask 0.4900 (market_slug=aec-lol-domi-hype-2026-08-05).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NO_CALL_WINNER_OVERVALUED</t>
        </is>
      </c>
      <c r="AP58" s="24" t="inlineStr">
        <is>
          <t>Hyperion</t>
        </is>
      </c>
      <c r="AQ58" s="24" t="inlineStr">
        <is>
          <t>Hyperion</t>
        </is>
      </c>
      <c r="AR58" s="24" t="inlineStr">
        <is>
          <t>Hyperion</t>
        </is>
      </c>
      <c r="AS58" s="24" t="inlineStr">
        <is>
          <t>Dominion Goblins</t>
        </is>
      </c>
      <c r="AT58" s="24" t="inlineStr">
        <is>
          <t>Dominion Goblins</t>
        </is>
      </c>
      <c r="AU58" s="24" t="inlineStr">
        <is>
          <t>Dominion Goblins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4863ace20696b49ac8d86afb992436652bb1bb2b13aa3380a50818cc662a18c0</t>
        </is>
      </c>
      <c r="BB58" s="24" t="inlineStr">
        <is>
          <t>neutral_elo</t>
        </is>
      </c>
      <c r="BC58" s="24" t="inlineStr">
        <is>
          <t>lol-tiered-elo-v6</t>
        </is>
      </c>
      <c r="BD58" s="24" t="inlineStr">
        <is>
          <t>4863ace20696b49ac8d86afb992436652bb1bb2b13aa3380a50818cc662a18c0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lol-tiered-elo-v6</t>
        </is>
      </c>
      <c r="BH58" s="24" t="inlineStr">
        <is>
          <t>2026-08-05T17:04:44.809528Z</t>
        </is>
      </c>
      <c r="BI58" s="24" t="inlineStr">
        <is>
          <t>["same_event","same_team_same_day","same_league_same_day"]</t>
        </is>
      </c>
      <c r="BJ58" s="25" t="n"/>
      <c r="BK58" s="26" t="n">
        <v>104</v>
      </c>
      <c r="BL58" s="27" t="n">
        <v>2.04</v>
      </c>
      <c r="BM58" s="28" t="n">
        <v>0.490196</v>
      </c>
      <c r="BN58" s="28" t="n"/>
      <c r="BO58" s="28" t="n"/>
      <c r="BP58" s="25" t="n"/>
      <c r="BQ58" s="27" t="n">
        <v>2.04</v>
      </c>
      <c r="BR58" s="28" t="n">
        <v>0.49</v>
      </c>
      <c r="BS58" s="28" t="n"/>
      <c r="BT58" s="28" t="n"/>
      <c r="BU58" s="25" t="n"/>
      <c r="BV58" s="29" t="n"/>
      <c r="BW58" s="24" t="n"/>
      <c r="BX58" s="30" t="n">
        <v>1</v>
      </c>
      <c r="BY58" s="27" t="n">
        <v>-1</v>
      </c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</row>
    <row r="59" ht="36" customHeight="1">
      <c r="A59" s="24" t="inlineStr">
        <is>
          <t>e786b8cb2ee24dd6</t>
        </is>
      </c>
      <c r="B59" s="24" t="inlineStr">
        <is>
          <t>2026-08-05T17:05:09.750488Z</t>
        </is>
      </c>
      <c r="C59" s="24" t="inlineStr">
        <is>
          <t>2026-08-05T19:00:00Z</t>
        </is>
      </c>
      <c r="D59" s="24" t="inlineStr">
        <is>
          <t>70045</t>
        </is>
      </c>
      <c r="E59" s="24" t="inlineStr">
        <is>
          <t>LOL</t>
        </is>
      </c>
      <c r="F59" s="24" t="inlineStr">
        <is>
          <t>Ici Japon Corp. Esport</t>
        </is>
      </c>
      <c r="G59" s="24" t="inlineStr">
        <is>
          <t>ZYB Esport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104</v>
      </c>
      <c r="M59" s="27" t="n">
        <v>2.04</v>
      </c>
      <c r="N59" s="28" t="n">
        <v>0.490196</v>
      </c>
      <c r="O59" s="28" t="n">
        <v>0.598437</v>
      </c>
      <c r="P59" s="28" t="n"/>
      <c r="Q59" s="28" t="n">
        <v>0.108241</v>
      </c>
      <c r="R59" s="26" t="n">
        <v>74</v>
      </c>
      <c r="S59" s="29" t="n">
        <v>1.25</v>
      </c>
      <c r="T59" s="24" t="inlineStr">
        <is>
          <t>lol-tiered-elo-v6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>
        <v>104</v>
      </c>
      <c r="AA59" s="28" t="n">
        <v>0.49</v>
      </c>
      <c r="AB59" s="28" t="n">
        <v>-0.000196</v>
      </c>
      <c r="AC59" s="30" t="n">
        <v>1.3</v>
      </c>
      <c r="AD59" s="24" t="inlineStr">
        <is>
          <t>2026-08-05T20:59:50.087765Z</t>
        </is>
      </c>
      <c r="AE59" s="31" t="inlineStr">
        <is>
          <t>Neutral Elo baseline; executable ask 0.4900 (market_slug=aec-lol-zyb-ijc-2026-08-05).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Ici Japon Corp. Esport</t>
        </is>
      </c>
      <c r="AQ59" s="24" t="inlineStr">
        <is>
          <t>Ici Japon Corp. Esport</t>
        </is>
      </c>
      <c r="AR59" s="24" t="inlineStr">
        <is>
          <t>Ici Japon Corp. Esport</t>
        </is>
      </c>
      <c r="AS59" s="24" t="inlineStr">
        <is>
          <t>ZYB Esport</t>
        </is>
      </c>
      <c r="AT59" s="24" t="inlineStr">
        <is>
          <t>ZYB Esport</t>
        </is>
      </c>
      <c r="AU59" s="24" t="inlineStr">
        <is>
          <t>ZYB Esport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4863ace20696b49ac8d86afb992436652bb1bb2b13aa3380a50818cc662a18c0</t>
        </is>
      </c>
      <c r="BB59" s="24" t="inlineStr">
        <is>
          <t>neutral_elo</t>
        </is>
      </c>
      <c r="BC59" s="24" t="inlineStr">
        <is>
          <t>lol-tiered-elo-v6</t>
        </is>
      </c>
      <c r="BD59" s="24" t="inlineStr">
        <is>
          <t>4863ace20696b49ac8d86afb992436652bb1bb2b13aa3380a50818cc662a18c0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lol-tiered-elo-v6</t>
        </is>
      </c>
      <c r="BH59" s="24" t="inlineStr">
        <is>
          <t>2026-08-05T17:04:46.146013Z</t>
        </is>
      </c>
      <c r="BI59" s="24" t="inlineStr">
        <is>
          <t>["same_event","same_team_same_day","same_league_same_day"]</t>
        </is>
      </c>
      <c r="BJ59" s="25" t="n"/>
      <c r="BK59" s="26" t="n">
        <v>104</v>
      </c>
      <c r="BL59" s="27" t="n">
        <v>2.04</v>
      </c>
      <c r="BM59" s="28" t="n">
        <v>0.490196</v>
      </c>
      <c r="BN59" s="28" t="n"/>
      <c r="BO59" s="28" t="n"/>
      <c r="BP59" s="25" t="n"/>
      <c r="BQ59" s="27" t="n">
        <v>2.04</v>
      </c>
      <c r="BR59" s="28" t="n">
        <v>0.49</v>
      </c>
      <c r="BS59" s="28" t="n"/>
      <c r="BT59" s="28" t="n"/>
      <c r="BU59" s="25" t="n"/>
      <c r="BV59" s="29" t="n"/>
      <c r="BW59" s="24" t="n"/>
      <c r="BX59" s="30" t="n">
        <v>1</v>
      </c>
      <c r="BY59" s="27" t="n">
        <v>0.91</v>
      </c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</row>
    <row r="60" ht="36" customHeight="1">
      <c r="A60" s="24" t="inlineStr">
        <is>
          <t>333daeff6c914fb6</t>
        </is>
      </c>
      <c r="B60" s="24" t="inlineStr">
        <is>
          <t>2026-08-05T17:05:09.750488Z</t>
        </is>
      </c>
      <c r="C60" s="24" t="inlineStr">
        <is>
          <t>2026-08-05T20:00:00Z</t>
        </is>
      </c>
      <c r="D60" s="24" t="inlineStr">
        <is>
          <t>70301</t>
        </is>
      </c>
      <c r="E60" s="24" t="inlineStr">
        <is>
          <t>LOL</t>
        </is>
      </c>
      <c r="F60" s="24" t="inlineStr">
        <is>
          <t>Skillcamp Esport</t>
        </is>
      </c>
      <c r="G60" s="24" t="inlineStr">
        <is>
          <t>Vitality.Bee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-104</v>
      </c>
      <c r="M60" s="27" t="n">
        <v>1.961538</v>
      </c>
      <c r="N60" s="28" t="n">
        <v>0.509804</v>
      </c>
      <c r="O60" s="28" t="n">
        <v>0.583883</v>
      </c>
      <c r="P60" s="28" t="n"/>
      <c r="Q60" s="28" t="n">
        <v>0.07407900000000001</v>
      </c>
      <c r="R60" s="26" t="n">
        <v>57</v>
      </c>
      <c r="S60" s="29" t="n">
        <v>0</v>
      </c>
      <c r="T60" s="24" t="inlineStr">
        <is>
          <t>lol-tiered-elo-v6</t>
        </is>
      </c>
      <c r="U60" s="24" t="inlineStr">
        <is>
          <t>settled</t>
        </is>
      </c>
      <c r="V60" s="24" t="inlineStr">
        <is>
          <t>win</t>
        </is>
      </c>
      <c r="W60" s="26" t="n">
        <v>0</v>
      </c>
      <c r="X60" s="26" t="n">
        <v>1</v>
      </c>
      <c r="Y60" s="25" t="n"/>
      <c r="Z60" s="26" t="n">
        <v>-104</v>
      </c>
      <c r="AA60" s="28" t="n">
        <v>0.51</v>
      </c>
      <c r="AB60" s="28" t="n">
        <v>0.000196</v>
      </c>
      <c r="AC60" s="30" t="n">
        <v>0</v>
      </c>
      <c r="AD60" s="24" t="inlineStr">
        <is>
          <t>2026-08-05T20:59:51.857648Z</t>
        </is>
      </c>
      <c r="AE60" s="31" t="inlineStr">
        <is>
          <t>Neutral Elo baseline; executable ask 0.5100 (market_slug=aec-lol-vitb-sc-2026-08-05).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NO_CALL_WINNER_OVERVALUED</t>
        </is>
      </c>
      <c r="AP60" s="24" t="inlineStr">
        <is>
          <t>Skillcamp Esport</t>
        </is>
      </c>
      <c r="AQ60" s="24" t="inlineStr">
        <is>
          <t>Skillcamp Esport</t>
        </is>
      </c>
      <c r="AR60" s="24" t="inlineStr">
        <is>
          <t>Skillcamp Esport</t>
        </is>
      </c>
      <c r="AS60" s="24" t="inlineStr">
        <is>
          <t>Vitality.Bee</t>
        </is>
      </c>
      <c r="AT60" s="24" t="inlineStr">
        <is>
          <t>Vitality.Bee</t>
        </is>
      </c>
      <c r="AU60" s="24" t="inlineStr">
        <is>
          <t>Vitality.Bee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4863ace20696b49ac8d86afb992436652bb1bb2b13aa3380a50818cc662a18c0</t>
        </is>
      </c>
      <c r="BB60" s="24" t="inlineStr">
        <is>
          <t>neutral_elo</t>
        </is>
      </c>
      <c r="BC60" s="24" t="inlineStr">
        <is>
          <t>lol-tiered-elo-v6</t>
        </is>
      </c>
      <c r="BD60" s="24" t="inlineStr">
        <is>
          <t>4863ace20696b49ac8d86afb992436652bb1bb2b13aa3380a50818cc662a18c0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lol-tiered-elo-v6</t>
        </is>
      </c>
      <c r="BH60" s="24" t="inlineStr">
        <is>
          <t>2026-08-05T17:04:46.800572Z</t>
        </is>
      </c>
      <c r="BI60" s="24" t="inlineStr">
        <is>
          <t>["same_event","same_team_same_day","same_league_same_day"]</t>
        </is>
      </c>
      <c r="BJ60" s="25" t="n"/>
      <c r="BK60" s="26" t="n">
        <v>-104</v>
      </c>
      <c r="BL60" s="27" t="n">
        <v>1.961538</v>
      </c>
      <c r="BM60" s="28" t="n">
        <v>0.509804</v>
      </c>
      <c r="BN60" s="28" t="n"/>
      <c r="BO60" s="28" t="n"/>
      <c r="BP60" s="25" t="n"/>
      <c r="BQ60" s="27" t="n">
        <v>1.961538</v>
      </c>
      <c r="BR60" s="28" t="n">
        <v>0.51</v>
      </c>
      <c r="BS60" s="28" t="n"/>
      <c r="BT60" s="28" t="n"/>
      <c r="BU60" s="25" t="n"/>
      <c r="BV60" s="29" t="n"/>
      <c r="BW60" s="24" t="n"/>
      <c r="BX60" s="30" t="n">
        <v>1</v>
      </c>
      <c r="BY60" s="27" t="n">
        <v>0.91</v>
      </c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</row>
    <row r="61" ht="36" customHeight="1">
      <c r="A61" s="24" t="inlineStr">
        <is>
          <t>037f56454bb54060</t>
        </is>
      </c>
      <c r="B61" s="24" t="inlineStr">
        <is>
          <t>2026-08-05T17:05:09.750488Z</t>
        </is>
      </c>
      <c r="C61" s="24" t="inlineStr">
        <is>
          <t>2026-08-05T20:00:00Z</t>
        </is>
      </c>
      <c r="D61" s="24" t="inlineStr">
        <is>
          <t>70302</t>
        </is>
      </c>
      <c r="E61" s="24" t="inlineStr">
        <is>
          <t>LOL</t>
        </is>
      </c>
      <c r="F61" s="24" t="inlineStr">
        <is>
          <t>7REX</t>
        </is>
      </c>
      <c r="G61" s="24" t="inlineStr">
        <is>
          <t>Team Solid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0.523361</v>
      </c>
      <c r="P61" s="28" t="n"/>
      <c r="Q61" s="28" t="n">
        <v>0.053877</v>
      </c>
      <c r="R61" s="26" t="n">
        <v>47</v>
      </c>
      <c r="S61" s="29" t="n">
        <v>0</v>
      </c>
      <c r="T61" s="24" t="inlineStr">
        <is>
          <t>lol-tiered-elo-v6</t>
        </is>
      </c>
      <c r="U61" s="24" t="inlineStr">
        <is>
          <t>settled</t>
        </is>
      </c>
      <c r="V61" s="24" t="inlineStr">
        <is>
          <t>win</t>
        </is>
      </c>
      <c r="W61" s="26" t="n">
        <v>1</v>
      </c>
      <c r="X61" s="26" t="n">
        <v>0</v>
      </c>
      <c r="Y61" s="25" t="n"/>
      <c r="Z61" s="26" t="n">
        <v>113</v>
      </c>
      <c r="AA61" s="28" t="n">
        <v>0.47</v>
      </c>
      <c r="AB61" s="28" t="n">
        <v>0.000516</v>
      </c>
      <c r="AC61" s="30" t="n">
        <v>0</v>
      </c>
      <c r="AD61" s="24" t="inlineStr">
        <is>
          <t>2026-08-05T20:59:53.631061Z</t>
        </is>
      </c>
      <c r="AE61" s="31" t="inlineStr">
        <is>
          <t>Neutral Elo baseline; executable ask 0.4700 (market_slug=aec-lol-tse-7rex-2026-08-05).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NO_CALL_WINNER_OVERVALUED</t>
        </is>
      </c>
      <c r="AP61" s="24" t="inlineStr">
        <is>
          <t>7REX</t>
        </is>
      </c>
      <c r="AQ61" s="24" t="inlineStr">
        <is>
          <t>7REX</t>
        </is>
      </c>
      <c r="AR61" s="24" t="inlineStr">
        <is>
          <t>7REX</t>
        </is>
      </c>
      <c r="AS61" s="24" t="inlineStr">
        <is>
          <t>Team Solid</t>
        </is>
      </c>
      <c r="AT61" s="24" t="inlineStr">
        <is>
          <t>Team Solid</t>
        </is>
      </c>
      <c r="AU61" s="24" t="inlineStr">
        <is>
          <t>Team Solid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4863ace20696b49ac8d86afb992436652bb1bb2b13aa3380a50818cc662a18c0</t>
        </is>
      </c>
      <c r="BB61" s="24" t="inlineStr">
        <is>
          <t>neutral_elo</t>
        </is>
      </c>
      <c r="BC61" s="24" t="inlineStr">
        <is>
          <t>lol-tiered-elo-v6</t>
        </is>
      </c>
      <c r="BD61" s="24" t="inlineStr">
        <is>
          <t>4863ace20696b49ac8d86afb992436652bb1bb2b13aa3380a50818cc662a18c0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lol-tiered-elo-v6</t>
        </is>
      </c>
      <c r="BH61" s="24" t="inlineStr">
        <is>
          <t>2026-08-05T17:04:47.406557Z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>
        <v>2.13</v>
      </c>
      <c r="BR61" s="28" t="n">
        <v>0.47</v>
      </c>
      <c r="BS61" s="28" t="n"/>
      <c r="BT61" s="28" t="n"/>
      <c r="BU61" s="25" t="n"/>
      <c r="BV61" s="29" t="n"/>
      <c r="BW61" s="24" t="n"/>
      <c r="BX61" s="30" t="n">
        <v>1</v>
      </c>
      <c r="BY61" s="27" t="n">
        <v>0.91</v>
      </c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6abda70e71e849ad</t>
        </is>
      </c>
      <c r="B62" s="24" t="inlineStr">
        <is>
          <t>2026-08-05T17:05:09.750488Z</t>
        </is>
      </c>
      <c r="C62" s="24" t="inlineStr">
        <is>
          <t>2026-08-05T21:00:00Z</t>
        </is>
      </c>
      <c r="D62" s="24" t="inlineStr">
        <is>
          <t>70348</t>
        </is>
      </c>
      <c r="E62" s="24" t="inlineStr">
        <is>
          <t>LOL</t>
        </is>
      </c>
      <c r="F62" s="24" t="inlineStr">
        <is>
          <t>White Dragons</t>
        </is>
      </c>
      <c r="G62" s="24" t="inlineStr">
        <is>
          <t>NORTHERNGRADE ESPORTS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-122</v>
      </c>
      <c r="M62" s="27" t="n">
        <v>1.819672</v>
      </c>
      <c r="N62" s="28" t="n">
        <v>0.54955</v>
      </c>
      <c r="O62" s="28" t="n">
        <v>0.503857</v>
      </c>
      <c r="P62" s="28" t="n"/>
      <c r="Q62" s="28" t="n">
        <v>-0.045693</v>
      </c>
      <c r="R62" s="26" t="n">
        <v>0</v>
      </c>
      <c r="S62" s="29" t="n">
        <v>0</v>
      </c>
      <c r="T62" s="24" t="inlineStr">
        <is>
          <t>lol-tiered-elo-v6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0</v>
      </c>
      <c r="Y62" s="25" t="n"/>
      <c r="Z62" s="26" t="n">
        <v>-122</v>
      </c>
      <c r="AA62" s="28" t="n">
        <v>0.55</v>
      </c>
      <c r="AB62" s="28" t="n">
        <v>0.00045</v>
      </c>
      <c r="AC62" s="30" t="n">
        <v>0</v>
      </c>
      <c r="AD62" s="24" t="inlineStr">
        <is>
          <t>2026-08-06T00:22:29.619395Z</t>
        </is>
      </c>
      <c r="AE62" s="31" t="inlineStr">
        <is>
          <t>Neutral Elo baseline; executable ask 0.5500 (market_slug=aec-lol-nort-wd-2026-08-05).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NO_CALL_WINNER_OVERVALUED</t>
        </is>
      </c>
      <c r="AP62" s="24" t="inlineStr">
        <is>
          <t>White Dragons</t>
        </is>
      </c>
      <c r="AQ62" s="24" t="inlineStr">
        <is>
          <t>White Dragons</t>
        </is>
      </c>
      <c r="AR62" s="24" t="inlineStr">
        <is>
          <t>White Dragons</t>
        </is>
      </c>
      <c r="AS62" s="24" t="inlineStr">
        <is>
          <t>NORTHERNGRADE ESPORTS</t>
        </is>
      </c>
      <c r="AT62" s="24" t="inlineStr">
        <is>
          <t>NORTHERNGRADE ESPORTS</t>
        </is>
      </c>
      <c r="AU62" s="24" t="inlineStr">
        <is>
          <t>NORTHERNGRADE ESPORTS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4863ace20696b49ac8d86afb992436652bb1bb2b13aa3380a50818cc662a18c0</t>
        </is>
      </c>
      <c r="BB62" s="24" t="inlineStr">
        <is>
          <t>neutral_elo</t>
        </is>
      </c>
      <c r="BC62" s="24" t="inlineStr">
        <is>
          <t>lol-tiered-elo-v6</t>
        </is>
      </c>
      <c r="BD62" s="24" t="inlineStr">
        <is>
          <t>4863ace20696b49ac8d86afb992436652bb1bb2b13aa3380a50818cc662a18c0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lol-tiered-elo-v6</t>
        </is>
      </c>
      <c r="BH62" s="24" t="inlineStr">
        <is>
          <t>2026-08-05T17:04:48.487044Z</t>
        </is>
      </c>
      <c r="BI62" s="24" t="inlineStr">
        <is>
          <t>["same_event","same_team_same_day","same_league_same_day"]</t>
        </is>
      </c>
      <c r="BJ62" s="25" t="n"/>
      <c r="BK62" s="26" t="n">
        <v>-122</v>
      </c>
      <c r="BL62" s="27" t="n">
        <v>1.819672</v>
      </c>
      <c r="BM62" s="28" t="n">
        <v>0.54955</v>
      </c>
      <c r="BN62" s="28" t="n"/>
      <c r="BO62" s="28" t="n"/>
      <c r="BP62" s="25" t="n"/>
      <c r="BQ62" s="27" t="n">
        <v>1.819672</v>
      </c>
      <c r="BR62" s="28" t="n">
        <v>0.55</v>
      </c>
      <c r="BS62" s="28" t="n"/>
      <c r="BT62" s="28" t="n"/>
      <c r="BU62" s="25" t="n"/>
      <c r="BV62" s="29" t="n"/>
      <c r="BW62" s="24" t="n"/>
      <c r="BX62" s="30" t="n">
        <v>1</v>
      </c>
      <c r="BY62" s="27" t="n">
        <v>0.91</v>
      </c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</row>
    <row r="63" ht="36" customHeight="1">
      <c r="A63" s="24" t="inlineStr">
        <is>
          <t>594d0859e09c4e3a</t>
        </is>
      </c>
      <c r="B63" s="24" t="inlineStr">
        <is>
          <t>2026-08-05T17:05:09.750488Z</t>
        </is>
      </c>
      <c r="C63" s="24" t="inlineStr">
        <is>
          <t>2026-08-05T21:00:00Z</t>
        </is>
      </c>
      <c r="D63" s="24" t="inlineStr">
        <is>
          <t>70349</t>
        </is>
      </c>
      <c r="E63" s="24" t="inlineStr">
        <is>
          <t>LOL</t>
        </is>
      </c>
      <c r="F63" s="24" t="inlineStr">
        <is>
          <t>Winthrop University</t>
        </is>
      </c>
      <c r="G63" s="24" t="inlineStr">
        <is>
          <t>Blue Otter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-138</v>
      </c>
      <c r="M63" s="27" t="n">
        <v>1.724638</v>
      </c>
      <c r="N63" s="28" t="n">
        <v>0.579832</v>
      </c>
      <c r="O63" s="28" t="n">
        <v>0.67052</v>
      </c>
      <c r="P63" s="28" t="n"/>
      <c r="Q63" s="28" t="n">
        <v>0.090688</v>
      </c>
      <c r="R63" s="26" t="n">
        <v>65</v>
      </c>
      <c r="S63" s="29" t="n">
        <v>1.75</v>
      </c>
      <c r="T63" s="24" t="inlineStr">
        <is>
          <t>lol-tiered-elo-v6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>
        <v>-138</v>
      </c>
      <c r="AA63" s="28" t="n">
        <v>0.58</v>
      </c>
      <c r="AB63" s="28" t="n">
        <v>0.000168</v>
      </c>
      <c r="AC63" s="30" t="n">
        <v>1.2681</v>
      </c>
      <c r="AD63" s="24" t="inlineStr">
        <is>
          <t>2026-08-06T00:22:31.341650Z</t>
        </is>
      </c>
      <c r="AE63" s="31" t="inlineStr">
        <is>
          <t>Neutral Elo baseline; executable ask 0.5800 (market_slug=aec-lol-blue-wu-2026-08-05).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Winthrop University</t>
        </is>
      </c>
      <c r="AQ63" s="24" t="inlineStr">
        <is>
          <t>Winthrop University</t>
        </is>
      </c>
      <c r="AR63" s="24" t="inlineStr">
        <is>
          <t>Winthrop University</t>
        </is>
      </c>
      <c r="AS63" s="24" t="inlineStr">
        <is>
          <t>Blue Otter</t>
        </is>
      </c>
      <c r="AT63" s="24" t="inlineStr">
        <is>
          <t>Blue Otter</t>
        </is>
      </c>
      <c r="AU63" s="24" t="inlineStr">
        <is>
          <t>Blue Otter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4863ace20696b49ac8d86afb992436652bb1bb2b13aa3380a50818cc662a18c0</t>
        </is>
      </c>
      <c r="BB63" s="24" t="inlineStr">
        <is>
          <t>neutral_elo</t>
        </is>
      </c>
      <c r="BC63" s="24" t="inlineStr">
        <is>
          <t>lol-tiered-elo-v6</t>
        </is>
      </c>
      <c r="BD63" s="24" t="inlineStr">
        <is>
          <t>4863ace20696b49ac8d86afb992436652bb1bb2b13aa3380a50818cc662a18c0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lol-tiered-elo-v6</t>
        </is>
      </c>
      <c r="BH63" s="24" t="inlineStr">
        <is>
          <t>2026-08-05T17:04:49.037567Z</t>
        </is>
      </c>
      <c r="BI63" s="24" t="inlineStr">
        <is>
          <t>["same_event","same_team_same_day","same_league_same_day"]</t>
        </is>
      </c>
      <c r="BJ63" s="25" t="n"/>
      <c r="BK63" s="26" t="n">
        <v>-138</v>
      </c>
      <c r="BL63" s="27" t="n">
        <v>1.724638</v>
      </c>
      <c r="BM63" s="28" t="n">
        <v>0.579832</v>
      </c>
      <c r="BN63" s="28" t="n"/>
      <c r="BO63" s="28" t="n"/>
      <c r="BP63" s="25" t="n"/>
      <c r="BQ63" s="27" t="n">
        <v>1.724638</v>
      </c>
      <c r="BR63" s="28" t="n">
        <v>0.58</v>
      </c>
      <c r="BS63" s="28" t="n"/>
      <c r="BT63" s="28" t="n"/>
      <c r="BU63" s="25" t="n"/>
      <c r="BV63" s="29" t="n"/>
      <c r="BW63" s="24" t="n"/>
      <c r="BX63" s="30" t="n">
        <v>1</v>
      </c>
      <c r="BY63" s="27" t="n">
        <v>0.91</v>
      </c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</row>
    <row r="64" ht="36" customHeight="1">
      <c r="A64" s="24" t="inlineStr">
        <is>
          <t>99b00467e14e459b</t>
        </is>
      </c>
      <c r="B64" s="24" t="inlineStr">
        <is>
          <t>2026-08-05T21:03:09.174525Z</t>
        </is>
      </c>
      <c r="C64" s="24" t="inlineStr">
        <is>
          <t>2026-08-05T22:00:00Z</t>
        </is>
      </c>
      <c r="D64" s="24" t="inlineStr">
        <is>
          <t>70379</t>
        </is>
      </c>
      <c r="E64" s="24" t="inlineStr">
        <is>
          <t>LOL</t>
        </is>
      </c>
      <c r="F64" s="24" t="inlineStr">
        <is>
          <t>KaBuM! Ilha das Lendas</t>
        </is>
      </c>
      <c r="G64" s="24" t="inlineStr">
        <is>
          <t>Ei Nerd Esports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-117</v>
      </c>
      <c r="M64" s="27" t="n">
        <v>1.854701</v>
      </c>
      <c r="N64" s="28" t="n">
        <v>0.539171</v>
      </c>
      <c r="O64" s="28" t="n">
        <v>0.617962</v>
      </c>
      <c r="P64" s="28" t="n"/>
      <c r="Q64" s="28" t="n">
        <v>0.078791</v>
      </c>
      <c r="R64" s="26" t="n">
        <v>59</v>
      </c>
      <c r="S64" s="29" t="n">
        <v>0</v>
      </c>
      <c r="T64" s="24" t="inlineStr">
        <is>
          <t>lol-tiered-elo-v6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0</v>
      </c>
      <c r="Y64" s="25" t="n"/>
      <c r="Z64" s="26" t="n">
        <v>-117</v>
      </c>
      <c r="AA64" s="28" t="n">
        <v>0.54</v>
      </c>
      <c r="AB64" s="28" t="n">
        <v>0.000829</v>
      </c>
      <c r="AC64" s="30" t="n">
        <v>0</v>
      </c>
      <c r="AD64" s="24" t="inlineStr">
        <is>
          <t>2026-08-06T00:22:33.072909Z</t>
        </is>
      </c>
      <c r="AE64" s="31" t="inlineStr">
        <is>
          <t>Neutral Elo baseline; executable ask 0.5400 (market_slug=aec-lol-nerd-kbm-2026-08-05).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NO_CALL_WINNER_OVERVALUED</t>
        </is>
      </c>
      <c r="AP64" s="24" t="inlineStr">
        <is>
          <t>KaBuM! Ilha das Lendas</t>
        </is>
      </c>
      <c r="AQ64" s="24" t="inlineStr">
        <is>
          <t>KaBuM! Ilha das Lendas</t>
        </is>
      </c>
      <c r="AR64" s="24" t="inlineStr">
        <is>
          <t>KaBuM! Ilha das Lendas</t>
        </is>
      </c>
      <c r="AS64" s="24" t="inlineStr">
        <is>
          <t>Ei Nerd Esports</t>
        </is>
      </c>
      <c r="AT64" s="24" t="inlineStr">
        <is>
          <t>Ei Nerd Esports</t>
        </is>
      </c>
      <c r="AU64" s="24" t="inlineStr">
        <is>
          <t>Ei Nerd Esports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15c411e044ffe51b6ddc3409c537ef2b1f842259403eab8a9ab62a4cd0e52b5d</t>
        </is>
      </c>
      <c r="BB64" s="24" t="inlineStr">
        <is>
          <t>neutral_elo</t>
        </is>
      </c>
      <c r="BC64" s="24" t="inlineStr">
        <is>
          <t>lol-tiered-elo-v6</t>
        </is>
      </c>
      <c r="BD64" s="24" t="inlineStr">
        <is>
          <t>15c411e044ffe51b6ddc3409c537ef2b1f842259403eab8a9ab62a4cd0e52b5d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lol-tiered-elo-v6</t>
        </is>
      </c>
      <c r="BH64" s="24" t="inlineStr">
        <is>
          <t>2026-08-05T21:02:48.352662Z</t>
        </is>
      </c>
      <c r="BI64" s="24" t="inlineStr">
        <is>
          <t>["same_event","same_team_same_day","same_league_same_day"]</t>
        </is>
      </c>
      <c r="BJ64" s="25" t="n"/>
      <c r="BK64" s="26" t="n">
        <v>-117</v>
      </c>
      <c r="BL64" s="27" t="n">
        <v>1.854701</v>
      </c>
      <c r="BM64" s="28" t="n">
        <v>0.539171</v>
      </c>
      <c r="BN64" s="28" t="n"/>
      <c r="BO64" s="28" t="n"/>
      <c r="BP64" s="25" t="n"/>
      <c r="BQ64" s="27" t="n">
        <v>1.854701</v>
      </c>
      <c r="BR64" s="28" t="n">
        <v>0.54</v>
      </c>
      <c r="BS64" s="28" t="n"/>
      <c r="BT64" s="28" t="n"/>
      <c r="BU64" s="25" t="n"/>
      <c r="BV64" s="29" t="n"/>
      <c r="BW64" s="24" t="n"/>
      <c r="BX64" s="30" t="n">
        <v>1</v>
      </c>
      <c r="BY64" s="27" t="n">
        <v>0.91</v>
      </c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</row>
    <row r="65" ht="36" customHeight="1">
      <c r="A65" s="24" t="inlineStr">
        <is>
          <t>62d231e699b148cb</t>
        </is>
      </c>
      <c r="B65" s="24" t="inlineStr">
        <is>
          <t>2026-08-05T21:03:09.174525Z</t>
        </is>
      </c>
      <c r="C65" s="24" t="inlineStr">
        <is>
          <t>2026-08-06T00:00:00Z</t>
        </is>
      </c>
      <c r="D65" s="24" t="inlineStr">
        <is>
          <t>70453</t>
        </is>
      </c>
      <c r="E65" s="24" t="inlineStr">
        <is>
          <t>LOL</t>
        </is>
      </c>
      <c r="F65" s="24" t="inlineStr">
        <is>
          <t>paiN Gaming Academy</t>
        </is>
      </c>
      <c r="G65" s="24" t="inlineStr">
        <is>
          <t>INTZ e-Sports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122</v>
      </c>
      <c r="M65" s="27" t="n">
        <v>2.22</v>
      </c>
      <c r="N65" s="28" t="n">
        <v>0.45045</v>
      </c>
      <c r="O65" s="28" t="n">
        <v>0.50062</v>
      </c>
      <c r="P65" s="28" t="n"/>
      <c r="Q65" s="28" t="n">
        <v>0.05017</v>
      </c>
      <c r="R65" s="26" t="n">
        <v>45</v>
      </c>
      <c r="S65" s="29" t="n">
        <v>0</v>
      </c>
      <c r="T65" s="24" t="inlineStr">
        <is>
          <t>lol-tiered-elo-v6</t>
        </is>
      </c>
      <c r="U65" s="24" t="inlineStr">
        <is>
          <t>settled</t>
        </is>
      </c>
      <c r="V65" s="24" t="inlineStr">
        <is>
          <t>loss</t>
        </is>
      </c>
      <c r="W65" s="26" t="n">
        <v>0</v>
      </c>
      <c r="X65" s="26" t="n">
        <v>1</v>
      </c>
      <c r="Y65" s="25" t="n"/>
      <c r="Z65" s="26" t="n">
        <v>122</v>
      </c>
      <c r="AA65" s="28" t="n">
        <v>0.45</v>
      </c>
      <c r="AB65" s="28" t="n">
        <v>-0.00045</v>
      </c>
      <c r="AC65" s="30" t="n">
        <v>0</v>
      </c>
      <c r="AD65" s="24" t="inlineStr">
        <is>
          <t>2026-08-06T00:22:34.831438Z</t>
        </is>
      </c>
      <c r="AE65" s="31" t="inlineStr">
        <is>
          <t>Neutral Elo baseline; executable ask 0.4500 (market_slug=aec-lol-itz-pnga-2026-08-06).</t>
        </is>
      </c>
      <c r="AF65" s="31" t="inlineStr">
        <is>
          <t>Config-promoted esports baseline; gates enforced at log time.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NO_CALL_WINNER_OVERVALUED</t>
        </is>
      </c>
      <c r="AP65" s="24" t="inlineStr">
        <is>
          <t>paiN Gaming Academy</t>
        </is>
      </c>
      <c r="AQ65" s="24" t="inlineStr">
        <is>
          <t>paiN Gaming Academy</t>
        </is>
      </c>
      <c r="AR65" s="24" t="inlineStr">
        <is>
          <t>paiN Gaming Academy</t>
        </is>
      </c>
      <c r="AS65" s="24" t="inlineStr">
        <is>
          <t>INTZ e-Sports</t>
        </is>
      </c>
      <c r="AT65" s="24" t="inlineStr">
        <is>
          <t>INTZ e-Sports</t>
        </is>
      </c>
      <c r="AU65" s="24" t="inlineStr">
        <is>
          <t>INTZ e-Sports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15c411e044ffe51b6ddc3409c537ef2b1f842259403eab8a9ab62a4cd0e52b5d</t>
        </is>
      </c>
      <c r="BB65" s="24" t="inlineStr">
        <is>
          <t>neutral_elo</t>
        </is>
      </c>
      <c r="BC65" s="24" t="inlineStr">
        <is>
          <t>lol-tiered-elo-v6</t>
        </is>
      </c>
      <c r="BD65" s="24" t="inlineStr">
        <is>
          <t>15c411e044ffe51b6ddc3409c537ef2b1f842259403eab8a9ab62a4cd0e52b5d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lol-tiered-elo-v6</t>
        </is>
      </c>
      <c r="BH65" s="24" t="inlineStr">
        <is>
          <t>2026-08-05T21:02:49.588927Z</t>
        </is>
      </c>
      <c r="BI65" s="24" t="inlineStr">
        <is>
          <t>["same_event","same_team_same_day","same_league_same_day"]</t>
        </is>
      </c>
      <c r="BJ65" s="25" t="n"/>
      <c r="BK65" s="26" t="n">
        <v>122</v>
      </c>
      <c r="BL65" s="27" t="n">
        <v>2.22</v>
      </c>
      <c r="BM65" s="28" t="n">
        <v>0.45045</v>
      </c>
      <c r="BN65" s="28" t="n"/>
      <c r="BO65" s="28" t="n"/>
      <c r="BP65" s="25" t="n"/>
      <c r="BQ65" s="27" t="n">
        <v>2.22</v>
      </c>
      <c r="BR65" s="28" t="n">
        <v>0.45</v>
      </c>
      <c r="BS65" s="28" t="n"/>
      <c r="BT65" s="28" t="n"/>
      <c r="BU65" s="25" t="n"/>
      <c r="BV65" s="29" t="n"/>
      <c r="BW65" s="24" t="n"/>
      <c r="BX65" s="30" t="n">
        <v>1</v>
      </c>
      <c r="BY65" s="27" t="n">
        <v>-1</v>
      </c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4201f8e266524181</t>
        </is>
      </c>
      <c r="B66" s="24" t="inlineStr">
        <is>
          <t>2026-08-05T21:03:09.174525Z</t>
        </is>
      </c>
      <c r="C66" s="24" t="inlineStr">
        <is>
          <t>2026-08-06T00:00:00Z</t>
        </is>
      </c>
      <c r="D66" s="24" t="inlineStr">
        <is>
          <t>70454</t>
        </is>
      </c>
      <c r="E66" s="24" t="inlineStr">
        <is>
          <t>LOL</t>
        </is>
      </c>
      <c r="F66" s="24" t="inlineStr">
        <is>
          <t>Cupid Esports</t>
        </is>
      </c>
      <c r="G66" s="24" t="inlineStr">
        <is>
          <t>NRG Esports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108</v>
      </c>
      <c r="M66" s="27" t="n">
        <v>2.08</v>
      </c>
      <c r="N66" s="28" t="n">
        <v>0.480769</v>
      </c>
      <c r="O66" s="28" t="n">
        <v>0.516709</v>
      </c>
      <c r="P66" s="28" t="n"/>
      <c r="Q66" s="28" t="n">
        <v>0.03594</v>
      </c>
      <c r="R66" s="26" t="n">
        <v>38</v>
      </c>
      <c r="S66" s="29" t="n">
        <v>0</v>
      </c>
      <c r="T66" s="24" t="inlineStr">
        <is>
          <t>lol-tiered-elo-v6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1</v>
      </c>
      <c r="Y66" s="25" t="n"/>
      <c r="Z66" s="26" t="n">
        <v>108</v>
      </c>
      <c r="AA66" s="28" t="n">
        <v>0.48</v>
      </c>
      <c r="AB66" s="28" t="n">
        <v>-0.000769</v>
      </c>
      <c r="AC66" s="30" t="n">
        <v>0</v>
      </c>
      <c r="AD66" s="24" t="inlineStr">
        <is>
          <t>2026-08-06T03:27:45.918518Z</t>
        </is>
      </c>
      <c r="AE66" s="31" t="inlineStr">
        <is>
          <t>Neutral Elo baseline; executable ask 0.4800 (market_slug=aec-lol-nrg-cpd-2026-08-06).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NO_CALL_WINNER_OVERVALUED</t>
        </is>
      </c>
      <c r="AP66" s="24" t="inlineStr">
        <is>
          <t>Cupid Esports</t>
        </is>
      </c>
      <c r="AQ66" s="24" t="inlineStr">
        <is>
          <t>Cupid Esports</t>
        </is>
      </c>
      <c r="AR66" s="24" t="inlineStr">
        <is>
          <t>Cupid Esports</t>
        </is>
      </c>
      <c r="AS66" s="24" t="inlineStr">
        <is>
          <t>NRG Esports</t>
        </is>
      </c>
      <c r="AT66" s="24" t="inlineStr">
        <is>
          <t>NRG Esports</t>
        </is>
      </c>
      <c r="AU66" s="24" t="inlineStr">
        <is>
          <t>NRG Esports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15c411e044ffe51b6ddc3409c537ef2b1f842259403eab8a9ab62a4cd0e52b5d</t>
        </is>
      </c>
      <c r="BB66" s="24" t="inlineStr">
        <is>
          <t>neutral_elo</t>
        </is>
      </c>
      <c r="BC66" s="24" t="inlineStr">
        <is>
          <t>lol-tiered-elo-v6</t>
        </is>
      </c>
      <c r="BD66" s="24" t="inlineStr">
        <is>
          <t>15c411e044ffe51b6ddc3409c537ef2b1f842259403eab8a9ab62a4cd0e52b5d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lol-tiered-elo-v6</t>
        </is>
      </c>
      <c r="BH66" s="24" t="inlineStr">
        <is>
          <t>2026-08-05T21:02:50.357730Z</t>
        </is>
      </c>
      <c r="BI66" s="24" t="inlineStr">
        <is>
          <t>["same_event","same_team_same_day","same_league_same_day"]</t>
        </is>
      </c>
      <c r="BJ66" s="25" t="n"/>
      <c r="BK66" s="26" t="n">
        <v>108</v>
      </c>
      <c r="BL66" s="27" t="n">
        <v>2.08</v>
      </c>
      <c r="BM66" s="28" t="n">
        <v>0.480769</v>
      </c>
      <c r="BN66" s="28" t="n"/>
      <c r="BO66" s="28" t="n"/>
      <c r="BP66" s="25" t="n"/>
      <c r="BQ66" s="27" t="n">
        <v>2.08</v>
      </c>
      <c r="BR66" s="28" t="n">
        <v>0.48</v>
      </c>
      <c r="BS66" s="28" t="n"/>
      <c r="BT66" s="28" t="n"/>
      <c r="BU66" s="25" t="n"/>
      <c r="BV66" s="29" t="n"/>
      <c r="BW66" s="24" t="n"/>
      <c r="BX66" s="30" t="n">
        <v>1</v>
      </c>
      <c r="BY66" s="27" t="n">
        <v>0.91</v>
      </c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</row>
    <row r="67" ht="36" customHeight="1">
      <c r="A67" s="24" t="inlineStr">
        <is>
          <t>9ea5b2ad20ab430d</t>
        </is>
      </c>
      <c r="B67" s="24" t="inlineStr">
        <is>
          <t>2026-08-06T00:24:51.570056Z</t>
        </is>
      </c>
      <c r="C67" s="24" t="inlineStr">
        <is>
          <t>2026-08-06T05:00:00Z</t>
        </is>
      </c>
      <c r="D67" s="24" t="inlineStr">
        <is>
          <t>70551</t>
        </is>
      </c>
      <c r="E67" s="24" t="inlineStr">
        <is>
          <t>LOL</t>
        </is>
      </c>
      <c r="F67" s="24" t="inlineStr">
        <is>
          <t>Gen.G Global Academy</t>
        </is>
      </c>
      <c r="G67" s="24" t="inlineStr">
        <is>
          <t>HANJIN BRION Challengers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-223</v>
      </c>
      <c r="M67" s="27" t="n">
        <v>1.44843</v>
      </c>
      <c r="N67" s="28" t="n">
        <v>0.690402</v>
      </c>
      <c r="O67" s="28" t="n">
        <v>0.639365</v>
      </c>
      <c r="P67" s="28" t="n"/>
      <c r="Q67" s="28" t="n">
        <v>-0.051037</v>
      </c>
      <c r="R67" s="26" t="n">
        <v>0</v>
      </c>
      <c r="S67" s="29" t="n">
        <v>0</v>
      </c>
      <c r="T67" s="24" t="inlineStr">
        <is>
          <t>lol-tiered-elo-v6</t>
        </is>
      </c>
      <c r="U67" s="24" t="inlineStr">
        <is>
          <t>settled</t>
        </is>
      </c>
      <c r="V67" s="24" t="inlineStr">
        <is>
          <t>win</t>
        </is>
      </c>
      <c r="W67" s="26" t="n">
        <v>0</v>
      </c>
      <c r="X67" s="26" t="n">
        <v>1</v>
      </c>
      <c r="Y67" s="25" t="n"/>
      <c r="Z67" s="26" t="n"/>
      <c r="AA67" s="28" t="n"/>
      <c r="AB67" s="28" t="n"/>
      <c r="AC67" s="30" t="n">
        <v>0</v>
      </c>
      <c r="AD67" s="24" t="inlineStr">
        <is>
          <t>2026-08-06T18:56:07.504901Z</t>
        </is>
      </c>
      <c r="AE67" s="31" t="inlineStr">
        <is>
          <t>Neutral Elo baseline; executable ask 0.6900 (market_slug=aec-lol-hbc-genga-2026-08-06).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NO_CALL_WINNER_OVERVALUED</t>
        </is>
      </c>
      <c r="AP67" s="24" t="inlineStr">
        <is>
          <t>Gen.G Global Academy</t>
        </is>
      </c>
      <c r="AQ67" s="24" t="inlineStr">
        <is>
          <t>Gen.G Global Academy</t>
        </is>
      </c>
      <c r="AR67" s="24" t="inlineStr">
        <is>
          <t>Gen.G Global Academy</t>
        </is>
      </c>
      <c r="AS67" s="24" t="inlineStr">
        <is>
          <t>HANJIN BRION Challengers</t>
        </is>
      </c>
      <c r="AT67" s="24" t="inlineStr">
        <is>
          <t>HANJIN BRION Challengers</t>
        </is>
      </c>
      <c r="AU67" s="24" t="inlineStr">
        <is>
          <t>HANJIN BRION Challengers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4304963c152f1e881f634fa0b66ab59152f3edd6692257c1d27d76a5cb0a3df3</t>
        </is>
      </c>
      <c r="BB67" s="24" t="inlineStr">
        <is>
          <t>neutral_elo</t>
        </is>
      </c>
      <c r="BC67" s="24" t="inlineStr">
        <is>
          <t>lol-tiered-elo-v6</t>
        </is>
      </c>
      <c r="BD67" s="24" t="inlineStr">
        <is>
          <t>4304963c152f1e881f634fa0b66ab59152f3edd6692257c1d27d76a5cb0a3df3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lol-tiered-elo-v6</t>
        </is>
      </c>
      <c r="BH67" s="24" t="inlineStr">
        <is>
          <t>2026-08-06T00:24:35.775008Z</t>
        </is>
      </c>
      <c r="BI67" s="24" t="inlineStr">
        <is>
          <t>["same_event","same_team_same_day","same_league_same_day"]</t>
        </is>
      </c>
      <c r="BJ67" s="25" t="n"/>
      <c r="BK67" s="26" t="n">
        <v>-223</v>
      </c>
      <c r="BL67" s="27" t="n">
        <v>1.44843</v>
      </c>
      <c r="BM67" s="28" t="n">
        <v>0.690402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>
        <v>1</v>
      </c>
      <c r="BY67" s="27" t="n">
        <v>0.91</v>
      </c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</row>
    <row r="68" ht="36" customHeight="1">
      <c r="A68" s="24" t="inlineStr">
        <is>
          <t>c01319a4e2914ad4</t>
        </is>
      </c>
      <c r="B68" s="24" t="inlineStr">
        <is>
          <t>2026-08-06T00:24:51.570056Z</t>
        </is>
      </c>
      <c r="C68" s="24" t="inlineStr">
        <is>
          <t>2026-08-06T07:00:00Z</t>
        </is>
      </c>
      <c r="D68" s="24" t="inlineStr">
        <is>
          <t>70560</t>
        </is>
      </c>
      <c r="E68" s="24" t="inlineStr">
        <is>
          <t>LOL</t>
        </is>
      </c>
      <c r="F68" s="24" t="inlineStr">
        <is>
          <t>ThunderTalk Gaming</t>
        </is>
      </c>
      <c r="G68" s="24" t="inlineStr">
        <is>
          <t>LGD Gaming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-108</v>
      </c>
      <c r="M68" s="27" t="n">
        <v>1.925926</v>
      </c>
      <c r="N68" s="28" t="n">
        <v>0.519231</v>
      </c>
      <c r="O68" s="28" t="n">
        <v>0.601292</v>
      </c>
      <c r="P68" s="28" t="n"/>
      <c r="Q68" s="28" t="n">
        <v>0.082061</v>
      </c>
      <c r="R68" s="26" t="n">
        <v>61</v>
      </c>
      <c r="S68" s="29" t="n">
        <v>1.25</v>
      </c>
      <c r="T68" s="24" t="inlineStr">
        <is>
          <t>lol-tiered-elo-v6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/>
      <c r="AA68" s="28" t="n"/>
      <c r="AB68" s="28" t="n"/>
      <c r="AC68" s="30" t="n">
        <v>-1.25</v>
      </c>
      <c r="AD68" s="24" t="inlineStr">
        <is>
          <t>2026-08-06T18:56:10.139579Z</t>
        </is>
      </c>
      <c r="AE68" s="31" t="inlineStr">
        <is>
          <t>Neutral Elo baseline; executable ask 0.5200 (market_slug=aec-lol-lgd-tt-2026-08-06).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ThunderTalk Gaming</t>
        </is>
      </c>
      <c r="AQ68" s="24" t="inlineStr">
        <is>
          <t>ThunderTalk Gaming</t>
        </is>
      </c>
      <c r="AR68" s="24" t="inlineStr">
        <is>
          <t>ThunderTalk Gaming</t>
        </is>
      </c>
      <c r="AS68" s="24" t="inlineStr">
        <is>
          <t>LGD Gaming</t>
        </is>
      </c>
      <c r="AT68" s="24" t="inlineStr">
        <is>
          <t>LGD Gaming</t>
        </is>
      </c>
      <c r="AU68" s="24" t="inlineStr">
        <is>
          <t>LGD Gaming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4304963c152f1e881f634fa0b66ab59152f3edd6692257c1d27d76a5cb0a3df3</t>
        </is>
      </c>
      <c r="BB68" s="24" t="inlineStr">
        <is>
          <t>neutral_elo</t>
        </is>
      </c>
      <c r="BC68" s="24" t="inlineStr">
        <is>
          <t>lol-tiered-elo-v6</t>
        </is>
      </c>
      <c r="BD68" s="24" t="inlineStr">
        <is>
          <t>4304963c152f1e881f634fa0b66ab59152f3edd6692257c1d27d76a5cb0a3df3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lol-tiered-elo-v6</t>
        </is>
      </c>
      <c r="BH68" s="24" t="inlineStr">
        <is>
          <t>2026-08-06T00:24:36.724531Z</t>
        </is>
      </c>
      <c r="BI68" s="24" t="inlineStr">
        <is>
          <t>["same_event","same_team_same_day","same_league_same_day"]</t>
        </is>
      </c>
      <c r="BJ68" s="25" t="n"/>
      <c r="BK68" s="26" t="n">
        <v>-108</v>
      </c>
      <c r="BL68" s="27" t="n">
        <v>1.925926</v>
      </c>
      <c r="BM68" s="28" t="n">
        <v>0.519231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>
        <v>1</v>
      </c>
      <c r="BY68" s="27" t="n">
        <v>-1</v>
      </c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</row>
    <row r="69" ht="36" customHeight="1">
      <c r="A69" s="24" t="inlineStr">
        <is>
          <t>623d84c7e45b4789</t>
        </is>
      </c>
      <c r="B69" s="24" t="inlineStr">
        <is>
          <t>2026-08-06T00:24:51.570056Z</t>
        </is>
      </c>
      <c r="C69" s="24" t="inlineStr">
        <is>
          <t>2026-08-06T08:00:00Z</t>
        </is>
      </c>
      <c r="D69" s="24" t="inlineStr">
        <is>
          <t>70563</t>
        </is>
      </c>
      <c r="E69" s="24" t="inlineStr">
        <is>
          <t>LOL</t>
        </is>
      </c>
      <c r="F69" s="24" t="inlineStr">
        <is>
          <t>DN SOOPers</t>
        </is>
      </c>
      <c r="G69" s="24" t="inlineStr">
        <is>
          <t>Kiwoom DRX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-223</v>
      </c>
      <c r="M69" s="27" t="n">
        <v>1.44843</v>
      </c>
      <c r="N69" s="28" t="n">
        <v>0.690402</v>
      </c>
      <c r="O69" s="28" t="n">
        <v>0.629338</v>
      </c>
      <c r="P69" s="28" t="n"/>
      <c r="Q69" s="28" t="n">
        <v>-0.061064</v>
      </c>
      <c r="R69" s="26" t="n">
        <v>0</v>
      </c>
      <c r="S69" s="29" t="n">
        <v>0</v>
      </c>
      <c r="T69" s="24" t="inlineStr">
        <is>
          <t>lol-tiered-elo-v6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/>
      <c r="AA69" s="28" t="n"/>
      <c r="AB69" s="28" t="n"/>
      <c r="AC69" s="30" t="n">
        <v>0</v>
      </c>
      <c r="AD69" s="24" t="inlineStr">
        <is>
          <t>2026-08-06T18:56:12.623902Z</t>
        </is>
      </c>
      <c r="AE69" s="31" t="inlineStr">
        <is>
          <t>Neutral Elo baseline; executable ask 0.6900 (market_slug=aec-lol-krx-dns-2026-08-06).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NO_CALL_WINNER_OVERVALUED</t>
        </is>
      </c>
      <c r="AP69" s="24" t="inlineStr">
        <is>
          <t>DN SOOPers</t>
        </is>
      </c>
      <c r="AQ69" s="24" t="inlineStr">
        <is>
          <t>DN SOOPers</t>
        </is>
      </c>
      <c r="AR69" s="24" t="inlineStr">
        <is>
          <t>DN SOOPers</t>
        </is>
      </c>
      <c r="AS69" s="24" t="inlineStr">
        <is>
          <t>Kiwoom DRX</t>
        </is>
      </c>
      <c r="AT69" s="24" t="inlineStr">
        <is>
          <t>Kiwoom DRX</t>
        </is>
      </c>
      <c r="AU69" s="24" t="inlineStr">
        <is>
          <t>Kiwoom DRX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4304963c152f1e881f634fa0b66ab59152f3edd6692257c1d27d76a5cb0a3df3</t>
        </is>
      </c>
      <c r="BB69" s="24" t="inlineStr">
        <is>
          <t>neutral_elo</t>
        </is>
      </c>
      <c r="BC69" s="24" t="inlineStr">
        <is>
          <t>lol-tiered-elo-v6</t>
        </is>
      </c>
      <c r="BD69" s="24" t="inlineStr">
        <is>
          <t>4304963c152f1e881f634fa0b66ab59152f3edd6692257c1d27d76a5cb0a3df3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lol-tiered-elo-v6</t>
        </is>
      </c>
      <c r="BH69" s="24" t="inlineStr">
        <is>
          <t>2026-08-06T00:24:37.231594Z</t>
        </is>
      </c>
      <c r="BI69" s="24" t="inlineStr">
        <is>
          <t>["same_event","same_team_same_day","same_league_same_day"]</t>
        </is>
      </c>
      <c r="BJ69" s="25" t="n"/>
      <c r="BK69" s="26" t="n">
        <v>-223</v>
      </c>
      <c r="BL69" s="27" t="n">
        <v>1.44843</v>
      </c>
      <c r="BM69" s="28" t="n">
        <v>0.690402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>
        <v>1</v>
      </c>
      <c r="BY69" s="27" t="n">
        <v>0.91</v>
      </c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</row>
    <row r="70" ht="36" customHeight="1">
      <c r="A70" s="24" t="inlineStr">
        <is>
          <t>e7a4bcc796a440b8</t>
        </is>
      </c>
      <c r="B70" s="24" t="inlineStr">
        <is>
          <t>2026-08-06T00:24:51.570056Z</t>
        </is>
      </c>
      <c r="C70" s="24" t="inlineStr">
        <is>
          <t>2026-08-06T09:00:00Z</t>
        </is>
      </c>
      <c r="D70" s="24" t="inlineStr">
        <is>
          <t>70573</t>
        </is>
      </c>
      <c r="E70" s="24" t="inlineStr">
        <is>
          <t>LOL</t>
        </is>
      </c>
      <c r="F70" s="24" t="inlineStr">
        <is>
          <t>Ground Zero Gaming</t>
        </is>
      </c>
      <c r="G70" s="24" t="inlineStr">
        <is>
          <t>Fukuoka SoftBank Hawks Gaming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117</v>
      </c>
      <c r="M70" s="27" t="n">
        <v>2.17</v>
      </c>
      <c r="N70" s="28" t="n">
        <v>0.460829</v>
      </c>
      <c r="O70" s="28" t="n">
        <v>0.677029</v>
      </c>
      <c r="P70" s="28" t="n"/>
      <c r="Q70" s="28" t="n">
        <v>0.2162</v>
      </c>
      <c r="R70" s="26" t="n">
        <v>100</v>
      </c>
      <c r="S70" s="29" t="n">
        <v>1.75</v>
      </c>
      <c r="T70" s="24" t="inlineStr">
        <is>
          <t>lol-tiered-elo-v6</t>
        </is>
      </c>
      <c r="U70" s="24" t="inlineStr">
        <is>
          <t>settled</t>
        </is>
      </c>
      <c r="V70" s="24" t="inlineStr">
        <is>
          <t>loss</t>
        </is>
      </c>
      <c r="W70" s="26" t="n">
        <v>1</v>
      </c>
      <c r="X70" s="26" t="n">
        <v>0</v>
      </c>
      <c r="Y70" s="25" t="n"/>
      <c r="Z70" s="26" t="n"/>
      <c r="AA70" s="28" t="n"/>
      <c r="AB70" s="28" t="n"/>
      <c r="AC70" s="30" t="n">
        <v>-1.75</v>
      </c>
      <c r="AD70" s="24" t="inlineStr">
        <is>
          <t>2026-08-06T18:56:15.151967Z</t>
        </is>
      </c>
      <c r="AE70" s="31" t="inlineStr">
        <is>
          <t>Neutral Elo baseline; executable ask 0.4600 (market_slug=aec-lol-shg-gz-2026-08-06).</t>
        </is>
      </c>
      <c r="AF70" s="31" t="inlineStr">
        <is>
          <t>Config-promoted esports baseline; gates enforced at log time.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Ground Zero Gaming</t>
        </is>
      </c>
      <c r="AQ70" s="24" t="inlineStr">
        <is>
          <t>Ground Zero Gaming</t>
        </is>
      </c>
      <c r="AR70" s="24" t="inlineStr">
        <is>
          <t>Ground Zero Gaming</t>
        </is>
      </c>
      <c r="AS70" s="24" t="inlineStr">
        <is>
          <t>Fukuoka SoftBank Hawks Gaming</t>
        </is>
      </c>
      <c r="AT70" s="24" t="inlineStr">
        <is>
          <t>Fukuoka SoftBank Hawks Gaming</t>
        </is>
      </c>
      <c r="AU70" s="24" t="inlineStr">
        <is>
          <t>Fukuoka SoftBank Hawks Gaming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4304963c152f1e881f634fa0b66ab59152f3edd6692257c1d27d76a5cb0a3df3</t>
        </is>
      </c>
      <c r="BB70" s="24" t="inlineStr">
        <is>
          <t>neutral_elo</t>
        </is>
      </c>
      <c r="BC70" s="24" t="inlineStr">
        <is>
          <t>lol-tiered-elo-v6</t>
        </is>
      </c>
      <c r="BD70" s="24" t="inlineStr">
        <is>
          <t>4304963c152f1e881f634fa0b66ab59152f3edd6692257c1d27d76a5cb0a3df3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lol-tiered-elo-v6</t>
        </is>
      </c>
      <c r="BH70" s="24" t="inlineStr">
        <is>
          <t>2026-08-06T00:24:37.742493Z</t>
        </is>
      </c>
      <c r="BI70" s="24" t="inlineStr">
        <is>
          <t>["same_event","same_team_same_day","same_league_same_day"]</t>
        </is>
      </c>
      <c r="BJ70" s="25" t="n"/>
      <c r="BK70" s="26" t="n">
        <v>117</v>
      </c>
      <c r="BL70" s="27" t="n">
        <v>2.17</v>
      </c>
      <c r="BM70" s="28" t="n">
        <v>0.460829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>
        <v>1</v>
      </c>
      <c r="BY70" s="27" t="n">
        <v>-1</v>
      </c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</row>
    <row r="71" ht="36" customHeight="1">
      <c r="A71" s="24" t="inlineStr">
        <is>
          <t>9b2eb8d2819940b8</t>
        </is>
      </c>
      <c r="B71" s="24" t="inlineStr">
        <is>
          <t>2026-08-06T00:24:51.570056Z</t>
        </is>
      </c>
      <c r="C71" s="24" t="inlineStr">
        <is>
          <t>2026-08-06T09:00:00Z</t>
        </is>
      </c>
      <c r="D71" s="24" t="inlineStr">
        <is>
          <t>70574</t>
        </is>
      </c>
      <c r="E71" s="24" t="inlineStr">
        <is>
          <t>LOL</t>
        </is>
      </c>
      <c r="F71" s="24" t="inlineStr">
        <is>
          <t>Ninjas in Pyjamas</t>
        </is>
      </c>
      <c r="G71" s="24" t="inlineStr">
        <is>
          <t>Invictus Gaming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156</v>
      </c>
      <c r="M71" s="27" t="n">
        <v>2.56</v>
      </c>
      <c r="N71" s="28" t="n">
        <v>0.390625</v>
      </c>
      <c r="O71" s="28" t="n">
        <v>0.5103259999999999</v>
      </c>
      <c r="P71" s="28" t="n"/>
      <c r="Q71" s="28" t="n">
        <v>0.119701</v>
      </c>
      <c r="R71" s="26" t="n">
        <v>80</v>
      </c>
      <c r="S71" s="29" t="n">
        <v>1</v>
      </c>
      <c r="T71" s="24" t="inlineStr">
        <is>
          <t>lol-tiered-elo-v6</t>
        </is>
      </c>
      <c r="U71" s="24" t="inlineStr">
        <is>
          <t>settled</t>
        </is>
      </c>
      <c r="V71" s="24" t="inlineStr">
        <is>
          <t>win</t>
        </is>
      </c>
      <c r="W71" s="26" t="n">
        <v>1</v>
      </c>
      <c r="X71" s="26" t="n">
        <v>0</v>
      </c>
      <c r="Y71" s="25" t="n"/>
      <c r="Z71" s="26" t="n"/>
      <c r="AA71" s="28" t="n"/>
      <c r="AB71" s="28" t="n"/>
      <c r="AC71" s="30" t="n">
        <v>1.56</v>
      </c>
      <c r="AD71" s="24" t="inlineStr">
        <is>
          <t>2026-08-06T18:56:17.667744Z</t>
        </is>
      </c>
      <c r="AE71" s="31" t="inlineStr">
        <is>
          <t>Neutral Elo baseline; executable ask 0.3900 (market_slug=aec-lol-ig-nip-2026-08-06).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Ninjas in Pyjamas</t>
        </is>
      </c>
      <c r="AQ71" s="24" t="inlineStr">
        <is>
          <t>Ninjas in Pyjamas</t>
        </is>
      </c>
      <c r="AR71" s="24" t="inlineStr">
        <is>
          <t>Ninjas in Pyjamas</t>
        </is>
      </c>
      <c r="AS71" s="24" t="inlineStr">
        <is>
          <t>Invictus Gaming</t>
        </is>
      </c>
      <c r="AT71" s="24" t="inlineStr">
        <is>
          <t>Invictus Gaming</t>
        </is>
      </c>
      <c r="AU71" s="24" t="inlineStr">
        <is>
          <t>Invictus Gaming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4304963c152f1e881f634fa0b66ab59152f3edd6692257c1d27d76a5cb0a3df3</t>
        </is>
      </c>
      <c r="BB71" s="24" t="inlineStr">
        <is>
          <t>neutral_elo</t>
        </is>
      </c>
      <c r="BC71" s="24" t="inlineStr">
        <is>
          <t>lol-tiered-elo-v6</t>
        </is>
      </c>
      <c r="BD71" s="24" t="inlineStr">
        <is>
          <t>4304963c152f1e881f634fa0b66ab59152f3edd6692257c1d27d76a5cb0a3df3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lol-tiered-elo-v6</t>
        </is>
      </c>
      <c r="BH71" s="24" t="inlineStr">
        <is>
          <t>2026-08-06T00:24:38.252962Z</t>
        </is>
      </c>
      <c r="BI71" s="24" t="inlineStr">
        <is>
          <t>["same_event","same_team_same_day","same_league_same_day"]</t>
        </is>
      </c>
      <c r="BJ71" s="25" t="n"/>
      <c r="BK71" s="26" t="n">
        <v>156</v>
      </c>
      <c r="BL71" s="27" t="n">
        <v>2.56</v>
      </c>
      <c r="BM71" s="28" t="n">
        <v>0.390625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>
        <v>1</v>
      </c>
      <c r="BY71" s="27" t="n">
        <v>0.91</v>
      </c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</row>
    <row r="72" ht="36" customHeight="1">
      <c r="A72" s="24" t="inlineStr">
        <is>
          <t>252d9198e9914f85</t>
        </is>
      </c>
      <c r="B72" s="24" t="inlineStr">
        <is>
          <t>2026-08-06T00:24:51.570056Z</t>
        </is>
      </c>
      <c r="C72" s="24" t="inlineStr">
        <is>
          <t>2026-08-06T10:00:00Z</t>
        </is>
      </c>
      <c r="D72" s="24" t="inlineStr">
        <is>
          <t>70594</t>
        </is>
      </c>
      <c r="E72" s="24" t="inlineStr">
        <is>
          <t>LOL</t>
        </is>
      </c>
      <c r="F72" s="24" t="inlineStr">
        <is>
          <t>T1</t>
        </is>
      </c>
      <c r="G72" s="24" t="inlineStr">
        <is>
          <t>Dplus KIA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-113</v>
      </c>
      <c r="M72" s="27" t="n">
        <v>1.884956</v>
      </c>
      <c r="N72" s="28" t="n">
        <v>0.530516</v>
      </c>
      <c r="O72" s="28" t="n">
        <v>0.554077</v>
      </c>
      <c r="P72" s="28" t="n"/>
      <c r="Q72" s="28" t="n">
        <v>0.023561</v>
      </c>
      <c r="R72" s="26" t="n">
        <v>32</v>
      </c>
      <c r="S72" s="29" t="n">
        <v>0</v>
      </c>
      <c r="T72" s="24" t="inlineStr">
        <is>
          <t>lol-tiered-elo-v6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/>
      <c r="AA72" s="28" t="n"/>
      <c r="AB72" s="28" t="n"/>
      <c r="AC72" s="30" t="n">
        <v>0</v>
      </c>
      <c r="AD72" s="24" t="inlineStr">
        <is>
          <t>2026-08-06T18:56:20.215158Z</t>
        </is>
      </c>
      <c r="AE72" s="31" t="inlineStr">
        <is>
          <t>Neutral Elo baseline; executable ask 0.5300 (market_slug=aec-lol-dk-t1-2026-08-06).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NO_CALL_WINNER_OVERVALUED</t>
        </is>
      </c>
      <c r="AP72" s="24" t="inlineStr">
        <is>
          <t>T1</t>
        </is>
      </c>
      <c r="AQ72" s="24" t="inlineStr">
        <is>
          <t>T1</t>
        </is>
      </c>
      <c r="AR72" s="24" t="inlineStr">
        <is>
          <t>T1</t>
        </is>
      </c>
      <c r="AS72" s="24" t="inlineStr">
        <is>
          <t>Dplus KIA</t>
        </is>
      </c>
      <c r="AT72" s="24" t="inlineStr">
        <is>
          <t>Dplus KIA</t>
        </is>
      </c>
      <c r="AU72" s="24" t="inlineStr">
        <is>
          <t>Dplus KIA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4304963c152f1e881f634fa0b66ab59152f3edd6692257c1d27d76a5cb0a3df3</t>
        </is>
      </c>
      <c r="BB72" s="24" t="inlineStr">
        <is>
          <t>neutral_elo</t>
        </is>
      </c>
      <c r="BC72" s="24" t="inlineStr">
        <is>
          <t>lol-tiered-elo-v6</t>
        </is>
      </c>
      <c r="BD72" s="24" t="inlineStr">
        <is>
          <t>4304963c152f1e881f634fa0b66ab59152f3edd6692257c1d27d76a5cb0a3df3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lol-tiered-elo-v6</t>
        </is>
      </c>
      <c r="BH72" s="24" t="inlineStr">
        <is>
          <t>2026-08-06T00:24:38.757841Z</t>
        </is>
      </c>
      <c r="BI72" s="24" t="inlineStr">
        <is>
          <t>["same_event","same_team_same_day","same_league_same_day"]</t>
        </is>
      </c>
      <c r="BJ72" s="25" t="n"/>
      <c r="BK72" s="26" t="n">
        <v>-113</v>
      </c>
      <c r="BL72" s="27" t="n">
        <v>1.884956</v>
      </c>
      <c r="BM72" s="28" t="n">
        <v>0.530516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>
        <v>1</v>
      </c>
      <c r="BY72" s="27" t="n">
        <v>0.91</v>
      </c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</row>
    <row r="73" ht="36" customHeight="1">
      <c r="A73" s="24" t="inlineStr">
        <is>
          <t>aa7ff76cf71f478f</t>
        </is>
      </c>
      <c r="B73" s="24" t="inlineStr">
        <is>
          <t>2026-08-06T00:24:51.570056Z</t>
        </is>
      </c>
      <c r="C73" s="24" t="inlineStr">
        <is>
          <t>2026-08-06T16:00:00Z</t>
        </is>
      </c>
      <c r="D73" s="24" t="inlineStr">
        <is>
          <t>70789</t>
        </is>
      </c>
      <c r="E73" s="24" t="inlineStr">
        <is>
          <t>LOL</t>
        </is>
      </c>
      <c r="F73" s="24" t="inlineStr">
        <is>
          <t>Lupus Esports</t>
        </is>
      </c>
      <c r="G73" s="24" t="inlineStr">
        <is>
          <t>The Secret Club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-194</v>
      </c>
      <c r="M73" s="27" t="n">
        <v>1.515464</v>
      </c>
      <c r="N73" s="28" t="n">
        <v>0.659864</v>
      </c>
      <c r="O73" s="28" t="n">
        <v>0.659932</v>
      </c>
      <c r="P73" s="28" t="n"/>
      <c r="Q73" s="28" t="n">
        <v>6.8e-05</v>
      </c>
      <c r="R73" s="26" t="n">
        <v>20</v>
      </c>
      <c r="S73" s="29" t="n">
        <v>0</v>
      </c>
      <c r="T73" s="24" t="inlineStr">
        <is>
          <t>lol-tiered-elo-v6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/>
      <c r="AA73" s="28" t="n"/>
      <c r="AB73" s="28" t="n"/>
      <c r="AC73" s="30" t="n">
        <v>0</v>
      </c>
      <c r="AD73" s="24" t="inlineStr">
        <is>
          <t>2026-08-06T18:56:22.705506Z</t>
        </is>
      </c>
      <c r="AE73" s="31" t="inlineStr">
        <is>
          <t>Neutral Elo baseline; executable ask 0.6600 (market_slug=aec-lol-tsc-lps-2026-08-06).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NO_CALL_WINNER_OVERVALUED</t>
        </is>
      </c>
      <c r="AP73" s="24" t="inlineStr">
        <is>
          <t>Lupus Esports</t>
        </is>
      </c>
      <c r="AQ73" s="24" t="inlineStr">
        <is>
          <t>Lupus Esports</t>
        </is>
      </c>
      <c r="AR73" s="24" t="inlineStr">
        <is>
          <t>Lupus Esports</t>
        </is>
      </c>
      <c r="AS73" s="24" t="inlineStr">
        <is>
          <t>The Secret Club</t>
        </is>
      </c>
      <c r="AT73" s="24" t="inlineStr">
        <is>
          <t>The Secret Club</t>
        </is>
      </c>
      <c r="AU73" s="24" t="inlineStr">
        <is>
          <t>The Secret Club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4304963c152f1e881f634fa0b66ab59152f3edd6692257c1d27d76a5cb0a3df3</t>
        </is>
      </c>
      <c r="BB73" s="24" t="inlineStr">
        <is>
          <t>neutral_elo</t>
        </is>
      </c>
      <c r="BC73" s="24" t="inlineStr">
        <is>
          <t>lol-tiered-elo-v6</t>
        </is>
      </c>
      <c r="BD73" s="24" t="inlineStr">
        <is>
          <t>4304963c152f1e881f634fa0b66ab59152f3edd6692257c1d27d76a5cb0a3df3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lol-tiered-elo-v6</t>
        </is>
      </c>
      <c r="BH73" s="24" t="inlineStr">
        <is>
          <t>2026-08-06T00:24:41.808312Z</t>
        </is>
      </c>
      <c r="BI73" s="24" t="inlineStr">
        <is>
          <t>["same_event","same_team_same_day","same_league_same_day"]</t>
        </is>
      </c>
      <c r="BJ73" s="25" t="n"/>
      <c r="BK73" s="26" t="n">
        <v>-194</v>
      </c>
      <c r="BL73" s="27" t="n">
        <v>1.515464</v>
      </c>
      <c r="BM73" s="28" t="n">
        <v>0.659864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>
        <v>1</v>
      </c>
      <c r="BY73" s="27" t="n">
        <v>0.91</v>
      </c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</row>
    <row r="74" ht="36" customHeight="1">
      <c r="A74" s="24" t="inlineStr">
        <is>
          <t>aac66cb881df4bc9</t>
        </is>
      </c>
      <c r="B74" s="24" t="inlineStr">
        <is>
          <t>2026-08-06T00:24:51.570056Z</t>
        </is>
      </c>
      <c r="C74" s="24" t="inlineStr">
        <is>
          <t>2026-08-06T16:00:00Z</t>
        </is>
      </c>
      <c r="D74" s="24" t="inlineStr">
        <is>
          <t>70790</t>
        </is>
      </c>
      <c r="E74" s="24" t="inlineStr">
        <is>
          <t>LOL</t>
        </is>
      </c>
      <c r="F74" s="24" t="inlineStr">
        <is>
          <t>Baam Esports</t>
        </is>
      </c>
      <c r="G74" s="24" t="inlineStr">
        <is>
          <t>One More Esports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-144</v>
      </c>
      <c r="M74" s="27" t="n">
        <v>1.694444</v>
      </c>
      <c r="N74" s="28" t="n">
        <v>0.590164</v>
      </c>
      <c r="O74" s="28" t="n">
        <v>0.764249</v>
      </c>
      <c r="P74" s="28" t="n"/>
      <c r="Q74" s="28" t="n">
        <v>0.174085</v>
      </c>
      <c r="R74" s="26" t="n">
        <v>100</v>
      </c>
      <c r="S74" s="29" t="n">
        <v>2</v>
      </c>
      <c r="T74" s="24" t="inlineStr">
        <is>
          <t>lol-tiered-elo-v6</t>
        </is>
      </c>
      <c r="U74" s="24" t="inlineStr">
        <is>
          <t>settled</t>
        </is>
      </c>
      <c r="V74" s="24" t="inlineStr">
        <is>
          <t>win</t>
        </is>
      </c>
      <c r="W74" s="26" t="n">
        <v>1</v>
      </c>
      <c r="X74" s="26" t="n">
        <v>0</v>
      </c>
      <c r="Y74" s="25" t="n"/>
      <c r="Z74" s="26" t="n"/>
      <c r="AA74" s="28" t="n"/>
      <c r="AB74" s="28" t="n"/>
      <c r="AC74" s="30" t="n">
        <v>1.3889</v>
      </c>
      <c r="AD74" s="24" t="inlineStr">
        <is>
          <t>2026-08-06T18:56:25.172905Z</t>
        </is>
      </c>
      <c r="AE74" s="31" t="inlineStr">
        <is>
          <t>Neutral Elo baseline; executable ask 0.5900 (market_slug=aec-lol-one-bam-2026-08-06).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Baam Esports</t>
        </is>
      </c>
      <c r="AQ74" s="24" t="inlineStr">
        <is>
          <t>Baam Esports</t>
        </is>
      </c>
      <c r="AR74" s="24" t="inlineStr">
        <is>
          <t>Baam Esports</t>
        </is>
      </c>
      <c r="AS74" s="24" t="inlineStr">
        <is>
          <t>One More Esports</t>
        </is>
      </c>
      <c r="AT74" s="24" t="inlineStr">
        <is>
          <t>One More Esports</t>
        </is>
      </c>
      <c r="AU74" s="24" t="inlineStr">
        <is>
          <t>One More Esports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4304963c152f1e881f634fa0b66ab59152f3edd6692257c1d27d76a5cb0a3df3</t>
        </is>
      </c>
      <c r="BB74" s="24" t="inlineStr">
        <is>
          <t>neutral_elo</t>
        </is>
      </c>
      <c r="BC74" s="24" t="inlineStr">
        <is>
          <t>lol-tiered-elo-v6</t>
        </is>
      </c>
      <c r="BD74" s="24" t="inlineStr">
        <is>
          <t>4304963c152f1e881f634fa0b66ab59152f3edd6692257c1d27d76a5cb0a3df3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lol-tiered-elo-v6</t>
        </is>
      </c>
      <c r="BH74" s="24" t="inlineStr">
        <is>
          <t>2026-08-06T00:24:42.381233Z</t>
        </is>
      </c>
      <c r="BI74" s="24" t="inlineStr">
        <is>
          <t>["same_event","same_team_same_day","same_league_same_day"]</t>
        </is>
      </c>
      <c r="BJ74" s="25" t="n"/>
      <c r="BK74" s="26" t="n">
        <v>-144</v>
      </c>
      <c r="BL74" s="27" t="n">
        <v>1.694444</v>
      </c>
      <c r="BM74" s="28" t="n">
        <v>0.590164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>
        <v>1</v>
      </c>
      <c r="BY74" s="27" t="n">
        <v>0.91</v>
      </c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</row>
    <row r="75" ht="36" customHeight="1">
      <c r="A75" s="24" t="inlineStr">
        <is>
          <t>ebabad64b5bd47f4</t>
        </is>
      </c>
      <c r="B75" s="24" t="inlineStr">
        <is>
          <t>2026-08-06T00:24:51.570056Z</t>
        </is>
      </c>
      <c r="C75" s="24" t="inlineStr">
        <is>
          <t>2026-08-06T17:00:00Z</t>
        </is>
      </c>
      <c r="D75" s="24" t="inlineStr">
        <is>
          <t>70860</t>
        </is>
      </c>
      <c r="E75" s="24" t="inlineStr">
        <is>
          <t>LOL</t>
        </is>
      </c>
      <c r="F75" s="24" t="inlineStr">
        <is>
          <t>Skillcamp Esport</t>
        </is>
      </c>
      <c r="G75" s="24" t="inlineStr">
        <is>
          <t>Karmine Corp Blue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-150</v>
      </c>
      <c r="M75" s="27" t="n">
        <v>1.666667</v>
      </c>
      <c r="N75" s="28" t="n">
        <v>0.6</v>
      </c>
      <c r="O75" s="28" t="n">
        <v>0.742815</v>
      </c>
      <c r="P75" s="28" t="n"/>
      <c r="Q75" s="28" t="n">
        <v>0.142815</v>
      </c>
      <c r="R75" s="26" t="n">
        <v>91</v>
      </c>
      <c r="S75" s="29" t="n">
        <v>2</v>
      </c>
      <c r="T75" s="24" t="inlineStr">
        <is>
          <t>lol-tiered-elo-v6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/>
      <c r="AA75" s="28" t="n"/>
      <c r="AB75" s="28" t="n"/>
      <c r="AC75" s="30" t="n">
        <v>-2</v>
      </c>
      <c r="AD75" s="24" t="inlineStr">
        <is>
          <t>2026-08-06T18:56:27.727773Z</t>
        </is>
      </c>
      <c r="AE75" s="31" t="inlineStr">
        <is>
          <t>Neutral Elo baseline; executable ask 0.6000 (market_slug=aec-lol-kcb-sc-2026-08-06).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Skillcamp Esport</t>
        </is>
      </c>
      <c r="AQ75" s="24" t="inlineStr">
        <is>
          <t>Skillcamp Esport</t>
        </is>
      </c>
      <c r="AR75" s="24" t="inlineStr">
        <is>
          <t>Skillcamp Esport</t>
        </is>
      </c>
      <c r="AS75" s="24" t="inlineStr">
        <is>
          <t>Karmine Corp Blue</t>
        </is>
      </c>
      <c r="AT75" s="24" t="inlineStr">
        <is>
          <t>Karmine Corp Blue</t>
        </is>
      </c>
      <c r="AU75" s="24" t="inlineStr">
        <is>
          <t>Karmine Corp Blue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4304963c152f1e881f634fa0b66ab59152f3edd6692257c1d27d76a5cb0a3df3</t>
        </is>
      </c>
      <c r="BB75" s="24" t="inlineStr">
        <is>
          <t>neutral_elo</t>
        </is>
      </c>
      <c r="BC75" s="24" t="inlineStr">
        <is>
          <t>lol-tiered-elo-v6</t>
        </is>
      </c>
      <c r="BD75" s="24" t="inlineStr">
        <is>
          <t>4304963c152f1e881f634fa0b66ab59152f3edd6692257c1d27d76a5cb0a3df3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lol-tiered-elo-v6</t>
        </is>
      </c>
      <c r="BH75" s="24" t="inlineStr">
        <is>
          <t>2026-08-06T00:24:43.466107Z</t>
        </is>
      </c>
      <c r="BI75" s="24" t="inlineStr">
        <is>
          <t>["same_event","same_team_same_day","same_league_same_day"]</t>
        </is>
      </c>
      <c r="BJ75" s="25" t="n"/>
      <c r="BK75" s="26" t="n">
        <v>-150</v>
      </c>
      <c r="BL75" s="27" t="n">
        <v>1.666667</v>
      </c>
      <c r="BM75" s="28" t="n">
        <v>0.6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>
        <v>1</v>
      </c>
      <c r="BY75" s="27" t="n">
        <v>-1</v>
      </c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88de860f81a54ba6</t>
        </is>
      </c>
      <c r="B76" s="24" t="inlineStr">
        <is>
          <t>2026-08-06T00:24:51.570056Z</t>
        </is>
      </c>
      <c r="C76" s="24" t="inlineStr">
        <is>
          <t>2026-08-06T17:00:00Z</t>
        </is>
      </c>
      <c r="D76" s="24" t="inlineStr">
        <is>
          <t>70862</t>
        </is>
      </c>
      <c r="E76" s="24" t="inlineStr">
        <is>
          <t>LOL</t>
        </is>
      </c>
      <c r="F76" s="24" t="inlineStr">
        <is>
          <t>EKO Esports</t>
        </is>
      </c>
      <c r="G76" s="24" t="inlineStr">
        <is>
          <t>Colossal Gaming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-194</v>
      </c>
      <c r="M76" s="27" t="n">
        <v>1.515464</v>
      </c>
      <c r="N76" s="28" t="n">
        <v>0.659864</v>
      </c>
      <c r="O76" s="28" t="n">
        <v>0.696928</v>
      </c>
      <c r="P76" s="28" t="n"/>
      <c r="Q76" s="28" t="n">
        <v>0.037064</v>
      </c>
      <c r="R76" s="26" t="n">
        <v>39</v>
      </c>
      <c r="S76" s="29" t="n">
        <v>0</v>
      </c>
      <c r="T76" s="24" t="inlineStr">
        <is>
          <t>lol-tiered-elo-v6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0</v>
      </c>
      <c r="Y76" s="25" t="n"/>
      <c r="Z76" s="26" t="n"/>
      <c r="AA76" s="28" t="n"/>
      <c r="AB76" s="28" t="n"/>
      <c r="AC76" s="30" t="n">
        <v>0</v>
      </c>
      <c r="AD76" s="24" t="inlineStr">
        <is>
          <t>2026-08-06T18:56:30.210457Z</t>
        </is>
      </c>
      <c r="AE76" s="31" t="inlineStr">
        <is>
          <t>Neutral Elo baseline; executable ask 0.6600 (market_slug=aec-lol-cg-eko-2026-08-06).</t>
        </is>
      </c>
      <c r="AF76" s="31" t="inlineStr">
        <is>
          <t>Config-promoted esports baseline; gates enforced at log time.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NO_CALL_WINNER_OVERVALUED</t>
        </is>
      </c>
      <c r="AP76" s="24" t="inlineStr">
        <is>
          <t>EKO Esports</t>
        </is>
      </c>
      <c r="AQ76" s="24" t="inlineStr">
        <is>
          <t>EKO Esports</t>
        </is>
      </c>
      <c r="AR76" s="24" t="inlineStr">
        <is>
          <t>EKO Esports</t>
        </is>
      </c>
      <c r="AS76" s="24" t="inlineStr">
        <is>
          <t>Colossal Gaming</t>
        </is>
      </c>
      <c r="AT76" s="24" t="inlineStr">
        <is>
          <t>Colossal Gaming</t>
        </is>
      </c>
      <c r="AU76" s="24" t="inlineStr">
        <is>
          <t>Colossal Gaming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4304963c152f1e881f634fa0b66ab59152f3edd6692257c1d27d76a5cb0a3df3</t>
        </is>
      </c>
      <c r="BB76" s="24" t="inlineStr">
        <is>
          <t>neutral_elo</t>
        </is>
      </c>
      <c r="BC76" s="24" t="inlineStr">
        <is>
          <t>lol-tiered-elo-v6</t>
        </is>
      </c>
      <c r="BD76" s="24" t="inlineStr">
        <is>
          <t>4304963c152f1e881f634fa0b66ab59152f3edd6692257c1d27d76a5cb0a3df3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lol-tiered-elo-v6</t>
        </is>
      </c>
      <c r="BH76" s="24" t="inlineStr">
        <is>
          <t>2026-08-06T00:24:44.031854Z</t>
        </is>
      </c>
      <c r="BI76" s="24" t="inlineStr">
        <is>
          <t>["same_event","same_team_same_day","same_league_same_day"]</t>
        </is>
      </c>
      <c r="BJ76" s="25" t="n"/>
      <c r="BK76" s="26" t="n">
        <v>-194</v>
      </c>
      <c r="BL76" s="27" t="n">
        <v>1.515464</v>
      </c>
      <c r="BM76" s="28" t="n">
        <v>0.659864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>
        <v>1</v>
      </c>
      <c r="BY76" s="27" t="n">
        <v>-1</v>
      </c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</row>
    <row r="77" ht="36" customHeight="1">
      <c r="A77" s="24" t="inlineStr">
        <is>
          <t>8b2688c8a93d4dcc</t>
        </is>
      </c>
      <c r="B77" s="24" t="inlineStr">
        <is>
          <t>2026-08-06T00:24:51.570056Z</t>
        </is>
      </c>
      <c r="C77" s="24" t="inlineStr">
        <is>
          <t>2026-08-06T17:00:00Z</t>
        </is>
      </c>
      <c r="D77" s="24" t="inlineStr">
        <is>
          <t>70863</t>
        </is>
      </c>
      <c r="E77" s="24" t="inlineStr">
        <is>
          <t>LOL</t>
        </is>
      </c>
      <c r="F77" s="24" t="inlineStr">
        <is>
          <t>Senshi Esports</t>
        </is>
      </c>
      <c r="G77" s="24" t="inlineStr">
        <is>
          <t>Myth Esports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-108</v>
      </c>
      <c r="M77" s="27" t="n">
        <v>1.925926</v>
      </c>
      <c r="N77" s="28" t="n">
        <v>0.519231</v>
      </c>
      <c r="O77" s="28" t="n">
        <v>0.515418</v>
      </c>
      <c r="P77" s="28" t="n"/>
      <c r="Q77" s="28" t="n">
        <v>-0.003813</v>
      </c>
      <c r="R77" s="26" t="n">
        <v>18</v>
      </c>
      <c r="S77" s="29" t="n">
        <v>0</v>
      </c>
      <c r="T77" s="24" t="inlineStr">
        <is>
          <t>lol-tiered-elo-v6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1</v>
      </c>
      <c r="X77" s="26" t="n">
        <v>0</v>
      </c>
      <c r="Y77" s="25" t="n"/>
      <c r="Z77" s="26" t="n"/>
      <c r="AA77" s="28" t="n"/>
      <c r="AB77" s="28" t="n"/>
      <c r="AC77" s="30" t="n">
        <v>0</v>
      </c>
      <c r="AD77" s="24" t="inlineStr">
        <is>
          <t>2026-08-06T18:56:32.689409Z</t>
        </is>
      </c>
      <c r="AE77" s="31" t="inlineStr">
        <is>
          <t>Neutral Elo baseline; executable ask 0.5200 (market_slug=aec-lol-myth-sec-2026-08-06).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NO_CALL_WINNER_OVERVALUED</t>
        </is>
      </c>
      <c r="AP77" s="24" t="inlineStr">
        <is>
          <t>Senshi Esports</t>
        </is>
      </c>
      <c r="AQ77" s="24" t="inlineStr">
        <is>
          <t>Senshi Esports</t>
        </is>
      </c>
      <c r="AR77" s="24" t="inlineStr">
        <is>
          <t>Senshi Esports</t>
        </is>
      </c>
      <c r="AS77" s="24" t="inlineStr">
        <is>
          <t>Myth Esports</t>
        </is>
      </c>
      <c r="AT77" s="24" t="inlineStr">
        <is>
          <t>Myth Esports</t>
        </is>
      </c>
      <c r="AU77" s="24" t="inlineStr">
        <is>
          <t>Myth Esports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4304963c152f1e881f634fa0b66ab59152f3edd6692257c1d27d76a5cb0a3df3</t>
        </is>
      </c>
      <c r="BB77" s="24" t="inlineStr">
        <is>
          <t>neutral_elo</t>
        </is>
      </c>
      <c r="BC77" s="24" t="inlineStr">
        <is>
          <t>lol-tiered-elo-v6</t>
        </is>
      </c>
      <c r="BD77" s="24" t="inlineStr">
        <is>
          <t>4304963c152f1e881f634fa0b66ab59152f3edd6692257c1d27d76a5cb0a3df3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lol-tiered-elo-v6</t>
        </is>
      </c>
      <c r="BH77" s="24" t="inlineStr">
        <is>
          <t>2026-08-06T00:24:44.630123Z</t>
        </is>
      </c>
      <c r="BI77" s="24" t="inlineStr">
        <is>
          <t>["same_event","same_team_same_day","same_league_same_day"]</t>
        </is>
      </c>
      <c r="BJ77" s="25" t="n"/>
      <c r="BK77" s="26" t="n">
        <v>-108</v>
      </c>
      <c r="BL77" s="27" t="n">
        <v>1.925926</v>
      </c>
      <c r="BM77" s="28" t="n">
        <v>0.519231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>
        <v>1</v>
      </c>
      <c r="BY77" s="27" t="n">
        <v>0.91</v>
      </c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</row>
    <row r="78" ht="36" customHeight="1">
      <c r="A78" s="24" t="inlineStr">
        <is>
          <t>dcfff4acdd9f4be4</t>
        </is>
      </c>
      <c r="B78" s="24" t="inlineStr">
        <is>
          <t>2026-08-06T00:24:51.570056Z</t>
        </is>
      </c>
      <c r="C78" s="24" t="inlineStr">
        <is>
          <t>2026-08-06T18:00:00Z</t>
        </is>
      </c>
      <c r="D78" s="24" t="inlineStr">
        <is>
          <t>70899</t>
        </is>
      </c>
      <c r="E78" s="24" t="inlineStr">
        <is>
          <t>LOL</t>
        </is>
      </c>
      <c r="F78" s="24" t="inlineStr">
        <is>
          <t>Joblife</t>
        </is>
      </c>
      <c r="G78" s="24" t="inlineStr">
        <is>
          <t>TLN Pirates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-133</v>
      </c>
      <c r="M78" s="27" t="n">
        <v>1.75188</v>
      </c>
      <c r="N78" s="28" t="n">
        <v>0.570815</v>
      </c>
      <c r="O78" s="28" t="n">
        <v>0.620982</v>
      </c>
      <c r="P78" s="28" t="n"/>
      <c r="Q78" s="28" t="n">
        <v>0.050167</v>
      </c>
      <c r="R78" s="26" t="n">
        <v>45</v>
      </c>
      <c r="S78" s="29" t="n">
        <v>0</v>
      </c>
      <c r="T78" s="24" t="inlineStr">
        <is>
          <t>lol-tiered-elo-v6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/>
      <c r="AA78" s="28" t="n"/>
      <c r="AB78" s="28" t="n"/>
      <c r="AC78" s="30" t="n">
        <v>0</v>
      </c>
      <c r="AD78" s="24" t="inlineStr">
        <is>
          <t>2026-08-06T18:56:35.224039Z</t>
        </is>
      </c>
      <c r="AE78" s="31" t="inlineStr">
        <is>
          <t>Neutral Elo baseline; executable ask 0.5700 (market_slug=aec-lol-tlnp-jl-2026-08-06).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NO_CALL_WINNER_OVERVALUED</t>
        </is>
      </c>
      <c r="AP78" s="24" t="inlineStr">
        <is>
          <t>Joblife</t>
        </is>
      </c>
      <c r="AQ78" s="24" t="inlineStr">
        <is>
          <t>Joblife</t>
        </is>
      </c>
      <c r="AR78" s="24" t="inlineStr">
        <is>
          <t>Joblife</t>
        </is>
      </c>
      <c r="AS78" s="24" t="inlineStr">
        <is>
          <t>TLN Pirates</t>
        </is>
      </c>
      <c r="AT78" s="24" t="inlineStr">
        <is>
          <t>TLN Pirates</t>
        </is>
      </c>
      <c r="AU78" s="24" t="inlineStr">
        <is>
          <t>TLN Pirates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4304963c152f1e881f634fa0b66ab59152f3edd6692257c1d27d76a5cb0a3df3</t>
        </is>
      </c>
      <c r="BB78" s="24" t="inlineStr">
        <is>
          <t>neutral_elo</t>
        </is>
      </c>
      <c r="BC78" s="24" t="inlineStr">
        <is>
          <t>lol-tiered-elo-v6</t>
        </is>
      </c>
      <c r="BD78" s="24" t="inlineStr">
        <is>
          <t>4304963c152f1e881f634fa0b66ab59152f3edd6692257c1d27d76a5cb0a3df3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lol-tiered-elo-v6</t>
        </is>
      </c>
      <c r="BH78" s="24" t="inlineStr">
        <is>
          <t>2026-08-06T00:24:46.117972Z</t>
        </is>
      </c>
      <c r="BI78" s="24" t="inlineStr">
        <is>
          <t>["same_event","same_team_same_day","same_league_same_day"]</t>
        </is>
      </c>
      <c r="BJ78" s="25" t="n"/>
      <c r="BK78" s="26" t="n">
        <v>-133</v>
      </c>
      <c r="BL78" s="27" t="n">
        <v>1.75188</v>
      </c>
      <c r="BM78" s="28" t="n">
        <v>0.570815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>
        <v>1</v>
      </c>
      <c r="BY78" s="27" t="n">
        <v>0.91</v>
      </c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</row>
    <row r="79" ht="36" customHeight="1">
      <c r="A79" s="24" t="inlineStr">
        <is>
          <t>c19c823351654694</t>
        </is>
      </c>
      <c r="B79" s="24" t="inlineStr">
        <is>
          <t>2026-08-06T00:24:51.570056Z</t>
        </is>
      </c>
      <c r="C79" s="24" t="inlineStr">
        <is>
          <t>2026-08-06T18:00:00Z</t>
        </is>
      </c>
      <c r="D79" s="24" t="inlineStr">
        <is>
          <t>70900</t>
        </is>
      </c>
      <c r="E79" s="24" t="inlineStr">
        <is>
          <t>LOL</t>
        </is>
      </c>
      <c r="F79" s="24" t="inlineStr">
        <is>
          <t>EXSAD Gaming</t>
        </is>
      </c>
      <c r="G79" s="24" t="inlineStr">
        <is>
          <t>ZeroZone Gaming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-127</v>
      </c>
      <c r="M79" s="27" t="n">
        <v>1.787402</v>
      </c>
      <c r="N79" s="28" t="n">
        <v>0.5594710000000001</v>
      </c>
      <c r="O79" s="28" t="n">
        <v>0.584918</v>
      </c>
      <c r="P79" s="28" t="n"/>
      <c r="Q79" s="28" t="n">
        <v>0.025447</v>
      </c>
      <c r="R79" s="26" t="n">
        <v>33</v>
      </c>
      <c r="S79" s="29" t="n">
        <v>0</v>
      </c>
      <c r="T79" s="24" t="inlineStr">
        <is>
          <t>lol-tiered-elo-v6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/>
      <c r="AA79" s="28" t="n"/>
      <c r="AB79" s="28" t="n"/>
      <c r="AC79" s="30" t="n">
        <v>0</v>
      </c>
      <c r="AD79" s="24" t="inlineStr">
        <is>
          <t>2026-08-07T06:01:32.072120Z</t>
        </is>
      </c>
      <c r="AE79" s="31" t="inlineStr">
        <is>
          <t>Neutral Elo baseline; executable ask 0.5600 (market_slug=aec-lol-zzg-exg-2026-08-06).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NO_CALL_WINNER_OVERVALUED</t>
        </is>
      </c>
      <c r="AP79" s="24" t="inlineStr">
        <is>
          <t>EXSAD Gaming</t>
        </is>
      </c>
      <c r="AQ79" s="24" t="inlineStr">
        <is>
          <t>EXSAD Gaming</t>
        </is>
      </c>
      <c r="AR79" s="24" t="inlineStr">
        <is>
          <t>EXSAD Gaming</t>
        </is>
      </c>
      <c r="AS79" s="24" t="inlineStr">
        <is>
          <t>ZeroZone Gaming</t>
        </is>
      </c>
      <c r="AT79" s="24" t="inlineStr">
        <is>
          <t>ZeroZone Gaming</t>
        </is>
      </c>
      <c r="AU79" s="24" t="inlineStr">
        <is>
          <t>ZeroZone Gaming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4304963c152f1e881f634fa0b66ab59152f3edd6692257c1d27d76a5cb0a3df3</t>
        </is>
      </c>
      <c r="BB79" s="24" t="inlineStr">
        <is>
          <t>neutral_elo</t>
        </is>
      </c>
      <c r="BC79" s="24" t="inlineStr">
        <is>
          <t>lol-tiered-elo-v6</t>
        </is>
      </c>
      <c r="BD79" s="24" t="inlineStr">
        <is>
          <t>4304963c152f1e881f634fa0b66ab59152f3edd6692257c1d27d76a5cb0a3df3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lol-tiered-elo-v6</t>
        </is>
      </c>
      <c r="BH79" s="24" t="inlineStr">
        <is>
          <t>2026-08-06T00:24:46.574518Z</t>
        </is>
      </c>
      <c r="BI79" s="24" t="inlineStr">
        <is>
          <t>["same_event","same_team_same_day","same_league_same_day"]</t>
        </is>
      </c>
      <c r="BJ79" s="25" t="n"/>
      <c r="BK79" s="26" t="n">
        <v>-127</v>
      </c>
      <c r="BL79" s="27" t="n">
        <v>1.787402</v>
      </c>
      <c r="BM79" s="28" t="n">
        <v>0.5594710000000001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>
        <v>1</v>
      </c>
      <c r="BY79" s="27" t="n">
        <v>-1</v>
      </c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</row>
    <row r="80" ht="36" customHeight="1">
      <c r="A80" s="24" t="inlineStr">
        <is>
          <t>7762cfab6f664222</t>
        </is>
      </c>
      <c r="B80" s="24" t="inlineStr">
        <is>
          <t>2026-08-06T00:24:51.570056Z</t>
        </is>
      </c>
      <c r="C80" s="24" t="inlineStr">
        <is>
          <t>2026-08-06T18:00:00Z</t>
        </is>
      </c>
      <c r="D80" s="24" t="inlineStr">
        <is>
          <t>70902</t>
        </is>
      </c>
      <c r="E80" s="24" t="inlineStr">
        <is>
          <t>LOL</t>
        </is>
      </c>
      <c r="F80" s="24" t="inlineStr">
        <is>
          <t xml:space="preserve">Croatian Flair x RLX </t>
        </is>
      </c>
      <c r="G80" s="24" t="inlineStr">
        <is>
          <t>SPIKE Syndicate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-117</v>
      </c>
      <c r="M80" s="27" t="n">
        <v>1.854701</v>
      </c>
      <c r="N80" s="28" t="n">
        <v>0.539171</v>
      </c>
      <c r="O80" s="28" t="n">
        <v>0.526701</v>
      </c>
      <c r="P80" s="28" t="n"/>
      <c r="Q80" s="28" t="n">
        <v>-0.01247</v>
      </c>
      <c r="R80" s="26" t="n">
        <v>14</v>
      </c>
      <c r="S80" s="29" t="n">
        <v>0</v>
      </c>
      <c r="T80" s="24" t="inlineStr">
        <is>
          <t>lol-tiered-elo-v6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/>
      <c r="AA80" s="28" t="n"/>
      <c r="AB80" s="28" t="n"/>
      <c r="AC80" s="30" t="n">
        <v>0</v>
      </c>
      <c r="AD80" s="24" t="inlineStr">
        <is>
          <t>2026-08-07T06:01:34.117276Z</t>
        </is>
      </c>
      <c r="AE80" s="31" t="inlineStr">
        <is>
          <t>Neutral Elo baseline; executable ask 0.5400 (market_slug=aec-lol-spk-cfxr-2026-08-06).</t>
        </is>
      </c>
      <c r="AF80" s="31" t="inlineStr">
        <is>
          <t>Config-promoted esports baseline; gates enforced at log time.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NO_CALL_WINNER_OVERVALUED</t>
        </is>
      </c>
      <c r="AP80" s="24" t="inlineStr">
        <is>
          <t xml:space="preserve">Croatian Flair x RLX </t>
        </is>
      </c>
      <c r="AQ80" s="24" t="inlineStr">
        <is>
          <t xml:space="preserve">Croatian Flair x RLX </t>
        </is>
      </c>
      <c r="AR80" s="24" t="inlineStr">
        <is>
          <t xml:space="preserve">Croatian Flair x RLX </t>
        </is>
      </c>
      <c r="AS80" s="24" t="inlineStr">
        <is>
          <t>SPIKE Syndicate</t>
        </is>
      </c>
      <c r="AT80" s="24" t="inlineStr">
        <is>
          <t>SPIKE Syndicate</t>
        </is>
      </c>
      <c r="AU80" s="24" t="inlineStr">
        <is>
          <t>SPIKE Syndicate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4304963c152f1e881f634fa0b66ab59152f3edd6692257c1d27d76a5cb0a3df3</t>
        </is>
      </c>
      <c r="BB80" s="24" t="inlineStr">
        <is>
          <t>neutral_elo</t>
        </is>
      </c>
      <c r="BC80" s="24" t="inlineStr">
        <is>
          <t>lol-tiered-elo-v6</t>
        </is>
      </c>
      <c r="BD80" s="24" t="inlineStr">
        <is>
          <t>4304963c152f1e881f634fa0b66ab59152f3edd6692257c1d27d76a5cb0a3df3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lol-tiered-elo-v6</t>
        </is>
      </c>
      <c r="BH80" s="24" t="inlineStr">
        <is>
          <t>2026-08-06T00:24:47.035129Z</t>
        </is>
      </c>
      <c r="BI80" s="24" t="inlineStr">
        <is>
          <t>["same_event","same_team_same_day","same_league_same_day"]</t>
        </is>
      </c>
      <c r="BJ80" s="25" t="n"/>
      <c r="BK80" s="26" t="n">
        <v>-117</v>
      </c>
      <c r="BL80" s="27" t="n">
        <v>1.854701</v>
      </c>
      <c r="BM80" s="28" t="n">
        <v>0.539171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>
        <v>1</v>
      </c>
      <c r="BY80" s="27" t="n">
        <v>-1</v>
      </c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</row>
    <row r="81" ht="36" customHeight="1">
      <c r="A81" s="24" t="inlineStr">
        <is>
          <t>13eb8c51dc9647ac</t>
        </is>
      </c>
      <c r="B81" s="24" t="inlineStr">
        <is>
          <t>2026-08-06T00:24:51.570056Z</t>
        </is>
      </c>
      <c r="C81" s="24" t="inlineStr">
        <is>
          <t>2026-08-06T18:00:00Z</t>
        </is>
      </c>
      <c r="D81" s="24" t="inlineStr">
        <is>
          <t>70903</t>
        </is>
      </c>
      <c r="E81" s="24" t="inlineStr">
        <is>
          <t>LOL</t>
        </is>
      </c>
      <c r="F81" s="24" t="inlineStr">
        <is>
          <t>Zena Esports</t>
        </is>
      </c>
      <c r="G81" s="24" t="inlineStr">
        <is>
          <t>GMBLERS ESPORTS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113</v>
      </c>
      <c r="M81" s="27" t="n">
        <v>2.13</v>
      </c>
      <c r="N81" s="28" t="n">
        <v>0.469484</v>
      </c>
      <c r="O81" s="28" t="n">
        <v>0.630956</v>
      </c>
      <c r="P81" s="28" t="n"/>
      <c r="Q81" s="28" t="n">
        <v>0.161472</v>
      </c>
      <c r="R81" s="26" t="n">
        <v>100</v>
      </c>
      <c r="S81" s="29" t="n">
        <v>1.5</v>
      </c>
      <c r="T81" s="24" t="inlineStr">
        <is>
          <t>lol-tiered-elo-v6</t>
        </is>
      </c>
      <c r="U81" s="24" t="inlineStr">
        <is>
          <t>settled</t>
        </is>
      </c>
      <c r="V81" s="24" t="inlineStr">
        <is>
          <t>win</t>
        </is>
      </c>
      <c r="W81" s="26" t="n">
        <v>0</v>
      </c>
      <c r="X81" s="26" t="n">
        <v>1</v>
      </c>
      <c r="Y81" s="25" t="n"/>
      <c r="Z81" s="26" t="n"/>
      <c r="AA81" s="28" t="n"/>
      <c r="AB81" s="28" t="n"/>
      <c r="AC81" s="30" t="n">
        <v>1.695</v>
      </c>
      <c r="AD81" s="24" t="inlineStr">
        <is>
          <t>2026-08-06T18:56:40.419369Z</t>
        </is>
      </c>
      <c r="AE81" s="31" t="inlineStr">
        <is>
          <t>Neutral Elo baseline; executable ask 0.4700 (market_slug=aec-lol-gmb-zena-2026-08-06).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Zena Esports</t>
        </is>
      </c>
      <c r="AQ81" s="24" t="inlineStr">
        <is>
          <t>Zena Esports</t>
        </is>
      </c>
      <c r="AR81" s="24" t="inlineStr">
        <is>
          <t>Zena Esports</t>
        </is>
      </c>
      <c r="AS81" s="24" t="inlineStr">
        <is>
          <t>GMBLERS ESPORTS</t>
        </is>
      </c>
      <c r="AT81" s="24" t="inlineStr">
        <is>
          <t>GMBLERS ESPORTS</t>
        </is>
      </c>
      <c r="AU81" s="24" t="inlineStr">
        <is>
          <t>GMBLERS ESPORTS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4304963c152f1e881f634fa0b66ab59152f3edd6692257c1d27d76a5cb0a3df3</t>
        </is>
      </c>
      <c r="BB81" s="24" t="inlineStr">
        <is>
          <t>neutral_elo</t>
        </is>
      </c>
      <c r="BC81" s="24" t="inlineStr">
        <is>
          <t>lol-tiered-elo-v6</t>
        </is>
      </c>
      <c r="BD81" s="24" t="inlineStr">
        <is>
          <t>4304963c152f1e881f634fa0b66ab59152f3edd6692257c1d27d76a5cb0a3df3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lol-tiered-elo-v6</t>
        </is>
      </c>
      <c r="BH81" s="24" t="inlineStr">
        <is>
          <t>2026-08-06T00:24:47.491847Z</t>
        </is>
      </c>
      <c r="BI81" s="24" t="inlineStr">
        <is>
          <t>["same_event","same_team_same_day","same_league_same_day"]</t>
        </is>
      </c>
      <c r="BJ81" s="25" t="n"/>
      <c r="BK81" s="26" t="n">
        <v>113</v>
      </c>
      <c r="BL81" s="27" t="n">
        <v>2.13</v>
      </c>
      <c r="BM81" s="28" t="n">
        <v>0.469484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>
        <v>1</v>
      </c>
      <c r="BY81" s="27" t="n">
        <v>0.91</v>
      </c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</row>
    <row r="82" ht="36" customHeight="1">
      <c r="A82" s="24" t="inlineStr">
        <is>
          <t>45958a0ec00d4c43</t>
        </is>
      </c>
      <c r="B82" s="24" t="inlineStr">
        <is>
          <t>2026-08-06T00:24:51.570056Z</t>
        </is>
      </c>
      <c r="C82" s="24" t="inlineStr">
        <is>
          <t>2026-08-06T18:30:00Z</t>
        </is>
      </c>
      <c r="D82" s="24" t="inlineStr">
        <is>
          <t>70944</t>
        </is>
      </c>
      <c r="E82" s="24" t="inlineStr">
        <is>
          <t>LOL</t>
        </is>
      </c>
      <c r="F82" s="24" t="inlineStr">
        <is>
          <t>GnG Amazigh</t>
        </is>
      </c>
      <c r="G82" s="24" t="inlineStr">
        <is>
          <t>3BL Esports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0.503252</v>
      </c>
      <c r="P82" s="28" t="n"/>
      <c r="Q82" s="28" t="n">
        <v>-0.006552</v>
      </c>
      <c r="R82" s="26" t="n">
        <v>17</v>
      </c>
      <c r="S82" s="29" t="n">
        <v>0</v>
      </c>
      <c r="T82" s="24" t="inlineStr">
        <is>
          <t>lol-tiered-elo-v6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/>
      <c r="AA82" s="28" t="n"/>
      <c r="AB82" s="28" t="n"/>
      <c r="AC82" s="30" t="n">
        <v>0</v>
      </c>
      <c r="AD82" s="24" t="inlineStr">
        <is>
          <t>2026-08-07T06:01:36.066905Z</t>
        </is>
      </c>
      <c r="AE82" s="31" t="inlineStr">
        <is>
          <t>Neutral Elo baseline; executable ask 0.5100 (market_slug=aec-lol-3bl-gng-2026-08-06).</t>
        </is>
      </c>
      <c r="AF82" s="31" t="inlineStr">
        <is>
          <t>Config-promoted esports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NO_CALL_WINNER_OVERVALUED</t>
        </is>
      </c>
      <c r="AP82" s="24" t="inlineStr">
        <is>
          <t>GnG Amazigh</t>
        </is>
      </c>
      <c r="AQ82" s="24" t="inlineStr">
        <is>
          <t>GnG Amazigh</t>
        </is>
      </c>
      <c r="AR82" s="24" t="inlineStr">
        <is>
          <t>GnG Amazigh</t>
        </is>
      </c>
      <c r="AS82" s="24" t="inlineStr">
        <is>
          <t>3BL Esports</t>
        </is>
      </c>
      <c r="AT82" s="24" t="inlineStr">
        <is>
          <t>3BL Esports</t>
        </is>
      </c>
      <c r="AU82" s="24" t="inlineStr">
        <is>
          <t>3BL Esports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4304963c152f1e881f634fa0b66ab59152f3edd6692257c1d27d76a5cb0a3df3</t>
        </is>
      </c>
      <c r="BB82" s="24" t="inlineStr">
        <is>
          <t>neutral_elo</t>
        </is>
      </c>
      <c r="BC82" s="24" t="inlineStr">
        <is>
          <t>lol-tiered-elo-v6</t>
        </is>
      </c>
      <c r="BD82" s="24" t="inlineStr">
        <is>
          <t>4304963c152f1e881f634fa0b66ab59152f3edd6692257c1d27d76a5cb0a3df3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lol-tiered-elo-v6</t>
        </is>
      </c>
      <c r="BH82" s="24" t="inlineStr">
        <is>
          <t>2026-08-06T00:24:48.482758Z</t>
        </is>
      </c>
      <c r="BI82" s="24" t="inlineStr">
        <is>
          <t>["same_event","same_team_same_day","same_league_same_day"]</t>
        </is>
      </c>
      <c r="BJ82" s="25" t="n"/>
      <c r="BK82" s="26" t="n">
        <v>-104</v>
      </c>
      <c r="BL82" s="27" t="n">
        <v>1.961538</v>
      </c>
      <c r="BM82" s="28" t="n">
        <v>0.509804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>
        <v>1</v>
      </c>
      <c r="BY82" s="27" t="n">
        <v>-1</v>
      </c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</row>
    <row r="83" ht="36" customHeight="1">
      <c r="A83" s="24" t="inlineStr">
        <is>
          <t>a61f5714f228441f</t>
        </is>
      </c>
      <c r="B83" s="24" t="inlineStr">
        <is>
          <t>2026-08-06T19:00:25.399605Z</t>
        </is>
      </c>
      <c r="C83" s="24" t="inlineStr">
        <is>
          <t>2026-08-06T20:00:00Z</t>
        </is>
      </c>
      <c r="D83" s="24" t="inlineStr">
        <is>
          <t>71214</t>
        </is>
      </c>
      <c r="E83" s="24" t="inlineStr">
        <is>
          <t>LOL</t>
        </is>
      </c>
      <c r="F83" s="24" t="inlineStr">
        <is>
          <t>Vitality.Bee</t>
        </is>
      </c>
      <c r="G83" s="24" t="inlineStr">
        <is>
          <t>ZYB Esport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-163</v>
      </c>
      <c r="M83" s="27" t="n">
        <v>1.613497</v>
      </c>
      <c r="N83" s="28" t="n">
        <v>0.619772</v>
      </c>
      <c r="O83" s="28" t="n">
        <v>0.679525</v>
      </c>
      <c r="P83" s="28" t="n"/>
      <c r="Q83" s="28" t="n">
        <v>0.059753</v>
      </c>
      <c r="R83" s="26" t="n">
        <v>50</v>
      </c>
      <c r="S83" s="29" t="n">
        <v>0</v>
      </c>
      <c r="T83" s="24" t="inlineStr">
        <is>
          <t>lol-tiered-elo-v6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1</v>
      </c>
      <c r="X83" s="26" t="n">
        <v>0</v>
      </c>
      <c r="Y83" s="25" t="n"/>
      <c r="Z83" s="26" t="n">
        <v>-163</v>
      </c>
      <c r="AA83" s="28" t="n">
        <v>0.62</v>
      </c>
      <c r="AB83" s="28" t="n">
        <v>0.000228</v>
      </c>
      <c r="AC83" s="30" t="n">
        <v>0</v>
      </c>
      <c r="AD83" s="24" t="inlineStr">
        <is>
          <t>2026-08-07T06:01:38.017573Z</t>
        </is>
      </c>
      <c r="AE83" s="31" t="inlineStr">
        <is>
          <t>Neutral Elo baseline; executable ask 0.6200 (market_slug=aec-lol-zyb-vitb-2026-08-06).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NO_CALL_WINNER_OVERVALUED</t>
        </is>
      </c>
      <c r="AP83" s="24" t="inlineStr">
        <is>
          <t>Vitality.Bee</t>
        </is>
      </c>
      <c r="AQ83" s="24" t="inlineStr">
        <is>
          <t>Vitality.Bee</t>
        </is>
      </c>
      <c r="AR83" s="24" t="inlineStr">
        <is>
          <t>Vitality.Bee</t>
        </is>
      </c>
      <c r="AS83" s="24" t="inlineStr">
        <is>
          <t>ZYB Esport</t>
        </is>
      </c>
      <c r="AT83" s="24" t="inlineStr">
        <is>
          <t>ZYB Esport</t>
        </is>
      </c>
      <c r="AU83" s="24" t="inlineStr">
        <is>
          <t>ZYB Esport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5e9799a515295e9b079eacaa53a2e35352183239a18c1b173f4a540a52770140</t>
        </is>
      </c>
      <c r="BB83" s="24" t="inlineStr">
        <is>
          <t>neutral_elo</t>
        </is>
      </c>
      <c r="BC83" s="24" t="inlineStr">
        <is>
          <t>lol-tiered-elo-v6</t>
        </is>
      </c>
      <c r="BD83" s="24" t="inlineStr">
        <is>
          <t>5e9799a515295e9b079eacaa53a2e35352183239a18c1b173f4a540a52770140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lol-tiered-elo-v6</t>
        </is>
      </c>
      <c r="BH83" s="24" t="inlineStr">
        <is>
          <t>2026-08-06T19:00:13.353895Z</t>
        </is>
      </c>
      <c r="BI83" s="24" t="inlineStr">
        <is>
          <t>["same_event","same_team_same_day","same_league_same_day"]</t>
        </is>
      </c>
      <c r="BJ83" s="25" t="n"/>
      <c r="BK83" s="26" t="n">
        <v>-163</v>
      </c>
      <c r="BL83" s="27" t="n">
        <v>1.613497</v>
      </c>
      <c r="BM83" s="28" t="n">
        <v>0.619772</v>
      </c>
      <c r="BN83" s="28" t="n"/>
      <c r="BO83" s="28" t="n"/>
      <c r="BP83" s="25" t="n"/>
      <c r="BQ83" s="27" t="n">
        <v>1.613497</v>
      </c>
      <c r="BR83" s="28" t="n">
        <v>0.62</v>
      </c>
      <c r="BS83" s="28" t="n"/>
      <c r="BT83" s="28" t="n"/>
      <c r="BU83" s="25" t="n"/>
      <c r="BV83" s="29" t="n"/>
      <c r="BW83" s="24" t="n"/>
      <c r="BX83" s="30" t="n">
        <v>1</v>
      </c>
      <c r="BY83" s="27" t="n">
        <v>0.91</v>
      </c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</row>
    <row r="84" ht="36" customHeight="1">
      <c r="A84" s="24" t="inlineStr">
        <is>
          <t>0ccd89fcee2349fe</t>
        </is>
      </c>
      <c r="B84" s="24" t="inlineStr">
        <is>
          <t>2026-08-06T19:00:25.399605Z</t>
        </is>
      </c>
      <c r="C84" s="24" t="inlineStr">
        <is>
          <t>2026-08-06T21:00:00Z</t>
        </is>
      </c>
      <c r="D84" s="24" t="inlineStr">
        <is>
          <t>71313</t>
        </is>
      </c>
      <c r="E84" s="24" t="inlineStr">
        <is>
          <t>LOL</t>
        </is>
      </c>
      <c r="F84" s="24" t="inlineStr">
        <is>
          <t>Panelão LHC</t>
        </is>
      </c>
      <c r="G84" s="24" t="inlineStr">
        <is>
          <t>Tung Tung Bogi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-133</v>
      </c>
      <c r="M84" s="27" t="n">
        <v>1.75188</v>
      </c>
      <c r="N84" s="28" t="n">
        <v>0.570815</v>
      </c>
      <c r="O84" s="28" t="n">
        <v>0.502926</v>
      </c>
      <c r="P84" s="28" t="n"/>
      <c r="Q84" s="28" t="n">
        <v>-0.067889</v>
      </c>
      <c r="R84" s="26" t="n">
        <v>0</v>
      </c>
      <c r="S84" s="29" t="n">
        <v>0</v>
      </c>
      <c r="T84" s="24" t="inlineStr">
        <is>
          <t>lol-tiered-elo-v6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0</v>
      </c>
      <c r="X84" s="26" t="n">
        <v>1</v>
      </c>
      <c r="Y84" s="25" t="n"/>
      <c r="Z84" s="26" t="n">
        <v>-133</v>
      </c>
      <c r="AA84" s="28" t="n">
        <v>0.57</v>
      </c>
      <c r="AB84" s="28" t="n">
        <v>-0.000815</v>
      </c>
      <c r="AC84" s="30" t="n">
        <v>0</v>
      </c>
      <c r="AD84" s="24" t="inlineStr">
        <is>
          <t>2026-08-07T06:01:39.953165Z</t>
        </is>
      </c>
      <c r="AE84" s="31" t="inlineStr">
        <is>
          <t>Neutral Elo baseline; executable ask 0.5700 (market_slug=aec-lol-tung-pane-2026-08-06).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NO_CALL_WINNER_OVERVALUED</t>
        </is>
      </c>
      <c r="AP84" s="24" t="inlineStr">
        <is>
          <t>Panelão LHC</t>
        </is>
      </c>
      <c r="AQ84" s="24" t="inlineStr">
        <is>
          <t>Panelão LHC</t>
        </is>
      </c>
      <c r="AR84" s="24" t="inlineStr">
        <is>
          <t>Panelão LHC</t>
        </is>
      </c>
      <c r="AS84" s="24" t="inlineStr">
        <is>
          <t>Tung Tung Bogi</t>
        </is>
      </c>
      <c r="AT84" s="24" t="inlineStr">
        <is>
          <t>Tung Tung Bogi</t>
        </is>
      </c>
      <c r="AU84" s="24" t="inlineStr">
        <is>
          <t>Tung Tung Bogi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5e9799a515295e9b079eacaa53a2e35352183239a18c1b173f4a540a52770140</t>
        </is>
      </c>
      <c r="BB84" s="24" t="inlineStr">
        <is>
          <t>neutral_elo</t>
        </is>
      </c>
      <c r="BC84" s="24" t="inlineStr">
        <is>
          <t>lol-tiered-elo-v6</t>
        </is>
      </c>
      <c r="BD84" s="24" t="inlineStr">
        <is>
          <t>5e9799a515295e9b079eacaa53a2e35352183239a18c1b173f4a540a52770140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lol-tiered-elo-v6</t>
        </is>
      </c>
      <c r="BH84" s="24" t="inlineStr">
        <is>
          <t>2026-08-06T19:00:13.983504Z</t>
        </is>
      </c>
      <c r="BI84" s="24" t="inlineStr">
        <is>
          <t>["same_event","same_team_same_day","same_league_same_day"]</t>
        </is>
      </c>
      <c r="BJ84" s="25" t="n"/>
      <c r="BK84" s="26" t="n">
        <v>-133</v>
      </c>
      <c r="BL84" s="27" t="n">
        <v>1.75188</v>
      </c>
      <c r="BM84" s="28" t="n">
        <v>0.570815</v>
      </c>
      <c r="BN84" s="28" t="n"/>
      <c r="BO84" s="28" t="n"/>
      <c r="BP84" s="25" t="n"/>
      <c r="BQ84" s="27" t="n">
        <v>1.75188</v>
      </c>
      <c r="BR84" s="28" t="n">
        <v>0.57</v>
      </c>
      <c r="BS84" s="28" t="n"/>
      <c r="BT84" s="28" t="n"/>
      <c r="BU84" s="25" t="n"/>
      <c r="BV84" s="29" t="n"/>
      <c r="BW84" s="24" t="n"/>
      <c r="BX84" s="30" t="n">
        <v>1</v>
      </c>
      <c r="BY84" s="27" t="n">
        <v>0.91</v>
      </c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</row>
    <row r="85" ht="36" customHeight="1">
      <c r="A85" s="24" t="inlineStr">
        <is>
          <t>0231b19970844149</t>
        </is>
      </c>
      <c r="B85" s="24" t="inlineStr">
        <is>
          <t>2026-08-06T19:00:25.399605Z</t>
        </is>
      </c>
      <c r="C85" s="24" t="inlineStr">
        <is>
          <t>2026-08-06T21:00:00Z</t>
        </is>
      </c>
      <c r="D85" s="24" t="inlineStr">
        <is>
          <t>71314</t>
        </is>
      </c>
      <c r="E85" s="24" t="inlineStr">
        <is>
          <t>LOL</t>
        </is>
      </c>
      <c r="F85" s="24" t="inlineStr">
        <is>
          <t>CCG Esports</t>
        </is>
      </c>
      <c r="G85" s="24" t="inlineStr">
        <is>
          <t>Maryville University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-144</v>
      </c>
      <c r="M85" s="27" t="n">
        <v>1.694444</v>
      </c>
      <c r="N85" s="28" t="n">
        <v>0.590164</v>
      </c>
      <c r="O85" s="28" t="n">
        <v>0.557526</v>
      </c>
      <c r="P85" s="28" t="n"/>
      <c r="Q85" s="28" t="n">
        <v>-0.032638</v>
      </c>
      <c r="R85" s="26" t="n">
        <v>4</v>
      </c>
      <c r="S85" s="29" t="n">
        <v>0</v>
      </c>
      <c r="T85" s="24" t="inlineStr">
        <is>
          <t>lol-tiered-elo-v6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-144</v>
      </c>
      <c r="AA85" s="28" t="n">
        <v>0.59</v>
      </c>
      <c r="AB85" s="28" t="n">
        <v>-0.000164</v>
      </c>
      <c r="AC85" s="30" t="n">
        <v>0</v>
      </c>
      <c r="AD85" s="24" t="inlineStr">
        <is>
          <t>2026-08-07T06:01:42.011440Z</t>
        </is>
      </c>
      <c r="AE85" s="31" t="inlineStr">
        <is>
          <t>Neutral Elo baseline; executable ask 0.5900 (market_slug=aec-lol-mvu-ccg-2026-08-06).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NO_CALL_WINNER_OVERVALUED</t>
        </is>
      </c>
      <c r="AP85" s="24" t="inlineStr">
        <is>
          <t>CCG Esports</t>
        </is>
      </c>
      <c r="AQ85" s="24" t="inlineStr">
        <is>
          <t>CCG Esports</t>
        </is>
      </c>
      <c r="AR85" s="24" t="inlineStr">
        <is>
          <t>CCG Esports</t>
        </is>
      </c>
      <c r="AS85" s="24" t="inlineStr">
        <is>
          <t>Maryville University</t>
        </is>
      </c>
      <c r="AT85" s="24" t="inlineStr">
        <is>
          <t>Maryville University</t>
        </is>
      </c>
      <c r="AU85" s="24" t="inlineStr">
        <is>
          <t>Maryville University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5e9799a515295e9b079eacaa53a2e35352183239a18c1b173f4a540a52770140</t>
        </is>
      </c>
      <c r="BB85" s="24" t="inlineStr">
        <is>
          <t>neutral_elo</t>
        </is>
      </c>
      <c r="BC85" s="24" t="inlineStr">
        <is>
          <t>lol-tiered-elo-v6</t>
        </is>
      </c>
      <c r="BD85" s="24" t="inlineStr">
        <is>
          <t>5e9799a515295e9b079eacaa53a2e35352183239a18c1b173f4a540a52770140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lol-tiered-elo-v6</t>
        </is>
      </c>
      <c r="BH85" s="24" t="inlineStr">
        <is>
          <t>2026-08-06T19:00:14.541758Z</t>
        </is>
      </c>
      <c r="BI85" s="24" t="inlineStr">
        <is>
          <t>["same_event","same_team_same_day","same_league_same_day"]</t>
        </is>
      </c>
      <c r="BJ85" s="25" t="n"/>
      <c r="BK85" s="26" t="n">
        <v>-144</v>
      </c>
      <c r="BL85" s="27" t="n">
        <v>1.694444</v>
      </c>
      <c r="BM85" s="28" t="n">
        <v>0.590164</v>
      </c>
      <c r="BN85" s="28" t="n"/>
      <c r="BO85" s="28" t="n"/>
      <c r="BP85" s="25" t="n"/>
      <c r="BQ85" s="27" t="n">
        <v>1.694444</v>
      </c>
      <c r="BR85" s="28" t="n">
        <v>0.59</v>
      </c>
      <c r="BS85" s="28" t="n"/>
      <c r="BT85" s="28" t="n"/>
      <c r="BU85" s="25" t="n"/>
      <c r="BV85" s="29" t="n"/>
      <c r="BW85" s="24" t="n"/>
      <c r="BX85" s="30" t="n">
        <v>1</v>
      </c>
      <c r="BY85" s="27" t="n">
        <v>0.91</v>
      </c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</row>
    <row r="86" ht="36" customHeight="1">
      <c r="A86" s="24" t="inlineStr">
        <is>
          <t>8364391a5d6747ed</t>
        </is>
      </c>
      <c r="B86" s="24" t="inlineStr">
        <is>
          <t>2026-08-06T19:00:25.399605Z</t>
        </is>
      </c>
      <c r="C86" s="24" t="inlineStr">
        <is>
          <t>2026-08-07T00:00:00Z</t>
        </is>
      </c>
      <c r="D86" s="24" t="inlineStr">
        <is>
          <t>71538</t>
        </is>
      </c>
      <c r="E86" s="24" t="inlineStr">
        <is>
          <t>LOL</t>
        </is>
      </c>
      <c r="F86" s="24" t="inlineStr">
        <is>
          <t>Contingent Esports</t>
        </is>
      </c>
      <c r="G86" s="24" t="inlineStr">
        <is>
          <t>Conviction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-233</v>
      </c>
      <c r="M86" s="27" t="n">
        <v>1.429185</v>
      </c>
      <c r="N86" s="28" t="n">
        <v>0.6997</v>
      </c>
      <c r="O86" s="28" t="n">
        <v>0.513518</v>
      </c>
      <c r="P86" s="28" t="n"/>
      <c r="Q86" s="28" t="n">
        <v>-0.186182</v>
      </c>
      <c r="R86" s="26" t="n">
        <v>0</v>
      </c>
      <c r="S86" s="29" t="n">
        <v>0</v>
      </c>
      <c r="T86" s="24" t="inlineStr">
        <is>
          <t>lol-tiered-elo-v6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0</v>
      </c>
      <c r="X86" s="26" t="n">
        <v>1</v>
      </c>
      <c r="Y86" s="25" t="n"/>
      <c r="Z86" s="26" t="n">
        <v>-233</v>
      </c>
      <c r="AA86" s="28" t="n">
        <v>0.7</v>
      </c>
      <c r="AB86" s="28" t="n">
        <v>0.0003</v>
      </c>
      <c r="AC86" s="30" t="n">
        <v>0</v>
      </c>
      <c r="AD86" s="24" t="inlineStr">
        <is>
          <t>2026-08-07T06:01:43.858141Z</t>
        </is>
      </c>
      <c r="AE86" s="31" t="inlineStr">
        <is>
          <t>Neutral Elo baseline; executable ask 0.7000 (market_slug=aec-lol-cnv-cont-2026-08-07).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NO_CALL_WINNER_OVERVALUED</t>
        </is>
      </c>
      <c r="AP86" s="24" t="inlineStr">
        <is>
          <t>Contingent Esports</t>
        </is>
      </c>
      <c r="AQ86" s="24" t="inlineStr">
        <is>
          <t>Contingent Esports</t>
        </is>
      </c>
      <c r="AR86" s="24" t="inlineStr">
        <is>
          <t>Contingent Esports</t>
        </is>
      </c>
      <c r="AS86" s="24" t="inlineStr">
        <is>
          <t>Conviction</t>
        </is>
      </c>
      <c r="AT86" s="24" t="inlineStr">
        <is>
          <t>Conviction</t>
        </is>
      </c>
      <c r="AU86" s="24" t="inlineStr">
        <is>
          <t>Conviction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5e9799a515295e9b079eacaa53a2e35352183239a18c1b173f4a540a52770140</t>
        </is>
      </c>
      <c r="BB86" s="24" t="inlineStr">
        <is>
          <t>neutral_elo</t>
        </is>
      </c>
      <c r="BC86" s="24" t="inlineStr">
        <is>
          <t>lol-tiered-elo-v6</t>
        </is>
      </c>
      <c r="BD86" s="24" t="inlineStr">
        <is>
          <t>5e9799a515295e9b079eacaa53a2e35352183239a18c1b173f4a540a52770140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lol-tiered-elo-v6</t>
        </is>
      </c>
      <c r="BH86" s="24" t="inlineStr">
        <is>
          <t>2026-08-06T19:00:15.092901Z</t>
        </is>
      </c>
      <c r="BI86" s="24" t="inlineStr">
        <is>
          <t>["same_event","same_team_same_day","same_league_same_day"]</t>
        </is>
      </c>
      <c r="BJ86" s="25" t="n"/>
      <c r="BK86" s="26" t="n">
        <v>-233</v>
      </c>
      <c r="BL86" s="27" t="n">
        <v>1.429185</v>
      </c>
      <c r="BM86" s="28" t="n">
        <v>0.6997</v>
      </c>
      <c r="BN86" s="28" t="n"/>
      <c r="BO86" s="28" t="n"/>
      <c r="BP86" s="25" t="n"/>
      <c r="BQ86" s="27" t="n">
        <v>1.429185</v>
      </c>
      <c r="BR86" s="28" t="n">
        <v>0.7</v>
      </c>
      <c r="BS86" s="28" t="n"/>
      <c r="BT86" s="28" t="n"/>
      <c r="BU86" s="25" t="n"/>
      <c r="BV86" s="29" t="n"/>
      <c r="BW86" s="24" t="n"/>
      <c r="BX86" s="30" t="n">
        <v>1</v>
      </c>
      <c r="BY86" s="27" t="n">
        <v>0.91</v>
      </c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</row>
    <row r="87" ht="36" customHeight="1">
      <c r="A87" s="24" t="inlineStr">
        <is>
          <t>c946a1750ee443c4</t>
        </is>
      </c>
      <c r="B87" s="24" t="inlineStr">
        <is>
          <t>2026-08-06T19:00:25.399605Z</t>
        </is>
      </c>
      <c r="C87" s="24" t="inlineStr">
        <is>
          <t>2026-08-07T05:00:00Z</t>
        </is>
      </c>
      <c r="D87" s="24" t="inlineStr">
        <is>
          <t>71661</t>
        </is>
      </c>
      <c r="E87" s="24" t="inlineStr">
        <is>
          <t>LOL</t>
        </is>
      </c>
      <c r="F87" s="24" t="inlineStr">
        <is>
          <t>KT Rolster Challengers</t>
        </is>
      </c>
      <c r="G87" s="24" t="inlineStr">
        <is>
          <t>Nongshim Esports Academy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117</v>
      </c>
      <c r="M87" s="27" t="n">
        <v>2.17</v>
      </c>
      <c r="N87" s="28" t="n">
        <v>0.460829</v>
      </c>
      <c r="O87" s="28" t="n">
        <v>0.502757</v>
      </c>
      <c r="P87" s="28" t="n"/>
      <c r="Q87" s="28" t="n">
        <v>0.041928</v>
      </c>
      <c r="R87" s="26" t="n">
        <v>41</v>
      </c>
      <c r="S87" s="29" t="n">
        <v>0</v>
      </c>
      <c r="T87" s="24" t="inlineStr">
        <is>
          <t>lol-tiered-elo-v6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0</v>
      </c>
      <c r="AD87" s="24" t="inlineStr">
        <is>
          <t>2026-08-07T09:07:51.795962Z</t>
        </is>
      </c>
      <c r="AE87" s="31" t="inlineStr">
        <is>
          <t>Neutral Elo baseline; executable ask 0.4600 (market_slug=aec-lol-nsea-ktc-2026-08-07).</t>
        </is>
      </c>
      <c r="AF87" s="31" t="inlineStr">
        <is>
          <t>Config-promoted esports baseline; gates enforced at log time.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NO_CALL_WINNER_OVERVALUED</t>
        </is>
      </c>
      <c r="AP87" s="24" t="inlineStr">
        <is>
          <t>KT Rolster Challengers</t>
        </is>
      </c>
      <c r="AQ87" s="24" t="inlineStr">
        <is>
          <t>KT Rolster Challengers</t>
        </is>
      </c>
      <c r="AR87" s="24" t="inlineStr">
        <is>
          <t>KT Rolster Challengers</t>
        </is>
      </c>
      <c r="AS87" s="24" t="inlineStr">
        <is>
          <t>Nongshim Esports Academy</t>
        </is>
      </c>
      <c r="AT87" s="24" t="inlineStr">
        <is>
          <t>Nongshim Esports Academy</t>
        </is>
      </c>
      <c r="AU87" s="24" t="inlineStr">
        <is>
          <t>Nongshim Esports Academy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5e9799a515295e9b079eacaa53a2e35352183239a18c1b173f4a540a52770140</t>
        </is>
      </c>
      <c r="BB87" s="24" t="inlineStr">
        <is>
          <t>neutral_elo</t>
        </is>
      </c>
      <c r="BC87" s="24" t="inlineStr">
        <is>
          <t>lol-tiered-elo-v6</t>
        </is>
      </c>
      <c r="BD87" s="24" t="inlineStr">
        <is>
          <t>5e9799a515295e9b079eacaa53a2e35352183239a18c1b173f4a540a52770140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lol-tiered-elo-v6</t>
        </is>
      </c>
      <c r="BH87" s="24" t="inlineStr">
        <is>
          <t>2026-08-06T19:00:16.295547Z</t>
        </is>
      </c>
      <c r="BI87" s="24" t="inlineStr">
        <is>
          <t>["same_event","same_team_same_day","same_league_same_day"]</t>
        </is>
      </c>
      <c r="BJ87" s="25" t="n"/>
      <c r="BK87" s="26" t="n">
        <v>117</v>
      </c>
      <c r="BL87" s="27" t="n">
        <v>2.17</v>
      </c>
      <c r="BM87" s="28" t="n">
        <v>0.460829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>
        <v>1</v>
      </c>
      <c r="BY87" s="27" t="n">
        <v>-1</v>
      </c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</row>
    <row r="88" ht="36" customHeight="1">
      <c r="A88" s="24" t="inlineStr">
        <is>
          <t>a9bfe0a588404ce7</t>
        </is>
      </c>
      <c r="B88" s="24" t="inlineStr">
        <is>
          <t>2026-08-06T19:00:25.399605Z</t>
        </is>
      </c>
      <c r="C88" s="24" t="inlineStr">
        <is>
          <t>2026-08-08T00:00:00Z</t>
        </is>
      </c>
      <c r="D88" s="24" t="inlineStr">
        <is>
          <t>72608</t>
        </is>
      </c>
      <c r="E88" s="24" t="inlineStr">
        <is>
          <t>LOL</t>
        </is>
      </c>
      <c r="F88" s="24" t="inlineStr">
        <is>
          <t>Contingent Esports</t>
        </is>
      </c>
      <c r="G88" s="24" t="inlineStr">
        <is>
          <t>Maryville University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-156</v>
      </c>
      <c r="M88" s="27" t="n">
        <v>1.641026</v>
      </c>
      <c r="N88" s="28" t="n">
        <v>0.609375</v>
      </c>
      <c r="O88" s="28" t="n">
        <v>0.500736</v>
      </c>
      <c r="P88" s="28" t="n"/>
      <c r="Q88" s="28" t="n">
        <v>-0.108639</v>
      </c>
      <c r="R88" s="26" t="n">
        <v>0</v>
      </c>
      <c r="S88" s="29" t="n">
        <v>0</v>
      </c>
      <c r="T88" s="24" t="inlineStr">
        <is>
          <t>lol-tiered-elo-v6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-257</v>
      </c>
      <c r="AA88" s="28" t="n">
        <v>0.72</v>
      </c>
      <c r="AB88" s="28" t="n">
        <v>0.110625</v>
      </c>
      <c r="AC88" s="30" t="n">
        <v>0</v>
      </c>
      <c r="AD88" s="24" t="inlineStr">
        <is>
          <t>2026-08-08T01:00:15.844608Z</t>
        </is>
      </c>
      <c r="AE88" s="31" t="inlineStr">
        <is>
          <t>Neutral Elo baseline; executable ask 0.6100 (market_slug=aec-lol-mvu-cont-2026-08-08).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NO_CALL_WINNER_OVERVALUED</t>
        </is>
      </c>
      <c r="AP88" s="24" t="inlineStr">
        <is>
          <t>Contingent Esports</t>
        </is>
      </c>
      <c r="AQ88" s="24" t="inlineStr">
        <is>
          <t>Contingent Esports</t>
        </is>
      </c>
      <c r="AR88" s="24" t="inlineStr">
        <is>
          <t>Contingent Esports</t>
        </is>
      </c>
      <c r="AS88" s="24" t="inlineStr">
        <is>
          <t>Maryville University</t>
        </is>
      </c>
      <c r="AT88" s="24" t="inlineStr">
        <is>
          <t>Maryville University</t>
        </is>
      </c>
      <c r="AU88" s="24" t="inlineStr">
        <is>
          <t>Maryville University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5e9799a515295e9b079eacaa53a2e35352183239a18c1b173f4a540a52770140</t>
        </is>
      </c>
      <c r="BB88" s="24" t="inlineStr">
        <is>
          <t>neutral_elo</t>
        </is>
      </c>
      <c r="BC88" s="24" t="inlineStr">
        <is>
          <t>lol-tiered-elo-v6</t>
        </is>
      </c>
      <c r="BD88" s="24" t="inlineStr">
        <is>
          <t>5e9799a515295e9b079eacaa53a2e35352183239a18c1b173f4a540a52770140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lol-tiered-elo-v6</t>
        </is>
      </c>
      <c r="BH88" s="24" t="inlineStr">
        <is>
          <t>2026-08-06T19:00:25.397889Z</t>
        </is>
      </c>
      <c r="BI88" s="24" t="inlineStr">
        <is>
          <t>["same_event","same_team_same_day","same_league_same_day"]</t>
        </is>
      </c>
      <c r="BJ88" s="25" t="n"/>
      <c r="BK88" s="26" t="n">
        <v>-156</v>
      </c>
      <c r="BL88" s="27" t="n">
        <v>1.641026</v>
      </c>
      <c r="BM88" s="28" t="n">
        <v>0.609375</v>
      </c>
      <c r="BN88" s="28" t="n"/>
      <c r="BO88" s="28" t="n"/>
      <c r="BP88" s="25" t="n"/>
      <c r="BQ88" s="27" t="n">
        <v>1.389105</v>
      </c>
      <c r="BR88" s="28" t="n">
        <v>0.72</v>
      </c>
      <c r="BS88" s="28" t="n"/>
      <c r="BT88" s="28" t="n"/>
      <c r="BU88" s="25" t="n"/>
      <c r="BV88" s="29" t="n"/>
      <c r="BW88" s="24" t="n"/>
      <c r="BX88" s="30" t="n">
        <v>1</v>
      </c>
      <c r="BY88" s="27" t="n">
        <v>0.91</v>
      </c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False</t>
        </is>
      </c>
    </row>
    <row r="89" ht="36" customHeight="1">
      <c r="A89" s="24" t="inlineStr">
        <is>
          <t>44228dd6d26149ca</t>
        </is>
      </c>
      <c r="B89" s="24" t="inlineStr">
        <is>
          <t>2026-08-07T06:05:25.960229Z</t>
        </is>
      </c>
      <c r="C89" s="24" t="inlineStr">
        <is>
          <t>2026-08-07T08:00:00Z</t>
        </is>
      </c>
      <c r="D89" s="24" t="inlineStr">
        <is>
          <t>71674</t>
        </is>
      </c>
      <c r="E89" s="24" t="inlineStr">
        <is>
          <t>LOL</t>
        </is>
      </c>
      <c r="F89" s="24" t="inlineStr">
        <is>
          <t>Gen.G</t>
        </is>
      </c>
      <c r="G89" s="24" t="inlineStr">
        <is>
          <t>KT Rolster</t>
        </is>
      </c>
      <c r="H89" s="24" t="inlineStr">
        <is>
          <t>moneyline</t>
        </is>
      </c>
      <c r="I89" s="24" t="inlineStr">
        <is>
          <t>away</t>
        </is>
      </c>
      <c r="J89" s="25" t="n"/>
      <c r="K89" s="24" t="inlineStr">
        <is>
          <t>polymarket_us</t>
        </is>
      </c>
      <c r="L89" s="26" t="n">
        <v>-213</v>
      </c>
      <c r="M89" s="27" t="n">
        <v>1.469484</v>
      </c>
      <c r="N89" s="28" t="n">
        <v>0.680511</v>
      </c>
      <c r="O89" s="28" t="n">
        <v>0.59845</v>
      </c>
      <c r="P89" s="28" t="n"/>
      <c r="Q89" s="28" t="n">
        <v>-0.082061</v>
      </c>
      <c r="R89" s="26" t="n">
        <v>0</v>
      </c>
      <c r="S89" s="29" t="n">
        <v>0</v>
      </c>
      <c r="T89" s="24" t="inlineStr">
        <is>
          <t>lol-tiered-elo-v6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0</v>
      </c>
      <c r="Y89" s="25" t="n"/>
      <c r="Z89" s="26" t="n">
        <v>-213</v>
      </c>
      <c r="AA89" s="28" t="n">
        <v>0.68</v>
      </c>
      <c r="AB89" s="28" t="n">
        <v>-0.000511</v>
      </c>
      <c r="AC89" s="30" t="n">
        <v>0</v>
      </c>
      <c r="AD89" s="24" t="inlineStr">
        <is>
          <t>2026-08-07T12:13:50.727295Z</t>
        </is>
      </c>
      <c r="AE89" s="31" t="inlineStr">
        <is>
          <t>Neutral Elo baseline; executable ask 0.6800 (market_slug=aec-lol-kt-gen-2026-08-07).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NO_CALL_WINNER_OVERVALUED</t>
        </is>
      </c>
      <c r="AP89" s="24" t="inlineStr">
        <is>
          <t>Gen.G</t>
        </is>
      </c>
      <c r="AQ89" s="24" t="inlineStr">
        <is>
          <t>Gen.G</t>
        </is>
      </c>
      <c r="AR89" s="24" t="inlineStr">
        <is>
          <t>Gen.G</t>
        </is>
      </c>
      <c r="AS89" s="24" t="inlineStr">
        <is>
          <t>KT Rolster</t>
        </is>
      </c>
      <c r="AT89" s="24" t="inlineStr">
        <is>
          <t>KT Rolster</t>
        </is>
      </c>
      <c r="AU89" s="24" t="inlineStr">
        <is>
          <t>KT Rolster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a435118c0d96357d246620424b583b0e8bb85e7581f7dfaff6a1a2190d73a589</t>
        </is>
      </c>
      <c r="BB89" s="24" t="inlineStr">
        <is>
          <t>neutral_elo</t>
        </is>
      </c>
      <c r="BC89" s="24" t="inlineStr">
        <is>
          <t>lol-tiered-elo-v6</t>
        </is>
      </c>
      <c r="BD89" s="24" t="inlineStr">
        <is>
          <t>a435118c0d96357d246620424b583b0e8bb85e7581f7dfaff6a1a2190d73a589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lol-tiered-elo-v6</t>
        </is>
      </c>
      <c r="BH89" s="24" t="inlineStr">
        <is>
          <t>2026-08-07T06:05:01.264270Z</t>
        </is>
      </c>
      <c r="BI89" s="24" t="inlineStr">
        <is>
          <t>["same_event","same_team_same_day","same_league_same_day"]</t>
        </is>
      </c>
      <c r="BJ89" s="25" t="n"/>
      <c r="BK89" s="26" t="n">
        <v>-213</v>
      </c>
      <c r="BL89" s="27" t="n">
        <v>1.469484</v>
      </c>
      <c r="BM89" s="28" t="n">
        <v>0.680511</v>
      </c>
      <c r="BN89" s="28" t="n"/>
      <c r="BO89" s="28" t="n"/>
      <c r="BP89" s="25" t="n"/>
      <c r="BQ89" s="27" t="n">
        <v>1.469484</v>
      </c>
      <c r="BR89" s="28" t="n">
        <v>0.68</v>
      </c>
      <c r="BS89" s="28" t="n"/>
      <c r="BT89" s="28" t="n"/>
      <c r="BU89" s="25" t="n"/>
      <c r="BV89" s="29" t="n"/>
      <c r="BW89" s="24" t="n"/>
      <c r="BX89" s="30" t="n">
        <v>1</v>
      </c>
      <c r="BY89" s="27" t="n">
        <v>0.91</v>
      </c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</row>
    <row r="90" ht="36" customHeight="1">
      <c r="A90" s="24" t="inlineStr">
        <is>
          <t>d1011fd7d94f4cb0</t>
        </is>
      </c>
      <c r="B90" s="24" t="inlineStr">
        <is>
          <t>2026-08-07T09:11:37.538758Z</t>
        </is>
      </c>
      <c r="C90" s="24" t="inlineStr">
        <is>
          <t>2026-08-07T10:00:00Z</t>
        </is>
      </c>
      <c r="D90" s="24" t="inlineStr">
        <is>
          <t>71714</t>
        </is>
      </c>
      <c r="E90" s="24" t="inlineStr">
        <is>
          <t>LOL</t>
        </is>
      </c>
      <c r="F90" s="24" t="inlineStr">
        <is>
          <t>HANJIN BRION</t>
        </is>
      </c>
      <c r="G90" s="24" t="inlineStr">
        <is>
          <t>BNK FEARX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-163</v>
      </c>
      <c r="M90" s="27" t="n">
        <v>1.613497</v>
      </c>
      <c r="N90" s="28" t="n">
        <v>0.619772</v>
      </c>
      <c r="O90" s="28" t="n">
        <v>0.652133</v>
      </c>
      <c r="P90" s="28" t="n"/>
      <c r="Q90" s="28" t="n">
        <v>0.032361</v>
      </c>
      <c r="R90" s="26" t="n">
        <v>36</v>
      </c>
      <c r="S90" s="29" t="n">
        <v>0</v>
      </c>
      <c r="T90" s="24" t="inlineStr">
        <is>
          <t>lol-tiered-elo-v6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-163</v>
      </c>
      <c r="AA90" s="28" t="n">
        <v>0.62</v>
      </c>
      <c r="AB90" s="28" t="n">
        <v>0.000228</v>
      </c>
      <c r="AC90" s="30" t="n">
        <v>0</v>
      </c>
      <c r="AD90" s="24" t="inlineStr">
        <is>
          <t>2026-08-07T12:13:52.710746Z</t>
        </is>
      </c>
      <c r="AE90" s="31" t="inlineStr">
        <is>
          <t>Neutral Elo baseline; executable ask 0.6200 (market_slug=aec-lol-bfx-bro-2026-08-07).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NO_CALL_WINNER_OVERVALUED</t>
        </is>
      </c>
      <c r="AP90" s="24" t="inlineStr">
        <is>
          <t>HANJIN BRION</t>
        </is>
      </c>
      <c r="AQ90" s="24" t="inlineStr">
        <is>
          <t>HANJIN BRION</t>
        </is>
      </c>
      <c r="AR90" s="24" t="inlineStr">
        <is>
          <t>HANJIN BRION</t>
        </is>
      </c>
      <c r="AS90" s="24" t="inlineStr">
        <is>
          <t>BNK FEARX</t>
        </is>
      </c>
      <c r="AT90" s="24" t="inlineStr">
        <is>
          <t>BNK FEARX</t>
        </is>
      </c>
      <c r="AU90" s="24" t="inlineStr">
        <is>
          <t>BNK FEARX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20c3e63bf190142bb6f2572c6657565aa9ec5e7d6e42d68fb9f7442c3368e41c</t>
        </is>
      </c>
      <c r="BB90" s="24" t="inlineStr">
        <is>
          <t>neutral_elo</t>
        </is>
      </c>
      <c r="BC90" s="24" t="inlineStr">
        <is>
          <t>lol-tiered-elo-v6</t>
        </is>
      </c>
      <c r="BD90" s="24" t="inlineStr">
        <is>
          <t>20c3e63bf190142bb6f2572c6657565aa9ec5e7d6e42d68fb9f7442c3368e41c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lol-tiered-elo-v6</t>
        </is>
      </c>
      <c r="BH90" s="24" t="inlineStr">
        <is>
          <t>2026-08-07T09:11:20.433612Z</t>
        </is>
      </c>
      <c r="BI90" s="24" t="inlineStr">
        <is>
          <t>["same_event","same_team_same_day","same_league_same_day"]</t>
        </is>
      </c>
      <c r="BJ90" s="25" t="n"/>
      <c r="BK90" s="26" t="n">
        <v>-163</v>
      </c>
      <c r="BL90" s="27" t="n">
        <v>1.613497</v>
      </c>
      <c r="BM90" s="28" t="n">
        <v>0.619772</v>
      </c>
      <c r="BN90" s="28" t="n"/>
      <c r="BO90" s="28" t="n"/>
      <c r="BP90" s="25" t="n"/>
      <c r="BQ90" s="27" t="n">
        <v>1.613497</v>
      </c>
      <c r="BR90" s="28" t="n">
        <v>0.62</v>
      </c>
      <c r="BS90" s="28" t="n"/>
      <c r="BT90" s="28" t="n"/>
      <c r="BU90" s="25" t="n"/>
      <c r="BV90" s="29" t="n"/>
      <c r="BW90" s="24" t="n"/>
      <c r="BX90" s="30" t="n">
        <v>1</v>
      </c>
      <c r="BY90" s="27" t="n">
        <v>-1</v>
      </c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</row>
    <row r="91" ht="36" customHeight="1">
      <c r="A91" s="24" t="inlineStr">
        <is>
          <t>e1321571684f4e1d</t>
        </is>
      </c>
      <c r="B91" s="24" t="inlineStr">
        <is>
          <t>2026-08-07T12:17:25.524231Z</t>
        </is>
      </c>
      <c r="C91" s="24" t="inlineStr">
        <is>
          <t>2026-08-07T15:00:00Z</t>
        </is>
      </c>
      <c r="D91" s="24" t="inlineStr">
        <is>
          <t>71904</t>
        </is>
      </c>
      <c r="E91" s="24" t="inlineStr">
        <is>
          <t>LOL</t>
        </is>
      </c>
      <c r="F91" s="24" t="inlineStr">
        <is>
          <t>GIANTX</t>
        </is>
      </c>
      <c r="G91" s="24" t="inlineStr">
        <is>
          <t>Shifters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-170</v>
      </c>
      <c r="M91" s="27" t="n">
        <v>1.588235</v>
      </c>
      <c r="N91" s="28" t="n">
        <v>0.62963</v>
      </c>
      <c r="O91" s="28" t="n">
        <v>0.676935</v>
      </c>
      <c r="P91" s="28" t="n"/>
      <c r="Q91" s="28" t="n">
        <v>0.047305</v>
      </c>
      <c r="R91" s="26" t="n">
        <v>44</v>
      </c>
      <c r="S91" s="29" t="n">
        <v>0</v>
      </c>
      <c r="T91" s="24" t="inlineStr">
        <is>
          <t>lol-tiered-elo-v6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0</v>
      </c>
      <c r="Y91" s="25" t="n"/>
      <c r="Z91" s="26" t="n">
        <v>-170</v>
      </c>
      <c r="AA91" s="28" t="n">
        <v>0.63</v>
      </c>
      <c r="AB91" s="28" t="n">
        <v>0.00037</v>
      </c>
      <c r="AC91" s="30" t="n">
        <v>0</v>
      </c>
      <c r="AD91" s="24" t="inlineStr">
        <is>
          <t>2026-08-07T18:27:13.780824Z</t>
        </is>
      </c>
      <c r="AE91" s="31" t="inlineStr">
        <is>
          <t>Neutral Elo baseline; executable ask 0.6300 (market_slug=aec-lol-shft-gx-2026-08-07).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NO_CALL_WINNER_OVERVALUED</t>
        </is>
      </c>
      <c r="AP91" s="24" t="inlineStr">
        <is>
          <t>GIANTX</t>
        </is>
      </c>
      <c r="AQ91" s="24" t="inlineStr">
        <is>
          <t>GIANTX</t>
        </is>
      </c>
      <c r="AR91" s="24" t="inlineStr">
        <is>
          <t>GIANTX</t>
        </is>
      </c>
      <c r="AS91" s="24" t="inlineStr">
        <is>
          <t>Shifters</t>
        </is>
      </c>
      <c r="AT91" s="24" t="inlineStr">
        <is>
          <t>Shifters</t>
        </is>
      </c>
      <c r="AU91" s="24" t="inlineStr">
        <is>
          <t>Shifters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0ce178a4c74d95939d4859ae617369533b2f8010eb3d4b4914c35d385598199f</t>
        </is>
      </c>
      <c r="BB91" s="24" t="inlineStr">
        <is>
          <t>neutral_elo</t>
        </is>
      </c>
      <c r="BC91" s="24" t="inlineStr">
        <is>
          <t>lol-tiered-elo-v6</t>
        </is>
      </c>
      <c r="BD91" s="24" t="inlineStr">
        <is>
          <t>0ce178a4c74d95939d4859ae617369533b2f8010eb3d4b4914c35d385598199f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lol-tiered-elo-v6</t>
        </is>
      </c>
      <c r="BH91" s="24" t="inlineStr">
        <is>
          <t>2026-08-07T12:17:10.022972Z</t>
        </is>
      </c>
      <c r="BI91" s="24" t="inlineStr">
        <is>
          <t>["same_event","same_team_same_day","same_league_same_day"]</t>
        </is>
      </c>
      <c r="BJ91" s="25" t="n"/>
      <c r="BK91" s="26" t="n">
        <v>-170</v>
      </c>
      <c r="BL91" s="27" t="n">
        <v>1.588235</v>
      </c>
      <c r="BM91" s="28" t="n">
        <v>0.62963</v>
      </c>
      <c r="BN91" s="28" t="n"/>
      <c r="BO91" s="28" t="n"/>
      <c r="BP91" s="25" t="n"/>
      <c r="BQ91" s="27" t="n">
        <v>1.588235</v>
      </c>
      <c r="BR91" s="28" t="n">
        <v>0.63</v>
      </c>
      <c r="BS91" s="28" t="n"/>
      <c r="BT91" s="28" t="n"/>
      <c r="BU91" s="25" t="n"/>
      <c r="BV91" s="29" t="n"/>
      <c r="BW91" s="24" t="n"/>
      <c r="BX91" s="30" t="n">
        <v>1</v>
      </c>
      <c r="BY91" s="27" t="n">
        <v>0.91</v>
      </c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</row>
    <row r="92" ht="36" customHeight="1">
      <c r="A92" s="24" t="inlineStr">
        <is>
          <t>7ce3d4b911bc41f4</t>
        </is>
      </c>
      <c r="B92" s="24" t="inlineStr">
        <is>
          <t>2026-08-07T15:24:10.407714Z</t>
        </is>
      </c>
      <c r="C92" s="24" t="inlineStr">
        <is>
          <t>2026-08-07T16:00:00Z</t>
        </is>
      </c>
      <c r="D92" s="24" t="inlineStr">
        <is>
          <t>71980</t>
        </is>
      </c>
      <c r="E92" s="24" t="inlineStr">
        <is>
          <t>LOL</t>
        </is>
      </c>
      <c r="F92" s="24" t="inlineStr">
        <is>
          <t>TITANS</t>
        </is>
      </c>
      <c r="G92" s="24" t="inlineStr">
        <is>
          <t>Aeterna Esports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-117</v>
      </c>
      <c r="M92" s="27" t="n">
        <v>1.854701</v>
      </c>
      <c r="N92" s="28" t="n">
        <v>0.539171</v>
      </c>
      <c r="O92" s="28" t="n">
        <v>0.637212</v>
      </c>
      <c r="P92" s="28" t="n"/>
      <c r="Q92" s="28" t="n">
        <v>0.098041</v>
      </c>
      <c r="R92" s="26" t="n">
        <v>69</v>
      </c>
      <c r="S92" s="29" t="n">
        <v>1.5</v>
      </c>
      <c r="T92" s="24" t="inlineStr">
        <is>
          <t>lol-tiered-elo-v6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-117</v>
      </c>
      <c r="AA92" s="28" t="n">
        <v>0.54</v>
      </c>
      <c r="AB92" s="28" t="n">
        <v>0.000829</v>
      </c>
      <c r="AC92" s="30" t="n">
        <v>1.2821</v>
      </c>
      <c r="AD92" s="24" t="inlineStr">
        <is>
          <t>2026-08-07T18:27:16.469279Z</t>
        </is>
      </c>
      <c r="AE92" s="31" t="inlineStr">
        <is>
          <t>Neutral Elo baseline; executable ask 0.5400 (market_slug=aec-lol-aee-tts-2026-08-07).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TITANS</t>
        </is>
      </c>
      <c r="AQ92" s="24" t="inlineStr">
        <is>
          <t>TITANS</t>
        </is>
      </c>
      <c r="AR92" s="24" t="inlineStr">
        <is>
          <t>TITANS</t>
        </is>
      </c>
      <c r="AS92" s="24" t="inlineStr">
        <is>
          <t>Aeterna Esports</t>
        </is>
      </c>
      <c r="AT92" s="24" t="inlineStr">
        <is>
          <t>Aeterna Esports</t>
        </is>
      </c>
      <c r="AU92" s="24" t="inlineStr">
        <is>
          <t>Aeterna Esports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326a42c58f2a208dee1dc4f634e9901156f475883f7f16a3237a5e1b513fa5f9</t>
        </is>
      </c>
      <c r="BB92" s="24" t="inlineStr">
        <is>
          <t>neutral_elo</t>
        </is>
      </c>
      <c r="BC92" s="24" t="inlineStr">
        <is>
          <t>lol-tiered-elo-v6</t>
        </is>
      </c>
      <c r="BD92" s="24" t="inlineStr">
        <is>
          <t>326a42c58f2a208dee1dc4f634e9901156f475883f7f16a3237a5e1b513fa5f9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lol-tiered-elo-v6</t>
        </is>
      </c>
      <c r="BH92" s="24" t="inlineStr">
        <is>
          <t>2026-08-07T15:23:54.049058Z</t>
        </is>
      </c>
      <c r="BI92" s="24" t="inlineStr">
        <is>
          <t>["same_event","same_team_same_day","same_league_same_day"]</t>
        </is>
      </c>
      <c r="BJ92" s="25" t="n"/>
      <c r="BK92" s="26" t="n">
        <v>-117</v>
      </c>
      <c r="BL92" s="27" t="n">
        <v>1.854701</v>
      </c>
      <c r="BM92" s="28" t="n">
        <v>0.539171</v>
      </c>
      <c r="BN92" s="28" t="n"/>
      <c r="BO92" s="28" t="n"/>
      <c r="BP92" s="25" t="n"/>
      <c r="BQ92" s="27" t="n">
        <v>1.854701</v>
      </c>
      <c r="BR92" s="28" t="n">
        <v>0.54</v>
      </c>
      <c r="BS92" s="28" t="n"/>
      <c r="BT92" s="28" t="n"/>
      <c r="BU92" s="25" t="n"/>
      <c r="BV92" s="29" t="n"/>
      <c r="BW92" s="24" t="n"/>
      <c r="BX92" s="30" t="n">
        <v>1</v>
      </c>
      <c r="BY92" s="27" t="n">
        <v>0.91</v>
      </c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</row>
    <row r="93" ht="36" customHeight="1">
      <c r="A93" s="24" t="inlineStr">
        <is>
          <t>861721ef7a3c4975</t>
        </is>
      </c>
      <c r="B93" s="24" t="inlineStr">
        <is>
          <t>2026-08-07T18:31:20.691239Z</t>
        </is>
      </c>
      <c r="C93" s="24" t="inlineStr">
        <is>
          <t>2026-08-07T19:00:00Z</t>
        </is>
      </c>
      <c r="D93" s="24" t="inlineStr">
        <is>
          <t>72342</t>
        </is>
      </c>
      <c r="E93" s="24" t="inlineStr">
        <is>
          <t>LOL</t>
        </is>
      </c>
      <c r="F93" s="24" t="inlineStr">
        <is>
          <t>Colossal Gaming</t>
        </is>
      </c>
      <c r="G93" s="24" t="inlineStr">
        <is>
          <t>GMBLERS ESPORTS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117</v>
      </c>
      <c r="M93" s="27" t="n">
        <v>2.17</v>
      </c>
      <c r="N93" s="28" t="n">
        <v>0.460829</v>
      </c>
      <c r="O93" s="28" t="n">
        <v>0.576862</v>
      </c>
      <c r="P93" s="28" t="n"/>
      <c r="Q93" s="28" t="n">
        <v>0.116033</v>
      </c>
      <c r="R93" s="26" t="n">
        <v>78</v>
      </c>
      <c r="S93" s="29" t="n">
        <v>1.25</v>
      </c>
      <c r="T93" s="24" t="inlineStr">
        <is>
          <t>lol-tiered-elo-v6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117</v>
      </c>
      <c r="AA93" s="28" t="n">
        <v>0.46</v>
      </c>
      <c r="AB93" s="28" t="n">
        <v>-0.000829</v>
      </c>
      <c r="AC93" s="30" t="n">
        <v>-1.25</v>
      </c>
      <c r="AD93" s="24" t="inlineStr">
        <is>
          <t>2026-08-07T21:55:28.261554Z</t>
        </is>
      </c>
      <c r="AE93" s="31" t="inlineStr">
        <is>
          <t>Neutral Elo baseline; executable ask 0.4600 (market_slug=aec-lol-gmb-cg-2026-08-07).</t>
        </is>
      </c>
      <c r="AF93" s="31" t="inlineStr">
        <is>
          <t>Config-promoted esports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Colossal Gaming</t>
        </is>
      </c>
      <c r="AQ93" s="24" t="inlineStr">
        <is>
          <t>Colossal Gaming</t>
        </is>
      </c>
      <c r="AR93" s="24" t="inlineStr">
        <is>
          <t>Colossal Gaming</t>
        </is>
      </c>
      <c r="AS93" s="24" t="inlineStr">
        <is>
          <t>GMBLERS ESPORTS</t>
        </is>
      </c>
      <c r="AT93" s="24" t="inlineStr">
        <is>
          <t>GMBLERS ESPORTS</t>
        </is>
      </c>
      <c r="AU93" s="24" t="inlineStr">
        <is>
          <t>GMBLERS ESPORTS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d3791916ff32605dd2265e280637577dccc694ea8768ae90edb98370e9029821</t>
        </is>
      </c>
      <c r="BB93" s="24" t="inlineStr">
        <is>
          <t>neutral_elo</t>
        </is>
      </c>
      <c r="BC93" s="24" t="inlineStr">
        <is>
          <t>lol-tiered-elo-v6</t>
        </is>
      </c>
      <c r="BD93" s="24" t="inlineStr">
        <is>
          <t>d3791916ff32605dd2265e280637577dccc694ea8768ae90edb98370e9029821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lol-tiered-elo-v6</t>
        </is>
      </c>
      <c r="BH93" s="24" t="inlineStr">
        <is>
          <t>2026-08-07T18:31:07.695348Z</t>
        </is>
      </c>
      <c r="BI93" s="24" t="inlineStr">
        <is>
          <t>["same_event","same_team_same_day","same_league_same_day"]</t>
        </is>
      </c>
      <c r="BJ93" s="25" t="n"/>
      <c r="BK93" s="26" t="n">
        <v>117</v>
      </c>
      <c r="BL93" s="27" t="n">
        <v>2.17</v>
      </c>
      <c r="BM93" s="28" t="n">
        <v>0.460829</v>
      </c>
      <c r="BN93" s="28" t="n"/>
      <c r="BO93" s="28" t="n"/>
      <c r="BP93" s="25" t="n"/>
      <c r="BQ93" s="27" t="n">
        <v>2.17</v>
      </c>
      <c r="BR93" s="28" t="n">
        <v>0.46</v>
      </c>
      <c r="BS93" s="28" t="n"/>
      <c r="BT93" s="28" t="n"/>
      <c r="BU93" s="25" t="n"/>
      <c r="BV93" s="29" t="n"/>
      <c r="BW93" s="24" t="n"/>
      <c r="BX93" s="30" t="n">
        <v>1</v>
      </c>
      <c r="BY93" s="27" t="n">
        <v>-1</v>
      </c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</row>
    <row r="94" ht="36" customHeight="1">
      <c r="A94" s="24" t="inlineStr">
        <is>
          <t>caf03d09757343f2</t>
        </is>
      </c>
      <c r="B94" s="24" t="inlineStr">
        <is>
          <t>2026-08-07T18:31:20.691239Z</t>
        </is>
      </c>
      <c r="C94" s="24" t="inlineStr">
        <is>
          <t>2026-08-07T21:00:00Z</t>
        </is>
      </c>
      <c r="D94" s="24" t="inlineStr">
        <is>
          <t>72428</t>
        </is>
      </c>
      <c r="E94" s="24" t="inlineStr">
        <is>
          <t>LOL</t>
        </is>
      </c>
      <c r="F94" s="24" t="inlineStr">
        <is>
          <t>Fluxo W7M</t>
        </is>
      </c>
      <c r="G94" s="24" t="inlineStr">
        <is>
          <t>Vivo Keyd Stars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108</v>
      </c>
      <c r="M94" s="27" t="n">
        <v>2.08</v>
      </c>
      <c r="N94" s="28" t="n">
        <v>0.480769</v>
      </c>
      <c r="O94" s="28" t="n">
        <v>0.695648</v>
      </c>
      <c r="P94" s="28" t="n"/>
      <c r="Q94" s="28" t="n">
        <v>0.214879</v>
      </c>
      <c r="R94" s="26" t="n">
        <v>100</v>
      </c>
      <c r="S94" s="29" t="n">
        <v>2</v>
      </c>
      <c r="T94" s="24" t="inlineStr">
        <is>
          <t>lol-tiered-elo-v6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108</v>
      </c>
      <c r="AA94" s="28" t="n">
        <v>0.48</v>
      </c>
      <c r="AB94" s="28" t="n">
        <v>-0.000769</v>
      </c>
      <c r="AC94" s="30" t="n">
        <v>2.16</v>
      </c>
      <c r="AD94" s="24" t="inlineStr">
        <is>
          <t>2026-08-08T01:00:17.751991Z</t>
        </is>
      </c>
      <c r="AE94" s="31" t="inlineStr">
        <is>
          <t>Neutral Elo baseline; executable ask 0.4800 (market_slug=aec-lol-vks-fxw7-2026-08-07).</t>
        </is>
      </c>
      <c r="AF94" s="31" t="inlineStr">
        <is>
          <t>Config-promoted esports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Fluxo W7M</t>
        </is>
      </c>
      <c r="AQ94" s="24" t="inlineStr">
        <is>
          <t>Fluxo W7M</t>
        </is>
      </c>
      <c r="AR94" s="24" t="inlineStr">
        <is>
          <t>Fluxo W7M</t>
        </is>
      </c>
      <c r="AS94" s="24" t="inlineStr">
        <is>
          <t>Vivo Keyd Stars</t>
        </is>
      </c>
      <c r="AT94" s="24" t="inlineStr">
        <is>
          <t>Vivo Keyd Stars</t>
        </is>
      </c>
      <c r="AU94" s="24" t="inlineStr">
        <is>
          <t>Vivo Keyd Stars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d3791916ff32605dd2265e280637577dccc694ea8768ae90edb98370e9029821</t>
        </is>
      </c>
      <c r="BB94" s="24" t="inlineStr">
        <is>
          <t>neutral_elo</t>
        </is>
      </c>
      <c r="BC94" s="24" t="inlineStr">
        <is>
          <t>lol-tiered-elo-v6</t>
        </is>
      </c>
      <c r="BD94" s="24" t="inlineStr">
        <is>
          <t>d3791916ff32605dd2265e280637577dccc694ea8768ae90edb98370e9029821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lol-tiered-elo-v6</t>
        </is>
      </c>
      <c r="BH94" s="24" t="inlineStr">
        <is>
          <t>2026-08-07T18:31:08.212012Z</t>
        </is>
      </c>
      <c r="BI94" s="24" t="inlineStr">
        <is>
          <t>["same_event","same_team_same_day","same_league_same_day"]</t>
        </is>
      </c>
      <c r="BJ94" s="25" t="n"/>
      <c r="BK94" s="26" t="n">
        <v>108</v>
      </c>
      <c r="BL94" s="27" t="n">
        <v>2.08</v>
      </c>
      <c r="BM94" s="28" t="n">
        <v>0.480769</v>
      </c>
      <c r="BN94" s="28" t="n"/>
      <c r="BO94" s="28" t="n"/>
      <c r="BP94" s="25" t="n"/>
      <c r="BQ94" s="27" t="n">
        <v>2.08</v>
      </c>
      <c r="BR94" s="28" t="n">
        <v>0.48</v>
      </c>
      <c r="BS94" s="28" t="n"/>
      <c r="BT94" s="28" t="n"/>
      <c r="BU94" s="25" t="n"/>
      <c r="BV94" s="29" t="n"/>
      <c r="BW94" s="24" t="n"/>
      <c r="BX94" s="30" t="n">
        <v>1</v>
      </c>
      <c r="BY94" s="27" t="n">
        <v>0.91</v>
      </c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</row>
    <row r="95" ht="36" customHeight="1">
      <c r="A95" s="24" t="inlineStr">
        <is>
          <t>a594ede30371457f</t>
        </is>
      </c>
      <c r="B95" s="24" t="inlineStr">
        <is>
          <t>2026-08-07T18:31:20.691239Z</t>
        </is>
      </c>
      <c r="C95" s="24" t="inlineStr">
        <is>
          <t>2026-08-07T21:00:00Z</t>
        </is>
      </c>
      <c r="D95" s="24" t="inlineStr">
        <is>
          <t>72438</t>
        </is>
      </c>
      <c r="E95" s="24" t="inlineStr">
        <is>
          <t>LOL</t>
        </is>
      </c>
      <c r="F95" s="24" t="inlineStr">
        <is>
          <t>Dorado Gaming</t>
        </is>
      </c>
      <c r="G95" s="24" t="inlineStr">
        <is>
          <t>Blue Otter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108</v>
      </c>
      <c r="M95" s="27" t="n">
        <v>2.08</v>
      </c>
      <c r="N95" s="28" t="n">
        <v>0.480769</v>
      </c>
      <c r="O95" s="28" t="n">
        <v>0.627171</v>
      </c>
      <c r="P95" s="28" t="n"/>
      <c r="Q95" s="28" t="n">
        <v>0.146402</v>
      </c>
      <c r="R95" s="26" t="n">
        <v>93</v>
      </c>
      <c r="S95" s="29" t="n">
        <v>1.5</v>
      </c>
      <c r="T95" s="24" t="inlineStr">
        <is>
          <t>lol-tiered-elo-v6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1</v>
      </c>
      <c r="X95" s="26" t="n">
        <v>0</v>
      </c>
      <c r="Y95" s="25" t="n"/>
      <c r="Z95" s="26" t="n">
        <v>108</v>
      </c>
      <c r="AA95" s="28" t="n">
        <v>0.48</v>
      </c>
      <c r="AB95" s="28" t="n">
        <v>-0.000769</v>
      </c>
      <c r="AC95" s="30" t="n">
        <v>1.62</v>
      </c>
      <c r="AD95" s="24" t="inlineStr">
        <is>
          <t>2026-08-08T01:00:19.734185Z</t>
        </is>
      </c>
      <c r="AE95" s="31" t="inlineStr">
        <is>
          <t>Neutral Elo baseline; executable ask 0.4800 (market_slug=aec-lol-blue-dog-2026-08-07).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Dorado Gaming</t>
        </is>
      </c>
      <c r="AQ95" s="24" t="inlineStr">
        <is>
          <t>Dorado Gaming</t>
        </is>
      </c>
      <c r="AR95" s="24" t="inlineStr">
        <is>
          <t>Dorado Gaming</t>
        </is>
      </c>
      <c r="AS95" s="24" t="inlineStr">
        <is>
          <t>Blue Otter</t>
        </is>
      </c>
      <c r="AT95" s="24" t="inlineStr">
        <is>
          <t>Blue Otter</t>
        </is>
      </c>
      <c r="AU95" s="24" t="inlineStr">
        <is>
          <t>Blue Otter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d3791916ff32605dd2265e280637577dccc694ea8768ae90edb98370e9029821</t>
        </is>
      </c>
      <c r="BB95" s="24" t="inlineStr">
        <is>
          <t>neutral_elo</t>
        </is>
      </c>
      <c r="BC95" s="24" t="inlineStr">
        <is>
          <t>lol-tiered-elo-v6</t>
        </is>
      </c>
      <c r="BD95" s="24" t="inlineStr">
        <is>
          <t>d3791916ff32605dd2265e280637577dccc694ea8768ae90edb98370e9029821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lol-tiered-elo-v6</t>
        </is>
      </c>
      <c r="BH95" s="24" t="inlineStr">
        <is>
          <t>2026-08-07T18:31:08.974236Z</t>
        </is>
      </c>
      <c r="BI95" s="24" t="inlineStr">
        <is>
          <t>["same_event","same_team_same_day","same_league_same_day"]</t>
        </is>
      </c>
      <c r="BJ95" s="25" t="n"/>
      <c r="BK95" s="26" t="n">
        <v>108</v>
      </c>
      <c r="BL95" s="27" t="n">
        <v>2.08</v>
      </c>
      <c r="BM95" s="28" t="n">
        <v>0.480769</v>
      </c>
      <c r="BN95" s="28" t="n"/>
      <c r="BO95" s="28" t="n"/>
      <c r="BP95" s="25" t="n"/>
      <c r="BQ95" s="27" t="n">
        <v>2.08</v>
      </c>
      <c r="BR95" s="28" t="n">
        <v>0.48</v>
      </c>
      <c r="BS95" s="28" t="n"/>
      <c r="BT95" s="28" t="n"/>
      <c r="BU95" s="25" t="n"/>
      <c r="BV95" s="29" t="n"/>
      <c r="BW95" s="24" t="n"/>
      <c r="BX95" s="30" t="n">
        <v>1</v>
      </c>
      <c r="BY95" s="27" t="n">
        <v>0.91</v>
      </c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</row>
    <row r="96" ht="36" customHeight="1">
      <c r="A96" s="24" t="inlineStr">
        <is>
          <t>b1028e3e19d74cc5</t>
        </is>
      </c>
      <c r="B96" s="24" t="inlineStr">
        <is>
          <t>2026-08-07T21:58:17.628261Z</t>
        </is>
      </c>
      <c r="C96" s="24" t="inlineStr">
        <is>
          <t>2026-08-07T23:00:00Z</t>
        </is>
      </c>
      <c r="D96" s="24" t="inlineStr">
        <is>
          <t>72584</t>
        </is>
      </c>
      <c r="E96" s="24" t="inlineStr">
        <is>
          <t>LOL</t>
        </is>
      </c>
      <c r="F96" s="24" t="inlineStr">
        <is>
          <t>LOUD</t>
        </is>
      </c>
      <c r="G96" s="24" t="inlineStr">
        <is>
          <t>FURIA Esports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-138</v>
      </c>
      <c r="M96" s="27" t="n">
        <v>1.724638</v>
      </c>
      <c r="N96" s="28" t="n">
        <v>0.579832</v>
      </c>
      <c r="O96" s="28" t="n">
        <v>0.587748</v>
      </c>
      <c r="P96" s="28" t="n"/>
      <c r="Q96" s="28" t="n">
        <v>0.007915999999999999</v>
      </c>
      <c r="R96" s="26" t="n">
        <v>24</v>
      </c>
      <c r="S96" s="29" t="n">
        <v>0</v>
      </c>
      <c r="T96" s="24" t="inlineStr">
        <is>
          <t>lol-tiered-elo-v6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-138</v>
      </c>
      <c r="AA96" s="28" t="n">
        <v>0.58</v>
      </c>
      <c r="AB96" s="28" t="n">
        <v>0.000168</v>
      </c>
      <c r="AC96" s="30" t="n">
        <v>0</v>
      </c>
      <c r="AD96" s="24" t="inlineStr">
        <is>
          <t>2026-08-08T04:04:48.117690Z</t>
        </is>
      </c>
      <c r="AE96" s="31" t="inlineStr">
        <is>
          <t>Neutral Elo baseline; executable ask 0.5800 (market_slug=aec-lol-fur-lll-2026-08-07).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NO_CALL_WINNER_OVERVALUED</t>
        </is>
      </c>
      <c r="AP96" s="24" t="inlineStr">
        <is>
          <t>LOUD</t>
        </is>
      </c>
      <c r="AQ96" s="24" t="inlineStr">
        <is>
          <t>LOUD</t>
        </is>
      </c>
      <c r="AR96" s="24" t="inlineStr">
        <is>
          <t>LOUD</t>
        </is>
      </c>
      <c r="AS96" s="24" t="inlineStr">
        <is>
          <t>FURIA Esports</t>
        </is>
      </c>
      <c r="AT96" s="24" t="inlineStr">
        <is>
          <t>FURIA Esports</t>
        </is>
      </c>
      <c r="AU96" s="24" t="inlineStr">
        <is>
          <t>FURIA Esports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f3d24e09a0d0d802dee424cae9684a5d804786070b34d13fa878c70f19ddb870</t>
        </is>
      </c>
      <c r="BB96" s="24" t="inlineStr">
        <is>
          <t>neutral_elo</t>
        </is>
      </c>
      <c r="BC96" s="24" t="inlineStr">
        <is>
          <t>lol-tiered-elo-v6</t>
        </is>
      </c>
      <c r="BD96" s="24" t="inlineStr">
        <is>
          <t>f3d24e09a0d0d802dee424cae9684a5d804786070b34d13fa878c70f19ddb870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lol-tiered-elo-v6</t>
        </is>
      </c>
      <c r="BH96" s="24" t="inlineStr">
        <is>
          <t>2026-08-07T21:58:06.067509Z</t>
        </is>
      </c>
      <c r="BI96" s="24" t="inlineStr">
        <is>
          <t>["same_event","same_team_same_day","same_league_same_day"]</t>
        </is>
      </c>
      <c r="BJ96" s="25" t="n"/>
      <c r="BK96" s="26" t="n">
        <v>-138</v>
      </c>
      <c r="BL96" s="27" t="n">
        <v>1.724638</v>
      </c>
      <c r="BM96" s="28" t="n">
        <v>0.579832</v>
      </c>
      <c r="BN96" s="28" t="n"/>
      <c r="BO96" s="28" t="n"/>
      <c r="BP96" s="25" t="n"/>
      <c r="BQ96" s="27" t="n">
        <v>1.724638</v>
      </c>
      <c r="BR96" s="28" t="n">
        <v>0.58</v>
      </c>
      <c r="BS96" s="28" t="n"/>
      <c r="BT96" s="28" t="n"/>
      <c r="BU96" s="25" t="n"/>
      <c r="BV96" s="29" t="n"/>
      <c r="BW96" s="24" t="n"/>
      <c r="BX96" s="30" t="n">
        <v>1</v>
      </c>
      <c r="BY96" s="27" t="n">
        <v>0.91</v>
      </c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</row>
    <row r="97" ht="36" customHeight="1">
      <c r="A97" s="24" t="inlineStr">
        <is>
          <t>60e18e055fd245fd</t>
        </is>
      </c>
      <c r="B97" s="24" t="inlineStr">
        <is>
          <t>2026-08-08T04:08:13.997006Z</t>
        </is>
      </c>
      <c r="C97" s="24" t="inlineStr">
        <is>
          <t>2026-08-08T07:00:00Z</t>
        </is>
      </c>
      <c r="D97" s="24" t="inlineStr">
        <is>
          <t>72713</t>
        </is>
      </c>
      <c r="E97" s="24" t="inlineStr">
        <is>
          <t>LOL</t>
        </is>
      </c>
      <c r="F97" s="24" t="inlineStr">
        <is>
          <t>LNG Esports</t>
        </is>
      </c>
      <c r="G97" s="24" t="inlineStr">
        <is>
          <t>Weibo Gaming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-233</v>
      </c>
      <c r="M97" s="27" t="n">
        <v>1.429185</v>
      </c>
      <c r="N97" s="28" t="n">
        <v>0.6997</v>
      </c>
      <c r="O97" s="28" t="n">
        <v>0.649014</v>
      </c>
      <c r="P97" s="28" t="n"/>
      <c r="Q97" s="28" t="n">
        <v>-0.050686</v>
      </c>
      <c r="R97" s="26" t="n">
        <v>0</v>
      </c>
      <c r="S97" s="29" t="n">
        <v>0</v>
      </c>
      <c r="T97" s="24" t="inlineStr">
        <is>
          <t>lol-tiered-elo-v6</t>
        </is>
      </c>
      <c r="U97" s="24" t="inlineStr">
        <is>
          <t>settled</t>
        </is>
      </c>
      <c r="V97" s="24" t="inlineStr">
        <is>
          <t>win</t>
        </is>
      </c>
      <c r="W97" s="26" t="n">
        <v>0</v>
      </c>
      <c r="X97" s="26" t="n">
        <v>1</v>
      </c>
      <c r="Y97" s="25" t="n"/>
      <c r="Z97" s="26" t="n">
        <v>-233</v>
      </c>
      <c r="AA97" s="28" t="n">
        <v>0.7</v>
      </c>
      <c r="AB97" s="28" t="n">
        <v>0.0003</v>
      </c>
      <c r="AC97" s="30" t="n">
        <v>0</v>
      </c>
      <c r="AD97" s="24" t="inlineStr">
        <is>
          <t>2026-08-08T18:34:51.945919Z</t>
        </is>
      </c>
      <c r="AE97" s="31" t="inlineStr">
        <is>
          <t>Neutral Elo baseline; executable ask 0.7000 (market_slug=aec-lol-wb-lng-2026-08-08).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NO_CALL_WINNER_OVERVALUED</t>
        </is>
      </c>
      <c r="AP97" s="24" t="inlineStr">
        <is>
          <t>LNG Esports</t>
        </is>
      </c>
      <c r="AQ97" s="24" t="inlineStr">
        <is>
          <t>LNG Esports</t>
        </is>
      </c>
      <c r="AR97" s="24" t="inlineStr">
        <is>
          <t>LNG Esports</t>
        </is>
      </c>
      <c r="AS97" s="24" t="inlineStr">
        <is>
          <t>Weibo Gaming</t>
        </is>
      </c>
      <c r="AT97" s="24" t="inlineStr">
        <is>
          <t>Weibo Gaming</t>
        </is>
      </c>
      <c r="AU97" s="24" t="inlineStr">
        <is>
          <t>Weibo Gaming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bf9cdce4c802d1882a68b32132fa41472ff922cbbe74a73c6db7662d3c059566</t>
        </is>
      </c>
      <c r="BB97" s="24" t="inlineStr">
        <is>
          <t>neutral_elo</t>
        </is>
      </c>
      <c r="BC97" s="24" t="inlineStr">
        <is>
          <t>lol-tiered-elo-v6</t>
        </is>
      </c>
      <c r="BD97" s="24" t="inlineStr">
        <is>
          <t>bf9cdce4c802d1882a68b32132fa41472ff922cbbe74a73c6db7662d3c059566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lol-tiered-elo-v6</t>
        </is>
      </c>
      <c r="BH97" s="24" t="inlineStr">
        <is>
          <t>2026-08-08T04:07:51.504685Z</t>
        </is>
      </c>
      <c r="BI97" s="24" t="inlineStr">
        <is>
          <t>["same_event","same_team_same_day","same_league_same_day"]</t>
        </is>
      </c>
      <c r="BJ97" s="25" t="n"/>
      <c r="BK97" s="26" t="n">
        <v>-233</v>
      </c>
      <c r="BL97" s="27" t="n">
        <v>1.429185</v>
      </c>
      <c r="BM97" s="28" t="n">
        <v>0.6997</v>
      </c>
      <c r="BN97" s="28" t="n"/>
      <c r="BO97" s="28" t="n"/>
      <c r="BP97" s="25" t="n"/>
      <c r="BQ97" s="27" t="n">
        <v>1.429185</v>
      </c>
      <c r="BR97" s="28" t="n">
        <v>0.7</v>
      </c>
      <c r="BS97" s="28" t="n"/>
      <c r="BT97" s="28" t="n"/>
      <c r="BU97" s="25" t="n"/>
      <c r="BV97" s="29" t="n"/>
      <c r="BW97" s="24" t="n"/>
      <c r="BX97" s="30" t="n">
        <v>1</v>
      </c>
      <c r="BY97" s="27" t="n">
        <v>0.91</v>
      </c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</row>
    <row r="98" ht="36" customHeight="1">
      <c r="A98" s="24" t="inlineStr">
        <is>
          <t>3f0fb17510b14d8c</t>
        </is>
      </c>
      <c r="B98" s="24" t="inlineStr">
        <is>
          <t>2026-08-08T04:08:13.997006Z</t>
        </is>
      </c>
      <c r="C98" s="24" t="inlineStr">
        <is>
          <t>2026-08-08T08:00:00Z</t>
        </is>
      </c>
      <c r="D98" s="24" t="inlineStr">
        <is>
          <t>72722</t>
        </is>
      </c>
      <c r="E98" s="24" t="inlineStr">
        <is>
          <t>LOL</t>
        </is>
      </c>
      <c r="F98" s="24" t="inlineStr">
        <is>
          <t>Hanwha Life Esports</t>
        </is>
      </c>
      <c r="G98" s="24" t="inlineStr">
        <is>
          <t>T1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-108</v>
      </c>
      <c r="M98" s="27" t="n">
        <v>1.925926</v>
      </c>
      <c r="N98" s="28" t="n">
        <v>0.519231</v>
      </c>
      <c r="O98" s="28" t="n">
        <v>0.6042650000000001</v>
      </c>
      <c r="P98" s="28" t="n"/>
      <c r="Q98" s="28" t="n">
        <v>0.085034</v>
      </c>
      <c r="R98" s="26" t="n">
        <v>63</v>
      </c>
      <c r="S98" s="29" t="n">
        <v>1.25</v>
      </c>
      <c r="T98" s="24" t="inlineStr">
        <is>
          <t>lol-tiered-elo-v6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-108</v>
      </c>
      <c r="AA98" s="28" t="n">
        <v>0.52</v>
      </c>
      <c r="AB98" s="28" t="n">
        <v>0.000769</v>
      </c>
      <c r="AC98" s="30" t="n">
        <v>-1.25</v>
      </c>
      <c r="AD98" s="24" t="inlineStr">
        <is>
          <t>2026-08-08T18:34:54.144249Z</t>
        </is>
      </c>
      <c r="AE98" s="31" t="inlineStr">
        <is>
          <t>Neutral Elo baseline; executable ask 0.5200 (market_slug=aec-lol-t1-hle-2026-08-08).</t>
        </is>
      </c>
      <c r="AF98" s="31" t="inlineStr">
        <is>
          <t>Config-promoted esports baseline; gates enforced at log time.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Hanwha Life Esports</t>
        </is>
      </c>
      <c r="AQ98" s="24" t="inlineStr">
        <is>
          <t>Hanwha Life Esports</t>
        </is>
      </c>
      <c r="AR98" s="24" t="inlineStr">
        <is>
          <t>Hanwha Life Esports</t>
        </is>
      </c>
      <c r="AS98" s="24" t="inlineStr">
        <is>
          <t>T1</t>
        </is>
      </c>
      <c r="AT98" s="24" t="inlineStr">
        <is>
          <t>T1</t>
        </is>
      </c>
      <c r="AU98" s="24" t="inlineStr">
        <is>
          <t>T1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bf9cdce4c802d1882a68b32132fa41472ff922cbbe74a73c6db7662d3c059566</t>
        </is>
      </c>
      <c r="BB98" s="24" t="inlineStr">
        <is>
          <t>neutral_elo</t>
        </is>
      </c>
      <c r="BC98" s="24" t="inlineStr">
        <is>
          <t>lol-tiered-elo-v6</t>
        </is>
      </c>
      <c r="BD98" s="24" t="inlineStr">
        <is>
          <t>bf9cdce4c802d1882a68b32132fa41472ff922cbbe74a73c6db7662d3c059566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lol-tiered-elo-v6</t>
        </is>
      </c>
      <c r="BH98" s="24" t="inlineStr">
        <is>
          <t>2026-08-08T04:07:52.255455Z</t>
        </is>
      </c>
      <c r="BI98" s="24" t="inlineStr">
        <is>
          <t>["same_event","same_team_same_day","same_league_same_day"]</t>
        </is>
      </c>
      <c r="BJ98" s="25" t="n"/>
      <c r="BK98" s="26" t="n">
        <v>-108</v>
      </c>
      <c r="BL98" s="27" t="n">
        <v>1.925926</v>
      </c>
      <c r="BM98" s="28" t="n">
        <v>0.519231</v>
      </c>
      <c r="BN98" s="28" t="n"/>
      <c r="BO98" s="28" t="n"/>
      <c r="BP98" s="25" t="n"/>
      <c r="BQ98" s="27" t="n">
        <v>1.925926</v>
      </c>
      <c r="BR98" s="28" t="n">
        <v>0.52</v>
      </c>
      <c r="BS98" s="28" t="n"/>
      <c r="BT98" s="28" t="n"/>
      <c r="BU98" s="25" t="n"/>
      <c r="BV98" s="29" t="n"/>
      <c r="BW98" s="24" t="n"/>
      <c r="BX98" s="30" t="n">
        <v>1</v>
      </c>
      <c r="BY98" s="27" t="n">
        <v>-1</v>
      </c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</row>
    <row r="99" ht="36" customHeight="1">
      <c r="A99" s="24" t="inlineStr">
        <is>
          <t>48e52c6a8011432a</t>
        </is>
      </c>
      <c r="B99" s="24" t="inlineStr">
        <is>
          <t>2026-08-08T04:08:13.997006Z</t>
        </is>
      </c>
      <c r="C99" s="24" t="inlineStr">
        <is>
          <t>2026-08-08T09:00:00Z</t>
        </is>
      </c>
      <c r="D99" s="24" t="inlineStr">
        <is>
          <t>72727</t>
        </is>
      </c>
      <c r="E99" s="24" t="inlineStr">
        <is>
          <t>LOL</t>
        </is>
      </c>
      <c r="F99" s="24" t="inlineStr">
        <is>
          <t>MVK Esports</t>
        </is>
      </c>
      <c r="G99" s="24" t="inlineStr">
        <is>
          <t>Deep Cross Gaming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0.539952</v>
      </c>
      <c r="P99" s="28" t="n"/>
      <c r="Q99" s="28" t="n">
        <v>-0.050212</v>
      </c>
      <c r="R99" s="26" t="n">
        <v>0</v>
      </c>
      <c r="S99" s="29" t="n">
        <v>0</v>
      </c>
      <c r="T99" s="24" t="inlineStr">
        <is>
          <t>lol-tiered-elo-v6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-144</v>
      </c>
      <c r="AA99" s="28" t="n">
        <v>0.59</v>
      </c>
      <c r="AB99" s="28" t="n">
        <v>-0.000164</v>
      </c>
      <c r="AC99" s="30" t="n">
        <v>0</v>
      </c>
      <c r="AD99" s="24" t="inlineStr">
        <is>
          <t>2026-08-08T18:34:56.158207Z</t>
        </is>
      </c>
      <c r="AE99" s="31" t="inlineStr">
        <is>
          <t>Neutral Elo baseline; executable ask 0.5900 (market_slug=aec-lol-dcg-mvk-2026-08-08).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NO_CALL_WINNER_OVERVALUED</t>
        </is>
      </c>
      <c r="AP99" s="24" t="inlineStr">
        <is>
          <t>MVK Esports</t>
        </is>
      </c>
      <c r="AQ99" s="24" t="inlineStr">
        <is>
          <t>MVK Esports</t>
        </is>
      </c>
      <c r="AR99" s="24" t="inlineStr">
        <is>
          <t>MVK Esports</t>
        </is>
      </c>
      <c r="AS99" s="24" t="inlineStr">
        <is>
          <t>Deep Cross Gaming</t>
        </is>
      </c>
      <c r="AT99" s="24" t="inlineStr">
        <is>
          <t>Deep Cross Gaming</t>
        </is>
      </c>
      <c r="AU99" s="24" t="inlineStr">
        <is>
          <t>Deep Cross Gaming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bf9cdce4c802d1882a68b32132fa41472ff922cbbe74a73c6db7662d3c059566</t>
        </is>
      </c>
      <c r="BB99" s="24" t="inlineStr">
        <is>
          <t>neutral_elo</t>
        </is>
      </c>
      <c r="BC99" s="24" t="inlineStr">
        <is>
          <t>lol-tiered-elo-v6</t>
        </is>
      </c>
      <c r="BD99" s="24" t="inlineStr">
        <is>
          <t>bf9cdce4c802d1882a68b32132fa41472ff922cbbe74a73c6db7662d3c059566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lol-tiered-elo-v6</t>
        </is>
      </c>
      <c r="BH99" s="24" t="inlineStr">
        <is>
          <t>2026-08-08T04:07:52.773249Z</t>
        </is>
      </c>
      <c r="BI99" s="24" t="inlineStr">
        <is>
          <t>["same_event","same_team_same_day","same_league_same_day"]</t>
        </is>
      </c>
      <c r="BJ99" s="25" t="n"/>
      <c r="BK99" s="26" t="n">
        <v>-144</v>
      </c>
      <c r="BL99" s="27" t="n">
        <v>1.694444</v>
      </c>
      <c r="BM99" s="28" t="n">
        <v>0.590164</v>
      </c>
      <c r="BN99" s="28" t="n"/>
      <c r="BO99" s="28" t="n"/>
      <c r="BP99" s="25" t="n"/>
      <c r="BQ99" s="27" t="n">
        <v>1.694444</v>
      </c>
      <c r="BR99" s="28" t="n">
        <v>0.59</v>
      </c>
      <c r="BS99" s="28" t="n"/>
      <c r="BT99" s="28" t="n"/>
      <c r="BU99" s="25" t="n"/>
      <c r="BV99" s="29" t="n"/>
      <c r="BW99" s="24" t="n"/>
      <c r="BX99" s="30" t="n">
        <v>1</v>
      </c>
      <c r="BY99" s="27" t="n">
        <v>-1</v>
      </c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</row>
    <row r="100" ht="36" customHeight="1">
      <c r="A100" s="24" t="inlineStr">
        <is>
          <t>491e1a7e60a24cbd</t>
        </is>
      </c>
      <c r="B100" s="24" t="inlineStr">
        <is>
          <t>2026-08-08T04:08:13.997006Z</t>
        </is>
      </c>
      <c r="C100" s="24" t="inlineStr">
        <is>
          <t>2026-08-08T12:00:00Z</t>
        </is>
      </c>
      <c r="D100" s="24" t="inlineStr">
        <is>
          <t>72774</t>
        </is>
      </c>
      <c r="E100" s="24" t="inlineStr">
        <is>
          <t>LOL</t>
        </is>
      </c>
      <c r="F100" s="24" t="inlineStr">
        <is>
          <t>Project Conquerors</t>
        </is>
      </c>
      <c r="G100" s="24" t="inlineStr">
        <is>
          <t>Karmine Corp Blue Stars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-144</v>
      </c>
      <c r="M100" s="27" t="n">
        <v>1.694444</v>
      </c>
      <c r="N100" s="28" t="n">
        <v>0.590164</v>
      </c>
      <c r="O100" s="28" t="n">
        <v>0.517265</v>
      </c>
      <c r="P100" s="28" t="n"/>
      <c r="Q100" s="28" t="n">
        <v>-0.07289900000000001</v>
      </c>
      <c r="R100" s="26" t="n">
        <v>0</v>
      </c>
      <c r="S100" s="29" t="n">
        <v>0</v>
      </c>
      <c r="T100" s="24" t="inlineStr">
        <is>
          <t>lol-tiered-elo-v6</t>
        </is>
      </c>
      <c r="U100" s="24" t="inlineStr">
        <is>
          <t>settled</t>
        </is>
      </c>
      <c r="V100" s="24" t="inlineStr">
        <is>
          <t>win</t>
        </is>
      </c>
      <c r="W100" s="26" t="n">
        <v>0</v>
      </c>
      <c r="X100" s="26" t="n">
        <v>1</v>
      </c>
      <c r="Y100" s="25" t="n"/>
      <c r="Z100" s="26" t="n">
        <v>-138</v>
      </c>
      <c r="AA100" s="28" t="n">
        <v>0.58</v>
      </c>
      <c r="AB100" s="28" t="n">
        <v>-0.010164</v>
      </c>
      <c r="AC100" s="30" t="n">
        <v>0</v>
      </c>
      <c r="AD100" s="24" t="inlineStr">
        <is>
          <t>2026-08-08T18:34:58.748045Z</t>
        </is>
      </c>
      <c r="AE100" s="31" t="inlineStr">
        <is>
          <t>Neutral Elo baseline; executable ask 0.5900 (market_slug=aec-lol-kcbs-pcs-2026-08-08).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NO_CALL_WINNER_OVERVALUED</t>
        </is>
      </c>
      <c r="AP100" s="24" t="inlineStr">
        <is>
          <t>Project Conquerors</t>
        </is>
      </c>
      <c r="AQ100" s="24" t="inlineStr">
        <is>
          <t>Project Conquerors</t>
        </is>
      </c>
      <c r="AR100" s="24" t="inlineStr">
        <is>
          <t>Project Conquerors</t>
        </is>
      </c>
      <c r="AS100" s="24" t="inlineStr">
        <is>
          <t>Karmine Corp Blue Stars</t>
        </is>
      </c>
      <c r="AT100" s="24" t="inlineStr">
        <is>
          <t>Karmine Corp Blue Stars</t>
        </is>
      </c>
      <c r="AU100" s="24" t="inlineStr">
        <is>
          <t>Karmine Corp Blue Stars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bf9cdce4c802d1882a68b32132fa41472ff922cbbe74a73c6db7662d3c059566</t>
        </is>
      </c>
      <c r="BB100" s="24" t="inlineStr">
        <is>
          <t>neutral_elo</t>
        </is>
      </c>
      <c r="BC100" s="24" t="inlineStr">
        <is>
          <t>lol-tiered-elo-v6</t>
        </is>
      </c>
      <c r="BD100" s="24" t="inlineStr">
        <is>
          <t>bf9cdce4c802d1882a68b32132fa41472ff922cbbe74a73c6db7662d3c059566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lol-tiered-elo-v6</t>
        </is>
      </c>
      <c r="BH100" s="24" t="inlineStr">
        <is>
          <t>2026-08-08T04:07:56.923039Z</t>
        </is>
      </c>
      <c r="BI100" s="24" t="inlineStr">
        <is>
          <t>["same_event","same_team_same_day","same_league_same_day"]</t>
        </is>
      </c>
      <c r="BJ100" s="25" t="n"/>
      <c r="BK100" s="26" t="n">
        <v>-144</v>
      </c>
      <c r="BL100" s="27" t="n">
        <v>1.694444</v>
      </c>
      <c r="BM100" s="28" t="n">
        <v>0.590164</v>
      </c>
      <c r="BN100" s="28" t="n"/>
      <c r="BO100" s="28" t="n"/>
      <c r="BP100" s="25" t="n"/>
      <c r="BQ100" s="27" t="n">
        <v>1.724638</v>
      </c>
      <c r="BR100" s="28" t="n">
        <v>0.58</v>
      </c>
      <c r="BS100" s="28" t="n"/>
      <c r="BT100" s="28" t="n"/>
      <c r="BU100" s="25" t="n"/>
      <c r="BV100" s="29" t="n"/>
      <c r="BW100" s="24" t="n"/>
      <c r="BX100" s="30" t="n">
        <v>1</v>
      </c>
      <c r="BY100" s="27" t="n">
        <v>0.91</v>
      </c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</row>
    <row r="101" ht="36" customHeight="1">
      <c r="A101" s="24" t="inlineStr">
        <is>
          <t>3eac35b3f1184b4d</t>
        </is>
      </c>
      <c r="B101" s="24" t="inlineStr">
        <is>
          <t>2026-08-09T05:18:45.420775Z</t>
        </is>
      </c>
      <c r="C101" s="24" t="inlineStr">
        <is>
          <t>2026-08-09T08:00:00Z</t>
        </is>
      </c>
      <c r="D101" s="24" t="inlineStr">
        <is>
          <t>73651</t>
        </is>
      </c>
      <c r="E101" s="24" t="inlineStr">
        <is>
          <t>LOL</t>
        </is>
      </c>
      <c r="F101" s="24" t="inlineStr">
        <is>
          <t>KT Rolster</t>
        </is>
      </c>
      <c r="G101" s="24" t="inlineStr">
        <is>
          <t>Dplus KIA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-163</v>
      </c>
      <c r="M101" s="27" t="n">
        <v>1.613497</v>
      </c>
      <c r="N101" s="28" t="n">
        <v>0.619772</v>
      </c>
      <c r="O101" s="28" t="n">
        <v>0.6219170000000001</v>
      </c>
      <c r="P101" s="28" t="n"/>
      <c r="Q101" s="28" t="n">
        <v>0.002145</v>
      </c>
      <c r="R101" s="26" t="n">
        <v>21</v>
      </c>
      <c r="S101" s="29" t="n">
        <v>0</v>
      </c>
      <c r="T101" s="24" t="inlineStr">
        <is>
          <t>lol-tiered-elo-v6</t>
        </is>
      </c>
      <c r="U101" s="24" t="inlineStr">
        <is>
          <t>settled</t>
        </is>
      </c>
      <c r="V101" s="24" t="inlineStr">
        <is>
          <t>win</t>
        </is>
      </c>
      <c r="W101" s="26" t="n">
        <v>0</v>
      </c>
      <c r="X101" s="26" t="n">
        <v>1</v>
      </c>
      <c r="Y101" s="25" t="n"/>
      <c r="Z101" s="26" t="n">
        <v>-163</v>
      </c>
      <c r="AA101" s="28" t="n">
        <v>0.62</v>
      </c>
      <c r="AB101" s="28" t="n">
        <v>0.000228</v>
      </c>
      <c r="AC101" s="30" t="n">
        <v>0</v>
      </c>
      <c r="AD101" s="24" t="inlineStr">
        <is>
          <t>2026-08-09T13:56:46.277008Z</t>
        </is>
      </c>
      <c r="AE101" s="31" t="inlineStr">
        <is>
          <t>Neutral Elo baseline; executable ask 0.6200 (market_slug=aec-lol-dk-kt-2026-08-09).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NO_CALL_WINNER_OVERVALUED</t>
        </is>
      </c>
      <c r="AP101" s="24" t="inlineStr">
        <is>
          <t>KT Rolster</t>
        </is>
      </c>
      <c r="AQ101" s="24" t="inlineStr">
        <is>
          <t>KT Rolster</t>
        </is>
      </c>
      <c r="AR101" s="24" t="inlineStr">
        <is>
          <t>KT Rolster</t>
        </is>
      </c>
      <c r="AS101" s="24" t="inlineStr">
        <is>
          <t>Dplus KIA</t>
        </is>
      </c>
      <c r="AT101" s="24" t="inlineStr">
        <is>
          <t>Dplus KIA</t>
        </is>
      </c>
      <c r="AU101" s="24" t="inlineStr">
        <is>
          <t>Dplus KIA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d1af9b18c2d3ace9d47f74a1570e11714c592a6d92bd30ded3db42a502b40cf2</t>
        </is>
      </c>
      <c r="BB101" s="24" t="inlineStr">
        <is>
          <t>neutral_elo</t>
        </is>
      </c>
      <c r="BC101" s="24" t="inlineStr">
        <is>
          <t>lol-tiered-elo-v6</t>
        </is>
      </c>
      <c r="BD101" s="24" t="inlineStr">
        <is>
          <t>d1af9b18c2d3ace9d47f74a1570e11714c592a6d92bd30ded3db42a502b40cf2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lol-tiered-elo-v6</t>
        </is>
      </c>
      <c r="BH101" s="24" t="inlineStr">
        <is>
          <t>2026-08-09T05:18:28.259112Z</t>
        </is>
      </c>
      <c r="BI101" s="24" t="inlineStr">
        <is>
          <t>["same_event","same_team_same_day","same_league_same_day"]</t>
        </is>
      </c>
      <c r="BJ101" s="25" t="n"/>
      <c r="BK101" s="26" t="n">
        <v>-163</v>
      </c>
      <c r="BL101" s="27" t="n">
        <v>1.613497</v>
      </c>
      <c r="BM101" s="28" t="n">
        <v>0.619772</v>
      </c>
      <c r="BN101" s="28" t="n"/>
      <c r="BO101" s="28" t="n"/>
      <c r="BP101" s="25" t="n"/>
      <c r="BQ101" s="27" t="n">
        <v>1.613497</v>
      </c>
      <c r="BR101" s="28" t="n">
        <v>0.62</v>
      </c>
      <c r="BS101" s="28" t="n"/>
      <c r="BT101" s="28" t="n"/>
      <c r="BU101" s="25" t="n"/>
      <c r="BV101" s="29" t="n"/>
      <c r="BW101" s="24" t="n"/>
      <c r="BX101" s="30" t="n">
        <v>1</v>
      </c>
      <c r="BY101" s="27" t="n">
        <v>0.91</v>
      </c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</row>
    <row r="102" ht="36" customHeight="1">
      <c r="A102" s="24" t="inlineStr">
        <is>
          <t>435b32d6a4504d40</t>
        </is>
      </c>
      <c r="B102" s="24" t="inlineStr">
        <is>
          <t>2026-08-09T05:18:45.420775Z</t>
        </is>
      </c>
      <c r="C102" s="24" t="inlineStr">
        <is>
          <t>2026-08-09T09:00:00Z</t>
        </is>
      </c>
      <c r="D102" s="24" t="inlineStr">
        <is>
          <t>74251</t>
        </is>
      </c>
      <c r="E102" s="24" t="inlineStr">
        <is>
          <t>LOL</t>
        </is>
      </c>
      <c r="F102" s="24" t="inlineStr">
        <is>
          <t>Ground Zero Gaming</t>
        </is>
      </c>
      <c r="G102" s="24" t="inlineStr">
        <is>
          <t>CTBC Flying Oyster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-170</v>
      </c>
      <c r="M102" s="27" t="n">
        <v>1.588235</v>
      </c>
      <c r="N102" s="28" t="n">
        <v>0.62963</v>
      </c>
      <c r="O102" s="28" t="n">
        <v>0.729245</v>
      </c>
      <c r="P102" s="28" t="n"/>
      <c r="Q102" s="28" t="n">
        <v>0.099615</v>
      </c>
      <c r="R102" s="26" t="n">
        <v>70</v>
      </c>
      <c r="S102" s="29" t="n">
        <v>2</v>
      </c>
      <c r="T102" s="24" t="inlineStr">
        <is>
          <t>lol-tiered-elo-v6</t>
        </is>
      </c>
      <c r="U102" s="24" t="inlineStr">
        <is>
          <t>settled</t>
        </is>
      </c>
      <c r="V102" s="24" t="inlineStr">
        <is>
          <t>win</t>
        </is>
      </c>
      <c r="W102" s="26" t="n">
        <v>0</v>
      </c>
      <c r="X102" s="26" t="n">
        <v>1</v>
      </c>
      <c r="Y102" s="25" t="n"/>
      <c r="Z102" s="26" t="n">
        <v>-170</v>
      </c>
      <c r="AA102" s="28" t="n">
        <v>0.63</v>
      </c>
      <c r="AB102" s="28" t="n">
        <v>0.00037</v>
      </c>
      <c r="AC102" s="30" t="n">
        <v>1.1765</v>
      </c>
      <c r="AD102" s="24" t="inlineStr">
        <is>
          <t>2026-08-09T13:56:49.159793Z</t>
        </is>
      </c>
      <c r="AE102" s="31" t="inlineStr">
        <is>
          <t>Neutral Elo baseline; executable ask 0.6300 (market_slug=aec-lol-cfo-gz-2026-08-09).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Ground Zero Gaming</t>
        </is>
      </c>
      <c r="AQ102" s="24" t="inlineStr">
        <is>
          <t>Ground Zero Gaming</t>
        </is>
      </c>
      <c r="AR102" s="24" t="inlineStr">
        <is>
          <t>Ground Zero Gaming</t>
        </is>
      </c>
      <c r="AS102" s="24" t="inlineStr">
        <is>
          <t>CTBC Flying Oyster</t>
        </is>
      </c>
      <c r="AT102" s="24" t="inlineStr">
        <is>
          <t>CTBC Flying Oyster</t>
        </is>
      </c>
      <c r="AU102" s="24" t="inlineStr">
        <is>
          <t>CTBC Flying Oyster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d1af9b18c2d3ace9d47f74a1570e11714c592a6d92bd30ded3db42a502b40cf2</t>
        </is>
      </c>
      <c r="BB102" s="24" t="inlineStr">
        <is>
          <t>neutral_elo</t>
        </is>
      </c>
      <c r="BC102" s="24" t="inlineStr">
        <is>
          <t>lol-tiered-elo-v6</t>
        </is>
      </c>
      <c r="BD102" s="24" t="inlineStr">
        <is>
          <t>d1af9b18c2d3ace9d47f74a1570e11714c592a6d92bd30ded3db42a502b40cf2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lol-tiered-elo-v6</t>
        </is>
      </c>
      <c r="BH102" s="24" t="inlineStr">
        <is>
          <t>2026-08-09T05:18:28.821389Z</t>
        </is>
      </c>
      <c r="BI102" s="24" t="inlineStr">
        <is>
          <t>["same_event","same_team_same_day","same_league_same_day"]</t>
        </is>
      </c>
      <c r="BJ102" s="25" t="n"/>
      <c r="BK102" s="26" t="n">
        <v>-170</v>
      </c>
      <c r="BL102" s="27" t="n">
        <v>1.588235</v>
      </c>
      <c r="BM102" s="28" t="n">
        <v>0.62963</v>
      </c>
      <c r="BN102" s="28" t="n"/>
      <c r="BO102" s="28" t="n"/>
      <c r="BP102" s="25" t="n"/>
      <c r="BQ102" s="27" t="n">
        <v>1.588235</v>
      </c>
      <c r="BR102" s="28" t="n">
        <v>0.63</v>
      </c>
      <c r="BS102" s="28" t="n"/>
      <c r="BT102" s="28" t="n"/>
      <c r="BU102" s="25" t="n"/>
      <c r="BV102" s="29" t="n"/>
      <c r="BW102" s="24" t="n"/>
      <c r="BX102" s="30" t="n">
        <v>1</v>
      </c>
      <c r="BY102" s="27" t="n">
        <v>0.91</v>
      </c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</row>
    <row r="103" ht="36" customHeight="1">
      <c r="A103" s="24" t="inlineStr">
        <is>
          <t>5a46a11094384c13</t>
        </is>
      </c>
      <c r="B103" s="24" t="inlineStr">
        <is>
          <t>2026-08-09T05:18:45.420775Z</t>
        </is>
      </c>
      <c r="C103" s="24" t="inlineStr">
        <is>
          <t>2026-08-09T10:00:00Z</t>
        </is>
      </c>
      <c r="D103" s="24" t="inlineStr">
        <is>
          <t>73673</t>
        </is>
      </c>
      <c r="E103" s="24" t="inlineStr">
        <is>
          <t>LOL</t>
        </is>
      </c>
      <c r="F103" s="24" t="inlineStr">
        <is>
          <t>Kiwoom DRX</t>
        </is>
      </c>
      <c r="G103" s="24" t="inlineStr">
        <is>
          <t>BNK FEARX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104</v>
      </c>
      <c r="M103" s="27" t="n">
        <v>2.04</v>
      </c>
      <c r="N103" s="28" t="n">
        <v>0.490196</v>
      </c>
      <c r="O103" s="28" t="n">
        <v>0.519855</v>
      </c>
      <c r="P103" s="28" t="n"/>
      <c r="Q103" s="28" t="n">
        <v>0.029659</v>
      </c>
      <c r="R103" s="26" t="n">
        <v>35</v>
      </c>
      <c r="S103" s="29" t="n">
        <v>0</v>
      </c>
      <c r="T103" s="24" t="inlineStr">
        <is>
          <t>lol-tiered-elo-v6</t>
        </is>
      </c>
      <c r="U103" s="24" t="inlineStr">
        <is>
          <t>settled</t>
        </is>
      </c>
      <c r="V103" s="24" t="inlineStr">
        <is>
          <t>loss</t>
        </is>
      </c>
      <c r="W103" s="26" t="n">
        <v>0</v>
      </c>
      <c r="X103" s="26" t="n">
        <v>1</v>
      </c>
      <c r="Y103" s="25" t="n"/>
      <c r="Z103" s="26" t="n">
        <v>104</v>
      </c>
      <c r="AA103" s="28" t="n">
        <v>0.49</v>
      </c>
      <c r="AB103" s="28" t="n">
        <v>-0.000196</v>
      </c>
      <c r="AC103" s="30" t="n">
        <v>0</v>
      </c>
      <c r="AD103" s="24" t="inlineStr">
        <is>
          <t>2026-08-09T13:56:52.490951Z</t>
        </is>
      </c>
      <c r="AE103" s="31" t="inlineStr">
        <is>
          <t>Neutral Elo baseline; executable ask 0.4900 (market_slug=aec-lol-bfx-krx-2026-08-09).</t>
        </is>
      </c>
      <c r="AF103" s="31" t="inlineStr">
        <is>
          <t>Config-promoted esports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NO_CALL_WINNER_OVERVALUED</t>
        </is>
      </c>
      <c r="AP103" s="24" t="inlineStr">
        <is>
          <t>Kiwoom DRX</t>
        </is>
      </c>
      <c r="AQ103" s="24" t="inlineStr">
        <is>
          <t>Kiwoom DRX</t>
        </is>
      </c>
      <c r="AR103" s="24" t="inlineStr">
        <is>
          <t>Kiwoom DRX</t>
        </is>
      </c>
      <c r="AS103" s="24" t="inlineStr">
        <is>
          <t>BNK FEARX</t>
        </is>
      </c>
      <c r="AT103" s="24" t="inlineStr">
        <is>
          <t>BNK FEARX</t>
        </is>
      </c>
      <c r="AU103" s="24" t="inlineStr">
        <is>
          <t>BNK FEARX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d1af9b18c2d3ace9d47f74a1570e11714c592a6d92bd30ded3db42a502b40cf2</t>
        </is>
      </c>
      <c r="BB103" s="24" t="inlineStr">
        <is>
          <t>neutral_elo</t>
        </is>
      </c>
      <c r="BC103" s="24" t="inlineStr">
        <is>
          <t>lol-tiered-elo-v6</t>
        </is>
      </c>
      <c r="BD103" s="24" t="inlineStr">
        <is>
          <t>d1af9b18c2d3ace9d47f74a1570e11714c592a6d92bd30ded3db42a502b40cf2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lol-tiered-elo-v6</t>
        </is>
      </c>
      <c r="BH103" s="24" t="inlineStr">
        <is>
          <t>2026-08-09T05:18:30.011624Z</t>
        </is>
      </c>
      <c r="BI103" s="24" t="inlineStr">
        <is>
          <t>["same_event","same_team_same_day","same_league_same_day"]</t>
        </is>
      </c>
      <c r="BJ103" s="25" t="n"/>
      <c r="BK103" s="26" t="n">
        <v>104</v>
      </c>
      <c r="BL103" s="27" t="n">
        <v>2.04</v>
      </c>
      <c r="BM103" s="28" t="n">
        <v>0.490196</v>
      </c>
      <c r="BN103" s="28" t="n"/>
      <c r="BO103" s="28" t="n"/>
      <c r="BP103" s="25" t="n"/>
      <c r="BQ103" s="27" t="n">
        <v>2.04</v>
      </c>
      <c r="BR103" s="28" t="n">
        <v>0.49</v>
      </c>
      <c r="BS103" s="28" t="n"/>
      <c r="BT103" s="28" t="n"/>
      <c r="BU103" s="25" t="n"/>
      <c r="BV103" s="29" t="n"/>
      <c r="BW103" s="24" t="n"/>
      <c r="BX103" s="30" t="n">
        <v>1</v>
      </c>
      <c r="BY103" s="27" t="n">
        <v>-1</v>
      </c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</row>
    <row r="104" ht="36" customHeight="1">
      <c r="A104" s="24" t="inlineStr">
        <is>
          <t>52bbdd31d045431f</t>
        </is>
      </c>
      <c r="B104" s="24" t="inlineStr">
        <is>
          <t>2026-08-09T05:18:45.420775Z</t>
        </is>
      </c>
      <c r="C104" s="24" t="inlineStr">
        <is>
          <t>2026-08-09T10:00:00Z</t>
        </is>
      </c>
      <c r="D104" s="24" t="inlineStr">
        <is>
          <t>73672</t>
        </is>
      </c>
      <c r="E104" s="24" t="inlineStr">
        <is>
          <t>LOL</t>
        </is>
      </c>
      <c r="F104" s="24" t="inlineStr">
        <is>
          <t>Lille Esport</t>
        </is>
      </c>
      <c r="G104" s="24" t="inlineStr">
        <is>
          <t>Crystal Rose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122</v>
      </c>
      <c r="M104" s="27" t="n">
        <v>2.22</v>
      </c>
      <c r="N104" s="28" t="n">
        <v>0.45045</v>
      </c>
      <c r="O104" s="28" t="n">
        <v>0.582694</v>
      </c>
      <c r="P104" s="28" t="n"/>
      <c r="Q104" s="28" t="n">
        <v>0.132244</v>
      </c>
      <c r="R104" s="26" t="n">
        <v>86</v>
      </c>
      <c r="S104" s="29" t="n">
        <v>1.25</v>
      </c>
      <c r="T104" s="24" t="inlineStr">
        <is>
          <t>lol-tiered-elo-v6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122</v>
      </c>
      <c r="AA104" s="28" t="n">
        <v>0.45</v>
      </c>
      <c r="AB104" s="28" t="n">
        <v>-0.00045</v>
      </c>
      <c r="AC104" s="30" t="n">
        <v>-1.25</v>
      </c>
      <c r="AD104" s="24" t="inlineStr">
        <is>
          <t>2026-08-09T13:56:55.269855Z</t>
        </is>
      </c>
      <c r="AE104" s="31" t="inlineStr">
        <is>
          <t>Neutral Elo baseline; executable ask 0.4500 (market_slug=aec-lol-cr-lil-2026-08-09).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Lille Esport</t>
        </is>
      </c>
      <c r="AQ104" s="24" t="inlineStr">
        <is>
          <t>Lille Esport</t>
        </is>
      </c>
      <c r="AR104" s="24" t="inlineStr">
        <is>
          <t>Lille Esport</t>
        </is>
      </c>
      <c r="AS104" s="24" t="inlineStr">
        <is>
          <t>Crystal Rose</t>
        </is>
      </c>
      <c r="AT104" s="24" t="inlineStr">
        <is>
          <t>Crystal Rose</t>
        </is>
      </c>
      <c r="AU104" s="24" t="inlineStr">
        <is>
          <t>Crystal Rose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d1af9b18c2d3ace9d47f74a1570e11714c592a6d92bd30ded3db42a502b40cf2</t>
        </is>
      </c>
      <c r="BB104" s="24" t="inlineStr">
        <is>
          <t>neutral_elo</t>
        </is>
      </c>
      <c r="BC104" s="24" t="inlineStr">
        <is>
          <t>lol-tiered-elo-v6</t>
        </is>
      </c>
      <c r="BD104" s="24" t="inlineStr">
        <is>
          <t>d1af9b18c2d3ace9d47f74a1570e11714c592a6d92bd30ded3db42a502b40cf2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lol-tiered-elo-v6</t>
        </is>
      </c>
      <c r="BH104" s="24" t="inlineStr">
        <is>
          <t>2026-08-09T05:18:30.559189Z</t>
        </is>
      </c>
      <c r="BI104" s="24" t="inlineStr">
        <is>
          <t>["same_event","same_team_same_day","same_league_same_day"]</t>
        </is>
      </c>
      <c r="BJ104" s="25" t="n"/>
      <c r="BK104" s="26" t="n">
        <v>122</v>
      </c>
      <c r="BL104" s="27" t="n">
        <v>2.22</v>
      </c>
      <c r="BM104" s="28" t="n">
        <v>0.45045</v>
      </c>
      <c r="BN104" s="28" t="n"/>
      <c r="BO104" s="28" t="n"/>
      <c r="BP104" s="25" t="n"/>
      <c r="BQ104" s="27" t="n">
        <v>2.22</v>
      </c>
      <c r="BR104" s="28" t="n">
        <v>0.45</v>
      </c>
      <c r="BS104" s="28" t="n"/>
      <c r="BT104" s="28" t="n"/>
      <c r="BU104" s="25" t="n"/>
      <c r="BV104" s="29" t="n"/>
      <c r="BW104" s="24" t="n"/>
      <c r="BX104" s="30" t="n">
        <v>1</v>
      </c>
      <c r="BY104" s="27" t="n">
        <v>-1</v>
      </c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</row>
    <row r="105" ht="36" customHeight="1">
      <c r="A105" s="24" t="inlineStr">
        <is>
          <t>521561a90aed4f66</t>
        </is>
      </c>
      <c r="B105" s="24" t="inlineStr">
        <is>
          <t>2026-08-09T05:18:45.420775Z</t>
        </is>
      </c>
      <c r="C105" s="24" t="inlineStr">
        <is>
          <t>2026-08-09T11:00:00Z</t>
        </is>
      </c>
      <c r="D105" s="24" t="inlineStr">
        <is>
          <t>73686</t>
        </is>
      </c>
      <c r="E105" s="24" t="inlineStr">
        <is>
          <t>LOL</t>
        </is>
      </c>
      <c r="F105" s="24" t="inlineStr">
        <is>
          <t>Team WE</t>
        </is>
      </c>
      <c r="G105" s="24" t="inlineStr">
        <is>
          <t>JD Gaming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-156</v>
      </c>
      <c r="M105" s="27" t="n">
        <v>1.641026</v>
      </c>
      <c r="N105" s="28" t="n">
        <v>0.609375</v>
      </c>
      <c r="O105" s="28" t="n">
        <v>0.631371</v>
      </c>
      <c r="P105" s="28" t="n"/>
      <c r="Q105" s="28" t="n">
        <v>0.021996</v>
      </c>
      <c r="R105" s="26" t="n">
        <v>31</v>
      </c>
      <c r="S105" s="29" t="n">
        <v>0</v>
      </c>
      <c r="T105" s="24" t="inlineStr">
        <is>
          <t>lol-tiered-elo-v6</t>
        </is>
      </c>
      <c r="U105" s="24" t="inlineStr">
        <is>
          <t>settled</t>
        </is>
      </c>
      <c r="V105" s="24" t="inlineStr">
        <is>
          <t>win</t>
        </is>
      </c>
      <c r="W105" s="26" t="n">
        <v>0</v>
      </c>
      <c r="X105" s="26" t="n">
        <v>1</v>
      </c>
      <c r="Y105" s="25" t="n"/>
      <c r="Z105" s="26" t="n">
        <v>-156</v>
      </c>
      <c r="AA105" s="28" t="n">
        <v>0.61</v>
      </c>
      <c r="AB105" s="28" t="n">
        <v>0.000625</v>
      </c>
      <c r="AC105" s="30" t="n">
        <v>0</v>
      </c>
      <c r="AD105" s="24" t="inlineStr">
        <is>
          <t>2026-08-09T13:56:58.072568Z</t>
        </is>
      </c>
      <c r="AE105" s="31" t="inlineStr">
        <is>
          <t>Neutral Elo baseline; executable ask 0.6100 (market_slug=aec-lol-jdg-we-2026-08-09).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NO_CALL_WINNER_OVERVALUED</t>
        </is>
      </c>
      <c r="AP105" s="24" t="inlineStr">
        <is>
          <t>Team WE</t>
        </is>
      </c>
      <c r="AQ105" s="24" t="inlineStr">
        <is>
          <t>Team WE</t>
        </is>
      </c>
      <c r="AR105" s="24" t="inlineStr">
        <is>
          <t>Team WE</t>
        </is>
      </c>
      <c r="AS105" s="24" t="inlineStr">
        <is>
          <t>JD Gaming</t>
        </is>
      </c>
      <c r="AT105" s="24" t="inlineStr">
        <is>
          <t>JD Gaming</t>
        </is>
      </c>
      <c r="AU105" s="24" t="inlineStr">
        <is>
          <t>JD Gaming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d1af9b18c2d3ace9d47f74a1570e11714c592a6d92bd30ded3db42a502b40cf2</t>
        </is>
      </c>
      <c r="BB105" s="24" t="inlineStr">
        <is>
          <t>neutral_elo</t>
        </is>
      </c>
      <c r="BC105" s="24" t="inlineStr">
        <is>
          <t>lol-tiered-elo-v6</t>
        </is>
      </c>
      <c r="BD105" s="24" t="inlineStr">
        <is>
          <t>d1af9b18c2d3ace9d47f74a1570e11714c592a6d92bd30ded3db42a502b40cf2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lol-tiered-elo-v6</t>
        </is>
      </c>
      <c r="BH105" s="24" t="inlineStr">
        <is>
          <t>2026-08-09T05:18:31.577866Z</t>
        </is>
      </c>
      <c r="BI105" s="24" t="inlineStr">
        <is>
          <t>["same_event","same_team_same_day","same_league_same_day"]</t>
        </is>
      </c>
      <c r="BJ105" s="25" t="n"/>
      <c r="BK105" s="26" t="n">
        <v>-156</v>
      </c>
      <c r="BL105" s="27" t="n">
        <v>1.641026</v>
      </c>
      <c r="BM105" s="28" t="n">
        <v>0.609375</v>
      </c>
      <c r="BN105" s="28" t="n"/>
      <c r="BO105" s="28" t="n"/>
      <c r="BP105" s="25" t="n"/>
      <c r="BQ105" s="27" t="n">
        <v>1.641026</v>
      </c>
      <c r="BR105" s="28" t="n">
        <v>0.61</v>
      </c>
      <c r="BS105" s="28" t="n"/>
      <c r="BT105" s="28" t="n"/>
      <c r="BU105" s="25" t="n"/>
      <c r="BV105" s="29" t="n"/>
      <c r="BW105" s="24" t="n"/>
      <c r="BX105" s="30" t="n">
        <v>1</v>
      </c>
      <c r="BY105" s="27" t="n">
        <v>0.91</v>
      </c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</row>
    <row r="106" ht="36" customHeight="1">
      <c r="A106" s="24" t="inlineStr">
        <is>
          <t>e6219558bc7c4d36</t>
        </is>
      </c>
      <c r="B106" s="24" t="inlineStr">
        <is>
          <t>2026-08-09T05:18:45.420775Z</t>
        </is>
      </c>
      <c r="C106" s="24" t="inlineStr">
        <is>
          <t>2026-08-09T11:00:00Z</t>
        </is>
      </c>
      <c r="D106" s="24" t="inlineStr">
        <is>
          <t>73685</t>
        </is>
      </c>
      <c r="E106" s="24" t="inlineStr">
        <is>
          <t>LOL</t>
        </is>
      </c>
      <c r="F106" s="24" t="inlineStr">
        <is>
          <t>Caldya Esport</t>
        </is>
      </c>
      <c r="G106" s="24" t="inlineStr">
        <is>
          <t>Team High Ground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194</v>
      </c>
      <c r="M106" s="27" t="n">
        <v>2.94</v>
      </c>
      <c r="N106" s="28" t="n">
        <v>0.340136</v>
      </c>
      <c r="O106" s="28" t="n">
        <v>0.596541</v>
      </c>
      <c r="P106" s="28" t="n"/>
      <c r="Q106" s="28" t="n">
        <v>0.256405</v>
      </c>
      <c r="R106" s="26" t="n">
        <v>100</v>
      </c>
      <c r="S106" s="29" t="n">
        <v>1.25</v>
      </c>
      <c r="T106" s="24" t="inlineStr">
        <is>
          <t>lol-tiered-elo-v6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0</v>
      </c>
      <c r="X106" s="26" t="n">
        <v>1</v>
      </c>
      <c r="Y106" s="25" t="n"/>
      <c r="Z106" s="26" t="n">
        <v>194</v>
      </c>
      <c r="AA106" s="28" t="n">
        <v>0.34</v>
      </c>
      <c r="AB106" s="28" t="n">
        <v>-0.000136</v>
      </c>
      <c r="AC106" s="30" t="n">
        <v>2.425</v>
      </c>
      <c r="AD106" s="24" t="inlineStr">
        <is>
          <t>2026-08-09T13:57:00.962766Z</t>
        </is>
      </c>
      <c r="AE106" s="31" t="inlineStr">
        <is>
          <t>Neutral Elo baseline; executable ask 0.3400 (market_slug=aec-lol-thg-cla-2026-08-09).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Caldya Esport</t>
        </is>
      </c>
      <c r="AQ106" s="24" t="inlineStr">
        <is>
          <t>Caldya Esport</t>
        </is>
      </c>
      <c r="AR106" s="24" t="inlineStr">
        <is>
          <t>Caldya Esport</t>
        </is>
      </c>
      <c r="AS106" s="24" t="inlineStr">
        <is>
          <t>Team High Ground</t>
        </is>
      </c>
      <c r="AT106" s="24" t="inlineStr">
        <is>
          <t>Team High Ground</t>
        </is>
      </c>
      <c r="AU106" s="24" t="inlineStr">
        <is>
          <t>Team High Ground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d1af9b18c2d3ace9d47f74a1570e11714c592a6d92bd30ded3db42a502b40cf2</t>
        </is>
      </c>
      <c r="BB106" s="24" t="inlineStr">
        <is>
          <t>neutral_elo</t>
        </is>
      </c>
      <c r="BC106" s="24" t="inlineStr">
        <is>
          <t>lol-tiered-elo-v6</t>
        </is>
      </c>
      <c r="BD106" s="24" t="inlineStr">
        <is>
          <t>d1af9b18c2d3ace9d47f74a1570e11714c592a6d92bd30ded3db42a502b40cf2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lol-tiered-elo-v6</t>
        </is>
      </c>
      <c r="BH106" s="24" t="inlineStr">
        <is>
          <t>2026-08-09T05:18:32.128818Z</t>
        </is>
      </c>
      <c r="BI106" s="24" t="inlineStr">
        <is>
          <t>["same_event","same_team_same_day","same_league_same_day"]</t>
        </is>
      </c>
      <c r="BJ106" s="25" t="n"/>
      <c r="BK106" s="26" t="n">
        <v>194</v>
      </c>
      <c r="BL106" s="27" t="n">
        <v>2.94</v>
      </c>
      <c r="BM106" s="28" t="n">
        <v>0.340136</v>
      </c>
      <c r="BN106" s="28" t="n"/>
      <c r="BO106" s="28" t="n"/>
      <c r="BP106" s="25" t="n"/>
      <c r="BQ106" s="27" t="n">
        <v>2.94</v>
      </c>
      <c r="BR106" s="28" t="n">
        <v>0.34</v>
      </c>
      <c r="BS106" s="28" t="n"/>
      <c r="BT106" s="28" t="n"/>
      <c r="BU106" s="25" t="n"/>
      <c r="BV106" s="29" t="n"/>
      <c r="BW106" s="24" t="n"/>
      <c r="BX106" s="30" t="n">
        <v>1</v>
      </c>
      <c r="BY106" s="27" t="n">
        <v>0.91</v>
      </c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</row>
    <row r="107" ht="36" customHeight="1">
      <c r="A107" s="24" t="inlineStr">
        <is>
          <t>7f5b9205a8854667</t>
        </is>
      </c>
      <c r="B107" s="24" t="inlineStr">
        <is>
          <t>2026-08-09T05:18:45.420775Z</t>
        </is>
      </c>
      <c r="C107" s="24" t="inlineStr">
        <is>
          <t>2026-08-09T12:00:00Z</t>
        </is>
      </c>
      <c r="D107" s="24" t="inlineStr">
        <is>
          <t>73703</t>
        </is>
      </c>
      <c r="E107" s="24" t="inlineStr">
        <is>
          <t>LOL</t>
        </is>
      </c>
      <c r="F107" s="24" t="inlineStr">
        <is>
          <t>Karmine Corp Blue Stars</t>
        </is>
      </c>
      <c r="G107" s="24" t="inlineStr">
        <is>
          <t>Ancient Ones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133</v>
      </c>
      <c r="M107" s="27" t="n">
        <v>2.33</v>
      </c>
      <c r="N107" s="28" t="n">
        <v>0.429185</v>
      </c>
      <c r="O107" s="28" t="n">
        <v>0.530903</v>
      </c>
      <c r="P107" s="28" t="n"/>
      <c r="Q107" s="28" t="n">
        <v>0.101718</v>
      </c>
      <c r="R107" s="26" t="n">
        <v>71</v>
      </c>
      <c r="S107" s="29" t="n">
        <v>1</v>
      </c>
      <c r="T107" s="24" t="inlineStr">
        <is>
          <t>lol-tiered-elo-v6</t>
        </is>
      </c>
      <c r="U107" s="24" t="inlineStr">
        <is>
          <t>settled</t>
        </is>
      </c>
      <c r="V107" s="24" t="inlineStr">
        <is>
          <t>loss</t>
        </is>
      </c>
      <c r="W107" s="26" t="n">
        <v>1</v>
      </c>
      <c r="X107" s="26" t="n">
        <v>0</v>
      </c>
      <c r="Y107" s="25" t="n"/>
      <c r="Z107" s="26" t="n">
        <v>133</v>
      </c>
      <c r="AA107" s="28" t="n">
        <v>0.43</v>
      </c>
      <c r="AB107" s="28" t="n">
        <v>0.000815</v>
      </c>
      <c r="AC107" s="30" t="n">
        <v>-1</v>
      </c>
      <c r="AD107" s="24" t="inlineStr">
        <is>
          <t>2026-08-09T13:57:03.685139Z</t>
        </is>
      </c>
      <c r="AE107" s="31" t="inlineStr">
        <is>
          <t>Neutral Elo baseline; executable ask 0.4300 (market_slug=aec-lol-ao-kcbs-2026-08-09).</t>
        </is>
      </c>
      <c r="AF107" s="31" t="inlineStr">
        <is>
          <t>Config-promoted esports baseline; gates enforced at log time.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Karmine Corp Blue Stars</t>
        </is>
      </c>
      <c r="AQ107" s="24" t="inlineStr">
        <is>
          <t>Karmine Corp Blue Stars</t>
        </is>
      </c>
      <c r="AR107" s="24" t="inlineStr">
        <is>
          <t>Karmine Corp Blue Stars</t>
        </is>
      </c>
      <c r="AS107" s="24" t="inlineStr">
        <is>
          <t>Ancient Ones</t>
        </is>
      </c>
      <c r="AT107" s="24" t="inlineStr">
        <is>
          <t>Ancient Ones</t>
        </is>
      </c>
      <c r="AU107" s="24" t="inlineStr">
        <is>
          <t>Ancient Ones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d1af9b18c2d3ace9d47f74a1570e11714c592a6d92bd30ded3db42a502b40cf2</t>
        </is>
      </c>
      <c r="BB107" s="24" t="inlineStr">
        <is>
          <t>neutral_elo</t>
        </is>
      </c>
      <c r="BC107" s="24" t="inlineStr">
        <is>
          <t>lol-tiered-elo-v6</t>
        </is>
      </c>
      <c r="BD107" s="24" t="inlineStr">
        <is>
          <t>d1af9b18c2d3ace9d47f74a1570e11714c592a6d92bd30ded3db42a502b40cf2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lol-tiered-elo-v6</t>
        </is>
      </c>
      <c r="BH107" s="24" t="inlineStr">
        <is>
          <t>2026-08-09T05:18:32.672561Z</t>
        </is>
      </c>
      <c r="BI107" s="24" t="inlineStr">
        <is>
          <t>["same_event","same_team_same_day","same_league_same_day"]</t>
        </is>
      </c>
      <c r="BJ107" s="25" t="n"/>
      <c r="BK107" s="26" t="n">
        <v>133</v>
      </c>
      <c r="BL107" s="27" t="n">
        <v>2.33</v>
      </c>
      <c r="BM107" s="28" t="n">
        <v>0.429185</v>
      </c>
      <c r="BN107" s="28" t="n"/>
      <c r="BO107" s="28" t="n"/>
      <c r="BP107" s="25" t="n"/>
      <c r="BQ107" s="27" t="n">
        <v>2.33</v>
      </c>
      <c r="BR107" s="28" t="n">
        <v>0.43</v>
      </c>
      <c r="BS107" s="28" t="n"/>
      <c r="BT107" s="28" t="n"/>
      <c r="BU107" s="25" t="n"/>
      <c r="BV107" s="29" t="n"/>
      <c r="BW107" s="24" t="n"/>
      <c r="BX107" s="30" t="n">
        <v>1</v>
      </c>
      <c r="BY107" s="27" t="n">
        <v>-1</v>
      </c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</row>
    <row r="108" ht="36" customHeight="1">
      <c r="A108" s="24" t="inlineStr">
        <is>
          <t>c311b53394664422</t>
        </is>
      </c>
      <c r="B108" s="24" t="inlineStr">
        <is>
          <t>2026-08-09T05:18:45.420775Z</t>
        </is>
      </c>
      <c r="C108" s="24" t="inlineStr">
        <is>
          <t>2026-08-09T13:00:00Z</t>
        </is>
      </c>
      <c r="D108" s="24" t="inlineStr">
        <is>
          <t>73734</t>
        </is>
      </c>
      <c r="E108" s="24" t="inlineStr">
        <is>
          <t>LOL</t>
        </is>
      </c>
      <c r="F108" s="24" t="inlineStr">
        <is>
          <t>Project Conquerors</t>
        </is>
      </c>
      <c r="G108" s="24" t="inlineStr">
        <is>
          <t>Galions Sharks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-150</v>
      </c>
      <c r="M108" s="27" t="n">
        <v>1.666667</v>
      </c>
      <c r="N108" s="28" t="n">
        <v>0.6</v>
      </c>
      <c r="O108" s="28" t="n">
        <v>0.575922</v>
      </c>
      <c r="P108" s="28" t="n"/>
      <c r="Q108" s="28" t="n">
        <v>-0.024078</v>
      </c>
      <c r="R108" s="26" t="n">
        <v>8</v>
      </c>
      <c r="S108" s="29" t="n">
        <v>0</v>
      </c>
      <c r="T108" s="24" t="inlineStr">
        <is>
          <t>lol-tiered-elo-v6</t>
        </is>
      </c>
      <c r="U108" s="24" t="inlineStr">
        <is>
          <t>settled</t>
        </is>
      </c>
      <c r="V108" s="24" t="inlineStr">
        <is>
          <t>win</t>
        </is>
      </c>
      <c r="W108" s="26" t="n">
        <v>1</v>
      </c>
      <c r="X108" s="26" t="n">
        <v>0</v>
      </c>
      <c r="Y108" s="25" t="n"/>
      <c r="Z108" s="26" t="n">
        <v>-150</v>
      </c>
      <c r="AA108" s="28" t="n">
        <v>0.6</v>
      </c>
      <c r="AB108" s="28" t="n">
        <v>0</v>
      </c>
      <c r="AC108" s="30" t="n">
        <v>0</v>
      </c>
      <c r="AD108" s="24" t="inlineStr">
        <is>
          <t>2026-08-09T13:57:06.531630Z</t>
        </is>
      </c>
      <c r="AE108" s="31" t="inlineStr">
        <is>
          <t>Neutral Elo baseline; executable ask 0.6000 (market_slug=aec-lol-gls-pcs-2026-08-09).</t>
        </is>
      </c>
      <c r="AF108" s="31" t="inlineStr">
        <is>
          <t>Config-promoted esports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NO_CALL_WINNER_OVERVALUED</t>
        </is>
      </c>
      <c r="AP108" s="24" t="inlineStr">
        <is>
          <t>Project Conquerors</t>
        </is>
      </c>
      <c r="AQ108" s="24" t="inlineStr">
        <is>
          <t>Project Conquerors</t>
        </is>
      </c>
      <c r="AR108" s="24" t="inlineStr">
        <is>
          <t>Project Conquerors</t>
        </is>
      </c>
      <c r="AS108" s="24" t="inlineStr">
        <is>
          <t>Galions Sharks</t>
        </is>
      </c>
      <c r="AT108" s="24" t="inlineStr">
        <is>
          <t>Galions Sharks</t>
        </is>
      </c>
      <c r="AU108" s="24" t="inlineStr">
        <is>
          <t>Galions Sharks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d1af9b18c2d3ace9d47f74a1570e11714c592a6d92bd30ded3db42a502b40cf2</t>
        </is>
      </c>
      <c r="BB108" s="24" t="inlineStr">
        <is>
          <t>neutral_elo</t>
        </is>
      </c>
      <c r="BC108" s="24" t="inlineStr">
        <is>
          <t>lol-tiered-elo-v6</t>
        </is>
      </c>
      <c r="BD108" s="24" t="inlineStr">
        <is>
          <t>d1af9b18c2d3ace9d47f74a1570e11714c592a6d92bd30ded3db42a502b40cf2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lol-tiered-elo-v6</t>
        </is>
      </c>
      <c r="BH108" s="24" t="inlineStr">
        <is>
          <t>2026-08-09T05:18:33.175663Z</t>
        </is>
      </c>
      <c r="BI108" s="24" t="inlineStr">
        <is>
          <t>["same_event","same_team_same_day","same_league_same_day"]</t>
        </is>
      </c>
      <c r="BJ108" s="25" t="n"/>
      <c r="BK108" s="26" t="n">
        <v>-150</v>
      </c>
      <c r="BL108" s="27" t="n">
        <v>1.666667</v>
      </c>
      <c r="BM108" s="28" t="n">
        <v>0.6</v>
      </c>
      <c r="BN108" s="28" t="n"/>
      <c r="BO108" s="28" t="n"/>
      <c r="BP108" s="25" t="n"/>
      <c r="BQ108" s="27" t="n">
        <v>1.666667</v>
      </c>
      <c r="BR108" s="28" t="n">
        <v>0.6</v>
      </c>
      <c r="BS108" s="28" t="n"/>
      <c r="BT108" s="28" t="n"/>
      <c r="BU108" s="25" t="n"/>
      <c r="BV108" s="29" t="n"/>
      <c r="BW108" s="24" t="n"/>
      <c r="BX108" s="30" t="n">
        <v>1</v>
      </c>
      <c r="BY108" s="27" t="n">
        <v>0.91</v>
      </c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</row>
    <row r="109" ht="36" customHeight="1">
      <c r="A109" s="24" t="inlineStr">
        <is>
          <t>c0f3bd93fcb54290</t>
        </is>
      </c>
      <c r="B109" s="24" t="inlineStr">
        <is>
          <t>2026-08-09T14:01:53.524228Z</t>
        </is>
      </c>
      <c r="C109" s="24" t="inlineStr">
        <is>
          <t>2026-08-09T16:00:00Z</t>
        </is>
      </c>
      <c r="D109" s="24" t="inlineStr">
        <is>
          <t>73792</t>
        </is>
      </c>
      <c r="E109" s="24" t="inlineStr">
        <is>
          <t>LOL</t>
        </is>
      </c>
      <c r="F109" s="24" t="inlineStr">
        <is>
          <t>Vivo Keyd Stars</t>
        </is>
      </c>
      <c r="G109" s="24" t="inlineStr">
        <is>
          <t>LOUD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133</v>
      </c>
      <c r="M109" s="27" t="n">
        <v>2.33</v>
      </c>
      <c r="N109" s="28" t="n">
        <v>0.429185</v>
      </c>
      <c r="O109" s="28" t="n">
        <v>0.565457</v>
      </c>
      <c r="P109" s="28" t="n"/>
      <c r="Q109" s="28" t="n">
        <v>0.136272</v>
      </c>
      <c r="R109" s="26" t="n">
        <v>88</v>
      </c>
      <c r="S109" s="29" t="n">
        <v>1</v>
      </c>
      <c r="T109" s="24" t="inlineStr">
        <is>
          <t>lol-tiered-elo-v6</t>
        </is>
      </c>
      <c r="U109" s="24" t="inlineStr">
        <is>
          <t>settled</t>
        </is>
      </c>
      <c r="V109" s="24" t="inlineStr">
        <is>
          <t>loss</t>
        </is>
      </c>
      <c r="W109" s="26" t="n">
        <v>0</v>
      </c>
      <c r="X109" s="26" t="n">
        <v>1</v>
      </c>
      <c r="Y109" s="25" t="n"/>
      <c r="Z109" s="26" t="n">
        <v>133</v>
      </c>
      <c r="AA109" s="28" t="n">
        <v>0.43</v>
      </c>
      <c r="AB109" s="28" t="n">
        <v>0.000815</v>
      </c>
      <c r="AC109" s="30" t="n">
        <v>-1</v>
      </c>
      <c r="AD109" s="24" t="inlineStr">
        <is>
          <t>2026-08-09T20:26:11.227771Z</t>
        </is>
      </c>
      <c r="AE109" s="31" t="inlineStr">
        <is>
          <t>Neutral Elo baseline; executable ask 0.4300 (market_slug=aec-lol-lll-vks-2026-08-09).</t>
        </is>
      </c>
      <c r="AF109" s="31" t="inlineStr">
        <is>
          <t>Config-promoted esports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Vivo Keyd Stars</t>
        </is>
      </c>
      <c r="AQ109" s="24" t="inlineStr">
        <is>
          <t>Vivo Keyd Stars</t>
        </is>
      </c>
      <c r="AR109" s="24" t="inlineStr">
        <is>
          <t>Vivo Keyd Stars</t>
        </is>
      </c>
      <c r="AS109" s="24" t="inlineStr">
        <is>
          <t>LOUD</t>
        </is>
      </c>
      <c r="AT109" s="24" t="inlineStr">
        <is>
          <t>LOUD</t>
        </is>
      </c>
      <c r="AU109" s="24" t="inlineStr">
        <is>
          <t>LOUD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b58ac9e03c1a5d9a8ba8b54127b580955d4aa64f9a40d7b31d028c52dfb61e0d</t>
        </is>
      </c>
      <c r="BB109" s="24" t="inlineStr">
        <is>
          <t>neutral_elo</t>
        </is>
      </c>
      <c r="BC109" s="24" t="inlineStr">
        <is>
          <t>lol-tiered-elo-v6</t>
        </is>
      </c>
      <c r="BD109" s="24" t="inlineStr">
        <is>
          <t>b58ac9e03c1a5d9a8ba8b54127b580955d4aa64f9a40d7b31d028c52dfb61e0d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lol-tiered-elo-v6</t>
        </is>
      </c>
      <c r="BH109" s="24" t="inlineStr">
        <is>
          <t>2026-08-09T14:01:44.268334Z</t>
        </is>
      </c>
      <c r="BI109" s="24" t="inlineStr">
        <is>
          <t>["same_event","same_team_same_day","same_league_same_day"]</t>
        </is>
      </c>
      <c r="BJ109" s="25" t="n"/>
      <c r="BK109" s="26" t="n">
        <v>133</v>
      </c>
      <c r="BL109" s="27" t="n">
        <v>2.33</v>
      </c>
      <c r="BM109" s="28" t="n">
        <v>0.429185</v>
      </c>
      <c r="BN109" s="28" t="n"/>
      <c r="BO109" s="28" t="n"/>
      <c r="BP109" s="25" t="n"/>
      <c r="BQ109" s="27" t="n">
        <v>2.33</v>
      </c>
      <c r="BR109" s="28" t="n">
        <v>0.43</v>
      </c>
      <c r="BS109" s="28" t="n"/>
      <c r="BT109" s="28" t="n"/>
      <c r="BU109" s="25" t="n"/>
      <c r="BV109" s="29" t="n"/>
      <c r="BW109" s="24" t="n"/>
      <c r="BX109" s="30" t="n">
        <v>1</v>
      </c>
      <c r="BY109" s="27" t="n">
        <v>-1</v>
      </c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</row>
    <row r="110" ht="36" customHeight="1">
      <c r="A110" s="24" t="inlineStr">
        <is>
          <t>079726909683485d</t>
        </is>
      </c>
      <c r="B110" s="24" t="inlineStr">
        <is>
          <t>2026-08-10T05:41:28.453324Z</t>
        </is>
      </c>
      <c r="C110" s="24" t="inlineStr">
        <is>
          <t>2026-08-10T06:00:00Z</t>
        </is>
      </c>
      <c r="D110" s="24" t="inlineStr">
        <is>
          <t>74303</t>
        </is>
      </c>
      <c r="E110" s="24" t="inlineStr">
        <is>
          <t>LOL</t>
        </is>
      </c>
      <c r="F110" s="24" t="inlineStr">
        <is>
          <t>Gen.G</t>
        </is>
      </c>
      <c r="G110" s="24" t="inlineStr">
        <is>
          <t>Hanwha Life Esports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144</v>
      </c>
      <c r="M110" s="27" t="n">
        <v>2.44</v>
      </c>
      <c r="N110" s="28" t="n">
        <v>0.409836</v>
      </c>
      <c r="O110" s="28" t="n">
        <v>0.555268</v>
      </c>
      <c r="P110" s="28" t="n"/>
      <c r="Q110" s="28" t="n">
        <v>0.145432</v>
      </c>
      <c r="R110" s="26" t="n">
        <v>93</v>
      </c>
      <c r="S110" s="29" t="n">
        <v>1</v>
      </c>
      <c r="T110" s="24" t="inlineStr">
        <is>
          <t>lol-tiered-elo-v6</t>
        </is>
      </c>
      <c r="U110" s="24" t="inlineStr">
        <is>
          <t>settled</t>
        </is>
      </c>
      <c r="V110" s="24" t="inlineStr">
        <is>
          <t>win</t>
        </is>
      </c>
      <c r="W110" s="26" t="n">
        <v>0</v>
      </c>
      <c r="X110" s="26" t="n">
        <v>1</v>
      </c>
      <c r="Y110" s="25" t="n"/>
      <c r="Z110" s="26" t="n">
        <v>144</v>
      </c>
      <c r="AA110" s="28" t="n">
        <v>0.41</v>
      </c>
      <c r="AB110" s="28" t="n">
        <v>0.000164</v>
      </c>
      <c r="AC110" s="30" t="n">
        <v>1.44</v>
      </c>
      <c r="AD110" s="24" t="inlineStr">
        <is>
          <t>2026-08-10T16:33:21.215019Z</t>
        </is>
      </c>
      <c r="AE110" s="31" t="inlineStr">
        <is>
          <t>Neutral Elo baseline; executable ask 0.4100 (market_slug=aec-lol-hle-gen-2026-08-10).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Gen.G</t>
        </is>
      </c>
      <c r="AQ110" s="24" t="inlineStr">
        <is>
          <t>Gen.G</t>
        </is>
      </c>
      <c r="AR110" s="24" t="inlineStr">
        <is>
          <t>Gen.G</t>
        </is>
      </c>
      <c r="AS110" s="24" t="inlineStr">
        <is>
          <t>Hanwha Life Esports</t>
        </is>
      </c>
      <c r="AT110" s="24" t="inlineStr">
        <is>
          <t>Hanwha Life Esports</t>
        </is>
      </c>
      <c r="AU110" s="24" t="inlineStr">
        <is>
          <t>Hanwha Life Esports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1315e3fd57f39b5e423c7478ae4d488c4fac6a7f2c4f64188933b2184d22eecf</t>
        </is>
      </c>
      <c r="BB110" s="24" t="inlineStr">
        <is>
          <t>neutral_elo</t>
        </is>
      </c>
      <c r="BC110" s="24" t="inlineStr">
        <is>
          <t>lol-tiered-elo-v6</t>
        </is>
      </c>
      <c r="BD110" s="24" t="inlineStr">
        <is>
          <t>1315e3fd57f39b5e423c7478ae4d488c4fac6a7f2c4f64188933b2184d22eecf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lol-tiered-elo-v6</t>
        </is>
      </c>
      <c r="BH110" s="24" t="inlineStr">
        <is>
          <t>2026-08-10T05:41:12.074053Z</t>
        </is>
      </c>
      <c r="BI110" s="24" t="inlineStr">
        <is>
          <t>["same_event","same_team_same_day","same_league_same_day"]</t>
        </is>
      </c>
      <c r="BJ110" s="25" t="n"/>
      <c r="BK110" s="26" t="n">
        <v>144</v>
      </c>
      <c r="BL110" s="27" t="n">
        <v>2.44</v>
      </c>
      <c r="BM110" s="28" t="n">
        <v>0.409836</v>
      </c>
      <c r="BN110" s="28" t="n"/>
      <c r="BO110" s="28" t="n"/>
      <c r="BP110" s="25" t="n"/>
      <c r="BQ110" s="27" t="n">
        <v>2.44</v>
      </c>
      <c r="BR110" s="28" t="n">
        <v>0.41</v>
      </c>
      <c r="BS110" s="28" t="n"/>
      <c r="BT110" s="28" t="n"/>
      <c r="BU110" s="25" t="n"/>
      <c r="BV110" s="29" t="n"/>
      <c r="BW110" s="24" t="n"/>
      <c r="BX110" s="30" t="n">
        <v>1</v>
      </c>
      <c r="BY110" s="27" t="n">
        <v>0.91</v>
      </c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</row>
    <row r="111" ht="36" customHeight="1">
      <c r="A111" s="24" t="inlineStr">
        <is>
          <t>efb7e39a62af4d45</t>
        </is>
      </c>
      <c r="B111" s="24" t="inlineStr">
        <is>
          <t>2026-08-10T05:41:28.453324Z</t>
        </is>
      </c>
      <c r="C111" s="24" t="inlineStr">
        <is>
          <t>2026-08-10T08:00:00Z</t>
        </is>
      </c>
      <c r="D111" s="24" t="inlineStr">
        <is>
          <t>74319</t>
        </is>
      </c>
      <c r="E111" s="24" t="inlineStr">
        <is>
          <t>LOL</t>
        </is>
      </c>
      <c r="F111" s="24" t="inlineStr">
        <is>
          <t>KT Rolster Challengers</t>
        </is>
      </c>
      <c r="G111" s="24" t="inlineStr">
        <is>
          <t>DN SOOPers Challengers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-108</v>
      </c>
      <c r="M111" s="27" t="n">
        <v>1.925926</v>
      </c>
      <c r="N111" s="28" t="n">
        <v>0.519231</v>
      </c>
      <c r="O111" s="28" t="n">
        <v>0.515258</v>
      </c>
      <c r="P111" s="28" t="n"/>
      <c r="Q111" s="28" t="n">
        <v>-0.003973</v>
      </c>
      <c r="R111" s="26" t="n">
        <v>18</v>
      </c>
      <c r="S111" s="29" t="n">
        <v>1</v>
      </c>
      <c r="T111" s="24" t="inlineStr">
        <is>
          <t>lol-tiered-elo-v6</t>
        </is>
      </c>
      <c r="U111" s="24" t="inlineStr">
        <is>
          <t>settled</t>
        </is>
      </c>
      <c r="V111" s="24" t="inlineStr">
        <is>
          <t>win</t>
        </is>
      </c>
      <c r="W111" s="26" t="n">
        <v>1</v>
      </c>
      <c r="X111" s="26" t="n">
        <v>0</v>
      </c>
      <c r="Y111" s="25" t="n"/>
      <c r="Z111" s="26" t="n">
        <v>-108</v>
      </c>
      <c r="AA111" s="28" t="n">
        <v>0.52</v>
      </c>
      <c r="AB111" s="28" t="n">
        <v>0.000769</v>
      </c>
      <c r="AC111" s="30" t="n">
        <v>0.9258999999999999</v>
      </c>
      <c r="AD111" s="24" t="inlineStr">
        <is>
          <t>2026-08-10T16:33:23.607795Z</t>
        </is>
      </c>
      <c r="AE111" s="31" t="inlineStr">
        <is>
          <t>Neutral Elo baseline; executable ask 0.5200 (market_slug=aec-lol-dnsc-ktc-2026-08-10).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NO_CALL_LOW_EDGE</t>
        </is>
      </c>
      <c r="AP111" s="24" t="inlineStr">
        <is>
          <t>KT Rolster Challengers</t>
        </is>
      </c>
      <c r="AQ111" s="24" t="inlineStr">
        <is>
          <t>KT Rolster Challengers</t>
        </is>
      </c>
      <c r="AR111" s="24" t="inlineStr">
        <is>
          <t>KT Rolster Challengers</t>
        </is>
      </c>
      <c r="AS111" s="24" t="inlineStr">
        <is>
          <t>DN SOOPers Challengers</t>
        </is>
      </c>
      <c r="AT111" s="24" t="inlineStr">
        <is>
          <t>DN SOOPers Challengers</t>
        </is>
      </c>
      <c r="AU111" s="24" t="inlineStr">
        <is>
          <t>DN SOOPers Challengers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1315e3fd57f39b5e423c7478ae4d488c4fac6a7f2c4f64188933b2184d22eecf</t>
        </is>
      </c>
      <c r="BB111" s="24" t="inlineStr">
        <is>
          <t>neutral_elo</t>
        </is>
      </c>
      <c r="BC111" s="24" t="inlineStr">
        <is>
          <t>lol-tiered-elo-v6</t>
        </is>
      </c>
      <c r="BD111" s="24" t="inlineStr">
        <is>
          <t>1315e3fd57f39b5e423c7478ae4d488c4fac6a7f2c4f64188933b2184d22eecf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lol-tiered-elo-v6</t>
        </is>
      </c>
      <c r="BH111" s="24" t="inlineStr">
        <is>
          <t>2026-08-10T05:41:12.611497Z</t>
        </is>
      </c>
      <c r="BI111" s="24" t="inlineStr">
        <is>
          <t>["same_event","same_team_same_day","same_league_same_day"]</t>
        </is>
      </c>
      <c r="BJ111" s="25" t="n"/>
      <c r="BK111" s="26" t="n">
        <v>-108</v>
      </c>
      <c r="BL111" s="27" t="n">
        <v>1.925926</v>
      </c>
      <c r="BM111" s="28" t="n">
        <v>0.519231</v>
      </c>
      <c r="BN111" s="28" t="n"/>
      <c r="BO111" s="28" t="n"/>
      <c r="BP111" s="25" t="n"/>
      <c r="BQ111" s="27" t="n">
        <v>1.925926</v>
      </c>
      <c r="BR111" s="28" t="n">
        <v>0.52</v>
      </c>
      <c r="BS111" s="28" t="n"/>
      <c r="BT111" s="28" t="n"/>
      <c r="BU111" s="25" t="n"/>
      <c r="BV111" s="29" t="n"/>
      <c r="BW111" s="24" t="n"/>
      <c r="BX111" s="30" t="n">
        <v>1</v>
      </c>
      <c r="BY111" s="27" t="n">
        <v>0.91</v>
      </c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</row>
    <row r="112" ht="36" customHeight="1">
      <c r="A112" s="24" t="inlineStr">
        <is>
          <t>b921cde2167e4c0b</t>
        </is>
      </c>
      <c r="B112" s="24" t="inlineStr">
        <is>
          <t>2026-08-10T05:41:28.453324Z</t>
        </is>
      </c>
      <c r="C112" s="24" t="inlineStr">
        <is>
          <t>2026-08-10T08:15:00Z</t>
        </is>
      </c>
      <c r="D112" s="24" t="inlineStr">
        <is>
          <t>74321</t>
        </is>
      </c>
      <c r="E112" s="24" t="inlineStr">
        <is>
          <t>LOL</t>
        </is>
      </c>
      <c r="F112" s="24" t="inlineStr">
        <is>
          <t>Kiwoom DRX</t>
        </is>
      </c>
      <c r="G112" s="24" t="inlineStr">
        <is>
          <t>DN SOOPers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-203</v>
      </c>
      <c r="M112" s="27" t="n">
        <v>1.492611</v>
      </c>
      <c r="N112" s="28" t="n">
        <v>0.669967</v>
      </c>
      <c r="O112" s="28" t="n">
        <v>0.52847</v>
      </c>
      <c r="P112" s="28" t="n"/>
      <c r="Q112" s="28" t="n">
        <v>-0.141497</v>
      </c>
      <c r="R112" s="26" t="n">
        <v>0</v>
      </c>
      <c r="S112" s="29" t="n">
        <v>1</v>
      </c>
      <c r="T112" s="24" t="inlineStr">
        <is>
          <t>lol-tiered-elo-v6</t>
        </is>
      </c>
      <c r="U112" s="24" t="inlineStr">
        <is>
          <t>settled</t>
        </is>
      </c>
      <c r="V112" s="24" t="inlineStr">
        <is>
          <t>loss</t>
        </is>
      </c>
      <c r="W112" s="26" t="n">
        <v>0</v>
      </c>
      <c r="X112" s="26" t="n">
        <v>1</v>
      </c>
      <c r="Y112" s="25" t="n"/>
      <c r="Z112" s="26" t="n">
        <v>-203</v>
      </c>
      <c r="AA112" s="28" t="n">
        <v>0.67</v>
      </c>
      <c r="AB112" s="28" t="n">
        <v>3.3e-05</v>
      </c>
      <c r="AC112" s="30" t="n">
        <v>-1</v>
      </c>
      <c r="AD112" s="24" t="inlineStr">
        <is>
          <t>2026-08-10T16:33:25.999409Z</t>
        </is>
      </c>
      <c r="AE112" s="31" t="inlineStr">
        <is>
          <t>Neutral Elo baseline; executable ask 0.6700 (market_slug=aec-lol-dns-krx-2026-08-10).</t>
        </is>
      </c>
      <c r="AF112" s="31" t="inlineStr">
        <is>
          <t>Config-promoted esports baseline; gates enforced at log time.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NO_CALL_LOW_EDGE</t>
        </is>
      </c>
      <c r="AP112" s="24" t="inlineStr">
        <is>
          <t>Kiwoom DRX</t>
        </is>
      </c>
      <c r="AQ112" s="24" t="inlineStr">
        <is>
          <t>Kiwoom DRX</t>
        </is>
      </c>
      <c r="AR112" s="24" t="inlineStr">
        <is>
          <t>Kiwoom DRX</t>
        </is>
      </c>
      <c r="AS112" s="24" t="inlineStr">
        <is>
          <t>DN SOOPers</t>
        </is>
      </c>
      <c r="AT112" s="24" t="inlineStr">
        <is>
          <t>DN SOOPers</t>
        </is>
      </c>
      <c r="AU112" s="24" t="inlineStr">
        <is>
          <t>DN SOOPers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1315e3fd57f39b5e423c7478ae4d488c4fac6a7f2c4f64188933b2184d22eecf</t>
        </is>
      </c>
      <c r="BB112" s="24" t="inlineStr">
        <is>
          <t>neutral_elo</t>
        </is>
      </c>
      <c r="BC112" s="24" t="inlineStr">
        <is>
          <t>lol-tiered-elo-v6</t>
        </is>
      </c>
      <c r="BD112" s="24" t="inlineStr">
        <is>
          <t>1315e3fd57f39b5e423c7478ae4d488c4fac6a7f2c4f64188933b2184d22eecf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lol-tiered-elo-v6</t>
        </is>
      </c>
      <c r="BH112" s="24" t="inlineStr">
        <is>
          <t>2026-08-10T05:41:13.128194Z</t>
        </is>
      </c>
      <c r="BI112" s="24" t="inlineStr">
        <is>
          <t>["same_event","same_team_same_day","same_league_same_day"]</t>
        </is>
      </c>
      <c r="BJ112" s="25" t="n"/>
      <c r="BK112" s="26" t="n">
        <v>-203</v>
      </c>
      <c r="BL112" s="27" t="n">
        <v>1.492611</v>
      </c>
      <c r="BM112" s="28" t="n">
        <v>0.669967</v>
      </c>
      <c r="BN112" s="28" t="n"/>
      <c r="BO112" s="28" t="n"/>
      <c r="BP112" s="25" t="n"/>
      <c r="BQ112" s="27" t="n">
        <v>1.492611</v>
      </c>
      <c r="BR112" s="28" t="n">
        <v>0.67</v>
      </c>
      <c r="BS112" s="28" t="n"/>
      <c r="BT112" s="28" t="n"/>
      <c r="BU112" s="25" t="n"/>
      <c r="BV112" s="29" t="n"/>
      <c r="BW112" s="24" t="n"/>
      <c r="BX112" s="30" t="n">
        <v>1</v>
      </c>
      <c r="BY112" s="27" t="n">
        <v>-1</v>
      </c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</row>
    <row r="113" ht="36" customHeight="1">
      <c r="A113" s="24" t="inlineStr">
        <is>
          <t>8b9f0d713f8b441e</t>
        </is>
      </c>
      <c r="B113" s="24" t="inlineStr">
        <is>
          <t>2026-08-10T05:41:28.453324Z</t>
        </is>
      </c>
      <c r="C113" s="24" t="inlineStr">
        <is>
          <t>2026-08-10T15:00:00Z</t>
        </is>
      </c>
      <c r="D113" s="24" t="inlineStr">
        <is>
          <t>74409</t>
        </is>
      </c>
      <c r="E113" s="24" t="inlineStr">
        <is>
          <t>LOL</t>
        </is>
      </c>
      <c r="F113" s="24" t="inlineStr">
        <is>
          <t>Team Vitality</t>
        </is>
      </c>
      <c r="G113" s="24" t="inlineStr">
        <is>
          <t>SK Gaming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-194</v>
      </c>
      <c r="M113" s="27" t="n">
        <v>1.515464</v>
      </c>
      <c r="N113" s="28" t="n">
        <v>0.659864</v>
      </c>
      <c r="O113" s="28" t="n">
        <v>0.702856</v>
      </c>
      <c r="P113" s="28" t="n"/>
      <c r="Q113" s="28" t="n">
        <v>0.042992</v>
      </c>
      <c r="R113" s="26" t="n">
        <v>41</v>
      </c>
      <c r="S113" s="29" t="n">
        <v>2</v>
      </c>
      <c r="T113" s="24" t="inlineStr">
        <is>
          <t>lol-tiered-elo-v6</t>
        </is>
      </c>
      <c r="U113" s="24" t="inlineStr">
        <is>
          <t>settled</t>
        </is>
      </c>
      <c r="V113" s="24" t="inlineStr">
        <is>
          <t>win</t>
        </is>
      </c>
      <c r="W113" s="26" t="n">
        <v>1</v>
      </c>
      <c r="X113" s="26" t="n">
        <v>0</v>
      </c>
      <c r="Y113" s="25" t="n"/>
      <c r="Z113" s="26" t="n">
        <v>-194</v>
      </c>
      <c r="AA113" s="28" t="n">
        <v>0.66</v>
      </c>
      <c r="AB113" s="28" t="n">
        <v>0.000136</v>
      </c>
      <c r="AC113" s="30" t="n">
        <v>1.0309</v>
      </c>
      <c r="AD113" s="24" t="inlineStr">
        <is>
          <t>2026-08-10T16:33:28.208464Z</t>
        </is>
      </c>
      <c r="AE113" s="31" t="inlineStr">
        <is>
          <t>Neutral Elo baseline; executable ask 0.6600 (market_slug=aec-lol-sk-vit-2026-08-10).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Team Vitality</t>
        </is>
      </c>
      <c r="AQ113" s="24" t="inlineStr">
        <is>
          <t>Team Vitality</t>
        </is>
      </c>
      <c r="AR113" s="24" t="inlineStr">
        <is>
          <t>Team Vitality</t>
        </is>
      </c>
      <c r="AS113" s="24" t="inlineStr">
        <is>
          <t>SK Gaming</t>
        </is>
      </c>
      <c r="AT113" s="24" t="inlineStr">
        <is>
          <t>SK Gaming</t>
        </is>
      </c>
      <c r="AU113" s="24" t="inlineStr">
        <is>
          <t>SK Gaming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1315e3fd57f39b5e423c7478ae4d488c4fac6a7f2c4f64188933b2184d22eecf</t>
        </is>
      </c>
      <c r="BB113" s="24" t="inlineStr">
        <is>
          <t>neutral_elo</t>
        </is>
      </c>
      <c r="BC113" s="24" t="inlineStr">
        <is>
          <t>lol-tiered-elo-v6</t>
        </is>
      </c>
      <c r="BD113" s="24" t="inlineStr">
        <is>
          <t>1315e3fd57f39b5e423c7478ae4d488c4fac6a7f2c4f64188933b2184d22eecf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lol-tiered-elo-v6</t>
        </is>
      </c>
      <c r="BH113" s="24" t="inlineStr">
        <is>
          <t>2026-08-10T05:41:14.500661Z</t>
        </is>
      </c>
      <c r="BI113" s="24" t="inlineStr">
        <is>
          <t>["same_event","same_team_same_day","same_league_same_day"]</t>
        </is>
      </c>
      <c r="BJ113" s="25" t="n"/>
      <c r="BK113" s="26" t="n">
        <v>-194</v>
      </c>
      <c r="BL113" s="27" t="n">
        <v>1.515464</v>
      </c>
      <c r="BM113" s="28" t="n">
        <v>0.659864</v>
      </c>
      <c r="BN113" s="28" t="n"/>
      <c r="BO113" s="28" t="n"/>
      <c r="BP113" s="25" t="n"/>
      <c r="BQ113" s="27" t="n">
        <v>1.515464</v>
      </c>
      <c r="BR113" s="28" t="n">
        <v>0.66</v>
      </c>
      <c r="BS113" s="28" t="n"/>
      <c r="BT113" s="28" t="n"/>
      <c r="BU113" s="25" t="n"/>
      <c r="BV113" s="29" t="n"/>
      <c r="BW113" s="24" t="n"/>
      <c r="BX113" s="30" t="n">
        <v>1</v>
      </c>
      <c r="BY113" s="27" t="n">
        <v>0.91</v>
      </c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</row>
    <row r="114" ht="36" customHeight="1">
      <c r="A114" s="24" t="inlineStr">
        <is>
          <t>fc630d1748e749d7</t>
        </is>
      </c>
      <c r="B114" s="24" t="inlineStr">
        <is>
          <t>2026-08-10T16:36:52.218705Z</t>
        </is>
      </c>
      <c r="C114" s="24" t="inlineStr">
        <is>
          <t>2026-08-11T08:00:00Z</t>
        </is>
      </c>
      <c r="D114" s="24" t="inlineStr">
        <is>
          <t>75082</t>
        </is>
      </c>
      <c r="E114" s="24" t="inlineStr">
        <is>
          <t>LOL</t>
        </is>
      </c>
      <c r="F114" s="24" t="inlineStr">
        <is>
          <t>BNK FearX Youth</t>
        </is>
      </c>
      <c r="G114" s="24" t="inlineStr">
        <is>
          <t>Kiwoom DRX Challengers</t>
        </is>
      </c>
      <c r="H114" s="24" t="inlineStr">
        <is>
          <t>moneyline</t>
        </is>
      </c>
      <c r="I114" s="24" t="inlineStr">
        <is>
          <t>away</t>
        </is>
      </c>
      <c r="J114" s="25" t="n"/>
      <c r="K114" s="24" t="inlineStr">
        <is>
          <t>polymarket_us</t>
        </is>
      </c>
      <c r="L114" s="26" t="n">
        <v>150</v>
      </c>
      <c r="M114" s="27" t="n">
        <v>2.5</v>
      </c>
      <c r="N114" s="28" t="n">
        <v>0.4</v>
      </c>
      <c r="O114" s="28" t="n">
        <v>0.516839</v>
      </c>
      <c r="P114" s="28" t="n"/>
      <c r="Q114" s="28" t="n">
        <v>0.116839</v>
      </c>
      <c r="R114" s="26" t="n">
        <v>78</v>
      </c>
      <c r="S114" s="29" t="n">
        <v>1</v>
      </c>
      <c r="T114" s="24" t="inlineStr">
        <is>
          <t>lol-tiered-elo-v6</t>
        </is>
      </c>
      <c r="U114" s="24" t="inlineStr">
        <is>
          <t>settled</t>
        </is>
      </c>
      <c r="V114" s="24" t="inlineStr">
        <is>
          <t>loss</t>
        </is>
      </c>
      <c r="W114" s="26" t="n">
        <v>0</v>
      </c>
      <c r="X114" s="26" t="n">
        <v>1</v>
      </c>
      <c r="Y114" s="25" t="n"/>
      <c r="Z114" s="26" t="n"/>
      <c r="AA114" s="28" t="n"/>
      <c r="AB114" s="28" t="n"/>
      <c r="AC114" s="30" t="n">
        <v>-1</v>
      </c>
      <c r="AD114" s="24" t="inlineStr">
        <is>
          <t>2026-08-11T16:30:20.375212Z</t>
        </is>
      </c>
      <c r="AE114" s="31" t="inlineStr">
        <is>
          <t>Neutral Elo baseline; executable ask 0.4000 (market_slug=aec-lol-krxc-foxy-2026-08-11).</t>
        </is>
      </c>
      <c r="AF114" s="31" t="inlineStr">
        <is>
          <t>Config-promoted esports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BNK FearX Youth</t>
        </is>
      </c>
      <c r="AQ114" s="24" t="inlineStr">
        <is>
          <t>BNK FearX Youth</t>
        </is>
      </c>
      <c r="AR114" s="24" t="inlineStr">
        <is>
          <t>BNK FearX Youth</t>
        </is>
      </c>
      <c r="AS114" s="24" t="inlineStr">
        <is>
          <t>Kiwoom DRX Challengers</t>
        </is>
      </c>
      <c r="AT114" s="24" t="inlineStr">
        <is>
          <t>Kiwoom DRX Challengers</t>
        </is>
      </c>
      <c r="AU114" s="24" t="inlineStr">
        <is>
          <t>Kiwoom DRX Challengers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b17a7ad5927b03dc324401003ec664ab1757d0145d4b926e56b78e2895a058ba</t>
        </is>
      </c>
      <c r="BB114" s="24" t="inlineStr">
        <is>
          <t>neutral_elo</t>
        </is>
      </c>
      <c r="BC114" s="24" t="inlineStr">
        <is>
          <t>lol-tiered-elo-v6</t>
        </is>
      </c>
      <c r="BD114" s="24" t="inlineStr">
        <is>
          <t>b17a7ad5927b03dc324401003ec664ab1757d0145d4b926e56b78e2895a058ba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lol-tiered-elo-v6</t>
        </is>
      </c>
      <c r="BH114" s="24" t="inlineStr">
        <is>
          <t>2026-08-10T16:36:35.300904Z</t>
        </is>
      </c>
      <c r="BI114" s="24" t="inlineStr">
        <is>
          <t>["same_event","same_team_same_day","same_league_same_day"]</t>
        </is>
      </c>
      <c r="BJ114" s="25" t="n"/>
      <c r="BK114" s="26" t="n">
        <v>150</v>
      </c>
      <c r="BL114" s="27" t="n">
        <v>2.5</v>
      </c>
      <c r="BM114" s="28" t="n">
        <v>0.4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>
        <v>1</v>
      </c>
      <c r="BY114" s="27" t="n">
        <v>-1</v>
      </c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</row>
    <row r="115" ht="36" customHeight="1">
      <c r="A115" s="24" t="inlineStr">
        <is>
          <t>ec6f9205bc0e408c</t>
        </is>
      </c>
      <c r="B115" s="24" t="inlineStr">
        <is>
          <t>2026-08-10T16:36:52.218705Z</t>
        </is>
      </c>
      <c r="C115" s="24" t="inlineStr">
        <is>
          <t>2026-08-11T10:00:00Z</t>
        </is>
      </c>
      <c r="D115" s="24" t="inlineStr">
        <is>
          <t>75102</t>
        </is>
      </c>
      <c r="E115" s="24" t="inlineStr">
        <is>
          <t>LOL</t>
        </is>
      </c>
      <c r="F115" s="24" t="inlineStr">
        <is>
          <t>Dplus KIA Challengers</t>
        </is>
      </c>
      <c r="G115" s="24" t="inlineStr">
        <is>
          <t>Nongshim Esports Academy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104</v>
      </c>
      <c r="M115" s="27" t="n">
        <v>2.04</v>
      </c>
      <c r="N115" s="28" t="n">
        <v>0.490196</v>
      </c>
      <c r="O115" s="28" t="n">
        <v>0.600293</v>
      </c>
      <c r="P115" s="28" t="n"/>
      <c r="Q115" s="28" t="n">
        <v>0.110097</v>
      </c>
      <c r="R115" s="26" t="n">
        <v>75</v>
      </c>
      <c r="S115" s="29" t="n">
        <v>1.25</v>
      </c>
      <c r="T115" s="24" t="inlineStr">
        <is>
          <t>lol-tiered-elo-v6</t>
        </is>
      </c>
      <c r="U115" s="24" t="inlineStr">
        <is>
          <t>settled</t>
        </is>
      </c>
      <c r="V115" s="24" t="inlineStr">
        <is>
          <t>win</t>
        </is>
      </c>
      <c r="W115" s="26" t="n">
        <v>1</v>
      </c>
      <c r="X115" s="26" t="n">
        <v>0</v>
      </c>
      <c r="Y115" s="25" t="n"/>
      <c r="Z115" s="26" t="n"/>
      <c r="AA115" s="28" t="n"/>
      <c r="AB115" s="28" t="n"/>
      <c r="AC115" s="30" t="n">
        <v>1.3</v>
      </c>
      <c r="AD115" s="24" t="inlineStr">
        <is>
          <t>2026-08-11T16:30:23.302709Z</t>
        </is>
      </c>
      <c r="AE115" s="31" t="inlineStr">
        <is>
          <t>Neutral Elo baseline; executable ask 0.4900 (market_slug=aec-lol-nsea-dkc-2026-08-11).</t>
        </is>
      </c>
      <c r="AF115" s="31" t="inlineStr">
        <is>
          <t>Config-promoted esports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Dplus KIA Challengers</t>
        </is>
      </c>
      <c r="AQ115" s="24" t="inlineStr">
        <is>
          <t>Dplus KIA Challengers</t>
        </is>
      </c>
      <c r="AR115" s="24" t="inlineStr">
        <is>
          <t>Dplus KIA Challengers</t>
        </is>
      </c>
      <c r="AS115" s="24" t="inlineStr">
        <is>
          <t>Nongshim Esports Academy</t>
        </is>
      </c>
      <c r="AT115" s="24" t="inlineStr">
        <is>
          <t>Nongshim Esports Academy</t>
        </is>
      </c>
      <c r="AU115" s="24" t="inlineStr">
        <is>
          <t>Nongshim Esports Academy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b17a7ad5927b03dc324401003ec664ab1757d0145d4b926e56b78e2895a058ba</t>
        </is>
      </c>
      <c r="BB115" s="24" t="inlineStr">
        <is>
          <t>neutral_elo</t>
        </is>
      </c>
      <c r="BC115" s="24" t="inlineStr">
        <is>
          <t>lol-tiered-elo-v6</t>
        </is>
      </c>
      <c r="BD115" s="24" t="inlineStr">
        <is>
          <t>b17a7ad5927b03dc324401003ec664ab1757d0145d4b926e56b78e2895a058ba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lol-tiered-elo-v6</t>
        </is>
      </c>
      <c r="BH115" s="24" t="inlineStr">
        <is>
          <t>2026-08-10T16:36:37.130668Z</t>
        </is>
      </c>
      <c r="BI115" s="24" t="inlineStr">
        <is>
          <t>["same_event","same_team_same_day","same_league_same_day"]</t>
        </is>
      </c>
      <c r="BJ115" s="25" t="n"/>
      <c r="BK115" s="26" t="n">
        <v>104</v>
      </c>
      <c r="BL115" s="27" t="n">
        <v>2.04</v>
      </c>
      <c r="BM115" s="28" t="n">
        <v>0.490196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>
        <v>1</v>
      </c>
      <c r="BY115" s="27" t="n">
        <v>0.91</v>
      </c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</row>
    <row r="116" ht="36" customHeight="1">
      <c r="A116" s="24" t="inlineStr">
        <is>
          <t>2ab157bd2af5429a</t>
        </is>
      </c>
      <c r="B116" s="24" t="inlineStr">
        <is>
          <t>2026-08-11T16:56:35.179095Z</t>
        </is>
      </c>
      <c r="C116" s="24" t="inlineStr">
        <is>
          <t>2026-08-11T17:00:00Z</t>
        </is>
      </c>
      <c r="D116" s="24" t="inlineStr">
        <is>
          <t>75397</t>
        </is>
      </c>
      <c r="E116" s="24" t="inlineStr">
        <is>
          <t>LOL</t>
        </is>
      </c>
      <c r="F116" s="24" t="inlineStr">
        <is>
          <t>Forsaken</t>
        </is>
      </c>
      <c r="G116" s="24" t="inlineStr">
        <is>
          <t>Lodis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156</v>
      </c>
      <c r="M116" s="27" t="n">
        <v>2.56</v>
      </c>
      <c r="N116" s="28" t="n">
        <v>0.390625</v>
      </c>
      <c r="O116" s="28" t="n">
        <v>0.758714</v>
      </c>
      <c r="P116" s="28" t="n"/>
      <c r="Q116" s="28" t="n">
        <v>0.368089</v>
      </c>
      <c r="R116" s="26" t="n">
        <v>100</v>
      </c>
      <c r="S116" s="29" t="n">
        <v>2</v>
      </c>
      <c r="T116" s="24" t="inlineStr">
        <is>
          <t>lol-tiered-elo-v6</t>
        </is>
      </c>
      <c r="U116" s="24" t="inlineStr">
        <is>
          <t>settled</t>
        </is>
      </c>
      <c r="V116" s="24" t="inlineStr">
        <is>
          <t>win</t>
        </is>
      </c>
      <c r="W116" s="26" t="n">
        <v>1</v>
      </c>
      <c r="X116" s="26" t="n">
        <v>0</v>
      </c>
      <c r="Y116" s="25" t="n"/>
      <c r="Z116" s="26" t="n">
        <v>156</v>
      </c>
      <c r="AA116" s="28" t="n">
        <v>0.39</v>
      </c>
      <c r="AB116" s="28" t="n">
        <v>-0.000625</v>
      </c>
      <c r="AC116" s="30" t="n">
        <v>3.12</v>
      </c>
      <c r="AD116" s="24" t="inlineStr">
        <is>
          <t>2026-08-11T23:00:45.081070Z</t>
        </is>
      </c>
      <c r="AE116" s="31" t="inlineStr">
        <is>
          <t>Neutral Elo baseline; executable ask 0.3900 (market_slug=aec-lol-lds-fsk-2026-08-11).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3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Forsaken</t>
        </is>
      </c>
      <c r="AQ116" s="24" t="inlineStr">
        <is>
          <t>Forsaken</t>
        </is>
      </c>
      <c r="AR116" s="24" t="inlineStr">
        <is>
          <t>Forsaken</t>
        </is>
      </c>
      <c r="AS116" s="24" t="inlineStr">
        <is>
          <t>Lodis</t>
        </is>
      </c>
      <c r="AT116" s="24" t="inlineStr">
        <is>
          <t>Lodis</t>
        </is>
      </c>
      <c r="AU116" s="24" t="inlineStr">
        <is>
          <t>Lodis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ed7267b514f407c2093b515500eb4a8b26567d3f07ecbd95b89717fa166d10fd</t>
        </is>
      </c>
      <c r="BB116" s="24" t="inlineStr">
        <is>
          <t>neutral_elo</t>
        </is>
      </c>
      <c r="BC116" s="24" t="inlineStr">
        <is>
          <t>lol-tiered-elo-v6</t>
        </is>
      </c>
      <c r="BD116" s="24" t="inlineStr">
        <is>
          <t>ed7267b514f407c2093b515500eb4a8b26567d3f07ecbd95b89717fa166d10fd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lol-tiered-elo-v6</t>
        </is>
      </c>
      <c r="BH116" s="24" t="inlineStr">
        <is>
          <t>2026-08-11T16:56:16.156478Z</t>
        </is>
      </c>
      <c r="BI116" s="24" t="inlineStr">
        <is>
          <t>["same_event","same_team_same_day","same_league_same_day"]</t>
        </is>
      </c>
      <c r="BJ116" s="25" t="n"/>
      <c r="BK116" s="26" t="n">
        <v>156</v>
      </c>
      <c r="BL116" s="27" t="n">
        <v>2.56</v>
      </c>
      <c r="BM116" s="28" t="n">
        <v>0.390625</v>
      </c>
      <c r="BN116" s="28" t="n"/>
      <c r="BO116" s="28" t="n"/>
      <c r="BP116" s="25" t="n"/>
      <c r="BQ116" s="27" t="n">
        <v>2.56</v>
      </c>
      <c r="BR116" s="28" t="n">
        <v>0.39</v>
      </c>
      <c r="BS116" s="28" t="n"/>
      <c r="BT116" s="28" t="n"/>
      <c r="BU116" s="25" t="n"/>
      <c r="BV116" s="29" t="n"/>
      <c r="BW116" s="24" t="n"/>
      <c r="BX116" s="30" t="n">
        <v>1</v>
      </c>
      <c r="BY116" s="27" t="n">
        <v>0.91</v>
      </c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</row>
    <row r="117" ht="36" customHeight="1">
      <c r="A117" s="24" t="inlineStr">
        <is>
          <t>d78fd10d91ef4cc7</t>
        </is>
      </c>
      <c r="B117" s="24" t="inlineStr">
        <is>
          <t>2026-08-11T17:26:54.301677Z</t>
        </is>
      </c>
      <c r="C117" s="24" t="inlineStr">
        <is>
          <t>2026-08-11T18:30:00Z</t>
        </is>
      </c>
      <c r="D117" s="24" t="inlineStr">
        <is>
          <t>75553</t>
        </is>
      </c>
      <c r="E117" s="24" t="inlineStr">
        <is>
          <t>LOL</t>
        </is>
      </c>
      <c r="F117" s="24" t="inlineStr">
        <is>
          <t>GnG Amazigh</t>
        </is>
      </c>
      <c r="G117" s="24" t="inlineStr">
        <is>
          <t>Baam Esports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-233</v>
      </c>
      <c r="M117" s="27" t="n">
        <v>1.429185</v>
      </c>
      <c r="N117" s="28" t="n">
        <v>0.6997</v>
      </c>
      <c r="O117" s="28" t="n">
        <v>0.6584950000000001</v>
      </c>
      <c r="P117" s="28" t="n"/>
      <c r="Q117" s="28" t="n">
        <v>-0.041205</v>
      </c>
      <c r="R117" s="26" t="n">
        <v>0</v>
      </c>
      <c r="S117" s="29" t="n">
        <v>1.75</v>
      </c>
      <c r="T117" s="24" t="inlineStr">
        <is>
          <t>lol-tiered-elo-v6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1</v>
      </c>
      <c r="Y117" s="25" t="n"/>
      <c r="Z117" s="26" t="n">
        <v>-233</v>
      </c>
      <c r="AA117" s="28" t="n">
        <v>0.7</v>
      </c>
      <c r="AB117" s="28" t="n">
        <v>0.0003</v>
      </c>
      <c r="AC117" s="30" t="n">
        <v>0.7511</v>
      </c>
      <c r="AD117" s="24" t="inlineStr">
        <is>
          <t>2026-08-11T19:54:57.674788Z</t>
        </is>
      </c>
      <c r="AE117" s="31" t="inlineStr">
        <is>
          <t>Neutral Elo baseline; executable ask 0.7000 (market_slug=aec-lol-bam-gng-2026-08-11).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NO_CALL_LOW_EDGE</t>
        </is>
      </c>
      <c r="AP117" s="24" t="inlineStr">
        <is>
          <t>GnG Amazigh</t>
        </is>
      </c>
      <c r="AQ117" s="24" t="inlineStr">
        <is>
          <t>GnG Amazigh</t>
        </is>
      </c>
      <c r="AR117" s="24" t="inlineStr">
        <is>
          <t>GnG Amazigh</t>
        </is>
      </c>
      <c r="AS117" s="24" t="inlineStr">
        <is>
          <t>Baam Esports</t>
        </is>
      </c>
      <c r="AT117" s="24" t="inlineStr">
        <is>
          <t>Baam Esports</t>
        </is>
      </c>
      <c r="AU117" s="24" t="inlineStr">
        <is>
          <t>Baam Esports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094bc0be45302e065418a9dc318acb2e7cfcfdb58b3b123f7b6c91000437d69b</t>
        </is>
      </c>
      <c r="BB117" s="24" t="inlineStr">
        <is>
          <t>neutral_elo</t>
        </is>
      </c>
      <c r="BC117" s="24" t="inlineStr">
        <is>
          <t>lol-tiered-elo-v6</t>
        </is>
      </c>
      <c r="BD117" s="24" t="inlineStr">
        <is>
          <t>094bc0be45302e065418a9dc318acb2e7cfcfdb58b3b123f7b6c91000437d69b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lol-tiered-elo-v6</t>
        </is>
      </c>
      <c r="BH117" s="24" t="inlineStr">
        <is>
          <t>2026-08-11T17:26:35.974432Z</t>
        </is>
      </c>
      <c r="BI117" s="24" t="inlineStr">
        <is>
          <t>["same_event","same_team_same_day","same_league_same_day"]</t>
        </is>
      </c>
      <c r="BJ117" s="25" t="n"/>
      <c r="BK117" s="26" t="n">
        <v>-233</v>
      </c>
      <c r="BL117" s="27" t="n">
        <v>1.429185</v>
      </c>
      <c r="BM117" s="28" t="n">
        <v>0.6997</v>
      </c>
      <c r="BN117" s="28" t="n"/>
      <c r="BO117" s="28" t="n"/>
      <c r="BP117" s="25" t="n"/>
      <c r="BQ117" s="27" t="n">
        <v>1.429185</v>
      </c>
      <c r="BR117" s="28" t="n">
        <v>0.7</v>
      </c>
      <c r="BS117" s="28" t="n"/>
      <c r="BT117" s="28" t="n"/>
      <c r="BU117" s="25" t="n"/>
      <c r="BV117" s="29" t="n"/>
      <c r="BW117" s="24" t="n"/>
      <c r="BX117" s="30" t="n">
        <v>1</v>
      </c>
      <c r="BY117" s="27" t="n">
        <v>0.91</v>
      </c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</row>
    <row r="118" ht="36" customHeight="1">
      <c r="A118" s="24" t="inlineStr">
        <is>
          <t>1cb0b425b3824c78</t>
        </is>
      </c>
      <c r="B118" s="24" t="inlineStr">
        <is>
          <t>2026-08-11T19:58:42.464012Z</t>
        </is>
      </c>
      <c r="C118" s="24" t="inlineStr">
        <is>
          <t>2026-08-11T20:00:00Z</t>
        </is>
      </c>
      <c r="D118" s="24" t="inlineStr">
        <is>
          <t>75895</t>
        </is>
      </c>
      <c r="E118" s="24" t="inlineStr">
        <is>
          <t>LOL</t>
        </is>
      </c>
      <c r="F118" s="24" t="inlineStr">
        <is>
          <t>7REX</t>
        </is>
      </c>
      <c r="G118" s="24" t="inlineStr">
        <is>
          <t>Team Solid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-104</v>
      </c>
      <c r="M118" s="27" t="n">
        <v>1.961538</v>
      </c>
      <c r="N118" s="28" t="n">
        <v>0.509804</v>
      </c>
      <c r="O118" s="28" t="n">
        <v>0.571583</v>
      </c>
      <c r="P118" s="28" t="n"/>
      <c r="Q118" s="28" t="n">
        <v>0.061779</v>
      </c>
      <c r="R118" s="26" t="n">
        <v>51</v>
      </c>
      <c r="S118" s="29" t="n">
        <v>1.25</v>
      </c>
      <c r="T118" s="24" t="inlineStr">
        <is>
          <t>lol-tiered-elo-v6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0</v>
      </c>
      <c r="Y118" s="25" t="n"/>
      <c r="Z118" s="26" t="n">
        <v>-104</v>
      </c>
      <c r="AA118" s="28" t="n">
        <v>0.51</v>
      </c>
      <c r="AB118" s="28" t="n">
        <v>0.000196</v>
      </c>
      <c r="AC118" s="30" t="n">
        <v>1.2019</v>
      </c>
      <c r="AD118" s="24" t="inlineStr">
        <is>
          <t>2026-08-11T23:00:47.056895Z</t>
        </is>
      </c>
      <c r="AE118" s="31" t="inlineStr">
        <is>
          <t>Neutral Elo baseline; executable ask 0.5100 (market_slug=aec-lol-tse-7rex-2026-08-11).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3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7REX</t>
        </is>
      </c>
      <c r="AQ118" s="24" t="inlineStr">
        <is>
          <t>7REX</t>
        </is>
      </c>
      <c r="AR118" s="24" t="inlineStr">
        <is>
          <t>7REX</t>
        </is>
      </c>
      <c r="AS118" s="24" t="inlineStr">
        <is>
          <t>Team Solid</t>
        </is>
      </c>
      <c r="AT118" s="24" t="inlineStr">
        <is>
          <t>Team Solid</t>
        </is>
      </c>
      <c r="AU118" s="24" t="inlineStr">
        <is>
          <t>Team Solid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42520e1cbdeac477d4933d02c42aaf237b6f0d38e18175043ec37cabaabcb7e4</t>
        </is>
      </c>
      <c r="BB118" s="24" t="inlineStr">
        <is>
          <t>neutral_elo</t>
        </is>
      </c>
      <c r="BC118" s="24" t="inlineStr">
        <is>
          <t>lol-tiered-elo-v6</t>
        </is>
      </c>
      <c r="BD118" s="24" t="inlineStr">
        <is>
          <t>42520e1cbdeac477d4933d02c42aaf237b6f0d38e18175043ec37cabaabcb7e4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lol-tiered-elo-v6</t>
        </is>
      </c>
      <c r="BH118" s="24" t="inlineStr">
        <is>
          <t>2026-08-11T19:58:26.471210Z</t>
        </is>
      </c>
      <c r="BI118" s="24" t="inlineStr">
        <is>
          <t>["same_event","same_team_same_day","same_league_same_day"]</t>
        </is>
      </c>
      <c r="BJ118" s="25" t="n"/>
      <c r="BK118" s="26" t="n">
        <v>-104</v>
      </c>
      <c r="BL118" s="27" t="n">
        <v>1.961538</v>
      </c>
      <c r="BM118" s="28" t="n">
        <v>0.509804</v>
      </c>
      <c r="BN118" s="28" t="n"/>
      <c r="BO118" s="28" t="n"/>
      <c r="BP118" s="25" t="n"/>
      <c r="BQ118" s="27" t="n">
        <v>1.961538</v>
      </c>
      <c r="BR118" s="28" t="n">
        <v>0.51</v>
      </c>
      <c r="BS118" s="28" t="n"/>
      <c r="BT118" s="28" t="n"/>
      <c r="BU118" s="25" t="n"/>
      <c r="BV118" s="29" t="n"/>
      <c r="BW118" s="24" t="n"/>
      <c r="BX118" s="30" t="n">
        <v>1</v>
      </c>
      <c r="BY118" s="27" t="n">
        <v>0.91</v>
      </c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</row>
    <row r="119" ht="36" customHeight="1">
      <c r="A119" s="24" t="inlineStr">
        <is>
          <t>42f2b816d75c4ca3</t>
        </is>
      </c>
      <c r="B119" s="24" t="inlineStr">
        <is>
          <t>2026-08-11T19:58:42.464012Z</t>
        </is>
      </c>
      <c r="C119" s="24" t="inlineStr">
        <is>
          <t>2026-08-11T23:00:00Z</t>
        </is>
      </c>
      <c r="D119" s="24" t="inlineStr">
        <is>
          <t>76011</t>
        </is>
      </c>
      <c r="E119" s="24" t="inlineStr">
        <is>
          <t>LOL</t>
        </is>
      </c>
      <c r="F119" s="24" t="inlineStr">
        <is>
          <t>SDM Tigres</t>
        </is>
      </c>
      <c r="G119" s="24" t="inlineStr">
        <is>
          <t>Kits Esports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-104</v>
      </c>
      <c r="M119" s="27" t="n">
        <v>1.961538</v>
      </c>
      <c r="N119" s="28" t="n">
        <v>0.509804</v>
      </c>
      <c r="O119" s="28" t="n">
        <v>0.546502</v>
      </c>
      <c r="P119" s="28" t="n"/>
      <c r="Q119" s="28" t="n">
        <v>0.036698</v>
      </c>
      <c r="R119" s="26" t="n">
        <v>38</v>
      </c>
      <c r="S119" s="29" t="n">
        <v>1</v>
      </c>
      <c r="T119" s="24" t="inlineStr">
        <is>
          <t>lol-tiered-elo-v6</t>
        </is>
      </c>
      <c r="U119" s="24" t="inlineStr">
        <is>
          <t>settled</t>
        </is>
      </c>
      <c r="V119" s="24" t="inlineStr">
        <is>
          <t>win</t>
        </is>
      </c>
      <c r="W119" s="26" t="n">
        <v>0</v>
      </c>
      <c r="X119" s="26" t="n">
        <v>1</v>
      </c>
      <c r="Y119" s="25" t="n"/>
      <c r="Z119" s="26" t="n">
        <v>-104</v>
      </c>
      <c r="AA119" s="28" t="n">
        <v>0.51</v>
      </c>
      <c r="AB119" s="28" t="n">
        <v>0.000196</v>
      </c>
      <c r="AC119" s="30" t="n">
        <v>0.9615</v>
      </c>
      <c r="AD119" s="24" t="inlineStr">
        <is>
          <t>2026-08-12T05:13:00.854968Z</t>
        </is>
      </c>
      <c r="AE119" s="31" t="inlineStr">
        <is>
          <t>Neutral Elo baseline; executable ask 0.5100 (market_slug=aec-lol-kits-sdm-2026-08-11).</t>
        </is>
      </c>
      <c r="AF119" s="31" t="inlineStr">
        <is>
          <t>Config-promoted esports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SDM Tigres</t>
        </is>
      </c>
      <c r="AQ119" s="24" t="inlineStr">
        <is>
          <t>SDM Tigres</t>
        </is>
      </c>
      <c r="AR119" s="24" t="inlineStr">
        <is>
          <t>SDM Tigres</t>
        </is>
      </c>
      <c r="AS119" s="24" t="inlineStr">
        <is>
          <t>Kits Esports</t>
        </is>
      </c>
      <c r="AT119" s="24" t="inlineStr">
        <is>
          <t>Kits Esports</t>
        </is>
      </c>
      <c r="AU119" s="24" t="inlineStr">
        <is>
          <t>Kits Esports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42520e1cbdeac477d4933d02c42aaf237b6f0d38e18175043ec37cabaabcb7e4</t>
        </is>
      </c>
      <c r="BB119" s="24" t="inlineStr">
        <is>
          <t>neutral_elo</t>
        </is>
      </c>
      <c r="BC119" s="24" t="inlineStr">
        <is>
          <t>lol-tiered-elo-v6</t>
        </is>
      </c>
      <c r="BD119" s="24" t="inlineStr">
        <is>
          <t>42520e1cbdeac477d4933d02c42aaf237b6f0d38e18175043ec37cabaabcb7e4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lol-tiered-elo-v6</t>
        </is>
      </c>
      <c r="BH119" s="24" t="inlineStr">
        <is>
          <t>2026-08-11T19:58:26.927703Z</t>
        </is>
      </c>
      <c r="BI119" s="24" t="inlineStr">
        <is>
          <t>["same_event","same_team_same_day","same_league_same_day"]</t>
        </is>
      </c>
      <c r="BJ119" s="25" t="n"/>
      <c r="BK119" s="26" t="n">
        <v>-104</v>
      </c>
      <c r="BL119" s="27" t="n">
        <v>1.961538</v>
      </c>
      <c r="BM119" s="28" t="n">
        <v>0.509804</v>
      </c>
      <c r="BN119" s="28" t="n"/>
      <c r="BO119" s="28" t="n"/>
      <c r="BP119" s="25" t="n"/>
      <c r="BQ119" s="27" t="n">
        <v>1.961538</v>
      </c>
      <c r="BR119" s="28" t="n">
        <v>0.51</v>
      </c>
      <c r="BS119" s="28" t="n"/>
      <c r="BT119" s="28" t="n"/>
      <c r="BU119" s="25" t="n"/>
      <c r="BV119" s="29" t="n"/>
      <c r="BW119" s="24" t="n"/>
      <c r="BX119" s="30" t="n">
        <v>1</v>
      </c>
      <c r="BY119" s="27" t="n">
        <v>0.91</v>
      </c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</row>
    <row r="120" ht="36" customHeight="1">
      <c r="A120" s="24" t="inlineStr">
        <is>
          <t>a8c207638a884964</t>
        </is>
      </c>
      <c r="B120" s="24" t="inlineStr">
        <is>
          <t>2026-08-12T02:10:17.108644Z</t>
        </is>
      </c>
      <c r="C120" s="24" t="inlineStr">
        <is>
          <t>2026-08-12T05:00:00Z</t>
        </is>
      </c>
      <c r="D120" s="24" t="inlineStr">
        <is>
          <t>76162</t>
        </is>
      </c>
      <c r="E120" s="24" t="inlineStr">
        <is>
          <t>LOL</t>
        </is>
      </c>
      <c r="F120" s="24" t="inlineStr">
        <is>
          <t>Hanwha Life Esports Challengers</t>
        </is>
      </c>
      <c r="G120" s="24" t="inlineStr">
        <is>
          <t>HANJIN BRION Challengers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-144</v>
      </c>
      <c r="M120" s="27" t="n">
        <v>1.694444</v>
      </c>
      <c r="N120" s="28" t="n">
        <v>0.590164</v>
      </c>
      <c r="O120" s="28" t="n">
        <v>0.516164</v>
      </c>
      <c r="P120" s="28" t="n"/>
      <c r="Q120" s="28" t="n">
        <v>-0.074</v>
      </c>
      <c r="R120" s="26" t="n">
        <v>0</v>
      </c>
      <c r="S120" s="29" t="n">
        <v>1</v>
      </c>
      <c r="T120" s="24" t="inlineStr">
        <is>
          <t>lol-tiered-elo-v6</t>
        </is>
      </c>
      <c r="U120" s="24" t="inlineStr">
        <is>
          <t>settled</t>
        </is>
      </c>
      <c r="V120" s="24" t="inlineStr">
        <is>
          <t>win</t>
        </is>
      </c>
      <c r="W120" s="26" t="n">
        <v>1</v>
      </c>
      <c r="X120" s="26" t="n">
        <v>0</v>
      </c>
      <c r="Y120" s="25" t="n"/>
      <c r="Z120" s="26" t="n"/>
      <c r="AA120" s="28" t="n"/>
      <c r="AB120" s="28" t="n"/>
      <c r="AC120" s="30" t="n">
        <v>0.6944</v>
      </c>
      <c r="AD120" s="24" t="inlineStr">
        <is>
          <t>2026-08-12T08:18:59.232322Z</t>
        </is>
      </c>
      <c r="AE120" s="31" t="inlineStr">
        <is>
          <t>Neutral Elo baseline; executable ask 0.5900 (market_slug=aec-lol-hbc-hlec-2026-08-12).</t>
        </is>
      </c>
      <c r="AF120" s="31" t="inlineStr">
        <is>
          <t>Config-promoted esports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NO_CALL_LOW_EDGE</t>
        </is>
      </c>
      <c r="AP120" s="24" t="inlineStr">
        <is>
          <t>Hanwha Life Esports Challengers</t>
        </is>
      </c>
      <c r="AQ120" s="24" t="inlineStr">
        <is>
          <t>Hanwha Life Esports Challengers</t>
        </is>
      </c>
      <c r="AR120" s="24" t="inlineStr">
        <is>
          <t>Hanwha Life Esports Challengers</t>
        </is>
      </c>
      <c r="AS120" s="24" t="inlineStr">
        <is>
          <t>HANJIN BRION Challengers</t>
        </is>
      </c>
      <c r="AT120" s="24" t="inlineStr">
        <is>
          <t>HANJIN BRION Challengers</t>
        </is>
      </c>
      <c r="AU120" s="24" t="inlineStr">
        <is>
          <t>HANJIN BRION Challengers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0a1a9937c8ea35a479639d97ca2bcfaf8b896b5a7cbafe007cf994dc4325c086</t>
        </is>
      </c>
      <c r="BB120" s="24" t="inlineStr">
        <is>
          <t>neutral_elo</t>
        </is>
      </c>
      <c r="BC120" s="24" t="inlineStr">
        <is>
          <t>lol-tiered-elo-v6</t>
        </is>
      </c>
      <c r="BD120" s="24" t="inlineStr">
        <is>
          <t>0a1a9937c8ea35a479639d97ca2bcfaf8b896b5a7cbafe007cf994dc4325c086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lol-tiered-elo-v6</t>
        </is>
      </c>
      <c r="BH120" s="24" t="inlineStr">
        <is>
          <t>2026-08-12T02:10:02.364800Z</t>
        </is>
      </c>
      <c r="BI120" s="24" t="inlineStr">
        <is>
          <t>["same_event","same_team_same_day","same_league_same_day"]</t>
        </is>
      </c>
      <c r="BJ120" s="25" t="n"/>
      <c r="BK120" s="26" t="n">
        <v>-144</v>
      </c>
      <c r="BL120" s="27" t="n">
        <v>1.694444</v>
      </c>
      <c r="BM120" s="28" t="n">
        <v>0.590164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</row>
    <row r="121" ht="36" customHeight="1">
      <c r="A121" s="24" t="inlineStr">
        <is>
          <t>67bc282d96e64d99</t>
        </is>
      </c>
      <c r="B121" s="24" t="inlineStr">
        <is>
          <t>2026-08-12T05:16:40.582345Z</t>
        </is>
      </c>
      <c r="C121" s="24" t="inlineStr">
        <is>
          <t>2026-08-12T08:00:00Z</t>
        </is>
      </c>
      <c r="D121" s="24" t="inlineStr">
        <is>
          <t>76176</t>
        </is>
      </c>
      <c r="E121" s="24" t="inlineStr">
        <is>
          <t>LOL</t>
        </is>
      </c>
      <c r="F121" s="24" t="inlineStr">
        <is>
          <t>Nongshim Red Force</t>
        </is>
      </c>
      <c r="G121" s="24" t="inlineStr">
        <is>
          <t>DN SOOPers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150</v>
      </c>
      <c r="M121" s="27" t="n">
        <v>2.5</v>
      </c>
      <c r="N121" s="28" t="n">
        <v>0.4</v>
      </c>
      <c r="O121" s="28" t="n">
        <v>0.538872</v>
      </c>
      <c r="P121" s="28" t="n"/>
      <c r="Q121" s="28" t="n">
        <v>0.138872</v>
      </c>
      <c r="R121" s="26" t="n">
        <v>89</v>
      </c>
      <c r="S121" s="29" t="n">
        <v>1</v>
      </c>
      <c r="T121" s="24" t="inlineStr">
        <is>
          <t>lol-tiered-elo-v6</t>
        </is>
      </c>
      <c r="U121" s="24" t="inlineStr">
        <is>
          <t>settled</t>
        </is>
      </c>
      <c r="V121" s="24" t="inlineStr">
        <is>
          <t>win</t>
        </is>
      </c>
      <c r="W121" s="26" t="n">
        <v>0</v>
      </c>
      <c r="X121" s="26" t="n">
        <v>1</v>
      </c>
      <c r="Y121" s="25" t="n"/>
      <c r="Z121" s="26" t="n">
        <v>150</v>
      </c>
      <c r="AA121" s="28" t="n">
        <v>0.4</v>
      </c>
      <c r="AB121" s="28" t="n">
        <v>0</v>
      </c>
      <c r="AC121" s="30" t="n">
        <v>1.5</v>
      </c>
      <c r="AD121" s="24" t="inlineStr">
        <is>
          <t>2026-08-12T11:25:36.023326Z</t>
        </is>
      </c>
      <c r="AE121" s="31" t="inlineStr">
        <is>
          <t>Neutral Elo baseline; executable ask 0.4000 (market_slug=aec-lol-dns-ns-2026-08-12).</t>
        </is>
      </c>
      <c r="AF121" s="31" t="inlineStr">
        <is>
          <t>Config-promoted esports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Nongshim Red Force</t>
        </is>
      </c>
      <c r="AQ121" s="24" t="inlineStr">
        <is>
          <t>Nongshim Red Force</t>
        </is>
      </c>
      <c r="AR121" s="24" t="inlineStr">
        <is>
          <t>Nongshim Red Force</t>
        </is>
      </c>
      <c r="AS121" s="24" t="inlineStr">
        <is>
          <t>DN SOOPers</t>
        </is>
      </c>
      <c r="AT121" s="24" t="inlineStr">
        <is>
          <t>DN SOOPers</t>
        </is>
      </c>
      <c r="AU121" s="24" t="inlineStr">
        <is>
          <t>DN SOOPers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5fa3e5dd2ed25c20af7f0b7693e2291536f17559c47f3686346f2079d8e5866e</t>
        </is>
      </c>
      <c r="BB121" s="24" t="inlineStr">
        <is>
          <t>neutral_elo</t>
        </is>
      </c>
      <c r="BC121" s="24" t="inlineStr">
        <is>
          <t>lol-tiered-elo-v6</t>
        </is>
      </c>
      <c r="BD121" s="24" t="inlineStr">
        <is>
          <t>5fa3e5dd2ed25c20af7f0b7693e2291536f17559c47f3686346f2079d8e5866e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lol-tiered-elo-v6</t>
        </is>
      </c>
      <c r="BH121" s="24" t="inlineStr">
        <is>
          <t>2026-08-12T05:16:07.484937Z</t>
        </is>
      </c>
      <c r="BI121" s="24" t="inlineStr">
        <is>
          <t>["same_event","same_team_same_day","same_league_same_day"]</t>
        </is>
      </c>
      <c r="BJ121" s="25" t="n"/>
      <c r="BK121" s="26" t="n">
        <v>150</v>
      </c>
      <c r="BL121" s="27" t="n">
        <v>2.5</v>
      </c>
      <c r="BM121" s="28" t="n">
        <v>0.4</v>
      </c>
      <c r="BN121" s="28" t="n"/>
      <c r="BO121" s="28" t="n"/>
      <c r="BP121" s="25" t="n"/>
      <c r="BQ121" s="27" t="n">
        <v>2.5</v>
      </c>
      <c r="BR121" s="28" t="n">
        <v>0.4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</row>
    <row r="122" ht="36" customHeight="1">
      <c r="A122" s="24" t="inlineStr">
        <is>
          <t>de724dfddb7e41cc</t>
        </is>
      </c>
      <c r="B122" s="24" t="inlineStr">
        <is>
          <t>2026-08-12T08:22:55.302458Z</t>
        </is>
      </c>
      <c r="C122" s="24" t="inlineStr">
        <is>
          <t>2026-08-12T10:00:00Z</t>
        </is>
      </c>
      <c r="D122" s="24" t="inlineStr">
        <is>
          <t>76202</t>
        </is>
      </c>
      <c r="E122" s="24" t="inlineStr">
        <is>
          <t>LOL</t>
        </is>
      </c>
      <c r="F122" s="24" t="inlineStr">
        <is>
          <t>Dplus KIA</t>
        </is>
      </c>
      <c r="G122" s="24" t="inlineStr">
        <is>
          <t>KT Rolster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-178</v>
      </c>
      <c r="M122" s="27" t="n">
        <v>1.561798</v>
      </c>
      <c r="N122" s="28" t="n">
        <v>0.640288</v>
      </c>
      <c r="O122" s="28" t="n">
        <v>0.61241</v>
      </c>
      <c r="P122" s="28" t="n"/>
      <c r="Q122" s="28" t="n">
        <v>-0.027878</v>
      </c>
      <c r="R122" s="26" t="n">
        <v>6</v>
      </c>
      <c r="S122" s="29" t="n">
        <v>1.5</v>
      </c>
      <c r="T122" s="24" t="inlineStr">
        <is>
          <t>lol-tiered-elo-v6</t>
        </is>
      </c>
      <c r="U122" s="24" t="inlineStr">
        <is>
          <t>settled</t>
        </is>
      </c>
      <c r="V122" s="24" t="inlineStr">
        <is>
          <t>win</t>
        </is>
      </c>
      <c r="W122" s="26" t="n">
        <v>1</v>
      </c>
      <c r="X122" s="26" t="n">
        <v>0</v>
      </c>
      <c r="Y122" s="25" t="n"/>
      <c r="Z122" s="26" t="n">
        <v>-178</v>
      </c>
      <c r="AA122" s="28" t="n">
        <v>0.64</v>
      </c>
      <c r="AB122" s="28" t="n">
        <v>-0.000288</v>
      </c>
      <c r="AC122" s="30" t="n">
        <v>0.8427</v>
      </c>
      <c r="AD122" s="24" t="inlineStr">
        <is>
          <t>2026-08-12T14:33:10.108070Z</t>
        </is>
      </c>
      <c r="AE122" s="31" t="inlineStr">
        <is>
          <t>Neutral Elo baseline; executable ask 0.6400 (market_slug=aec-lol-kt-dk-2026-08-12).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NO_CALL_LOW_EDGE</t>
        </is>
      </c>
      <c r="AP122" s="24" t="inlineStr">
        <is>
          <t>Dplus KIA</t>
        </is>
      </c>
      <c r="AQ122" s="24" t="inlineStr">
        <is>
          <t>Dplus KIA</t>
        </is>
      </c>
      <c r="AR122" s="24" t="inlineStr">
        <is>
          <t>Dplus KIA</t>
        </is>
      </c>
      <c r="AS122" s="24" t="inlineStr">
        <is>
          <t>KT Rolster</t>
        </is>
      </c>
      <c r="AT122" s="24" t="inlineStr">
        <is>
          <t>KT Rolster</t>
        </is>
      </c>
      <c r="AU122" s="24" t="inlineStr">
        <is>
          <t>KT Rolster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0fdc4ef6e480db7cffb6651a7b02dca90ed7f8f9ea71a40df3acbef431bd8491</t>
        </is>
      </c>
      <c r="BB122" s="24" t="inlineStr">
        <is>
          <t>neutral_elo</t>
        </is>
      </c>
      <c r="BC122" s="24" t="inlineStr">
        <is>
          <t>lol-tiered-elo-v6</t>
        </is>
      </c>
      <c r="BD122" s="24" t="inlineStr">
        <is>
          <t>0fdc4ef6e480db7cffb6651a7b02dca90ed7f8f9ea71a40df3acbef431bd8491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lol-tiered-elo-v6</t>
        </is>
      </c>
      <c r="BH122" s="24" t="inlineStr">
        <is>
          <t>2026-08-12T08:22:24.424668Z</t>
        </is>
      </c>
      <c r="BI122" s="24" t="inlineStr">
        <is>
          <t>["same_event","same_team_same_day","same_league_same_day"]</t>
        </is>
      </c>
      <c r="BJ122" s="25" t="n"/>
      <c r="BK122" s="26" t="n">
        <v>-178</v>
      </c>
      <c r="BL122" s="27" t="n">
        <v>1.561798</v>
      </c>
      <c r="BM122" s="28" t="n">
        <v>0.640288</v>
      </c>
      <c r="BN122" s="28" t="n"/>
      <c r="BO122" s="28" t="n"/>
      <c r="BP122" s="25" t="n"/>
      <c r="BQ122" s="27" t="n">
        <v>1.561798</v>
      </c>
      <c r="BR122" s="28" t="n">
        <v>0.64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</row>
    <row r="123" ht="36" customHeight="1">
      <c r="A123" s="24" t="inlineStr">
        <is>
          <t>158692428e214e90</t>
        </is>
      </c>
      <c r="B123" s="24" t="inlineStr">
        <is>
          <t>2026-08-12T11:30:32.213742Z</t>
        </is>
      </c>
      <c r="C123" s="24" t="inlineStr">
        <is>
          <t>2026-08-12T14:00:00Z</t>
        </is>
      </c>
      <c r="D123" s="24" t="inlineStr">
        <is>
          <t>78193</t>
        </is>
      </c>
      <c r="E123" s="24" t="inlineStr">
        <is>
          <t>LOL</t>
        </is>
      </c>
      <c r="F123" s="24" t="inlineStr">
        <is>
          <t>eSuba</t>
        </is>
      </c>
      <c r="G123" s="24" t="inlineStr">
        <is>
          <t>Onion Team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-150</v>
      </c>
      <c r="M123" s="27" t="n">
        <v>1.666667</v>
      </c>
      <c r="N123" s="28" t="n">
        <v>0.6</v>
      </c>
      <c r="O123" s="28" t="n">
        <v>0.689456</v>
      </c>
      <c r="P123" s="28" t="n"/>
      <c r="Q123" s="28" t="n">
        <v>0.08945599999999999</v>
      </c>
      <c r="R123" s="26" t="n">
        <v>65</v>
      </c>
      <c r="S123" s="29" t="n">
        <v>2</v>
      </c>
      <c r="T123" s="24" t="inlineStr">
        <is>
          <t>lol-tiered-elo-v6</t>
        </is>
      </c>
      <c r="U123" s="24" t="inlineStr">
        <is>
          <t>settled</t>
        </is>
      </c>
      <c r="V123" s="24" t="inlineStr">
        <is>
          <t>win</t>
        </is>
      </c>
      <c r="W123" s="26" t="n">
        <v>1</v>
      </c>
      <c r="X123" s="26" t="n">
        <v>0</v>
      </c>
      <c r="Y123" s="25" t="n"/>
      <c r="Z123" s="26" t="n">
        <v>-150</v>
      </c>
      <c r="AA123" s="28" t="n">
        <v>0.6</v>
      </c>
      <c r="AB123" s="28" t="n">
        <v>0</v>
      </c>
      <c r="AC123" s="30" t="n">
        <v>1.3333</v>
      </c>
      <c r="AD123" s="24" t="inlineStr">
        <is>
          <t>2026-08-12T16:40:46.263894Z</t>
        </is>
      </c>
      <c r="AE123" s="31" t="inlineStr">
        <is>
          <t>Neutral Elo baseline; executable ask 0.6000 (market_slug=aec-lol-ot-esb-2026-08-12).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eSuba</t>
        </is>
      </c>
      <c r="AQ123" s="24" t="inlineStr">
        <is>
          <t>eSuba</t>
        </is>
      </c>
      <c r="AR123" s="24" t="inlineStr">
        <is>
          <t>eSuba</t>
        </is>
      </c>
      <c r="AS123" s="24" t="inlineStr">
        <is>
          <t>Onion Team</t>
        </is>
      </c>
      <c r="AT123" s="24" t="inlineStr">
        <is>
          <t>Onion Team</t>
        </is>
      </c>
      <c r="AU123" s="24" t="inlineStr">
        <is>
          <t>Onion Team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4004f0e3360462f746285bc9ac60db48513fe8f4f57bf664e3db630f4bf8de66</t>
        </is>
      </c>
      <c r="BB123" s="24" t="inlineStr">
        <is>
          <t>neutral_elo</t>
        </is>
      </c>
      <c r="BC123" s="24" t="inlineStr">
        <is>
          <t>lol-tiered-elo-v6</t>
        </is>
      </c>
      <c r="BD123" s="24" t="inlineStr">
        <is>
          <t>4004f0e3360462f746285bc9ac60db48513fe8f4f57bf664e3db630f4bf8de66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lol-tiered-elo-v6</t>
        </is>
      </c>
      <c r="BH123" s="24" t="inlineStr">
        <is>
          <t>2026-08-12T11:30:03.514727Z</t>
        </is>
      </c>
      <c r="BI123" s="24" t="inlineStr">
        <is>
          <t>["same_event","same_team_same_day","same_league_same_day"]</t>
        </is>
      </c>
      <c r="BJ123" s="25" t="n"/>
      <c r="BK123" s="26" t="n">
        <v>-150</v>
      </c>
      <c r="BL123" s="27" t="n">
        <v>1.666667</v>
      </c>
      <c r="BM123" s="28" t="n">
        <v>0.6</v>
      </c>
      <c r="BN123" s="28" t="n"/>
      <c r="BO123" s="28" t="n"/>
      <c r="BP123" s="25" t="n"/>
      <c r="BQ123" s="27" t="n">
        <v>1.666667</v>
      </c>
      <c r="BR123" s="28" t="n">
        <v>0.6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785f06bf1929474a</t>
        </is>
      </c>
      <c r="B124" s="24" t="inlineStr">
        <is>
          <t>2026-08-12T14:37:37.206527Z</t>
        </is>
      </c>
      <c r="C124" s="24" t="inlineStr">
        <is>
          <t>2026-08-12T16:00:00Z</t>
        </is>
      </c>
      <c r="D124" s="24" t="inlineStr">
        <is>
          <t>77168</t>
        </is>
      </c>
      <c r="E124" s="24" t="inlineStr">
        <is>
          <t>LOL</t>
        </is>
      </c>
      <c r="F124" s="24" t="inlineStr">
        <is>
          <t>TLN Pirates</t>
        </is>
      </c>
      <c r="G124" s="24" t="inlineStr">
        <is>
          <t>Ici Japon Corp. Esport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-138</v>
      </c>
      <c r="M124" s="27" t="n">
        <v>1.724638</v>
      </c>
      <c r="N124" s="28" t="n">
        <v>0.579832</v>
      </c>
      <c r="O124" s="28" t="n">
        <v>0.5449889999999999</v>
      </c>
      <c r="P124" s="28" t="n"/>
      <c r="Q124" s="28" t="n">
        <v>-0.034843</v>
      </c>
      <c r="R124" s="26" t="n">
        <v>3</v>
      </c>
      <c r="S124" s="29" t="n">
        <v>1</v>
      </c>
      <c r="T124" s="24" t="inlineStr">
        <is>
          <t>lol-tiered-elo-v6</t>
        </is>
      </c>
      <c r="U124" s="24" t="inlineStr">
        <is>
          <t>open</t>
        </is>
      </c>
      <c r="V124" s="24" t="n"/>
      <c r="W124" s="26" t="n"/>
      <c r="X124" s="26" t="n"/>
      <c r="Y124" s="25" t="n"/>
      <c r="Z124" s="26" t="n"/>
      <c r="AA124" s="28" t="n"/>
      <c r="AB124" s="28" t="n"/>
      <c r="AC124" s="30" t="n"/>
      <c r="AD124" s="24" t="n"/>
      <c r="AE124" s="31" t="inlineStr">
        <is>
          <t>Neutral Elo baseline; executable ask 0.5800 (market_slug=aec-lol-ijc-tlnp-2026-08-12).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NO_CALL_LOW_EDGE</t>
        </is>
      </c>
      <c r="AP124" s="24" t="inlineStr">
        <is>
          <t>TLN Pirates</t>
        </is>
      </c>
      <c r="AQ124" s="24" t="inlineStr">
        <is>
          <t>TLN Pirates</t>
        </is>
      </c>
      <c r="AR124" s="24" t="inlineStr">
        <is>
          <t>TLN Pirates</t>
        </is>
      </c>
      <c r="AS124" s="24" t="inlineStr">
        <is>
          <t>Ici Japon Corp. Esport</t>
        </is>
      </c>
      <c r="AT124" s="24" t="inlineStr">
        <is>
          <t>Ici Japon Corp. Esport</t>
        </is>
      </c>
      <c r="AU124" s="24" t="inlineStr">
        <is>
          <t>Ici Japon Corp. Esport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5d984128685f3b64d7a3d96ad1f15678400010a71505611bcd09049cf2b58fdd</t>
        </is>
      </c>
      <c r="BB124" s="24" t="inlineStr">
        <is>
          <t>neutral_elo</t>
        </is>
      </c>
      <c r="BC124" s="24" t="inlineStr">
        <is>
          <t>lol-tiered-elo-v6</t>
        </is>
      </c>
      <c r="BD124" s="24" t="inlineStr">
        <is>
          <t>5d984128685f3b64d7a3d96ad1f15678400010a71505611bcd09049cf2b58fdd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lol-tiered-elo-v6</t>
        </is>
      </c>
      <c r="BH124" s="24" t="inlineStr">
        <is>
          <t>2026-08-12T14:37:12.027945Z</t>
        </is>
      </c>
      <c r="BI124" s="24" t="inlineStr">
        <is>
          <t>["same_event","same_team_same_day","same_league_same_day"]</t>
        </is>
      </c>
      <c r="BJ124" s="25" t="n"/>
      <c r="BK124" s="26" t="n">
        <v>-138</v>
      </c>
      <c r="BL124" s="27" t="n">
        <v>1.724638</v>
      </c>
      <c r="BM124" s="28" t="n">
        <v>0.579832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</row>
    <row r="125" ht="36" customHeight="1">
      <c r="A125" s="24" t="inlineStr">
        <is>
          <t>533f03244b664e0f</t>
        </is>
      </c>
      <c r="B125" s="24" t="inlineStr">
        <is>
          <t>2026-08-12T14:37:37.206527Z</t>
        </is>
      </c>
      <c r="C125" s="24" t="inlineStr">
        <is>
          <t>2026-08-12T16:00:00Z</t>
        </is>
      </c>
      <c r="D125" s="24" t="inlineStr">
        <is>
          <t>76408</t>
        </is>
      </c>
      <c r="E125" s="24" t="inlineStr">
        <is>
          <t>LOL</t>
        </is>
      </c>
      <c r="F125" s="24" t="inlineStr">
        <is>
          <t>JSK Esports</t>
        </is>
      </c>
      <c r="G125" s="24" t="inlineStr">
        <is>
          <t>Disruptors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194</v>
      </c>
      <c r="M125" s="27" t="n">
        <v>2.94</v>
      </c>
      <c r="N125" s="28" t="n">
        <v>0.340136</v>
      </c>
      <c r="O125" s="28" t="n">
        <v>0.540932</v>
      </c>
      <c r="P125" s="28" t="n"/>
      <c r="Q125" s="28" t="n">
        <v>0.200796</v>
      </c>
      <c r="R125" s="26" t="n">
        <v>100</v>
      </c>
      <c r="S125" s="29" t="n">
        <v>1</v>
      </c>
      <c r="T125" s="24" t="inlineStr">
        <is>
          <t>lol-tiered-elo-v6</t>
        </is>
      </c>
      <c r="U125" s="24" t="inlineStr">
        <is>
          <t>open</t>
        </is>
      </c>
      <c r="V125" s="24" t="n"/>
      <c r="W125" s="26" t="n"/>
      <c r="X125" s="26" t="n"/>
      <c r="Y125" s="25" t="n"/>
      <c r="Z125" s="26" t="n"/>
      <c r="AA125" s="28" t="n"/>
      <c r="AB125" s="28" t="n"/>
      <c r="AC125" s="30" t="n"/>
      <c r="AD125" s="24" t="n"/>
      <c r="AE125" s="31" t="inlineStr">
        <is>
          <t>Neutral Elo baseline; executable ask 0.3400 (market_slug=aec-lol-ds-jsk-2026-08-12).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JSK Esports</t>
        </is>
      </c>
      <c r="AQ125" s="24" t="inlineStr">
        <is>
          <t>JSK Esports</t>
        </is>
      </c>
      <c r="AR125" s="24" t="inlineStr">
        <is>
          <t>JSK Esports</t>
        </is>
      </c>
      <c r="AS125" s="24" t="inlineStr">
        <is>
          <t>Disruptors</t>
        </is>
      </c>
      <c r="AT125" s="24" t="inlineStr">
        <is>
          <t>Disruptors</t>
        </is>
      </c>
      <c r="AU125" s="24" t="inlineStr">
        <is>
          <t>Disruptors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5d984128685f3b64d7a3d96ad1f15678400010a71505611bcd09049cf2b58fdd</t>
        </is>
      </c>
      <c r="BB125" s="24" t="inlineStr">
        <is>
          <t>neutral_elo</t>
        </is>
      </c>
      <c r="BC125" s="24" t="inlineStr">
        <is>
          <t>lol-tiered-elo-v6</t>
        </is>
      </c>
      <c r="BD125" s="24" t="inlineStr">
        <is>
          <t>5d984128685f3b64d7a3d96ad1f15678400010a71505611bcd09049cf2b58fdd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lol-tiered-elo-v6</t>
        </is>
      </c>
      <c r="BH125" s="24" t="inlineStr">
        <is>
          <t>2026-08-12T14:37:12.998440Z</t>
        </is>
      </c>
      <c r="BI125" s="24" t="inlineStr">
        <is>
          <t>["same_event","same_team_same_day","same_league_same_day"]</t>
        </is>
      </c>
      <c r="BJ125" s="25" t="n"/>
      <c r="BK125" s="26" t="n">
        <v>194</v>
      </c>
      <c r="BL125" s="27" t="n">
        <v>2.94</v>
      </c>
      <c r="BM125" s="28" t="n">
        <v>0.340136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</row>
    <row r="126" ht="36" customHeight="1">
      <c r="A126" s="24" t="inlineStr">
        <is>
          <t>a4fad993689a40e8</t>
        </is>
      </c>
      <c r="B126" s="24" t="inlineStr">
        <is>
          <t>2026-08-12T14:37:37.206527Z</t>
        </is>
      </c>
      <c r="C126" s="24" t="inlineStr">
        <is>
          <t>2026-08-12T16:00:00Z</t>
        </is>
      </c>
      <c r="D126" s="24" t="inlineStr">
        <is>
          <t>76409</t>
        </is>
      </c>
      <c r="E126" s="24" t="inlineStr">
        <is>
          <t>LOL</t>
        </is>
      </c>
      <c r="F126" s="24" t="inlineStr">
        <is>
          <t>Rich Gang</t>
        </is>
      </c>
      <c r="G126" s="24" t="inlineStr">
        <is>
          <t>Volda E-Sport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-194</v>
      </c>
      <c r="M126" s="27" t="n">
        <v>1.515464</v>
      </c>
      <c r="N126" s="28" t="n">
        <v>0.659864</v>
      </c>
      <c r="O126" s="28" t="n">
        <v>0.502349</v>
      </c>
      <c r="P126" s="28" t="n"/>
      <c r="Q126" s="28" t="n">
        <v>-0.157515</v>
      </c>
      <c r="R126" s="26" t="n">
        <v>0</v>
      </c>
      <c r="S126" s="29" t="n">
        <v>1</v>
      </c>
      <c r="T126" s="24" t="inlineStr">
        <is>
          <t>lol-tiered-elo-v6</t>
        </is>
      </c>
      <c r="U126" s="24" t="inlineStr">
        <is>
          <t>settled</t>
        </is>
      </c>
      <c r="V126" s="24" t="inlineStr">
        <is>
          <t>win</t>
        </is>
      </c>
      <c r="W126" s="26" t="n">
        <v>0</v>
      </c>
      <c r="X126" s="26" t="n">
        <v>1</v>
      </c>
      <c r="Y126" s="25" t="n"/>
      <c r="Z126" s="26" t="n">
        <v>-194</v>
      </c>
      <c r="AA126" s="28" t="n">
        <v>0.66</v>
      </c>
      <c r="AB126" s="28" t="n">
        <v>0.000136</v>
      </c>
      <c r="AC126" s="30" t="n">
        <v>0.5155</v>
      </c>
      <c r="AD126" s="24" t="inlineStr">
        <is>
          <t>2026-08-12T17:40:27.660360Z</t>
        </is>
      </c>
      <c r="AE126" s="31" t="inlineStr">
        <is>
          <t>Neutral Elo baseline; executable ask 0.6600 (market_slug=aec-lol-ves-rgi-2026-08-12).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NO_CALL_LOW_EDGE</t>
        </is>
      </c>
      <c r="AP126" s="24" t="inlineStr">
        <is>
          <t>Rich Gang</t>
        </is>
      </c>
      <c r="AQ126" s="24" t="inlineStr">
        <is>
          <t>Rich Gang</t>
        </is>
      </c>
      <c r="AR126" s="24" t="inlineStr">
        <is>
          <t>Rich Gang</t>
        </is>
      </c>
      <c r="AS126" s="24" t="inlineStr">
        <is>
          <t>Volda E-Sport</t>
        </is>
      </c>
      <c r="AT126" s="24" t="inlineStr">
        <is>
          <t>Volda E-Sport</t>
        </is>
      </c>
      <c r="AU126" s="24" t="inlineStr">
        <is>
          <t>Volda E-Sport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5d984128685f3b64d7a3d96ad1f15678400010a71505611bcd09049cf2b58fdd</t>
        </is>
      </c>
      <c r="BB126" s="24" t="inlineStr">
        <is>
          <t>neutral_elo</t>
        </is>
      </c>
      <c r="BC126" s="24" t="inlineStr">
        <is>
          <t>lol-tiered-elo-v6</t>
        </is>
      </c>
      <c r="BD126" s="24" t="inlineStr">
        <is>
          <t>5d984128685f3b64d7a3d96ad1f15678400010a71505611bcd09049cf2b58fdd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lol-tiered-elo-v6</t>
        </is>
      </c>
      <c r="BH126" s="24" t="inlineStr">
        <is>
          <t>2026-08-12T14:37:13.498163Z</t>
        </is>
      </c>
      <c r="BI126" s="24" t="inlineStr">
        <is>
          <t>["same_event","same_team_same_day","same_league_same_day"]</t>
        </is>
      </c>
      <c r="BJ126" s="25" t="n"/>
      <c r="BK126" s="26" t="n">
        <v>-194</v>
      </c>
      <c r="BL126" s="27" t="n">
        <v>1.515464</v>
      </c>
      <c r="BM126" s="28" t="n">
        <v>0.659864</v>
      </c>
      <c r="BN126" s="28" t="n"/>
      <c r="BO126" s="28" t="n"/>
      <c r="BP126" s="25" t="n"/>
      <c r="BQ126" s="27" t="n">
        <v>1.515464</v>
      </c>
      <c r="BR126" s="28" t="n">
        <v>0.66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</row>
    <row r="127" ht="36" customHeight="1">
      <c r="A127" s="24" t="inlineStr">
        <is>
          <t>d06dd804b8744a79</t>
        </is>
      </c>
      <c r="B127" s="24" t="inlineStr">
        <is>
          <t>2026-08-12T17:44:54.191555Z</t>
        </is>
      </c>
      <c r="C127" s="24" t="inlineStr">
        <is>
          <t>2026-08-12T18:00:00Z</t>
        </is>
      </c>
      <c r="D127" s="24" t="inlineStr">
        <is>
          <t>76532</t>
        </is>
      </c>
      <c r="E127" s="24" t="inlineStr">
        <is>
          <t>LOL</t>
        </is>
      </c>
      <c r="F127" s="24" t="inlineStr">
        <is>
          <t>Capybara Esports</t>
        </is>
      </c>
      <c r="G127" s="24" t="inlineStr">
        <is>
          <t>Dream Esports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-133</v>
      </c>
      <c r="M127" s="27" t="n">
        <v>1.75188</v>
      </c>
      <c r="N127" s="28" t="n">
        <v>0.570815</v>
      </c>
      <c r="O127" s="28" t="n">
        <v>0.517262</v>
      </c>
      <c r="P127" s="28" t="n"/>
      <c r="Q127" s="28" t="n">
        <v>-0.053553</v>
      </c>
      <c r="R127" s="26" t="n">
        <v>0</v>
      </c>
      <c r="S127" s="29" t="n">
        <v>1</v>
      </c>
      <c r="T127" s="24" t="inlineStr">
        <is>
          <t>lol-tiered-elo-v6</t>
        </is>
      </c>
      <c r="U127" s="24" t="inlineStr">
        <is>
          <t>open</t>
        </is>
      </c>
      <c r="V127" s="24" t="n"/>
      <c r="W127" s="26" t="n"/>
      <c r="X127" s="26" t="n"/>
      <c r="Y127" s="25" t="n"/>
      <c r="Z127" s="26" t="n"/>
      <c r="AA127" s="28" t="n"/>
      <c r="AB127" s="28" t="n"/>
      <c r="AC127" s="30" t="n"/>
      <c r="AD127" s="24" t="n"/>
      <c r="AE127" s="31" t="inlineStr">
        <is>
          <t>Neutral Elo baseline; executable ask 0.5700 (market_slug=aec-lol-drm-capy-2026-08-12).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NO_CALL_LOW_EDGE</t>
        </is>
      </c>
      <c r="AP127" s="24" t="inlineStr">
        <is>
          <t>Capybara Esports</t>
        </is>
      </c>
      <c r="AQ127" s="24" t="inlineStr">
        <is>
          <t>Capybara Esports</t>
        </is>
      </c>
      <c r="AR127" s="24" t="inlineStr">
        <is>
          <t>Capybara Esports</t>
        </is>
      </c>
      <c r="AS127" s="24" t="inlineStr">
        <is>
          <t>Dream Esports</t>
        </is>
      </c>
      <c r="AT127" s="24" t="inlineStr">
        <is>
          <t>Dream Esports</t>
        </is>
      </c>
      <c r="AU127" s="24" t="inlineStr">
        <is>
          <t>Dream Esports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698fbd14da7d032b3a980c8214767b8eb223167868cd2cea373258eb5e4ac7b4</t>
        </is>
      </c>
      <c r="BB127" s="24" t="inlineStr">
        <is>
          <t>neutral_elo</t>
        </is>
      </c>
      <c r="BC127" s="24" t="inlineStr">
        <is>
          <t>lol-tiered-elo-v6</t>
        </is>
      </c>
      <c r="BD127" s="24" t="inlineStr">
        <is>
          <t>698fbd14da7d032b3a980c8214767b8eb223167868cd2cea373258eb5e4ac7b4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lol-tiered-elo-v6</t>
        </is>
      </c>
      <c r="BH127" s="24" t="inlineStr">
        <is>
          <t>2026-08-12T17:44:27.667035Z</t>
        </is>
      </c>
      <c r="BI127" s="24" t="inlineStr">
        <is>
          <t>["same_event","same_team_same_day","same_league_same_day"]</t>
        </is>
      </c>
      <c r="BJ127" s="25" t="n"/>
      <c r="BK127" s="26" t="n">
        <v>-133</v>
      </c>
      <c r="BL127" s="27" t="n">
        <v>1.75188</v>
      </c>
      <c r="BM127" s="28" t="n">
        <v>0.570815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</row>
    <row r="128" ht="36" customHeight="1">
      <c r="A128" s="24" t="inlineStr">
        <is>
          <t>db790799101d4783</t>
        </is>
      </c>
      <c r="B128" s="24" t="inlineStr">
        <is>
          <t>2026-08-12T17:44:54.191555Z</t>
        </is>
      </c>
      <c r="C128" s="24" t="inlineStr">
        <is>
          <t>2026-08-12T18:00:00Z</t>
        </is>
      </c>
      <c r="D128" s="24" t="inlineStr">
        <is>
          <t>76534</t>
        </is>
      </c>
      <c r="E128" s="24" t="inlineStr">
        <is>
          <t>LOL</t>
        </is>
      </c>
      <c r="F128" s="24" t="inlineStr">
        <is>
          <t>Absolved</t>
        </is>
      </c>
      <c r="G128" s="24" t="inlineStr">
        <is>
          <t>DMG Esports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-213</v>
      </c>
      <c r="M128" s="27" t="n">
        <v>1.469484</v>
      </c>
      <c r="N128" s="28" t="n">
        <v>0.680511</v>
      </c>
      <c r="O128" s="28" t="n">
        <v>0.524795</v>
      </c>
      <c r="P128" s="28" t="n"/>
      <c r="Q128" s="28" t="n">
        <v>-0.155716</v>
      </c>
      <c r="R128" s="26" t="n">
        <v>0</v>
      </c>
      <c r="S128" s="29" t="n">
        <v>1</v>
      </c>
      <c r="T128" s="24" t="inlineStr">
        <is>
          <t>lol-tiered-elo-v6</t>
        </is>
      </c>
      <c r="U128" s="24" t="inlineStr">
        <is>
          <t>open</t>
        </is>
      </c>
      <c r="V128" s="24" t="n"/>
      <c r="W128" s="26" t="n"/>
      <c r="X128" s="26" t="n"/>
      <c r="Y128" s="25" t="n"/>
      <c r="Z128" s="26" t="n"/>
      <c r="AA128" s="28" t="n"/>
      <c r="AB128" s="28" t="n"/>
      <c r="AC128" s="30" t="n"/>
      <c r="AD128" s="24" t="n"/>
      <c r="AE128" s="31" t="inlineStr">
        <is>
          <t>Neutral Elo baseline; executable ask 0.6800 (market_slug=aec-lol-dmg-abs-2026-08-12).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NO_CALL_LOW_EDGE</t>
        </is>
      </c>
      <c r="AP128" s="24" t="inlineStr">
        <is>
          <t>Absolved</t>
        </is>
      </c>
      <c r="AQ128" s="24" t="inlineStr">
        <is>
          <t>Absolved</t>
        </is>
      </c>
      <c r="AR128" s="24" t="inlineStr">
        <is>
          <t>Absolved</t>
        </is>
      </c>
      <c r="AS128" s="24" t="inlineStr">
        <is>
          <t>DMG Esports</t>
        </is>
      </c>
      <c r="AT128" s="24" t="inlineStr">
        <is>
          <t>DMG Esports</t>
        </is>
      </c>
      <c r="AU128" s="24" t="inlineStr">
        <is>
          <t>DMG Esports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698fbd14da7d032b3a980c8214767b8eb223167868cd2cea373258eb5e4ac7b4</t>
        </is>
      </c>
      <c r="BB128" s="24" t="inlineStr">
        <is>
          <t>neutral_elo</t>
        </is>
      </c>
      <c r="BC128" s="24" t="inlineStr">
        <is>
          <t>lol-tiered-elo-v6</t>
        </is>
      </c>
      <c r="BD128" s="24" t="inlineStr">
        <is>
          <t>698fbd14da7d032b3a980c8214767b8eb223167868cd2cea373258eb5e4ac7b4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lol-tiered-elo-v6</t>
        </is>
      </c>
      <c r="BH128" s="24" t="inlineStr">
        <is>
          <t>2026-08-12T17:44:29.444227Z</t>
        </is>
      </c>
      <c r="BI128" s="24" t="inlineStr">
        <is>
          <t>["same_event","same_team_same_day","same_league_same_day"]</t>
        </is>
      </c>
      <c r="BJ128" s="25" t="n"/>
      <c r="BK128" s="26" t="n">
        <v>-213</v>
      </c>
      <c r="BL128" s="27" t="n">
        <v>1.469484</v>
      </c>
      <c r="BM128" s="28" t="n">
        <v>0.680511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</row>
    <row r="129" ht="36" customHeight="1">
      <c r="A129" s="24" t="inlineStr">
        <is>
          <t>f63097df7b874a62</t>
        </is>
      </c>
      <c r="B129" s="24" t="inlineStr">
        <is>
          <t>2026-08-12T17:44:54.191555Z</t>
        </is>
      </c>
      <c r="C129" s="24" t="inlineStr">
        <is>
          <t>2026-08-12T20:00:00Z</t>
        </is>
      </c>
      <c r="D129" s="24" t="inlineStr">
        <is>
          <t>79456</t>
        </is>
      </c>
      <c r="E129" s="24" t="inlineStr">
        <is>
          <t>LOL</t>
        </is>
      </c>
      <c r="F129" s="24" t="inlineStr">
        <is>
          <t>RMD Gaming</t>
        </is>
      </c>
      <c r="G129" s="24" t="inlineStr">
        <is>
          <t>Team Solid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-163</v>
      </c>
      <c r="M129" s="27" t="n">
        <v>1.613497</v>
      </c>
      <c r="N129" s="28" t="n">
        <v>0.619772</v>
      </c>
      <c r="O129" s="28" t="n">
        <v>0.529083</v>
      </c>
      <c r="P129" s="28" t="n"/>
      <c r="Q129" s="28" t="n">
        <v>-0.09068900000000001</v>
      </c>
      <c r="R129" s="26" t="n">
        <v>0</v>
      </c>
      <c r="S129" s="29" t="n">
        <v>1</v>
      </c>
      <c r="T129" s="24" t="inlineStr">
        <is>
          <t>lol-tiered-elo-v6</t>
        </is>
      </c>
      <c r="U129" s="24" t="inlineStr">
        <is>
          <t>open</t>
        </is>
      </c>
      <c r="V129" s="24" t="n"/>
      <c r="W129" s="26" t="n"/>
      <c r="X129" s="26" t="n"/>
      <c r="Y129" s="25" t="n"/>
      <c r="Z129" s="26" t="n"/>
      <c r="AA129" s="28" t="n"/>
      <c r="AB129" s="28" t="n"/>
      <c r="AC129" s="30" t="n"/>
      <c r="AD129" s="24" t="n"/>
      <c r="AE129" s="31" t="inlineStr">
        <is>
          <t>Neutral Elo baseline; executable ask 0.6200 (market_slug=aec-lol-tse-rmd-2026-08-12).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NO_CALL_LOW_EDGE</t>
        </is>
      </c>
      <c r="AP129" s="24" t="inlineStr">
        <is>
          <t>RMD Gaming</t>
        </is>
      </c>
      <c r="AQ129" s="24" t="inlineStr">
        <is>
          <t>RMD Gaming</t>
        </is>
      </c>
      <c r="AR129" s="24" t="inlineStr">
        <is>
          <t>RMD Gaming</t>
        </is>
      </c>
      <c r="AS129" s="24" t="inlineStr">
        <is>
          <t>Team Solid</t>
        </is>
      </c>
      <c r="AT129" s="24" t="inlineStr">
        <is>
          <t>Team Solid</t>
        </is>
      </c>
      <c r="AU129" s="24" t="inlineStr">
        <is>
          <t>Team Solid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698fbd14da7d032b3a980c8214767b8eb223167868cd2cea373258eb5e4ac7b4</t>
        </is>
      </c>
      <c r="BB129" s="24" t="inlineStr">
        <is>
          <t>neutral_elo</t>
        </is>
      </c>
      <c r="BC129" s="24" t="inlineStr">
        <is>
          <t>lol-tiered-elo-v6</t>
        </is>
      </c>
      <c r="BD129" s="24" t="inlineStr">
        <is>
          <t>698fbd14da7d032b3a980c8214767b8eb223167868cd2cea373258eb5e4ac7b4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lol-tiered-elo-v6</t>
        </is>
      </c>
      <c r="BH129" s="24" t="inlineStr">
        <is>
          <t>2026-08-12T17:44:32.506392Z</t>
        </is>
      </c>
      <c r="BI129" s="24" t="inlineStr">
        <is>
          <t>["same_event","same_team_same_day","same_league_same_day"]</t>
        </is>
      </c>
      <c r="BJ129" s="25" t="n"/>
      <c r="BK129" s="26" t="n">
        <v>-163</v>
      </c>
      <c r="BL129" s="27" t="n">
        <v>1.613497</v>
      </c>
      <c r="BM129" s="28" t="n">
        <v>0.619772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</row>
    <row r="130" ht="36" customHeight="1">
      <c r="A130" s="24" t="inlineStr">
        <is>
          <t>3f69cf4190b24f47</t>
        </is>
      </c>
      <c r="B130" s="24" t="inlineStr">
        <is>
          <t>2026-08-12T17:44:54.191555Z</t>
        </is>
      </c>
      <c r="C130" s="24" t="inlineStr">
        <is>
          <t>2026-08-12T21:00:00Z</t>
        </is>
      </c>
      <c r="D130" s="24" t="inlineStr">
        <is>
          <t>76941</t>
        </is>
      </c>
      <c r="E130" s="24" t="inlineStr">
        <is>
          <t>LOL</t>
        </is>
      </c>
      <c r="F130" s="24" t="inlineStr">
        <is>
          <t>Dominion Goblins</t>
        </is>
      </c>
      <c r="G130" s="24" t="inlineStr">
        <is>
          <t>Bubliki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-104</v>
      </c>
      <c r="M130" s="27" t="n">
        <v>1.961538</v>
      </c>
      <c r="N130" s="28" t="n">
        <v>0.509804</v>
      </c>
      <c r="O130" s="28" t="n">
        <v>0.52057</v>
      </c>
      <c r="P130" s="28" t="n"/>
      <c r="Q130" s="28" t="n">
        <v>0.010766</v>
      </c>
      <c r="R130" s="26" t="n">
        <v>25</v>
      </c>
      <c r="S130" s="29" t="n">
        <v>1</v>
      </c>
      <c r="T130" s="24" t="inlineStr">
        <is>
          <t>lol-tiered-elo-v6</t>
        </is>
      </c>
      <c r="U130" s="24" t="inlineStr">
        <is>
          <t>open</t>
        </is>
      </c>
      <c r="V130" s="24" t="n"/>
      <c r="W130" s="26" t="n"/>
      <c r="X130" s="26" t="n"/>
      <c r="Y130" s="25" t="n"/>
      <c r="Z130" s="26" t="n"/>
      <c r="AA130" s="28" t="n"/>
      <c r="AB130" s="28" t="n"/>
      <c r="AC130" s="30" t="n"/>
      <c r="AD130" s="24" t="n"/>
      <c r="AE130" s="31" t="inlineStr">
        <is>
          <t>Neutral Elo baseline; executable ask 0.5100 (market_slug=aec-lol-bub-domi-2026-08-12).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NO_CALL_LOW_EDGE</t>
        </is>
      </c>
      <c r="AP130" s="24" t="inlineStr">
        <is>
          <t>Dominion Goblins</t>
        </is>
      </c>
      <c r="AQ130" s="24" t="inlineStr">
        <is>
          <t>Dominion Goblins</t>
        </is>
      </c>
      <c r="AR130" s="24" t="inlineStr">
        <is>
          <t>Dominion Goblins</t>
        </is>
      </c>
      <c r="AS130" s="24" t="inlineStr">
        <is>
          <t>Bubliki</t>
        </is>
      </c>
      <c r="AT130" s="24" t="inlineStr">
        <is>
          <t>Bubliki</t>
        </is>
      </c>
      <c r="AU130" s="24" t="inlineStr">
        <is>
          <t>Bubliki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698fbd14da7d032b3a980c8214767b8eb223167868cd2cea373258eb5e4ac7b4</t>
        </is>
      </c>
      <c r="BB130" s="24" t="inlineStr">
        <is>
          <t>neutral_elo</t>
        </is>
      </c>
      <c r="BC130" s="24" t="inlineStr">
        <is>
          <t>lol-tiered-elo-v6</t>
        </is>
      </c>
      <c r="BD130" s="24" t="inlineStr">
        <is>
          <t>698fbd14da7d032b3a980c8214767b8eb223167868cd2cea373258eb5e4ac7b4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lol-tiered-elo-v6</t>
        </is>
      </c>
      <c r="BH130" s="24" t="inlineStr">
        <is>
          <t>2026-08-12T17:44:33.295086Z</t>
        </is>
      </c>
      <c r="BI130" s="24" t="inlineStr">
        <is>
          <t>["same_event","same_team_same_day","same_league_same_day"]</t>
        </is>
      </c>
      <c r="BJ130" s="25" t="n"/>
      <c r="BK130" s="26" t="n">
        <v>-104</v>
      </c>
      <c r="BL130" s="27" t="n">
        <v>1.961538</v>
      </c>
      <c r="BM130" s="28" t="n">
        <v>0.509804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</row>
    <row r="131" ht="36" customHeight="1">
      <c r="A131" s="24" t="inlineStr">
        <is>
          <t>e38f3976e3c24631</t>
        </is>
      </c>
      <c r="B131" s="24" t="inlineStr">
        <is>
          <t>2026-08-12T17:44:54.191555Z</t>
        </is>
      </c>
      <c r="C131" s="24" t="inlineStr">
        <is>
          <t>2026-08-13T00:00:00Z</t>
        </is>
      </c>
      <c r="D131" s="24" t="inlineStr">
        <is>
          <t>77049</t>
        </is>
      </c>
      <c r="E131" s="24" t="inlineStr">
        <is>
          <t>LOL</t>
        </is>
      </c>
      <c r="F131" s="24" t="inlineStr">
        <is>
          <t>CCG Esports</t>
        </is>
      </c>
      <c r="G131" s="24" t="inlineStr">
        <is>
          <t>Conviction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-233</v>
      </c>
      <c r="M131" s="27" t="n">
        <v>1.429185</v>
      </c>
      <c r="N131" s="28" t="n">
        <v>0.6997</v>
      </c>
      <c r="O131" s="28" t="n">
        <v>0.63125</v>
      </c>
      <c r="P131" s="28" t="n"/>
      <c r="Q131" s="28" t="n">
        <v>-0.06845</v>
      </c>
      <c r="R131" s="26" t="n">
        <v>0</v>
      </c>
      <c r="S131" s="29" t="n">
        <v>1.5</v>
      </c>
      <c r="T131" s="24" t="inlineStr">
        <is>
          <t>lol-tiered-elo-v6</t>
        </is>
      </c>
      <c r="U131" s="24" t="inlineStr">
        <is>
          <t>open</t>
        </is>
      </c>
      <c r="V131" s="24" t="n"/>
      <c r="W131" s="26" t="n"/>
      <c r="X131" s="26" t="n"/>
      <c r="Y131" s="25" t="n"/>
      <c r="Z131" s="26" t="n"/>
      <c r="AA131" s="28" t="n"/>
      <c r="AB131" s="28" t="n"/>
      <c r="AC131" s="30" t="n"/>
      <c r="AD131" s="24" t="n"/>
      <c r="AE131" s="31" t="inlineStr">
        <is>
          <t>Neutral Elo baseline; executable ask 0.7000 (market_slug=aec-lol-cnv-ccg-2026-08-13).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NO_CALL_LOW_EDGE</t>
        </is>
      </c>
      <c r="AP131" s="24" t="inlineStr">
        <is>
          <t>CCG Esports</t>
        </is>
      </c>
      <c r="AQ131" s="24" t="inlineStr">
        <is>
          <t>CCG Esports</t>
        </is>
      </c>
      <c r="AR131" s="24" t="inlineStr">
        <is>
          <t>CCG Esports</t>
        </is>
      </c>
      <c r="AS131" s="24" t="inlineStr">
        <is>
          <t>Conviction</t>
        </is>
      </c>
      <c r="AT131" s="24" t="inlineStr">
        <is>
          <t>Conviction</t>
        </is>
      </c>
      <c r="AU131" s="24" t="inlineStr">
        <is>
          <t>Conviction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698fbd14da7d032b3a980c8214767b8eb223167868cd2cea373258eb5e4ac7b4</t>
        </is>
      </c>
      <c r="BB131" s="24" t="inlineStr">
        <is>
          <t>neutral_elo</t>
        </is>
      </c>
      <c r="BC131" s="24" t="inlineStr">
        <is>
          <t>lol-tiered-elo-v6</t>
        </is>
      </c>
      <c r="BD131" s="24" t="inlineStr">
        <is>
          <t>698fbd14da7d032b3a980c8214767b8eb223167868cd2cea373258eb5e4ac7b4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lol-tiered-elo-v6</t>
        </is>
      </c>
      <c r="BH131" s="24" t="inlineStr">
        <is>
          <t>2026-08-12T17:44:34.860678Z</t>
        </is>
      </c>
      <c r="BI131" s="24" t="inlineStr">
        <is>
          <t>["same_event","same_team_same_day","same_league_same_day"]</t>
        </is>
      </c>
      <c r="BJ131" s="25" t="n"/>
      <c r="BK131" s="26" t="n">
        <v>-233</v>
      </c>
      <c r="BL131" s="27" t="n">
        <v>1.429185</v>
      </c>
      <c r="BM131" s="28" t="n">
        <v>0.6997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False</t>
        </is>
      </c>
    </row>
    <row r="132" ht="36" customHeight="1">
      <c r="A132" s="24" t="inlineStr">
        <is>
          <t>623e52e33dc74c8e</t>
        </is>
      </c>
      <c r="B132" s="24" t="inlineStr">
        <is>
          <t>2026-08-12T17:44:54.191555Z</t>
        </is>
      </c>
      <c r="C132" s="24" t="inlineStr">
        <is>
          <t>2026-08-13T05:00:00Z</t>
        </is>
      </c>
      <c r="D132" s="24" t="inlineStr">
        <is>
          <t>77155</t>
        </is>
      </c>
      <c r="E132" s="24" t="inlineStr">
        <is>
          <t>LOL</t>
        </is>
      </c>
      <c r="F132" s="24" t="inlineStr">
        <is>
          <t>Nongshim Esports Academy</t>
        </is>
      </c>
      <c r="G132" s="24" t="inlineStr">
        <is>
          <t>KT Rolster Challengers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127</v>
      </c>
      <c r="M132" s="27" t="n">
        <v>2.27</v>
      </c>
      <c r="N132" s="28" t="n">
        <v>0.440529</v>
      </c>
      <c r="O132" s="28" t="n">
        <v>0.543714</v>
      </c>
      <c r="P132" s="28" t="n"/>
      <c r="Q132" s="28" t="n">
        <v>0.103185</v>
      </c>
      <c r="R132" s="26" t="n">
        <v>72</v>
      </c>
      <c r="S132" s="29" t="n">
        <v>1</v>
      </c>
      <c r="T132" s="24" t="inlineStr">
        <is>
          <t>lol-tiered-elo-v6</t>
        </is>
      </c>
      <c r="U132" s="24" t="inlineStr">
        <is>
          <t>open</t>
        </is>
      </c>
      <c r="V132" s="24" t="n"/>
      <c r="W132" s="26" t="n"/>
      <c r="X132" s="26" t="n"/>
      <c r="Y132" s="25" t="n"/>
      <c r="Z132" s="26" t="n"/>
      <c r="AA132" s="28" t="n"/>
      <c r="AB132" s="28" t="n"/>
      <c r="AC132" s="30" t="n"/>
      <c r="AD132" s="24" t="n"/>
      <c r="AE132" s="31" t="inlineStr">
        <is>
          <t>Neutral Elo baseline; executable ask 0.4400 (market_slug=aec-lol-ktc-nsea-2026-08-13).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Nongshim Esports Academy</t>
        </is>
      </c>
      <c r="AQ132" s="24" t="inlineStr">
        <is>
          <t>Nongshim Esports Academy</t>
        </is>
      </c>
      <c r="AR132" s="24" t="inlineStr">
        <is>
          <t>Nongshim Esports Academy</t>
        </is>
      </c>
      <c r="AS132" s="24" t="inlineStr">
        <is>
          <t>KT Rolster Challengers</t>
        </is>
      </c>
      <c r="AT132" s="24" t="inlineStr">
        <is>
          <t>KT Rolster Challengers</t>
        </is>
      </c>
      <c r="AU132" s="24" t="inlineStr">
        <is>
          <t>KT Rolster Challengers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698fbd14da7d032b3a980c8214767b8eb223167868cd2cea373258eb5e4ac7b4</t>
        </is>
      </c>
      <c r="BB132" s="24" t="inlineStr">
        <is>
          <t>neutral_elo</t>
        </is>
      </c>
      <c r="BC132" s="24" t="inlineStr">
        <is>
          <t>lol-tiered-elo-v6</t>
        </is>
      </c>
      <c r="BD132" s="24" t="inlineStr">
        <is>
          <t>698fbd14da7d032b3a980c8214767b8eb223167868cd2cea373258eb5e4ac7b4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lol-tiered-elo-v6</t>
        </is>
      </c>
      <c r="BH132" s="24" t="inlineStr">
        <is>
          <t>2026-08-12T17:44:35.524238Z</t>
        </is>
      </c>
      <c r="BI132" s="24" t="inlineStr">
        <is>
          <t>["same_event","same_team_same_day","same_league_same_day"]</t>
        </is>
      </c>
      <c r="BJ132" s="25" t="n"/>
      <c r="BK132" s="26" t="n">
        <v>127</v>
      </c>
      <c r="BL132" s="27" t="n">
        <v>2.27</v>
      </c>
      <c r="BM132" s="28" t="n">
        <v>0.440529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</row>
    <row r="133" ht="36" customHeight="1">
      <c r="A133" s="24" t="inlineStr">
        <is>
          <t>0a3a8a8c158249e3</t>
        </is>
      </c>
      <c r="B133" s="24" t="inlineStr">
        <is>
          <t>2026-08-12T17:44:54.191555Z</t>
        </is>
      </c>
      <c r="C133" s="24" t="inlineStr">
        <is>
          <t>2026-08-13T07:00:00Z</t>
        </is>
      </c>
      <c r="D133" s="24" t="inlineStr">
        <is>
          <t>77160</t>
        </is>
      </c>
      <c r="E133" s="24" t="inlineStr">
        <is>
          <t>LOL</t>
        </is>
      </c>
      <c r="F133" s="24" t="inlineStr">
        <is>
          <t>Ninjas in Pyjamas</t>
        </is>
      </c>
      <c r="G133" s="24" t="inlineStr">
        <is>
          <t>Weibo Gaming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-117</v>
      </c>
      <c r="M133" s="27" t="n">
        <v>1.854701</v>
      </c>
      <c r="N133" s="28" t="n">
        <v>0.539171</v>
      </c>
      <c r="O133" s="28" t="n">
        <v>0.519471</v>
      </c>
      <c r="P133" s="28" t="n"/>
      <c r="Q133" s="28" t="n">
        <v>-0.0197</v>
      </c>
      <c r="R133" s="26" t="n">
        <v>10</v>
      </c>
      <c r="S133" s="29" t="n">
        <v>1</v>
      </c>
      <c r="T133" s="24" t="inlineStr">
        <is>
          <t>lol-tiered-elo-v6</t>
        </is>
      </c>
      <c r="U133" s="24" t="inlineStr">
        <is>
          <t>open</t>
        </is>
      </c>
      <c r="V133" s="24" t="n"/>
      <c r="W133" s="26" t="n"/>
      <c r="X133" s="26" t="n"/>
      <c r="Y133" s="25" t="n"/>
      <c r="Z133" s="26" t="n"/>
      <c r="AA133" s="28" t="n"/>
      <c r="AB133" s="28" t="n"/>
      <c r="AC133" s="30" t="n"/>
      <c r="AD133" s="24" t="n"/>
      <c r="AE133" s="31" t="inlineStr">
        <is>
          <t>Neutral Elo baseline; executable ask 0.5400 (market_slug=aec-lol-wb-nip-2026-08-13).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NO_CALL_LOW_EDGE</t>
        </is>
      </c>
      <c r="AP133" s="24" t="inlineStr">
        <is>
          <t>Ninjas in Pyjamas</t>
        </is>
      </c>
      <c r="AQ133" s="24" t="inlineStr">
        <is>
          <t>Ninjas in Pyjamas</t>
        </is>
      </c>
      <c r="AR133" s="24" t="inlineStr">
        <is>
          <t>Ninjas in Pyjamas</t>
        </is>
      </c>
      <c r="AS133" s="24" t="inlineStr">
        <is>
          <t>Weibo Gaming</t>
        </is>
      </c>
      <c r="AT133" s="24" t="inlineStr">
        <is>
          <t>Weibo Gaming</t>
        </is>
      </c>
      <c r="AU133" s="24" t="inlineStr">
        <is>
          <t>Weibo Gaming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698fbd14da7d032b3a980c8214767b8eb223167868cd2cea373258eb5e4ac7b4</t>
        </is>
      </c>
      <c r="BB133" s="24" t="inlineStr">
        <is>
          <t>neutral_elo</t>
        </is>
      </c>
      <c r="BC133" s="24" t="inlineStr">
        <is>
          <t>lol-tiered-elo-v6</t>
        </is>
      </c>
      <c r="BD133" s="24" t="inlineStr">
        <is>
          <t>698fbd14da7d032b3a980c8214767b8eb223167868cd2cea373258eb5e4ac7b4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lol-tiered-elo-v6</t>
        </is>
      </c>
      <c r="BH133" s="24" t="inlineStr">
        <is>
          <t>2026-08-12T17:44:37.204615Z</t>
        </is>
      </c>
      <c r="BI133" s="24" t="inlineStr">
        <is>
          <t>["same_event","same_team_same_day","same_league_same_day"]</t>
        </is>
      </c>
      <c r="BJ133" s="25" t="n"/>
      <c r="BK133" s="26" t="n">
        <v>-117</v>
      </c>
      <c r="BL133" s="27" t="n">
        <v>1.854701</v>
      </c>
      <c r="BM133" s="28" t="n">
        <v>0.539171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</row>
    <row r="134" ht="36" customHeight="1">
      <c r="A134" s="24" t="inlineStr">
        <is>
          <t>55f3d5ae44864a3e</t>
        </is>
      </c>
      <c r="B134" s="24" t="inlineStr">
        <is>
          <t>2026-08-12T17:44:54.191555Z</t>
        </is>
      </c>
      <c r="C134" s="24" t="inlineStr">
        <is>
          <t>2026-08-13T08:00:00Z</t>
        </is>
      </c>
      <c r="D134" s="24" t="inlineStr">
        <is>
          <t>77170</t>
        </is>
      </c>
      <c r="E134" s="24" t="inlineStr">
        <is>
          <t>LOL</t>
        </is>
      </c>
      <c r="F134" s="24" t="inlineStr">
        <is>
          <t>BNK FEARX</t>
        </is>
      </c>
      <c r="G134" s="24" t="inlineStr">
        <is>
          <t>Kiwoom DRX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-122</v>
      </c>
      <c r="M134" s="27" t="n">
        <v>1.819672</v>
      </c>
      <c r="N134" s="28" t="n">
        <v>0.54955</v>
      </c>
      <c r="O134" s="28" t="n">
        <v>0.528933</v>
      </c>
      <c r="P134" s="28" t="n"/>
      <c r="Q134" s="28" t="n">
        <v>-0.020617</v>
      </c>
      <c r="R134" s="26" t="n">
        <v>10</v>
      </c>
      <c r="S134" s="29" t="n">
        <v>1</v>
      </c>
      <c r="T134" s="24" t="inlineStr">
        <is>
          <t>lol-tiered-elo-v6</t>
        </is>
      </c>
      <c r="U134" s="24" t="inlineStr">
        <is>
          <t>open</t>
        </is>
      </c>
      <c r="V134" s="24" t="n"/>
      <c r="W134" s="26" t="n"/>
      <c r="X134" s="26" t="n"/>
      <c r="Y134" s="25" t="n"/>
      <c r="Z134" s="26" t="n"/>
      <c r="AA134" s="28" t="n"/>
      <c r="AB134" s="28" t="n"/>
      <c r="AC134" s="30" t="n"/>
      <c r="AD134" s="24" t="n"/>
      <c r="AE134" s="31" t="inlineStr">
        <is>
          <t>Neutral Elo baseline; executable ask 0.5500 (market_slug=aec-lol-krx-bfx-2026-08-13).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NO_CALL_LOW_EDGE</t>
        </is>
      </c>
      <c r="AP134" s="24" t="inlineStr">
        <is>
          <t>BNK FEARX</t>
        </is>
      </c>
      <c r="AQ134" s="24" t="inlineStr">
        <is>
          <t>BNK FEARX</t>
        </is>
      </c>
      <c r="AR134" s="24" t="inlineStr">
        <is>
          <t>BNK FEARX</t>
        </is>
      </c>
      <c r="AS134" s="24" t="inlineStr">
        <is>
          <t>Kiwoom DRX</t>
        </is>
      </c>
      <c r="AT134" s="24" t="inlineStr">
        <is>
          <t>Kiwoom DRX</t>
        </is>
      </c>
      <c r="AU134" s="24" t="inlineStr">
        <is>
          <t>Kiwoom DRX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698fbd14da7d032b3a980c8214767b8eb223167868cd2cea373258eb5e4ac7b4</t>
        </is>
      </c>
      <c r="BB134" s="24" t="inlineStr">
        <is>
          <t>neutral_elo</t>
        </is>
      </c>
      <c r="BC134" s="24" t="inlineStr">
        <is>
          <t>lol-tiered-elo-v6</t>
        </is>
      </c>
      <c r="BD134" s="24" t="inlineStr">
        <is>
          <t>698fbd14da7d032b3a980c8214767b8eb223167868cd2cea373258eb5e4ac7b4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lol-tiered-elo-v6</t>
        </is>
      </c>
      <c r="BH134" s="24" t="inlineStr">
        <is>
          <t>2026-08-12T17:44:38.052595Z</t>
        </is>
      </c>
      <c r="BI134" s="24" t="inlineStr">
        <is>
          <t>["same_event","same_team_same_day","same_league_same_day"]</t>
        </is>
      </c>
      <c r="BJ134" s="25" t="n"/>
      <c r="BK134" s="26" t="n">
        <v>-122</v>
      </c>
      <c r="BL134" s="27" t="n">
        <v>1.819672</v>
      </c>
      <c r="BM134" s="28" t="n">
        <v>0.54955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</row>
    <row r="135" ht="36" customHeight="1">
      <c r="A135" s="24" t="inlineStr">
        <is>
          <t>f7d3076cfdf24d36</t>
        </is>
      </c>
      <c r="B135" s="24" t="inlineStr">
        <is>
          <t>2026-08-12T17:44:54.191555Z</t>
        </is>
      </c>
      <c r="C135" s="24" t="inlineStr">
        <is>
          <t>2026-08-13T09:00:00Z</t>
        </is>
      </c>
      <c r="D135" s="24" t="inlineStr">
        <is>
          <t>77184</t>
        </is>
      </c>
      <c r="E135" s="24" t="inlineStr">
        <is>
          <t>LOL</t>
        </is>
      </c>
      <c r="F135" s="24" t="inlineStr">
        <is>
          <t>GAM Esports</t>
        </is>
      </c>
      <c r="G135" s="24" t="inlineStr">
        <is>
          <t>Deep Cross Gaming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-127</v>
      </c>
      <c r="M135" s="27" t="n">
        <v>1.787402</v>
      </c>
      <c r="N135" s="28" t="n">
        <v>0.5594710000000001</v>
      </c>
      <c r="O135" s="28" t="n">
        <v>0.506615</v>
      </c>
      <c r="P135" s="28" t="n"/>
      <c r="Q135" s="28" t="n">
        <v>-0.052856</v>
      </c>
      <c r="R135" s="26" t="n">
        <v>0</v>
      </c>
      <c r="S135" s="29" t="n">
        <v>1</v>
      </c>
      <c r="T135" s="24" t="inlineStr">
        <is>
          <t>lol-tiered-elo-v6</t>
        </is>
      </c>
      <c r="U135" s="24" t="inlineStr">
        <is>
          <t>open</t>
        </is>
      </c>
      <c r="V135" s="24" t="n"/>
      <c r="W135" s="26" t="n"/>
      <c r="X135" s="26" t="n"/>
      <c r="Y135" s="25" t="n"/>
      <c r="Z135" s="26" t="n"/>
      <c r="AA135" s="28" t="n"/>
      <c r="AB135" s="28" t="n"/>
      <c r="AC135" s="30" t="n"/>
      <c r="AD135" s="24" t="n"/>
      <c r="AE135" s="31" t="inlineStr">
        <is>
          <t>Neutral Elo baseline; executable ask 0.5600 (market_slug=aec-lol-dcg-gam-2026-08-13).</t>
        </is>
      </c>
      <c r="AF135" s="31" t="inlineStr">
        <is>
          <t>Config-promoted esports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NO_CALL_LOW_EDGE</t>
        </is>
      </c>
      <c r="AP135" s="24" t="inlineStr">
        <is>
          <t>GAM Esports</t>
        </is>
      </c>
      <c r="AQ135" s="24" t="inlineStr">
        <is>
          <t>GAM Esports</t>
        </is>
      </c>
      <c r="AR135" s="24" t="inlineStr">
        <is>
          <t>GAM Esports</t>
        </is>
      </c>
      <c r="AS135" s="24" t="inlineStr">
        <is>
          <t>Deep Cross Gaming</t>
        </is>
      </c>
      <c r="AT135" s="24" t="inlineStr">
        <is>
          <t>Deep Cross Gaming</t>
        </is>
      </c>
      <c r="AU135" s="24" t="inlineStr">
        <is>
          <t>Deep Cross Gaming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698fbd14da7d032b3a980c8214767b8eb223167868cd2cea373258eb5e4ac7b4</t>
        </is>
      </c>
      <c r="BB135" s="24" t="inlineStr">
        <is>
          <t>neutral_elo</t>
        </is>
      </c>
      <c r="BC135" s="24" t="inlineStr">
        <is>
          <t>lol-tiered-elo-v6</t>
        </is>
      </c>
      <c r="BD135" s="24" t="inlineStr">
        <is>
          <t>698fbd14da7d032b3a980c8214767b8eb223167868cd2cea373258eb5e4ac7b4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lol-tiered-elo-v6</t>
        </is>
      </c>
      <c r="BH135" s="24" t="inlineStr">
        <is>
          <t>2026-08-12T17:44:38.855802Z</t>
        </is>
      </c>
      <c r="BI135" s="24" t="inlineStr">
        <is>
          <t>["same_event","same_team_same_day","same_league_same_day"]</t>
        </is>
      </c>
      <c r="BJ135" s="25" t="n"/>
      <c r="BK135" s="26" t="n">
        <v>-127</v>
      </c>
      <c r="BL135" s="27" t="n">
        <v>1.787402</v>
      </c>
      <c r="BM135" s="28" t="n">
        <v>0.5594710000000001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</row>
    <row r="136" ht="36" customHeight="1">
      <c r="A136" s="24" t="inlineStr">
        <is>
          <t>e629940864a1458f</t>
        </is>
      </c>
      <c r="B136" s="24" t="inlineStr">
        <is>
          <t>2026-08-12T17:44:54.191555Z</t>
        </is>
      </c>
      <c r="C136" s="24" t="inlineStr">
        <is>
          <t>2026-08-13T10:00:00Z</t>
        </is>
      </c>
      <c r="D136" s="24" t="inlineStr">
        <is>
          <t>77199</t>
        </is>
      </c>
      <c r="E136" s="24" t="inlineStr">
        <is>
          <t>LOL</t>
        </is>
      </c>
      <c r="F136" s="24" t="inlineStr">
        <is>
          <t>Hanwha Life Esports</t>
        </is>
      </c>
      <c r="G136" s="24" t="inlineStr">
        <is>
          <t>Gen.G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127</v>
      </c>
      <c r="M136" s="27" t="n">
        <v>2.27</v>
      </c>
      <c r="N136" s="28" t="n">
        <v>0.440529</v>
      </c>
      <c r="O136" s="28" t="n">
        <v>0.550709</v>
      </c>
      <c r="P136" s="28" t="n"/>
      <c r="Q136" s="28" t="n">
        <v>0.11018</v>
      </c>
      <c r="R136" s="26" t="n">
        <v>75</v>
      </c>
      <c r="S136" s="29" t="n">
        <v>1</v>
      </c>
      <c r="T136" s="24" t="inlineStr">
        <is>
          <t>lol-tiered-elo-v6</t>
        </is>
      </c>
      <c r="U136" s="24" t="inlineStr">
        <is>
          <t>open</t>
        </is>
      </c>
      <c r="V136" s="24" t="n"/>
      <c r="W136" s="26" t="n"/>
      <c r="X136" s="26" t="n"/>
      <c r="Y136" s="25" t="n"/>
      <c r="Z136" s="26" t="n"/>
      <c r="AA136" s="28" t="n"/>
      <c r="AB136" s="28" t="n"/>
      <c r="AC136" s="30" t="n"/>
      <c r="AD136" s="24" t="n"/>
      <c r="AE136" s="31" t="inlineStr">
        <is>
          <t>Neutral Elo baseline; executable ask 0.4400 (market_slug=aec-lol-gen-hle-2026-08-13).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Hanwha Life Esports</t>
        </is>
      </c>
      <c r="AQ136" s="24" t="inlineStr">
        <is>
          <t>Hanwha Life Esports</t>
        </is>
      </c>
      <c r="AR136" s="24" t="inlineStr">
        <is>
          <t>Hanwha Life Esports</t>
        </is>
      </c>
      <c r="AS136" s="24" t="inlineStr">
        <is>
          <t>Gen.G</t>
        </is>
      </c>
      <c r="AT136" s="24" t="inlineStr">
        <is>
          <t>Gen.G</t>
        </is>
      </c>
      <c r="AU136" s="24" t="inlineStr">
        <is>
          <t>Gen.G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698fbd14da7d032b3a980c8214767b8eb223167868cd2cea373258eb5e4ac7b4</t>
        </is>
      </c>
      <c r="BB136" s="24" t="inlineStr">
        <is>
          <t>neutral_elo</t>
        </is>
      </c>
      <c r="BC136" s="24" t="inlineStr">
        <is>
          <t>lol-tiered-elo-v6</t>
        </is>
      </c>
      <c r="BD136" s="24" t="inlineStr">
        <is>
          <t>698fbd14da7d032b3a980c8214767b8eb223167868cd2cea373258eb5e4ac7b4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lol-tiered-elo-v6</t>
        </is>
      </c>
      <c r="BH136" s="24" t="inlineStr">
        <is>
          <t>2026-08-12T17:44:40.501608Z</t>
        </is>
      </c>
      <c r="BI136" s="24" t="inlineStr">
        <is>
          <t>["same_event","same_team_same_day","same_league_same_day"]</t>
        </is>
      </c>
      <c r="BJ136" s="25" t="n"/>
      <c r="BK136" s="26" t="n">
        <v>127</v>
      </c>
      <c r="BL136" s="27" t="n">
        <v>2.27</v>
      </c>
      <c r="BM136" s="28" t="n">
        <v>0.440529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</row>
    <row r="137" ht="36" customHeight="1">
      <c r="A137" s="24" t="inlineStr">
        <is>
          <t>ab3f87fedd0e42f2</t>
        </is>
      </c>
      <c r="B137" s="24" t="inlineStr">
        <is>
          <t>2026-08-12T17:44:54.191555Z</t>
        </is>
      </c>
      <c r="C137" s="24" t="inlineStr">
        <is>
          <t>2026-08-13T16:00:00Z</t>
        </is>
      </c>
      <c r="D137" s="24" t="inlineStr">
        <is>
          <t>77533</t>
        </is>
      </c>
      <c r="E137" s="24" t="inlineStr">
        <is>
          <t>LOL</t>
        </is>
      </c>
      <c r="F137" s="24" t="inlineStr">
        <is>
          <t>Karmine Corp Blue</t>
        </is>
      </c>
      <c r="G137" s="24" t="inlineStr">
        <is>
          <t>Skillcamp Esport</t>
        </is>
      </c>
      <c r="H137" s="24" t="inlineStr">
        <is>
          <t>moneyline</t>
        </is>
      </c>
      <c r="I137" s="24" t="inlineStr">
        <is>
          <t>away</t>
        </is>
      </c>
      <c r="J137" s="25" t="n"/>
      <c r="K137" s="24" t="inlineStr">
        <is>
          <t>polymarket_us</t>
        </is>
      </c>
      <c r="L137" s="26" t="n">
        <v>-203</v>
      </c>
      <c r="M137" s="27" t="n">
        <v>1.492611</v>
      </c>
      <c r="N137" s="28" t="n">
        <v>0.669967</v>
      </c>
      <c r="O137" s="28" t="n">
        <v>0.598571</v>
      </c>
      <c r="P137" s="28" t="n"/>
      <c r="Q137" s="28" t="n">
        <v>-0.071396</v>
      </c>
      <c r="R137" s="26" t="n">
        <v>0</v>
      </c>
      <c r="S137" s="29" t="n">
        <v>1.25</v>
      </c>
      <c r="T137" s="24" t="inlineStr">
        <is>
          <t>lol-tiered-elo-v6</t>
        </is>
      </c>
      <c r="U137" s="24" t="inlineStr">
        <is>
          <t>open</t>
        </is>
      </c>
      <c r="V137" s="24" t="n"/>
      <c r="W137" s="26" t="n"/>
      <c r="X137" s="26" t="n"/>
      <c r="Y137" s="25" t="n"/>
      <c r="Z137" s="26" t="n"/>
      <c r="AA137" s="28" t="n"/>
      <c r="AB137" s="28" t="n"/>
      <c r="AC137" s="30" t="n"/>
      <c r="AD137" s="24" t="n"/>
      <c r="AE137" s="31" t="inlineStr">
        <is>
          <t>Neutral Elo baseline; executable ask 0.6700 (market_slug=aec-lol-sc-kcb-2026-08-13).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NO_CALL_LOW_EDGE</t>
        </is>
      </c>
      <c r="AP137" s="24" t="inlineStr">
        <is>
          <t>Karmine Corp Blue</t>
        </is>
      </c>
      <c r="AQ137" s="24" t="inlineStr">
        <is>
          <t>Karmine Corp Blue</t>
        </is>
      </c>
      <c r="AR137" s="24" t="inlineStr">
        <is>
          <t>Karmine Corp Blue</t>
        </is>
      </c>
      <c r="AS137" s="24" t="inlineStr">
        <is>
          <t>Skillcamp Esport</t>
        </is>
      </c>
      <c r="AT137" s="24" t="inlineStr">
        <is>
          <t>Skillcamp Esport</t>
        </is>
      </c>
      <c r="AU137" s="24" t="inlineStr">
        <is>
          <t>Skillcamp Esport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698fbd14da7d032b3a980c8214767b8eb223167868cd2cea373258eb5e4ac7b4</t>
        </is>
      </c>
      <c r="BB137" s="24" t="inlineStr">
        <is>
          <t>neutral_elo</t>
        </is>
      </c>
      <c r="BC137" s="24" t="inlineStr">
        <is>
          <t>lol-tiered-elo-v6</t>
        </is>
      </c>
      <c r="BD137" s="24" t="inlineStr">
        <is>
          <t>698fbd14da7d032b3a980c8214767b8eb223167868cd2cea373258eb5e4ac7b4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lol-tiered-elo-v6</t>
        </is>
      </c>
      <c r="BH137" s="24" t="inlineStr">
        <is>
          <t>2026-08-12T17:44:43.629485Z</t>
        </is>
      </c>
      <c r="BI137" s="24" t="inlineStr">
        <is>
          <t>["same_event","same_team_same_day","same_league_same_day"]</t>
        </is>
      </c>
      <c r="BJ137" s="25" t="n"/>
      <c r="BK137" s="26" t="n">
        <v>-203</v>
      </c>
      <c r="BL137" s="27" t="n">
        <v>1.492611</v>
      </c>
      <c r="BM137" s="28" t="n">
        <v>0.669967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</row>
    <row r="138" ht="36" customHeight="1">
      <c r="A138" s="24" t="inlineStr">
        <is>
          <t>e2147451bc3949ce</t>
        </is>
      </c>
      <c r="B138" s="24" t="inlineStr">
        <is>
          <t>2026-08-12T17:44:54.191555Z</t>
        </is>
      </c>
      <c r="C138" s="24" t="inlineStr">
        <is>
          <t>2026-08-13T17:30:00Z</t>
        </is>
      </c>
      <c r="D138" s="24" t="inlineStr">
        <is>
          <t>77534</t>
        </is>
      </c>
      <c r="E138" s="24" t="inlineStr">
        <is>
          <t>LOL</t>
        </is>
      </c>
      <c r="F138" s="24" t="inlineStr">
        <is>
          <t>⁠Movistar KOI Fénix</t>
        </is>
      </c>
      <c r="G138" s="24" t="inlineStr">
        <is>
          <t>Team Heretics Academy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144</v>
      </c>
      <c r="M138" s="27" t="n">
        <v>2.44</v>
      </c>
      <c r="N138" s="28" t="n">
        <v>0.409836</v>
      </c>
      <c r="O138" s="28" t="n">
        <v>0.618293</v>
      </c>
      <c r="P138" s="28" t="n"/>
      <c r="Q138" s="28" t="n">
        <v>0.208457</v>
      </c>
      <c r="R138" s="26" t="n">
        <v>100</v>
      </c>
      <c r="S138" s="29" t="n">
        <v>1.5</v>
      </c>
      <c r="T138" s="24" t="inlineStr">
        <is>
          <t>lol-tiered-elo-v6</t>
        </is>
      </c>
      <c r="U138" s="24" t="inlineStr">
        <is>
          <t>open</t>
        </is>
      </c>
      <c r="V138" s="24" t="n"/>
      <c r="W138" s="26" t="n"/>
      <c r="X138" s="26" t="n"/>
      <c r="Y138" s="25" t="n"/>
      <c r="Z138" s="26" t="n"/>
      <c r="AA138" s="28" t="n"/>
      <c r="AB138" s="28" t="n"/>
      <c r="AC138" s="30" t="n"/>
      <c r="AD138" s="24" t="n"/>
      <c r="AE138" s="31" t="inlineStr">
        <is>
          <t>Neutral Elo baseline; executable ask 0.4100 (market_slug=aec-lol-hrts-mkf-2026-08-13).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⁠Movistar KOI Fénix</t>
        </is>
      </c>
      <c r="AQ138" s="24" t="inlineStr">
        <is>
          <t>⁠Movistar KOI Fénix</t>
        </is>
      </c>
      <c r="AR138" s="24" t="inlineStr">
        <is>
          <t>⁠Movistar KOI Fénix</t>
        </is>
      </c>
      <c r="AS138" s="24" t="inlineStr">
        <is>
          <t>Team Heretics Academy</t>
        </is>
      </c>
      <c r="AT138" s="24" t="inlineStr">
        <is>
          <t>Team Heretics Academy</t>
        </is>
      </c>
      <c r="AU138" s="24" t="inlineStr">
        <is>
          <t>Team Heretics Academy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698fbd14da7d032b3a980c8214767b8eb223167868cd2cea373258eb5e4ac7b4</t>
        </is>
      </c>
      <c r="BB138" s="24" t="inlineStr">
        <is>
          <t>neutral_elo</t>
        </is>
      </c>
      <c r="BC138" s="24" t="inlineStr">
        <is>
          <t>lol-tiered-elo-v6</t>
        </is>
      </c>
      <c r="BD138" s="24" t="inlineStr">
        <is>
          <t>698fbd14da7d032b3a980c8214767b8eb223167868cd2cea373258eb5e4ac7b4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lol-tiered-elo-v6</t>
        </is>
      </c>
      <c r="BH138" s="24" t="inlineStr">
        <is>
          <t>2026-08-12T17:44:46.185268Z</t>
        </is>
      </c>
      <c r="BI138" s="24" t="inlineStr">
        <is>
          <t>["same_event","same_team_same_day","same_league_same_day"]</t>
        </is>
      </c>
      <c r="BJ138" s="25" t="n"/>
      <c r="BK138" s="26" t="n">
        <v>144</v>
      </c>
      <c r="BL138" s="27" t="n">
        <v>2.44</v>
      </c>
      <c r="BM138" s="28" t="n">
        <v>0.409836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</row>
    <row r="139" ht="36" customHeight="1">
      <c r="A139" s="24" t="inlineStr">
        <is>
          <t>dde78fde00004c11</t>
        </is>
      </c>
      <c r="B139" s="24" t="inlineStr">
        <is>
          <t>2026-08-12T17:44:54.191555Z</t>
        </is>
      </c>
      <c r="C139" s="24" t="inlineStr">
        <is>
          <t>2026-08-13T21:00:00Z</t>
        </is>
      </c>
      <c r="D139" s="24" t="inlineStr">
        <is>
          <t>77945</t>
        </is>
      </c>
      <c r="E139" s="24" t="inlineStr">
        <is>
          <t>LOL</t>
        </is>
      </c>
      <c r="F139" s="24" t="inlineStr">
        <is>
          <t>Winthrop University</t>
        </is>
      </c>
      <c r="G139" s="24" t="inlineStr">
        <is>
          <t>Maryville University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-133</v>
      </c>
      <c r="M139" s="27" t="n">
        <v>1.75188</v>
      </c>
      <c r="N139" s="28" t="n">
        <v>0.570815</v>
      </c>
      <c r="O139" s="28" t="n">
        <v>0.588508</v>
      </c>
      <c r="P139" s="28" t="n"/>
      <c r="Q139" s="28" t="n">
        <v>0.017693</v>
      </c>
      <c r="R139" s="26" t="n">
        <v>29</v>
      </c>
      <c r="S139" s="29" t="n">
        <v>1.25</v>
      </c>
      <c r="T139" s="24" t="inlineStr">
        <is>
          <t>lol-tiered-elo-v6</t>
        </is>
      </c>
      <c r="U139" s="24" t="inlineStr">
        <is>
          <t>open</t>
        </is>
      </c>
      <c r="V139" s="24" t="n"/>
      <c r="W139" s="26" t="n"/>
      <c r="X139" s="26" t="n"/>
      <c r="Y139" s="25" t="n"/>
      <c r="Z139" s="26" t="n"/>
      <c r="AA139" s="28" t="n"/>
      <c r="AB139" s="28" t="n"/>
      <c r="AC139" s="30" t="n"/>
      <c r="AD139" s="24" t="n"/>
      <c r="AE139" s="31" t="inlineStr">
        <is>
          <t>Neutral Elo baseline; executable ask 0.5700 (market_slug=aec-lol-mvu-wu-2026-08-13).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3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Winthrop University</t>
        </is>
      </c>
      <c r="AQ139" s="24" t="inlineStr">
        <is>
          <t>Winthrop University</t>
        </is>
      </c>
      <c r="AR139" s="24" t="inlineStr">
        <is>
          <t>Winthrop University</t>
        </is>
      </c>
      <c r="AS139" s="24" t="inlineStr">
        <is>
          <t>Maryville University</t>
        </is>
      </c>
      <c r="AT139" s="24" t="inlineStr">
        <is>
          <t>Maryville University</t>
        </is>
      </c>
      <c r="AU139" s="24" t="inlineStr">
        <is>
          <t>Maryville University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698fbd14da7d032b3a980c8214767b8eb223167868cd2cea373258eb5e4ac7b4</t>
        </is>
      </c>
      <c r="BB139" s="24" t="inlineStr">
        <is>
          <t>neutral_elo</t>
        </is>
      </c>
      <c r="BC139" s="24" t="inlineStr">
        <is>
          <t>lol-tiered-elo-v6</t>
        </is>
      </c>
      <c r="BD139" s="24" t="inlineStr">
        <is>
          <t>698fbd14da7d032b3a980c8214767b8eb223167868cd2cea373258eb5e4ac7b4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lol-tiered-elo-v6</t>
        </is>
      </c>
      <c r="BH139" s="24" t="inlineStr">
        <is>
          <t>2026-08-12T17:44:51.498857Z</t>
        </is>
      </c>
      <c r="BI139" s="24" t="inlineStr">
        <is>
          <t>["same_event","same_team_same_day","same_league_same_day"]</t>
        </is>
      </c>
      <c r="BJ139" s="25" t="n"/>
      <c r="BK139" s="26" t="n">
        <v>-133</v>
      </c>
      <c r="BL139" s="27" t="n">
        <v>1.75188</v>
      </c>
      <c r="BM139" s="28" t="n">
        <v>0.570815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</row>
    <row r="140" ht="36" customHeight="1">
      <c r="A140" s="24" t="inlineStr">
        <is>
          <t>ac69060ab8dc4f67</t>
        </is>
      </c>
      <c r="B140" s="24" t="inlineStr">
        <is>
          <t>2026-08-12T17:44:54.191555Z</t>
        </is>
      </c>
      <c r="C140" s="24" t="inlineStr">
        <is>
          <t>2026-08-14T00:00:00Z</t>
        </is>
      </c>
      <c r="D140" s="24" t="inlineStr">
        <is>
          <t>78062</t>
        </is>
      </c>
      <c r="E140" s="24" t="inlineStr">
        <is>
          <t>LOL</t>
        </is>
      </c>
      <c r="F140" s="24" t="inlineStr">
        <is>
          <t>Dorado Gaming</t>
        </is>
      </c>
      <c r="G140" s="24" t="inlineStr">
        <is>
          <t>University of Mississippi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163</v>
      </c>
      <c r="M140" s="27" t="n">
        <v>2.63</v>
      </c>
      <c r="N140" s="28" t="n">
        <v>0.380228</v>
      </c>
      <c r="O140" s="28" t="n">
        <v>0.570381</v>
      </c>
      <c r="P140" s="28" t="n"/>
      <c r="Q140" s="28" t="n">
        <v>0.190153</v>
      </c>
      <c r="R140" s="26" t="n">
        <v>100</v>
      </c>
      <c r="S140" s="29" t="n">
        <v>1.25</v>
      </c>
      <c r="T140" s="24" t="inlineStr">
        <is>
          <t>lol-tiered-elo-v6</t>
        </is>
      </c>
      <c r="U140" s="24" t="inlineStr">
        <is>
          <t>open</t>
        </is>
      </c>
      <c r="V140" s="24" t="n"/>
      <c r="W140" s="26" t="n"/>
      <c r="X140" s="26" t="n"/>
      <c r="Y140" s="25" t="n"/>
      <c r="Z140" s="26" t="n"/>
      <c r="AA140" s="28" t="n"/>
      <c r="AB140" s="28" t="n"/>
      <c r="AC140" s="30" t="n"/>
      <c r="AD140" s="24" t="n"/>
      <c r="AE140" s="31" t="inlineStr">
        <is>
          <t>Neutral Elo baseline; executable ask 0.3800 (market_slug=aec-lol-miss-dog-2026-08-14).</t>
        </is>
      </c>
      <c r="AF140" s="31" t="inlineStr">
        <is>
          <t>Config-promoted esports baseline; gates enforced at log time.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Dorado Gaming</t>
        </is>
      </c>
      <c r="AQ140" s="24" t="inlineStr">
        <is>
          <t>Dorado Gaming</t>
        </is>
      </c>
      <c r="AR140" s="24" t="inlineStr">
        <is>
          <t>Dorado Gaming</t>
        </is>
      </c>
      <c r="AS140" s="24" t="inlineStr">
        <is>
          <t>University of Mississippi</t>
        </is>
      </c>
      <c r="AT140" s="24" t="inlineStr">
        <is>
          <t>University of Mississippi</t>
        </is>
      </c>
      <c r="AU140" s="24" t="inlineStr">
        <is>
          <t>University of Mississippi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698fbd14da7d032b3a980c8214767b8eb223167868cd2cea373258eb5e4ac7b4</t>
        </is>
      </c>
      <c r="BB140" s="24" t="inlineStr">
        <is>
          <t>neutral_elo</t>
        </is>
      </c>
      <c r="BC140" s="24" t="inlineStr">
        <is>
          <t>lol-tiered-elo-v6</t>
        </is>
      </c>
      <c r="BD140" s="24" t="inlineStr">
        <is>
          <t>698fbd14da7d032b3a980c8214767b8eb223167868cd2cea373258eb5e4ac7b4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lol-tiered-elo-v6</t>
        </is>
      </c>
      <c r="BH140" s="24" t="inlineStr">
        <is>
          <t>2026-08-12T17:44:52.374293Z</t>
        </is>
      </c>
      <c r="BI140" s="24" t="inlineStr">
        <is>
          <t>["same_event","same_team_same_day","same_league_same_day"]</t>
        </is>
      </c>
      <c r="BJ140" s="25" t="n"/>
      <c r="BK140" s="26" t="n">
        <v>163</v>
      </c>
      <c r="BL140" s="27" t="n">
        <v>2.63</v>
      </c>
      <c r="BM140" s="28" t="n">
        <v>0.380228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</row>
    <row r="141" ht="36" customHeight="1">
      <c r="A141" s="24" t="inlineStr">
        <is>
          <t>6c52d42d970042bf</t>
        </is>
      </c>
      <c r="B141" s="24" t="inlineStr">
        <is>
          <t>2026-08-12T17:44:54.191555Z</t>
        </is>
      </c>
      <c r="C141" s="24" t="inlineStr">
        <is>
          <t>2026-08-14T03:00:00Z</t>
        </is>
      </c>
      <c r="D141" s="24" t="inlineStr">
        <is>
          <t>78153</t>
        </is>
      </c>
      <c r="E141" s="24" t="inlineStr">
        <is>
          <t>LOL</t>
        </is>
      </c>
      <c r="F141" s="24" t="inlineStr">
        <is>
          <t>Dplus KIA Challengers</t>
        </is>
      </c>
      <c r="G141" s="24" t="inlineStr">
        <is>
          <t>T1 Academy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-170</v>
      </c>
      <c r="M141" s="27" t="n">
        <v>1.588235</v>
      </c>
      <c r="N141" s="28" t="n">
        <v>0.62963</v>
      </c>
      <c r="O141" s="28" t="n">
        <v>0.505316</v>
      </c>
      <c r="P141" s="28" t="n"/>
      <c r="Q141" s="28" t="n">
        <v>-0.124314</v>
      </c>
      <c r="R141" s="26" t="n">
        <v>0</v>
      </c>
      <c r="S141" s="29" t="n">
        <v>1</v>
      </c>
      <c r="T141" s="24" t="inlineStr">
        <is>
          <t>lol-tiered-elo-v6</t>
        </is>
      </c>
      <c r="U141" s="24" t="inlineStr">
        <is>
          <t>open</t>
        </is>
      </c>
      <c r="V141" s="24" t="n"/>
      <c r="W141" s="26" t="n"/>
      <c r="X141" s="26" t="n"/>
      <c r="Y141" s="25" t="n"/>
      <c r="Z141" s="26" t="n"/>
      <c r="AA141" s="28" t="n"/>
      <c r="AB141" s="28" t="n"/>
      <c r="AC141" s="30" t="n"/>
      <c r="AD141" s="24" t="n"/>
      <c r="AE141" s="31" t="inlineStr">
        <is>
          <t>Neutral Elo baseline; executable ask 0.6300 (market_slug=aec-lol-t1a-dkc-2026-08-14).</t>
        </is>
      </c>
      <c r="AF141" s="31" t="inlineStr">
        <is>
          <t>Config-promoted esports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NO_CALL_LOW_EDGE</t>
        </is>
      </c>
      <c r="AP141" s="24" t="inlineStr">
        <is>
          <t>Dplus KIA Challengers</t>
        </is>
      </c>
      <c r="AQ141" s="24" t="inlineStr">
        <is>
          <t>Dplus KIA Challengers</t>
        </is>
      </c>
      <c r="AR141" s="24" t="inlineStr">
        <is>
          <t>Dplus KIA Challengers</t>
        </is>
      </c>
      <c r="AS141" s="24" t="inlineStr">
        <is>
          <t>T1 Academy</t>
        </is>
      </c>
      <c r="AT141" s="24" t="inlineStr">
        <is>
          <t>T1 Academy</t>
        </is>
      </c>
      <c r="AU141" s="24" t="inlineStr">
        <is>
          <t>T1 Academy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698fbd14da7d032b3a980c8214767b8eb223167868cd2cea373258eb5e4ac7b4</t>
        </is>
      </c>
      <c r="BB141" s="24" t="inlineStr">
        <is>
          <t>neutral_elo</t>
        </is>
      </c>
      <c r="BC141" s="24" t="inlineStr">
        <is>
          <t>lol-tiered-elo-v6</t>
        </is>
      </c>
      <c r="BD141" s="24" t="inlineStr">
        <is>
          <t>698fbd14da7d032b3a980c8214767b8eb223167868cd2cea373258eb5e4ac7b4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lol-tiered-elo-v6</t>
        </is>
      </c>
      <c r="BH141" s="24" t="inlineStr">
        <is>
          <t>2026-08-12T17:44:54.190686Z</t>
        </is>
      </c>
      <c r="BI141" s="24" t="inlineStr">
        <is>
          <t>["same_event","same_team_same_day","same_league_same_day"]</t>
        </is>
      </c>
      <c r="BJ141" s="25" t="n"/>
      <c r="BK141" s="26" t="n">
        <v>-170</v>
      </c>
      <c r="BL141" s="27" t="n">
        <v>1.588235</v>
      </c>
      <c r="BM141" s="28" t="n">
        <v>0.62963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2026-08-12T17:45:44Z</dcterms:created>
  <dcterms:modified xmlns:dcterms="http://purl.org/dc/terms/" xmlns:xsi="http://www.w3.org/2001/XMLSchema-instance" xsi:type="dcterms:W3CDTF">2026-08-12T17:45:44Z</dcterms:modified>
</cp:coreProperties>
</file>