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9" headerRowCount="1">
  <autoFilter ref="A1:CO19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COUNTA('Picks'!$A$2:$A$19)</f>
        <v/>
      </c>
      <c r="C4" s="6">
        <f>COUNTIF('Picks'!$U$2:$U$19,"open")</f>
        <v/>
      </c>
      <c r="E4" s="6">
        <f>COUNTIF('Picks'!$U$2:$U$19,"settled")</f>
        <v/>
      </c>
      <c r="G4" s="6">
        <f>IF(COUNTIFS('Picks'!$U$2:$U$19,"settled",'Picks'!$V$2:$V$19,"win")+COUNTIFS('Picks'!$U$2:$U$19,"settled",'Picks'!$V$2:$V$19,"loss")&gt;=$L$2,"Ready","Insufficient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COUNTIF('Picks'!$BX$2:$BX$19,"&gt;0")</f>
        <v/>
      </c>
      <c r="C7" s="6">
        <f>COUNTIFS('Picks'!$BX$2:$BX$19,"&gt;0",'Picks'!$V$2:$V$19,"win")&amp;"-"&amp;COUNTIFS('Picks'!$BX$2:$BX$19,"&gt;0",'Picks'!$V$2:$V$19,"loss")</f>
        <v/>
      </c>
      <c r="E7" s="7">
        <f>IFERROR(COUNTIFS('Picks'!$BX$2:$BX$19,"&gt;0",'Picks'!$V$2:$V$19,"win")/(COUNTIFS('Picks'!$BX$2:$BX$19,"&gt;0",'Picks'!$V$2:$V$19,"win")+COUNTIFS('Picks'!$BX$2:$BX$19,"&gt;0",'Picks'!$V$2:$V$19,"loss")),0)</f>
        <v/>
      </c>
      <c r="G7" s="7">
        <f>IFERROR(SUM('Picks'!$BY$2:$BY$19)/SUM('Picks'!$BX$2:$BX$19),0)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SUM('Picks'!$BY$2:$BY$19)</f>
        <v/>
      </c>
      <c r="C10" s="9">
        <f>IFERROR(AVERAGEIF('Picks'!$AB$2:$AB$19,"&lt;&gt;",'Picks'!$AB$2:$AB$19),0)</f>
        <v/>
      </c>
      <c r="E10" s="6">
        <f>COUNTIFS('Picks'!$AM$2:$AM$19,"QUALIFIED_SHADOW_CALL",'Picks'!$U$2:$U$19,"settled")</f>
        <v/>
      </c>
      <c r="G10" s="8">
        <f>SUMIFS('Picks'!$AC$2:$AC$19,'Picks'!$AM$2:$AM$19,"QUALIFIED_SHADOW_CALL")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COUNTIFS('Picks'!$H$2:$H$19,$A14,'Picks'!$U$2:$U$19,"settled")</f>
        <v/>
      </c>
      <c r="C14" s="13">
        <f>COUNTIFS('Picks'!$H$2:$H$19,$A14,'Picks'!$U$2:$U$19,"settled",'Picks'!$V$2:$V$19,"win")</f>
        <v/>
      </c>
      <c r="D14" s="13">
        <f>COUNTIFS('Picks'!$H$2:$H$19,$A14,'Picks'!$U$2:$U$19,"settled",'Picks'!$V$2:$V$19,"loss")</f>
        <v/>
      </c>
      <c r="E14" s="14">
        <f>IFERROR(C14/(C14+D14),0)</f>
        <v/>
      </c>
      <c r="F14" s="15">
        <f>SUMIFS('Picks'!$BY$2:$BY$19,'Picks'!$H$2:$H$19,$A14)</f>
        <v/>
      </c>
      <c r="G14" s="16">
        <f>IFERROR(AVERAGEIFS('Picks'!$AB$2:$AB$19,'Picks'!$H$2:$H$19,$A14,'Picks'!$U$2:$U$19,"settled"),0)</f>
        <v/>
      </c>
    </row>
    <row r="15">
      <c r="A15" s="17" t="inlineStr">
        <is>
          <t>spread</t>
        </is>
      </c>
      <c r="B15" s="18">
        <f>COUNTIFS('Picks'!$H$2:$H$19,$A15,'Picks'!$U$2:$U$19,"settled")</f>
        <v/>
      </c>
      <c r="C15" s="18">
        <f>COUNTIFS('Picks'!$H$2:$H$19,$A15,'Picks'!$U$2:$U$19,"settled",'Picks'!$V$2:$V$19,"win")</f>
        <v/>
      </c>
      <c r="D15" s="18">
        <f>COUNTIFS('Picks'!$H$2:$H$19,$A15,'Picks'!$U$2:$U$19,"settled",'Picks'!$V$2:$V$19,"loss")</f>
        <v/>
      </c>
      <c r="E15" s="19">
        <f>IFERROR(C15/(C15+D15),0)</f>
        <v/>
      </c>
      <c r="F15" s="20">
        <f>SUMIFS('Picks'!$BY$2:$BY$19,'Picks'!$H$2:$H$19,$A15)</f>
        <v/>
      </c>
      <c r="G15" s="21">
        <f>IFERROR(AVERAGEIFS('Picks'!$AB$2:$AB$19,'Picks'!$H$2:$H$19,$A15,'Picks'!$U$2:$U$19,"settled"),0)</f>
        <v/>
      </c>
    </row>
    <row r="16">
      <c r="A16" s="12" t="inlineStr">
        <is>
          <t>total</t>
        </is>
      </c>
      <c r="B16" s="13">
        <f>COUNTIFS('Picks'!$H$2:$H$19,$A16,'Picks'!$U$2:$U$19,"settled")</f>
        <v/>
      </c>
      <c r="C16" s="13">
        <f>COUNTIFS('Picks'!$H$2:$H$19,$A16,'Picks'!$U$2:$U$19,"settled",'Picks'!$V$2:$V$19,"win")</f>
        <v/>
      </c>
      <c r="D16" s="13">
        <f>COUNTIFS('Picks'!$H$2:$H$19,$A16,'Picks'!$U$2:$U$19,"settled",'Picks'!$V$2:$V$19,"loss")</f>
        <v/>
      </c>
      <c r="E16" s="14">
        <f>IFERROR(C16/(C16+D16),0)</f>
        <v/>
      </c>
      <c r="F16" s="15">
        <f>SUMIFS('Picks'!$BY$2:$BY$19,'Picks'!$H$2:$H$19,$A16)</f>
        <v/>
      </c>
      <c r="G16" s="16">
        <f>IFERROR(AVERAGEIFS('Picks'!$AB$2:$AB$19,'Picks'!$H$2:$H$19,$A16,'Picks'!$U$2:$U$19,"settled"),0)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a662a96bd5fc4d38</t>
        </is>
      </c>
      <c r="B2" s="24" t="inlineStr">
        <is>
          <t>2026-07-24T10:52:00.691444Z</t>
        </is>
      </c>
      <c r="C2" s="24" t="inlineStr">
        <is>
          <t>2026-07-25T07:00:00Z</t>
        </is>
      </c>
      <c r="D2" s="24" t="inlineStr">
        <is>
          <t>59230</t>
        </is>
      </c>
      <c r="E2" s="24" t="inlineStr">
        <is>
          <t>LOL</t>
        </is>
      </c>
      <c r="F2" s="24" t="inlineStr">
        <is>
          <t>Team WE</t>
        </is>
      </c>
      <c r="G2" s="24" t="inlineStr">
        <is>
          <t>LGD Gaming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144</v>
      </c>
      <c r="M2" s="27" t="n">
        <v>2.44</v>
      </c>
      <c r="N2" s="28" t="n">
        <v>0.409836</v>
      </c>
      <c r="O2" s="28" t="n">
        <v>0.437668</v>
      </c>
      <c r="P2" s="28" t="n"/>
      <c r="Q2" s="28" t="n">
        <v>0.027832</v>
      </c>
      <c r="R2" s="26" t="n">
        <v>68</v>
      </c>
      <c r="S2" s="29" t="n">
        <v>0</v>
      </c>
      <c r="T2" s="24" t="inlineStr">
        <is>
          <t>lol-tiered-elo-v4</t>
        </is>
      </c>
      <c r="U2" s="24" t="inlineStr">
        <is>
          <t>settled</t>
        </is>
      </c>
      <c r="V2" s="24" t="inlineStr">
        <is>
          <t>push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2026-07-25T23:18:34.088984Z</t>
        </is>
      </c>
      <c r="AE2" s="31" t="inlineStr">
        <is>
          <t>Neutral Elo baseline; executable ask 0.4100 (market_slug=aec-lol-lgd-we-2026-07-25).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NO_CALL_MODEL_INELIGIBLE</t>
        </is>
      </c>
      <c r="AP2" s="24" t="inlineStr">
        <is>
          <t>Team WE</t>
        </is>
      </c>
      <c r="AQ2" s="24" t="inlineStr">
        <is>
          <t>Team WE</t>
        </is>
      </c>
      <c r="AR2" s="24" t="inlineStr">
        <is>
          <t>Team WE</t>
        </is>
      </c>
      <c r="AS2" s="24" t="inlineStr">
        <is>
          <t>LGD Gaming</t>
        </is>
      </c>
      <c r="AT2" s="24" t="inlineStr">
        <is>
          <t>LGD Gaming</t>
        </is>
      </c>
      <c r="AU2" s="24" t="inlineStr">
        <is>
          <t>LGD Gaming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35087e828a0053011a97024de693e2ee7eb80eb03024c91d28d254de09d93778</t>
        </is>
      </c>
      <c r="BB2" s="24" t="inlineStr">
        <is>
          <t>neutral_elo</t>
        </is>
      </c>
      <c r="BC2" s="24" t="inlineStr">
        <is>
          <t>lol-tiered-elo-v3</t>
        </is>
      </c>
      <c r="BD2" s="24" t="inlineStr">
        <is>
          <t>dbc38ecdb090b63690db810d40eb29d0a69435c83dfbf24eb00d22aa42c177ae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lol-tiered-elo-v3</t>
        </is>
      </c>
      <c r="BH2" s="24" t="inlineStr">
        <is>
          <t>2026-07-24T10:51:37.604493Z</t>
        </is>
      </c>
      <c r="BI2" s="24" t="inlineStr">
        <is>
          <t>["same_event","same_team_same_day","same_league_same_day"]</t>
        </is>
      </c>
      <c r="BJ2" s="25" t="n"/>
      <c r="BK2" s="26" t="n">
        <v>144</v>
      </c>
      <c r="BL2" s="27" t="n">
        <v>2.44</v>
      </c>
      <c r="BM2" s="28" t="n">
        <v>0.409836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model_prob_below_0.5_bug: selected side was never actually favored by the model (pre-fix esports logging bug in _log_esports_forecast, fixed 2026-07-25 with model_prob&lt;0.5 guard)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5bf5f2c775254446</t>
        </is>
      </c>
      <c r="B3" s="24" t="inlineStr">
        <is>
          <t>2026-07-24T10:52:00.691444Z</t>
        </is>
      </c>
      <c r="C3" s="24" t="inlineStr">
        <is>
          <t>2026-07-25T09:00:00Z</t>
        </is>
      </c>
      <c r="D3" s="24" t="inlineStr">
        <is>
          <t>59239</t>
        </is>
      </c>
      <c r="E3" s="24" t="inlineStr">
        <is>
          <t>LOL</t>
        </is>
      </c>
      <c r="F3" s="24" t="inlineStr">
        <is>
          <t>Weibo Gaming</t>
        </is>
      </c>
      <c r="G3" s="24" t="inlineStr">
        <is>
          <t>Invictus Gaming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0.638612</v>
      </c>
      <c r="P3" s="28" t="n"/>
      <c r="Q3" s="28" t="n">
        <v>0.169128</v>
      </c>
      <c r="R3" s="26" t="n">
        <v>64</v>
      </c>
      <c r="S3" s="29" t="n">
        <v>1</v>
      </c>
      <c r="T3" s="24" t="inlineStr">
        <is>
          <t>lol-tiered-elo-v4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-1</v>
      </c>
      <c r="AD3" s="24" t="inlineStr">
        <is>
          <t>2026-07-25T15:25:48.117699Z</t>
        </is>
      </c>
      <c r="AE3" s="31" t="inlineStr">
        <is>
          <t>Neutral Elo baseline; executable ask 0.4700 (market_slug=aec-lol-ig-wb-2026-07-25).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Weibo Gaming</t>
        </is>
      </c>
      <c r="AQ3" s="24" t="inlineStr">
        <is>
          <t>Weibo Gaming</t>
        </is>
      </c>
      <c r="AR3" s="24" t="inlineStr">
        <is>
          <t>Weibo Gaming</t>
        </is>
      </c>
      <c r="AS3" s="24" t="inlineStr">
        <is>
          <t>Invictus Gaming</t>
        </is>
      </c>
      <c r="AT3" s="24" t="inlineStr">
        <is>
          <t>Invictus Gaming</t>
        </is>
      </c>
      <c r="AU3" s="24" t="inlineStr">
        <is>
          <t>Invictus Gaming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35087e828a0053011a97024de693e2ee7eb80eb03024c91d28d254de09d93778</t>
        </is>
      </c>
      <c r="BB3" s="24" t="inlineStr">
        <is>
          <t>neutral_elo</t>
        </is>
      </c>
      <c r="BC3" s="24" t="inlineStr">
        <is>
          <t>lol-tiered-elo-v3</t>
        </is>
      </c>
      <c r="BD3" s="24" t="inlineStr">
        <is>
          <t>dbc38ecdb090b63690db810d40eb29d0a69435c83dfbf24eb00d22aa42c177ae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lol-tiered-elo-v3</t>
        </is>
      </c>
      <c r="BH3" s="24" t="inlineStr">
        <is>
          <t>2026-07-24T10:51:41.784002Z</t>
        </is>
      </c>
      <c r="BI3" s="24" t="inlineStr">
        <is>
          <t>["same_event","same_team_same_day","same_league_same_day"]</t>
        </is>
      </c>
      <c r="BJ3" s="25" t="n"/>
      <c r="BK3" s="26" t="n">
        <v>113</v>
      </c>
      <c r="BL3" s="27" t="n">
        <v>2.13</v>
      </c>
      <c r="BM3" s="28" t="n">
        <v>0.469484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79acf4e1e7f0475b</t>
        </is>
      </c>
      <c r="B4" s="24" t="inlineStr">
        <is>
          <t>2026-07-24T15:45:33.271721Z</t>
        </is>
      </c>
      <c r="C4" s="24" t="inlineStr">
        <is>
          <t>2026-07-24T19:00:00Z</t>
        </is>
      </c>
      <c r="D4" s="24" t="inlineStr">
        <is>
          <t>58783</t>
        </is>
      </c>
      <c r="E4" s="24" t="inlineStr">
        <is>
          <t>LOL</t>
        </is>
      </c>
      <c r="F4" s="24" t="inlineStr">
        <is>
          <t>EKO Esports</t>
        </is>
      </c>
      <c r="G4" s="24" t="inlineStr">
        <is>
          <t>Aeterna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0.448445</v>
      </c>
      <c r="P4" s="28" t="n"/>
      <c r="Q4" s="28" t="n">
        <v>0.01926</v>
      </c>
      <c r="R4" s="26" t="n">
        <v>62</v>
      </c>
      <c r="S4" s="29" t="n">
        <v>0</v>
      </c>
      <c r="T4" s="24" t="inlineStr">
        <is>
          <t>lol-tiered-elo-v4</t>
        </is>
      </c>
      <c r="U4" s="24" t="inlineStr">
        <is>
          <t>settled</t>
        </is>
      </c>
      <c r="V4" s="24" t="inlineStr">
        <is>
          <t>push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0</v>
      </c>
      <c r="AD4" s="24" t="inlineStr">
        <is>
          <t>2026-07-25T23:18:34.089000Z</t>
        </is>
      </c>
      <c r="AE4" s="31" t="inlineStr">
        <is>
          <t>Neutral Elo baseline; executable ask 0.4300 (market_slug=aec-lol-aee-eko-2026-07-24).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NO_CALL_MODEL_INELIGIBLE</t>
        </is>
      </c>
      <c r="AP4" s="24" t="inlineStr">
        <is>
          <t>EKO Esports</t>
        </is>
      </c>
      <c r="AQ4" s="24" t="inlineStr">
        <is>
          <t>EKO Esports</t>
        </is>
      </c>
      <c r="AR4" s="24" t="inlineStr">
        <is>
          <t>EKO Esports</t>
        </is>
      </c>
      <c r="AS4" s="24" t="inlineStr">
        <is>
          <t>Aeterna Esports</t>
        </is>
      </c>
      <c r="AT4" s="24" t="inlineStr">
        <is>
          <t>Aeterna Esports</t>
        </is>
      </c>
      <c r="AU4" s="24" t="inlineStr">
        <is>
          <t>Aeterna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35087e828a0053011a97024de693e2ee7eb80eb03024c91d28d254de09d93778</t>
        </is>
      </c>
      <c r="BB4" s="24" t="inlineStr">
        <is>
          <t>neutral_elo</t>
        </is>
      </c>
      <c r="BC4" s="24" t="inlineStr">
        <is>
          <t>lol-tiered-elo-v3</t>
        </is>
      </c>
      <c r="BD4" s="24" t="inlineStr">
        <is>
          <t>dbc38ecdb090b63690db810d40eb29d0a69435c83dfbf24eb00d22aa42c177ae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lol-tiered-elo-v3</t>
        </is>
      </c>
      <c r="BH4" s="24" t="inlineStr">
        <is>
          <t>2026-07-24T15:45:23.824161Z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model_prob_below_0.5_bug: selected side was never actually favored by the model (pre-fix esports logging bug in _log_esports_forecast, fixed 2026-07-25 with model_prob&lt;0.5 guard)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53a994676d2b46c8</t>
        </is>
      </c>
      <c r="B5" s="24" t="inlineStr">
        <is>
          <t>2026-07-25T16:16:17.517287Z</t>
        </is>
      </c>
      <c r="C5" s="24" t="inlineStr">
        <is>
          <t>2026-07-25T17:00:00Z</t>
        </is>
      </c>
      <c r="D5" s="24" t="inlineStr">
        <is>
          <t>59392</t>
        </is>
      </c>
      <c r="E5" s="24" t="inlineStr">
        <is>
          <t>LOL</t>
        </is>
      </c>
      <c r="F5" s="24" t="inlineStr">
        <is>
          <t>Movistar KOI</t>
        </is>
      </c>
      <c r="G5" s="24" t="inlineStr">
        <is>
          <t>Karmine Corp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0.761127</v>
      </c>
      <c r="P5" s="28" t="n"/>
      <c r="Q5" s="28" t="n">
        <v>0.09116</v>
      </c>
      <c r="R5" s="26" t="n">
        <v>66</v>
      </c>
      <c r="S5" s="29" t="n">
        <v>2</v>
      </c>
      <c r="T5" s="24" t="inlineStr">
        <is>
          <t>lol-tiered-elo-v4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0.9852</v>
      </c>
      <c r="AD5" s="24" t="inlineStr">
        <is>
          <t>2026-07-25T19:18:07.087318Z</t>
        </is>
      </c>
      <c r="AE5" s="31" t="inlineStr">
        <is>
          <t>Neutral Elo baseline; executable ask 0.6700 (market_slug=aec-lol-kc-mkoi-2026-07-25).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Movistar KOI</t>
        </is>
      </c>
      <c r="AQ5" s="24" t="inlineStr">
        <is>
          <t>Movistar KOI</t>
        </is>
      </c>
      <c r="AR5" s="24" t="inlineStr">
        <is>
          <t>Movistar KOI</t>
        </is>
      </c>
      <c r="AS5" s="24" t="inlineStr">
        <is>
          <t>Karmine Corp</t>
        </is>
      </c>
      <c r="AT5" s="24" t="inlineStr">
        <is>
          <t>Karmine Corp</t>
        </is>
      </c>
      <c r="AU5" s="24" t="inlineStr">
        <is>
          <t>Karmine Corp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35087e828a0053011a97024de693e2ee7eb80eb03024c91d28d254de09d93778</t>
        </is>
      </c>
      <c r="BB5" s="24" t="inlineStr">
        <is>
          <t>neutral_elo</t>
        </is>
      </c>
      <c r="BC5" s="24" t="inlineStr">
        <is>
          <t>lol-tiered-elo-v4</t>
        </is>
      </c>
      <c r="BD5" s="24" t="inlineStr">
        <is>
          <t>35087e828a0053011a97024de693e2ee7eb80eb03024c91d28d254de09d93778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lol-tiered-elo-v4</t>
        </is>
      </c>
      <c r="BH5" s="24" t="inlineStr">
        <is>
          <t>2026-07-25T16:16:06.872882Z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a42e170c751e4309</t>
        </is>
      </c>
      <c r="B6" s="24" t="inlineStr">
        <is>
          <t>2026-07-26T12:49:32.359065Z</t>
        </is>
      </c>
      <c r="C6" s="24" t="inlineStr">
        <is>
          <t>2026-07-26T13:00:00Z</t>
        </is>
      </c>
      <c r="D6" s="24" t="inlineStr">
        <is>
          <t>60120</t>
        </is>
      </c>
      <c r="E6" s="24" t="inlineStr">
        <is>
          <t>LOL</t>
        </is>
      </c>
      <c r="F6" s="24" t="inlineStr">
        <is>
          <t>Team High Ground</t>
        </is>
      </c>
      <c r="G6" s="24" t="inlineStr">
        <is>
          <t>Galions Sharks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0.5456</v>
      </c>
      <c r="P6" s="28" t="n"/>
      <c r="Q6" s="28" t="n">
        <v>0.135764</v>
      </c>
      <c r="R6" s="26" t="n">
        <v>88</v>
      </c>
      <c r="S6" s="29" t="n">
        <v>1</v>
      </c>
      <c r="T6" s="24" t="inlineStr">
        <is>
          <t>lol-tiered-elo-v4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2026-07-26T17:52:33.905977Z</t>
        </is>
      </c>
      <c r="AE6" s="31" t="inlineStr">
        <is>
          <t>Neutral Elo baseline; executable ask 0.4100 (market_slug=aec-lol-gls-thg-2026-07-26).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Team High Ground</t>
        </is>
      </c>
      <c r="AQ6" s="24" t="inlineStr">
        <is>
          <t>Team High Ground</t>
        </is>
      </c>
      <c r="AR6" s="24" t="inlineStr">
        <is>
          <t>Team High Ground</t>
        </is>
      </c>
      <c r="AS6" s="24" t="inlineStr">
        <is>
          <t>Galions Sharks</t>
        </is>
      </c>
      <c r="AT6" s="24" t="inlineStr">
        <is>
          <t>Galions Sharks</t>
        </is>
      </c>
      <c r="AU6" s="24" t="inlineStr">
        <is>
          <t>Galions Sharks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35087e828a0053011a97024de693e2ee7eb80eb03024c91d28d254de09d93778</t>
        </is>
      </c>
      <c r="BB6" s="24" t="inlineStr">
        <is>
          <t>neutral_elo</t>
        </is>
      </c>
      <c r="BC6" s="24" t="inlineStr">
        <is>
          <t>lol-tiered-elo-v4</t>
        </is>
      </c>
      <c r="BD6" s="24" t="inlineStr">
        <is>
          <t>35087e828a0053011a97024de693e2ee7eb80eb03024c91d28d254de09d93778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lol-tiered-elo-v4</t>
        </is>
      </c>
      <c r="BH6" s="24" t="inlineStr">
        <is>
          <t>2026-07-26T12:49:10.049609Z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4251a66dd47d405b</t>
        </is>
      </c>
      <c r="B7" s="24" t="inlineStr">
        <is>
          <t>2026-07-26T12:49:32.359065Z</t>
        </is>
      </c>
      <c r="C7" s="24" t="inlineStr">
        <is>
          <t>2026-07-26T17:00:00Z</t>
        </is>
      </c>
      <c r="D7" s="24" t="inlineStr">
        <is>
          <t>60180</t>
        </is>
      </c>
      <c r="E7" s="24" t="inlineStr">
        <is>
          <t>LOL</t>
        </is>
      </c>
      <c r="F7" s="24" t="inlineStr">
        <is>
          <t>Karmine Corp</t>
        </is>
      </c>
      <c r="G7" s="24" t="inlineStr">
        <is>
          <t>G2 Esports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150</v>
      </c>
      <c r="M7" s="27" t="n">
        <v>2.5</v>
      </c>
      <c r="N7" s="28" t="n">
        <v>0.4</v>
      </c>
      <c r="O7" s="28" t="n">
        <v>0.621842</v>
      </c>
      <c r="P7" s="28" t="n"/>
      <c r="Q7" s="28" t="n">
        <v>0.221842</v>
      </c>
      <c r="R7" s="26" t="n">
        <v>100</v>
      </c>
      <c r="S7" s="29" t="n">
        <v>1.75</v>
      </c>
      <c r="T7" s="24" t="inlineStr">
        <is>
          <t>lol-tiered-elo-v4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0.4000 (market_slug=aec-lol-g2-kc-2026-07-26).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Karmine Corp</t>
        </is>
      </c>
      <c r="AQ7" s="24" t="inlineStr">
        <is>
          <t>Karmine Corp</t>
        </is>
      </c>
      <c r="AR7" s="24" t="inlineStr">
        <is>
          <t>Karmine Corp</t>
        </is>
      </c>
      <c r="AS7" s="24" t="inlineStr">
        <is>
          <t>G2 Esports</t>
        </is>
      </c>
      <c r="AT7" s="24" t="inlineStr">
        <is>
          <t>G2 Esports</t>
        </is>
      </c>
      <c r="AU7" s="24" t="inlineStr">
        <is>
          <t>G2 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35087e828a0053011a97024de693e2ee7eb80eb03024c91d28d254de09d93778</t>
        </is>
      </c>
      <c r="BB7" s="24" t="inlineStr">
        <is>
          <t>neutral_elo</t>
        </is>
      </c>
      <c r="BC7" s="24" t="inlineStr">
        <is>
          <t>lol-tiered-elo-v4</t>
        </is>
      </c>
      <c r="BD7" s="24" t="inlineStr">
        <is>
          <t>35087e828a0053011a97024de693e2ee7eb80eb03024c91d28d254de09d93778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lol-tiered-elo-v4</t>
        </is>
      </c>
      <c r="BH7" s="24" t="inlineStr">
        <is>
          <t>2026-07-26T12:49:13.248928Z</t>
        </is>
      </c>
      <c r="BI7" s="24" t="inlineStr">
        <is>
          <t>["same_event","same_team_same_day","same_league_same_day"]</t>
        </is>
      </c>
      <c r="BJ7" s="25" t="n"/>
      <c r="BK7" s="26" t="n">
        <v>150</v>
      </c>
      <c r="BL7" s="27" t="n">
        <v>2.5</v>
      </c>
      <c r="BM7" s="28" t="n">
        <v>0.4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1f517fe029654f3d</t>
        </is>
      </c>
      <c r="B8" s="24" t="inlineStr">
        <is>
          <t>2026-07-26T19:32:06.087195Z</t>
        </is>
      </c>
      <c r="C8" s="24" t="inlineStr">
        <is>
          <t>2026-07-26T20:00:00Z</t>
        </is>
      </c>
      <c r="D8" s="24" t="inlineStr">
        <is>
          <t>60465</t>
        </is>
      </c>
      <c r="E8" s="24" t="inlineStr">
        <is>
          <t>LOL</t>
        </is>
      </c>
      <c r="F8" s="24" t="inlineStr">
        <is>
          <t>Cloud9</t>
        </is>
      </c>
      <c r="G8" s="24" t="inlineStr">
        <is>
          <t>Team Liquid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-144</v>
      </c>
      <c r="M8" s="27" t="n">
        <v>1.694444</v>
      </c>
      <c r="N8" s="28" t="n">
        <v>0.590164</v>
      </c>
      <c r="O8" s="28" t="n">
        <v>0.723066</v>
      </c>
      <c r="P8" s="28" t="n"/>
      <c r="Q8" s="28" t="n">
        <v>0.132902</v>
      </c>
      <c r="R8" s="26" t="n">
        <v>86</v>
      </c>
      <c r="S8" s="29" t="n">
        <v>2</v>
      </c>
      <c r="T8" s="24" t="inlineStr">
        <is>
          <t>lol-tiered-elo-v4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0.5900 (market_slug=aec-lol-tl-c9-2026-07-26).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Cloud9</t>
        </is>
      </c>
      <c r="AQ8" s="24" t="inlineStr">
        <is>
          <t>Cloud9</t>
        </is>
      </c>
      <c r="AR8" s="24" t="inlineStr">
        <is>
          <t>Cloud9</t>
        </is>
      </c>
      <c r="AS8" s="24" t="inlineStr">
        <is>
          <t>Team Liquid</t>
        </is>
      </c>
      <c r="AT8" s="24" t="inlineStr">
        <is>
          <t>Team Liquid</t>
        </is>
      </c>
      <c r="AU8" s="24" t="inlineStr">
        <is>
          <t>Team Liquid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35087e828a0053011a97024de693e2ee7eb80eb03024c91d28d254de09d93778</t>
        </is>
      </c>
      <c r="BB8" s="24" t="inlineStr">
        <is>
          <t>neutral_elo</t>
        </is>
      </c>
      <c r="BC8" s="24" t="inlineStr">
        <is>
          <t>lol-tiered-elo-v4</t>
        </is>
      </c>
      <c r="BD8" s="24" t="inlineStr">
        <is>
          <t>35087e828a0053011a97024de693e2ee7eb80eb03024c91d28d254de09d93778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lol-tiered-elo-v4</t>
        </is>
      </c>
      <c r="BH8" s="24" t="inlineStr">
        <is>
          <t>2026-07-26T19:31:54.450139Z</t>
        </is>
      </c>
      <c r="BI8" s="24" t="inlineStr">
        <is>
          <t>["same_event","same_team_same_day","same_league_same_day"]</t>
        </is>
      </c>
      <c r="BJ8" s="25" t="n"/>
      <c r="BK8" s="26" t="n">
        <v>-144</v>
      </c>
      <c r="BL8" s="27" t="n">
        <v>1.694444</v>
      </c>
      <c r="BM8" s="28" t="n">
        <v>0.590164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5b1e9280f54a4e88</t>
        </is>
      </c>
      <c r="B9" s="24" t="inlineStr">
        <is>
          <t>2026-07-26T19:32:06.087195Z</t>
        </is>
      </c>
      <c r="C9" s="24" t="inlineStr">
        <is>
          <t>2026-07-26T23:00:00Z</t>
        </is>
      </c>
      <c r="D9" s="24" t="inlineStr">
        <is>
          <t>60600</t>
        </is>
      </c>
      <c r="E9" s="24" t="inlineStr">
        <is>
          <t>LOL</t>
        </is>
      </c>
      <c r="F9" s="24" t="inlineStr">
        <is>
          <t>Disguised</t>
        </is>
      </c>
      <c r="G9" s="24" t="inlineStr">
        <is>
          <t>Shopify Rebellion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0.543543</v>
      </c>
      <c r="P9" s="28" t="n"/>
      <c r="Q9" s="28" t="n">
        <v>-0.027272</v>
      </c>
      <c r="R9" s="26" t="n">
        <v>6</v>
      </c>
      <c r="S9" s="29" t="n">
        <v>0</v>
      </c>
      <c r="T9" s="24" t="inlineStr">
        <is>
          <t>lol-tiered-elo-v4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0.5700 (market_slug=aec-lol-sr-dsg-2026-07-26).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Disguised</t>
        </is>
      </c>
      <c r="AQ9" s="24" t="inlineStr">
        <is>
          <t>Disguised</t>
        </is>
      </c>
      <c r="AR9" s="24" t="inlineStr">
        <is>
          <t>Disguised</t>
        </is>
      </c>
      <c r="AS9" s="24" t="inlineStr">
        <is>
          <t>Shopify Rebellion</t>
        </is>
      </c>
      <c r="AT9" s="24" t="inlineStr">
        <is>
          <t>Shopify Rebellion</t>
        </is>
      </c>
      <c r="AU9" s="24" t="inlineStr">
        <is>
          <t>Shopify Rebellion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35087e828a0053011a97024de693e2ee7eb80eb03024c91d28d254de09d93778</t>
        </is>
      </c>
      <c r="BB9" s="24" t="inlineStr">
        <is>
          <t>neutral_elo</t>
        </is>
      </c>
      <c r="BC9" s="24" t="inlineStr">
        <is>
          <t>lol-tiered-elo-v4</t>
        </is>
      </c>
      <c r="BD9" s="24" t="inlineStr">
        <is>
          <t>35087e828a0053011a97024de693e2ee7eb80eb03024c91d28d254de09d93778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lol-tiered-elo-v4</t>
        </is>
      </c>
      <c r="BH9" s="24" t="inlineStr">
        <is>
          <t>2026-07-26T19:31:54.940088Z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02d7b3eb10fb4e4e</t>
        </is>
      </c>
      <c r="B10" s="24" t="inlineStr">
        <is>
          <t>2026-07-26T19:32:06.087195Z</t>
        </is>
      </c>
      <c r="C10" s="24" t="inlineStr">
        <is>
          <t>2026-07-27T06:00:00Z</t>
        </is>
      </c>
      <c r="D10" s="24" t="inlineStr">
        <is>
          <t>60701</t>
        </is>
      </c>
      <c r="E10" s="24" t="inlineStr">
        <is>
          <t>LOL</t>
        </is>
      </c>
      <c r="F10" s="24" t="inlineStr">
        <is>
          <t>Gen.G</t>
        </is>
      </c>
      <c r="G10" s="24" t="inlineStr">
        <is>
          <t>BNK FEARX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-113</v>
      </c>
      <c r="M10" s="27" t="n">
        <v>1.884956</v>
      </c>
      <c r="N10" s="28" t="n">
        <v>0.530516</v>
      </c>
      <c r="O10" s="28" t="n">
        <v>0.811601</v>
      </c>
      <c r="P10" s="28" t="n"/>
      <c r="Q10" s="28" t="n">
        <v>0.281085</v>
      </c>
      <c r="R10" s="26" t="n">
        <v>100</v>
      </c>
      <c r="S10" s="29" t="n">
        <v>2</v>
      </c>
      <c r="T10" s="24" t="inlineStr">
        <is>
          <t>lol-tiered-elo-v4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0.5300 (market_slug=aec-lol-bfx-gen-2026-07-27).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Gen.G</t>
        </is>
      </c>
      <c r="AQ10" s="24" t="inlineStr">
        <is>
          <t>Gen.G</t>
        </is>
      </c>
      <c r="AR10" s="24" t="inlineStr">
        <is>
          <t>Gen.G</t>
        </is>
      </c>
      <c r="AS10" s="24" t="inlineStr">
        <is>
          <t>BNK FEARX</t>
        </is>
      </c>
      <c r="AT10" s="24" t="inlineStr">
        <is>
          <t>BNK FEARX</t>
        </is>
      </c>
      <c r="AU10" s="24" t="inlineStr">
        <is>
          <t>BNK FEARX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35087e828a0053011a97024de693e2ee7eb80eb03024c91d28d254de09d93778</t>
        </is>
      </c>
      <c r="BB10" s="24" t="inlineStr">
        <is>
          <t>neutral_elo</t>
        </is>
      </c>
      <c r="BC10" s="24" t="inlineStr">
        <is>
          <t>lol-tiered-elo-v4</t>
        </is>
      </c>
      <c r="BD10" s="24" t="inlineStr">
        <is>
          <t>35087e828a0053011a97024de693e2ee7eb80eb03024c91d28d254de09d93778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lol-tiered-elo-v4</t>
        </is>
      </c>
      <c r="BH10" s="24" t="inlineStr">
        <is>
          <t>2026-07-26T19:31:55.452705Z</t>
        </is>
      </c>
      <c r="BI10" s="24" t="inlineStr">
        <is>
          <t>["same_event","same_team_same_day","same_league_same_day"]</t>
        </is>
      </c>
      <c r="BJ10" s="25" t="n"/>
      <c r="BK10" s="26" t="n">
        <v>-113</v>
      </c>
      <c r="BL10" s="27" t="n">
        <v>1.884956</v>
      </c>
      <c r="BM10" s="28" t="n">
        <v>0.530516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c7da7f12c0aa45f4</t>
        </is>
      </c>
      <c r="B11" s="24" t="inlineStr">
        <is>
          <t>2026-07-26T19:32:06.087195Z</t>
        </is>
      </c>
      <c r="C11" s="24" t="inlineStr">
        <is>
          <t>2026-07-27T06:45:00Z</t>
        </is>
      </c>
      <c r="D11" s="24" t="inlineStr">
        <is>
          <t>60706</t>
        </is>
      </c>
      <c r="E11" s="24" t="inlineStr">
        <is>
          <t>LOL</t>
        </is>
      </c>
      <c r="F11" s="24" t="inlineStr">
        <is>
          <t>Hanwha Life Esports</t>
        </is>
      </c>
      <c r="G11" s="24" t="inlineStr">
        <is>
          <t>Dplus KIA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-170</v>
      </c>
      <c r="M11" s="27" t="n">
        <v>1.588235</v>
      </c>
      <c r="N11" s="28" t="n">
        <v>0.62963</v>
      </c>
      <c r="O11" s="28" t="n">
        <v>0.608349</v>
      </c>
      <c r="P11" s="28" t="n"/>
      <c r="Q11" s="28" t="n">
        <v>-0.021281</v>
      </c>
      <c r="R11" s="26" t="n">
        <v>9</v>
      </c>
      <c r="S11" s="29" t="n">
        <v>0</v>
      </c>
      <c r="T11" s="24" t="inlineStr">
        <is>
          <t>lol-tiered-elo-v4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0.6300 (market_slug=aec-lol-dk-hle-2026-07-27).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Hanwha Life Esports</t>
        </is>
      </c>
      <c r="AQ11" s="24" t="inlineStr">
        <is>
          <t>Hanwha Life Esports</t>
        </is>
      </c>
      <c r="AR11" s="24" t="inlineStr">
        <is>
          <t>Hanwha Life Esports</t>
        </is>
      </c>
      <c r="AS11" s="24" t="inlineStr">
        <is>
          <t>Dplus KIA</t>
        </is>
      </c>
      <c r="AT11" s="24" t="inlineStr">
        <is>
          <t>Dplus KIA</t>
        </is>
      </c>
      <c r="AU11" s="24" t="inlineStr">
        <is>
          <t>Dplus KIA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35087e828a0053011a97024de693e2ee7eb80eb03024c91d28d254de09d93778</t>
        </is>
      </c>
      <c r="BB11" s="24" t="inlineStr">
        <is>
          <t>neutral_elo</t>
        </is>
      </c>
      <c r="BC11" s="24" t="inlineStr">
        <is>
          <t>lol-tiered-elo-v4</t>
        </is>
      </c>
      <c r="BD11" s="24" t="inlineStr">
        <is>
          <t>35087e828a0053011a97024de693e2ee7eb80eb03024c91d28d254de09d93778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lol-tiered-elo-v4</t>
        </is>
      </c>
      <c r="BH11" s="24" t="inlineStr">
        <is>
          <t>2026-07-26T19:31:56.010815Z</t>
        </is>
      </c>
      <c r="BI11" s="24" t="inlineStr">
        <is>
          <t>["same_event","same_team_same_day","same_league_same_day"]</t>
        </is>
      </c>
      <c r="BJ11" s="25" t="n"/>
      <c r="BK11" s="26" t="n">
        <v>-170</v>
      </c>
      <c r="BL11" s="27" t="n">
        <v>1.588235</v>
      </c>
      <c r="BM11" s="28" t="n">
        <v>0.62963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76183b9887974cfc</t>
        </is>
      </c>
      <c r="B12" s="24" t="inlineStr">
        <is>
          <t>2026-07-26T19:32:06.087195Z</t>
        </is>
      </c>
      <c r="C12" s="24" t="inlineStr">
        <is>
          <t>2026-07-27T07:30:00Z</t>
        </is>
      </c>
      <c r="D12" s="24" t="inlineStr">
        <is>
          <t>60707</t>
        </is>
      </c>
      <c r="E12" s="24" t="inlineStr">
        <is>
          <t>LOL</t>
        </is>
      </c>
      <c r="F12" s="24" t="inlineStr">
        <is>
          <t>Gen.G</t>
        </is>
      </c>
      <c r="G12" s="24" t="inlineStr">
        <is>
          <t>KT Rolster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122</v>
      </c>
      <c r="M12" s="27" t="n">
        <v>2.22</v>
      </c>
      <c r="N12" s="28" t="n">
        <v>0.45045</v>
      </c>
      <c r="O12" s="28" t="n">
        <v>0.7097250000000001</v>
      </c>
      <c r="P12" s="28" t="n"/>
      <c r="Q12" s="28" t="n">
        <v>0.259275</v>
      </c>
      <c r="R12" s="26" t="n">
        <v>100</v>
      </c>
      <c r="S12" s="29" t="n">
        <v>2</v>
      </c>
      <c r="T12" s="24" t="inlineStr">
        <is>
          <t>lol-tiered-elo-v4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0.4500 (market_slug=aec-lol-kt-gen-2026-07-27).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Gen.G</t>
        </is>
      </c>
      <c r="AQ12" s="24" t="inlineStr">
        <is>
          <t>Gen.G</t>
        </is>
      </c>
      <c r="AR12" s="24" t="inlineStr">
        <is>
          <t>Gen.G</t>
        </is>
      </c>
      <c r="AS12" s="24" t="inlineStr">
        <is>
          <t>KT Rolster</t>
        </is>
      </c>
      <c r="AT12" s="24" t="inlineStr">
        <is>
          <t>KT Rolster</t>
        </is>
      </c>
      <c r="AU12" s="24" t="inlineStr">
        <is>
          <t>KT Rolster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35087e828a0053011a97024de693e2ee7eb80eb03024c91d28d254de09d93778</t>
        </is>
      </c>
      <c r="BB12" s="24" t="inlineStr">
        <is>
          <t>neutral_elo</t>
        </is>
      </c>
      <c r="BC12" s="24" t="inlineStr">
        <is>
          <t>lol-tiered-elo-v4</t>
        </is>
      </c>
      <c r="BD12" s="24" t="inlineStr">
        <is>
          <t>35087e828a0053011a97024de693e2ee7eb80eb03024c91d28d254de09d93778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lol-tiered-elo-v4</t>
        </is>
      </c>
      <c r="BH12" s="24" t="inlineStr">
        <is>
          <t>2026-07-26T19:31:56.520012Z</t>
        </is>
      </c>
      <c r="BI12" s="24" t="inlineStr">
        <is>
          <t>["same_event","same_team_same_day","same_league_same_day"]</t>
        </is>
      </c>
      <c r="BJ12" s="25" t="n"/>
      <c r="BK12" s="26" t="n">
        <v>122</v>
      </c>
      <c r="BL12" s="27" t="n">
        <v>2.22</v>
      </c>
      <c r="BM12" s="28" t="n">
        <v>0.45045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291babafb06c4527</t>
        </is>
      </c>
      <c r="B13" s="24" t="inlineStr">
        <is>
          <t>2026-07-26T19:32:06.087195Z</t>
        </is>
      </c>
      <c r="C13" s="24" t="inlineStr">
        <is>
          <t>2026-07-27T08:00:00Z</t>
        </is>
      </c>
      <c r="D13" s="24" t="inlineStr">
        <is>
          <t>60708</t>
        </is>
      </c>
      <c r="E13" s="24" t="inlineStr">
        <is>
          <t>LOL</t>
        </is>
      </c>
      <c r="F13" s="24" t="inlineStr">
        <is>
          <t>Nongshim Esports Academy</t>
        </is>
      </c>
      <c r="G13" s="24" t="inlineStr">
        <is>
          <t>T1 Academy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0.6818</v>
      </c>
      <c r="P13" s="28" t="n"/>
      <c r="Q13" s="28" t="n">
        <v>0.041512</v>
      </c>
      <c r="R13" s="26" t="n">
        <v>41</v>
      </c>
      <c r="S13" s="29" t="n">
        <v>2</v>
      </c>
      <c r="T13" s="24" t="inlineStr">
        <is>
          <t>lol-tiered-elo-v4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0.6400 (market_slug=aec-lol-t1a-nsea-2026-07-27).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Nongshim Esports Academy</t>
        </is>
      </c>
      <c r="AQ13" s="24" t="inlineStr">
        <is>
          <t>Nongshim Esports Academy</t>
        </is>
      </c>
      <c r="AR13" s="24" t="inlineStr">
        <is>
          <t>Nongshim Esports Academy</t>
        </is>
      </c>
      <c r="AS13" s="24" t="inlineStr">
        <is>
          <t>T1 Academy</t>
        </is>
      </c>
      <c r="AT13" s="24" t="inlineStr">
        <is>
          <t>T1 Academy</t>
        </is>
      </c>
      <c r="AU13" s="24" t="inlineStr">
        <is>
          <t>T1 Academy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35087e828a0053011a97024de693e2ee7eb80eb03024c91d28d254de09d93778</t>
        </is>
      </c>
      <c r="BB13" s="24" t="inlineStr">
        <is>
          <t>neutral_elo</t>
        </is>
      </c>
      <c r="BC13" s="24" t="inlineStr">
        <is>
          <t>lol-tiered-elo-v4</t>
        </is>
      </c>
      <c r="BD13" s="24" t="inlineStr">
        <is>
          <t>35087e828a0053011a97024de693e2ee7eb80eb03024c91d28d254de09d93778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lol-tiered-elo-v4</t>
        </is>
      </c>
      <c r="BH13" s="24" t="inlineStr">
        <is>
          <t>2026-07-26T19:31:57.034856Z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431392cb36ee45ef</t>
        </is>
      </c>
      <c r="B14" s="24" t="inlineStr">
        <is>
          <t>2026-07-26T19:32:06.087195Z</t>
        </is>
      </c>
      <c r="C14" s="24" t="inlineStr">
        <is>
          <t>2026-07-27T08:15:00Z</t>
        </is>
      </c>
      <c r="D14" s="24" t="inlineStr">
        <is>
          <t>60713</t>
        </is>
      </c>
      <c r="E14" s="24" t="inlineStr">
        <is>
          <t>LOL</t>
        </is>
      </c>
      <c r="F14" s="24" t="inlineStr">
        <is>
          <t>T1</t>
        </is>
      </c>
      <c r="G14" s="24" t="inlineStr">
        <is>
          <t>Dplus KIA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-203</v>
      </c>
      <c r="M14" s="27" t="n">
        <v>1.492611</v>
      </c>
      <c r="N14" s="28" t="n">
        <v>0.669967</v>
      </c>
      <c r="O14" s="28" t="n">
        <v>0.506725</v>
      </c>
      <c r="P14" s="28" t="n"/>
      <c r="Q14" s="28" t="n">
        <v>-0.163242</v>
      </c>
      <c r="R14" s="26" t="n">
        <v>0</v>
      </c>
      <c r="S14" s="29" t="n">
        <v>0</v>
      </c>
      <c r="T14" s="24" t="inlineStr">
        <is>
          <t>lol-tiered-elo-v4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0.6700 (market_slug=aec-lol-dk-t1-2026-07-27).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T1</t>
        </is>
      </c>
      <c r="AQ14" s="24" t="inlineStr">
        <is>
          <t>T1</t>
        </is>
      </c>
      <c r="AR14" s="24" t="inlineStr">
        <is>
          <t>T1</t>
        </is>
      </c>
      <c r="AS14" s="24" t="inlineStr">
        <is>
          <t>Dplus KIA</t>
        </is>
      </c>
      <c r="AT14" s="24" t="inlineStr">
        <is>
          <t>Dplus KIA</t>
        </is>
      </c>
      <c r="AU14" s="24" t="inlineStr">
        <is>
          <t>Dplus KIA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35087e828a0053011a97024de693e2ee7eb80eb03024c91d28d254de09d93778</t>
        </is>
      </c>
      <c r="BB14" s="24" t="inlineStr">
        <is>
          <t>neutral_elo</t>
        </is>
      </c>
      <c r="BC14" s="24" t="inlineStr">
        <is>
          <t>lol-tiered-elo-v4</t>
        </is>
      </c>
      <c r="BD14" s="24" t="inlineStr">
        <is>
          <t>35087e828a0053011a97024de693e2ee7eb80eb03024c91d28d254de09d93778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lol-tiered-elo-v4</t>
        </is>
      </c>
      <c r="BH14" s="24" t="inlineStr">
        <is>
          <t>2026-07-26T19:31:57.637015Z</t>
        </is>
      </c>
      <c r="BI14" s="24" t="inlineStr">
        <is>
          <t>["same_event","same_team_same_day","same_league_same_day"]</t>
        </is>
      </c>
      <c r="BJ14" s="25" t="n"/>
      <c r="BK14" s="26" t="n">
        <v>-203</v>
      </c>
      <c r="BL14" s="27" t="n">
        <v>1.492611</v>
      </c>
      <c r="BM14" s="28" t="n">
        <v>0.669967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bcc827278e944024</t>
        </is>
      </c>
      <c r="B15" s="24" t="inlineStr">
        <is>
          <t>2026-07-26T19:32:06.087195Z</t>
        </is>
      </c>
      <c r="C15" s="24" t="inlineStr">
        <is>
          <t>2026-07-27T09:00:00Z</t>
        </is>
      </c>
      <c r="D15" s="24" t="inlineStr">
        <is>
          <t>60716</t>
        </is>
      </c>
      <c r="E15" s="24" t="inlineStr">
        <is>
          <t>LOL</t>
        </is>
      </c>
      <c r="F15" s="24" t="inlineStr">
        <is>
          <t>Kiwoom DRX</t>
        </is>
      </c>
      <c r="G15" s="24" t="inlineStr">
        <is>
          <t>Hanwha Life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108</v>
      </c>
      <c r="M15" s="27" t="n">
        <v>2.08</v>
      </c>
      <c r="N15" s="28" t="n">
        <v>0.480769</v>
      </c>
      <c r="O15" s="28" t="n">
        <v>0.912307</v>
      </c>
      <c r="P15" s="28" t="n"/>
      <c r="Q15" s="28" t="n">
        <v>0.431538</v>
      </c>
      <c r="R15" s="26" t="n">
        <v>100</v>
      </c>
      <c r="S15" s="29" t="n">
        <v>2</v>
      </c>
      <c r="T15" s="24" t="inlineStr">
        <is>
          <t>lol-tiered-elo-v4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0.4800 (market_slug=aec-lol-hle-krx-2026-07-27).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Kiwoom DRX</t>
        </is>
      </c>
      <c r="AQ15" s="24" t="inlineStr">
        <is>
          <t>Kiwoom DRX</t>
        </is>
      </c>
      <c r="AR15" s="24" t="inlineStr">
        <is>
          <t>Kiwoom DRX</t>
        </is>
      </c>
      <c r="AS15" s="24" t="inlineStr">
        <is>
          <t>Hanwha Life Esports</t>
        </is>
      </c>
      <c r="AT15" s="24" t="inlineStr">
        <is>
          <t>Hanwha Life Esports</t>
        </is>
      </c>
      <c r="AU15" s="24" t="inlineStr">
        <is>
          <t>Hanwha Life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35087e828a0053011a97024de693e2ee7eb80eb03024c91d28d254de09d93778</t>
        </is>
      </c>
      <c r="BB15" s="24" t="inlineStr">
        <is>
          <t>neutral_elo</t>
        </is>
      </c>
      <c r="BC15" s="24" t="inlineStr">
        <is>
          <t>lol-tiered-elo-v4</t>
        </is>
      </c>
      <c r="BD15" s="24" t="inlineStr">
        <is>
          <t>35087e828a0053011a97024de693e2ee7eb80eb03024c91d28d254de09d93778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lol-tiered-elo-v4</t>
        </is>
      </c>
      <c r="BH15" s="24" t="inlineStr">
        <is>
          <t>2026-07-26T19:31:58.156214Z</t>
        </is>
      </c>
      <c r="BI15" s="24" t="inlineStr">
        <is>
          <t>["same_event","same_team_same_day","same_league_same_day"]</t>
        </is>
      </c>
      <c r="BJ15" s="25" t="n"/>
      <c r="BK15" s="26" t="n">
        <v>108</v>
      </c>
      <c r="BL15" s="27" t="n">
        <v>2.08</v>
      </c>
      <c r="BM15" s="28" t="n">
        <v>0.480769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cbbef86c954249ca</t>
        </is>
      </c>
      <c r="B16" s="24" t="inlineStr">
        <is>
          <t>2026-07-26T19:32:06.087195Z</t>
        </is>
      </c>
      <c r="C16" s="24" t="inlineStr">
        <is>
          <t>2026-07-27T09:45:00Z</t>
        </is>
      </c>
      <c r="D16" s="24" t="inlineStr">
        <is>
          <t>60723</t>
        </is>
      </c>
      <c r="E16" s="24" t="inlineStr">
        <is>
          <t>LOL</t>
        </is>
      </c>
      <c r="F16" s="24" t="inlineStr">
        <is>
          <t>Nongshim Red Force</t>
        </is>
      </c>
      <c r="G16" s="24" t="inlineStr">
        <is>
          <t>T1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-203</v>
      </c>
      <c r="M16" s="27" t="n">
        <v>1.492611</v>
      </c>
      <c r="N16" s="28" t="n">
        <v>0.669967</v>
      </c>
      <c r="O16" s="28" t="n">
        <v>0.865659</v>
      </c>
      <c r="P16" s="28" t="n"/>
      <c r="Q16" s="28" t="n">
        <v>0.195692</v>
      </c>
      <c r="R16" s="26" t="n">
        <v>100</v>
      </c>
      <c r="S16" s="29" t="n">
        <v>2</v>
      </c>
      <c r="T16" s="24" t="inlineStr">
        <is>
          <t>lol-tiered-elo-v4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0.6700 (market_slug=aec-lol-t1-ns-2026-07-27).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Nongshim Red Force</t>
        </is>
      </c>
      <c r="AQ16" s="24" t="inlineStr">
        <is>
          <t>Nongshim Red Force</t>
        </is>
      </c>
      <c r="AR16" s="24" t="inlineStr">
        <is>
          <t>Nongshim Red Force</t>
        </is>
      </c>
      <c r="AS16" s="24" t="inlineStr">
        <is>
          <t>T1</t>
        </is>
      </c>
      <c r="AT16" s="24" t="inlineStr">
        <is>
          <t>T1</t>
        </is>
      </c>
      <c r="AU16" s="24" t="inlineStr">
        <is>
          <t>T1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35087e828a0053011a97024de693e2ee7eb80eb03024c91d28d254de09d93778</t>
        </is>
      </c>
      <c r="BB16" s="24" t="inlineStr">
        <is>
          <t>neutral_elo</t>
        </is>
      </c>
      <c r="BC16" s="24" t="inlineStr">
        <is>
          <t>lol-tiered-elo-v4</t>
        </is>
      </c>
      <c r="BD16" s="24" t="inlineStr">
        <is>
          <t>35087e828a0053011a97024de693e2ee7eb80eb03024c91d28d254de09d93778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lol-tiered-elo-v4</t>
        </is>
      </c>
      <c r="BH16" s="24" t="inlineStr">
        <is>
          <t>2026-07-26T19:31:58.672379Z</t>
        </is>
      </c>
      <c r="BI16" s="24" t="inlineStr">
        <is>
          <t>["same_event","same_team_same_day","same_league_same_day"]</t>
        </is>
      </c>
      <c r="BJ16" s="25" t="n"/>
      <c r="BK16" s="26" t="n">
        <v>-203</v>
      </c>
      <c r="BL16" s="27" t="n">
        <v>1.492611</v>
      </c>
      <c r="BM16" s="28" t="n">
        <v>0.669967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cbdbbc7aaf994613</t>
        </is>
      </c>
      <c r="B17" s="24" t="inlineStr">
        <is>
          <t>2026-07-26T19:32:06.087195Z</t>
        </is>
      </c>
      <c r="C17" s="24" t="inlineStr">
        <is>
          <t>2026-07-27T10:00:00Z</t>
        </is>
      </c>
      <c r="D17" s="24" t="inlineStr">
        <is>
          <t>60724</t>
        </is>
      </c>
      <c r="E17" s="24" t="inlineStr">
        <is>
          <t>LOL</t>
        </is>
      </c>
      <c r="F17" s="24" t="inlineStr">
        <is>
          <t>BNK FearX Youth</t>
        </is>
      </c>
      <c r="G17" s="24" t="inlineStr">
        <is>
          <t>Gen.G Global Academy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-223</v>
      </c>
      <c r="M17" s="27" t="n">
        <v>1.44843</v>
      </c>
      <c r="N17" s="28" t="n">
        <v>0.690402</v>
      </c>
      <c r="O17" s="28" t="n">
        <v>0.654791</v>
      </c>
      <c r="P17" s="28" t="n"/>
      <c r="Q17" s="28" t="n">
        <v>-0.035611</v>
      </c>
      <c r="R17" s="26" t="n">
        <v>2</v>
      </c>
      <c r="S17" s="29" t="n">
        <v>0</v>
      </c>
      <c r="T17" s="24" t="inlineStr">
        <is>
          <t>lol-tiered-elo-v4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0.6900 (market_slug=aec-lol-genga-foxy-2026-07-27).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BNK FearX Youth</t>
        </is>
      </c>
      <c r="AQ17" s="24" t="inlineStr">
        <is>
          <t>BNK FearX Youth</t>
        </is>
      </c>
      <c r="AR17" s="24" t="inlineStr">
        <is>
          <t>BNK FearX Youth</t>
        </is>
      </c>
      <c r="AS17" s="24" t="inlineStr">
        <is>
          <t>Gen.G Global Academy</t>
        </is>
      </c>
      <c r="AT17" s="24" t="inlineStr">
        <is>
          <t>Gen.G Global Academy</t>
        </is>
      </c>
      <c r="AU17" s="24" t="inlineStr">
        <is>
          <t>Gen.G Global Academy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35087e828a0053011a97024de693e2ee7eb80eb03024c91d28d254de09d93778</t>
        </is>
      </c>
      <c r="BB17" s="24" t="inlineStr">
        <is>
          <t>neutral_elo</t>
        </is>
      </c>
      <c r="BC17" s="24" t="inlineStr">
        <is>
          <t>lol-tiered-elo-v4</t>
        </is>
      </c>
      <c r="BD17" s="24" t="inlineStr">
        <is>
          <t>35087e828a0053011a97024de693e2ee7eb80eb03024c91d28d254de09d93778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lol-tiered-elo-v4</t>
        </is>
      </c>
      <c r="BH17" s="24" t="inlineStr">
        <is>
          <t>2026-07-26T19:31:59.162720Z</t>
        </is>
      </c>
      <c r="BI17" s="24" t="inlineStr">
        <is>
          <t>["same_event","same_team_same_day","same_league_same_day"]</t>
        </is>
      </c>
      <c r="BJ17" s="25" t="n"/>
      <c r="BK17" s="26" t="n">
        <v>-223</v>
      </c>
      <c r="BL17" s="27" t="n">
        <v>1.44843</v>
      </c>
      <c r="BM17" s="28" t="n">
        <v>0.690402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b652816244cd47fc</t>
        </is>
      </c>
      <c r="B18" s="24" t="inlineStr">
        <is>
          <t>2026-07-26T19:32:06.087195Z</t>
        </is>
      </c>
      <c r="C18" s="24" t="inlineStr">
        <is>
          <t>2026-07-27T10:30:00Z</t>
        </is>
      </c>
      <c r="D18" s="24" t="inlineStr">
        <is>
          <t>60725</t>
        </is>
      </c>
      <c r="E18" s="24" t="inlineStr">
        <is>
          <t>LOL</t>
        </is>
      </c>
      <c r="F18" s="24" t="inlineStr">
        <is>
          <t>Dplus KIA</t>
        </is>
      </c>
      <c r="G18" s="24" t="inlineStr">
        <is>
          <t>HANJIN BRION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194</v>
      </c>
      <c r="M18" s="27" t="n">
        <v>2.94</v>
      </c>
      <c r="N18" s="28" t="n">
        <v>0.340136</v>
      </c>
      <c r="O18" s="28" t="n">
        <v>0.803091</v>
      </c>
      <c r="P18" s="28" t="n"/>
      <c r="Q18" s="28" t="n">
        <v>0.462955</v>
      </c>
      <c r="R18" s="26" t="n">
        <v>100</v>
      </c>
      <c r="S18" s="29" t="n">
        <v>2</v>
      </c>
      <c r="T18" s="24" t="inlineStr">
        <is>
          <t>lol-tiered-elo-v4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0.3400 (market_slug=aec-lol-bro-dk-2026-07-27).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Dplus KIA</t>
        </is>
      </c>
      <c r="AQ18" s="24" t="inlineStr">
        <is>
          <t>Dplus KIA</t>
        </is>
      </c>
      <c r="AR18" s="24" t="inlineStr">
        <is>
          <t>Dplus KIA</t>
        </is>
      </c>
      <c r="AS18" s="24" t="inlineStr">
        <is>
          <t>HANJIN BRION</t>
        </is>
      </c>
      <c r="AT18" s="24" t="inlineStr">
        <is>
          <t>HANJIN BRION</t>
        </is>
      </c>
      <c r="AU18" s="24" t="inlineStr">
        <is>
          <t>HANJIN BRION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35087e828a0053011a97024de693e2ee7eb80eb03024c91d28d254de09d93778</t>
        </is>
      </c>
      <c r="BB18" s="24" t="inlineStr">
        <is>
          <t>neutral_elo</t>
        </is>
      </c>
      <c r="BC18" s="24" t="inlineStr">
        <is>
          <t>lol-tiered-elo-v4</t>
        </is>
      </c>
      <c r="BD18" s="24" t="inlineStr">
        <is>
          <t>35087e828a0053011a97024de693e2ee7eb80eb03024c91d28d254de09d93778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lol-tiered-elo-v4</t>
        </is>
      </c>
      <c r="BH18" s="24" t="inlineStr">
        <is>
          <t>2026-07-26T19:31:59.671342Z</t>
        </is>
      </c>
      <c r="BI18" s="24" t="inlineStr">
        <is>
          <t>["same_event","same_team_same_day","same_league_same_day"]</t>
        </is>
      </c>
      <c r="BJ18" s="25" t="n"/>
      <c r="BK18" s="26" t="n">
        <v>194</v>
      </c>
      <c r="BL18" s="27" t="n">
        <v>2.94</v>
      </c>
      <c r="BM18" s="28" t="n">
        <v>0.340136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3f17180d8346415a</t>
        </is>
      </c>
      <c r="B19" s="24" t="inlineStr">
        <is>
          <t>2026-07-26T19:32:06.087195Z</t>
        </is>
      </c>
      <c r="C19" s="24" t="inlineStr">
        <is>
          <t>2026-07-27T21:00:00Z</t>
        </is>
      </c>
      <c r="D19" s="24" t="inlineStr">
        <is>
          <t>61044</t>
        </is>
      </c>
      <c r="E19" s="24" t="inlineStr">
        <is>
          <t>LOL</t>
        </is>
      </c>
      <c r="F19" s="24" t="inlineStr">
        <is>
          <t>Ei Nerd Esports</t>
        </is>
      </c>
      <c r="G19" s="24" t="inlineStr">
        <is>
          <t>paiN Gaming Academy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-233</v>
      </c>
      <c r="M19" s="27" t="n">
        <v>1.429185</v>
      </c>
      <c r="N19" s="28" t="n">
        <v>0.6997</v>
      </c>
      <c r="O19" s="28" t="n">
        <v>0.712884</v>
      </c>
      <c r="P19" s="28" t="n"/>
      <c r="Q19" s="28" t="n">
        <v>0.013184</v>
      </c>
      <c r="R19" s="26" t="n">
        <v>27</v>
      </c>
      <c r="S19" s="29" t="n">
        <v>2</v>
      </c>
      <c r="T19" s="24" t="inlineStr">
        <is>
          <t>lol-tiered-elo-v4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0.7000 (market_slug=aec-lol-pnga-nerd-2026-07-27).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Ei Nerd Esports</t>
        </is>
      </c>
      <c r="AQ19" s="24" t="inlineStr">
        <is>
          <t>Ei Nerd Esports</t>
        </is>
      </c>
      <c r="AR19" s="24" t="inlineStr">
        <is>
          <t>Ei Nerd Esports</t>
        </is>
      </c>
      <c r="AS19" s="24" t="inlineStr">
        <is>
          <t>paiN Gaming Academy</t>
        </is>
      </c>
      <c r="AT19" s="24" t="inlineStr">
        <is>
          <t>paiN Gaming Academy</t>
        </is>
      </c>
      <c r="AU19" s="24" t="inlineStr">
        <is>
          <t>paiN Gaming Academy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35087e828a0053011a97024de693e2ee7eb80eb03024c91d28d254de09d93778</t>
        </is>
      </c>
      <c r="BB19" s="24" t="inlineStr">
        <is>
          <t>neutral_elo</t>
        </is>
      </c>
      <c r="BC19" s="24" t="inlineStr">
        <is>
          <t>lol-tiered-elo-v4</t>
        </is>
      </c>
      <c r="BD19" s="24" t="inlineStr">
        <is>
          <t>35087e828a0053011a97024de693e2ee7eb80eb03024c91d28d254de09d93778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lol-tiered-elo-v4</t>
        </is>
      </c>
      <c r="BH19" s="24" t="inlineStr">
        <is>
          <t>2026-07-26T19:32:03.641211Z</t>
        </is>
      </c>
      <c r="BI19" s="24" t="inlineStr">
        <is>
          <t>["same_event","same_team_same_day","same_league_same_day"]</t>
        </is>
      </c>
      <c r="BJ19" s="25" t="n"/>
      <c r="BK19" s="26" t="n">
        <v>-233</v>
      </c>
      <c r="BL19" s="27" t="n">
        <v>1.429185</v>
      </c>
      <c r="BM19" s="28" t="n">
        <v>0.6997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2026-07-26T19:32:08Z</dcterms:created>
  <dcterms:modified xsi:type="dcterms:W3CDTF">2026-07-26T19:32:08Z</dcterms:modified>
</cp:coreProperties>
</file>