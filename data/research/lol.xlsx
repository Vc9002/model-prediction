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8" headerRowCount="1">
  <autoFilter ref="A1:CQ2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COUNTA('Picks'!$A$2:$A$28)</f>
        <v/>
      </c>
      <c r="C4" s="6">
        <f>COUNTIF('Picks'!$U$2:$U$28,"open")</f>
        <v/>
      </c>
      <c r="E4" s="6">
        <f>COUNTIF('Picks'!$U$2:$U$28,"settled")</f>
        <v/>
      </c>
      <c r="G4" s="6">
        <f>IF(COUNTIFS('Picks'!$U$2:$U$28,"settled",'Picks'!$V$2:$V$28,"win")+COUNTIFS('Picks'!$U$2:$U$28,"settled",'Picks'!$V$2:$V$28,"loss")&gt;=$L$2,"Ready","Insufficient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COUNTIF('Picks'!$BX$2:$BX$28,"&gt;0")</f>
        <v/>
      </c>
      <c r="C7" s="6">
        <f>COUNTIFS('Picks'!$BX$2:$BX$28,"&gt;0",'Picks'!$V$2:$V$28,"win")&amp;"-"&amp;COUNTIFS('Picks'!$BX$2:$BX$28,"&gt;0",'Picks'!$V$2:$V$28,"loss")</f>
        <v/>
      </c>
      <c r="E7" s="7">
        <f>IFERROR(COUNTIFS('Picks'!$BX$2:$BX$28,"&gt;0",'Picks'!$V$2:$V$28,"win")/(COUNTIFS('Picks'!$BX$2:$BX$28,"&gt;0",'Picks'!$V$2:$V$28,"win")+COUNTIFS('Picks'!$BX$2:$BX$28,"&gt;0",'Picks'!$V$2:$V$28,"loss")),0)</f>
        <v/>
      </c>
      <c r="G7" s="7">
        <f>IFERROR(SUM('Picks'!$BY$2:$BY$28)/SUM('Picks'!$BX$2:$BX$28),0)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SUM('Picks'!$BY$2:$BY$28)</f>
        <v/>
      </c>
      <c r="C10" s="9">
        <f>IFERROR(AVERAGEIF('Picks'!$AB$2:$AB$28,"&lt;&gt;",'Picks'!$AB$2:$AB$28),0)</f>
        <v/>
      </c>
      <c r="E10" s="6">
        <f>COUNTIFS('Picks'!$AM$2:$AM$28,"QUALIFIED_SHADOW_CALL",'Picks'!$U$2:$U$28,"settled")</f>
        <v/>
      </c>
      <c r="G10" s="8">
        <f>SUMIFS('Picks'!$AC$2:$AC$28,'Picks'!$AM$2:$AM$28,"QUALIFIED_SHADOW_CALL")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COUNTIFS('Picks'!$H$2:$H$28,$A14,'Picks'!$U$2:$U$28,"settled")</f>
        <v/>
      </c>
      <c r="C14" s="13">
        <f>COUNTIFS('Picks'!$H$2:$H$28,$A14,'Picks'!$U$2:$U$28,"settled",'Picks'!$V$2:$V$28,"win")</f>
        <v/>
      </c>
      <c r="D14" s="13">
        <f>COUNTIFS('Picks'!$H$2:$H$28,$A14,'Picks'!$U$2:$U$28,"settled",'Picks'!$V$2:$V$28,"loss")</f>
        <v/>
      </c>
      <c r="E14" s="14">
        <f>IFERROR(C14/(C14+D14),0)</f>
        <v/>
      </c>
      <c r="F14" s="15">
        <f>SUMIFS('Picks'!$BY$2:$BY$28,'Picks'!$H$2:$H$28,$A14)</f>
        <v/>
      </c>
      <c r="G14" s="16">
        <f>IFERROR(AVERAGEIFS('Picks'!$AB$2:$AB$28,'Picks'!$H$2:$H$28,$A14,'Picks'!$U$2:$U$28,"settled"),0)</f>
        <v/>
      </c>
    </row>
    <row r="15">
      <c r="A15" s="17" t="inlineStr">
        <is>
          <t>spread</t>
        </is>
      </c>
      <c r="B15" s="18">
        <f>COUNTIFS('Picks'!$H$2:$H$28,$A15,'Picks'!$U$2:$U$28,"settled")</f>
        <v/>
      </c>
      <c r="C15" s="18">
        <f>COUNTIFS('Picks'!$H$2:$H$28,$A15,'Picks'!$U$2:$U$28,"settled",'Picks'!$V$2:$V$28,"win")</f>
        <v/>
      </c>
      <c r="D15" s="18">
        <f>COUNTIFS('Picks'!$H$2:$H$28,$A15,'Picks'!$U$2:$U$28,"settled",'Picks'!$V$2:$V$28,"loss")</f>
        <v/>
      </c>
      <c r="E15" s="19">
        <f>IFERROR(C15/(C15+D15),0)</f>
        <v/>
      </c>
      <c r="F15" s="20">
        <f>SUMIFS('Picks'!$BY$2:$BY$28,'Picks'!$H$2:$H$28,$A15)</f>
        <v/>
      </c>
      <c r="G15" s="21">
        <f>IFERROR(AVERAGEIFS('Picks'!$AB$2:$AB$28,'Picks'!$H$2:$H$28,$A15,'Picks'!$U$2:$U$28,"settled"),0)</f>
        <v/>
      </c>
    </row>
    <row r="16">
      <c r="A16" s="12" t="inlineStr">
        <is>
          <t>total</t>
        </is>
      </c>
      <c r="B16" s="13">
        <f>COUNTIFS('Picks'!$H$2:$H$28,$A16,'Picks'!$U$2:$U$28,"settled")</f>
        <v/>
      </c>
      <c r="C16" s="13">
        <f>COUNTIFS('Picks'!$H$2:$H$28,$A16,'Picks'!$U$2:$U$28,"settled",'Picks'!$V$2:$V$28,"win")</f>
        <v/>
      </c>
      <c r="D16" s="13">
        <f>COUNTIFS('Picks'!$H$2:$H$28,$A16,'Picks'!$U$2:$U$28,"settled",'Picks'!$V$2:$V$28,"loss")</f>
        <v/>
      </c>
      <c r="E16" s="14">
        <f>IFERROR(C16/(C16+D16),0)</f>
        <v/>
      </c>
      <c r="F16" s="15">
        <f>SUMIFS('Picks'!$BY$2:$BY$28,'Picks'!$H$2:$H$28,$A16)</f>
        <v/>
      </c>
      <c r="G16" s="16">
        <f>IFERROR(AVERAGEIFS('Picks'!$AB$2:$AB$28,'Picks'!$H$2:$H$28,$A16,'Picks'!$U$2:$U$28,"settled"),0)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  <row r="21" ht="36" customHeight="1">
      <c r="A21" s="24" t="inlineStr">
        <is>
          <t>0fe6aecb14c149f9</t>
        </is>
      </c>
      <c r="B21" s="24" t="inlineStr">
        <is>
          <t>2026-08-02T18:24:16.736104Z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0.5360740000000001</v>
      </c>
      <c r="P21" s="28" t="n"/>
      <c r="Q21" s="28" t="n">
        <v>-0.05409</v>
      </c>
      <c r="R21" s="26" t="n">
        <v>0</v>
      </c>
      <c r="S21" s="29" t="n">
        <v>1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0.5900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9874c87288f5592f0598f78c78d9cd54fcbdac231ba8fa0dfab5378878942df2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9874c87288f5592f0598f78c78d9cd54fcbdac231ba8fa0dfab5378878942df2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2026-08-02T18:24:08.792428Z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False</t>
        </is>
      </c>
    </row>
    <row r="22" ht="36" customHeight="1">
      <c r="A22" s="24" t="inlineStr">
        <is>
          <t>148846ecebb94256</t>
        </is>
      </c>
      <c r="B22" s="24" t="inlineStr">
        <is>
          <t>2026-08-02T18:24:16.736104Z</t>
        </is>
      </c>
      <c r="C22" s="24" t="inlineStr">
        <is>
          <t>2026-08-03T08:00:00Z</t>
        </is>
      </c>
      <c r="D22" s="24" t="inlineStr">
        <is>
          <t>67492</t>
        </is>
      </c>
      <c r="E22" s="24" t="inlineStr">
        <is>
          <t>LOL</t>
        </is>
      </c>
      <c r="F22" s="24" t="inlineStr">
        <is>
          <t>BNK FearX Youth</t>
        </is>
      </c>
      <c r="G22" s="24" t="inlineStr">
        <is>
          <t>HANJIN BRION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0.634708</v>
      </c>
      <c r="P22" s="28" t="n"/>
      <c r="Q22" s="28" t="n">
        <v>-0.055694</v>
      </c>
      <c r="R22" s="26" t="n">
        <v>0</v>
      </c>
      <c r="S22" s="29" t="n">
        <v>1.5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0.6900 (market_slug=aec-lol-hbc-foxy-2026-08-03).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BNK FearX Youth</t>
        </is>
      </c>
      <c r="AQ22" s="24" t="inlineStr">
        <is>
          <t>BNK FearX Youth</t>
        </is>
      </c>
      <c r="AR22" s="24" t="inlineStr">
        <is>
          <t>BNK FearX Youth</t>
        </is>
      </c>
      <c r="AS22" s="24" t="inlineStr">
        <is>
          <t>HANJIN BRION Challengers</t>
        </is>
      </c>
      <c r="AT22" s="24" t="inlineStr">
        <is>
          <t>HANJIN BRION Challengers</t>
        </is>
      </c>
      <c r="AU22" s="24" t="inlineStr">
        <is>
          <t>HANJIN BRION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9874c87288f5592f0598f78c78d9cd54fcbdac231ba8fa0dfab5378878942df2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9874c87288f5592f0598f78c78d9cd54fcbdac231ba8fa0dfab5378878942df2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2026-08-02T18:24:09.253322Z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False</t>
        </is>
      </c>
    </row>
    <row r="23" ht="36" customHeight="1">
      <c r="A23" s="24" t="inlineStr">
        <is>
          <t>65b82d9b551747a1</t>
        </is>
      </c>
      <c r="B23" s="24" t="inlineStr">
        <is>
          <t>2026-08-02T18:24:16.736104Z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0.70331</v>
      </c>
      <c r="P23" s="28" t="n"/>
      <c r="Q23" s="28" t="n">
        <v>0.012908</v>
      </c>
      <c r="R23" s="26" t="n">
        <v>26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9874c87288f5592f0598f78c78d9cd54fcbdac231ba8fa0dfab5378878942df2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9874c87288f5592f0598f78c78d9cd54fcbdac231ba8fa0dfab5378878942df2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2026-08-02T18:24:09.781954Z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True</t>
        </is>
      </c>
    </row>
    <row r="24" ht="36" customHeight="1">
      <c r="A24" s="24" t="inlineStr">
        <is>
          <t>a1231e3cef1a450e</t>
        </is>
      </c>
      <c r="B24" s="24" t="inlineStr">
        <is>
          <t>2026-08-02T18:24:16.736104Z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-156</v>
      </c>
      <c r="M24" s="27" t="n">
        <v>1.641026</v>
      </c>
      <c r="N24" s="28" t="n">
        <v>0.609375</v>
      </c>
      <c r="O24" s="28" t="n">
        <v>0.746406</v>
      </c>
      <c r="P24" s="28" t="n"/>
      <c r="Q24" s="28" t="n">
        <v>0.137031</v>
      </c>
      <c r="R24" s="26" t="n">
        <v>89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0.6100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9874c87288f5592f0598f78c78d9cd54fcbdac231ba8fa0dfab5378878942df2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9874c87288f5592f0598f78c78d9cd54fcbdac231ba8fa0dfab5378878942df2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2026-08-02T18:24:10.279453Z</t>
        </is>
      </c>
      <c r="BI24" s="24" t="inlineStr">
        <is>
          <t>["same_event","same_team_same_day","same_league_same_day"]</t>
        </is>
      </c>
      <c r="BJ24" s="25" t="n"/>
      <c r="BK24" s="26" t="n">
        <v>-156</v>
      </c>
      <c r="BL24" s="27" t="n">
        <v>1.641026</v>
      </c>
      <c r="BM24" s="28" t="n">
        <v>0.609375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inlineStr">
        <is>
          <t>True</t>
        </is>
      </c>
    </row>
    <row r="25" ht="36" customHeight="1">
      <c r="A25" s="24" t="inlineStr">
        <is>
          <t>800f259dfb7c4c27</t>
        </is>
      </c>
      <c r="B25" s="24" t="inlineStr">
        <is>
          <t>2026-08-02T18:24:16.736104Z</t>
        </is>
      </c>
      <c r="C25" s="24" t="inlineStr">
        <is>
          <t>2026-08-03T15:00:00Z</t>
        </is>
      </c>
      <c r="D25" s="24" t="inlineStr">
        <is>
          <t>67566</t>
        </is>
      </c>
      <c r="E25" s="24" t="inlineStr">
        <is>
          <t>LOL</t>
        </is>
      </c>
      <c r="F25" s="24" t="inlineStr">
        <is>
          <t>Shifters</t>
        </is>
      </c>
      <c r="G25" s="24" t="inlineStr">
        <is>
          <t>Natus Vincere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0.746125</v>
      </c>
      <c r="P25" s="28" t="n"/>
      <c r="Q25" s="28" t="n">
        <v>0.046425</v>
      </c>
      <c r="R25" s="26" t="n">
        <v>43</v>
      </c>
      <c r="S25" s="29" t="n">
        <v>2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0.7000 (market_slug=aec-lol-navi-shft-2026-08-03).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Shifters</t>
        </is>
      </c>
      <c r="AQ25" s="24" t="inlineStr">
        <is>
          <t>Shifters</t>
        </is>
      </c>
      <c r="AR25" s="24" t="inlineStr">
        <is>
          <t>Shifters</t>
        </is>
      </c>
      <c r="AS25" s="24" t="inlineStr">
        <is>
          <t>Natus Vincere</t>
        </is>
      </c>
      <c r="AT25" s="24" t="inlineStr">
        <is>
          <t>Natus Vincere</t>
        </is>
      </c>
      <c r="AU25" s="24" t="inlineStr">
        <is>
          <t>Natus Vincere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9874c87288f5592f0598f78c78d9cd54fcbdac231ba8fa0dfab5378878942df2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9874c87288f5592f0598f78c78d9cd54fcbdac231ba8fa0dfab5378878942df2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2026-08-02T18:24:10.786284Z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inlineStr">
        <is>
          <t>True</t>
        </is>
      </c>
    </row>
    <row r="26" ht="36" customHeight="1">
      <c r="A26" s="24" t="inlineStr">
        <is>
          <t>c403f3e6973e46e2</t>
        </is>
      </c>
      <c r="B26" s="24" t="inlineStr">
        <is>
          <t>2026-08-02T18:24:16.736104Z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0.649195</v>
      </c>
      <c r="P26" s="28" t="n"/>
      <c r="Q26" s="28" t="n">
        <v>0.059031</v>
      </c>
      <c r="R26" s="26" t="n">
        <v>50</v>
      </c>
      <c r="S26" s="29" t="n">
        <v>1.75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9874c87288f5592f0598f78c78d9cd54fcbdac231ba8fa0dfab5378878942df2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9874c87288f5592f0598f78c78d9cd54fcbdac231ba8fa0dfab5378878942df2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2026-08-02T18:24:14.243617Z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inlineStr">
        <is>
          <t>True</t>
        </is>
      </c>
    </row>
    <row r="27" ht="36" customHeight="1">
      <c r="A27" s="24" t="inlineStr">
        <is>
          <t>e1b999e0b2d44565</t>
        </is>
      </c>
      <c r="B27" s="24" t="inlineStr">
        <is>
          <t>2026-08-02T18:24:16.736104Z</t>
        </is>
      </c>
      <c r="C27" s="24" t="inlineStr">
        <is>
          <t>2026-08-03T20:00:00Z</t>
        </is>
      </c>
      <c r="D27" s="24" t="inlineStr">
        <is>
          <t>67938</t>
        </is>
      </c>
      <c r="E27" s="24" t="inlineStr">
        <is>
          <t>LOL</t>
        </is>
      </c>
      <c r="F27" s="24" t="inlineStr">
        <is>
          <t>Ei Nerd Esports</t>
        </is>
      </c>
      <c r="G27" s="24" t="inlineStr">
        <is>
          <t>RMD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0.62116</v>
      </c>
      <c r="P27" s="28" t="n"/>
      <c r="Q27" s="28" t="n">
        <v>-0.07854</v>
      </c>
      <c r="R27" s="26" t="n">
        <v>0</v>
      </c>
      <c r="S27" s="29" t="n">
        <v>1.5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0.7000 (market_slug=aec-lol-rmd-nerd-2026-08-03).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Ei Nerd Esports</t>
        </is>
      </c>
      <c r="AQ27" s="24" t="inlineStr">
        <is>
          <t>Ei Nerd Esports</t>
        </is>
      </c>
      <c r="AR27" s="24" t="inlineStr">
        <is>
          <t>Ei Nerd Esports</t>
        </is>
      </c>
      <c r="AS27" s="24" t="inlineStr">
        <is>
          <t>RMD Gaming</t>
        </is>
      </c>
      <c r="AT27" s="24" t="inlineStr">
        <is>
          <t>RMD Gaming</t>
        </is>
      </c>
      <c r="AU27" s="24" t="inlineStr">
        <is>
          <t>RMD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9874c87288f5592f0598f78c78d9cd54fcbdac231ba8fa0dfab5378878942df2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9874c87288f5592f0598f78c78d9cd54fcbdac231ba8fa0dfab5378878942df2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2026-08-02T18:24:14.766196Z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inlineStr">
        <is>
          <t>False</t>
        </is>
      </c>
    </row>
    <row r="28" ht="36" customHeight="1">
      <c r="A28" s="24" t="inlineStr">
        <is>
          <t>b051e3167888422a</t>
        </is>
      </c>
      <c r="B28" s="24" t="inlineStr">
        <is>
          <t>2026-08-02T18:24:16.736104Z</t>
        </is>
      </c>
      <c r="C28" s="24" t="inlineStr">
        <is>
          <t>2026-08-03T22:00:00Z</t>
        </is>
      </c>
      <c r="D28" s="24" t="inlineStr">
        <is>
          <t>68011</t>
        </is>
      </c>
      <c r="E28" s="24" t="inlineStr">
        <is>
          <t>LOL</t>
        </is>
      </c>
      <c r="F28" s="24" t="inlineStr">
        <is>
          <t>Vivo Keyd Stars Academy</t>
        </is>
      </c>
      <c r="G28" s="24" t="inlineStr">
        <is>
          <t>paiN Gaming Academy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0.502316</v>
      </c>
      <c r="P28" s="28" t="n"/>
      <c r="Q28" s="28" t="n">
        <v>-0.007488</v>
      </c>
      <c r="R28" s="26" t="n">
        <v>16</v>
      </c>
      <c r="S28" s="29" t="n">
        <v>1</v>
      </c>
      <c r="T28" s="24" t="inlineStr">
        <is>
          <t>lol-tiered-elo-v5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0.5100 (market_slug=aec-lol-pnga-vksa-2026-08-03).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Vivo Keyd Stars Academy</t>
        </is>
      </c>
      <c r="AQ28" s="24" t="inlineStr">
        <is>
          <t>Vivo Keyd Stars Academy</t>
        </is>
      </c>
      <c r="AR28" s="24" t="inlineStr">
        <is>
          <t>Vivo Keyd Stars Academy</t>
        </is>
      </c>
      <c r="AS28" s="24" t="inlineStr">
        <is>
          <t>paiN Gaming Academy</t>
        </is>
      </c>
      <c r="AT28" s="24" t="inlineStr">
        <is>
          <t>paiN Gaming Academy</t>
        </is>
      </c>
      <c r="AU28" s="24" t="inlineStr">
        <is>
          <t>paiN Gaming Academy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9874c87288f5592f0598f78c78d9cd54fcbdac231ba8fa0dfab5378878942df2</t>
        </is>
      </c>
      <c r="BB28" s="24" t="inlineStr">
        <is>
          <t>neutral_elo</t>
        </is>
      </c>
      <c r="BC28" s="24" t="inlineStr">
        <is>
          <t>lol-tiered-elo-v5</t>
        </is>
      </c>
      <c r="BD28" s="24" t="inlineStr">
        <is>
          <t>9874c87288f5592f0598f78c78d9cd54fcbdac231ba8fa0dfab5378878942df2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lol-tiered-elo-v5</t>
        </is>
      </c>
      <c r="BH28" s="24" t="inlineStr">
        <is>
          <t>2026-08-02T18:24:15.724362Z</t>
        </is>
      </c>
      <c r="BI28" s="24" t="inlineStr">
        <is>
          <t>["same_event","same_team_same_day","same_league_same_day"]</t>
        </is>
      </c>
      <c r="BJ28" s="25" t="n"/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2026-08-02T18:24:28Z</dcterms:created>
  <dcterms:modified xsi:type="dcterms:W3CDTF">2026-08-02T18:24:28Z</dcterms:modified>
</cp:coreProperties>
</file>