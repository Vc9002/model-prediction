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O4" headerRowCount="1">
  <autoFilter ref="A1:CO4"/>
  <tableColumns count="93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COUNTA('Picks'!$A$2:$A$4)</f>
        <v/>
      </c>
      <c r="C4" s="6">
        <f>COUNTIF('Picks'!$U$2:$U$4,"open")</f>
        <v/>
      </c>
      <c r="E4" s="6">
        <f>COUNTIF('Picks'!$U$2:$U$4,"settled")</f>
        <v/>
      </c>
      <c r="G4" s="6">
        <f>IF(COUNTIFS('Picks'!$U$2:$U$4,"settled",'Picks'!$V$2:$V$4,"win")+COUNTIFS('Picks'!$U$2:$U$4,"settled",'Picks'!$V$2:$V$4,"loss")&gt;=$L$2,"Ready","Insufficient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COUNTIF('Picks'!$BX$2:$BX$4,"&gt;0")</f>
        <v/>
      </c>
      <c r="C7" s="6">
        <f>COUNTIFS('Picks'!$BX$2:$BX$4,"&gt;0",'Picks'!$V$2:$V$4,"win")&amp;"-"&amp;COUNTIFS('Picks'!$BX$2:$BX$4,"&gt;0",'Picks'!$V$2:$V$4,"loss")</f>
        <v/>
      </c>
      <c r="E7" s="7">
        <f>IFERROR(COUNTIFS('Picks'!$BX$2:$BX$4,"&gt;0",'Picks'!$V$2:$V$4,"win")/(COUNTIFS('Picks'!$BX$2:$BX$4,"&gt;0",'Picks'!$V$2:$V$4,"win")+COUNTIFS('Picks'!$BX$2:$BX$4,"&gt;0",'Picks'!$V$2:$V$4,"loss")),0)</f>
        <v/>
      </c>
      <c r="G7" s="7">
        <f>IFERROR(SUM('Picks'!$BY$2:$BY$4)/SUM('Picks'!$BX$2:$BX$4),0)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SUM('Picks'!$BY$2:$BY$4)</f>
        <v/>
      </c>
      <c r="C10" s="9">
        <f>IFERROR(AVERAGEIF('Picks'!$AB$2:$AB$4,"&lt;&gt;",'Picks'!$AB$2:$AB$4),0)</f>
        <v/>
      </c>
      <c r="E10" s="6">
        <f>COUNTIFS('Picks'!$AM$2:$AM$4,"QUALIFIED_SHADOW_CALL",'Picks'!$U$2:$U$4,"settled")</f>
        <v/>
      </c>
      <c r="G10" s="8">
        <f>SUMIFS('Picks'!$AC$2:$AC$4,'Picks'!$AM$2:$AM$4,"QUALIFIED_SHADOW_CALL")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COUNTIFS('Picks'!$H$2:$H$4,$A14,'Picks'!$U$2:$U$4,"settled")</f>
        <v/>
      </c>
      <c r="C14" s="13">
        <f>COUNTIFS('Picks'!$H$2:$H$4,$A14,'Picks'!$U$2:$U$4,"settled",'Picks'!$V$2:$V$4,"win")</f>
        <v/>
      </c>
      <c r="D14" s="13">
        <f>COUNTIFS('Picks'!$H$2:$H$4,$A14,'Picks'!$U$2:$U$4,"settled",'Picks'!$V$2:$V$4,"loss")</f>
        <v/>
      </c>
      <c r="E14" s="14">
        <f>IFERROR(C14/(C14+D14),0)</f>
        <v/>
      </c>
      <c r="F14" s="15">
        <f>SUMIFS('Picks'!$BY$2:$BY$4,'Picks'!$H$2:$H$4,$A14)</f>
        <v/>
      </c>
      <c r="G14" s="16">
        <f>IFERROR(AVERAGEIFS('Picks'!$AB$2:$AB$4,'Picks'!$H$2:$H$4,$A14,'Picks'!$U$2:$U$4,"settled"),0)</f>
        <v/>
      </c>
    </row>
    <row r="15">
      <c r="A15" s="17" t="inlineStr">
        <is>
          <t>spread</t>
        </is>
      </c>
      <c r="B15" s="18">
        <f>COUNTIFS('Picks'!$H$2:$H$4,$A15,'Picks'!$U$2:$U$4,"settled")</f>
        <v/>
      </c>
      <c r="C15" s="18">
        <f>COUNTIFS('Picks'!$H$2:$H$4,$A15,'Picks'!$U$2:$U$4,"settled",'Picks'!$V$2:$V$4,"win")</f>
        <v/>
      </c>
      <c r="D15" s="18">
        <f>COUNTIFS('Picks'!$H$2:$H$4,$A15,'Picks'!$U$2:$U$4,"settled",'Picks'!$V$2:$V$4,"loss")</f>
        <v/>
      </c>
      <c r="E15" s="19">
        <f>IFERROR(C15/(C15+D15),0)</f>
        <v/>
      </c>
      <c r="F15" s="20">
        <f>SUMIFS('Picks'!$BY$2:$BY$4,'Picks'!$H$2:$H$4,$A15)</f>
        <v/>
      </c>
      <c r="G15" s="21">
        <f>IFERROR(AVERAGEIFS('Picks'!$AB$2:$AB$4,'Picks'!$H$2:$H$4,$A15,'Picks'!$U$2:$U$4,"settled"),0)</f>
        <v/>
      </c>
    </row>
    <row r="16">
      <c r="A16" s="12" t="inlineStr">
        <is>
          <t>total</t>
        </is>
      </c>
      <c r="B16" s="13">
        <f>COUNTIFS('Picks'!$H$2:$H$4,$A16,'Picks'!$U$2:$U$4,"settled")</f>
        <v/>
      </c>
      <c r="C16" s="13">
        <f>COUNTIFS('Picks'!$H$2:$H$4,$A16,'Picks'!$U$2:$U$4,"settled",'Picks'!$V$2:$V$4,"win")</f>
        <v/>
      </c>
      <c r="D16" s="13">
        <f>COUNTIFS('Picks'!$H$2:$H$4,$A16,'Picks'!$U$2:$U$4,"settled",'Picks'!$V$2:$V$4,"loss")</f>
        <v/>
      </c>
      <c r="E16" s="14">
        <f>IFERROR(C16/(C16+D16),0)</f>
        <v/>
      </c>
      <c r="F16" s="15">
        <f>SUMIFS('Picks'!$BY$2:$BY$4,'Picks'!$H$2:$H$4,$A16)</f>
        <v/>
      </c>
      <c r="G16" s="16">
        <f>IFERROR(AVERAGEIFS('Picks'!$AB$2:$AB$4,'Picks'!$H$2:$H$4,$A16,'Picks'!$U$2:$U$4,"settled"),0)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</row>
    <row r="2" ht="36" customHeight="1">
      <c r="A2" s="24" t="inlineStr">
        <is>
          <t>3a2fbe541260425f</t>
        </is>
      </c>
      <c r="B2" s="24" t="inlineStr">
        <is>
          <t>2026-08-02T07:17:16.064524Z</t>
        </is>
      </c>
      <c r="C2" s="24" t="inlineStr">
        <is>
          <t>2026-08-02T08:00:00Z</t>
        </is>
      </c>
      <c r="D2" s="24" t="inlineStr">
        <is>
          <t>66797</t>
        </is>
      </c>
      <c r="E2" s="24" t="inlineStr">
        <is>
          <t>NPB</t>
        </is>
      </c>
      <c r="F2" s="24" t="inlineStr">
        <is>
          <t>Orix Buffaloes</t>
        </is>
      </c>
      <c r="G2" s="24" t="inlineStr">
        <is>
          <t>Saitama Seibu Lions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-156</v>
      </c>
      <c r="M2" s="27" t="n">
        <v>1.641026</v>
      </c>
      <c r="N2" s="28" t="n">
        <v>0.609375</v>
      </c>
      <c r="O2" s="28" t="n">
        <v>0.598142</v>
      </c>
      <c r="P2" s="28" t="n"/>
      <c r="Q2" s="28" t="n">
        <v>-0.011233</v>
      </c>
      <c r="R2" s="26" t="n">
        <v>14</v>
      </c>
      <c r="S2" s="29" t="n">
        <v>1.25</v>
      </c>
      <c r="T2" s="24" t="inlineStr">
        <is>
          <t>npb-tie-aware-elo-v2</t>
        </is>
      </c>
      <c r="U2" s="24" t="inlineStr">
        <is>
          <t>open</t>
        </is>
      </c>
      <c r="V2" s="24" t="n"/>
      <c r="W2" s="26" t="n"/>
      <c r="X2" s="26" t="n"/>
      <c r="Y2" s="25" t="n"/>
      <c r="Z2" s="26" t="n"/>
      <c r="AA2" s="28" t="n"/>
      <c r="AB2" s="28" t="n"/>
      <c r="AC2" s="30" t="n"/>
      <c r="AD2" s="24" t="n"/>
      <c r="AE2" s="31" t="inlineStr">
        <is>
          <t>Tie-aware Elo baseline; executable ask 0.6100 (market_slug=aec-npb-ssl-obr-2026-08-02). Tie probability=0.0279.</t>
        </is>
      </c>
      <c r="AF2" s="31" t="inlineStr">
        <is>
          <t>Config-promoted international baseball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NO_CALL_LOW_EDGE</t>
        </is>
      </c>
      <c r="AP2" s="24" t="inlineStr">
        <is>
          <t>Orix Buffaloes</t>
        </is>
      </c>
      <c r="AQ2" s="24" t="inlineStr">
        <is>
          <t>Orix Buffaloes</t>
        </is>
      </c>
      <c r="AR2" s="24" t="inlineStr">
        <is>
          <t>Orix Buffaloes</t>
        </is>
      </c>
      <c r="AS2" s="24" t="inlineStr">
        <is>
          <t>Saitama Seibu Lions</t>
        </is>
      </c>
      <c r="AT2" s="24" t="inlineStr">
        <is>
          <t>Saitama Seibu Lions</t>
        </is>
      </c>
      <c r="AU2" s="24" t="inlineStr">
        <is>
          <t>Saitama Seibu Lions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7bc7902a4eb8ef0d1e3f86c086eab30d4166d1bb4c513506b84d49652b442bb9</t>
        </is>
      </c>
      <c r="BB2" s="24" t="inlineStr">
        <is>
          <t>tie_aware_elo</t>
        </is>
      </c>
      <c r="BC2" s="24" t="inlineStr">
        <is>
          <t>npb-tie-aware-elo-v2</t>
        </is>
      </c>
      <c r="BD2" s="24" t="inlineStr">
        <is>
          <t>7bc7902a4eb8ef0d1e3f86c086eab30d4166d1bb4c513506b84d49652b442bb9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npb-tie-aware-elo-v2</t>
        </is>
      </c>
      <c r="BH2" s="24" t="inlineStr">
        <is>
          <t>2026-08-02T07:17:15.048364Z</t>
        </is>
      </c>
      <c r="BI2" s="24" t="inlineStr">
        <is>
          <t>["same_event","same_team_same_day","same_league_same_day"]</t>
        </is>
      </c>
      <c r="BJ2" s="25" t="n"/>
      <c r="BK2" s="26" t="n">
        <v>-156</v>
      </c>
      <c r="BL2" s="27" t="n">
        <v>1.641026</v>
      </c>
      <c r="BM2" s="28" t="n">
        <v>0.609375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</row>
    <row r="3" ht="36" customHeight="1">
      <c r="A3" s="24" t="inlineStr">
        <is>
          <t>410262d0c1934015</t>
        </is>
      </c>
      <c r="B3" s="24" t="inlineStr">
        <is>
          <t>2026-08-02T08:20:42.087614Z</t>
        </is>
      </c>
      <c r="C3" s="24" t="inlineStr">
        <is>
          <t>2026-08-02T09:00:00Z</t>
        </is>
      </c>
      <c r="D3" s="24" t="inlineStr">
        <is>
          <t>66805</t>
        </is>
      </c>
      <c r="E3" s="24" t="inlineStr">
        <is>
          <t>NPB</t>
        </is>
      </c>
      <c r="F3" s="24" t="inlineStr">
        <is>
          <t>Hanshin Tigers</t>
        </is>
      </c>
      <c r="G3" s="24" t="inlineStr">
        <is>
          <t>Tokyo Yakult Swallows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-156</v>
      </c>
      <c r="M3" s="27" t="n">
        <v>1.641026</v>
      </c>
      <c r="N3" s="28" t="n">
        <v>0.609375</v>
      </c>
      <c r="O3" s="28" t="n">
        <v>0.589889</v>
      </c>
      <c r="P3" s="28" t="n"/>
      <c r="Q3" s="28" t="n">
        <v>-0.019486</v>
      </c>
      <c r="R3" s="26" t="n">
        <v>10</v>
      </c>
      <c r="S3" s="29" t="n">
        <v>1.25</v>
      </c>
      <c r="T3" s="24" t="inlineStr">
        <is>
          <t>npb-tie-aware-elo-v2</t>
        </is>
      </c>
      <c r="U3" s="24" t="inlineStr">
        <is>
          <t>open</t>
        </is>
      </c>
      <c r="V3" s="24" t="n"/>
      <c r="W3" s="26" t="n"/>
      <c r="X3" s="26" t="n"/>
      <c r="Y3" s="25" t="n"/>
      <c r="Z3" s="26" t="n"/>
      <c r="AA3" s="28" t="n"/>
      <c r="AB3" s="28" t="n"/>
      <c r="AC3" s="30" t="n"/>
      <c r="AD3" s="24" t="n"/>
      <c r="AE3" s="31" t="inlineStr">
        <is>
          <t>Tie-aware Elo baseline; executable ask 0.6100 (market_slug=aec-npb-tys-hta-2026-08-02). Tie probability=0.0287.</t>
        </is>
      </c>
      <c r="AF3" s="31" t="inlineStr">
        <is>
          <t>Config-promoted international baseball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NO_CALL_LOW_EDGE</t>
        </is>
      </c>
      <c r="AP3" s="24" t="inlineStr">
        <is>
          <t>Hanshin Tigers</t>
        </is>
      </c>
      <c r="AQ3" s="24" t="inlineStr">
        <is>
          <t>Hanshin Tigers</t>
        </is>
      </c>
      <c r="AR3" s="24" t="inlineStr">
        <is>
          <t>Hanshin Tigers</t>
        </is>
      </c>
      <c r="AS3" s="24" t="inlineStr">
        <is>
          <t>Tokyo Yakult Swallows</t>
        </is>
      </c>
      <c r="AT3" s="24" t="inlineStr">
        <is>
          <t>Tokyo Yakult Swallows</t>
        </is>
      </c>
      <c r="AU3" s="24" t="inlineStr">
        <is>
          <t>Tokyo Yakult Swallows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2a6cf3b60204b321f39347f04e6fe642c4fbe02fc5d69a03243771cd77d85043</t>
        </is>
      </c>
      <c r="BB3" s="24" t="inlineStr">
        <is>
          <t>tie_aware_elo</t>
        </is>
      </c>
      <c r="BC3" s="24" t="inlineStr">
        <is>
          <t>npb-tie-aware-elo-v2</t>
        </is>
      </c>
      <c r="BD3" s="24" t="inlineStr">
        <is>
          <t>2a6cf3b60204b321f39347f04e6fe642c4fbe02fc5d69a03243771cd77d85043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npb-tie-aware-elo-v2</t>
        </is>
      </c>
      <c r="BH3" s="24" t="inlineStr">
        <is>
          <t>2026-08-02T08:20:41.605573Z</t>
        </is>
      </c>
      <c r="BI3" s="24" t="inlineStr">
        <is>
          <t>["same_event","same_team_same_day","same_league_same_day"]</t>
        </is>
      </c>
      <c r="BJ3" s="25" t="n"/>
      <c r="BK3" s="26" t="n">
        <v>-156</v>
      </c>
      <c r="BL3" s="27" t="n">
        <v>1.641026</v>
      </c>
      <c r="BM3" s="28" t="n">
        <v>0.609375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</row>
    <row r="4" ht="36" customHeight="1">
      <c r="A4" s="24" t="inlineStr">
        <is>
          <t>45e1046342e5401e</t>
        </is>
      </c>
      <c r="B4" s="24" t="inlineStr">
        <is>
          <t>2026-08-02T08:20:42.087614Z</t>
        </is>
      </c>
      <c r="C4" s="24" t="inlineStr">
        <is>
          <t>2026-08-02T09:00:00Z</t>
        </is>
      </c>
      <c r="D4" s="24" t="inlineStr">
        <is>
          <t>66806</t>
        </is>
      </c>
      <c r="E4" s="24" t="inlineStr">
        <is>
          <t>NPB</t>
        </is>
      </c>
      <c r="F4" s="24" t="inlineStr">
        <is>
          <t>Chunichi Dragons</t>
        </is>
      </c>
      <c r="G4" s="24" t="inlineStr">
        <is>
          <t>Hiroshima Carp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-108</v>
      </c>
      <c r="M4" s="27" t="n">
        <v>1.925926</v>
      </c>
      <c r="N4" s="28" t="n">
        <v>0.519231</v>
      </c>
      <c r="O4" s="28" t="n">
        <v>0.516289</v>
      </c>
      <c r="P4" s="28" t="n"/>
      <c r="Q4" s="28" t="n">
        <v>-0.002942</v>
      </c>
      <c r="R4" s="26" t="n">
        <v>19</v>
      </c>
      <c r="S4" s="29" t="n">
        <v>1</v>
      </c>
      <c r="T4" s="24" t="inlineStr">
        <is>
          <t>npb-tie-aware-elo-v2</t>
        </is>
      </c>
      <c r="U4" s="24" t="inlineStr">
        <is>
          <t>open</t>
        </is>
      </c>
      <c r="V4" s="24" t="n"/>
      <c r="W4" s="26" t="n"/>
      <c r="X4" s="26" t="n"/>
      <c r="Y4" s="25" t="n"/>
      <c r="Z4" s="26" t="n"/>
      <c r="AA4" s="28" t="n"/>
      <c r="AB4" s="28" t="n"/>
      <c r="AC4" s="30" t="n"/>
      <c r="AD4" s="24" t="n"/>
      <c r="AE4" s="31" t="inlineStr">
        <is>
          <t>Tie-aware Elo baseline; executable ask 0.5200 (market_slug=aec-npb-hci-cdh-2026-08-02). Tie probability=0.0352.</t>
        </is>
      </c>
      <c r="AF4" s="31" t="inlineStr">
        <is>
          <t>Config-promoted international baseball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Chunichi Dragons</t>
        </is>
      </c>
      <c r="AQ4" s="24" t="inlineStr">
        <is>
          <t>Chunichi Dragons</t>
        </is>
      </c>
      <c r="AR4" s="24" t="inlineStr">
        <is>
          <t>Chunichi Dragons</t>
        </is>
      </c>
      <c r="AS4" s="24" t="inlineStr">
        <is>
          <t>Hiroshima Carp</t>
        </is>
      </c>
      <c r="AT4" s="24" t="inlineStr">
        <is>
          <t>Hiroshima Carp</t>
        </is>
      </c>
      <c r="AU4" s="24" t="inlineStr">
        <is>
          <t>Hiroshima Carp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2a6cf3b60204b321f39347f04e6fe642c4fbe02fc5d69a03243771cd77d85043</t>
        </is>
      </c>
      <c r="BB4" s="24" t="inlineStr">
        <is>
          <t>tie_aware_elo</t>
        </is>
      </c>
      <c r="BC4" s="24" t="inlineStr">
        <is>
          <t>npb-tie-aware-elo-v2</t>
        </is>
      </c>
      <c r="BD4" s="24" t="inlineStr">
        <is>
          <t>2a6cf3b60204b321f39347f04e6fe642c4fbe02fc5d69a03243771cd77d85043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npb-tie-aware-elo-v2</t>
        </is>
      </c>
      <c r="BH4" s="24" t="inlineStr">
        <is>
          <t>2026-08-02T08:20:42.087439Z</t>
        </is>
      </c>
      <c r="BI4" s="24" t="inlineStr">
        <is>
          <t>["same_event","same_team_same_day","same_league_same_day"]</t>
        </is>
      </c>
      <c r="BJ4" s="25" t="n"/>
      <c r="BK4" s="26" t="n">
        <v>-108</v>
      </c>
      <c r="BL4" s="27" t="n">
        <v>1.925926</v>
      </c>
      <c r="BM4" s="28" t="n">
        <v>0.519231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2026-08-02T08:20:42Z</dcterms:created>
  <dcterms:modified xsi:type="dcterms:W3CDTF">2026-08-02T08:20:42Z</dcterms:modified>
</cp:coreProperties>
</file>