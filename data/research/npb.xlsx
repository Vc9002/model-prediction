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2" headerRowCount="1">
  <autoFilter ref="A1:CS2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COUNTA('Picks'!$A$2:$A$22)</f>
        <v/>
      </c>
      <c r="C4" s="6">
        <f>COUNTIF('Picks'!$U$2:$U$22,"open")</f>
        <v/>
      </c>
      <c r="E4" s="6">
        <f>COUNTIF('Picks'!$U$2:$U$22,"settled")</f>
        <v/>
      </c>
      <c r="G4" s="6">
        <f>IF(COUNTIFS('Picks'!$U$2:$U$22,"settled",'Picks'!$V$2:$V$22,"win")+COUNTIFS('Picks'!$U$2:$U$22,"settled",'Picks'!$V$2:$V$22,"loss")&gt;=$L$2,"Ready","Insufficient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COUNTIF('Picks'!$BX$2:$BX$22,"&gt;0")</f>
        <v/>
      </c>
      <c r="C7" s="6">
        <f>COUNTIFS('Picks'!$BX$2:$BX$22,"&gt;0",'Picks'!$V$2:$V$22,"win")&amp;"-"&amp;COUNTIFS('Picks'!$BX$2:$BX$22,"&gt;0",'Picks'!$V$2:$V$22,"loss")</f>
        <v/>
      </c>
      <c r="E7" s="7">
        <f>IFERROR(COUNTIFS('Picks'!$BX$2:$BX$22,"&gt;0",'Picks'!$V$2:$V$22,"win")/(COUNTIFS('Picks'!$BX$2:$BX$22,"&gt;0",'Picks'!$V$2:$V$22,"win")+COUNTIFS('Picks'!$BX$2:$BX$22,"&gt;0",'Picks'!$V$2:$V$22,"loss")),0)</f>
        <v/>
      </c>
      <c r="G7" s="7">
        <f>IFERROR(SUM('Picks'!$BY$2:$BY$22)/SUM('Picks'!$BX$2:$BX$22),0)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SUM('Picks'!$BY$2:$BY$22)</f>
        <v/>
      </c>
      <c r="C10" s="9">
        <f>IFERROR(AVERAGEIF('Picks'!$AB$2:$AB$22,"&lt;&gt;",'Picks'!$AB$2:$AB$22),0)</f>
        <v/>
      </c>
      <c r="E10" s="6">
        <f>COUNTIFS('Picks'!$AM$2:$AM$22,"QUALIFIED_SHADOW_CALL",'Picks'!$U$2:$U$22,"settled")</f>
        <v/>
      </c>
      <c r="G10" s="8">
        <f>SUMIFS('Picks'!$AC$2:$AC$22,'Picks'!$AM$2:$AM$22,"QUALIFIED_SHADOW_CALL")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COUNTIFS('Picks'!$H$2:$H$22,$A14,'Picks'!$U$2:$U$22,"settled")</f>
        <v/>
      </c>
      <c r="C14" s="13">
        <f>COUNTIFS('Picks'!$H$2:$H$22,$A14,'Picks'!$U$2:$U$22,"settled",'Picks'!$V$2:$V$22,"win")</f>
        <v/>
      </c>
      <c r="D14" s="13">
        <f>COUNTIFS('Picks'!$H$2:$H$22,$A14,'Picks'!$U$2:$U$22,"settled",'Picks'!$V$2:$V$22,"loss")</f>
        <v/>
      </c>
      <c r="E14" s="14">
        <f>IFERROR(C14/(C14+D14),0)</f>
        <v/>
      </c>
      <c r="F14" s="15">
        <f>SUMIFS('Picks'!$BY$2:$BY$22,'Picks'!$H$2:$H$22,$A14)</f>
        <v/>
      </c>
      <c r="G14" s="16">
        <f>IFERROR(AVERAGEIFS('Picks'!$AB$2:$AB$22,'Picks'!$H$2:$H$22,$A14,'Picks'!$U$2:$U$22,"settled"),0)</f>
        <v/>
      </c>
    </row>
    <row r="15">
      <c r="A15" s="17" t="inlineStr">
        <is>
          <t>spread</t>
        </is>
      </c>
      <c r="B15" s="18">
        <f>COUNTIFS('Picks'!$H$2:$H$22,$A15,'Picks'!$U$2:$U$22,"settled")</f>
        <v/>
      </c>
      <c r="C15" s="18">
        <f>COUNTIFS('Picks'!$H$2:$H$22,$A15,'Picks'!$U$2:$U$22,"settled",'Picks'!$V$2:$V$22,"win")</f>
        <v/>
      </c>
      <c r="D15" s="18">
        <f>COUNTIFS('Picks'!$H$2:$H$22,$A15,'Picks'!$U$2:$U$22,"settled",'Picks'!$V$2:$V$22,"loss")</f>
        <v/>
      </c>
      <c r="E15" s="19">
        <f>IFERROR(C15/(C15+D15),0)</f>
        <v/>
      </c>
      <c r="F15" s="20">
        <f>SUMIFS('Picks'!$BY$2:$BY$22,'Picks'!$H$2:$H$22,$A15)</f>
        <v/>
      </c>
      <c r="G15" s="21">
        <f>IFERROR(AVERAGEIFS('Picks'!$AB$2:$AB$22,'Picks'!$H$2:$H$22,$A15,'Picks'!$U$2:$U$22,"settled"),0)</f>
        <v/>
      </c>
    </row>
    <row r="16">
      <c r="A16" s="12" t="inlineStr">
        <is>
          <t>total</t>
        </is>
      </c>
      <c r="B16" s="13">
        <f>COUNTIFS('Picks'!$H$2:$H$22,$A16,'Picks'!$U$2:$U$22,"settled")</f>
        <v/>
      </c>
      <c r="C16" s="13">
        <f>COUNTIFS('Picks'!$H$2:$H$22,$A16,'Picks'!$U$2:$U$22,"settled",'Picks'!$V$2:$V$22,"win")</f>
        <v/>
      </c>
      <c r="D16" s="13">
        <f>COUNTIFS('Picks'!$H$2:$H$22,$A16,'Picks'!$U$2:$U$22,"settled",'Picks'!$V$2:$V$22,"loss")</f>
        <v/>
      </c>
      <c r="E16" s="14">
        <f>IFERROR(C16/(C16+D16),0)</f>
        <v/>
      </c>
      <c r="F16" s="15">
        <f>SUMIFS('Picks'!$BY$2:$BY$22,'Picks'!$H$2:$H$22,$A16)</f>
        <v/>
      </c>
      <c r="G16" s="16">
        <f>IFERROR(AVERAGEIFS('Picks'!$AB$2:$AB$22,'Picks'!$H$2:$H$22,$A16,'Picks'!$U$2:$U$22,"settled"),0)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25" t="n"/>
      <c r="Z7" s="26" t="n"/>
      <c r="AA7" s="28" t="n"/>
      <c r="AB7" s="28" t="n"/>
      <c r="AC7" s="3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25" t="n"/>
      <c r="Z8" s="26" t="n"/>
      <c r="AA8" s="28" t="n"/>
      <c r="AB8" s="28" t="n"/>
      <c r="AC8" s="3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2026-08-05T21:00:18.583620Z</t>
        </is>
      </c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4</v>
      </c>
      <c r="Y12" s="25" t="n"/>
      <c r="Z12" s="26" t="n"/>
      <c r="AA12" s="28" t="n"/>
      <c r="AB12" s="28" t="n"/>
      <c r="AC12" s="30" t="n">
        <v>1.0246</v>
      </c>
      <c r="AD12" s="24" t="inlineStr">
        <is>
          <t>2026-08-05T21:00:18.684954Z</t>
        </is>
      </c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8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2026-08-05T21:00:18.770156Z</t>
        </is>
      </c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3</v>
      </c>
      <c r="Y14" s="25" t="n"/>
      <c r="Z14" s="26" t="n"/>
      <c r="AA14" s="28" t="n"/>
      <c r="AB14" s="28" t="n"/>
      <c r="AC14" s="30" t="n">
        <v>0.5881999999999999</v>
      </c>
      <c r="AD14" s="24" t="inlineStr">
        <is>
          <t>2026-08-05T21:00:18.860547Z</t>
        </is>
      </c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-144</v>
      </c>
      <c r="M15" s="27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5</v>
      </c>
      <c r="X15" s="26" t="n">
        <v>7</v>
      </c>
      <c r="Y15" s="25" t="n"/>
      <c r="Z15" s="26" t="n"/>
      <c r="AA15" s="28" t="n"/>
      <c r="AB15" s="28" t="n"/>
      <c r="AC15" s="30" t="n">
        <v>0.8681</v>
      </c>
      <c r="AD15" s="24" t="inlineStr">
        <is>
          <t>2026-08-05T21:00:18.959265Z</t>
        </is>
      </c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25" t="n"/>
      <c r="BK15" s="26" t="n">
        <v>-144</v>
      </c>
      <c r="BL15" s="27" t="n">
        <v>1.694444</v>
      </c>
      <c r="BM15" s="28" t="n">
        <v>0.590164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0</v>
      </c>
      <c r="Y16" s="25" t="n"/>
      <c r="Z16" s="26" t="n"/>
      <c r="AA16" s="28" t="n"/>
      <c r="AB16" s="28" t="n"/>
      <c r="AC16" s="30" t="n">
        <v>0.7874</v>
      </c>
      <c r="AD16" s="24" t="inlineStr">
        <is>
          <t>2026-08-05T21:00:19.078808Z</t>
        </is>
      </c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</row>
    <row r="17" ht="36" customHeight="1">
      <c r="A17" s="24" t="inlineStr">
        <is>
          <t>b6208e6608f643b2</t>
        </is>
      </c>
      <c r="B17" s="24" t="inlineStr">
        <is>
          <t>2026-08-07T06:04:08.876576Z</t>
        </is>
      </c>
      <c r="C17" s="24" t="inlineStr">
        <is>
          <t>2026-08-07T09:00:00Z</t>
        </is>
      </c>
      <c r="D17" s="24" t="inlineStr">
        <is>
          <t>71688</t>
        </is>
      </c>
      <c r="E17" s="24" t="inlineStr">
        <is>
          <t>NPB</t>
        </is>
      </c>
      <c r="F17" s="24" t="inlineStr">
        <is>
          <t>Tokyo Yakult Swallows</t>
        </is>
      </c>
      <c r="G17" s="24" t="inlineStr">
        <is>
          <t>Yomiuri Giants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0.671883</v>
      </c>
      <c r="P17" s="28" t="n"/>
      <c r="Q17" s="28" t="n">
        <v>0.06250799999999999</v>
      </c>
      <c r="R17" s="26" t="n">
        <v>51</v>
      </c>
      <c r="S17" s="29" t="n">
        <v>0</v>
      </c>
      <c r="T17" s="24" t="inlineStr">
        <is>
          <t>npb-tie-aware-elo-v2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Tie-aware Elo baseline; executable ask 0.6100 (market_slug=aec-npb-ygo-tys-2026-08-07). Tie probability=0.0209.</t>
        </is>
      </c>
      <c r="AF17" s="31" t="inlineStr">
        <is>
          <t>Config-promoted international baseball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NO_CALL_WINNER_OVERVALUED</t>
        </is>
      </c>
      <c r="AP17" s="24" t="inlineStr">
        <is>
          <t>Tokyo Yakult Swallows</t>
        </is>
      </c>
      <c r="AQ17" s="24" t="inlineStr">
        <is>
          <t>Tokyo Yakult Swallows</t>
        </is>
      </c>
      <c r="AR17" s="24" t="inlineStr">
        <is>
          <t>Tokyo Yakult Swallows</t>
        </is>
      </c>
      <c r="AS17" s="24" t="inlineStr">
        <is>
          <t>Yomiuri Giants</t>
        </is>
      </c>
      <c r="AT17" s="24" t="inlineStr">
        <is>
          <t>Yomiuri Giants</t>
        </is>
      </c>
      <c r="AU17" s="24" t="inlineStr">
        <is>
          <t>Yomiuri Giants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1397f2a2e62220577ae4a4ae8de10b8369816a7b15d915f063053eb9c759a04a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1397f2a2e62220577ae4a4ae8de10b8369816a7b15d915f063053eb9c759a04a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2026-08-07T06:04:05.382616Z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a713a94747574b49</t>
        </is>
      </c>
      <c r="B18" s="24" t="inlineStr">
        <is>
          <t>2026-08-07T06:04:08.876576Z</t>
        </is>
      </c>
      <c r="C18" s="24" t="inlineStr">
        <is>
          <t>2026-08-07T09:00:00Z</t>
        </is>
      </c>
      <c r="D18" s="24" t="inlineStr">
        <is>
          <t>71689</t>
        </is>
      </c>
      <c r="E18" s="24" t="inlineStr">
        <is>
          <t>NPB</t>
        </is>
      </c>
      <c r="F18" s="24" t="inlineStr">
        <is>
          <t>Hiroshima Carp</t>
        </is>
      </c>
      <c r="G18" s="24" t="inlineStr">
        <is>
          <t>Yokohama BayStars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0.587646</v>
      </c>
      <c r="P18" s="28" t="n"/>
      <c r="Q18" s="28" t="n">
        <v>-0.08232100000000001</v>
      </c>
      <c r="R18" s="26" t="n">
        <v>0</v>
      </c>
      <c r="S18" s="29" t="n">
        <v>0</v>
      </c>
      <c r="T18" s="24" t="inlineStr">
        <is>
          <t>npb-tie-aware-elo-v2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Tie-aware Elo baseline; executable ask 0.6700 (market_slug=aec-npb-ybo-hci-2026-08-07). Tie probability=0.0287.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NO_CALL_WINNER_OVERVALUED</t>
        </is>
      </c>
      <c r="AP18" s="24" t="inlineStr">
        <is>
          <t>Hiroshima Carp</t>
        </is>
      </c>
      <c r="AQ18" s="24" t="inlineStr">
        <is>
          <t>Hiroshima Carp</t>
        </is>
      </c>
      <c r="AR18" s="24" t="inlineStr">
        <is>
          <t>Hiroshima Carp</t>
        </is>
      </c>
      <c r="AS18" s="24" t="inlineStr">
        <is>
          <t>Yokohama BayStars</t>
        </is>
      </c>
      <c r="AT18" s="24" t="inlineStr">
        <is>
          <t>Yokohama BayStars</t>
        </is>
      </c>
      <c r="AU18" s="24" t="inlineStr">
        <is>
          <t>Yokohama BayStars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1397f2a2e62220577ae4a4ae8de10b8369816a7b15d915f063053eb9c759a04a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1397f2a2e62220577ae4a4ae8de10b8369816a7b15d915f063053eb9c759a04a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2026-08-07T06:04:06.385882Z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80c41bce75c94f02</t>
        </is>
      </c>
      <c r="B19" s="24" t="inlineStr">
        <is>
          <t>2026-08-07T06:04:08.876576Z</t>
        </is>
      </c>
      <c r="C19" s="24" t="inlineStr">
        <is>
          <t>2026-08-07T09:00:00Z</t>
        </is>
      </c>
      <c r="D19" s="24" t="inlineStr">
        <is>
          <t>71690</t>
        </is>
      </c>
      <c r="E19" s="24" t="inlineStr">
        <is>
          <t>NPB</t>
        </is>
      </c>
      <c r="F19" s="24" t="inlineStr">
        <is>
          <t>Chunichi Dragons</t>
        </is>
      </c>
      <c r="G19" s="24" t="inlineStr">
        <is>
          <t>Hanshin Tigers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-186</v>
      </c>
      <c r="M19" s="27" t="n">
        <v>1.537634</v>
      </c>
      <c r="N19" s="28" t="n">
        <v>0.65035</v>
      </c>
      <c r="O19" s="28" t="n">
        <v>0.577661</v>
      </c>
      <c r="P19" s="28" t="n"/>
      <c r="Q19" s="28" t="n">
        <v>-0.072689</v>
      </c>
      <c r="R19" s="26" t="n">
        <v>0</v>
      </c>
      <c r="S19" s="29" t="n">
        <v>0</v>
      </c>
      <c r="T19" s="24" t="inlineStr">
        <is>
          <t>npb-tie-aware-elo-v2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Tie-aware Elo baseline; executable ask 0.6500 (market_slug=aec-npb-hta-cdh-2026-08-07). Tie probability=0.0296.</t>
        </is>
      </c>
      <c r="AF19" s="31" t="inlineStr">
        <is>
          <t>Config-promoted international baseball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NO_CALL_WINNER_OVERVALUED</t>
        </is>
      </c>
      <c r="AP19" s="24" t="inlineStr">
        <is>
          <t>Chunichi Dragons</t>
        </is>
      </c>
      <c r="AQ19" s="24" t="inlineStr">
        <is>
          <t>Chunichi Dragons</t>
        </is>
      </c>
      <c r="AR19" s="24" t="inlineStr">
        <is>
          <t>Chunichi Dragons</t>
        </is>
      </c>
      <c r="AS19" s="24" t="inlineStr">
        <is>
          <t>Hanshin Tigers</t>
        </is>
      </c>
      <c r="AT19" s="24" t="inlineStr">
        <is>
          <t>Hanshin Tigers</t>
        </is>
      </c>
      <c r="AU19" s="24" t="inlineStr">
        <is>
          <t>Hanshin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1397f2a2e62220577ae4a4ae8de10b8369816a7b15d915f063053eb9c759a04a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1397f2a2e62220577ae4a4ae8de10b8369816a7b15d915f063053eb9c759a04a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2026-08-07T06:04:06.951384Z</t>
        </is>
      </c>
      <c r="BI19" s="24" t="inlineStr">
        <is>
          <t>["same_event","same_team_same_day","same_league_same_day"]</t>
        </is>
      </c>
      <c r="BJ19" s="25" t="n"/>
      <c r="BK19" s="26" t="n">
        <v>-186</v>
      </c>
      <c r="BL19" s="27" t="n">
        <v>1.537634</v>
      </c>
      <c r="BM19" s="28" t="n">
        <v>0.65035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8af9beec062f4eb8</t>
        </is>
      </c>
      <c r="B20" s="24" t="inlineStr">
        <is>
          <t>2026-08-07T06:04:08.876576Z</t>
        </is>
      </c>
      <c r="C20" s="24" t="inlineStr">
        <is>
          <t>2026-08-07T09:00:00Z</t>
        </is>
      </c>
      <c r="D20" s="24" t="inlineStr">
        <is>
          <t>71691</t>
        </is>
      </c>
      <c r="E20" s="24" t="inlineStr">
        <is>
          <t>NPB</t>
        </is>
      </c>
      <c r="F20" s="24" t="inlineStr">
        <is>
          <t>Tohoku Rakuten Golden Eagles</t>
        </is>
      </c>
      <c r="G20" s="24" t="inlineStr">
        <is>
          <t>Nippon Ham Fighters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-257</v>
      </c>
      <c r="M20" s="27" t="n">
        <v>1.389105</v>
      </c>
      <c r="N20" s="28" t="n">
        <v>0.719888</v>
      </c>
      <c r="O20" s="28" t="n">
        <v>0.648431</v>
      </c>
      <c r="P20" s="28" t="n"/>
      <c r="Q20" s="28" t="n">
        <v>-0.07145700000000001</v>
      </c>
      <c r="R20" s="26" t="n">
        <v>0</v>
      </c>
      <c r="S20" s="29" t="n">
        <v>0</v>
      </c>
      <c r="T20" s="24" t="inlineStr">
        <is>
          <t>npb-tie-aware-elo-v2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Tie-aware Elo baseline; executable ask 0.7200 (market_slug=aec-npb-nhf-trge-2026-08-07). Tie probability=0.0232.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NO_CALL_WINNER_OVERVALUED</t>
        </is>
      </c>
      <c r="AP20" s="24" t="inlineStr">
        <is>
          <t>Tohoku Rakuten Golden Eagles</t>
        </is>
      </c>
      <c r="AQ20" s="24" t="inlineStr">
        <is>
          <t>Tohoku Rakuten Golden Eagles</t>
        </is>
      </c>
      <c r="AR20" s="24" t="inlineStr">
        <is>
          <t>Tohoku Rakuten Golden Eagles</t>
        </is>
      </c>
      <c r="AS20" s="24" t="inlineStr">
        <is>
          <t>Nippon Ham Fighters</t>
        </is>
      </c>
      <c r="AT20" s="24" t="inlineStr">
        <is>
          <t>Nippon Ham Fighters</t>
        </is>
      </c>
      <c r="AU20" s="24" t="inlineStr">
        <is>
          <t>Nippon Ham Fighters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1397f2a2e62220577ae4a4ae8de10b8369816a7b15d915f063053eb9c759a04a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1397f2a2e62220577ae4a4ae8de10b8369816a7b15d915f063053eb9c759a04a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2026-08-07T06:04:07.658626Z</t>
        </is>
      </c>
      <c r="BI20" s="24" t="inlineStr">
        <is>
          <t>["same_event","same_team_same_day","same_league_same_day"]</t>
        </is>
      </c>
      <c r="BJ20" s="25" t="n"/>
      <c r="BK20" s="26" t="n">
        <v>-257</v>
      </c>
      <c r="BL20" s="27" t="n">
        <v>1.389105</v>
      </c>
      <c r="BM20" s="28" t="n">
        <v>0.719888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53df51dcf4ef4440</t>
        </is>
      </c>
      <c r="B21" s="24" t="inlineStr">
        <is>
          <t>2026-08-07T06:04:08.876576Z</t>
        </is>
      </c>
      <c r="C21" s="24" t="inlineStr">
        <is>
          <t>2026-08-07T09:00:00Z</t>
        </is>
      </c>
      <c r="D21" s="24" t="inlineStr">
        <is>
          <t>71692</t>
        </is>
      </c>
      <c r="E21" s="24" t="inlineStr">
        <is>
          <t>NPB</t>
        </is>
      </c>
      <c r="F21" s="24" t="inlineStr">
        <is>
          <t>Fukuoka SoftBank Hawks</t>
        </is>
      </c>
      <c r="G21" s="24" t="inlineStr">
        <is>
          <t>Saitama Seibu Lions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0.57184</v>
      </c>
      <c r="P21" s="28" t="n"/>
      <c r="Q21" s="28" t="n">
        <v>-0.02816</v>
      </c>
      <c r="R21" s="26" t="n">
        <v>6</v>
      </c>
      <c r="S21" s="29" t="n">
        <v>0</v>
      </c>
      <c r="T21" s="24" t="inlineStr">
        <is>
          <t>npb-tie-aware-elo-v2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Tie-aware Elo baseline; executable ask 0.6000 (market_slug=aec-npb-ssl-fsh-2026-08-07). Tie probability=0.0301.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NO_CALL_WINNER_OVERVALUED</t>
        </is>
      </c>
      <c r="AP21" s="24" t="inlineStr">
        <is>
          <t>Fukuoka SoftBank Hawks</t>
        </is>
      </c>
      <c r="AQ21" s="24" t="inlineStr">
        <is>
          <t>Fukuoka SoftBank Hawks</t>
        </is>
      </c>
      <c r="AR21" s="24" t="inlineStr">
        <is>
          <t>Fukuoka SoftBank Hawks</t>
        </is>
      </c>
      <c r="AS21" s="24" t="inlineStr">
        <is>
          <t>Saitama Seibu Lions</t>
        </is>
      </c>
      <c r="AT21" s="24" t="inlineStr">
        <is>
          <t>Saitama Seibu Lions</t>
        </is>
      </c>
      <c r="AU21" s="24" t="inlineStr">
        <is>
          <t>Saitama Seibu Lions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1397f2a2e62220577ae4a4ae8de10b8369816a7b15d915f063053eb9c759a04a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1397f2a2e62220577ae4a4ae8de10b8369816a7b15d915f063053eb9c759a04a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2026-08-07T06:04:08.234637Z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09a39aaa7814454e</t>
        </is>
      </c>
      <c r="B22" s="24" t="inlineStr">
        <is>
          <t>2026-08-07T06:04:08.876576Z</t>
        </is>
      </c>
      <c r="C22" s="24" t="inlineStr">
        <is>
          <t>2026-08-07T09:00:00Z</t>
        </is>
      </c>
      <c r="D22" s="24" t="inlineStr">
        <is>
          <t>71693</t>
        </is>
      </c>
      <c r="E22" s="24" t="inlineStr">
        <is>
          <t>NPB</t>
        </is>
      </c>
      <c r="F22" s="24" t="inlineStr">
        <is>
          <t>Orix Buffaloes</t>
        </is>
      </c>
      <c r="G22" s="24" t="inlineStr">
        <is>
          <t>Chiba Lotte Marines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0.5519500000000001</v>
      </c>
      <c r="P22" s="28" t="n"/>
      <c r="Q22" s="28" t="n">
        <v>0.021434</v>
      </c>
      <c r="R22" s="26" t="n">
        <v>31</v>
      </c>
      <c r="S22" s="29" t="n">
        <v>0</v>
      </c>
      <c r="T22" s="24" t="inlineStr">
        <is>
          <t>npb-tie-aware-elo-v2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Tie-aware Elo baseline; executable ask 0.5300 (market_slug=aec-npb-clm-obr-2026-08-07). Tie probability=0.0318.</t>
        </is>
      </c>
      <c r="AF22" s="31" t="inlineStr">
        <is>
          <t>Config-promoted international baseball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NO_CALL_WINNER_OVERVALUED</t>
        </is>
      </c>
      <c r="AP22" s="24" t="inlineStr">
        <is>
          <t>Orix Buffaloes</t>
        </is>
      </c>
      <c r="AQ22" s="24" t="inlineStr">
        <is>
          <t>Orix Buffaloes</t>
        </is>
      </c>
      <c r="AR22" s="24" t="inlineStr">
        <is>
          <t>Orix Buffaloes</t>
        </is>
      </c>
      <c r="AS22" s="24" t="inlineStr">
        <is>
          <t>Chiba Lotte Marines</t>
        </is>
      </c>
      <c r="AT22" s="24" t="inlineStr">
        <is>
          <t>Chiba Lotte Marines</t>
        </is>
      </c>
      <c r="AU22" s="24" t="inlineStr">
        <is>
          <t>Chiba Lotte Marines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1397f2a2e62220577ae4a4ae8de10b8369816a7b15d915f063053eb9c759a04a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1397f2a2e62220577ae4a4ae8de10b8369816a7b15d915f063053eb9c759a04a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2026-08-07T06:04:08.876525Z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2026-08-07T06:04:16Z</dcterms:created>
  <dcterms:modified xmlns:dcterms="http://purl.org/dc/terms/" xmlns:xsi="http://www.w3.org/2001/XMLSchema-instance" xsi:type="dcterms:W3CDTF">2026-08-07T06:04:16Z</dcterms:modified>
</cp:coreProperties>
</file>