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10" headerRowCount="1">
  <autoFilter ref="A1:CS10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COUNTA('Picks'!$A$2:$A$10)</f>
        <v/>
      </c>
      <c r="C4" s="6">
        <f>COUNTIF('Picks'!$U$2:$U$10,"open")</f>
        <v/>
      </c>
      <c r="E4" s="6">
        <f>COUNTIF('Picks'!$U$2:$U$10,"settled")</f>
        <v/>
      </c>
      <c r="G4" s="6">
        <f>IF(COUNTIFS('Picks'!$U$2:$U$10,"settled",'Picks'!$V$2:$V$10,"win")+COUNTIFS('Picks'!$U$2:$U$10,"settled",'Picks'!$V$2:$V$10,"loss")&gt;=$L$2,"Ready","Insufficient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COUNTIF('Picks'!$BX$2:$BX$10,"&gt;0")</f>
        <v/>
      </c>
      <c r="C7" s="6">
        <f>COUNTIFS('Picks'!$BX$2:$BX$10,"&gt;0",'Picks'!$V$2:$V$10,"win")&amp;"-"&amp;COUNTIFS('Picks'!$BX$2:$BX$10,"&gt;0",'Picks'!$V$2:$V$10,"loss")</f>
        <v/>
      </c>
      <c r="E7" s="7">
        <f>IFERROR(COUNTIFS('Picks'!$BX$2:$BX$10,"&gt;0",'Picks'!$V$2:$V$10,"win")/(COUNTIFS('Picks'!$BX$2:$BX$10,"&gt;0",'Picks'!$V$2:$V$10,"win")+COUNTIFS('Picks'!$BX$2:$BX$10,"&gt;0",'Picks'!$V$2:$V$10,"loss")),0)</f>
        <v/>
      </c>
      <c r="G7" s="7">
        <f>IFERROR(SUM('Picks'!$BY$2:$BY$10)/SUM('Picks'!$BX$2:$BX$10),0)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SUM('Picks'!$BY$2:$BY$10)</f>
        <v/>
      </c>
      <c r="C10" s="9">
        <f>IFERROR(AVERAGEIF('Picks'!$AB$2:$AB$10,"&lt;&gt;",'Picks'!$AB$2:$AB$10),0)</f>
        <v/>
      </c>
      <c r="E10" s="6">
        <f>COUNTIFS('Picks'!$AM$2:$AM$10,"QUALIFIED_SHADOW_CALL",'Picks'!$U$2:$U$10,"settled")</f>
        <v/>
      </c>
      <c r="G10" s="8">
        <f>SUMIFS('Picks'!$AC$2:$AC$10,'Picks'!$AM$2:$AM$10,"QUALIFIED_SHADOW_CALL")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COUNTIFS('Picks'!$H$2:$H$10,$A14,'Picks'!$U$2:$U$10,"settled")</f>
        <v/>
      </c>
      <c r="C14" s="13">
        <f>COUNTIFS('Picks'!$H$2:$H$10,$A14,'Picks'!$U$2:$U$10,"settled",'Picks'!$V$2:$V$10,"win")</f>
        <v/>
      </c>
      <c r="D14" s="13">
        <f>COUNTIFS('Picks'!$H$2:$H$10,$A14,'Picks'!$U$2:$U$10,"settled",'Picks'!$V$2:$V$10,"loss")</f>
        <v/>
      </c>
      <c r="E14" s="14">
        <f>IFERROR(C14/(C14+D14),0)</f>
        <v/>
      </c>
      <c r="F14" s="15">
        <f>SUMIFS('Picks'!$BY$2:$BY$10,'Picks'!$H$2:$H$10,$A14)</f>
        <v/>
      </c>
      <c r="G14" s="16">
        <f>IFERROR(AVERAGEIFS('Picks'!$AB$2:$AB$10,'Picks'!$H$2:$H$10,$A14,'Picks'!$U$2:$U$10,"settled"),0)</f>
        <v/>
      </c>
    </row>
    <row r="15">
      <c r="A15" s="17" t="inlineStr">
        <is>
          <t>spread</t>
        </is>
      </c>
      <c r="B15" s="18">
        <f>COUNTIFS('Picks'!$H$2:$H$10,$A15,'Picks'!$U$2:$U$10,"settled")</f>
        <v/>
      </c>
      <c r="C15" s="18">
        <f>COUNTIFS('Picks'!$H$2:$H$10,$A15,'Picks'!$U$2:$U$10,"settled",'Picks'!$V$2:$V$10,"win")</f>
        <v/>
      </c>
      <c r="D15" s="18">
        <f>COUNTIFS('Picks'!$H$2:$H$10,$A15,'Picks'!$U$2:$U$10,"settled",'Picks'!$V$2:$V$10,"loss")</f>
        <v/>
      </c>
      <c r="E15" s="19">
        <f>IFERROR(C15/(C15+D15),0)</f>
        <v/>
      </c>
      <c r="F15" s="20">
        <f>SUMIFS('Picks'!$BY$2:$BY$10,'Picks'!$H$2:$H$10,$A15)</f>
        <v/>
      </c>
      <c r="G15" s="21">
        <f>IFERROR(AVERAGEIFS('Picks'!$AB$2:$AB$10,'Picks'!$H$2:$H$10,$A15,'Picks'!$U$2:$U$10,"settled"),0)</f>
        <v/>
      </c>
    </row>
    <row r="16">
      <c r="A16" s="12" t="inlineStr">
        <is>
          <t>total</t>
        </is>
      </c>
      <c r="B16" s="13">
        <f>COUNTIFS('Picks'!$H$2:$H$10,$A16,'Picks'!$U$2:$U$10,"settled")</f>
        <v/>
      </c>
      <c r="C16" s="13">
        <f>COUNTIFS('Picks'!$H$2:$H$10,$A16,'Picks'!$U$2:$U$10,"settled",'Picks'!$V$2:$V$10,"win")</f>
        <v/>
      </c>
      <c r="D16" s="13">
        <f>COUNTIFS('Picks'!$H$2:$H$10,$A16,'Picks'!$U$2:$U$10,"settled",'Picks'!$V$2:$V$10,"loss")</f>
        <v/>
      </c>
      <c r="E16" s="14">
        <f>IFERROR(C16/(C16+D16),0)</f>
        <v/>
      </c>
      <c r="F16" s="15">
        <f>SUMIFS('Picks'!$BY$2:$BY$10,'Picks'!$H$2:$H$10,$A16)</f>
        <v/>
      </c>
      <c r="G16" s="16">
        <f>IFERROR(AVERAGEIFS('Picks'!$AB$2:$AB$10,'Picks'!$H$2:$H$10,$A16,'Picks'!$U$2:$U$10,"settled"),0)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3a2fbe541260425f</t>
        </is>
      </c>
      <c r="B2" s="24" t="inlineStr">
        <is>
          <t>2026-08-02T07:17:16.064524Z</t>
        </is>
      </c>
      <c r="C2" s="24" t="inlineStr">
        <is>
          <t>2026-08-02T08:00:00Z</t>
        </is>
      </c>
      <c r="D2" s="24" t="inlineStr">
        <is>
          <t>66797</t>
        </is>
      </c>
      <c r="E2" s="24" t="inlineStr">
        <is>
          <t>NPB</t>
        </is>
      </c>
      <c r="F2" s="24" t="inlineStr">
        <is>
          <t>Orix Buffaloes</t>
        </is>
      </c>
      <c r="G2" s="24" t="inlineStr">
        <is>
          <t>Saitama Seibu Lions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-156</v>
      </c>
      <c r="M2" s="27" t="n">
        <v>1.641026</v>
      </c>
      <c r="N2" s="28" t="n">
        <v>0.609375</v>
      </c>
      <c r="O2" s="28" t="n">
        <v>0.598142</v>
      </c>
      <c r="P2" s="28" t="n"/>
      <c r="Q2" s="28" t="n">
        <v>-0.011233</v>
      </c>
      <c r="R2" s="26" t="n">
        <v>14</v>
      </c>
      <c r="S2" s="29" t="n">
        <v>1.25</v>
      </c>
      <c r="T2" s="24" t="inlineStr">
        <is>
          <t>npb-tie-aware-elo-v2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5</v>
      </c>
      <c r="Y2" s="25" t="n"/>
      <c r="Z2" s="26" t="n"/>
      <c r="AA2" s="28" t="n"/>
      <c r="AB2" s="28" t="n"/>
      <c r="AC2" s="30" t="n">
        <v>0.8013</v>
      </c>
      <c r="AD2" s="24" t="inlineStr">
        <is>
          <t>2026-08-02T18:19:02.727428Z</t>
        </is>
      </c>
      <c r="AE2" s="31" t="inlineStr">
        <is>
          <t>Tie-aware Elo baseline; executable ask 0.6100 (market_slug=aec-npb-ssl-obr-2026-08-02). Tie probability=0.0279.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Orix Buffaloes</t>
        </is>
      </c>
      <c r="AQ2" s="24" t="inlineStr">
        <is>
          <t>Orix Buffaloes</t>
        </is>
      </c>
      <c r="AR2" s="24" t="inlineStr">
        <is>
          <t>Orix Buffaloes</t>
        </is>
      </c>
      <c r="AS2" s="24" t="inlineStr">
        <is>
          <t>Saitama Seibu Lions</t>
        </is>
      </c>
      <c r="AT2" s="24" t="inlineStr">
        <is>
          <t>Saitama Seibu Lions</t>
        </is>
      </c>
      <c r="AU2" s="24" t="inlineStr">
        <is>
          <t>Saitama Seibu Lions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7bc7902a4eb8ef0d1e3f86c086eab30d4166d1bb4c513506b84d49652b442bb9</t>
        </is>
      </c>
      <c r="BB2" s="24" t="inlineStr">
        <is>
          <t>tie_aware_elo</t>
        </is>
      </c>
      <c r="BC2" s="24" t="inlineStr">
        <is>
          <t>npb-tie-aware-elo-v2</t>
        </is>
      </c>
      <c r="BD2" s="24" t="inlineStr">
        <is>
          <t>7bc7902a4eb8ef0d1e3f86c086eab30d4166d1bb4c513506b84d49652b442bb9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npb-tie-aware-elo-v2</t>
        </is>
      </c>
      <c r="BH2" s="24" t="inlineStr">
        <is>
          <t>2026-08-02T07:17:15.048364Z</t>
        </is>
      </c>
      <c r="BI2" s="24" t="inlineStr">
        <is>
          <t>["same_event","same_team_same_day","same_league_same_day"]</t>
        </is>
      </c>
      <c r="BJ2" s="25" t="n"/>
      <c r="BK2" s="26" t="n">
        <v>-156</v>
      </c>
      <c r="BL2" s="27" t="n">
        <v>1.641026</v>
      </c>
      <c r="BM2" s="28" t="n">
        <v>0.609375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410262d0c1934015</t>
        </is>
      </c>
      <c r="B3" s="24" t="inlineStr">
        <is>
          <t>2026-08-02T08:20:42.087614Z</t>
        </is>
      </c>
      <c r="C3" s="24" t="inlineStr">
        <is>
          <t>2026-08-02T09:00:00Z</t>
        </is>
      </c>
      <c r="D3" s="24" t="inlineStr">
        <is>
          <t>66805</t>
        </is>
      </c>
      <c r="E3" s="24" t="inlineStr">
        <is>
          <t>NPB</t>
        </is>
      </c>
      <c r="F3" s="24" t="inlineStr">
        <is>
          <t>Hanshin Tigers</t>
        </is>
      </c>
      <c r="G3" s="24" t="inlineStr">
        <is>
          <t>Tokyo Yakult Swallows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0.589889</v>
      </c>
      <c r="P3" s="28" t="n"/>
      <c r="Q3" s="28" t="n">
        <v>-0.019486</v>
      </c>
      <c r="R3" s="26" t="n">
        <v>10</v>
      </c>
      <c r="S3" s="29" t="n">
        <v>1.25</v>
      </c>
      <c r="T3" s="24" t="inlineStr">
        <is>
          <t>npb-tie-aware-elo-v2</t>
        </is>
      </c>
      <c r="U3" s="24" t="inlineStr">
        <is>
          <t>settled</t>
        </is>
      </c>
      <c r="V3" s="24" t="inlineStr">
        <is>
          <t>win</t>
        </is>
      </c>
      <c r="W3" s="26" t="n">
        <v>4</v>
      </c>
      <c r="X3" s="26" t="n">
        <v>3</v>
      </c>
      <c r="Y3" s="25" t="n"/>
      <c r="Z3" s="26" t="n"/>
      <c r="AA3" s="28" t="n"/>
      <c r="AB3" s="28" t="n"/>
      <c r="AC3" s="30" t="n">
        <v>0.8013</v>
      </c>
      <c r="AD3" s="24" t="inlineStr">
        <is>
          <t>2026-08-02T18:19:02.786059Z</t>
        </is>
      </c>
      <c r="AE3" s="31" t="inlineStr">
        <is>
          <t>Tie-aware Elo baseline; executable ask 0.6100 (market_slug=aec-npb-tys-hta-2026-08-02). Tie probability=0.0287.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Hanshin Tigers</t>
        </is>
      </c>
      <c r="AQ3" s="24" t="inlineStr">
        <is>
          <t>Hanshin Tigers</t>
        </is>
      </c>
      <c r="AR3" s="24" t="inlineStr">
        <is>
          <t>Hanshin Tigers</t>
        </is>
      </c>
      <c r="AS3" s="24" t="inlineStr">
        <is>
          <t>Tokyo Yakult Swallows</t>
        </is>
      </c>
      <c r="AT3" s="24" t="inlineStr">
        <is>
          <t>Tokyo Yakult Swallows</t>
        </is>
      </c>
      <c r="AU3" s="24" t="inlineStr">
        <is>
          <t>Tokyo Yakult Swallows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2a6cf3b60204b321f39347f04e6fe642c4fbe02fc5d69a03243771cd77d85043</t>
        </is>
      </c>
      <c r="BB3" s="24" t="inlineStr">
        <is>
          <t>tie_aware_elo</t>
        </is>
      </c>
      <c r="BC3" s="24" t="inlineStr">
        <is>
          <t>npb-tie-aware-elo-v2</t>
        </is>
      </c>
      <c r="BD3" s="24" t="inlineStr">
        <is>
          <t>2a6cf3b60204b321f39347f04e6fe642c4fbe02fc5d69a03243771cd77d85043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npb-tie-aware-elo-v2</t>
        </is>
      </c>
      <c r="BH3" s="24" t="inlineStr">
        <is>
          <t>2026-08-02T08:20:41.605573Z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45e1046342e5401e</t>
        </is>
      </c>
      <c r="B4" s="24" t="inlineStr">
        <is>
          <t>2026-08-02T08:20:42.087614Z</t>
        </is>
      </c>
      <c r="C4" s="24" t="inlineStr">
        <is>
          <t>2026-08-02T09:00:00Z</t>
        </is>
      </c>
      <c r="D4" s="24" t="inlineStr">
        <is>
          <t>66806</t>
        </is>
      </c>
      <c r="E4" s="24" t="inlineStr">
        <is>
          <t>NPB</t>
        </is>
      </c>
      <c r="F4" s="24" t="inlineStr">
        <is>
          <t>Chunichi Dragons</t>
        </is>
      </c>
      <c r="G4" s="24" t="inlineStr">
        <is>
          <t>Hiroshima Carp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-108</v>
      </c>
      <c r="M4" s="27" t="n">
        <v>1.925926</v>
      </c>
      <c r="N4" s="28" t="n">
        <v>0.519231</v>
      </c>
      <c r="O4" s="28" t="n">
        <v>0.516289</v>
      </c>
      <c r="P4" s="28" t="n"/>
      <c r="Q4" s="28" t="n">
        <v>-0.002942</v>
      </c>
      <c r="R4" s="26" t="n">
        <v>19</v>
      </c>
      <c r="S4" s="29" t="n">
        <v>1</v>
      </c>
      <c r="T4" s="24" t="inlineStr">
        <is>
          <t>npb-tie-aware-elo-v2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4</v>
      </c>
      <c r="Y4" s="25" t="n"/>
      <c r="Z4" s="26" t="n"/>
      <c r="AA4" s="28" t="n"/>
      <c r="AB4" s="28" t="n"/>
      <c r="AC4" s="30" t="n">
        <v>0.9258999999999999</v>
      </c>
      <c r="AD4" s="24" t="inlineStr">
        <is>
          <t>2026-08-02T18:19:02.832015Z</t>
        </is>
      </c>
      <c r="AE4" s="31" t="inlineStr">
        <is>
          <t>Tie-aware Elo baseline; executable ask 0.5200 (market_slug=aec-npb-hci-cdh-2026-08-02). Tie probability=0.0352.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Chunichi Dragons</t>
        </is>
      </c>
      <c r="AQ4" s="24" t="inlineStr">
        <is>
          <t>Chunichi Dragons</t>
        </is>
      </c>
      <c r="AR4" s="24" t="inlineStr">
        <is>
          <t>Chunichi Dragons</t>
        </is>
      </c>
      <c r="AS4" s="24" t="inlineStr">
        <is>
          <t>Hiroshima Carp</t>
        </is>
      </c>
      <c r="AT4" s="24" t="inlineStr">
        <is>
          <t>Hiroshima Carp</t>
        </is>
      </c>
      <c r="AU4" s="24" t="inlineStr">
        <is>
          <t>Hiroshima Carp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2a6cf3b60204b321f39347f04e6fe642c4fbe02fc5d69a03243771cd77d85043</t>
        </is>
      </c>
      <c r="BB4" s="24" t="inlineStr">
        <is>
          <t>tie_aware_elo</t>
        </is>
      </c>
      <c r="BC4" s="24" t="inlineStr">
        <is>
          <t>npb-tie-aware-elo-v2</t>
        </is>
      </c>
      <c r="BD4" s="24" t="inlineStr">
        <is>
          <t>2a6cf3b60204b321f39347f04e6fe642c4fbe02fc5d69a03243771cd77d85043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npb-tie-aware-elo-v2</t>
        </is>
      </c>
      <c r="BH4" s="24" t="inlineStr">
        <is>
          <t>2026-08-02T08:20:42.087439Z</t>
        </is>
      </c>
      <c r="BI4" s="24" t="inlineStr">
        <is>
          <t>["same_event","same_team_same_day","same_league_same_day"]</t>
        </is>
      </c>
      <c r="BJ4" s="25" t="n"/>
      <c r="BK4" s="26" t="n">
        <v>-108</v>
      </c>
      <c r="BL4" s="27" t="n">
        <v>1.925926</v>
      </c>
      <c r="BM4" s="28" t="n">
        <v>0.519231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e5ed76f20434451f</t>
        </is>
      </c>
      <c r="B5" s="24" t="inlineStr">
        <is>
          <t>2026-08-03T06:33:34.637203Z</t>
        </is>
      </c>
      <c r="C5" s="24" t="inlineStr">
        <is>
          <t>2026-08-03T09:00:00Z</t>
        </is>
      </c>
      <c r="D5" s="24" t="inlineStr">
        <is>
          <t>67498</t>
        </is>
      </c>
      <c r="E5" s="24" t="inlineStr">
        <is>
          <t>NPB</t>
        </is>
      </c>
      <c r="F5" s="24" t="inlineStr">
        <is>
          <t>Tohoku Rakuten Golden Eagles</t>
        </is>
      </c>
      <c r="G5" s="24" t="inlineStr">
        <is>
          <t>Orix Buffaloes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-122</v>
      </c>
      <c r="M5" s="27" t="n">
        <v>1.819672</v>
      </c>
      <c r="N5" s="28" t="n">
        <v>0.54955</v>
      </c>
      <c r="O5" s="28" t="n">
        <v>0.550397</v>
      </c>
      <c r="P5" s="28" t="n"/>
      <c r="Q5" s="28" t="n">
        <v>0.000847</v>
      </c>
      <c r="R5" s="26" t="n">
        <v>20</v>
      </c>
      <c r="S5" s="29" t="n">
        <v>1</v>
      </c>
      <c r="T5" s="24" t="inlineStr">
        <is>
          <t>npb-tie-aware-elo-v2</t>
        </is>
      </c>
      <c r="U5" s="24" t="inlineStr">
        <is>
          <t>settled</t>
        </is>
      </c>
      <c r="V5" s="24" t="inlineStr">
        <is>
          <t>win</t>
        </is>
      </c>
      <c r="W5" s="26" t="n">
        <v>6</v>
      </c>
      <c r="X5" s="26" t="n">
        <v>9</v>
      </c>
      <c r="Y5" s="25" t="n"/>
      <c r="Z5" s="26" t="n"/>
      <c r="AA5" s="28" t="n"/>
      <c r="AB5" s="28" t="n"/>
      <c r="AC5" s="30" t="n">
        <v>0.8197</v>
      </c>
      <c r="AD5" s="24" t="inlineStr">
        <is>
          <t>2026-08-03T19:52:12.453085Z</t>
        </is>
      </c>
      <c r="AE5" s="31" t="inlineStr">
        <is>
          <t>Tie-aware Elo baseline; executable ask 0.5500 (market_slug=aec-npb-obr-trge-2026-08-03). Tie probability=0.0321.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Tohoku Rakuten Golden Eagles</t>
        </is>
      </c>
      <c r="AQ5" s="24" t="inlineStr">
        <is>
          <t>Tohoku Rakuten Golden Eagles</t>
        </is>
      </c>
      <c r="AR5" s="24" t="inlineStr">
        <is>
          <t>Tohoku Rakuten Golden Eagles</t>
        </is>
      </c>
      <c r="AS5" s="24" t="inlineStr">
        <is>
          <t>Orix Buffaloes</t>
        </is>
      </c>
      <c r="AT5" s="24" t="inlineStr">
        <is>
          <t>Orix Buffaloes</t>
        </is>
      </c>
      <c r="AU5" s="24" t="inlineStr">
        <is>
          <t>Orix Buffaloes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fe60ea981cb60cbb4cd1f8007017436a9fb4fad2d99764931f7f0d7461cd4907</t>
        </is>
      </c>
      <c r="BB5" s="24" t="inlineStr">
        <is>
          <t>tie_aware_elo</t>
        </is>
      </c>
      <c r="BC5" s="24" t="inlineStr">
        <is>
          <t>npb-tie-aware-elo-v2</t>
        </is>
      </c>
      <c r="BD5" s="24" t="inlineStr">
        <is>
          <t>fe60ea981cb60cbb4cd1f8007017436a9fb4fad2d99764931f7f0d7461cd4907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npb-tie-aware-elo-v2</t>
        </is>
      </c>
      <c r="BH5" s="24" t="inlineStr">
        <is>
          <t>2026-08-03T06:33:34.636987Z</t>
        </is>
      </c>
      <c r="BI5" s="24" t="inlineStr">
        <is>
          <t>["same_event","same_team_same_day","same_league_same_day"]</t>
        </is>
      </c>
      <c r="BJ5" s="25" t="n"/>
      <c r="BK5" s="26" t="n">
        <v>-122</v>
      </c>
      <c r="BL5" s="27" t="n">
        <v>1.819672</v>
      </c>
      <c r="BM5" s="28" t="n">
        <v>0.54955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</row>
    <row r="6" ht="36" customHeight="1">
      <c r="A6" s="24" t="inlineStr">
        <is>
          <t>835cd2f91e9447d0</t>
        </is>
      </c>
      <c r="B6" s="24" t="inlineStr">
        <is>
          <t>2026-08-04T05:17:41.271393Z</t>
        </is>
      </c>
      <c r="C6" s="24" t="inlineStr">
        <is>
          <t>2026-08-04T08:45:00Z</t>
        </is>
      </c>
      <c r="D6" s="24" t="inlineStr">
        <is>
          <t>68272</t>
        </is>
      </c>
      <c r="E6" s="24" t="inlineStr">
        <is>
          <t>NPB</t>
        </is>
      </c>
      <c r="F6" s="24" t="inlineStr">
        <is>
          <t>Hanshin Tigers</t>
        </is>
      </c>
      <c r="G6" s="24" t="inlineStr">
        <is>
          <t>Yokohama BayStars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0.524037</v>
      </c>
      <c r="P6" s="28" t="n"/>
      <c r="Q6" s="28" t="n">
        <v>-0.095735</v>
      </c>
      <c r="R6" s="26" t="n">
        <v>0</v>
      </c>
      <c r="S6" s="29" t="n">
        <v>1</v>
      </c>
      <c r="T6" s="24" t="inlineStr">
        <is>
          <t>npb-tie-aware-elo-v2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Tie-aware Elo baseline; executable ask 0.6200 (market_slug=aec-npb-ybo-hta-2026-08-04). Tie probability=0.0344.</t>
        </is>
      </c>
      <c r="AF6" s="31" t="inlineStr">
        <is>
          <t>Config-promoted international baseball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Hanshin Tigers</t>
        </is>
      </c>
      <c r="AQ6" s="24" t="inlineStr">
        <is>
          <t>Hanshin Tigers</t>
        </is>
      </c>
      <c r="AR6" s="24" t="inlineStr">
        <is>
          <t>Hanshin Tigers</t>
        </is>
      </c>
      <c r="AS6" s="24" t="inlineStr">
        <is>
          <t>Yokohama BayStars</t>
        </is>
      </c>
      <c r="AT6" s="24" t="inlineStr">
        <is>
          <t>Yokohama BayStars</t>
        </is>
      </c>
      <c r="AU6" s="24" t="inlineStr">
        <is>
          <t>Yokohama BayStars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6d6669d47bc91bfec82db00ad3cb5bea565b364709e20a7346cef2b95011e4a9</t>
        </is>
      </c>
      <c r="BB6" s="24" t="inlineStr">
        <is>
          <t>tie_aware_elo</t>
        </is>
      </c>
      <c r="BC6" s="24" t="inlineStr">
        <is>
          <t>npb-tie-aware-elo-v2</t>
        </is>
      </c>
      <c r="BD6" s="24" t="inlineStr">
        <is>
          <t>6d6669d47bc91bfec82db00ad3cb5bea565b364709e20a7346cef2b95011e4a9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npb-tie-aware-elo-v2</t>
        </is>
      </c>
      <c r="BH6" s="24" t="inlineStr">
        <is>
          <t>2026-08-04T05:17:38.867915Z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</row>
    <row r="7" ht="36" customHeight="1">
      <c r="A7" s="24" t="inlineStr">
        <is>
          <t>07cba45ff6704ad2</t>
        </is>
      </c>
      <c r="B7" s="24" t="inlineStr">
        <is>
          <t>2026-08-04T08:55:29.194644Z</t>
        </is>
      </c>
      <c r="C7" s="24" t="inlineStr">
        <is>
          <t>2026-08-04T09:00:00Z</t>
        </is>
      </c>
      <c r="D7" s="24" t="inlineStr">
        <is>
          <t>68273</t>
        </is>
      </c>
      <c r="E7" s="24" t="inlineStr">
        <is>
          <t>NPB</t>
        </is>
      </c>
      <c r="F7" s="24" t="inlineStr">
        <is>
          <t>Tokyo Yakult Swallows</t>
        </is>
      </c>
      <c r="G7" s="24" t="inlineStr">
        <is>
          <t>Chunichi Dragons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-194</v>
      </c>
      <c r="M7" s="27" t="n">
        <v>1.515464</v>
      </c>
      <c r="N7" s="28" t="n">
        <v>0.659864</v>
      </c>
      <c r="O7" s="28" t="n">
        <v>0.596977</v>
      </c>
      <c r="P7" s="28" t="n"/>
      <c r="Q7" s="28" t="n">
        <v>-0.062887</v>
      </c>
      <c r="R7" s="26" t="n">
        <v>0</v>
      </c>
      <c r="S7" s="29" t="n">
        <v>1.25</v>
      </c>
      <c r="T7" s="24" t="inlineStr">
        <is>
          <t>npb-tie-aware-elo-v2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Tie-aware Elo baseline; executable ask 0.6600 (market_slug=aec-npb-cdh-tys-2026-08-04). Tie probability=0.0280.</t>
        </is>
      </c>
      <c r="AF7" s="31" t="inlineStr">
        <is>
          <t>Config-promoted international baseball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Tokyo Yakult Swallows</t>
        </is>
      </c>
      <c r="AQ7" s="24" t="inlineStr">
        <is>
          <t>Tokyo Yakult Swallows</t>
        </is>
      </c>
      <c r="AR7" s="24" t="inlineStr">
        <is>
          <t>Tokyo Yakult Swallows</t>
        </is>
      </c>
      <c r="AS7" s="24" t="inlineStr">
        <is>
          <t>Chunichi Dragons</t>
        </is>
      </c>
      <c r="AT7" s="24" t="inlineStr">
        <is>
          <t>Chunichi Dragons</t>
        </is>
      </c>
      <c r="AU7" s="24" t="inlineStr">
        <is>
          <t>Chunichi Dragons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bc4fda3fccd78fdc3bca8f7cc4fb910c9fcb1d51c5557416c7b46467f043e355</t>
        </is>
      </c>
      <c r="BB7" s="24" t="inlineStr">
        <is>
          <t>tie_aware_elo</t>
        </is>
      </c>
      <c r="BC7" s="24" t="inlineStr">
        <is>
          <t>npb-tie-aware-elo-v2</t>
        </is>
      </c>
      <c r="BD7" s="24" t="inlineStr">
        <is>
          <t>bc4fda3fccd78fdc3bca8f7cc4fb910c9fcb1d51c5557416c7b46467f043e355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npb-tie-aware-elo-v2</t>
        </is>
      </c>
      <c r="BH7" s="24" t="inlineStr">
        <is>
          <t>2026-08-04T08:55:27.161124Z</t>
        </is>
      </c>
      <c r="BI7" s="24" t="inlineStr">
        <is>
          <t>["same_event","same_team_same_day","same_league_same_day"]</t>
        </is>
      </c>
      <c r="BJ7" s="25" t="n"/>
      <c r="BK7" s="26" t="n">
        <v>-194</v>
      </c>
      <c r="BL7" s="27" t="n">
        <v>1.515464</v>
      </c>
      <c r="BM7" s="28" t="n">
        <v>0.659864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</row>
    <row r="8" ht="36" customHeight="1">
      <c r="A8" s="24" t="inlineStr">
        <is>
          <t>5565c1c847ae409c</t>
        </is>
      </c>
      <c r="B8" s="24" t="inlineStr">
        <is>
          <t>2026-08-04T08:55:29.194644Z</t>
        </is>
      </c>
      <c r="C8" s="24" t="inlineStr">
        <is>
          <t>2026-08-04T09:00:00Z</t>
        </is>
      </c>
      <c r="D8" s="24" t="inlineStr">
        <is>
          <t>68274</t>
        </is>
      </c>
      <c r="E8" s="24" t="inlineStr">
        <is>
          <t>NPB</t>
        </is>
      </c>
      <c r="F8" s="24" t="inlineStr">
        <is>
          <t>Yomiuri Giants</t>
        </is>
      </c>
      <c r="G8" s="24" t="inlineStr">
        <is>
          <t>Hiroshima Carp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0.545695</v>
      </c>
      <c r="P8" s="28" t="n"/>
      <c r="Q8" s="28" t="n">
        <v>0.064926</v>
      </c>
      <c r="R8" s="26" t="n">
        <v>52</v>
      </c>
      <c r="S8" s="29" t="n">
        <v>1</v>
      </c>
      <c r="T8" s="24" t="inlineStr">
        <is>
          <t>npb-tie-aware-elo-v2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Tie-aware Elo baseline; executable ask 0.4800 (market_slug=aec-npb-hci-ygo-2026-08-04). Tie probability=0.0325.</t>
        </is>
      </c>
      <c r="AF8" s="31" t="inlineStr">
        <is>
          <t>Config-promoted international baseball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Yomiuri Giants</t>
        </is>
      </c>
      <c r="AQ8" s="24" t="inlineStr">
        <is>
          <t>Yomiuri Giants</t>
        </is>
      </c>
      <c r="AR8" s="24" t="inlineStr">
        <is>
          <t>Yomiuri Giants</t>
        </is>
      </c>
      <c r="AS8" s="24" t="inlineStr">
        <is>
          <t>Hiroshima Carp</t>
        </is>
      </c>
      <c r="AT8" s="24" t="inlineStr">
        <is>
          <t>Hiroshima Carp</t>
        </is>
      </c>
      <c r="AU8" s="24" t="inlineStr">
        <is>
          <t>Hiroshima Carp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bc4fda3fccd78fdc3bca8f7cc4fb910c9fcb1d51c5557416c7b46467f043e355</t>
        </is>
      </c>
      <c r="BB8" s="24" t="inlineStr">
        <is>
          <t>tie_aware_elo</t>
        </is>
      </c>
      <c r="BC8" s="24" t="inlineStr">
        <is>
          <t>npb-tie-aware-elo-v2</t>
        </is>
      </c>
      <c r="BD8" s="24" t="inlineStr">
        <is>
          <t>bc4fda3fccd78fdc3bca8f7cc4fb910c9fcb1d51c5557416c7b46467f043e355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npb-tie-aware-elo-v2</t>
        </is>
      </c>
      <c r="BH8" s="24" t="inlineStr">
        <is>
          <t>2026-08-04T08:55:27.795687Z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95f669c37c9d41e9</t>
        </is>
      </c>
      <c r="B9" s="24" t="inlineStr">
        <is>
          <t>2026-08-04T08:55:29.194644Z</t>
        </is>
      </c>
      <c r="C9" s="24" t="inlineStr">
        <is>
          <t>2026-08-04T09:00:00Z</t>
        </is>
      </c>
      <c r="D9" s="24" t="inlineStr">
        <is>
          <t>68275</t>
        </is>
      </c>
      <c r="E9" s="24" t="inlineStr">
        <is>
          <t>NPB</t>
        </is>
      </c>
      <c r="F9" s="24" t="inlineStr">
        <is>
          <t>Saitama Seibu Lions</t>
        </is>
      </c>
      <c r="G9" s="24" t="inlineStr">
        <is>
          <t>Chiba Lotte Marines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-133</v>
      </c>
      <c r="M9" s="27" t="n">
        <v>1.75188</v>
      </c>
      <c r="N9" s="28" t="n">
        <v>0.570815</v>
      </c>
      <c r="O9" s="28" t="n">
        <v>0.528517</v>
      </c>
      <c r="P9" s="28" t="n"/>
      <c r="Q9" s="28" t="n">
        <v>-0.042298</v>
      </c>
      <c r="R9" s="26" t="n">
        <v>0</v>
      </c>
      <c r="S9" s="29" t="n">
        <v>1</v>
      </c>
      <c r="T9" s="24" t="inlineStr">
        <is>
          <t>npb-tie-aware-elo-v2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Tie-aware Elo baseline; executable ask 0.5700 (market_slug=aec-npb-clm-ssl-2026-08-04). Tie probability=0.0340.</t>
        </is>
      </c>
      <c r="AF9" s="31" t="inlineStr">
        <is>
          <t>Config-promoted international baseball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Saitama Seibu Lions</t>
        </is>
      </c>
      <c r="AQ9" s="24" t="inlineStr">
        <is>
          <t>Saitama Seibu Lions</t>
        </is>
      </c>
      <c r="AR9" s="24" t="inlineStr">
        <is>
          <t>Saitama Seibu Lions</t>
        </is>
      </c>
      <c r="AS9" s="24" t="inlineStr">
        <is>
          <t>Chiba Lotte Marines</t>
        </is>
      </c>
      <c r="AT9" s="24" t="inlineStr">
        <is>
          <t>Chiba Lotte Marines</t>
        </is>
      </c>
      <c r="AU9" s="24" t="inlineStr">
        <is>
          <t>Chiba Lotte Marines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bc4fda3fccd78fdc3bca8f7cc4fb910c9fcb1d51c5557416c7b46467f043e355</t>
        </is>
      </c>
      <c r="BB9" s="24" t="inlineStr">
        <is>
          <t>tie_aware_elo</t>
        </is>
      </c>
      <c r="BC9" s="24" t="inlineStr">
        <is>
          <t>npb-tie-aware-elo-v2</t>
        </is>
      </c>
      <c r="BD9" s="24" t="inlineStr">
        <is>
          <t>bc4fda3fccd78fdc3bca8f7cc4fb910c9fcb1d51c5557416c7b46467f043e355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npb-tie-aware-elo-v2</t>
        </is>
      </c>
      <c r="BH9" s="24" t="inlineStr">
        <is>
          <t>2026-08-04T08:55:28.470678Z</t>
        </is>
      </c>
      <c r="BI9" s="24" t="inlineStr">
        <is>
          <t>["same_event","same_team_same_day","same_league_same_day"]</t>
        </is>
      </c>
      <c r="BJ9" s="25" t="n"/>
      <c r="BK9" s="26" t="n">
        <v>-133</v>
      </c>
      <c r="BL9" s="27" t="n">
        <v>1.75188</v>
      </c>
      <c r="BM9" s="28" t="n">
        <v>0.570815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False</t>
        </is>
      </c>
    </row>
    <row r="10" ht="36" customHeight="1">
      <c r="A10" s="24" t="inlineStr">
        <is>
          <t>a6465e9b4f2148ae</t>
        </is>
      </c>
      <c r="B10" s="24" t="inlineStr">
        <is>
          <t>2026-08-04T08:55:29.194644Z</t>
        </is>
      </c>
      <c r="C10" s="24" t="inlineStr">
        <is>
          <t>2026-08-04T09:00:00Z</t>
        </is>
      </c>
      <c r="D10" s="24" t="inlineStr">
        <is>
          <t>68276</t>
        </is>
      </c>
      <c r="E10" s="24" t="inlineStr">
        <is>
          <t>NPB</t>
        </is>
      </c>
      <c r="F10" s="24" t="inlineStr">
        <is>
          <t>Nippon Ham Fighters</t>
        </is>
      </c>
      <c r="G10" s="24" t="inlineStr">
        <is>
          <t>Fukuoka SoftBank Hawks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0.579364</v>
      </c>
      <c r="P10" s="28" t="n"/>
      <c r="Q10" s="28" t="n">
        <v>-0.030011</v>
      </c>
      <c r="R10" s="26" t="n">
        <v>5</v>
      </c>
      <c r="S10" s="29" t="n">
        <v>1.25</v>
      </c>
      <c r="T10" s="24" t="inlineStr">
        <is>
          <t>npb-tie-aware-elo-v2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Tie-aware Elo baseline; executable ask 0.6100 (market_slug=aec-npb-fsh-nhf-2026-08-04). Tie probability=0.0295.</t>
        </is>
      </c>
      <c r="AF10" s="31" t="inlineStr">
        <is>
          <t>Config-promoted international baseball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Nippon Ham Fighters</t>
        </is>
      </c>
      <c r="AQ10" s="24" t="inlineStr">
        <is>
          <t>Nippon Ham Fighters</t>
        </is>
      </c>
      <c r="AR10" s="24" t="inlineStr">
        <is>
          <t>Nippon Ham Fighters</t>
        </is>
      </c>
      <c r="AS10" s="24" t="inlineStr">
        <is>
          <t>Fukuoka SoftBank Hawks</t>
        </is>
      </c>
      <c r="AT10" s="24" t="inlineStr">
        <is>
          <t>Fukuoka SoftBank Hawks</t>
        </is>
      </c>
      <c r="AU10" s="24" t="inlineStr">
        <is>
          <t>Fukuoka SoftBank Hawks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bc4fda3fccd78fdc3bca8f7cc4fb910c9fcb1d51c5557416c7b46467f043e355</t>
        </is>
      </c>
      <c r="BB10" s="24" t="inlineStr">
        <is>
          <t>tie_aware_elo</t>
        </is>
      </c>
      <c r="BC10" s="24" t="inlineStr">
        <is>
          <t>npb-tie-aware-elo-v2</t>
        </is>
      </c>
      <c r="BD10" s="24" t="inlineStr">
        <is>
          <t>bc4fda3fccd78fdc3bca8f7cc4fb910c9fcb1d51c5557416c7b46467f043e355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npb-tie-aware-elo-v2</t>
        </is>
      </c>
      <c r="BH10" s="24" t="inlineStr">
        <is>
          <t>2026-08-04T08:55:29.194611Z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2026-08-04T14:22:23Z</dcterms:created>
  <dcterms:modified xsi:type="dcterms:W3CDTF">2026-08-04T14:22:23Z</dcterms:modified>
</cp:coreProperties>
</file>