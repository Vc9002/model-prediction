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44" headerRowCount="1">
  <autoFilter ref="A1:CS44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COUNTA('Picks'!$A$2:$A$44)</f>
        <v/>
      </c>
      <c r="C4" s="6">
        <f>COUNTIF('Picks'!$U$2:$U$44,"open")</f>
        <v/>
      </c>
      <c r="E4" s="6">
        <f>COUNTIF('Picks'!$U$2:$U$44,"settled")</f>
        <v/>
      </c>
      <c r="G4" s="6">
        <f>IF(COUNTIFS('Picks'!$U$2:$U$44,"settled",'Picks'!$V$2:$V$44,"win")+COUNTIFS('Picks'!$U$2:$U$44,"settled",'Picks'!$V$2:$V$44,"loss")&gt;=$L$2,"Ready","Insufficient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COUNTIF('Picks'!$BX$2:$BX$44,"&gt;0")</f>
        <v/>
      </c>
      <c r="C7" s="6">
        <f>COUNTIFS('Picks'!$BX$2:$BX$44,"&gt;0",'Picks'!$V$2:$V$44,"win")&amp;"-"&amp;COUNTIFS('Picks'!$BX$2:$BX$44,"&gt;0",'Picks'!$V$2:$V$44,"loss")</f>
        <v/>
      </c>
      <c r="E7" s="32">
        <f>IFERROR(COUNTIFS('Picks'!$BX$2:$BX$44,"&gt;0",'Picks'!$V$2:$V$44,"win")/(COUNTIFS('Picks'!$BX$2:$BX$44,"&gt;0",'Picks'!$V$2:$V$44,"win")+COUNTIFS('Picks'!$BX$2:$BX$44,"&gt;0",'Picks'!$V$2:$V$44,"loss")),0)</f>
        <v/>
      </c>
      <c r="G7" s="32">
        <f>IFERROR(SUM('Picks'!$BY$2:$BY$44)/SUM('Picks'!$BX$2:$BX$44),0)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SUM('Picks'!$BY$2:$BY$44)</f>
        <v/>
      </c>
      <c r="C10" s="9">
        <f>IFERROR(AVERAGEIF('Picks'!$AB$2:$AB$44,"&lt;&gt;",'Picks'!$AB$2:$AB$44),0)</f>
        <v/>
      </c>
      <c r="E10" s="6">
        <f>COUNTIFS('Picks'!$AM$2:$AM$44,"QUALIFIED_SHADOW_CALL",'Picks'!$U$2:$U$44,"settled")</f>
        <v/>
      </c>
      <c r="G10" s="33">
        <f>SUMIFS('Picks'!$AC$2:$AC$44,'Picks'!$AM$2:$AM$44,"QUALIFIED_SHADOW_CALL")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COUNTIFS('Picks'!$H$2:$H$44,$A14,'Picks'!$U$2:$U$44,"settled")</f>
        <v/>
      </c>
      <c r="C14" s="13">
        <f>COUNTIFS('Picks'!$H$2:$H$44,$A14,'Picks'!$U$2:$U$44,"settled",'Picks'!$V$2:$V$44,"win")</f>
        <v/>
      </c>
      <c r="D14" s="13">
        <f>COUNTIFS('Picks'!$H$2:$H$44,$A14,'Picks'!$U$2:$U$44,"settled",'Picks'!$V$2:$V$44,"loss")</f>
        <v/>
      </c>
      <c r="E14" s="34">
        <f>IFERROR(C14/(C14+D14),0)</f>
        <v/>
      </c>
      <c r="F14" s="35">
        <f>SUMIFS('Picks'!$BY$2:$BY$44,'Picks'!$H$2:$H$44,$A14)</f>
        <v/>
      </c>
      <c r="G14" s="16">
        <f>IFERROR(AVERAGEIFS('Picks'!$AB$2:$AB$44,'Picks'!$H$2:$H$44,$A14,'Picks'!$U$2:$U$44,"settled"),0)</f>
        <v/>
      </c>
    </row>
    <row r="15">
      <c r="A15" s="17" t="inlineStr">
        <is>
          <t>spread</t>
        </is>
      </c>
      <c r="B15" s="18">
        <f>COUNTIFS('Picks'!$H$2:$H$44,$A15,'Picks'!$U$2:$U$44,"settled")</f>
        <v/>
      </c>
      <c r="C15" s="18">
        <f>COUNTIFS('Picks'!$H$2:$H$44,$A15,'Picks'!$U$2:$U$44,"settled",'Picks'!$V$2:$V$44,"win")</f>
        <v/>
      </c>
      <c r="D15" s="18">
        <f>COUNTIFS('Picks'!$H$2:$H$44,$A15,'Picks'!$U$2:$U$44,"settled",'Picks'!$V$2:$V$44,"loss")</f>
        <v/>
      </c>
      <c r="E15" s="36">
        <f>IFERROR(C15/(C15+D15),0)</f>
        <v/>
      </c>
      <c r="F15" s="37">
        <f>SUMIFS('Picks'!$BY$2:$BY$44,'Picks'!$H$2:$H$44,$A15)</f>
        <v/>
      </c>
      <c r="G15" s="21">
        <f>IFERROR(AVERAGEIFS('Picks'!$AB$2:$AB$44,'Picks'!$H$2:$H$44,$A15,'Picks'!$U$2:$U$44,"settled"),0)</f>
        <v/>
      </c>
    </row>
    <row r="16">
      <c r="A16" s="12" t="inlineStr">
        <is>
          <t>total</t>
        </is>
      </c>
      <c r="B16" s="13">
        <f>COUNTIFS('Picks'!$H$2:$H$44,$A16,'Picks'!$U$2:$U$44,"settled")</f>
        <v/>
      </c>
      <c r="C16" s="13">
        <f>COUNTIFS('Picks'!$H$2:$H$44,$A16,'Picks'!$U$2:$U$44,"settled",'Picks'!$V$2:$V$44,"win")</f>
        <v/>
      </c>
      <c r="D16" s="13">
        <f>COUNTIFS('Picks'!$H$2:$H$44,$A16,'Picks'!$U$2:$U$44,"settled",'Picks'!$V$2:$V$44,"loss")</f>
        <v/>
      </c>
      <c r="E16" s="34">
        <f>IFERROR(C16/(C16+D16),0)</f>
        <v/>
      </c>
      <c r="F16" s="35">
        <f>SUMIFS('Picks'!$BY$2:$BY$44,'Picks'!$H$2:$H$44,$A16)</f>
        <v/>
      </c>
      <c r="G16" s="16">
        <f>IFERROR(AVERAGEIFS('Picks'!$AB$2:$AB$44,'Picks'!$H$2:$H$44,$A16,'Picks'!$U$2:$U$44,"settled"),0)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-156</v>
      </c>
      <c r="M2" s="39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38" t="n"/>
      <c r="Z2" s="26" t="n"/>
      <c r="AA2" s="28" t="n"/>
      <c r="AB2" s="28" t="n"/>
      <c r="AC2" s="4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38" t="n"/>
      <c r="BK2" s="26" t="n">
        <v>-156</v>
      </c>
      <c r="BL2" s="39" t="n">
        <v>1.641026</v>
      </c>
      <c r="BM2" s="28" t="n">
        <v>0.609375</v>
      </c>
      <c r="BN2" s="28" t="n"/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38" t="n"/>
      <c r="K3" s="24" t="inlineStr">
        <is>
          <t>polymarket_us</t>
        </is>
      </c>
      <c r="L3" s="26" t="n">
        <v>-156</v>
      </c>
      <c r="M3" s="39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38" t="n"/>
      <c r="Z3" s="26" t="n"/>
      <c r="AA3" s="28" t="n"/>
      <c r="AB3" s="28" t="n"/>
      <c r="AC3" s="4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38" t="n"/>
      <c r="BK3" s="26" t="n">
        <v>-156</v>
      </c>
      <c r="BL3" s="39" t="n">
        <v>1.641026</v>
      </c>
      <c r="BM3" s="28" t="n">
        <v>0.609375</v>
      </c>
      <c r="BN3" s="28" t="n"/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-108</v>
      </c>
      <c r="M4" s="39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38" t="n"/>
      <c r="Z4" s="26" t="n"/>
      <c r="AA4" s="28" t="n"/>
      <c r="AB4" s="28" t="n"/>
      <c r="AC4" s="4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38" t="n"/>
      <c r="BK4" s="26" t="n">
        <v>-108</v>
      </c>
      <c r="BL4" s="39" t="n">
        <v>1.925926</v>
      </c>
      <c r="BM4" s="28" t="n">
        <v>0.519231</v>
      </c>
      <c r="BN4" s="28" t="n"/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e5ed76f20434451f</t>
        </is>
      </c>
      <c r="B5" s="24" t="inlineStr">
        <is>
          <t>2026-08-03T06:33:34.637203Z</t>
        </is>
      </c>
      <c r="C5" s="24" t="inlineStr">
        <is>
          <t>2026-08-03T09:00:00Z</t>
        </is>
      </c>
      <c r="D5" s="24" t="inlineStr">
        <is>
          <t>67498</t>
        </is>
      </c>
      <c r="E5" s="24" t="inlineStr">
        <is>
          <t>NPB</t>
        </is>
      </c>
      <c r="F5" s="24" t="inlineStr">
        <is>
          <t>Tohoku Rakuten Golden Eagles</t>
        </is>
      </c>
      <c r="G5" s="24" t="inlineStr">
        <is>
          <t>Orix Buffaloes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-122</v>
      </c>
      <c r="M5" s="39" t="n">
        <v>1.819672</v>
      </c>
      <c r="N5" s="28" t="n">
        <v>0.54955</v>
      </c>
      <c r="O5" s="28" t="n">
        <v>0.550397</v>
      </c>
      <c r="P5" s="28" t="n"/>
      <c r="Q5" s="28" t="n">
        <v>0.000847</v>
      </c>
      <c r="R5" s="26" t="n">
        <v>20</v>
      </c>
      <c r="S5" s="29" t="n">
        <v>1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6</v>
      </c>
      <c r="X5" s="26" t="n">
        <v>9</v>
      </c>
      <c r="Y5" s="38" t="n"/>
      <c r="Z5" s="26" t="n"/>
      <c r="AA5" s="28" t="n"/>
      <c r="AB5" s="28" t="n"/>
      <c r="AC5" s="40" t="n">
        <v>0.8197</v>
      </c>
      <c r="AD5" s="24" t="inlineStr">
        <is>
          <t>2026-08-03T19:52:12.453085Z</t>
        </is>
      </c>
      <c r="AE5" s="31" t="inlineStr">
        <is>
          <t>Tie-aware Elo baseline; executable ask 0.5500 (market_slug=aec-npb-obr-trge-2026-08-03). Tie probability=0.0321.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Tohoku Rakuten Golden Eagles</t>
        </is>
      </c>
      <c r="AQ5" s="24" t="inlineStr">
        <is>
          <t>Tohoku Rakuten Golden Eagles</t>
        </is>
      </c>
      <c r="AR5" s="24" t="inlineStr">
        <is>
          <t>Tohoku Rakuten Golden Eagles</t>
        </is>
      </c>
      <c r="AS5" s="24" t="inlineStr">
        <is>
          <t>Orix Buffaloes</t>
        </is>
      </c>
      <c r="AT5" s="24" t="inlineStr">
        <is>
          <t>Orix Buffaloes</t>
        </is>
      </c>
      <c r="AU5" s="24" t="inlineStr">
        <is>
          <t>Orix Buffaloes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fe60ea981cb60cbb4cd1f8007017436a9fb4fad2d99764931f7f0d7461cd4907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fe60ea981cb60cbb4cd1f8007017436a9fb4fad2d99764931f7f0d7461cd4907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2026-08-03T06:33:34.636987Z</t>
        </is>
      </c>
      <c r="BI5" s="24" t="inlineStr">
        <is>
          <t>["same_event","same_team_same_day","same_league_same_day"]</t>
        </is>
      </c>
      <c r="BJ5" s="38" t="n"/>
      <c r="BK5" s="26" t="n">
        <v>-122</v>
      </c>
      <c r="BL5" s="39" t="n">
        <v>1.819672</v>
      </c>
      <c r="BM5" s="28" t="n">
        <v>0.54955</v>
      </c>
      <c r="BN5" s="28" t="n"/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835cd2f91e9447d0</t>
        </is>
      </c>
      <c r="B6" s="24" t="inlineStr">
        <is>
          <t>2026-08-04T05:17:41.271393Z</t>
        </is>
      </c>
      <c r="C6" s="24" t="inlineStr">
        <is>
          <t>2026-08-04T08:45:00Z</t>
        </is>
      </c>
      <c r="D6" s="24" t="inlineStr">
        <is>
          <t>68272</t>
        </is>
      </c>
      <c r="E6" s="24" t="inlineStr">
        <is>
          <t>NPB</t>
        </is>
      </c>
      <c r="F6" s="24" t="inlineStr">
        <is>
          <t>Hanshin Tigers</t>
        </is>
      </c>
      <c r="G6" s="24" t="inlineStr">
        <is>
          <t>Yokohama BayStars</t>
        </is>
      </c>
      <c r="H6" s="24" t="inlineStr">
        <is>
          <t>moneyline</t>
        </is>
      </c>
      <c r="I6" s="24" t="inlineStr">
        <is>
          <t>away</t>
        </is>
      </c>
      <c r="J6" s="38" t="n"/>
      <c r="K6" s="24" t="inlineStr">
        <is>
          <t>polymarket_us</t>
        </is>
      </c>
      <c r="L6" s="26" t="n">
        <v>-163</v>
      </c>
      <c r="M6" s="39" t="n">
        <v>1.613497</v>
      </c>
      <c r="N6" s="28" t="n">
        <v>0.619772</v>
      </c>
      <c r="O6" s="28" t="n">
        <v>0.524037</v>
      </c>
      <c r="P6" s="28" t="n"/>
      <c r="Q6" s="28" t="n">
        <v>-0.095735</v>
      </c>
      <c r="R6" s="26" t="n">
        <v>0</v>
      </c>
      <c r="S6" s="29" t="n">
        <v>1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-1</v>
      </c>
      <c r="AD6" s="24" t="inlineStr">
        <is>
          <t>2026-08-04T18:04:43.764923Z</t>
        </is>
      </c>
      <c r="AE6" s="31" t="inlineStr">
        <is>
          <t>Tie-aware Elo baseline; executable ask 0.6200 (market_slug=aec-npb-ybo-hta-2026-08-04). Tie probability=0.0344.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Hanshin Tigers</t>
        </is>
      </c>
      <c r="AQ6" s="24" t="inlineStr">
        <is>
          <t>Hanshin Tigers</t>
        </is>
      </c>
      <c r="AR6" s="24" t="inlineStr">
        <is>
          <t>Hanshin Tigers</t>
        </is>
      </c>
      <c r="AS6" s="24" t="inlineStr">
        <is>
          <t>Yokohama BayStars</t>
        </is>
      </c>
      <c r="AT6" s="24" t="inlineStr">
        <is>
          <t>Yokohama BayStars</t>
        </is>
      </c>
      <c r="AU6" s="24" t="inlineStr">
        <is>
          <t>Yokohama BayStars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6d6669d47bc91bfec82db00ad3cb5bea565b364709e20a7346cef2b95011e4a9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6d6669d47bc91bfec82db00ad3cb5bea565b364709e20a7346cef2b95011e4a9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2026-08-04T05:17:38.867915Z</t>
        </is>
      </c>
      <c r="BI6" s="24" t="inlineStr">
        <is>
          <t>["same_event","same_team_same_day","same_league_same_day"]</t>
        </is>
      </c>
      <c r="BJ6" s="38" t="n"/>
      <c r="BK6" s="26" t="n">
        <v>-163</v>
      </c>
      <c r="BL6" s="39" t="n">
        <v>1.613497</v>
      </c>
      <c r="BM6" s="28" t="n">
        <v>0.619772</v>
      </c>
      <c r="BN6" s="28" t="n"/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-1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07cba45ff6704ad2</t>
        </is>
      </c>
      <c r="B7" s="24" t="inlineStr">
        <is>
          <t>2026-08-04T08:55:29.194644Z</t>
        </is>
      </c>
      <c r="C7" s="24" t="inlineStr">
        <is>
          <t>2026-08-04T09:00:00Z</t>
        </is>
      </c>
      <c r="D7" s="24" t="inlineStr">
        <is>
          <t>68273</t>
        </is>
      </c>
      <c r="E7" s="24" t="inlineStr">
        <is>
          <t>NPB</t>
        </is>
      </c>
      <c r="F7" s="24" t="inlineStr">
        <is>
          <t>Tokyo Yakult Swallows</t>
        </is>
      </c>
      <c r="G7" s="24" t="inlineStr">
        <is>
          <t>Chunichi Dragons</t>
        </is>
      </c>
      <c r="H7" s="24" t="inlineStr">
        <is>
          <t>moneyline</t>
        </is>
      </c>
      <c r="I7" s="24" t="inlineStr">
        <is>
          <t>home</t>
        </is>
      </c>
      <c r="J7" s="38" t="n"/>
      <c r="K7" s="24" t="inlineStr">
        <is>
          <t>polymarket_us</t>
        </is>
      </c>
      <c r="L7" s="26" t="n">
        <v>-194</v>
      </c>
      <c r="M7" s="39" t="n">
        <v>1.515464</v>
      </c>
      <c r="N7" s="28" t="n">
        <v>0.659864</v>
      </c>
      <c r="O7" s="28" t="n">
        <v>0.596977</v>
      </c>
      <c r="P7" s="28" t="n"/>
      <c r="Q7" s="28" t="n">
        <v>-0.062887</v>
      </c>
      <c r="R7" s="26" t="n">
        <v>0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win</t>
        </is>
      </c>
      <c r="W7" s="26" t="n">
        <v>3</v>
      </c>
      <c r="X7" s="26" t="n">
        <v>4</v>
      </c>
      <c r="Y7" s="38" t="n"/>
      <c r="Z7" s="26" t="n"/>
      <c r="AA7" s="28" t="n"/>
      <c r="AB7" s="28" t="n"/>
      <c r="AC7" s="40" t="n">
        <v>0.6443</v>
      </c>
      <c r="AD7" s="24" t="inlineStr">
        <is>
          <t>2026-08-04T18:04:43.845421Z</t>
        </is>
      </c>
      <c r="AE7" s="31" t="inlineStr">
        <is>
          <t>Tie-aware Elo baseline; executable ask 0.6600 (market_slug=aec-npb-cdh-tys-2026-08-04). Tie probability=0.0280.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Tokyo Yakult Swallows</t>
        </is>
      </c>
      <c r="AQ7" s="24" t="inlineStr">
        <is>
          <t>Tokyo Yakult Swallows</t>
        </is>
      </c>
      <c r="AR7" s="24" t="inlineStr">
        <is>
          <t>Tokyo Yakult Swallows</t>
        </is>
      </c>
      <c r="AS7" s="24" t="inlineStr">
        <is>
          <t>Chunichi Dragons</t>
        </is>
      </c>
      <c r="AT7" s="24" t="inlineStr">
        <is>
          <t>Chunichi Dragons</t>
        </is>
      </c>
      <c r="AU7" s="24" t="inlineStr">
        <is>
          <t>Chunichi Dragons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bc4fda3fccd78fdc3bca8f7cc4fb910c9fcb1d51c5557416c7b46467f043e355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bc4fda3fccd78fdc3bca8f7cc4fb910c9fcb1d51c5557416c7b46467f043e355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2026-08-04T08:55:27.161124Z</t>
        </is>
      </c>
      <c r="BI7" s="24" t="inlineStr">
        <is>
          <t>["same_event","same_team_same_day","same_league_same_day"]</t>
        </is>
      </c>
      <c r="BJ7" s="38" t="n"/>
      <c r="BK7" s="26" t="n">
        <v>-194</v>
      </c>
      <c r="BL7" s="39" t="n">
        <v>1.515464</v>
      </c>
      <c r="BM7" s="28" t="n">
        <v>0.659864</v>
      </c>
      <c r="BN7" s="28" t="n"/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5565c1c847ae409c</t>
        </is>
      </c>
      <c r="B8" s="24" t="inlineStr">
        <is>
          <t>2026-08-04T08:55:29.194644Z</t>
        </is>
      </c>
      <c r="C8" s="24" t="inlineStr">
        <is>
          <t>2026-08-04T09:00:00Z</t>
        </is>
      </c>
      <c r="D8" s="24" t="inlineStr">
        <is>
          <t>68274</t>
        </is>
      </c>
      <c r="E8" s="24" t="inlineStr">
        <is>
          <t>NPB</t>
        </is>
      </c>
      <c r="F8" s="24" t="inlineStr">
        <is>
          <t>Yomiuri Giants</t>
        </is>
      </c>
      <c r="G8" s="24" t="inlineStr">
        <is>
          <t>Hiroshima Carp</t>
        </is>
      </c>
      <c r="H8" s="24" t="inlineStr">
        <is>
          <t>moneyline</t>
        </is>
      </c>
      <c r="I8" s="24" t="inlineStr">
        <is>
          <t>away</t>
        </is>
      </c>
      <c r="J8" s="38" t="n"/>
      <c r="K8" s="24" t="inlineStr">
        <is>
          <t>polymarket_us</t>
        </is>
      </c>
      <c r="L8" s="26" t="n">
        <v>108</v>
      </c>
      <c r="M8" s="39" t="n">
        <v>2.08</v>
      </c>
      <c r="N8" s="28" t="n">
        <v>0.480769</v>
      </c>
      <c r="O8" s="28" t="n">
        <v>0.545695</v>
      </c>
      <c r="P8" s="28" t="n"/>
      <c r="Q8" s="28" t="n">
        <v>0.064926</v>
      </c>
      <c r="R8" s="26" t="n">
        <v>52</v>
      </c>
      <c r="S8" s="29" t="n">
        <v>1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4</v>
      </c>
      <c r="Y8" s="38" t="n"/>
      <c r="Z8" s="26" t="n"/>
      <c r="AA8" s="28" t="n"/>
      <c r="AB8" s="28" t="n"/>
      <c r="AC8" s="40" t="n">
        <v>-1</v>
      </c>
      <c r="AD8" s="24" t="inlineStr">
        <is>
          <t>2026-08-04T18:04:43.918073Z</t>
        </is>
      </c>
      <c r="AE8" s="31" t="inlineStr">
        <is>
          <t>Tie-aware Elo baseline; executable ask 0.4800 (market_slug=aec-npb-hci-ygo-2026-08-04). Tie probability=0.0325.</t>
        </is>
      </c>
      <c r="AF8" s="31" t="inlineStr">
        <is>
          <t>Config-promoted international baseball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Yomiuri Giants</t>
        </is>
      </c>
      <c r="AQ8" s="24" t="inlineStr">
        <is>
          <t>Yomiuri Giants</t>
        </is>
      </c>
      <c r="AR8" s="24" t="inlineStr">
        <is>
          <t>Yomiuri Giants</t>
        </is>
      </c>
      <c r="AS8" s="24" t="inlineStr">
        <is>
          <t>Hiroshima Carp</t>
        </is>
      </c>
      <c r="AT8" s="24" t="inlineStr">
        <is>
          <t>Hiroshima Carp</t>
        </is>
      </c>
      <c r="AU8" s="24" t="inlineStr">
        <is>
          <t>Hiroshima Carp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bc4fda3fccd78fdc3bca8f7cc4fb910c9fcb1d51c5557416c7b46467f043e355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bc4fda3fccd78fdc3bca8f7cc4fb910c9fcb1d51c5557416c7b46467f043e355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2026-08-04T08:55:27.795687Z</t>
        </is>
      </c>
      <c r="BI8" s="24" t="inlineStr">
        <is>
          <t>["same_event","same_team_same_day","same_league_same_day"]</t>
        </is>
      </c>
      <c r="BJ8" s="38" t="n"/>
      <c r="BK8" s="26" t="n">
        <v>108</v>
      </c>
      <c r="BL8" s="39" t="n">
        <v>2.08</v>
      </c>
      <c r="BM8" s="28" t="n">
        <v>0.480769</v>
      </c>
      <c r="BN8" s="28" t="n"/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95f669c37c9d41e9</t>
        </is>
      </c>
      <c r="B9" s="24" t="inlineStr">
        <is>
          <t>2026-08-04T08:55:29.194644Z</t>
        </is>
      </c>
      <c r="C9" s="24" t="inlineStr">
        <is>
          <t>2026-08-04T09:00:00Z</t>
        </is>
      </c>
      <c r="D9" s="24" t="inlineStr">
        <is>
          <t>68275</t>
        </is>
      </c>
      <c r="E9" s="24" t="inlineStr">
        <is>
          <t>NPB</t>
        </is>
      </c>
      <c r="F9" s="24" t="inlineStr">
        <is>
          <t>Saitama Seibu Lions</t>
        </is>
      </c>
      <c r="G9" s="24" t="inlineStr">
        <is>
          <t>Chiba Lotte Marines</t>
        </is>
      </c>
      <c r="H9" s="24" t="inlineStr">
        <is>
          <t>moneyline</t>
        </is>
      </c>
      <c r="I9" s="24" t="inlineStr">
        <is>
          <t>away</t>
        </is>
      </c>
      <c r="J9" s="38" t="n"/>
      <c r="K9" s="24" t="inlineStr">
        <is>
          <t>polymarket_us</t>
        </is>
      </c>
      <c r="L9" s="26" t="n">
        <v>-133</v>
      </c>
      <c r="M9" s="39" t="n">
        <v>1.75188</v>
      </c>
      <c r="N9" s="28" t="n">
        <v>0.570815</v>
      </c>
      <c r="O9" s="28" t="n">
        <v>0.528517</v>
      </c>
      <c r="P9" s="28" t="n"/>
      <c r="Q9" s="28" t="n">
        <v>-0.042298</v>
      </c>
      <c r="R9" s="26" t="n">
        <v>0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-1</v>
      </c>
      <c r="AD9" s="24" t="inlineStr">
        <is>
          <t>2026-08-04T18:04:43.989853Z</t>
        </is>
      </c>
      <c r="AE9" s="31" t="inlineStr">
        <is>
          <t>Tie-aware Elo baseline; executable ask 0.5700 (market_slug=aec-npb-clm-ssl-2026-08-04). Tie probability=0.0340.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Saitama Seibu Lions</t>
        </is>
      </c>
      <c r="AQ9" s="24" t="inlineStr">
        <is>
          <t>Saitama Seibu Lions</t>
        </is>
      </c>
      <c r="AR9" s="24" t="inlineStr">
        <is>
          <t>Saitama Seibu Lions</t>
        </is>
      </c>
      <c r="AS9" s="24" t="inlineStr">
        <is>
          <t>Chiba Lotte Marines</t>
        </is>
      </c>
      <c r="AT9" s="24" t="inlineStr">
        <is>
          <t>Chiba Lotte Marines</t>
        </is>
      </c>
      <c r="AU9" s="24" t="inlineStr">
        <is>
          <t>Chiba Lotte Marines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bc4fda3fccd78fdc3bca8f7cc4fb910c9fcb1d51c5557416c7b46467f043e355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bc4fda3fccd78fdc3bca8f7cc4fb910c9fcb1d51c5557416c7b46467f043e355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2026-08-04T08:55:28.470678Z</t>
        </is>
      </c>
      <c r="BI9" s="24" t="inlineStr">
        <is>
          <t>["same_event","same_team_same_day","same_league_same_day"]</t>
        </is>
      </c>
      <c r="BJ9" s="38" t="n"/>
      <c r="BK9" s="26" t="n">
        <v>-133</v>
      </c>
      <c r="BL9" s="39" t="n">
        <v>1.75188</v>
      </c>
      <c r="BM9" s="28" t="n">
        <v>0.570815</v>
      </c>
      <c r="BN9" s="28" t="n"/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</row>
    <row r="10" ht="36" customHeight="1">
      <c r="A10" s="24" t="inlineStr">
        <is>
          <t>a6465e9b4f2148ae</t>
        </is>
      </c>
      <c r="B10" s="24" t="inlineStr">
        <is>
          <t>2026-08-04T08:55:29.194644Z</t>
        </is>
      </c>
      <c r="C10" s="24" t="inlineStr">
        <is>
          <t>2026-08-04T09:00:00Z</t>
        </is>
      </c>
      <c r="D10" s="24" t="inlineStr">
        <is>
          <t>68276</t>
        </is>
      </c>
      <c r="E10" s="24" t="inlineStr">
        <is>
          <t>NPB</t>
        </is>
      </c>
      <c r="F10" s="24" t="inlineStr">
        <is>
          <t>Nippon Ham Fighters</t>
        </is>
      </c>
      <c r="G10" s="24" t="inlineStr">
        <is>
          <t>Fukuoka SoftBank Hawks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-156</v>
      </c>
      <c r="M10" s="39" t="n">
        <v>1.641026</v>
      </c>
      <c r="N10" s="28" t="n">
        <v>0.609375</v>
      </c>
      <c r="O10" s="28" t="n">
        <v>0.579364</v>
      </c>
      <c r="P10" s="28" t="n"/>
      <c r="Q10" s="28" t="n">
        <v>-0.030011</v>
      </c>
      <c r="R10" s="26" t="n">
        <v>5</v>
      </c>
      <c r="S10" s="29" t="n">
        <v>1.25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38" t="n"/>
      <c r="Z10" s="26" t="n"/>
      <c r="AA10" s="28" t="n"/>
      <c r="AB10" s="28" t="n"/>
      <c r="AC10" s="40" t="n">
        <v>0.8013</v>
      </c>
      <c r="AD10" s="24" t="inlineStr">
        <is>
          <t>2026-08-04T18:04:44.062623Z</t>
        </is>
      </c>
      <c r="AE10" s="31" t="inlineStr">
        <is>
          <t>Tie-aware Elo baseline; executable ask 0.6100 (market_slug=aec-npb-fsh-nhf-2026-08-04). Tie probability=0.0295.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Nippon Ham Fighters</t>
        </is>
      </c>
      <c r="AQ10" s="24" t="inlineStr">
        <is>
          <t>Nippon Ham Fighters</t>
        </is>
      </c>
      <c r="AR10" s="24" t="inlineStr">
        <is>
          <t>Nippon Ham Fighters</t>
        </is>
      </c>
      <c r="AS10" s="24" t="inlineStr">
        <is>
          <t>Fukuoka SoftBank Hawks</t>
        </is>
      </c>
      <c r="AT10" s="24" t="inlineStr">
        <is>
          <t>Fukuoka SoftBank Hawks</t>
        </is>
      </c>
      <c r="AU10" s="24" t="inlineStr">
        <is>
          <t>Fukuoka SoftBank Hawks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bc4fda3fccd78fdc3bca8f7cc4fb910c9fcb1d51c5557416c7b46467f043e355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bc4fda3fccd78fdc3bca8f7cc4fb910c9fcb1d51c5557416c7b46467f043e355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2026-08-04T08:55:29.194611Z</t>
        </is>
      </c>
      <c r="BI10" s="24" t="inlineStr">
        <is>
          <t>["same_event","same_team_same_day","same_league_same_day"]</t>
        </is>
      </c>
      <c r="BJ10" s="38" t="n"/>
      <c r="BK10" s="26" t="n">
        <v>-156</v>
      </c>
      <c r="BL10" s="39" t="n">
        <v>1.641026</v>
      </c>
      <c r="BM10" s="28" t="n">
        <v>0.609375</v>
      </c>
      <c r="BN10" s="28" t="n"/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ba889f1490334b55</t>
        </is>
      </c>
      <c r="B11" s="24" t="inlineStr">
        <is>
          <t>2026-08-05T04:36:53.416116Z</t>
        </is>
      </c>
      <c r="C11" s="24" t="inlineStr">
        <is>
          <t>2026-08-05T08:45:00Z</t>
        </is>
      </c>
      <c r="D11" s="24" t="inlineStr">
        <is>
          <t>69524</t>
        </is>
      </c>
      <c r="E11" s="24" t="inlineStr">
        <is>
          <t>NPB</t>
        </is>
      </c>
      <c r="F11" s="24" t="inlineStr">
        <is>
          <t>Hanshin Tigers</t>
        </is>
      </c>
      <c r="G11" s="24" t="inlineStr">
        <is>
          <t>Yokohama BayStars</t>
        </is>
      </c>
      <c r="H11" s="24" t="inlineStr">
        <is>
          <t>moneyline</t>
        </is>
      </c>
      <c r="I11" s="24" t="inlineStr">
        <is>
          <t>away</t>
        </is>
      </c>
      <c r="J11" s="38" t="n"/>
      <c r="K11" s="24" t="inlineStr">
        <is>
          <t>polymarket_us</t>
        </is>
      </c>
      <c r="L11" s="26" t="n">
        <v>-150</v>
      </c>
      <c r="M11" s="39" t="n">
        <v>1.666667</v>
      </c>
      <c r="N11" s="28" t="n">
        <v>0.6</v>
      </c>
      <c r="O11" s="28" t="n">
        <v>0.512165</v>
      </c>
      <c r="P11" s="28" t="n"/>
      <c r="Q11" s="28" t="n">
        <v>-0.087835</v>
      </c>
      <c r="R11" s="26" t="n">
        <v>0</v>
      </c>
      <c r="S11" s="29" t="n">
        <v>1</v>
      </c>
      <c r="T11" s="24" t="inlineStr">
        <is>
          <t>npb-tie-aware-elo-v2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11</v>
      </c>
      <c r="Y11" s="38" t="n"/>
      <c r="Z11" s="26" t="n"/>
      <c r="AA11" s="28" t="n"/>
      <c r="AB11" s="28" t="n"/>
      <c r="AC11" s="40" t="n">
        <v>-1</v>
      </c>
      <c r="AD11" s="24" t="inlineStr">
        <is>
          <t>2026-08-05T21:00:18.583620Z</t>
        </is>
      </c>
      <c r="AE11" s="31" t="inlineStr">
        <is>
          <t>Tie-aware Elo baseline; executable ask 0.6000 (market_slug=aec-npb-ybo-hta-2026-08-05). Tie probability=0.0354.</t>
        </is>
      </c>
      <c r="AF11" s="31" t="inlineStr">
        <is>
          <t>Config-promoted international baseball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Hanshin Tigers</t>
        </is>
      </c>
      <c r="AQ11" s="24" t="inlineStr">
        <is>
          <t>Hanshin Tigers</t>
        </is>
      </c>
      <c r="AR11" s="24" t="inlineStr">
        <is>
          <t>Hanshin Tigers</t>
        </is>
      </c>
      <c r="AS11" s="24" t="inlineStr">
        <is>
          <t>Yokohama BayStars</t>
        </is>
      </c>
      <c r="AT11" s="24" t="inlineStr">
        <is>
          <t>Yokohama BayStars</t>
        </is>
      </c>
      <c r="AU11" s="24" t="inlineStr">
        <is>
          <t>Yokohama BayStars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587c95488a5eab49a474c082a9d83bc1218cd1ce498682f7305ccc207cdae6d9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587c95488a5eab49a474c082a9d83bc1218cd1ce498682f7305ccc207cdae6d9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2026-08-05T04:36:49.025090Z</t>
        </is>
      </c>
      <c r="BI11" s="24" t="inlineStr">
        <is>
          <t>["same_event","same_team_same_day","same_league_same_day"]</t>
        </is>
      </c>
      <c r="BJ11" s="38" t="n"/>
      <c r="BK11" s="26" t="n">
        <v>-150</v>
      </c>
      <c r="BL11" s="39" t="n">
        <v>1.666667</v>
      </c>
      <c r="BM11" s="28" t="n">
        <v>0.6</v>
      </c>
      <c r="BN11" s="28" t="n"/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</row>
    <row r="12" ht="36" customHeight="1">
      <c r="A12" s="24" t="inlineStr">
        <is>
          <t>4fee8ebfb11943f8</t>
        </is>
      </c>
      <c r="B12" s="24" t="inlineStr">
        <is>
          <t>2026-08-05T04:36:53.416116Z</t>
        </is>
      </c>
      <c r="C12" s="24" t="inlineStr">
        <is>
          <t>2026-08-05T09:00:00Z</t>
        </is>
      </c>
      <c r="D12" s="24" t="inlineStr">
        <is>
          <t>69525</t>
        </is>
      </c>
      <c r="E12" s="24" t="inlineStr">
        <is>
          <t>NPB</t>
        </is>
      </c>
      <c r="F12" s="24" t="inlineStr">
        <is>
          <t>Tokyo Yakult Swallows</t>
        </is>
      </c>
      <c r="G12" s="24" t="inlineStr">
        <is>
          <t>Chunichi Dragons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-122</v>
      </c>
      <c r="M12" s="39" t="n">
        <v>1.819672</v>
      </c>
      <c r="N12" s="28" t="n">
        <v>0.54955</v>
      </c>
      <c r="O12" s="28" t="n">
        <v>0.605094</v>
      </c>
      <c r="P12" s="28" t="n"/>
      <c r="Q12" s="28" t="n">
        <v>0.055544</v>
      </c>
      <c r="R12" s="26" t="n">
        <v>48</v>
      </c>
      <c r="S12" s="29" t="n">
        <v>1.25</v>
      </c>
      <c r="T12" s="24" t="inlineStr">
        <is>
          <t>npb-tie-aware-elo-v2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4</v>
      </c>
      <c r="Y12" s="38" t="n"/>
      <c r="Z12" s="26" t="n"/>
      <c r="AA12" s="28" t="n"/>
      <c r="AB12" s="28" t="n"/>
      <c r="AC12" s="40" t="n">
        <v>1.0246</v>
      </c>
      <c r="AD12" s="24" t="inlineStr">
        <is>
          <t>2026-08-05T21:00:18.684954Z</t>
        </is>
      </c>
      <c r="AE12" s="31" t="inlineStr">
        <is>
          <t>Tie-aware Elo baseline; executable ask 0.5500 (market_slug=aec-npb-cdh-tys-2026-08-05). Tie probability=0.0272.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Tokyo Yakult Swallows</t>
        </is>
      </c>
      <c r="AQ12" s="24" t="inlineStr">
        <is>
          <t>Tokyo Yakult Swallows</t>
        </is>
      </c>
      <c r="AR12" s="24" t="inlineStr">
        <is>
          <t>Tokyo Yakult Swallows</t>
        </is>
      </c>
      <c r="AS12" s="24" t="inlineStr">
        <is>
          <t>Chunichi Dragons</t>
        </is>
      </c>
      <c r="AT12" s="24" t="inlineStr">
        <is>
          <t>Chunichi Dragons</t>
        </is>
      </c>
      <c r="AU12" s="24" t="inlineStr">
        <is>
          <t>Chunichi Dragons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587c95488a5eab49a474c082a9d83bc1218cd1ce498682f7305ccc207cdae6d9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587c95488a5eab49a474c082a9d83bc1218cd1ce498682f7305ccc207cdae6d9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2026-08-05T04:36:49.865696Z</t>
        </is>
      </c>
      <c r="BI12" s="24" t="inlineStr">
        <is>
          <t>["same_event","same_team_same_day","same_league_same_day"]</t>
        </is>
      </c>
      <c r="BJ12" s="38" t="n"/>
      <c r="BK12" s="26" t="n">
        <v>-122</v>
      </c>
      <c r="BL12" s="39" t="n">
        <v>1.819672</v>
      </c>
      <c r="BM12" s="28" t="n">
        <v>0.54955</v>
      </c>
      <c r="BN12" s="28" t="n"/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6e9d79eeb8954b77</t>
        </is>
      </c>
      <c r="B13" s="24" t="inlineStr">
        <is>
          <t>2026-08-05T04:36:53.416116Z</t>
        </is>
      </c>
      <c r="C13" s="24" t="inlineStr">
        <is>
          <t>2026-08-05T09:00:00Z</t>
        </is>
      </c>
      <c r="D13" s="24" t="inlineStr">
        <is>
          <t>69526</t>
        </is>
      </c>
      <c r="E13" s="24" t="inlineStr">
        <is>
          <t>NPB</t>
        </is>
      </c>
      <c r="F13" s="24" t="inlineStr">
        <is>
          <t>Saitama Seibu Lions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38" t="n"/>
      <c r="K13" s="24" t="inlineStr">
        <is>
          <t>polymarket_us</t>
        </is>
      </c>
      <c r="L13" s="26" t="n">
        <v>-113</v>
      </c>
      <c r="M13" s="39" t="n">
        <v>1.884956</v>
      </c>
      <c r="N13" s="28" t="n">
        <v>0.530516</v>
      </c>
      <c r="O13" s="28" t="n">
        <v>0.511776</v>
      </c>
      <c r="P13" s="28" t="n"/>
      <c r="Q13" s="28" t="n">
        <v>-0.01874</v>
      </c>
      <c r="R13" s="26" t="n">
        <v>11</v>
      </c>
      <c r="S13" s="29" t="n">
        <v>1</v>
      </c>
      <c r="T13" s="24" t="inlineStr">
        <is>
          <t>npb-tie-aware-elo-v2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8</v>
      </c>
      <c r="Y13" s="38" t="n"/>
      <c r="Z13" s="26" t="n"/>
      <c r="AA13" s="28" t="n"/>
      <c r="AB13" s="28" t="n"/>
      <c r="AC13" s="40" t="n">
        <v>-1</v>
      </c>
      <c r="AD13" s="24" t="inlineStr">
        <is>
          <t>2026-08-05T21:00:18.770156Z</t>
        </is>
      </c>
      <c r="AE13" s="31" t="inlineStr">
        <is>
          <t>Tie-aware Elo baseline; executable ask 0.5300 (market_slug=aec-npb-clm-ssl-2026-08-05). Tie probability=0.0354.</t>
        </is>
      </c>
      <c r="AF13" s="31" t="inlineStr">
        <is>
          <t>Config-promoted international baseball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Saitama Seibu Lions</t>
        </is>
      </c>
      <c r="AQ13" s="24" t="inlineStr">
        <is>
          <t>Saitama Seibu Lions</t>
        </is>
      </c>
      <c r="AR13" s="24" t="inlineStr">
        <is>
          <t>Saitama Seibu Lions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587c95488a5eab49a474c082a9d83bc1218cd1ce498682f7305ccc207cdae6d9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587c95488a5eab49a474c082a9d83bc1218cd1ce498682f7305ccc207cdae6d9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2026-08-05T04:36:50.743012Z</t>
        </is>
      </c>
      <c r="BI13" s="24" t="inlineStr">
        <is>
          <t>["same_event","same_team_same_day","same_league_same_day"]</t>
        </is>
      </c>
      <c r="BJ13" s="38" t="n"/>
      <c r="BK13" s="26" t="n">
        <v>-113</v>
      </c>
      <c r="BL13" s="39" t="n">
        <v>1.884956</v>
      </c>
      <c r="BM13" s="28" t="n">
        <v>0.530516</v>
      </c>
      <c r="BN13" s="28" t="n"/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</row>
    <row r="14" ht="36" customHeight="1">
      <c r="A14" s="24" t="inlineStr">
        <is>
          <t>e390daaf0112448a</t>
        </is>
      </c>
      <c r="B14" s="24" t="inlineStr">
        <is>
          <t>2026-08-05T04:36:53.416116Z</t>
        </is>
      </c>
      <c r="C14" s="24" t="inlineStr">
        <is>
          <t>2026-08-05T09:00:00Z</t>
        </is>
      </c>
      <c r="D14" s="24" t="inlineStr">
        <is>
          <t>69527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38" t="n"/>
      <c r="K14" s="24" t="inlineStr">
        <is>
          <t>polymarket_us</t>
        </is>
      </c>
      <c r="L14" s="26" t="n">
        <v>-170</v>
      </c>
      <c r="M14" s="39" t="n">
        <v>1.588235</v>
      </c>
      <c r="N14" s="28" t="n">
        <v>0.62963</v>
      </c>
      <c r="O14" s="28" t="n">
        <v>0.565314</v>
      </c>
      <c r="P14" s="28" t="n"/>
      <c r="Q14" s="28" t="n">
        <v>-0.064316</v>
      </c>
      <c r="R14" s="26" t="n">
        <v>0</v>
      </c>
      <c r="S14" s="29" t="n">
        <v>1</v>
      </c>
      <c r="T14" s="24" t="inlineStr">
        <is>
          <t>npb-tie-aware-elo-v2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3</v>
      </c>
      <c r="Y14" s="38" t="n"/>
      <c r="Z14" s="26" t="n"/>
      <c r="AA14" s="28" t="n"/>
      <c r="AB14" s="28" t="n"/>
      <c r="AC14" s="40" t="n">
        <v>0.5881999999999999</v>
      </c>
      <c r="AD14" s="24" t="inlineStr">
        <is>
          <t>2026-08-05T21:00:18.860547Z</t>
        </is>
      </c>
      <c r="AE14" s="31" t="inlineStr">
        <is>
          <t>Tie-aware Elo baseline; executable ask 0.6300 (market_slug=aec-npb-obr-trge-2026-08-05). Tie probability=0.0307.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587c95488a5eab49a474c082a9d83bc1218cd1ce498682f7305ccc207cdae6d9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587c95488a5eab49a474c082a9d83bc1218cd1ce498682f7305ccc207cdae6d9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2026-08-05T04:36:51.558960Z</t>
        </is>
      </c>
      <c r="BI14" s="24" t="inlineStr">
        <is>
          <t>["same_event","same_team_same_day","same_league_same_day"]</t>
        </is>
      </c>
      <c r="BJ14" s="38" t="n"/>
      <c r="BK14" s="26" t="n">
        <v>-170</v>
      </c>
      <c r="BL14" s="39" t="n">
        <v>1.588235</v>
      </c>
      <c r="BM14" s="28" t="n">
        <v>0.62963</v>
      </c>
      <c r="BN14" s="28" t="n"/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</row>
    <row r="15" ht="36" customHeight="1">
      <c r="A15" s="24" t="inlineStr">
        <is>
          <t>7824cc7441d94f63</t>
        </is>
      </c>
      <c r="B15" s="24" t="inlineStr">
        <is>
          <t>2026-08-05T04:36:53.416116Z</t>
        </is>
      </c>
      <c r="C15" s="24" t="inlineStr">
        <is>
          <t>2026-08-05T09:00:00Z</t>
        </is>
      </c>
      <c r="D15" s="24" t="inlineStr">
        <is>
          <t>69528</t>
        </is>
      </c>
      <c r="E15" s="24" t="inlineStr">
        <is>
          <t>NPB</t>
        </is>
      </c>
      <c r="F15" s="24" t="inlineStr">
        <is>
          <t>Nippon Ham Fighters</t>
        </is>
      </c>
      <c r="G15" s="24" t="inlineStr">
        <is>
          <t>Fukuoka SoftBank Hawks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-144</v>
      </c>
      <c r="M15" s="39" t="n">
        <v>1.694444</v>
      </c>
      <c r="N15" s="28" t="n">
        <v>0.590164</v>
      </c>
      <c r="O15" s="28" t="n">
        <v>0.587499</v>
      </c>
      <c r="P15" s="28" t="n"/>
      <c r="Q15" s="28" t="n">
        <v>-0.002665</v>
      </c>
      <c r="R15" s="26" t="n">
        <v>19</v>
      </c>
      <c r="S15" s="29" t="n">
        <v>1.25</v>
      </c>
      <c r="T15" s="24" t="inlineStr">
        <is>
          <t>npb-tie-aware-elo-v2</t>
        </is>
      </c>
      <c r="U15" s="24" t="inlineStr">
        <is>
          <t>settled</t>
        </is>
      </c>
      <c r="V15" s="24" t="inlineStr">
        <is>
          <t>win</t>
        </is>
      </c>
      <c r="W15" s="26" t="n">
        <v>5</v>
      </c>
      <c r="X15" s="26" t="n">
        <v>7</v>
      </c>
      <c r="Y15" s="38" t="n"/>
      <c r="Z15" s="26" t="n"/>
      <c r="AA15" s="28" t="n"/>
      <c r="AB15" s="28" t="n"/>
      <c r="AC15" s="40" t="n">
        <v>0.8681</v>
      </c>
      <c r="AD15" s="24" t="inlineStr">
        <is>
          <t>2026-08-05T21:00:18.959265Z</t>
        </is>
      </c>
      <c r="AE15" s="31" t="inlineStr">
        <is>
          <t>Tie-aware Elo baseline; executable ask 0.5900 (market_slug=aec-npb-fsh-nhf-2026-08-05). Tie probability=0.0288.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Nippon Ham Fighters</t>
        </is>
      </c>
      <c r="AQ15" s="24" t="inlineStr">
        <is>
          <t>Nippon Ham Fighters</t>
        </is>
      </c>
      <c r="AR15" s="24" t="inlineStr">
        <is>
          <t>Nippon Ham Fighters</t>
        </is>
      </c>
      <c r="AS15" s="24" t="inlineStr">
        <is>
          <t>Fukuoka SoftBank Hawks</t>
        </is>
      </c>
      <c r="AT15" s="24" t="inlineStr">
        <is>
          <t>Fukuoka SoftBank Hawks</t>
        </is>
      </c>
      <c r="AU15" s="24" t="inlineStr">
        <is>
          <t>Fukuoka SoftBank Hawks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587c95488a5eab49a474c082a9d83bc1218cd1ce498682f7305ccc207cdae6d9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587c95488a5eab49a474c082a9d83bc1218cd1ce498682f7305ccc207cdae6d9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2026-08-05T04:36:52.448253Z</t>
        </is>
      </c>
      <c r="BI15" s="24" t="inlineStr">
        <is>
          <t>["same_event","same_team_same_day","same_league_same_day"]</t>
        </is>
      </c>
      <c r="BJ15" s="38" t="n"/>
      <c r="BK15" s="26" t="n">
        <v>-144</v>
      </c>
      <c r="BL15" s="39" t="n">
        <v>1.694444</v>
      </c>
      <c r="BM15" s="28" t="n">
        <v>0.590164</v>
      </c>
      <c r="BN15" s="28" t="n"/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</row>
    <row r="16" ht="36" customHeight="1">
      <c r="A16" s="24" t="inlineStr">
        <is>
          <t>63e486e3516242c8</t>
        </is>
      </c>
      <c r="B16" s="24" t="inlineStr">
        <is>
          <t>2026-08-05T04:36:53.416116Z</t>
        </is>
      </c>
      <c r="C16" s="24" t="inlineStr">
        <is>
          <t>2026-08-05T09:00:00Z</t>
        </is>
      </c>
      <c r="D16" s="24" t="inlineStr">
        <is>
          <t>69529</t>
        </is>
      </c>
      <c r="E16" s="24" t="inlineStr">
        <is>
          <t>NPB</t>
        </is>
      </c>
      <c r="F16" s="24" t="inlineStr">
        <is>
          <t>Yomiuri Giants</t>
        </is>
      </c>
      <c r="G16" s="24" t="inlineStr">
        <is>
          <t>Hiroshima Carp</t>
        </is>
      </c>
      <c r="H16" s="24" t="inlineStr">
        <is>
          <t>moneyline</t>
        </is>
      </c>
      <c r="I16" s="24" t="inlineStr">
        <is>
          <t>away</t>
        </is>
      </c>
      <c r="J16" s="38" t="n"/>
      <c r="K16" s="24" t="inlineStr">
        <is>
          <t>polymarket_us</t>
        </is>
      </c>
      <c r="L16" s="26" t="n">
        <v>-127</v>
      </c>
      <c r="M16" s="39" t="n">
        <v>1.787402</v>
      </c>
      <c r="N16" s="28" t="n">
        <v>0.5594710000000001</v>
      </c>
      <c r="O16" s="28" t="n">
        <v>0.532673</v>
      </c>
      <c r="P16" s="28" t="n"/>
      <c r="Q16" s="28" t="n">
        <v>-0.026798</v>
      </c>
      <c r="R16" s="26" t="n">
        <v>7</v>
      </c>
      <c r="S16" s="29" t="n">
        <v>1</v>
      </c>
      <c r="T16" s="24" t="inlineStr">
        <is>
          <t>npb-tie-aware-elo-v2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0</v>
      </c>
      <c r="Y16" s="38" t="n"/>
      <c r="Z16" s="26" t="n"/>
      <c r="AA16" s="28" t="n"/>
      <c r="AB16" s="28" t="n"/>
      <c r="AC16" s="40" t="n">
        <v>0.7874</v>
      </c>
      <c r="AD16" s="24" t="inlineStr">
        <is>
          <t>2026-08-05T21:00:19.078808Z</t>
        </is>
      </c>
      <c r="AE16" s="31" t="inlineStr">
        <is>
          <t>Tie-aware Elo baseline; executable ask 0.5600 (market_slug=aec-npb-hci-ygo-2026-08-05). Tie probability=0.0336.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Yomiuri Giants</t>
        </is>
      </c>
      <c r="AQ16" s="24" t="inlineStr">
        <is>
          <t>Yomiuri Giants</t>
        </is>
      </c>
      <c r="AR16" s="24" t="inlineStr">
        <is>
          <t>Yomiuri Giants</t>
        </is>
      </c>
      <c r="AS16" s="24" t="inlineStr">
        <is>
          <t>Hiroshima Carp</t>
        </is>
      </c>
      <c r="AT16" s="24" t="inlineStr">
        <is>
          <t>Hiroshima Carp</t>
        </is>
      </c>
      <c r="AU16" s="24" t="inlineStr">
        <is>
          <t>Hiroshima Carp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587c95488a5eab49a474c082a9d83bc1218cd1ce498682f7305ccc207cdae6d9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587c95488a5eab49a474c082a9d83bc1218cd1ce498682f7305ccc207cdae6d9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2026-08-05T04:36:53.416071Z</t>
        </is>
      </c>
      <c r="BI16" s="24" t="inlineStr">
        <is>
          <t>["same_event","same_team_same_day","same_league_same_day"]</t>
        </is>
      </c>
      <c r="BJ16" s="38" t="n"/>
      <c r="BK16" s="26" t="n">
        <v>-127</v>
      </c>
      <c r="BL16" s="39" t="n">
        <v>1.787402</v>
      </c>
      <c r="BM16" s="28" t="n">
        <v>0.5594710000000001</v>
      </c>
      <c r="BN16" s="28" t="n"/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</row>
    <row r="17" ht="36" customHeight="1">
      <c r="A17" s="24" t="inlineStr">
        <is>
          <t>b6208e6608f643b2</t>
        </is>
      </c>
      <c r="B17" s="24" t="inlineStr">
        <is>
          <t>2026-08-07T06:04:08.876576Z</t>
        </is>
      </c>
      <c r="C17" s="24" t="inlineStr">
        <is>
          <t>2026-08-07T09:00:00Z</t>
        </is>
      </c>
      <c r="D17" s="24" t="inlineStr">
        <is>
          <t>71688</t>
        </is>
      </c>
      <c r="E17" s="24" t="inlineStr">
        <is>
          <t>NPB</t>
        </is>
      </c>
      <c r="F17" s="24" t="inlineStr">
        <is>
          <t>Tokyo Yakult Swallows</t>
        </is>
      </c>
      <c r="G17" s="24" t="inlineStr">
        <is>
          <t>Yomiuri Giants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-156</v>
      </c>
      <c r="M17" s="39" t="n">
        <v>1.641026</v>
      </c>
      <c r="N17" s="28" t="n">
        <v>0.609375</v>
      </c>
      <c r="O17" s="28" t="n">
        <v>0.671883</v>
      </c>
      <c r="P17" s="28" t="n"/>
      <c r="Q17" s="28" t="n">
        <v>0.06250799999999999</v>
      </c>
      <c r="R17" s="26" t="n">
        <v>51</v>
      </c>
      <c r="S17" s="29" t="n">
        <v>1.75</v>
      </c>
      <c r="T17" s="24" t="inlineStr">
        <is>
          <t>npb-tie-aware-elo-v2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38" t="n"/>
      <c r="Z17" s="26" t="n"/>
      <c r="AA17" s="28" t="n"/>
      <c r="AB17" s="28" t="n"/>
      <c r="AC17" s="40" t="n">
        <v>-1.75</v>
      </c>
      <c r="AD17" s="24" t="inlineStr">
        <is>
          <t>2026-08-07T18:27:21.798527Z</t>
        </is>
      </c>
      <c r="AE17" s="31" t="inlineStr">
        <is>
          <t>Tie-aware Elo baseline; executable ask 0.6100 (market_slug=aec-npb-ygo-tys-2026-08-07). Tie probability=0.0209.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NO_CALL_WINNER_OVERVALUED</t>
        </is>
      </c>
      <c r="AP17" s="24" t="inlineStr">
        <is>
          <t>Tokyo Yakult Swallows</t>
        </is>
      </c>
      <c r="AQ17" s="24" t="inlineStr">
        <is>
          <t>Tokyo Yakult Swallows</t>
        </is>
      </c>
      <c r="AR17" s="24" t="inlineStr">
        <is>
          <t>Tokyo Yakult Swallows</t>
        </is>
      </c>
      <c r="AS17" s="24" t="inlineStr">
        <is>
          <t>Yomiuri Giants</t>
        </is>
      </c>
      <c r="AT17" s="24" t="inlineStr">
        <is>
          <t>Yomiuri Giants</t>
        </is>
      </c>
      <c r="AU17" s="24" t="inlineStr">
        <is>
          <t>Yomiuri Giants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1397f2a2e62220577ae4a4ae8de10b8369816a7b15d915f063053eb9c759a04a</t>
        </is>
      </c>
      <c r="BB17" s="24" t="inlineStr">
        <is>
          <t>tie_aware_elo</t>
        </is>
      </c>
      <c r="BC17" s="24" t="inlineStr">
        <is>
          <t>npb-tie-aware-elo-v2</t>
        </is>
      </c>
      <c r="BD17" s="24" t="inlineStr">
        <is>
          <t>1397f2a2e62220577ae4a4ae8de10b8369816a7b15d915f063053eb9c759a04a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npb-tie-aware-elo-v2</t>
        </is>
      </c>
      <c r="BH17" s="24" t="inlineStr">
        <is>
          <t>2026-08-07T06:04:05.382616Z</t>
        </is>
      </c>
      <c r="BI17" s="24" t="inlineStr">
        <is>
          <t>["same_event","same_team_same_day","same_league_same_day"]</t>
        </is>
      </c>
      <c r="BJ17" s="38" t="n"/>
      <c r="BK17" s="26" t="n">
        <v>-156</v>
      </c>
      <c r="BL17" s="39" t="n">
        <v>1.641026</v>
      </c>
      <c r="BM17" s="28" t="n">
        <v>0.609375</v>
      </c>
      <c r="BN17" s="28" t="n"/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>
        <v>1</v>
      </c>
      <c r="BY17" s="39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a713a94747574b49</t>
        </is>
      </c>
      <c r="B18" s="24" t="inlineStr">
        <is>
          <t>2026-08-07T06:04:08.876576Z</t>
        </is>
      </c>
      <c r="C18" s="24" t="inlineStr">
        <is>
          <t>2026-08-07T09:00:00Z</t>
        </is>
      </c>
      <c r="D18" s="24" t="inlineStr">
        <is>
          <t>71689</t>
        </is>
      </c>
      <c r="E18" s="24" t="inlineStr">
        <is>
          <t>NPB</t>
        </is>
      </c>
      <c r="F18" s="24" t="inlineStr">
        <is>
          <t>Hiroshima Carp</t>
        </is>
      </c>
      <c r="G18" s="24" t="inlineStr">
        <is>
          <t>Yokohama BayStars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-203</v>
      </c>
      <c r="M18" s="39" t="n">
        <v>1.492611</v>
      </c>
      <c r="N18" s="28" t="n">
        <v>0.669967</v>
      </c>
      <c r="O18" s="28" t="n">
        <v>0.587646</v>
      </c>
      <c r="P18" s="28" t="n"/>
      <c r="Q18" s="28" t="n">
        <v>-0.08232100000000001</v>
      </c>
      <c r="R18" s="26" t="n">
        <v>0</v>
      </c>
      <c r="S18" s="29" t="n">
        <v>1.25</v>
      </c>
      <c r="T18" s="24" t="inlineStr">
        <is>
          <t>npb-tie-aware-elo-v2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2</v>
      </c>
      <c r="Y18" s="38" t="n"/>
      <c r="Z18" s="26" t="n"/>
      <c r="AA18" s="28" t="n"/>
      <c r="AB18" s="28" t="n"/>
      <c r="AC18" s="40" t="n">
        <v>0.6158</v>
      </c>
      <c r="AD18" s="24" t="inlineStr">
        <is>
          <t>2026-08-07T18:27:22.019890Z</t>
        </is>
      </c>
      <c r="AE18" s="31" t="inlineStr">
        <is>
          <t>Tie-aware Elo baseline; executable ask 0.6700 (market_slug=aec-npb-ybo-hci-2026-08-07). Tie probability=0.0287.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NO_CALL_WINNER_OVERVALUED</t>
        </is>
      </c>
      <c r="AP18" s="24" t="inlineStr">
        <is>
          <t>Hiroshima Carp</t>
        </is>
      </c>
      <c r="AQ18" s="24" t="inlineStr">
        <is>
          <t>Hiroshima Carp</t>
        </is>
      </c>
      <c r="AR18" s="24" t="inlineStr">
        <is>
          <t>Hiroshima Carp</t>
        </is>
      </c>
      <c r="AS18" s="24" t="inlineStr">
        <is>
          <t>Yokohama BayStars</t>
        </is>
      </c>
      <c r="AT18" s="24" t="inlineStr">
        <is>
          <t>Yokohama BayStars</t>
        </is>
      </c>
      <c r="AU18" s="24" t="inlineStr">
        <is>
          <t>Yokohama BayStars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1397f2a2e62220577ae4a4ae8de10b8369816a7b15d915f063053eb9c759a04a</t>
        </is>
      </c>
      <c r="BB18" s="24" t="inlineStr">
        <is>
          <t>tie_aware_elo</t>
        </is>
      </c>
      <c r="BC18" s="24" t="inlineStr">
        <is>
          <t>npb-tie-aware-elo-v2</t>
        </is>
      </c>
      <c r="BD18" s="24" t="inlineStr">
        <is>
          <t>1397f2a2e62220577ae4a4ae8de10b8369816a7b15d915f063053eb9c759a04a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npb-tie-aware-elo-v2</t>
        </is>
      </c>
      <c r="BH18" s="24" t="inlineStr">
        <is>
          <t>2026-08-07T06:04:06.385882Z</t>
        </is>
      </c>
      <c r="BI18" s="24" t="inlineStr">
        <is>
          <t>["same_event","same_team_same_day","same_league_same_day"]</t>
        </is>
      </c>
      <c r="BJ18" s="38" t="n"/>
      <c r="BK18" s="26" t="n">
        <v>-203</v>
      </c>
      <c r="BL18" s="39" t="n">
        <v>1.492611</v>
      </c>
      <c r="BM18" s="28" t="n">
        <v>0.669967</v>
      </c>
      <c r="BN18" s="28" t="n"/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>
        <v>1</v>
      </c>
      <c r="BY18" s="39" t="n">
        <v>0.91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80c41bce75c94f02</t>
        </is>
      </c>
      <c r="B19" s="24" t="inlineStr">
        <is>
          <t>2026-08-07T06:04:08.876576Z</t>
        </is>
      </c>
      <c r="C19" s="24" t="inlineStr">
        <is>
          <t>2026-08-07T09:00:00Z</t>
        </is>
      </c>
      <c r="D19" s="24" t="inlineStr">
        <is>
          <t>71690</t>
        </is>
      </c>
      <c r="E19" s="24" t="inlineStr">
        <is>
          <t>NPB</t>
        </is>
      </c>
      <c r="F19" s="24" t="inlineStr">
        <is>
          <t>Chunichi Dragons</t>
        </is>
      </c>
      <c r="G19" s="24" t="inlineStr">
        <is>
          <t>Hanshin Tigers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-186</v>
      </c>
      <c r="M19" s="39" t="n">
        <v>1.537634</v>
      </c>
      <c r="N19" s="28" t="n">
        <v>0.65035</v>
      </c>
      <c r="O19" s="28" t="n">
        <v>0.577661</v>
      </c>
      <c r="P19" s="28" t="n"/>
      <c r="Q19" s="28" t="n">
        <v>-0.072689</v>
      </c>
      <c r="R19" s="26" t="n">
        <v>0</v>
      </c>
      <c r="S19" s="29" t="n">
        <v>1.25</v>
      </c>
      <c r="T19" s="24" t="inlineStr">
        <is>
          <t>npb-tie-aware-elo-v2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3</v>
      </c>
      <c r="X19" s="26" t="n">
        <v>2</v>
      </c>
      <c r="Y19" s="38" t="n"/>
      <c r="Z19" s="26" t="n"/>
      <c r="AA19" s="28" t="n"/>
      <c r="AB19" s="28" t="n"/>
      <c r="AC19" s="40" t="n">
        <v>-1.25</v>
      </c>
      <c r="AD19" s="24" t="inlineStr">
        <is>
          <t>2026-08-07T18:27:22.321727Z</t>
        </is>
      </c>
      <c r="AE19" s="31" t="inlineStr">
        <is>
          <t>Tie-aware Elo baseline; executable ask 0.6500 (market_slug=aec-npb-hta-cdh-2026-08-07). Tie probability=0.0296.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NO_CALL_WINNER_OVERVALUED</t>
        </is>
      </c>
      <c r="AP19" s="24" t="inlineStr">
        <is>
          <t>Chunichi Dragons</t>
        </is>
      </c>
      <c r="AQ19" s="24" t="inlineStr">
        <is>
          <t>Chunichi Dragons</t>
        </is>
      </c>
      <c r="AR19" s="24" t="inlineStr">
        <is>
          <t>Chunichi Dragons</t>
        </is>
      </c>
      <c r="AS19" s="24" t="inlineStr">
        <is>
          <t>Hanshin Tigers</t>
        </is>
      </c>
      <c r="AT19" s="24" t="inlineStr">
        <is>
          <t>Hanshin Tigers</t>
        </is>
      </c>
      <c r="AU19" s="24" t="inlineStr">
        <is>
          <t>Hanshin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1397f2a2e62220577ae4a4ae8de10b8369816a7b15d915f063053eb9c759a04a</t>
        </is>
      </c>
      <c r="BB19" s="24" t="inlineStr">
        <is>
          <t>tie_aware_elo</t>
        </is>
      </c>
      <c r="BC19" s="24" t="inlineStr">
        <is>
          <t>npb-tie-aware-elo-v2</t>
        </is>
      </c>
      <c r="BD19" s="24" t="inlineStr">
        <is>
          <t>1397f2a2e62220577ae4a4ae8de10b8369816a7b15d915f063053eb9c759a04a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npb-tie-aware-elo-v2</t>
        </is>
      </c>
      <c r="BH19" s="24" t="inlineStr">
        <is>
          <t>2026-08-07T06:04:06.951384Z</t>
        </is>
      </c>
      <c r="BI19" s="24" t="inlineStr">
        <is>
          <t>["same_event","same_team_same_day","same_league_same_day"]</t>
        </is>
      </c>
      <c r="BJ19" s="38" t="n"/>
      <c r="BK19" s="26" t="n">
        <v>-186</v>
      </c>
      <c r="BL19" s="39" t="n">
        <v>1.537634</v>
      </c>
      <c r="BM19" s="28" t="n">
        <v>0.65035</v>
      </c>
      <c r="BN19" s="28" t="n"/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>
        <v>1</v>
      </c>
      <c r="BY19" s="39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8af9beec062f4eb8</t>
        </is>
      </c>
      <c r="B20" s="24" t="inlineStr">
        <is>
          <t>2026-08-07T06:04:08.876576Z</t>
        </is>
      </c>
      <c r="C20" s="24" t="inlineStr">
        <is>
          <t>2026-08-07T09:00:00Z</t>
        </is>
      </c>
      <c r="D20" s="24" t="inlineStr">
        <is>
          <t>71691</t>
        </is>
      </c>
      <c r="E20" s="24" t="inlineStr">
        <is>
          <t>NPB</t>
        </is>
      </c>
      <c r="F20" s="24" t="inlineStr">
        <is>
          <t>Tohoku Rakuten Golden Eagles</t>
        </is>
      </c>
      <c r="G20" s="24" t="inlineStr">
        <is>
          <t>Nippon Ham Fighters</t>
        </is>
      </c>
      <c r="H20" s="24" t="inlineStr">
        <is>
          <t>moneyline</t>
        </is>
      </c>
      <c r="I20" s="24" t="inlineStr">
        <is>
          <t>home</t>
        </is>
      </c>
      <c r="J20" s="38" t="n"/>
      <c r="K20" s="24" t="inlineStr">
        <is>
          <t>polymarket_us</t>
        </is>
      </c>
      <c r="L20" s="26" t="n">
        <v>-257</v>
      </c>
      <c r="M20" s="39" t="n">
        <v>1.389105</v>
      </c>
      <c r="N20" s="28" t="n">
        <v>0.719888</v>
      </c>
      <c r="O20" s="28" t="n">
        <v>0.648431</v>
      </c>
      <c r="P20" s="28" t="n"/>
      <c r="Q20" s="28" t="n">
        <v>-0.07145700000000001</v>
      </c>
      <c r="R20" s="26" t="n">
        <v>0</v>
      </c>
      <c r="S20" s="29" t="n">
        <v>1.75</v>
      </c>
      <c r="T20" s="24" t="inlineStr">
        <is>
          <t>npb-tie-aware-elo-v2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38" t="n"/>
      <c r="Z20" s="26" t="n"/>
      <c r="AA20" s="28" t="n"/>
      <c r="AB20" s="28" t="n"/>
      <c r="AC20" s="40" t="n">
        <v>0.6808999999999999</v>
      </c>
      <c r="AD20" s="24" t="inlineStr">
        <is>
          <t>2026-08-07T18:27:22.543840Z</t>
        </is>
      </c>
      <c r="AE20" s="31" t="inlineStr">
        <is>
          <t>Tie-aware Elo baseline; executable ask 0.7200 (market_slug=aec-npb-nhf-trge-2026-08-07). Tie probability=0.0232.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NO_CALL_WINNER_OVERVALUED</t>
        </is>
      </c>
      <c r="AP20" s="24" t="inlineStr">
        <is>
          <t>Tohoku Rakuten Golden Eagles</t>
        </is>
      </c>
      <c r="AQ20" s="24" t="inlineStr">
        <is>
          <t>Tohoku Rakuten Golden Eagles</t>
        </is>
      </c>
      <c r="AR20" s="24" t="inlineStr">
        <is>
          <t>Tohoku Rakuten Golden Eagles</t>
        </is>
      </c>
      <c r="AS20" s="24" t="inlineStr">
        <is>
          <t>Nippon Ham Fighters</t>
        </is>
      </c>
      <c r="AT20" s="24" t="inlineStr">
        <is>
          <t>Nippon Ham Fighters</t>
        </is>
      </c>
      <c r="AU20" s="24" t="inlineStr">
        <is>
          <t>Nippon Ham Fighters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1397f2a2e62220577ae4a4ae8de10b8369816a7b15d915f063053eb9c759a04a</t>
        </is>
      </c>
      <c r="BB20" s="24" t="inlineStr">
        <is>
          <t>tie_aware_elo</t>
        </is>
      </c>
      <c r="BC20" s="24" t="inlineStr">
        <is>
          <t>npb-tie-aware-elo-v2</t>
        </is>
      </c>
      <c r="BD20" s="24" t="inlineStr">
        <is>
          <t>1397f2a2e62220577ae4a4ae8de10b8369816a7b15d915f063053eb9c759a04a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npb-tie-aware-elo-v2</t>
        </is>
      </c>
      <c r="BH20" s="24" t="inlineStr">
        <is>
          <t>2026-08-07T06:04:07.658626Z</t>
        </is>
      </c>
      <c r="BI20" s="24" t="inlineStr">
        <is>
          <t>["same_event","same_team_same_day","same_league_same_day"]</t>
        </is>
      </c>
      <c r="BJ20" s="38" t="n"/>
      <c r="BK20" s="26" t="n">
        <v>-257</v>
      </c>
      <c r="BL20" s="39" t="n">
        <v>1.389105</v>
      </c>
      <c r="BM20" s="28" t="n">
        <v>0.719888</v>
      </c>
      <c r="BN20" s="28" t="n"/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>
        <v>1</v>
      </c>
      <c r="BY20" s="39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53df51dcf4ef4440</t>
        </is>
      </c>
      <c r="B21" s="24" t="inlineStr">
        <is>
          <t>2026-08-07T06:04:08.876576Z</t>
        </is>
      </c>
      <c r="C21" s="24" t="inlineStr">
        <is>
          <t>2026-08-07T09:00:00Z</t>
        </is>
      </c>
      <c r="D21" s="24" t="inlineStr">
        <is>
          <t>71692</t>
        </is>
      </c>
      <c r="E21" s="24" t="inlineStr">
        <is>
          <t>NPB</t>
        </is>
      </c>
      <c r="F21" s="24" t="inlineStr">
        <is>
          <t>Fukuoka SoftBank Hawks</t>
        </is>
      </c>
      <c r="G21" s="24" t="inlineStr">
        <is>
          <t>Saitama Seibu Lions</t>
        </is>
      </c>
      <c r="H21" s="24" t="inlineStr">
        <is>
          <t>moneyline</t>
        </is>
      </c>
      <c r="I21" s="24" t="inlineStr">
        <is>
          <t>away</t>
        </is>
      </c>
      <c r="J21" s="38" t="n"/>
      <c r="K21" s="24" t="inlineStr">
        <is>
          <t>polymarket_us</t>
        </is>
      </c>
      <c r="L21" s="26" t="n">
        <v>-150</v>
      </c>
      <c r="M21" s="39" t="n">
        <v>1.666667</v>
      </c>
      <c r="N21" s="28" t="n">
        <v>0.6</v>
      </c>
      <c r="O21" s="28" t="n">
        <v>0.57184</v>
      </c>
      <c r="P21" s="28" t="n"/>
      <c r="Q21" s="28" t="n">
        <v>-0.02816</v>
      </c>
      <c r="R21" s="26" t="n">
        <v>6</v>
      </c>
      <c r="S21" s="29" t="n">
        <v>1.25</v>
      </c>
      <c r="T21" s="24" t="inlineStr">
        <is>
          <t>npb-tie-aware-elo-v2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2</v>
      </c>
      <c r="Y21" s="38" t="n"/>
      <c r="Z21" s="26" t="n"/>
      <c r="AA21" s="28" t="n"/>
      <c r="AB21" s="28" t="n"/>
      <c r="AC21" s="40" t="n">
        <v>0.8333</v>
      </c>
      <c r="AD21" s="24" t="inlineStr">
        <is>
          <t>2026-08-07T18:27:22.762636Z</t>
        </is>
      </c>
      <c r="AE21" s="31" t="inlineStr">
        <is>
          <t>Tie-aware Elo baseline; executable ask 0.6000 (market_slug=aec-npb-ssl-fsh-2026-08-07). Tie probability=0.0301.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NO_CALL_WINNER_OVERVALUED</t>
        </is>
      </c>
      <c r="AP21" s="24" t="inlineStr">
        <is>
          <t>Fukuoka SoftBank Hawks</t>
        </is>
      </c>
      <c r="AQ21" s="24" t="inlineStr">
        <is>
          <t>Fukuoka SoftBank Hawks</t>
        </is>
      </c>
      <c r="AR21" s="24" t="inlineStr">
        <is>
          <t>Fukuoka SoftBank Hawks</t>
        </is>
      </c>
      <c r="AS21" s="24" t="inlineStr">
        <is>
          <t>Saitama Seibu Lions</t>
        </is>
      </c>
      <c r="AT21" s="24" t="inlineStr">
        <is>
          <t>Saitama Seibu Lions</t>
        </is>
      </c>
      <c r="AU21" s="24" t="inlineStr">
        <is>
          <t>Saitama Seibu Lions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1397f2a2e62220577ae4a4ae8de10b8369816a7b15d915f063053eb9c759a04a</t>
        </is>
      </c>
      <c r="BB21" s="24" t="inlineStr">
        <is>
          <t>tie_aware_elo</t>
        </is>
      </c>
      <c r="BC21" s="24" t="inlineStr">
        <is>
          <t>npb-tie-aware-elo-v2</t>
        </is>
      </c>
      <c r="BD21" s="24" t="inlineStr">
        <is>
          <t>1397f2a2e62220577ae4a4ae8de10b8369816a7b15d915f063053eb9c759a04a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npb-tie-aware-elo-v2</t>
        </is>
      </c>
      <c r="BH21" s="24" t="inlineStr">
        <is>
          <t>2026-08-07T06:04:08.234637Z</t>
        </is>
      </c>
      <c r="BI21" s="24" t="inlineStr">
        <is>
          <t>["same_event","same_team_same_day","same_league_same_day"]</t>
        </is>
      </c>
      <c r="BJ21" s="38" t="n"/>
      <c r="BK21" s="26" t="n">
        <v>-150</v>
      </c>
      <c r="BL21" s="39" t="n">
        <v>1.666667</v>
      </c>
      <c r="BM21" s="28" t="n">
        <v>0.6</v>
      </c>
      <c r="BN21" s="28" t="n"/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>
        <v>1</v>
      </c>
      <c r="BY21" s="39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</row>
    <row r="22" ht="36" customHeight="1">
      <c r="A22" s="24" t="inlineStr">
        <is>
          <t>09a39aaa7814454e</t>
        </is>
      </c>
      <c r="B22" s="24" t="inlineStr">
        <is>
          <t>2026-08-07T06:04:08.876576Z</t>
        </is>
      </c>
      <c r="C22" s="24" t="inlineStr">
        <is>
          <t>2026-08-07T09:00:00Z</t>
        </is>
      </c>
      <c r="D22" s="24" t="inlineStr">
        <is>
          <t>71693</t>
        </is>
      </c>
      <c r="E22" s="24" t="inlineStr">
        <is>
          <t>NPB</t>
        </is>
      </c>
      <c r="F22" s="24" t="inlineStr">
        <is>
          <t>Orix Buffaloes</t>
        </is>
      </c>
      <c r="G22" s="24" t="inlineStr">
        <is>
          <t>Chiba Lotte Marines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polymarket_us</t>
        </is>
      </c>
      <c r="L22" s="26" t="n">
        <v>-113</v>
      </c>
      <c r="M22" s="39" t="n">
        <v>1.884956</v>
      </c>
      <c r="N22" s="28" t="n">
        <v>0.530516</v>
      </c>
      <c r="O22" s="28" t="n">
        <v>0.5519500000000001</v>
      </c>
      <c r="P22" s="28" t="n"/>
      <c r="Q22" s="28" t="n">
        <v>0.021434</v>
      </c>
      <c r="R22" s="26" t="n">
        <v>31</v>
      </c>
      <c r="S22" s="29" t="n">
        <v>1</v>
      </c>
      <c r="T22" s="24" t="inlineStr">
        <is>
          <t>npb-tie-aware-elo-v2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2</v>
      </c>
      <c r="Y22" s="38" t="n"/>
      <c r="Z22" s="26" t="n"/>
      <c r="AA22" s="28" t="n"/>
      <c r="AB22" s="28" t="n"/>
      <c r="AC22" s="40" t="n">
        <v>-1</v>
      </c>
      <c r="AD22" s="24" t="inlineStr">
        <is>
          <t>2026-08-07T18:27:22.989329Z</t>
        </is>
      </c>
      <c r="AE22" s="31" t="inlineStr">
        <is>
          <t>Tie-aware Elo baseline; executable ask 0.5300 (market_slug=aec-npb-clm-obr-2026-08-07). Tie probability=0.0318.</t>
        </is>
      </c>
      <c r="AF22" s="31" t="inlineStr">
        <is>
          <t>Config-promoted international baseball baseline; gates enforced at log time.</t>
        </is>
      </c>
      <c r="AG22" s="24" t="inlineStr">
        <is>
          <t>review_required</t>
        </is>
      </c>
      <c r="AH22" s="24" t="n"/>
      <c r="AI22" s="31" t="n"/>
      <c r="AJ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NO_CALL_WINNER_OVERVALUED</t>
        </is>
      </c>
      <c r="AP22" s="24" t="inlineStr">
        <is>
          <t>Orix Buffaloes</t>
        </is>
      </c>
      <c r="AQ22" s="24" t="inlineStr">
        <is>
          <t>Orix Buffaloes</t>
        </is>
      </c>
      <c r="AR22" s="24" t="inlineStr">
        <is>
          <t>Orix Buffaloes</t>
        </is>
      </c>
      <c r="AS22" s="24" t="inlineStr">
        <is>
          <t>Chiba Lotte Marines</t>
        </is>
      </c>
      <c r="AT22" s="24" t="inlineStr">
        <is>
          <t>Chiba Lotte Marines</t>
        </is>
      </c>
      <c r="AU22" s="24" t="inlineStr">
        <is>
          <t>Chiba Lotte Marines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1397f2a2e62220577ae4a4ae8de10b8369816a7b15d915f063053eb9c759a04a</t>
        </is>
      </c>
      <c r="BB22" s="24" t="inlineStr">
        <is>
          <t>tie_aware_elo</t>
        </is>
      </c>
      <c r="BC22" s="24" t="inlineStr">
        <is>
          <t>npb-tie-aware-elo-v2</t>
        </is>
      </c>
      <c r="BD22" s="24" t="inlineStr">
        <is>
          <t>1397f2a2e62220577ae4a4ae8de10b8369816a7b15d915f063053eb9c759a04a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npb-tie-aware-elo-v2</t>
        </is>
      </c>
      <c r="BH22" s="24" t="inlineStr">
        <is>
          <t>2026-08-07T06:04:08.876525Z</t>
        </is>
      </c>
      <c r="BI22" s="24" t="inlineStr">
        <is>
          <t>["same_event","same_team_same_day","same_league_same_day"]</t>
        </is>
      </c>
      <c r="BJ22" s="38" t="n"/>
      <c r="BK22" s="26" t="n">
        <v>-113</v>
      </c>
      <c r="BL22" s="39" t="n">
        <v>1.884956</v>
      </c>
      <c r="BM22" s="28" t="n">
        <v>0.530516</v>
      </c>
      <c r="BN22" s="28" t="n"/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>
        <v>1</v>
      </c>
      <c r="BY22" s="39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e35e916b42364169</t>
        </is>
      </c>
      <c r="B23" s="24" t="inlineStr">
        <is>
          <t>2026-08-08T04:06:50.014675Z</t>
        </is>
      </c>
      <c r="C23" s="24" t="inlineStr">
        <is>
          <t>2026-08-08T06:00:00Z</t>
        </is>
      </c>
      <c r="D23" s="24" t="inlineStr">
        <is>
          <t>72694</t>
        </is>
      </c>
      <c r="E23" s="24" t="inlineStr">
        <is>
          <t>NPB</t>
        </is>
      </c>
      <c r="F23" s="24" t="inlineStr">
        <is>
          <t>Tohoku Rakuten Golden Eagles</t>
        </is>
      </c>
      <c r="G23" s="24" t="inlineStr">
        <is>
          <t>Nippon Ham Fighters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polymarket_us</t>
        </is>
      </c>
      <c r="L23" s="26" t="n">
        <v>-178</v>
      </c>
      <c r="M23" s="39" t="n">
        <v>1.561798</v>
      </c>
      <c r="N23" s="28" t="n">
        <v>0.640288</v>
      </c>
      <c r="O23" s="28" t="n">
        <v>0.654702</v>
      </c>
      <c r="P23" s="28" t="n"/>
      <c r="Q23" s="28" t="n">
        <v>0.014414</v>
      </c>
      <c r="R23" s="26" t="n">
        <v>27</v>
      </c>
      <c r="S23" s="29" t="n">
        <v>1.75</v>
      </c>
      <c r="T23" s="24" t="inlineStr">
        <is>
          <t>npb-tie-aware-elo-v2</t>
        </is>
      </c>
      <c r="U23" s="24" t="inlineStr">
        <is>
          <t>settled</t>
        </is>
      </c>
      <c r="V23" s="24" t="inlineStr">
        <is>
          <t>loss</t>
        </is>
      </c>
      <c r="W23" s="26" t="n">
        <v>6</v>
      </c>
      <c r="X23" s="26" t="n">
        <v>0</v>
      </c>
      <c r="Y23" s="38" t="n"/>
      <c r="Z23" s="26" t="n"/>
      <c r="AA23" s="28" t="n"/>
      <c r="AB23" s="28" t="n"/>
      <c r="AC23" s="40" t="n">
        <v>-1.75</v>
      </c>
      <c r="AD23" s="24" t="inlineStr">
        <is>
          <t>2026-08-08T18:35:03.473196Z</t>
        </is>
      </c>
      <c r="AE23" s="31" t="inlineStr">
        <is>
          <t>Tie-aware Elo baseline; executable ask 0.6400 (market_slug=aec-npb-nhf-trge-2026-08-08). Tie probability=0.0225.</t>
        </is>
      </c>
      <c r="AF23" s="31" t="inlineStr">
        <is>
          <t>Config-promoted international baseball baseline; gates enforced at log time.</t>
        </is>
      </c>
      <c r="AG23" s="24" t="inlineStr">
        <is>
          <t>review_required</t>
        </is>
      </c>
      <c r="AH23" s="24" t="n"/>
      <c r="AI23" s="31" t="n"/>
      <c r="AJ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NO_CALL_WINNER_OVERVALUED</t>
        </is>
      </c>
      <c r="AP23" s="24" t="inlineStr">
        <is>
          <t>Tohoku Rakuten Golden Eagles</t>
        </is>
      </c>
      <c r="AQ23" s="24" t="inlineStr">
        <is>
          <t>Tohoku Rakuten Golden Eagles</t>
        </is>
      </c>
      <c r="AR23" s="24" t="inlineStr">
        <is>
          <t>Tohoku Rakuten Golden Eagles</t>
        </is>
      </c>
      <c r="AS23" s="24" t="inlineStr">
        <is>
          <t>Nippon Ham Fighters</t>
        </is>
      </c>
      <c r="AT23" s="24" t="inlineStr">
        <is>
          <t>Nippon Ham Fighters</t>
        </is>
      </c>
      <c r="AU23" s="24" t="inlineStr">
        <is>
          <t>Nippon Ham Fighters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e9ab59688d3b514e2e6e6a6178916377e656c91d0946e4a0432922d92c29eca9</t>
        </is>
      </c>
      <c r="BB23" s="24" t="inlineStr">
        <is>
          <t>tie_aware_elo</t>
        </is>
      </c>
      <c r="BC23" s="24" t="inlineStr">
        <is>
          <t>npb-tie-aware-elo-v2</t>
        </is>
      </c>
      <c r="BD23" s="24" t="inlineStr">
        <is>
          <t>e9ab59688d3b514e2e6e6a6178916377e656c91d0946e4a0432922d92c29eca9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npb-tie-aware-elo-v2</t>
        </is>
      </c>
      <c r="BH23" s="24" t="inlineStr">
        <is>
          <t>2026-08-08T04:06:46.964710Z</t>
        </is>
      </c>
      <c r="BI23" s="24" t="inlineStr">
        <is>
          <t>["same_event","same_team_same_day","same_league_same_day"]</t>
        </is>
      </c>
      <c r="BJ23" s="38" t="n"/>
      <c r="BK23" s="26" t="n">
        <v>-178</v>
      </c>
      <c r="BL23" s="39" t="n">
        <v>1.561798</v>
      </c>
      <c r="BM23" s="28" t="n">
        <v>0.640288</v>
      </c>
      <c r="BN23" s="28" t="n"/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>
        <v>1</v>
      </c>
      <c r="BY23" s="39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04d8165228a34d10</t>
        </is>
      </c>
      <c r="B24" s="24" t="inlineStr">
        <is>
          <t>2026-08-08T04:06:50.014675Z</t>
        </is>
      </c>
      <c r="C24" s="24" t="inlineStr">
        <is>
          <t>2026-08-08T06:00:00Z</t>
        </is>
      </c>
      <c r="D24" s="24" t="inlineStr">
        <is>
          <t>72695</t>
        </is>
      </c>
      <c r="E24" s="24" t="inlineStr">
        <is>
          <t>NPB</t>
        </is>
      </c>
      <c r="F24" s="24" t="inlineStr">
        <is>
          <t>Tokyo Yakult Swallows</t>
        </is>
      </c>
      <c r="G24" s="24" t="inlineStr">
        <is>
          <t>Yomiuri Giants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polymarket_us</t>
        </is>
      </c>
      <c r="L24" s="26" t="n">
        <v>-127</v>
      </c>
      <c r="M24" s="39" t="n">
        <v>1.787402</v>
      </c>
      <c r="N24" s="28" t="n">
        <v>0.5594710000000001</v>
      </c>
      <c r="O24" s="28" t="n">
        <v>0.657907</v>
      </c>
      <c r="P24" s="28" t="n"/>
      <c r="Q24" s="28" t="n">
        <v>0.098436</v>
      </c>
      <c r="R24" s="26" t="n">
        <v>69</v>
      </c>
      <c r="S24" s="29" t="n">
        <v>1.75</v>
      </c>
      <c r="T24" s="24" t="inlineStr">
        <is>
          <t>npb-tie-aware-elo-v2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8</v>
      </c>
      <c r="Y24" s="38" t="n"/>
      <c r="Z24" s="26" t="n"/>
      <c r="AA24" s="28" t="n"/>
      <c r="AB24" s="28" t="n"/>
      <c r="AC24" s="40" t="n">
        <v>1.378</v>
      </c>
      <c r="AD24" s="24" t="inlineStr">
        <is>
          <t>2026-08-08T18:35:03.616191Z</t>
        </is>
      </c>
      <c r="AE24" s="31" t="inlineStr">
        <is>
          <t>Tie-aware Elo baseline; executable ask 0.5600 (market_slug=aec-npb-ygo-tys-2026-08-08). Tie probability=0.0222.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Tokyo Yakult Swallows</t>
        </is>
      </c>
      <c r="AQ24" s="24" t="inlineStr">
        <is>
          <t>Tokyo Yakult Swallows</t>
        </is>
      </c>
      <c r="AR24" s="24" t="inlineStr">
        <is>
          <t>Tokyo Yakult Swallows</t>
        </is>
      </c>
      <c r="AS24" s="24" t="inlineStr">
        <is>
          <t>Yomiuri Giants</t>
        </is>
      </c>
      <c r="AT24" s="24" t="inlineStr">
        <is>
          <t>Yomiuri Giants</t>
        </is>
      </c>
      <c r="AU24" s="24" t="inlineStr">
        <is>
          <t>Yomiuri Giants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e9ab59688d3b514e2e6e6a6178916377e656c91d0946e4a0432922d92c29eca9</t>
        </is>
      </c>
      <c r="BB24" s="24" t="inlineStr">
        <is>
          <t>tie_aware_elo</t>
        </is>
      </c>
      <c r="BC24" s="24" t="inlineStr">
        <is>
          <t>npb-tie-aware-elo-v2</t>
        </is>
      </c>
      <c r="BD24" s="24" t="inlineStr">
        <is>
          <t>e9ab59688d3b514e2e6e6a6178916377e656c91d0946e4a0432922d92c29eca9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npb-tie-aware-elo-v2</t>
        </is>
      </c>
      <c r="BH24" s="24" t="inlineStr">
        <is>
          <t>2026-08-08T04:06:47.516040Z</t>
        </is>
      </c>
      <c r="BI24" s="24" t="inlineStr">
        <is>
          <t>["same_event","same_team_same_day","same_league_same_day"]</t>
        </is>
      </c>
      <c r="BJ24" s="38" t="n"/>
      <c r="BK24" s="26" t="n">
        <v>-127</v>
      </c>
      <c r="BL24" s="39" t="n">
        <v>1.787402</v>
      </c>
      <c r="BM24" s="28" t="n">
        <v>0.5594710000000001</v>
      </c>
      <c r="BN24" s="28" t="n"/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>
        <v>1</v>
      </c>
      <c r="BY24" s="39" t="n">
        <v>0.91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fa8b50ba53d04184</t>
        </is>
      </c>
      <c r="B25" s="24" t="inlineStr">
        <is>
          <t>2026-08-08T04:06:50.014675Z</t>
        </is>
      </c>
      <c r="C25" s="24" t="inlineStr">
        <is>
          <t>2026-08-08T09:00:00Z</t>
        </is>
      </c>
      <c r="D25" s="24" t="inlineStr">
        <is>
          <t>72735</t>
        </is>
      </c>
      <c r="E25" s="24" t="inlineStr">
        <is>
          <t>NPB</t>
        </is>
      </c>
      <c r="F25" s="24" t="inlineStr">
        <is>
          <t>Fukuoka SoftBank Hawks</t>
        </is>
      </c>
      <c r="G25" s="24" t="inlineStr">
        <is>
          <t>Saitama Seibu Lions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polymarket_us</t>
        </is>
      </c>
      <c r="L25" s="26" t="n">
        <v>-122</v>
      </c>
      <c r="M25" s="39" t="n">
        <v>1.819672</v>
      </c>
      <c r="N25" s="28" t="n">
        <v>0.54955</v>
      </c>
      <c r="O25" s="28" t="n">
        <v>0.585415</v>
      </c>
      <c r="P25" s="28" t="n"/>
      <c r="Q25" s="28" t="n">
        <v>0.035865</v>
      </c>
      <c r="R25" s="26" t="n">
        <v>38</v>
      </c>
      <c r="S25" s="29" t="n">
        <v>1.25</v>
      </c>
      <c r="T25" s="24" t="inlineStr">
        <is>
          <t>npb-tie-aware-elo-v2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2</v>
      </c>
      <c r="Y25" s="38" t="n"/>
      <c r="Z25" s="26" t="n"/>
      <c r="AA25" s="28" t="n"/>
      <c r="AB25" s="28" t="n"/>
      <c r="AC25" s="40" t="n">
        <v>-1.25</v>
      </c>
      <c r="AD25" s="24" t="inlineStr">
        <is>
          <t>2026-08-08T18:35:03.747969Z</t>
        </is>
      </c>
      <c r="AE25" s="31" t="inlineStr">
        <is>
          <t>Tie-aware Elo baseline; executable ask 0.5500 (market_slug=aec-npb-ssl-fsh-2026-08-08). Tie probability=0.0288.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NO_CALL_WINNER_OVERVALUED</t>
        </is>
      </c>
      <c r="AP25" s="24" t="inlineStr">
        <is>
          <t>Fukuoka SoftBank Hawks</t>
        </is>
      </c>
      <c r="AQ25" s="24" t="inlineStr">
        <is>
          <t>Fukuoka SoftBank Hawks</t>
        </is>
      </c>
      <c r="AR25" s="24" t="inlineStr">
        <is>
          <t>Fukuoka SoftBank Hawks</t>
        </is>
      </c>
      <c r="AS25" s="24" t="inlineStr">
        <is>
          <t>Saitama Seibu Lions</t>
        </is>
      </c>
      <c r="AT25" s="24" t="inlineStr">
        <is>
          <t>Saitama Seibu Lions</t>
        </is>
      </c>
      <c r="AU25" s="24" t="inlineStr">
        <is>
          <t>Saitama Seibu Lions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e9ab59688d3b514e2e6e6a6178916377e656c91d0946e4a0432922d92c29eca9</t>
        </is>
      </c>
      <c r="BB25" s="24" t="inlineStr">
        <is>
          <t>tie_aware_elo</t>
        </is>
      </c>
      <c r="BC25" s="24" t="inlineStr">
        <is>
          <t>npb-tie-aware-elo-v2</t>
        </is>
      </c>
      <c r="BD25" s="24" t="inlineStr">
        <is>
          <t>e9ab59688d3b514e2e6e6a6178916377e656c91d0946e4a0432922d92c29eca9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npb-tie-aware-elo-v2</t>
        </is>
      </c>
      <c r="BH25" s="24" t="inlineStr">
        <is>
          <t>2026-08-08T04:06:48.067662Z</t>
        </is>
      </c>
      <c r="BI25" s="24" t="inlineStr">
        <is>
          <t>["same_event","same_team_same_day","same_league_same_day"]</t>
        </is>
      </c>
      <c r="BJ25" s="38" t="n"/>
      <c r="BK25" s="26" t="n">
        <v>-122</v>
      </c>
      <c r="BL25" s="39" t="n">
        <v>1.819672</v>
      </c>
      <c r="BM25" s="28" t="n">
        <v>0.54955</v>
      </c>
      <c r="BN25" s="28" t="n"/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>
        <v>1</v>
      </c>
      <c r="BY25" s="39" t="n">
        <v>-1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2aa46eb0591e456a</t>
        </is>
      </c>
      <c r="B26" s="24" t="inlineStr">
        <is>
          <t>2026-08-08T04:06:50.014675Z</t>
        </is>
      </c>
      <c r="C26" s="24" t="inlineStr">
        <is>
          <t>2026-08-08T09:00:00Z</t>
        </is>
      </c>
      <c r="D26" s="24" t="inlineStr">
        <is>
          <t>72736</t>
        </is>
      </c>
      <c r="E26" s="24" t="inlineStr">
        <is>
          <t>NPB</t>
        </is>
      </c>
      <c r="F26" s="24" t="inlineStr">
        <is>
          <t>Orix Buffaloes</t>
        </is>
      </c>
      <c r="G26" s="24" t="inlineStr">
        <is>
          <t>Chiba Lotte Marines</t>
        </is>
      </c>
      <c r="H26" s="24" t="inlineStr">
        <is>
          <t>moneyline</t>
        </is>
      </c>
      <c r="I26" s="24" t="inlineStr">
        <is>
          <t>home</t>
        </is>
      </c>
      <c r="J26" s="38" t="n"/>
      <c r="K26" s="24" t="inlineStr">
        <is>
          <t>polymarket_us</t>
        </is>
      </c>
      <c r="L26" s="26" t="n">
        <v>108</v>
      </c>
      <c r="M26" s="39" t="n">
        <v>2.08</v>
      </c>
      <c r="N26" s="28" t="n">
        <v>0.480769</v>
      </c>
      <c r="O26" s="28" t="n">
        <v>0.5309430000000001</v>
      </c>
      <c r="P26" s="28" t="n"/>
      <c r="Q26" s="28" t="n">
        <v>0.050174</v>
      </c>
      <c r="R26" s="26" t="n">
        <v>45</v>
      </c>
      <c r="S26" s="29" t="n">
        <v>1</v>
      </c>
      <c r="T26" s="24" t="inlineStr">
        <is>
          <t>npb-tie-aware-elo-v2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4</v>
      </c>
      <c r="Y26" s="38" t="n"/>
      <c r="Z26" s="26" t="n"/>
      <c r="AA26" s="28" t="n"/>
      <c r="AB26" s="28" t="n"/>
      <c r="AC26" s="40" t="n">
        <v>1.08</v>
      </c>
      <c r="AD26" s="24" t="inlineStr">
        <is>
          <t>2026-08-08T18:35:03.877371Z</t>
        </is>
      </c>
      <c r="AE26" s="31" t="inlineStr">
        <is>
          <t>Tie-aware Elo baseline; executable ask 0.4800 (market_slug=aec-npb-clm-obr-2026-08-08). Tie probability=0.0336.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NO_CALL_WINNER_OVERVALUED</t>
        </is>
      </c>
      <c r="AP26" s="24" t="inlineStr">
        <is>
          <t>Orix Buffaloes</t>
        </is>
      </c>
      <c r="AQ26" s="24" t="inlineStr">
        <is>
          <t>Orix Buffaloes</t>
        </is>
      </c>
      <c r="AR26" s="24" t="inlineStr">
        <is>
          <t>Orix Buffaloes</t>
        </is>
      </c>
      <c r="AS26" s="24" t="inlineStr">
        <is>
          <t>Chiba Lotte Marines</t>
        </is>
      </c>
      <c r="AT26" s="24" t="inlineStr">
        <is>
          <t>Chiba Lotte Marines</t>
        </is>
      </c>
      <c r="AU26" s="24" t="inlineStr">
        <is>
          <t>Chiba Lotte Marines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e9ab59688d3b514e2e6e6a6178916377e656c91d0946e4a0432922d92c29eca9</t>
        </is>
      </c>
      <c r="BB26" s="24" t="inlineStr">
        <is>
          <t>tie_aware_elo</t>
        </is>
      </c>
      <c r="BC26" s="24" t="inlineStr">
        <is>
          <t>npb-tie-aware-elo-v2</t>
        </is>
      </c>
      <c r="BD26" s="24" t="inlineStr">
        <is>
          <t>e9ab59688d3b514e2e6e6a6178916377e656c91d0946e4a0432922d92c29eca9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npb-tie-aware-elo-v2</t>
        </is>
      </c>
      <c r="BH26" s="24" t="inlineStr">
        <is>
          <t>2026-08-08T04:06:48.734721Z</t>
        </is>
      </c>
      <c r="BI26" s="24" t="inlineStr">
        <is>
          <t>["same_event","same_team_same_day","same_league_same_day"]</t>
        </is>
      </c>
      <c r="BJ26" s="38" t="n"/>
      <c r="BK26" s="26" t="n">
        <v>108</v>
      </c>
      <c r="BL26" s="39" t="n">
        <v>2.08</v>
      </c>
      <c r="BM26" s="28" t="n">
        <v>0.480769</v>
      </c>
      <c r="BN26" s="28" t="n"/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>
        <v>1</v>
      </c>
      <c r="BY26" s="39" t="n">
        <v>0.91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ea96d014d0a3498d</t>
        </is>
      </c>
      <c r="B27" s="24" t="inlineStr">
        <is>
          <t>2026-08-08T04:06:50.014675Z</t>
        </is>
      </c>
      <c r="C27" s="24" t="inlineStr">
        <is>
          <t>2026-08-08T09:00:00Z</t>
        </is>
      </c>
      <c r="D27" s="24" t="inlineStr">
        <is>
          <t>72737</t>
        </is>
      </c>
      <c r="E27" s="24" t="inlineStr">
        <is>
          <t>NPB</t>
        </is>
      </c>
      <c r="F27" s="24" t="inlineStr">
        <is>
          <t>Chunichi Dragons</t>
        </is>
      </c>
      <c r="G27" s="24" t="inlineStr">
        <is>
          <t>Hanshin Tigers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polymarket_us</t>
        </is>
      </c>
      <c r="L27" s="26" t="n">
        <v>-127</v>
      </c>
      <c r="M27" s="39" t="n">
        <v>1.787402</v>
      </c>
      <c r="N27" s="28" t="n">
        <v>0.5594710000000001</v>
      </c>
      <c r="O27" s="28" t="n">
        <v>0.564611</v>
      </c>
      <c r="P27" s="28" t="n"/>
      <c r="Q27" s="28" t="n">
        <v>0.00514</v>
      </c>
      <c r="R27" s="26" t="n">
        <v>23</v>
      </c>
      <c r="S27" s="29" t="n">
        <v>1</v>
      </c>
      <c r="T27" s="24" t="inlineStr">
        <is>
          <t>npb-tie-aware-elo-v2</t>
        </is>
      </c>
      <c r="U27" s="24" t="inlineStr">
        <is>
          <t>settled</t>
        </is>
      </c>
      <c r="V27" s="24" t="inlineStr">
        <is>
          <t>loss</t>
        </is>
      </c>
      <c r="W27" s="26" t="n">
        <v>7</v>
      </c>
      <c r="X27" s="26" t="n">
        <v>1</v>
      </c>
      <c r="Y27" s="38" t="n"/>
      <c r="Z27" s="26" t="n"/>
      <c r="AA27" s="28" t="n"/>
      <c r="AB27" s="28" t="n"/>
      <c r="AC27" s="40" t="n">
        <v>-1</v>
      </c>
      <c r="AD27" s="24" t="inlineStr">
        <is>
          <t>2026-08-08T18:35:04.027549Z</t>
        </is>
      </c>
      <c r="AE27" s="31" t="inlineStr">
        <is>
          <t>Tie-aware Elo baseline; executable ask 0.5600 (market_slug=aec-npb-hta-cdh-2026-08-08). Tie probability=0.0307.</t>
        </is>
      </c>
      <c r="AF27" s="31" t="inlineStr">
        <is>
          <t>Config-promoted international baseball baseline; gates enforced at log time.</t>
        </is>
      </c>
      <c r="AG27" s="24" t="inlineStr">
        <is>
          <t>review_required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NO_CALL_WINNER_OVERVALUED</t>
        </is>
      </c>
      <c r="AP27" s="24" t="inlineStr">
        <is>
          <t>Chunichi Dragons</t>
        </is>
      </c>
      <c r="AQ27" s="24" t="inlineStr">
        <is>
          <t>Chunichi Dragons</t>
        </is>
      </c>
      <c r="AR27" s="24" t="inlineStr">
        <is>
          <t>Chunichi Dragons</t>
        </is>
      </c>
      <c r="AS27" s="24" t="inlineStr">
        <is>
          <t>Hanshin Tigers</t>
        </is>
      </c>
      <c r="AT27" s="24" t="inlineStr">
        <is>
          <t>Hanshin Tigers</t>
        </is>
      </c>
      <c r="AU27" s="24" t="inlineStr">
        <is>
          <t>Hanshin Tigers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e9ab59688d3b514e2e6e6a6178916377e656c91d0946e4a0432922d92c29eca9</t>
        </is>
      </c>
      <c r="BB27" s="24" t="inlineStr">
        <is>
          <t>tie_aware_elo</t>
        </is>
      </c>
      <c r="BC27" s="24" t="inlineStr">
        <is>
          <t>npb-tie-aware-elo-v2</t>
        </is>
      </c>
      <c r="BD27" s="24" t="inlineStr">
        <is>
          <t>e9ab59688d3b514e2e6e6a6178916377e656c91d0946e4a0432922d92c29eca9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npb-tie-aware-elo-v2</t>
        </is>
      </c>
      <c r="BH27" s="24" t="inlineStr">
        <is>
          <t>2026-08-08T04:06:49.378255Z</t>
        </is>
      </c>
      <c r="BI27" s="24" t="inlineStr">
        <is>
          <t>["same_event","same_team_same_day","same_league_same_day"]</t>
        </is>
      </c>
      <c r="BJ27" s="38" t="n"/>
      <c r="BK27" s="26" t="n">
        <v>-127</v>
      </c>
      <c r="BL27" s="39" t="n">
        <v>1.787402</v>
      </c>
      <c r="BM27" s="28" t="n">
        <v>0.5594710000000001</v>
      </c>
      <c r="BN27" s="28" t="n"/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>
        <v>1</v>
      </c>
      <c r="BY27" s="39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777fe6f89e3f44f7</t>
        </is>
      </c>
      <c r="B28" s="24" t="inlineStr">
        <is>
          <t>2026-08-08T04:06:50.014675Z</t>
        </is>
      </c>
      <c r="C28" s="24" t="inlineStr">
        <is>
          <t>2026-08-08T09:00:00Z</t>
        </is>
      </c>
      <c r="D28" s="24" t="inlineStr">
        <is>
          <t>72738</t>
        </is>
      </c>
      <c r="E28" s="24" t="inlineStr">
        <is>
          <t>NPB</t>
        </is>
      </c>
      <c r="F28" s="24" t="inlineStr">
        <is>
          <t>Hiroshima Carp</t>
        </is>
      </c>
      <c r="G28" s="24" t="inlineStr">
        <is>
          <t>Yokohama BayStars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polymarket_us</t>
        </is>
      </c>
      <c r="L28" s="26" t="n">
        <v>-150</v>
      </c>
      <c r="M28" s="39" t="n">
        <v>1.666667</v>
      </c>
      <c r="N28" s="28" t="n">
        <v>0.6</v>
      </c>
      <c r="O28" s="28" t="n">
        <v>0.596329</v>
      </c>
      <c r="P28" s="28" t="n"/>
      <c r="Q28" s="28" t="n">
        <v>-0.003671</v>
      </c>
      <c r="R28" s="26" t="n">
        <v>18</v>
      </c>
      <c r="S28" s="29" t="n">
        <v>1.25</v>
      </c>
      <c r="T28" s="24" t="inlineStr">
        <is>
          <t>npb-tie-aware-elo-v2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4</v>
      </c>
      <c r="Y28" s="38" t="n"/>
      <c r="Z28" s="26" t="n"/>
      <c r="AA28" s="28" t="n"/>
      <c r="AB28" s="28" t="n"/>
      <c r="AC28" s="40" t="n">
        <v>0.8333</v>
      </c>
      <c r="AD28" s="24" t="inlineStr">
        <is>
          <t>2026-08-08T18:35:04.159959Z</t>
        </is>
      </c>
      <c r="AE28" s="31" t="inlineStr">
        <is>
          <t>Tie-aware Elo baseline; executable ask 0.6000 (market_slug=aec-npb-ybo-hci-2026-08-08). Tie probability=0.0279.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NO_CALL_WINNER_OVERVALUED</t>
        </is>
      </c>
      <c r="AP28" s="24" t="inlineStr">
        <is>
          <t>Hiroshima Carp</t>
        </is>
      </c>
      <c r="AQ28" s="24" t="inlineStr">
        <is>
          <t>Hiroshima Carp</t>
        </is>
      </c>
      <c r="AR28" s="24" t="inlineStr">
        <is>
          <t>Hiroshima Carp</t>
        </is>
      </c>
      <c r="AS28" s="24" t="inlineStr">
        <is>
          <t>Yokohama BayStars</t>
        </is>
      </c>
      <c r="AT28" s="24" t="inlineStr">
        <is>
          <t>Yokohama BayStars</t>
        </is>
      </c>
      <c r="AU28" s="24" t="inlineStr">
        <is>
          <t>Yokohama BayStars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e9ab59688d3b514e2e6e6a6178916377e656c91d0946e4a0432922d92c29eca9</t>
        </is>
      </c>
      <c r="BB28" s="24" t="inlineStr">
        <is>
          <t>tie_aware_elo</t>
        </is>
      </c>
      <c r="BC28" s="24" t="inlineStr">
        <is>
          <t>npb-tie-aware-elo-v2</t>
        </is>
      </c>
      <c r="BD28" s="24" t="inlineStr">
        <is>
          <t>e9ab59688d3b514e2e6e6a6178916377e656c91d0946e4a0432922d92c29eca9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npb-tie-aware-elo-v2</t>
        </is>
      </c>
      <c r="BH28" s="24" t="inlineStr">
        <is>
          <t>2026-08-08T04:06:50.014626Z</t>
        </is>
      </c>
      <c r="BI28" s="24" t="inlineStr">
        <is>
          <t>["same_event","same_team_same_day","same_league_same_day"]</t>
        </is>
      </c>
      <c r="BJ28" s="38" t="n"/>
      <c r="BK28" s="26" t="n">
        <v>-150</v>
      </c>
      <c r="BL28" s="39" t="n">
        <v>1.666667</v>
      </c>
      <c r="BM28" s="28" t="n">
        <v>0.6</v>
      </c>
      <c r="BN28" s="28" t="n"/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>
        <v>1</v>
      </c>
      <c r="BY28" s="39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</row>
    <row r="29" ht="36" customHeight="1">
      <c r="A29" s="24" t="inlineStr">
        <is>
          <t>1f70ae91533443d5</t>
        </is>
      </c>
      <c r="B29" s="24" t="inlineStr">
        <is>
          <t>2026-08-09T05:17:45.141972Z</t>
        </is>
      </c>
      <c r="C29" s="24" t="inlineStr">
        <is>
          <t>2026-08-09T08:00:00Z</t>
        </is>
      </c>
      <c r="D29" s="24" t="inlineStr">
        <is>
          <t>73655</t>
        </is>
      </c>
      <c r="E29" s="24" t="inlineStr">
        <is>
          <t>NPB</t>
        </is>
      </c>
      <c r="F29" s="24" t="inlineStr">
        <is>
          <t>Orix Buffaloes</t>
        </is>
      </c>
      <c r="G29" s="24" t="inlineStr">
        <is>
          <t>Chiba Lotte Marines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104</v>
      </c>
      <c r="M29" s="39" t="n">
        <v>2.04</v>
      </c>
      <c r="N29" s="28" t="n">
        <v>0.490196</v>
      </c>
      <c r="O29" s="28" t="n">
        <v>0.547003</v>
      </c>
      <c r="P29" s="28" t="n"/>
      <c r="Q29" s="28" t="n">
        <v>0.056807</v>
      </c>
      <c r="R29" s="26" t="n">
        <v>48</v>
      </c>
      <c r="S29" s="29" t="n">
        <v>1</v>
      </c>
      <c r="T29" s="24" t="inlineStr">
        <is>
          <t>npb-tie-aware-elo-v2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7</v>
      </c>
      <c r="Y29" s="38" t="n"/>
      <c r="Z29" s="26" t="n"/>
      <c r="AA29" s="28" t="n"/>
      <c r="AB29" s="28" t="n"/>
      <c r="AC29" s="40" t="n">
        <v>1.04</v>
      </c>
      <c r="AD29" s="24" t="inlineStr">
        <is>
          <t>2026-08-09T20:26:16.355091Z</t>
        </is>
      </c>
      <c r="AE29" s="31" t="inlineStr">
        <is>
          <t>Tie-aware Elo baseline; executable ask 0.4900 (market_slug=aec-npb-clm-obr-2026-08-09). Tie probability=0.0322.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NO_CALL_WINNER_OVERVALUED</t>
        </is>
      </c>
      <c r="AP29" s="24" t="inlineStr">
        <is>
          <t>Orix Buffaloes</t>
        </is>
      </c>
      <c r="AQ29" s="24" t="inlineStr">
        <is>
          <t>Orix Buffaloes</t>
        </is>
      </c>
      <c r="AR29" s="24" t="inlineStr">
        <is>
          <t>Orix Buffaloes</t>
        </is>
      </c>
      <c r="AS29" s="24" t="inlineStr">
        <is>
          <t>Chiba Lotte Marines</t>
        </is>
      </c>
      <c r="AT29" s="24" t="inlineStr">
        <is>
          <t>Chiba Lotte Marines</t>
        </is>
      </c>
      <c r="AU29" s="24" t="inlineStr">
        <is>
          <t>Chiba Lotte Marines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1b7c2815d24b862bd8c1893baa5e4f65c12122708fa3c5aac2d6bac9c376d736</t>
        </is>
      </c>
      <c r="BB29" s="24" t="inlineStr">
        <is>
          <t>tie_aware_elo</t>
        </is>
      </c>
      <c r="BC29" s="24" t="inlineStr">
        <is>
          <t>npb-tie-aware-elo-v2</t>
        </is>
      </c>
      <c r="BD29" s="24" t="inlineStr">
        <is>
          <t>1b7c2815d24b862bd8c1893baa5e4f65c12122708fa3c5aac2d6bac9c376d736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npb-tie-aware-elo-v2</t>
        </is>
      </c>
      <c r="BH29" s="24" t="inlineStr">
        <is>
          <t>2026-08-09T05:17:43.172262Z</t>
        </is>
      </c>
      <c r="BI29" s="24" t="inlineStr">
        <is>
          <t>["same_event","same_team_same_day","same_league_same_day"]</t>
        </is>
      </c>
      <c r="BJ29" s="38" t="n"/>
      <c r="BK29" s="26" t="n">
        <v>104</v>
      </c>
      <c r="BL29" s="39" t="n">
        <v>2.04</v>
      </c>
      <c r="BM29" s="28" t="n">
        <v>0.490196</v>
      </c>
      <c r="BN29" s="28" t="n"/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>
        <v>1</v>
      </c>
      <c r="BY29" s="39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dde9695350e144cd</t>
        </is>
      </c>
      <c r="B30" s="24" t="inlineStr">
        <is>
          <t>2026-08-09T05:17:45.141972Z</t>
        </is>
      </c>
      <c r="C30" s="24" t="inlineStr">
        <is>
          <t>2026-08-09T08:00:00Z</t>
        </is>
      </c>
      <c r="D30" s="24" t="inlineStr">
        <is>
          <t>73656</t>
        </is>
      </c>
      <c r="E30" s="24" t="inlineStr">
        <is>
          <t>NPB</t>
        </is>
      </c>
      <c r="F30" s="24" t="inlineStr">
        <is>
          <t>Fukuoka SoftBank Hawks</t>
        </is>
      </c>
      <c r="G30" s="24" t="inlineStr">
        <is>
          <t>Saitama Seibu Lions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-144</v>
      </c>
      <c r="M30" s="39" t="n">
        <v>1.694444</v>
      </c>
      <c r="N30" s="28" t="n">
        <v>0.590164</v>
      </c>
      <c r="O30" s="28" t="n">
        <v>0.571416</v>
      </c>
      <c r="P30" s="28" t="n"/>
      <c r="Q30" s="28" t="n">
        <v>-0.018748</v>
      </c>
      <c r="R30" s="26" t="n">
        <v>11</v>
      </c>
      <c r="S30" s="29" t="n">
        <v>1.25</v>
      </c>
      <c r="T30" s="24" t="inlineStr">
        <is>
          <t>npb-tie-aware-elo-v2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0</v>
      </c>
      <c r="Y30" s="38" t="n"/>
      <c r="Z30" s="26" t="n"/>
      <c r="AA30" s="28" t="n"/>
      <c r="AB30" s="28" t="n"/>
      <c r="AC30" s="40" t="n">
        <v>0.8681</v>
      </c>
      <c r="AD30" s="24" t="inlineStr">
        <is>
          <t>2026-08-09T20:26:16.493332Z</t>
        </is>
      </c>
      <c r="AE30" s="31" t="inlineStr">
        <is>
          <t>Tie-aware Elo baseline; executable ask 0.5900 (market_slug=aec-npb-ssl-fsh-2026-08-09). Tie probability=0.0300.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NO_CALL_WINNER_OVERVALUED</t>
        </is>
      </c>
      <c r="AP30" s="24" t="inlineStr">
        <is>
          <t>Fukuoka SoftBank Hawks</t>
        </is>
      </c>
      <c r="AQ30" s="24" t="inlineStr">
        <is>
          <t>Fukuoka SoftBank Hawks</t>
        </is>
      </c>
      <c r="AR30" s="24" t="inlineStr">
        <is>
          <t>Fukuoka SoftBank Hawks</t>
        </is>
      </c>
      <c r="AS30" s="24" t="inlineStr">
        <is>
          <t>Saitama Seibu Lions</t>
        </is>
      </c>
      <c r="AT30" s="24" t="inlineStr">
        <is>
          <t>Saitama Seibu Lions</t>
        </is>
      </c>
      <c r="AU30" s="24" t="inlineStr">
        <is>
          <t>Saitama Seibu Lions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1b7c2815d24b862bd8c1893baa5e4f65c12122708fa3c5aac2d6bac9c376d736</t>
        </is>
      </c>
      <c r="BB30" s="24" t="inlineStr">
        <is>
          <t>tie_aware_elo</t>
        </is>
      </c>
      <c r="BC30" s="24" t="inlineStr">
        <is>
          <t>npb-tie-aware-elo-v2</t>
        </is>
      </c>
      <c r="BD30" s="24" t="inlineStr">
        <is>
          <t>1b7c2815d24b862bd8c1893baa5e4f65c12122708fa3c5aac2d6bac9c376d736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npb-tie-aware-elo-v2</t>
        </is>
      </c>
      <c r="BH30" s="24" t="inlineStr">
        <is>
          <t>2026-08-09T05:17:43.809915Z</t>
        </is>
      </c>
      <c r="BI30" s="24" t="inlineStr">
        <is>
          <t>["same_event","same_team_same_day","same_league_same_day"]</t>
        </is>
      </c>
      <c r="BJ30" s="38" t="n"/>
      <c r="BK30" s="26" t="n">
        <v>-144</v>
      </c>
      <c r="BL30" s="39" t="n">
        <v>1.694444</v>
      </c>
      <c r="BM30" s="28" t="n">
        <v>0.590164</v>
      </c>
      <c r="BN30" s="28" t="n"/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>
        <v>1</v>
      </c>
      <c r="BY30" s="39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0ce75ac6e6a748fb</t>
        </is>
      </c>
      <c r="B31" s="24" t="inlineStr">
        <is>
          <t>2026-08-09T05:17:45.141972Z</t>
        </is>
      </c>
      <c r="C31" s="24" t="inlineStr">
        <is>
          <t>2026-08-09T09:00:00Z</t>
        </is>
      </c>
      <c r="D31" s="24" t="inlineStr">
        <is>
          <t>73664</t>
        </is>
      </c>
      <c r="E31" s="24" t="inlineStr">
        <is>
          <t>NPB</t>
        </is>
      </c>
      <c r="F31" s="24" t="inlineStr">
        <is>
          <t>Hiroshima Carp</t>
        </is>
      </c>
      <c r="G31" s="24" t="inlineStr">
        <is>
          <t>Yokohama BayStars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-156</v>
      </c>
      <c r="M31" s="39" t="n">
        <v>1.641026</v>
      </c>
      <c r="N31" s="28" t="n">
        <v>0.609375</v>
      </c>
      <c r="O31" s="28" t="n">
        <v>0.604738</v>
      </c>
      <c r="P31" s="28" t="n"/>
      <c r="Q31" s="28" t="n">
        <v>-0.004637</v>
      </c>
      <c r="R31" s="26" t="n">
        <v>18</v>
      </c>
      <c r="S31" s="29" t="n">
        <v>1.25</v>
      </c>
      <c r="T31" s="24" t="inlineStr">
        <is>
          <t>npb-tie-aware-elo-v2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3</v>
      </c>
      <c r="Y31" s="38" t="n"/>
      <c r="Z31" s="26" t="n"/>
      <c r="AA31" s="28" t="n"/>
      <c r="AB31" s="28" t="n"/>
      <c r="AC31" s="40" t="n">
        <v>0.8013</v>
      </c>
      <c r="AD31" s="24" t="inlineStr">
        <is>
          <t>2026-08-09T20:26:16.627025Z</t>
        </is>
      </c>
      <c r="AE31" s="31" t="inlineStr">
        <is>
          <t>Tie-aware Elo baseline; executable ask 0.6100 (market_slug=aec-npb-ybo-hci-2026-08-09). Tie probability=0.0271.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Hiroshima Carp</t>
        </is>
      </c>
      <c r="AQ31" s="24" t="inlineStr">
        <is>
          <t>Hiroshima Carp</t>
        </is>
      </c>
      <c r="AR31" s="24" t="inlineStr">
        <is>
          <t>Hiroshima Carp</t>
        </is>
      </c>
      <c r="AS31" s="24" t="inlineStr">
        <is>
          <t>Yokohama BayStars</t>
        </is>
      </c>
      <c r="AT31" s="24" t="inlineStr">
        <is>
          <t>Yokohama BayStars</t>
        </is>
      </c>
      <c r="AU31" s="24" t="inlineStr">
        <is>
          <t>Yokohama BayStars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1b7c2815d24b862bd8c1893baa5e4f65c12122708fa3c5aac2d6bac9c376d736</t>
        </is>
      </c>
      <c r="BB31" s="24" t="inlineStr">
        <is>
          <t>tie_aware_elo</t>
        </is>
      </c>
      <c r="BC31" s="24" t="inlineStr">
        <is>
          <t>npb-tie-aware-elo-v2</t>
        </is>
      </c>
      <c r="BD31" s="24" t="inlineStr">
        <is>
          <t>1b7c2815d24b862bd8c1893baa5e4f65c12122708fa3c5aac2d6bac9c376d736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npb-tie-aware-elo-v2</t>
        </is>
      </c>
      <c r="BH31" s="24" t="inlineStr">
        <is>
          <t>2026-08-09T05:17:44.416064Z</t>
        </is>
      </c>
      <c r="BI31" s="24" t="inlineStr">
        <is>
          <t>["same_event","same_team_same_day","same_league_same_day"]</t>
        </is>
      </c>
      <c r="BJ31" s="38" t="n"/>
      <c r="BK31" s="26" t="n">
        <v>-156</v>
      </c>
      <c r="BL31" s="39" t="n">
        <v>1.641026</v>
      </c>
      <c r="BM31" s="28" t="n">
        <v>0.609375</v>
      </c>
      <c r="BN31" s="28" t="n"/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>
        <v>1</v>
      </c>
      <c r="BY31" s="39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edc48d2b878540d9</t>
        </is>
      </c>
      <c r="B32" s="24" t="inlineStr">
        <is>
          <t>2026-08-09T05:17:45.141972Z</t>
        </is>
      </c>
      <c r="C32" s="24" t="inlineStr">
        <is>
          <t>2026-08-09T09:00:00Z</t>
        </is>
      </c>
      <c r="D32" s="24" t="inlineStr">
        <is>
          <t>73665</t>
        </is>
      </c>
      <c r="E32" s="24" t="inlineStr">
        <is>
          <t>NPB</t>
        </is>
      </c>
      <c r="F32" s="24" t="inlineStr">
        <is>
          <t>Chunichi Dragons</t>
        </is>
      </c>
      <c r="G32" s="24" t="inlineStr">
        <is>
          <t>Hanshin Tigers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-163</v>
      </c>
      <c r="M32" s="39" t="n">
        <v>1.613497</v>
      </c>
      <c r="N32" s="28" t="n">
        <v>0.619772</v>
      </c>
      <c r="O32" s="28" t="n">
        <v>0.540616</v>
      </c>
      <c r="P32" s="28" t="n"/>
      <c r="Q32" s="28" t="n">
        <v>-0.079156</v>
      </c>
      <c r="R32" s="26" t="n">
        <v>0</v>
      </c>
      <c r="S32" s="29" t="n">
        <v>1</v>
      </c>
      <c r="T32" s="24" t="inlineStr">
        <is>
          <t>npb-tie-aware-elo-v2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38" t="n"/>
      <c r="Z32" s="26" t="n"/>
      <c r="AA32" s="28" t="n"/>
      <c r="AB32" s="28" t="n"/>
      <c r="AC32" s="40" t="n">
        <v>0.6135</v>
      </c>
      <c r="AD32" s="24" t="inlineStr">
        <is>
          <t>2026-08-09T20:26:16.763277Z</t>
        </is>
      </c>
      <c r="AE32" s="31" t="inlineStr">
        <is>
          <t>Tie-aware Elo baseline; executable ask 0.6200 (market_slug=aec-npb-hta-cdh-2026-08-09). Tie probability=0.0327.</t>
        </is>
      </c>
      <c r="AF32" s="31" t="inlineStr">
        <is>
          <t>Config-promoted international baseball baseline; gates enforced at log time.</t>
        </is>
      </c>
      <c r="AG32" s="24" t="inlineStr">
        <is>
          <t>not_applicable</t>
        </is>
      </c>
      <c r="AH32" s="24" t="n"/>
      <c r="AI32" s="31" t="n"/>
      <c r="AJ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NO_CALL_WINNER_OVERVALUED</t>
        </is>
      </c>
      <c r="AP32" s="24" t="inlineStr">
        <is>
          <t>Chunichi Dragons</t>
        </is>
      </c>
      <c r="AQ32" s="24" t="inlineStr">
        <is>
          <t>Chunichi Dragons</t>
        </is>
      </c>
      <c r="AR32" s="24" t="inlineStr">
        <is>
          <t>Chunichi Dragons</t>
        </is>
      </c>
      <c r="AS32" s="24" t="inlineStr">
        <is>
          <t>Hanshin Tigers</t>
        </is>
      </c>
      <c r="AT32" s="24" t="inlineStr">
        <is>
          <t>Hanshin Tigers</t>
        </is>
      </c>
      <c r="AU32" s="24" t="inlineStr">
        <is>
          <t>Hanshin Tigers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1b7c2815d24b862bd8c1893baa5e4f65c12122708fa3c5aac2d6bac9c376d736</t>
        </is>
      </c>
      <c r="BB32" s="24" t="inlineStr">
        <is>
          <t>tie_aware_elo</t>
        </is>
      </c>
      <c r="BC32" s="24" t="inlineStr">
        <is>
          <t>npb-tie-aware-elo-v2</t>
        </is>
      </c>
      <c r="BD32" s="24" t="inlineStr">
        <is>
          <t>1b7c2815d24b862bd8c1893baa5e4f65c12122708fa3c5aac2d6bac9c376d736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npb-tie-aware-elo-v2</t>
        </is>
      </c>
      <c r="BH32" s="24" t="inlineStr">
        <is>
          <t>2026-08-09T05:17:45.141880Z</t>
        </is>
      </c>
      <c r="BI32" s="24" t="inlineStr">
        <is>
          <t>["same_event","same_team_same_day","same_league_same_day"]</t>
        </is>
      </c>
      <c r="BJ32" s="38" t="n"/>
      <c r="BK32" s="26" t="n">
        <v>-163</v>
      </c>
      <c r="BL32" s="39" t="n">
        <v>1.613497</v>
      </c>
      <c r="BM32" s="28" t="n">
        <v>0.619772</v>
      </c>
      <c r="BN32" s="28" t="n"/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>
        <v>1</v>
      </c>
      <c r="BY32" s="39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</row>
    <row r="33" ht="36" customHeight="1">
      <c r="A33" s="24" t="inlineStr">
        <is>
          <t>2de7ef6136274bf0</t>
        </is>
      </c>
      <c r="B33" s="24" t="inlineStr">
        <is>
          <t>2026-08-12T08:21:35.145090Z</t>
        </is>
      </c>
      <c r="C33" s="24" t="inlineStr">
        <is>
          <t>2026-08-12T09:00:00Z</t>
        </is>
      </c>
      <c r="D33" s="24" t="inlineStr">
        <is>
          <t>76184</t>
        </is>
      </c>
      <c r="E33" s="24" t="inlineStr">
        <is>
          <t>NPB</t>
        </is>
      </c>
      <c r="F33" s="24" t="inlineStr">
        <is>
          <t>Hanshin Tigers</t>
        </is>
      </c>
      <c r="G33" s="24" t="inlineStr">
        <is>
          <t>Yomiuri Giants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127</v>
      </c>
      <c r="M33" s="39" t="n">
        <v>2.27</v>
      </c>
      <c r="N33" s="28" t="n">
        <v>0.440529</v>
      </c>
      <c r="O33" s="28" t="n">
        <v>0.515505</v>
      </c>
      <c r="P33" s="28" t="n"/>
      <c r="Q33" s="28" t="n">
        <v>0.074976</v>
      </c>
      <c r="R33" s="26" t="n">
        <v>57</v>
      </c>
      <c r="S33" s="29" t="n">
        <v>1</v>
      </c>
      <c r="T33" s="24" t="inlineStr">
        <is>
          <t>npb-tie-aware-elo-v2</t>
        </is>
      </c>
      <c r="U33" s="24" t="inlineStr">
        <is>
          <t>settled</t>
        </is>
      </c>
      <c r="V33" s="24" t="inlineStr">
        <is>
          <t>loss</t>
        </is>
      </c>
      <c r="W33" s="26" t="n">
        <v>5</v>
      </c>
      <c r="X33" s="26" t="n">
        <v>1</v>
      </c>
      <c r="Y33" s="38" t="n"/>
      <c r="Z33" s="26" t="n"/>
      <c r="AA33" s="28" t="n"/>
      <c r="AB33" s="28" t="n"/>
      <c r="AC33" s="40" t="n">
        <v>-1</v>
      </c>
      <c r="AD33" s="24" t="inlineStr">
        <is>
          <t>2026-08-12T21:15:45.502496Z</t>
        </is>
      </c>
      <c r="AE33" s="31" t="inlineStr">
        <is>
          <t>Tie-aware Elo baseline; executable ask 0.4400 (market_slug=aec-npb-ygo-hta-2026-08-12). Tie probability=0.0348.</t>
        </is>
      </c>
      <c r="AF33" s="31" t="inlineStr">
        <is>
          <t>Config-promoted international baseball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Hanshin Tigers</t>
        </is>
      </c>
      <c r="AQ33" s="24" t="inlineStr">
        <is>
          <t>Hanshin Tigers</t>
        </is>
      </c>
      <c r="AR33" s="24" t="inlineStr">
        <is>
          <t>Hanshin Tigers</t>
        </is>
      </c>
      <c r="AS33" s="24" t="inlineStr">
        <is>
          <t>Yomiuri Giants</t>
        </is>
      </c>
      <c r="AT33" s="24" t="inlineStr">
        <is>
          <t>Yomiuri Giants</t>
        </is>
      </c>
      <c r="AU33" s="24" t="inlineStr">
        <is>
          <t>Yomiuri Giants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05ce5c163469a19fa69948e39f5a5c074f3e14d31fa465677897d80bd6c4e801</t>
        </is>
      </c>
      <c r="BB33" s="24" t="inlineStr">
        <is>
          <t>tie_aware_elo</t>
        </is>
      </c>
      <c r="BC33" s="24" t="inlineStr">
        <is>
          <t>npb-tie-aware-elo-v2</t>
        </is>
      </c>
      <c r="BD33" s="24" t="inlineStr">
        <is>
          <t>05ce5c163469a19fa69948e39f5a5c074f3e14d31fa465677897d80bd6c4e801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npb-tie-aware-elo-v2</t>
        </is>
      </c>
      <c r="BH33" s="24" t="inlineStr">
        <is>
          <t>2026-08-12T08:21:31.890109Z</t>
        </is>
      </c>
      <c r="BI33" s="24" t="inlineStr">
        <is>
          <t>["same_event","same_team_same_day","same_league_same_day"]</t>
        </is>
      </c>
      <c r="BJ33" s="38" t="n"/>
      <c r="BK33" s="26" t="n">
        <v>127</v>
      </c>
      <c r="BL33" s="39" t="n">
        <v>2.27</v>
      </c>
      <c r="BM33" s="28" t="n">
        <v>0.440529</v>
      </c>
      <c r="BN33" s="28" t="n"/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/>
      <c r="BY33" s="39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acbde3c2abd54fbb</t>
        </is>
      </c>
      <c r="B34" s="24" t="inlineStr">
        <is>
          <t>2026-08-12T08:21:35.145090Z</t>
        </is>
      </c>
      <c r="C34" s="24" t="inlineStr">
        <is>
          <t>2026-08-12T09:00:00Z</t>
        </is>
      </c>
      <c r="D34" s="24" t="inlineStr">
        <is>
          <t>76185</t>
        </is>
      </c>
      <c r="E34" s="24" t="inlineStr">
        <is>
          <t>NPB</t>
        </is>
      </c>
      <c r="F34" s="24" t="inlineStr">
        <is>
          <t>Yokohama BayStars</t>
        </is>
      </c>
      <c r="G34" s="24" t="inlineStr">
        <is>
          <t>Chunichi Dragons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127</v>
      </c>
      <c r="M34" s="39" t="n">
        <v>2.27</v>
      </c>
      <c r="N34" s="28" t="n">
        <v>0.440529</v>
      </c>
      <c r="O34" s="28" t="n">
        <v>0.53288</v>
      </c>
      <c r="P34" s="28" t="n"/>
      <c r="Q34" s="28" t="n">
        <v>0.092351</v>
      </c>
      <c r="R34" s="26" t="n">
        <v>66</v>
      </c>
      <c r="S34" s="29" t="n">
        <v>1</v>
      </c>
      <c r="T34" s="24" t="inlineStr">
        <is>
          <t>npb-tie-aware-elo-v2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6</v>
      </c>
      <c r="X34" s="26" t="n">
        <v>3</v>
      </c>
      <c r="Y34" s="38" t="n"/>
      <c r="Z34" s="26" t="n"/>
      <c r="AA34" s="28" t="n"/>
      <c r="AB34" s="28" t="n"/>
      <c r="AC34" s="40" t="n">
        <v>-1</v>
      </c>
      <c r="AD34" s="24" t="inlineStr">
        <is>
          <t>2026-08-12T21:15:45.654852Z</t>
        </is>
      </c>
      <c r="AE34" s="31" t="inlineStr">
        <is>
          <t>Tie-aware Elo baseline; executable ask 0.4400 (market_slug=aec-npb-cdh-ybo-2026-08-12). Tie probability=0.0333.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Yokohama BayStars</t>
        </is>
      </c>
      <c r="AQ34" s="24" t="inlineStr">
        <is>
          <t>Yokohama BayStars</t>
        </is>
      </c>
      <c r="AR34" s="24" t="inlineStr">
        <is>
          <t>Yokohama BayStars</t>
        </is>
      </c>
      <c r="AS34" s="24" t="inlineStr">
        <is>
          <t>Chunichi Dragons</t>
        </is>
      </c>
      <c r="AT34" s="24" t="inlineStr">
        <is>
          <t>Chunichi Dragons</t>
        </is>
      </c>
      <c r="AU34" s="24" t="inlineStr">
        <is>
          <t>Chunichi Dragons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05ce5c163469a19fa69948e39f5a5c074f3e14d31fa465677897d80bd6c4e801</t>
        </is>
      </c>
      <c r="BB34" s="24" t="inlineStr">
        <is>
          <t>tie_aware_elo</t>
        </is>
      </c>
      <c r="BC34" s="24" t="inlineStr">
        <is>
          <t>npb-tie-aware-elo-v2</t>
        </is>
      </c>
      <c r="BD34" s="24" t="inlineStr">
        <is>
          <t>05ce5c163469a19fa69948e39f5a5c074f3e14d31fa465677897d80bd6c4e801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npb-tie-aware-elo-v2</t>
        </is>
      </c>
      <c r="BH34" s="24" t="inlineStr">
        <is>
          <t>2026-08-12T08:21:32.791156Z</t>
        </is>
      </c>
      <c r="BI34" s="24" t="inlineStr">
        <is>
          <t>["same_event","same_team_same_day","same_league_same_day"]</t>
        </is>
      </c>
      <c r="BJ34" s="38" t="n"/>
      <c r="BK34" s="26" t="n">
        <v>127</v>
      </c>
      <c r="BL34" s="39" t="n">
        <v>2.27</v>
      </c>
      <c r="BM34" s="28" t="n">
        <v>0.440529</v>
      </c>
      <c r="BN34" s="28" t="n"/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1a182660a149408e</t>
        </is>
      </c>
      <c r="B35" s="24" t="inlineStr">
        <is>
          <t>2026-08-12T08:21:35.145090Z</t>
        </is>
      </c>
      <c r="C35" s="24" t="inlineStr">
        <is>
          <t>2026-08-12T09:00:00Z</t>
        </is>
      </c>
      <c r="D35" s="24" t="inlineStr">
        <is>
          <t>76186</t>
        </is>
      </c>
      <c r="E35" s="24" t="inlineStr">
        <is>
          <t>NPB</t>
        </is>
      </c>
      <c r="F35" s="24" t="inlineStr">
        <is>
          <t>Saitama Seibu Lions</t>
        </is>
      </c>
      <c r="G35" s="24" t="inlineStr">
        <is>
          <t>Nippon Ham Fighters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-203</v>
      </c>
      <c r="M35" s="39" t="n">
        <v>1.492611</v>
      </c>
      <c r="N35" s="28" t="n">
        <v>0.669967</v>
      </c>
      <c r="O35" s="28" t="n">
        <v>0.567846</v>
      </c>
      <c r="P35" s="28" t="n"/>
      <c r="Q35" s="28" t="n">
        <v>-0.102121</v>
      </c>
      <c r="R35" s="26" t="n">
        <v>0</v>
      </c>
      <c r="S35" s="29" t="n">
        <v>1</v>
      </c>
      <c r="T35" s="24" t="inlineStr">
        <is>
          <t>npb-tie-aware-elo-v2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2</v>
      </c>
      <c r="Y35" s="38" t="n"/>
      <c r="Z35" s="26" t="n"/>
      <c r="AA35" s="28" t="n"/>
      <c r="AB35" s="28" t="n"/>
      <c r="AC35" s="40" t="n">
        <v>-1</v>
      </c>
      <c r="AD35" s="24" t="inlineStr">
        <is>
          <t>2026-08-12T21:15:45.796432Z</t>
        </is>
      </c>
      <c r="AE35" s="31" t="inlineStr">
        <is>
          <t>Tie-aware Elo baseline; executable ask 0.6700 (market_slug=aec-npb-nhf-ssl-2026-08-12). Tie probability=0.0303.</t>
        </is>
      </c>
      <c r="AF35" s="31" t="inlineStr">
        <is>
          <t>Config-promoted international baseball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Saitama Seibu Lions</t>
        </is>
      </c>
      <c r="AQ35" s="24" t="inlineStr">
        <is>
          <t>Saitama Seibu Lions</t>
        </is>
      </c>
      <c r="AR35" s="24" t="inlineStr">
        <is>
          <t>Saitama Seibu Lions</t>
        </is>
      </c>
      <c r="AS35" s="24" t="inlineStr">
        <is>
          <t>Nippon Ham Fighters</t>
        </is>
      </c>
      <c r="AT35" s="24" t="inlineStr">
        <is>
          <t>Nippon Ham Fighters</t>
        </is>
      </c>
      <c r="AU35" s="24" t="inlineStr">
        <is>
          <t>Nippon Ham Fighters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05ce5c163469a19fa69948e39f5a5c074f3e14d31fa465677897d80bd6c4e801</t>
        </is>
      </c>
      <c r="BB35" s="24" t="inlineStr">
        <is>
          <t>tie_aware_elo</t>
        </is>
      </c>
      <c r="BC35" s="24" t="inlineStr">
        <is>
          <t>npb-tie-aware-elo-v2</t>
        </is>
      </c>
      <c r="BD35" s="24" t="inlineStr">
        <is>
          <t>05ce5c163469a19fa69948e39f5a5c074f3e14d31fa465677897d80bd6c4e801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npb-tie-aware-elo-v2</t>
        </is>
      </c>
      <c r="BH35" s="24" t="inlineStr">
        <is>
          <t>2026-08-12T08:21:33.487442Z</t>
        </is>
      </c>
      <c r="BI35" s="24" t="inlineStr">
        <is>
          <t>["same_event","same_team_same_day","same_league_same_day"]</t>
        </is>
      </c>
      <c r="BJ35" s="38" t="n"/>
      <c r="BK35" s="26" t="n">
        <v>-203</v>
      </c>
      <c r="BL35" s="39" t="n">
        <v>1.492611</v>
      </c>
      <c r="BM35" s="28" t="n">
        <v>0.669967</v>
      </c>
      <c r="BN35" s="28" t="n"/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/>
      <c r="BY35" s="39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</row>
    <row r="36" ht="36" customHeight="1">
      <c r="A36" s="24" t="inlineStr">
        <is>
          <t>a9555c4be9244fb0</t>
        </is>
      </c>
      <c r="B36" s="24" t="inlineStr">
        <is>
          <t>2026-08-12T08:21:35.145090Z</t>
        </is>
      </c>
      <c r="C36" s="24" t="inlineStr">
        <is>
          <t>2026-08-12T09:00:00Z</t>
        </is>
      </c>
      <c r="D36" s="24" t="inlineStr">
        <is>
          <t>76187</t>
        </is>
      </c>
      <c r="E36" s="24" t="inlineStr">
        <is>
          <t>NPB</t>
        </is>
      </c>
      <c r="F36" s="24" t="inlineStr">
        <is>
          <t>Orix Buffaloes</t>
        </is>
      </c>
      <c r="G36" s="24" t="inlineStr">
        <is>
          <t>Tohoku Rakuten Golden Eagles</t>
        </is>
      </c>
      <c r="H36" s="24" t="inlineStr">
        <is>
          <t>moneyline</t>
        </is>
      </c>
      <c r="I36" s="24" t="inlineStr">
        <is>
          <t>away</t>
        </is>
      </c>
      <c r="J36" s="38" t="n"/>
      <c r="K36" s="24" t="inlineStr">
        <is>
          <t>polymarket_us</t>
        </is>
      </c>
      <c r="L36" s="26" t="n">
        <v>-113</v>
      </c>
      <c r="M36" s="39" t="n">
        <v>1.884956</v>
      </c>
      <c r="N36" s="28" t="n">
        <v>0.530516</v>
      </c>
      <c r="O36" s="28" t="n">
        <v>0.514003</v>
      </c>
      <c r="P36" s="28" t="n"/>
      <c r="Q36" s="28" t="n">
        <v>-0.016513</v>
      </c>
      <c r="R36" s="26" t="n">
        <v>12</v>
      </c>
      <c r="S36" s="29" t="n">
        <v>1</v>
      </c>
      <c r="T36" s="24" t="inlineStr">
        <is>
          <t>npb-tie-aware-elo-v2</t>
        </is>
      </c>
      <c r="U36" s="24" t="inlineStr">
        <is>
          <t>settled</t>
        </is>
      </c>
      <c r="V36" s="24" t="inlineStr">
        <is>
          <t>loss</t>
        </is>
      </c>
      <c r="W36" s="26" t="n">
        <v>2</v>
      </c>
      <c r="X36" s="26" t="n">
        <v>7</v>
      </c>
      <c r="Y36" s="38" t="n"/>
      <c r="Z36" s="26" t="n"/>
      <c r="AA36" s="28" t="n"/>
      <c r="AB36" s="28" t="n"/>
      <c r="AC36" s="40" t="n">
        <v>-1</v>
      </c>
      <c r="AD36" s="24" t="inlineStr">
        <is>
          <t>2026-08-12T21:15:45.937916Z</t>
        </is>
      </c>
      <c r="AE36" s="31" t="inlineStr">
        <is>
          <t>Tie-aware Elo baseline; executable ask 0.5300 (market_slug=aec-npb-trge-obr-2026-08-12). Tie probability=0.0349.</t>
        </is>
      </c>
      <c r="AF36" s="31" t="inlineStr">
        <is>
          <t>Config-promoted international baseball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Orix Buffaloes</t>
        </is>
      </c>
      <c r="AQ36" s="24" t="inlineStr">
        <is>
          <t>Orix Buffaloes</t>
        </is>
      </c>
      <c r="AR36" s="24" t="inlineStr">
        <is>
          <t>Orix Buffaloes</t>
        </is>
      </c>
      <c r="AS36" s="24" t="inlineStr">
        <is>
          <t>Tohoku Rakuten Golden Eagles</t>
        </is>
      </c>
      <c r="AT36" s="24" t="inlineStr">
        <is>
          <t>Tohoku Rakuten Golden Eagles</t>
        </is>
      </c>
      <c r="AU36" s="24" t="inlineStr">
        <is>
          <t>Tohoku Rakuten Golden Eagles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05ce5c163469a19fa69948e39f5a5c074f3e14d31fa465677897d80bd6c4e801</t>
        </is>
      </c>
      <c r="BB36" s="24" t="inlineStr">
        <is>
          <t>tie_aware_elo</t>
        </is>
      </c>
      <c r="BC36" s="24" t="inlineStr">
        <is>
          <t>npb-tie-aware-elo-v2</t>
        </is>
      </c>
      <c r="BD36" s="24" t="inlineStr">
        <is>
          <t>05ce5c163469a19fa69948e39f5a5c074f3e14d31fa465677897d80bd6c4e801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npb-tie-aware-elo-v2</t>
        </is>
      </c>
      <c r="BH36" s="24" t="inlineStr">
        <is>
          <t>2026-08-12T08:21:33.970591Z</t>
        </is>
      </c>
      <c r="BI36" s="24" t="inlineStr">
        <is>
          <t>["same_event","same_team_same_day","same_league_same_day"]</t>
        </is>
      </c>
      <c r="BJ36" s="38" t="n"/>
      <c r="BK36" s="26" t="n">
        <v>-113</v>
      </c>
      <c r="BL36" s="39" t="n">
        <v>1.884956</v>
      </c>
      <c r="BM36" s="28" t="n">
        <v>0.530516</v>
      </c>
      <c r="BN36" s="28" t="n"/>
      <c r="BO36" s="28" t="n"/>
      <c r="BP36" s="38" t="n"/>
      <c r="BQ36" s="39" t="n"/>
      <c r="BR36" s="28" t="n"/>
      <c r="BS36" s="28" t="n"/>
      <c r="BT36" s="28" t="n"/>
      <c r="BU36" s="38" t="n"/>
      <c r="BV36" s="29" t="n"/>
      <c r="BW36" s="24" t="n"/>
      <c r="BX36" s="40" t="n"/>
      <c r="BY36" s="39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22d15b195e984d0a</t>
        </is>
      </c>
      <c r="B37" s="24" t="inlineStr">
        <is>
          <t>2026-08-12T08:21:35.145090Z</t>
        </is>
      </c>
      <c r="C37" s="24" t="inlineStr">
        <is>
          <t>2026-08-12T09:00:00Z</t>
        </is>
      </c>
      <c r="D37" s="24" t="inlineStr">
        <is>
          <t>76188</t>
        </is>
      </c>
      <c r="E37" s="24" t="inlineStr">
        <is>
          <t>NPB</t>
        </is>
      </c>
      <c r="F37" s="24" t="inlineStr">
        <is>
          <t>Chiba Lotte Marines</t>
        </is>
      </c>
      <c r="G37" s="24" t="inlineStr">
        <is>
          <t>Fukuoka SoftBank Hawks</t>
        </is>
      </c>
      <c r="H37" s="24" t="inlineStr">
        <is>
          <t>moneyline</t>
        </is>
      </c>
      <c r="I37" s="24" t="inlineStr">
        <is>
          <t>home</t>
        </is>
      </c>
      <c r="J37" s="38" t="n"/>
      <c r="K37" s="24" t="inlineStr">
        <is>
          <t>polymarket_us</t>
        </is>
      </c>
      <c r="L37" s="26" t="n">
        <v>-257</v>
      </c>
      <c r="M37" s="39" t="n">
        <v>1.389105</v>
      </c>
      <c r="N37" s="28" t="n">
        <v>0.719888</v>
      </c>
      <c r="O37" s="28" t="n">
        <v>0.654962</v>
      </c>
      <c r="P37" s="28" t="n"/>
      <c r="Q37" s="28" t="n">
        <v>-0.064926</v>
      </c>
      <c r="R37" s="26" t="n">
        <v>0</v>
      </c>
      <c r="S37" s="29" t="n">
        <v>1.75</v>
      </c>
      <c r="T37" s="24" t="inlineStr">
        <is>
          <t>npb-tie-aware-elo-v2</t>
        </is>
      </c>
      <c r="U37" s="24" t="inlineStr">
        <is>
          <t>settled</t>
        </is>
      </c>
      <c r="V37" s="24" t="inlineStr">
        <is>
          <t>win</t>
        </is>
      </c>
      <c r="W37" s="26" t="n">
        <v>4</v>
      </c>
      <c r="X37" s="26" t="n">
        <v>10</v>
      </c>
      <c r="Y37" s="38" t="n"/>
      <c r="Z37" s="26" t="n"/>
      <c r="AA37" s="28" t="n"/>
      <c r="AB37" s="28" t="n"/>
      <c r="AC37" s="40" t="n">
        <v>0.6808999999999999</v>
      </c>
      <c r="AD37" s="24" t="inlineStr">
        <is>
          <t>2026-08-12T21:15:46.081630Z</t>
        </is>
      </c>
      <c r="AE37" s="31" t="inlineStr">
        <is>
          <t>Tie-aware Elo baseline; executable ask 0.7200 (market_slug=aec-npb-fsh-clm-2026-08-12). Tie probability=0.0224.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Chiba Lotte Marines</t>
        </is>
      </c>
      <c r="AQ37" s="24" t="inlineStr">
        <is>
          <t>Chiba Lotte Marines</t>
        </is>
      </c>
      <c r="AR37" s="24" t="inlineStr">
        <is>
          <t>Chiba Lotte Marines</t>
        </is>
      </c>
      <c r="AS37" s="24" t="inlineStr">
        <is>
          <t>Fukuoka SoftBank Hawks</t>
        </is>
      </c>
      <c r="AT37" s="24" t="inlineStr">
        <is>
          <t>Fukuoka SoftBank Hawks</t>
        </is>
      </c>
      <c r="AU37" s="24" t="inlineStr">
        <is>
          <t>Fukuoka SoftBank Hawks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05ce5c163469a19fa69948e39f5a5c074f3e14d31fa465677897d80bd6c4e801</t>
        </is>
      </c>
      <c r="BB37" s="24" t="inlineStr">
        <is>
          <t>tie_aware_elo</t>
        </is>
      </c>
      <c r="BC37" s="24" t="inlineStr">
        <is>
          <t>npb-tie-aware-elo-v2</t>
        </is>
      </c>
      <c r="BD37" s="24" t="inlineStr">
        <is>
          <t>05ce5c163469a19fa69948e39f5a5c074f3e14d31fa465677897d80bd6c4e801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npb-tie-aware-elo-v2</t>
        </is>
      </c>
      <c r="BH37" s="24" t="inlineStr">
        <is>
          <t>2026-08-12T08:21:34.674761Z</t>
        </is>
      </c>
      <c r="BI37" s="24" t="inlineStr">
        <is>
          <t>["same_event","same_team_same_day","same_league_same_day"]</t>
        </is>
      </c>
      <c r="BJ37" s="38" t="n"/>
      <c r="BK37" s="26" t="n">
        <v>-257</v>
      </c>
      <c r="BL37" s="39" t="n">
        <v>1.389105</v>
      </c>
      <c r="BM37" s="28" t="n">
        <v>0.719888</v>
      </c>
      <c r="BN37" s="28" t="n"/>
      <c r="BO37" s="28" t="n"/>
      <c r="BP37" s="38" t="n"/>
      <c r="BQ37" s="39" t="n"/>
      <c r="BR37" s="28" t="n"/>
      <c r="BS37" s="28" t="n"/>
      <c r="BT37" s="28" t="n"/>
      <c r="BU37" s="38" t="n"/>
      <c r="BV37" s="29" t="n"/>
      <c r="BW37" s="24" t="n"/>
      <c r="BX37" s="40" t="n"/>
      <c r="BY37" s="39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</row>
    <row r="38" ht="36" customHeight="1">
      <c r="A38" s="24" t="inlineStr">
        <is>
          <t>a2967370bb244f6f</t>
        </is>
      </c>
      <c r="B38" s="24" t="inlineStr">
        <is>
          <t>2026-08-12T08:21:35.145090Z</t>
        </is>
      </c>
      <c r="C38" s="24" t="inlineStr">
        <is>
          <t>2026-08-12T09:00:00Z</t>
        </is>
      </c>
      <c r="D38" s="24" t="inlineStr">
        <is>
          <t>76189</t>
        </is>
      </c>
      <c r="E38" s="24" t="inlineStr">
        <is>
          <t>NPB</t>
        </is>
      </c>
      <c r="F38" s="24" t="inlineStr">
        <is>
          <t>Hiroshima Carp</t>
        </is>
      </c>
      <c r="G38" s="24" t="inlineStr">
        <is>
          <t>Tokyo Yakult Swallows</t>
        </is>
      </c>
      <c r="H38" s="24" t="inlineStr">
        <is>
          <t>moneyline</t>
        </is>
      </c>
      <c r="I38" s="24" t="inlineStr">
        <is>
          <t>away</t>
        </is>
      </c>
      <c r="J38" s="38" t="n"/>
      <c r="K38" s="24" t="inlineStr">
        <is>
          <t>polymarket_us</t>
        </is>
      </c>
      <c r="L38" s="26" t="n">
        <v>-127</v>
      </c>
      <c r="M38" s="39" t="n">
        <v>1.787402</v>
      </c>
      <c r="N38" s="28" t="n">
        <v>0.5594710000000001</v>
      </c>
      <c r="O38" s="28" t="n">
        <v>0.516541</v>
      </c>
      <c r="P38" s="28" t="n"/>
      <c r="Q38" s="28" t="n">
        <v>-0.04293</v>
      </c>
      <c r="R38" s="26" t="n">
        <v>0</v>
      </c>
      <c r="S38" s="29" t="n">
        <v>1</v>
      </c>
      <c r="T38" s="24" t="inlineStr">
        <is>
          <t>npb-tie-aware-elo-v2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12</v>
      </c>
      <c r="Y38" s="38" t="n"/>
      <c r="Z38" s="26" t="n"/>
      <c r="AA38" s="28" t="n"/>
      <c r="AB38" s="28" t="n"/>
      <c r="AC38" s="40" t="n">
        <v>-1</v>
      </c>
      <c r="AD38" s="24" t="inlineStr">
        <is>
          <t>2026-08-12T21:15:46.267272Z</t>
        </is>
      </c>
      <c r="AE38" s="31" t="inlineStr">
        <is>
          <t>Tie-aware Elo baseline; executable ask 0.5600 (market_slug=aec-npb-tys-hci-2026-08-12). Tie probability=0.0347.</t>
        </is>
      </c>
      <c r="AF38" s="31" t="inlineStr">
        <is>
          <t>Config-promoted international baseball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Hiroshima Carp</t>
        </is>
      </c>
      <c r="AQ38" s="24" t="inlineStr">
        <is>
          <t>Hiroshima Carp</t>
        </is>
      </c>
      <c r="AR38" s="24" t="inlineStr">
        <is>
          <t>Hiroshima Carp</t>
        </is>
      </c>
      <c r="AS38" s="24" t="inlineStr">
        <is>
          <t>Tokyo Yakult Swallows</t>
        </is>
      </c>
      <c r="AT38" s="24" t="inlineStr">
        <is>
          <t>Tokyo Yakult Swallows</t>
        </is>
      </c>
      <c r="AU38" s="24" t="inlineStr">
        <is>
          <t>Tokyo Yakult Swallows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05ce5c163469a19fa69948e39f5a5c074f3e14d31fa465677897d80bd6c4e801</t>
        </is>
      </c>
      <c r="BB38" s="24" t="inlineStr">
        <is>
          <t>tie_aware_elo</t>
        </is>
      </c>
      <c r="BC38" s="24" t="inlineStr">
        <is>
          <t>npb-tie-aware-elo-v2</t>
        </is>
      </c>
      <c r="BD38" s="24" t="inlineStr">
        <is>
          <t>05ce5c163469a19fa69948e39f5a5c074f3e14d31fa465677897d80bd6c4e801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npb-tie-aware-elo-v2</t>
        </is>
      </c>
      <c r="BH38" s="24" t="inlineStr">
        <is>
          <t>2026-08-12T08:21:35.145050Z</t>
        </is>
      </c>
      <c r="BI38" s="24" t="inlineStr">
        <is>
          <t>["same_event","same_team_same_day","same_league_same_day"]</t>
        </is>
      </c>
      <c r="BJ38" s="38" t="n"/>
      <c r="BK38" s="26" t="n">
        <v>-127</v>
      </c>
      <c r="BL38" s="39" t="n">
        <v>1.787402</v>
      </c>
      <c r="BM38" s="28" t="n">
        <v>0.5594710000000001</v>
      </c>
      <c r="BN38" s="28" t="n"/>
      <c r="BO38" s="28" t="n"/>
      <c r="BP38" s="38" t="n"/>
      <c r="BQ38" s="39" t="n"/>
      <c r="BR38" s="28" t="n"/>
      <c r="BS38" s="28" t="n"/>
      <c r="BT38" s="28" t="n"/>
      <c r="BU38" s="38" t="n"/>
      <c r="BV38" s="29" t="n"/>
      <c r="BW38" s="24" t="n"/>
      <c r="BX38" s="40" t="n"/>
      <c r="BY38" s="39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</row>
    <row r="39" ht="36" customHeight="1">
      <c r="A39" s="24" t="inlineStr">
        <is>
          <t>a17ab5132e4a416c</t>
        </is>
      </c>
      <c r="B39" s="24" t="inlineStr">
        <is>
          <t>2026-08-13T07:32:37.449638Z</t>
        </is>
      </c>
      <c r="C39" s="24" t="inlineStr">
        <is>
          <t>2026-08-13T09:00:00Z</t>
        </is>
      </c>
      <c r="D39" s="24" t="inlineStr">
        <is>
          <t>77187</t>
        </is>
      </c>
      <c r="E39" s="24" t="inlineStr">
        <is>
          <t>NPB</t>
        </is>
      </c>
      <c r="F39" s="24" t="inlineStr">
        <is>
          <t>Hanshin Tigers</t>
        </is>
      </c>
      <c r="G39" s="24" t="inlineStr">
        <is>
          <t>Yomiuri Giants</t>
        </is>
      </c>
      <c r="H39" s="24" t="inlineStr">
        <is>
          <t>moneyline</t>
        </is>
      </c>
      <c r="I39" s="24" t="inlineStr">
        <is>
          <t>away</t>
        </is>
      </c>
      <c r="J39" s="38" t="n"/>
      <c r="K39" s="24" t="inlineStr">
        <is>
          <t>polymarket_us</t>
        </is>
      </c>
      <c r="L39" s="26" t="n">
        <v>-108</v>
      </c>
      <c r="M39" s="39" t="n">
        <v>1.925926</v>
      </c>
      <c r="N39" s="28" t="n">
        <v>0.519231</v>
      </c>
      <c r="O39" s="28" t="n">
        <v>0.50388</v>
      </c>
      <c r="P39" s="28" t="n"/>
      <c r="Q39" s="28" t="n">
        <v>-0.015351</v>
      </c>
      <c r="R39" s="26" t="n">
        <v>12</v>
      </c>
      <c r="S39" s="29" t="n">
        <v>1</v>
      </c>
      <c r="T39" s="24" t="inlineStr">
        <is>
          <t>npb-tie-aware-elo-v2</t>
        </is>
      </c>
      <c r="U39" s="24" t="inlineStr">
        <is>
          <t>open</t>
        </is>
      </c>
      <c r="V39" s="24" t="n"/>
      <c r="W39" s="26" t="n"/>
      <c r="X39" s="26" t="n"/>
      <c r="Y39" s="38" t="n"/>
      <c r="Z39" s="26" t="n"/>
      <c r="AA39" s="28" t="n"/>
      <c r="AB39" s="28" t="n"/>
      <c r="AC39" s="40" t="n"/>
      <c r="AD39" s="24" t="n"/>
      <c r="AE39" s="31" t="inlineStr">
        <is>
          <t>Tie-aware Elo baseline; executable ask 0.5200 (market_slug=aec-npb-ygo-hta-2026-08-13). Tie probability=0.0358.</t>
        </is>
      </c>
      <c r="AF39" s="31" t="inlineStr">
        <is>
          <t>Config-promoted international baseball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Hanshin Tigers</t>
        </is>
      </c>
      <c r="AQ39" s="24" t="inlineStr">
        <is>
          <t>Hanshin Tigers</t>
        </is>
      </c>
      <c r="AR39" s="24" t="inlineStr">
        <is>
          <t>Hanshin Tigers</t>
        </is>
      </c>
      <c r="AS39" s="24" t="inlineStr">
        <is>
          <t>Yomiuri Giants</t>
        </is>
      </c>
      <c r="AT39" s="24" t="inlineStr">
        <is>
          <t>Yomiuri Giants</t>
        </is>
      </c>
      <c r="AU39" s="24" t="inlineStr">
        <is>
          <t>Yomiuri Giants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73d0572d55d5e962df216a5bc7e253f751021ae8c682a42661cae540d10ca7e1</t>
        </is>
      </c>
      <c r="BB39" s="24" t="inlineStr">
        <is>
          <t>tie_aware_elo</t>
        </is>
      </c>
      <c r="BC39" s="24" t="inlineStr">
        <is>
          <t>npb-tie-aware-elo-v2</t>
        </is>
      </c>
      <c r="BD39" s="24" t="inlineStr">
        <is>
          <t>73d0572d55d5e962df216a5bc7e253f751021ae8c682a42661cae540d10ca7e1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npb-tie-aware-elo-v2</t>
        </is>
      </c>
      <c r="BH39" s="24" t="inlineStr">
        <is>
          <t>2026-08-13T07:32:34.900584Z</t>
        </is>
      </c>
      <c r="BI39" s="24" t="inlineStr">
        <is>
          <t>["same_event","same_team_same_day","same_league_same_day"]</t>
        </is>
      </c>
      <c r="BJ39" s="38" t="n"/>
      <c r="BK39" s="26" t="n">
        <v>-108</v>
      </c>
      <c r="BL39" s="39" t="n">
        <v>1.925926</v>
      </c>
      <c r="BM39" s="28" t="n">
        <v>0.519231</v>
      </c>
      <c r="BN39" s="28" t="n"/>
      <c r="BO39" s="28" t="n"/>
      <c r="BP39" s="38" t="n"/>
      <c r="BQ39" s="39" t="n"/>
      <c r="BR39" s="28" t="n"/>
      <c r="BS39" s="28" t="n"/>
      <c r="BT39" s="28" t="n"/>
      <c r="BU39" s="38" t="n"/>
      <c r="BV39" s="29" t="n"/>
      <c r="BW39" s="24" t="n"/>
      <c r="BX39" s="40" t="n"/>
      <c r="BY39" s="39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</row>
    <row r="40" ht="36" customHeight="1">
      <c r="A40" s="24" t="inlineStr">
        <is>
          <t>7118096a03f74add</t>
        </is>
      </c>
      <c r="B40" s="24" t="inlineStr">
        <is>
          <t>2026-08-13T07:32:37.449638Z</t>
        </is>
      </c>
      <c r="C40" s="24" t="inlineStr">
        <is>
          <t>2026-08-13T09:00:00Z</t>
        </is>
      </c>
      <c r="D40" s="24" t="inlineStr">
        <is>
          <t>77188</t>
        </is>
      </c>
      <c r="E40" s="24" t="inlineStr">
        <is>
          <t>NPB</t>
        </is>
      </c>
      <c r="F40" s="24" t="inlineStr">
        <is>
          <t>Hiroshima Carp</t>
        </is>
      </c>
      <c r="G40" s="24" t="inlineStr">
        <is>
          <t>Tokyo Yakult Swallows</t>
        </is>
      </c>
      <c r="H40" s="24" t="inlineStr">
        <is>
          <t>moneyline</t>
        </is>
      </c>
      <c r="I40" s="24" t="inlineStr">
        <is>
          <t>home</t>
        </is>
      </c>
      <c r="J40" s="38" t="n"/>
      <c r="K40" s="24" t="inlineStr">
        <is>
          <t>polymarket_us</t>
        </is>
      </c>
      <c r="L40" s="26" t="n">
        <v>-122</v>
      </c>
      <c r="M40" s="39" t="n">
        <v>1.819672</v>
      </c>
      <c r="N40" s="28" t="n">
        <v>0.54955</v>
      </c>
      <c r="O40" s="28" t="n">
        <v>0.50975</v>
      </c>
      <c r="P40" s="28" t="n"/>
      <c r="Q40" s="28" t="n">
        <v>-0.0398</v>
      </c>
      <c r="R40" s="26" t="n">
        <v>0</v>
      </c>
      <c r="S40" s="29" t="n">
        <v>1</v>
      </c>
      <c r="T40" s="24" t="inlineStr">
        <is>
          <t>npb-tie-aware-elo-v2</t>
        </is>
      </c>
      <c r="U40" s="24" t="inlineStr">
        <is>
          <t>open</t>
        </is>
      </c>
      <c r="V40" s="24" t="n"/>
      <c r="W40" s="26" t="n"/>
      <c r="X40" s="26" t="n"/>
      <c r="Y40" s="38" t="n"/>
      <c r="Z40" s="26" t="n"/>
      <c r="AA40" s="28" t="n"/>
      <c r="AB40" s="28" t="n"/>
      <c r="AC40" s="40" t="n"/>
      <c r="AD40" s="24" t="n"/>
      <c r="AE40" s="31" t="inlineStr">
        <is>
          <t>Tie-aware Elo baseline; executable ask 0.5500 (market_slug=aec-npb-tys-hci-2026-08-13). Tie probability=0.0353.</t>
        </is>
      </c>
      <c r="AF40" s="31" t="inlineStr">
        <is>
          <t>Config-promoted international baseball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Hiroshima Carp</t>
        </is>
      </c>
      <c r="AQ40" s="24" t="inlineStr">
        <is>
          <t>Hiroshima Carp</t>
        </is>
      </c>
      <c r="AR40" s="24" t="inlineStr">
        <is>
          <t>Hiroshima Carp</t>
        </is>
      </c>
      <c r="AS40" s="24" t="inlineStr">
        <is>
          <t>Tokyo Yakult Swallows</t>
        </is>
      </c>
      <c r="AT40" s="24" t="inlineStr">
        <is>
          <t>Tokyo Yakult Swallows</t>
        </is>
      </c>
      <c r="AU40" s="24" t="inlineStr">
        <is>
          <t>Tokyo Yakult Swallows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73d0572d55d5e962df216a5bc7e253f751021ae8c682a42661cae540d10ca7e1</t>
        </is>
      </c>
      <c r="BB40" s="24" t="inlineStr">
        <is>
          <t>tie_aware_elo</t>
        </is>
      </c>
      <c r="BC40" s="24" t="inlineStr">
        <is>
          <t>npb-tie-aware-elo-v2</t>
        </is>
      </c>
      <c r="BD40" s="24" t="inlineStr">
        <is>
          <t>73d0572d55d5e962df216a5bc7e253f751021ae8c682a42661cae540d10ca7e1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npb-tie-aware-elo-v2</t>
        </is>
      </c>
      <c r="BH40" s="24" t="inlineStr">
        <is>
          <t>2026-08-13T07:32:35.510747Z</t>
        </is>
      </c>
      <c r="BI40" s="24" t="inlineStr">
        <is>
          <t>["same_event","same_team_same_day","same_league_same_day"]</t>
        </is>
      </c>
      <c r="BJ40" s="38" t="n"/>
      <c r="BK40" s="26" t="n">
        <v>-122</v>
      </c>
      <c r="BL40" s="39" t="n">
        <v>1.819672</v>
      </c>
      <c r="BM40" s="28" t="n">
        <v>0.54955</v>
      </c>
      <c r="BN40" s="28" t="n"/>
      <c r="BO40" s="28" t="n"/>
      <c r="BP40" s="38" t="n"/>
      <c r="BQ40" s="39" t="n"/>
      <c r="BR40" s="28" t="n"/>
      <c r="BS40" s="28" t="n"/>
      <c r="BT40" s="28" t="n"/>
      <c r="BU40" s="38" t="n"/>
      <c r="BV40" s="29" t="n"/>
      <c r="BW40" s="24" t="n"/>
      <c r="BX40" s="40" t="n"/>
      <c r="BY40" s="39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</row>
    <row r="41" ht="36" customHeight="1">
      <c r="A41" s="24" t="inlineStr">
        <is>
          <t>83e37e49db7a449f</t>
        </is>
      </c>
      <c r="B41" s="24" t="inlineStr">
        <is>
          <t>2026-08-13T07:32:37.449638Z</t>
        </is>
      </c>
      <c r="C41" s="24" t="inlineStr">
        <is>
          <t>2026-08-13T09:00:00Z</t>
        </is>
      </c>
      <c r="D41" s="24" t="inlineStr">
        <is>
          <t>77189</t>
        </is>
      </c>
      <c r="E41" s="24" t="inlineStr">
        <is>
          <t>NPB</t>
        </is>
      </c>
      <c r="F41" s="24" t="inlineStr">
        <is>
          <t>Yokohama BayStars</t>
        </is>
      </c>
      <c r="G41" s="24" t="inlineStr">
        <is>
          <t>Chunichi Dragons</t>
        </is>
      </c>
      <c r="H41" s="24" t="inlineStr">
        <is>
          <t>moneyline</t>
        </is>
      </c>
      <c r="I41" s="24" t="inlineStr">
        <is>
          <t>home</t>
        </is>
      </c>
      <c r="J41" s="38" t="n"/>
      <c r="K41" s="24" t="inlineStr">
        <is>
          <t>polymarket_us</t>
        </is>
      </c>
      <c r="L41" s="26" t="n">
        <v>-108</v>
      </c>
      <c r="M41" s="39" t="n">
        <v>1.925926</v>
      </c>
      <c r="N41" s="28" t="n">
        <v>0.519231</v>
      </c>
      <c r="O41" s="28" t="n">
        <v>0.5144570000000001</v>
      </c>
      <c r="P41" s="28" t="n"/>
      <c r="Q41" s="28" t="n">
        <v>-0.004774</v>
      </c>
      <c r="R41" s="26" t="n">
        <v>18</v>
      </c>
      <c r="S41" s="29" t="n">
        <v>1</v>
      </c>
      <c r="T41" s="24" t="inlineStr">
        <is>
          <t>npb-tie-aware-elo-v2</t>
        </is>
      </c>
      <c r="U41" s="24" t="inlineStr">
        <is>
          <t>open</t>
        </is>
      </c>
      <c r="V41" s="24" t="n"/>
      <c r="W41" s="26" t="n"/>
      <c r="X41" s="26" t="n"/>
      <c r="Y41" s="38" t="n"/>
      <c r="Z41" s="26" t="n"/>
      <c r="AA41" s="28" t="n"/>
      <c r="AB41" s="28" t="n"/>
      <c r="AC41" s="40" t="n"/>
      <c r="AD41" s="24" t="n"/>
      <c r="AE41" s="31" t="inlineStr">
        <is>
          <t>Tie-aware Elo baseline; executable ask 0.5200 (market_slug=aec-npb-cdh-ybo-2026-08-13). Tie probability=0.0349.</t>
        </is>
      </c>
      <c r="AF41" s="31" t="inlineStr">
        <is>
          <t>Config-promoted international baseball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Yokohama BayStars</t>
        </is>
      </c>
      <c r="AQ41" s="24" t="inlineStr">
        <is>
          <t>Yokohama BayStars</t>
        </is>
      </c>
      <c r="AR41" s="24" t="inlineStr">
        <is>
          <t>Yokohama BayStars</t>
        </is>
      </c>
      <c r="AS41" s="24" t="inlineStr">
        <is>
          <t>Chunichi Dragons</t>
        </is>
      </c>
      <c r="AT41" s="24" t="inlineStr">
        <is>
          <t>Chunichi Dragons</t>
        </is>
      </c>
      <c r="AU41" s="24" t="inlineStr">
        <is>
          <t>Chunichi Dragons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73d0572d55d5e962df216a5bc7e253f751021ae8c682a42661cae540d10ca7e1</t>
        </is>
      </c>
      <c r="BB41" s="24" t="inlineStr">
        <is>
          <t>tie_aware_elo</t>
        </is>
      </c>
      <c r="BC41" s="24" t="inlineStr">
        <is>
          <t>npb-tie-aware-elo-v2</t>
        </is>
      </c>
      <c r="BD41" s="24" t="inlineStr">
        <is>
          <t>73d0572d55d5e962df216a5bc7e253f751021ae8c682a42661cae540d10ca7e1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npb-tie-aware-elo-v2</t>
        </is>
      </c>
      <c r="BH41" s="24" t="inlineStr">
        <is>
          <t>2026-08-13T07:32:36.017681Z</t>
        </is>
      </c>
      <c r="BI41" s="24" t="inlineStr">
        <is>
          <t>["same_event","same_team_same_day","same_league_same_day"]</t>
        </is>
      </c>
      <c r="BJ41" s="38" t="n"/>
      <c r="BK41" s="26" t="n">
        <v>-108</v>
      </c>
      <c r="BL41" s="39" t="n">
        <v>1.925926</v>
      </c>
      <c r="BM41" s="28" t="n">
        <v>0.519231</v>
      </c>
      <c r="BN41" s="28" t="n"/>
      <c r="BO41" s="28" t="n"/>
      <c r="BP41" s="38" t="n"/>
      <c r="BQ41" s="39" t="n"/>
      <c r="BR41" s="28" t="n"/>
      <c r="BS41" s="28" t="n"/>
      <c r="BT41" s="28" t="n"/>
      <c r="BU41" s="38" t="n"/>
      <c r="BV41" s="29" t="n"/>
      <c r="BW41" s="24" t="n"/>
      <c r="BX41" s="40" t="n"/>
      <c r="BY41" s="39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</row>
    <row r="42" ht="36" customHeight="1">
      <c r="A42" s="24" t="inlineStr">
        <is>
          <t>a91f4d493230419e</t>
        </is>
      </c>
      <c r="B42" s="24" t="inlineStr">
        <is>
          <t>2026-08-13T07:32:37.449638Z</t>
        </is>
      </c>
      <c r="C42" s="24" t="inlineStr">
        <is>
          <t>2026-08-13T09:00:00Z</t>
        </is>
      </c>
      <c r="D42" s="24" t="inlineStr">
        <is>
          <t>77190</t>
        </is>
      </c>
      <c r="E42" s="24" t="inlineStr">
        <is>
          <t>NPB</t>
        </is>
      </c>
      <c r="F42" s="24" t="inlineStr">
        <is>
          <t>Saitama Seibu Lions</t>
        </is>
      </c>
      <c r="G42" s="24" t="inlineStr">
        <is>
          <t>Nippon Ham Fighters</t>
        </is>
      </c>
      <c r="H42" s="24" t="inlineStr">
        <is>
          <t>moneyline</t>
        </is>
      </c>
      <c r="I42" s="24" t="inlineStr">
        <is>
          <t>home</t>
        </is>
      </c>
      <c r="J42" s="38" t="n"/>
      <c r="K42" s="24" t="inlineStr">
        <is>
          <t>polymarket_us</t>
        </is>
      </c>
      <c r="L42" s="26" t="n">
        <v>-156</v>
      </c>
      <c r="M42" s="39" t="n">
        <v>1.641026</v>
      </c>
      <c r="N42" s="28" t="n">
        <v>0.609375</v>
      </c>
      <c r="O42" s="28" t="n">
        <v>0.5480120000000001</v>
      </c>
      <c r="P42" s="28" t="n"/>
      <c r="Q42" s="28" t="n">
        <v>-0.061363</v>
      </c>
      <c r="R42" s="26" t="n">
        <v>0</v>
      </c>
      <c r="S42" s="29" t="n">
        <v>1</v>
      </c>
      <c r="T42" s="24" t="inlineStr">
        <is>
          <t>npb-tie-aware-elo-v2</t>
        </is>
      </c>
      <c r="U42" s="24" t="inlineStr">
        <is>
          <t>open</t>
        </is>
      </c>
      <c r="V42" s="24" t="n"/>
      <c r="W42" s="26" t="n"/>
      <c r="X42" s="26" t="n"/>
      <c r="Y42" s="38" t="n"/>
      <c r="Z42" s="26" t="n"/>
      <c r="AA42" s="28" t="n"/>
      <c r="AB42" s="28" t="n"/>
      <c r="AC42" s="40" t="n"/>
      <c r="AD42" s="24" t="n"/>
      <c r="AE42" s="31" t="inlineStr">
        <is>
          <t>Tie-aware Elo baseline; executable ask 0.6100 (market_slug=aec-npb-nhf-ssl-2026-08-13). Tie probability=0.0319.</t>
        </is>
      </c>
      <c r="AF42" s="31" t="inlineStr">
        <is>
          <t>Config-promoted international baseball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Saitama Seibu Lions</t>
        </is>
      </c>
      <c r="AQ42" s="24" t="inlineStr">
        <is>
          <t>Saitama Seibu Lions</t>
        </is>
      </c>
      <c r="AR42" s="24" t="inlineStr">
        <is>
          <t>Saitama Seibu Lions</t>
        </is>
      </c>
      <c r="AS42" s="24" t="inlineStr">
        <is>
          <t>Nippon Ham Fighters</t>
        </is>
      </c>
      <c r="AT42" s="24" t="inlineStr">
        <is>
          <t>Nippon Ham Fighters</t>
        </is>
      </c>
      <c r="AU42" s="24" t="inlineStr">
        <is>
          <t>Nippon Ham Fighters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73d0572d55d5e962df216a5bc7e253f751021ae8c682a42661cae540d10ca7e1</t>
        </is>
      </c>
      <c r="BB42" s="24" t="inlineStr">
        <is>
          <t>tie_aware_elo</t>
        </is>
      </c>
      <c r="BC42" s="24" t="inlineStr">
        <is>
          <t>npb-tie-aware-elo-v2</t>
        </is>
      </c>
      <c r="BD42" s="24" t="inlineStr">
        <is>
          <t>73d0572d55d5e962df216a5bc7e253f751021ae8c682a42661cae540d10ca7e1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npb-tie-aware-elo-v2</t>
        </is>
      </c>
      <c r="BH42" s="24" t="inlineStr">
        <is>
          <t>2026-08-13T07:32:36.479497Z</t>
        </is>
      </c>
      <c r="BI42" s="24" t="inlineStr">
        <is>
          <t>["same_event","same_team_same_day","same_league_same_day"]</t>
        </is>
      </c>
      <c r="BJ42" s="38" t="n"/>
      <c r="BK42" s="26" t="n">
        <v>-156</v>
      </c>
      <c r="BL42" s="39" t="n">
        <v>1.641026</v>
      </c>
      <c r="BM42" s="28" t="n">
        <v>0.609375</v>
      </c>
      <c r="BN42" s="28" t="n"/>
      <c r="BO42" s="28" t="n"/>
      <c r="BP42" s="38" t="n"/>
      <c r="BQ42" s="39" t="n"/>
      <c r="BR42" s="28" t="n"/>
      <c r="BS42" s="28" t="n"/>
      <c r="BT42" s="28" t="n"/>
      <c r="BU42" s="38" t="n"/>
      <c r="BV42" s="29" t="n"/>
      <c r="BW42" s="24" t="n"/>
      <c r="BX42" s="40" t="n"/>
      <c r="BY42" s="39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</row>
    <row r="43" ht="36" customHeight="1">
      <c r="A43" s="24" t="inlineStr">
        <is>
          <t>634f5e09a84d49d4</t>
        </is>
      </c>
      <c r="B43" s="24" t="inlineStr">
        <is>
          <t>2026-08-13T07:32:37.449638Z</t>
        </is>
      </c>
      <c r="C43" s="24" t="inlineStr">
        <is>
          <t>2026-08-13T09:00:00Z</t>
        </is>
      </c>
      <c r="D43" s="24" t="inlineStr">
        <is>
          <t>77186</t>
        </is>
      </c>
      <c r="E43" s="24" t="inlineStr">
        <is>
          <t>NPB</t>
        </is>
      </c>
      <c r="F43" s="24" t="inlineStr">
        <is>
          <t>Orix Buffaloes</t>
        </is>
      </c>
      <c r="G43" s="24" t="inlineStr">
        <is>
          <t>Tohoku Rakuten Golden Eagles</t>
        </is>
      </c>
      <c r="H43" s="24" t="inlineStr">
        <is>
          <t>moneyline</t>
        </is>
      </c>
      <c r="I43" s="24" t="inlineStr">
        <is>
          <t>home</t>
        </is>
      </c>
      <c r="J43" s="38" t="n"/>
      <c r="K43" s="24" t="inlineStr">
        <is>
          <t>polymarket_us</t>
        </is>
      </c>
      <c r="L43" s="26" t="n">
        <v>-122</v>
      </c>
      <c r="M43" s="39" t="n">
        <v>1.819672</v>
      </c>
      <c r="N43" s="28" t="n">
        <v>0.54955</v>
      </c>
      <c r="O43" s="28" t="n">
        <v>0.507038</v>
      </c>
      <c r="P43" s="28" t="n"/>
      <c r="Q43" s="28" t="n">
        <v>-0.042512</v>
      </c>
      <c r="R43" s="26" t="n">
        <v>0</v>
      </c>
      <c r="S43" s="29" t="n">
        <v>1</v>
      </c>
      <c r="T43" s="24" t="inlineStr">
        <is>
          <t>npb-tie-aware-elo-v2</t>
        </is>
      </c>
      <c r="U43" s="24" t="inlineStr">
        <is>
          <t>open</t>
        </is>
      </c>
      <c r="V43" s="24" t="n"/>
      <c r="W43" s="26" t="n"/>
      <c r="X43" s="26" t="n"/>
      <c r="Y43" s="38" t="n"/>
      <c r="Z43" s="26" t="n"/>
      <c r="AA43" s="28" t="n"/>
      <c r="AB43" s="28" t="n"/>
      <c r="AC43" s="40" t="n"/>
      <c r="AD43" s="24" t="n"/>
      <c r="AE43" s="31" t="inlineStr">
        <is>
          <t>Tie-aware Elo baseline; executable ask 0.5500 (market_slug=aec-npb-trge-obr-2026-08-13). Tie probability=0.0355.</t>
        </is>
      </c>
      <c r="AF43" s="31" t="inlineStr">
        <is>
          <t>Config-promoted international baseball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Orix Buffaloes</t>
        </is>
      </c>
      <c r="AQ43" s="24" t="inlineStr">
        <is>
          <t>Orix Buffaloes</t>
        </is>
      </c>
      <c r="AR43" s="24" t="inlineStr">
        <is>
          <t>Orix Buffaloes</t>
        </is>
      </c>
      <c r="AS43" s="24" t="inlineStr">
        <is>
          <t>Tohoku Rakuten Golden Eagles</t>
        </is>
      </c>
      <c r="AT43" s="24" t="inlineStr">
        <is>
          <t>Tohoku Rakuten Golden Eagles</t>
        </is>
      </c>
      <c r="AU43" s="24" t="inlineStr">
        <is>
          <t>Tohoku Rakuten Golden Eagles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73d0572d55d5e962df216a5bc7e253f751021ae8c682a42661cae540d10ca7e1</t>
        </is>
      </c>
      <c r="BB43" s="24" t="inlineStr">
        <is>
          <t>tie_aware_elo</t>
        </is>
      </c>
      <c r="BC43" s="24" t="inlineStr">
        <is>
          <t>npb-tie-aware-elo-v2</t>
        </is>
      </c>
      <c r="BD43" s="24" t="inlineStr">
        <is>
          <t>73d0572d55d5e962df216a5bc7e253f751021ae8c682a42661cae540d10ca7e1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npb-tie-aware-elo-v2</t>
        </is>
      </c>
      <c r="BH43" s="24" t="inlineStr">
        <is>
          <t>2026-08-13T07:32:36.966712Z</t>
        </is>
      </c>
      <c r="BI43" s="24" t="inlineStr">
        <is>
          <t>["same_event","same_team_same_day","same_league_same_day"]</t>
        </is>
      </c>
      <c r="BJ43" s="38" t="n"/>
      <c r="BK43" s="26" t="n">
        <v>-122</v>
      </c>
      <c r="BL43" s="39" t="n">
        <v>1.819672</v>
      </c>
      <c r="BM43" s="28" t="n">
        <v>0.54955</v>
      </c>
      <c r="BN43" s="28" t="n"/>
      <c r="BO43" s="28" t="n"/>
      <c r="BP43" s="38" t="n"/>
      <c r="BQ43" s="39" t="n"/>
      <c r="BR43" s="28" t="n"/>
      <c r="BS43" s="28" t="n"/>
      <c r="BT43" s="28" t="n"/>
      <c r="BU43" s="38" t="n"/>
      <c r="BV43" s="29" t="n"/>
      <c r="BW43" s="24" t="n"/>
      <c r="BX43" s="40" t="n"/>
      <c r="BY43" s="39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</row>
    <row r="44" ht="36" customHeight="1">
      <c r="A44" s="24" t="inlineStr">
        <is>
          <t>24acc1da6c4a4dae</t>
        </is>
      </c>
      <c r="B44" s="24" t="inlineStr">
        <is>
          <t>2026-08-13T07:32:37.449638Z</t>
        </is>
      </c>
      <c r="C44" s="24" t="inlineStr">
        <is>
          <t>2026-08-13T09:00:00Z</t>
        </is>
      </c>
      <c r="D44" s="24" t="inlineStr">
        <is>
          <t>77191</t>
        </is>
      </c>
      <c r="E44" s="24" t="inlineStr">
        <is>
          <t>NPB</t>
        </is>
      </c>
      <c r="F44" s="24" t="inlineStr">
        <is>
          <t>Chiba Lotte Marines</t>
        </is>
      </c>
      <c r="G44" s="24" t="inlineStr">
        <is>
          <t>Fukuoka SoftBank Hawks</t>
        </is>
      </c>
      <c r="H44" s="24" t="inlineStr">
        <is>
          <t>moneyline</t>
        </is>
      </c>
      <c r="I44" s="24" t="inlineStr">
        <is>
          <t>home</t>
        </is>
      </c>
      <c r="J44" s="38" t="n"/>
      <c r="K44" s="24" t="inlineStr">
        <is>
          <t>polymarket_us</t>
        </is>
      </c>
      <c r="L44" s="26" t="n">
        <v>-203</v>
      </c>
      <c r="M44" s="39" t="n">
        <v>1.492611</v>
      </c>
      <c r="N44" s="28" t="n">
        <v>0.669967</v>
      </c>
      <c r="O44" s="28" t="n">
        <v>0.666743</v>
      </c>
      <c r="P44" s="28" t="n"/>
      <c r="Q44" s="28" t="n">
        <v>-0.003224</v>
      </c>
      <c r="R44" s="26" t="n">
        <v>18</v>
      </c>
      <c r="S44" s="29" t="n">
        <v>1.75</v>
      </c>
      <c r="T44" s="24" t="inlineStr">
        <is>
          <t>npb-tie-aware-elo-v2</t>
        </is>
      </c>
      <c r="U44" s="24" t="inlineStr">
        <is>
          <t>open</t>
        </is>
      </c>
      <c r="V44" s="24" t="n"/>
      <c r="W44" s="26" t="n"/>
      <c r="X44" s="26" t="n"/>
      <c r="Y44" s="38" t="n"/>
      <c r="Z44" s="26" t="n"/>
      <c r="AA44" s="28" t="n"/>
      <c r="AB44" s="28" t="n"/>
      <c r="AC44" s="40" t="n"/>
      <c r="AD44" s="24" t="n"/>
      <c r="AE44" s="31" t="inlineStr">
        <is>
          <t>Tie-aware Elo baseline; executable ask 0.6700 (market_slug=aec-npb-fsh-clm-2026-08-13). Tie probability=0.0213.</t>
        </is>
      </c>
      <c r="AF44" s="31" t="inlineStr">
        <is>
          <t>Config-promoted international baseball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Chiba Lotte Marines</t>
        </is>
      </c>
      <c r="AQ44" s="24" t="inlineStr">
        <is>
          <t>Chiba Lotte Marines</t>
        </is>
      </c>
      <c r="AR44" s="24" t="inlineStr">
        <is>
          <t>Chiba Lotte Marines</t>
        </is>
      </c>
      <c r="AS44" s="24" t="inlineStr">
        <is>
          <t>Fukuoka SoftBank Hawks</t>
        </is>
      </c>
      <c r="AT44" s="24" t="inlineStr">
        <is>
          <t>Fukuoka SoftBank Hawks</t>
        </is>
      </c>
      <c r="AU44" s="24" t="inlineStr">
        <is>
          <t>Fukuoka SoftBank Hawks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73d0572d55d5e962df216a5bc7e253f751021ae8c682a42661cae540d10ca7e1</t>
        </is>
      </c>
      <c r="BB44" s="24" t="inlineStr">
        <is>
          <t>tie_aware_elo</t>
        </is>
      </c>
      <c r="BC44" s="24" t="inlineStr">
        <is>
          <t>npb-tie-aware-elo-v2</t>
        </is>
      </c>
      <c r="BD44" s="24" t="inlineStr">
        <is>
          <t>73d0572d55d5e962df216a5bc7e253f751021ae8c682a42661cae540d10ca7e1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npb-tie-aware-elo-v2</t>
        </is>
      </c>
      <c r="BH44" s="24" t="inlineStr">
        <is>
          <t>2026-08-13T07:32:37.449581Z</t>
        </is>
      </c>
      <c r="BI44" s="24" t="inlineStr">
        <is>
          <t>["same_event","same_team_same_day","same_league_same_day"]</t>
        </is>
      </c>
      <c r="BJ44" s="38" t="n"/>
      <c r="BK44" s="26" t="n">
        <v>-203</v>
      </c>
      <c r="BL44" s="39" t="n">
        <v>1.492611</v>
      </c>
      <c r="BM44" s="28" t="n">
        <v>0.669967</v>
      </c>
      <c r="BN44" s="28" t="n"/>
      <c r="BO44" s="28" t="n"/>
      <c r="BP44" s="38" t="n"/>
      <c r="BQ44" s="39" t="n"/>
      <c r="BR44" s="28" t="n"/>
      <c r="BS44" s="28" t="n"/>
      <c r="BT44" s="28" t="n"/>
      <c r="BU44" s="38" t="n"/>
      <c r="BV44" s="29" t="n"/>
      <c r="BW44" s="24" t="n"/>
      <c r="BX44" s="40" t="n"/>
      <c r="BY44" s="39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2026-08-13T07:32:38Z</dcterms:created>
  <dcterms:modified xmlns:dcterms="http://purl.org/dc/terms/" xmlns:xsi="http://www.w3.org/2001/XMLSchema-instance" xsi:type="dcterms:W3CDTF">2026-08-13T10:15:43Z</dcterms:modified>
</cp:coreProperties>
</file>