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82" headerRowCount="1">
  <autoFilter ref="A1:CQ82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COUNTA('Picks'!$A$2:$A$82)</f>
        <v/>
      </c>
      <c r="C4" s="6">
        <f>COUNTIF('Picks'!$U$2:$U$82,"open")</f>
        <v/>
      </c>
      <c r="E4" s="6">
        <f>COUNTIF('Picks'!$U$2:$U$82,"settled")</f>
        <v/>
      </c>
      <c r="G4" s="6">
        <f>IF(COUNTIFS('Picks'!$U$2:$U$82,"settled",'Picks'!$V$2:$V$82,"win")+COUNTIFS('Picks'!$U$2:$U$82,"settled",'Picks'!$V$2:$V$82,"loss")&gt;=$L$2,"Ready","Insufficient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COUNTIF('Picks'!$BX$2:$BX$82,"&gt;0")</f>
        <v/>
      </c>
      <c r="C7" s="6">
        <f>COUNTIFS('Picks'!$BX$2:$BX$82,"&gt;0",'Picks'!$V$2:$V$82,"win")&amp;"-"&amp;COUNTIFS('Picks'!$BX$2:$BX$82,"&gt;0",'Picks'!$V$2:$V$82,"loss")</f>
        <v/>
      </c>
      <c r="E7" s="7">
        <f>IFERROR(COUNTIFS('Picks'!$BX$2:$BX$82,"&gt;0",'Picks'!$V$2:$V$82,"win")/(COUNTIFS('Picks'!$BX$2:$BX$82,"&gt;0",'Picks'!$V$2:$V$82,"win")+COUNTIFS('Picks'!$BX$2:$BX$82,"&gt;0",'Picks'!$V$2:$V$82,"loss")),0)</f>
        <v/>
      </c>
      <c r="G7" s="7">
        <f>IFERROR(SUM('Picks'!$BY$2:$BY$82)/SUM('Picks'!$BX$2:$BX$82),0)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SUM('Picks'!$BY$2:$BY$82)</f>
        <v/>
      </c>
      <c r="C10" s="9">
        <f>IFERROR(AVERAGEIF('Picks'!$AB$2:$AB$82,"&lt;&gt;",'Picks'!$AB$2:$AB$82),0)</f>
        <v/>
      </c>
      <c r="E10" s="6">
        <f>COUNTIFS('Picks'!$AM$2:$AM$82,"QUALIFIED_SHADOW_CALL",'Picks'!$U$2:$U$82,"settled")</f>
        <v/>
      </c>
      <c r="G10" s="8">
        <f>SUMIFS('Picks'!$AC$2:$AC$82,'Picks'!$AM$2:$AM$82,"QUALIFIED_SHADOW_CALL")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COUNTIFS('Picks'!$H$2:$H$82,$A14,'Picks'!$U$2:$U$82,"settled")</f>
        <v/>
      </c>
      <c r="C14" s="13">
        <f>COUNTIFS('Picks'!$H$2:$H$82,$A14,'Picks'!$U$2:$U$82,"settled",'Picks'!$V$2:$V$82,"win")</f>
        <v/>
      </c>
      <c r="D14" s="13">
        <f>COUNTIFS('Picks'!$H$2:$H$82,$A14,'Picks'!$U$2:$U$82,"settled",'Picks'!$V$2:$V$82,"loss")</f>
        <v/>
      </c>
      <c r="E14" s="14">
        <f>IFERROR(C14/(C14+D14),0)</f>
        <v/>
      </c>
      <c r="F14" s="15">
        <f>SUMIFS('Picks'!$BY$2:$BY$82,'Picks'!$H$2:$H$82,$A14)</f>
        <v/>
      </c>
      <c r="G14" s="16">
        <f>IFERROR(AVERAGEIFS('Picks'!$AB$2:$AB$82,'Picks'!$H$2:$H$82,$A14,'Picks'!$U$2:$U$82,"settled"),0)</f>
        <v/>
      </c>
    </row>
    <row r="15">
      <c r="A15" s="17" t="inlineStr">
        <is>
          <t>spread</t>
        </is>
      </c>
      <c r="B15" s="18">
        <f>COUNTIFS('Picks'!$H$2:$H$82,$A15,'Picks'!$U$2:$U$82,"settled")</f>
        <v/>
      </c>
      <c r="C15" s="18">
        <f>COUNTIFS('Picks'!$H$2:$H$82,$A15,'Picks'!$U$2:$U$82,"settled",'Picks'!$V$2:$V$82,"win")</f>
        <v/>
      </c>
      <c r="D15" s="18">
        <f>COUNTIFS('Picks'!$H$2:$H$82,$A15,'Picks'!$U$2:$U$82,"settled",'Picks'!$V$2:$V$82,"loss")</f>
        <v/>
      </c>
      <c r="E15" s="19">
        <f>IFERROR(C15/(C15+D15),0)</f>
        <v/>
      </c>
      <c r="F15" s="20">
        <f>SUMIFS('Picks'!$BY$2:$BY$82,'Picks'!$H$2:$H$82,$A15)</f>
        <v/>
      </c>
      <c r="G15" s="21">
        <f>IFERROR(AVERAGEIFS('Picks'!$AB$2:$AB$82,'Picks'!$H$2:$H$82,$A15,'Picks'!$U$2:$U$82,"settled"),0)</f>
        <v/>
      </c>
    </row>
    <row r="16">
      <c r="A16" s="12" t="inlineStr">
        <is>
          <t>total</t>
        </is>
      </c>
      <c r="B16" s="13">
        <f>COUNTIFS('Picks'!$H$2:$H$82,$A16,'Picks'!$U$2:$U$82,"settled")</f>
        <v/>
      </c>
      <c r="C16" s="13">
        <f>COUNTIFS('Picks'!$H$2:$H$82,$A16,'Picks'!$U$2:$U$82,"settled",'Picks'!$V$2:$V$82,"win")</f>
        <v/>
      </c>
      <c r="D16" s="13">
        <f>COUNTIFS('Picks'!$H$2:$H$82,$A16,'Picks'!$U$2:$U$82,"settled",'Picks'!$V$2:$V$82,"loss")</f>
        <v/>
      </c>
      <c r="E16" s="14">
        <f>IFERROR(C16/(C16+D16),0)</f>
        <v/>
      </c>
      <c r="F16" s="15">
        <f>SUMIFS('Picks'!$BY$2:$BY$82,'Picks'!$H$2:$H$82,$A16)</f>
        <v/>
      </c>
      <c r="G16" s="16">
        <f>IFERROR(AVERAGEIFS('Picks'!$AB$2:$AB$82,'Picks'!$H$2:$H$82,$A16,'Picks'!$U$2:$U$82,"settled"),0)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71dc8bd5d8eb498a</t>
        </is>
      </c>
      <c r="B7" s="24" t="inlineStr">
        <is>
          <t>2026-07-28T20:34:14.874473Z</t>
        </is>
      </c>
      <c r="C7" s="24" t="inlineStr">
        <is>
          <t>2026-07-28T22:00Z</t>
        </is>
      </c>
      <c r="D7" s="24" t="inlineStr">
        <is>
          <t>401841452</t>
        </is>
      </c>
      <c r="E7" s="24" t="inlineStr">
        <is>
          <t>SOCCER</t>
        </is>
      </c>
      <c r="F7" s="24" t="inlineStr">
        <is>
          <t>Gimnasia (Mendoza)</t>
        </is>
      </c>
      <c r="G7" s="24" t="inlineStr">
        <is>
          <t>San Lorenzo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0.456199</v>
      </c>
      <c r="P7" s="28" t="n">
        <v>0.2</v>
      </c>
      <c r="Q7" s="28" t="n">
        <v>-0.043801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</v>
      </c>
      <c r="AD7" s="24" t="inlineStr">
        <is>
          <t>2026-07-29T02:41:47.313571Z</t>
        </is>
      </c>
      <c r="AE7" s="31" t="inlineStr">
        <is>
          <t>Poisson-DC rates 1.64 (home) / 1.24 (away) from EWMA attack/defense strengths. Executable ask 0.5000 (atc-lpa-slo-gye-2026-07-28-slo).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Gimnasia (Mendoza)</t>
        </is>
      </c>
      <c r="AQ7" s="24" t="inlineStr">
        <is>
          <t>Gimnasia (Mendoza)</t>
        </is>
      </c>
      <c r="AR7" s="24" t="inlineStr">
        <is>
          <t>Gimnasia (Mendoza)</t>
        </is>
      </c>
      <c r="AS7" s="24" t="inlineStr">
        <is>
          <t>San Lorenzo</t>
        </is>
      </c>
      <c r="AT7" s="24" t="inlineStr">
        <is>
          <t>San Lorenzo</t>
        </is>
      </c>
      <c r="AU7" s="24" t="inlineStr">
        <is>
          <t>San Lorenzo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2026-07-28T20:32:27.095637Z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538e4eae98a44836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401874071</t>
        </is>
      </c>
      <c r="E8" s="24" t="inlineStr">
        <is>
          <t>SOCCER</t>
        </is>
      </c>
      <c r="F8" s="24" t="inlineStr">
        <is>
          <t>Nacional</t>
        </is>
      </c>
      <c r="G8" s="24" t="inlineStr">
        <is>
          <t>Tigre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0.456199</v>
      </c>
      <c r="P8" s="28" t="n">
        <v>0.2</v>
      </c>
      <c r="Q8" s="28" t="n">
        <v>0.005749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loss</t>
        </is>
      </c>
      <c r="W8" s="26" t="n">
        <v>2</v>
      </c>
      <c r="X8" s="26" t="n">
        <v>1</v>
      </c>
      <c r="Y8" s="25" t="n"/>
      <c r="Z8" s="26" t="n"/>
      <c r="AA8" s="28" t="n"/>
      <c r="AB8" s="28" t="n"/>
      <c r="AC8" s="30" t="n">
        <v>-1</v>
      </c>
      <c r="AD8" s="24" t="inlineStr">
        <is>
          <t>2026-07-29T02:41:49.355103Z</t>
        </is>
      </c>
      <c r="AE8" s="31" t="inlineStr">
        <is>
          <t>Poisson-DC rates 1.64 (home) / 1.24 (away) from EWMA attack/defense strengths. Executable ask 0.4500 (atc-sud-tig-nac-2026-07-28-tig).</t>
        </is>
      </c>
      <c r="AF8" s="31" t="inlineStr">
        <is>
          <t>Research-only soccer score model; draw-aware, but not yet locked-holdout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Nacional</t>
        </is>
      </c>
      <c r="AQ8" s="24" t="inlineStr">
        <is>
          <t>Nacional</t>
        </is>
      </c>
      <c r="AR8" s="24" t="inlineStr">
        <is>
          <t>Nacional</t>
        </is>
      </c>
      <c r="AS8" s="24" t="inlineStr">
        <is>
          <t>Tigre</t>
        </is>
      </c>
      <c r="AT8" s="24" t="inlineStr">
        <is>
          <t>Tigre</t>
        </is>
      </c>
      <c r="AU8" s="24" t="inlineStr">
        <is>
          <t>Tigre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2026-07-28T20:32:28.187625Z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9d29b7c025c54f14</t>
        </is>
      </c>
      <c r="B9" s="24" t="inlineStr">
        <is>
          <t>2026-07-28T23:39:16.759753Z</t>
        </is>
      </c>
      <c r="C9" s="24" t="inlineStr">
        <is>
          <t>2026-07-29T00:35Z</t>
        </is>
      </c>
      <c r="D9" s="24" t="inlineStr">
        <is>
          <t>401860253</t>
        </is>
      </c>
      <c r="E9" s="24" t="inlineStr">
        <is>
          <t>SOCCER</t>
        </is>
      </c>
      <c r="F9" s="24" t="inlineStr">
        <is>
          <t>Botafogo-SP</t>
        </is>
      </c>
      <c r="G9" s="24" t="inlineStr">
        <is>
          <t>Fortaleza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-104</v>
      </c>
      <c r="M9" s="27" t="n">
        <v>1.961538</v>
      </c>
      <c r="N9" s="28" t="n">
        <v>0.509804</v>
      </c>
      <c r="O9" s="28" t="n">
        <v>0.456199</v>
      </c>
      <c r="P9" s="28" t="n">
        <v>0.2</v>
      </c>
      <c r="Q9" s="28" t="n">
        <v>-0.053605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0.9615</v>
      </c>
      <c r="AD9" s="24" t="inlineStr">
        <is>
          <t>2026-07-29T02:41:49.433624Z</t>
        </is>
      </c>
      <c r="AE9" s="31" t="inlineStr">
        <is>
          <t>Poisson-DC rates 1.64 (home) / 1.24 (away) from EWMA attack/defense strengths. Executable ask 0.5100 (atc-brb-fec-bot-2026-07-28-fec).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Botafogo-SP</t>
        </is>
      </c>
      <c r="AQ9" s="24" t="inlineStr">
        <is>
          <t>Botafogo-SP</t>
        </is>
      </c>
      <c r="AR9" s="24" t="inlineStr">
        <is>
          <t>Botafogo-SP</t>
        </is>
      </c>
      <c r="AS9" s="24" t="inlineStr">
        <is>
          <t>Fortaleza</t>
        </is>
      </c>
      <c r="AT9" s="24" t="inlineStr">
        <is>
          <t>Fortaleza</t>
        </is>
      </c>
      <c r="AU9" s="24" t="inlineStr">
        <is>
          <t>Fortaleza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2026-07-28T23:37:59.431647Z</t>
        </is>
      </c>
      <c r="BI9" s="24" t="inlineStr">
        <is>
          <t>["same_event","same_team_same_day","same_league_same_day"]</t>
        </is>
      </c>
      <c r="BJ9" s="25" t="n"/>
      <c r="BK9" s="26" t="n">
        <v>-104</v>
      </c>
      <c r="BL9" s="27" t="n">
        <v>1.961538</v>
      </c>
      <c r="BM9" s="28" t="n">
        <v>0.509804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5d005d5149204d49</t>
        </is>
      </c>
      <c r="B10" s="24" t="inlineStr">
        <is>
          <t>2026-07-29T08:55:19.773254Z</t>
        </is>
      </c>
      <c r="C10" s="24" t="inlineStr">
        <is>
          <t>2026-07-29T10:00Z</t>
        </is>
      </c>
      <c r="D10" s="24" t="inlineStr">
        <is>
          <t>401872736</t>
        </is>
      </c>
      <c r="E10" s="24" t="inlineStr">
        <is>
          <t>SOCCER</t>
        </is>
      </c>
      <c r="F10" s="24" t="inlineStr">
        <is>
          <t>Borussia Dortmund</t>
        </is>
      </c>
      <c r="G10" s="24" t="inlineStr">
        <is>
          <t>Cerezo Osaka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-178</v>
      </c>
      <c r="M10" s="27" t="n">
        <v>1.561798</v>
      </c>
      <c r="N10" s="28" t="n">
        <v>0.640288</v>
      </c>
      <c r="O10" s="28" t="n">
        <v>0.440542</v>
      </c>
      <c r="P10" s="28" t="n">
        <v>0.2</v>
      </c>
      <c r="Q10" s="28" t="n">
        <v>-0.199746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-1</v>
      </c>
      <c r="AD10" s="24" t="inlineStr">
        <is>
          <t>2026-07-29T15:04:55.440111Z</t>
        </is>
      </c>
      <c r="AE10" s="31" t="inlineStr">
        <is>
          <t>Poisson-DC rates 1.39 (home) / 1.71 (away) from EWMA attack/defense strengths. Executable ask 0.6400 (atc-clbf-cer-bvb-2026-07-29-bvb).</t>
        </is>
      </c>
      <c r="AF10" s="31" t="inlineStr">
        <is>
          <t>Research-only soccer score model; draw-aware, but not yet locked-holdout qualified.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Borussia Dortmund</t>
        </is>
      </c>
      <c r="AQ10" s="24" t="inlineStr">
        <is>
          <t>Borussia Dortmund</t>
        </is>
      </c>
      <c r="AR10" s="24" t="inlineStr">
        <is>
          <t>Borussia Dortmund</t>
        </is>
      </c>
      <c r="AS10" s="24" t="inlineStr">
        <is>
          <t>Cerezo Osaka</t>
        </is>
      </c>
      <c r="AT10" s="24" t="inlineStr">
        <is>
          <t>Cerezo Osaka</t>
        </is>
      </c>
      <c r="AU10" s="24" t="inlineStr">
        <is>
          <t>Cerezo Osaka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2026-07-29T08:52:45.504203Z</t>
        </is>
      </c>
      <c r="BI10" s="24" t="inlineStr">
        <is>
          <t>["same_event","same_team_same_day","same_league_same_day"]</t>
        </is>
      </c>
      <c r="BJ10" s="25" t="n"/>
      <c r="BK10" s="26" t="n">
        <v>-178</v>
      </c>
      <c r="BL10" s="27" t="n">
        <v>1.561798</v>
      </c>
      <c r="BM10" s="28" t="n">
        <v>0.640288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f8c013a541034830</t>
        </is>
      </c>
      <c r="B11" s="24" t="inlineStr">
        <is>
          <t>2026-07-29T15:07:40.379188Z</t>
        </is>
      </c>
      <c r="C11" s="24" t="inlineStr">
        <is>
          <t>2026-07-29T17:30Z</t>
        </is>
      </c>
      <c r="D11" s="24" t="inlineStr">
        <is>
          <t>401841461</t>
        </is>
      </c>
      <c r="E11" s="24" t="inlineStr">
        <is>
          <t>SOCCER</t>
        </is>
      </c>
      <c r="F11" s="24" t="inlineStr">
        <is>
          <t>Aldosivi</t>
        </is>
      </c>
      <c r="G11" s="24" t="inlineStr">
        <is>
          <t>Barracas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0.456199</v>
      </c>
      <c r="P11" s="28" t="n">
        <v>0.2</v>
      </c>
      <c r="Q11" s="28" t="n">
        <v>0.046363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1.44</v>
      </c>
      <c r="AD11" s="24" t="inlineStr">
        <is>
          <t>2026-07-30T04:12:52.147509Z</t>
        </is>
      </c>
      <c r="AE11" s="31" t="inlineStr">
        <is>
          <t>Poisson-DC rates 1.64 (home) / 1.24 (away) from EWMA attack/defense strengths. Executable ask 0.4100 (atc-lpa-bar-ald-2026-07-29-bar).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Aldosivi</t>
        </is>
      </c>
      <c r="AQ11" s="24" t="inlineStr">
        <is>
          <t>Aldosivi</t>
        </is>
      </c>
      <c r="AR11" s="24" t="inlineStr">
        <is>
          <t>Aldosivi</t>
        </is>
      </c>
      <c r="AS11" s="24" t="inlineStr">
        <is>
          <t>Barracas Central</t>
        </is>
      </c>
      <c r="AT11" s="24" t="inlineStr">
        <is>
          <t>Barracas Central</t>
        </is>
      </c>
      <c r="AU11" s="24" t="inlineStr">
        <is>
          <t>Barracas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2026-07-29T15:06:01.050931Z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9eab45bc1b49434a</t>
        </is>
      </c>
      <c r="B12" s="24" t="inlineStr">
        <is>
          <t>2026-07-29T17:45:15.881226Z</t>
        </is>
      </c>
      <c r="C12" s="24" t="inlineStr">
        <is>
          <t>2026-07-29T22:30Z</t>
        </is>
      </c>
      <c r="D12" s="24" t="inlineStr">
        <is>
          <t>401841170</t>
        </is>
      </c>
      <c r="E12" s="24" t="inlineStr">
        <is>
          <t>SOCCER</t>
        </is>
      </c>
      <c r="F12" s="24" t="inlineStr">
        <is>
          <t>Remo</t>
        </is>
      </c>
      <c r="G12" s="24" t="inlineStr">
        <is>
          <t>Mirassol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0.456199</v>
      </c>
      <c r="P12" s="28" t="n">
        <v>0.2</v>
      </c>
      <c r="Q12" s="28" t="n">
        <v>-0.123633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2</v>
      </c>
      <c r="Y12" s="25" t="n"/>
      <c r="Z12" s="26" t="n"/>
      <c r="AA12" s="28" t="n"/>
      <c r="AB12" s="28" t="n"/>
      <c r="AC12" s="30" t="n">
        <v>0.7246</v>
      </c>
      <c r="AD12" s="24" t="inlineStr">
        <is>
          <t>2026-07-30T04:12:52.337713Z</t>
        </is>
      </c>
      <c r="AE12" s="31" t="inlineStr">
        <is>
          <t>Poisson-DC rates 1.64 (home) / 1.24 (away) from EWMA attack/defense strengths. Executable ask 0.5800 (atc-bra-mir-cre-2026-07-29-mir).</t>
        </is>
      </c>
      <c r="AF12" s="31" t="inlineStr">
        <is>
          <t>Research-only soccer score model; draw-aware, but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Remo</t>
        </is>
      </c>
      <c r="AQ12" s="24" t="inlineStr">
        <is>
          <t>Remo</t>
        </is>
      </c>
      <c r="AR12" s="24" t="inlineStr">
        <is>
          <t>Remo</t>
        </is>
      </c>
      <c r="AS12" s="24" t="inlineStr">
        <is>
          <t>Mirassol</t>
        </is>
      </c>
      <c r="AT12" s="24" t="inlineStr">
        <is>
          <t>Mirassol</t>
        </is>
      </c>
      <c r="AU12" s="24" t="inlineStr">
        <is>
          <t>Mirassol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2026-07-29T17:43:19.742689Z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e4ff84b7e06b4da7</t>
        </is>
      </c>
      <c r="B13" s="24" t="inlineStr">
        <is>
          <t>2026-07-29T17:45:15.881226Z</t>
        </is>
      </c>
      <c r="C13" s="24" t="inlineStr">
        <is>
          <t>2026-07-29T22:15Z</t>
        </is>
      </c>
      <c r="D13" s="24" t="inlineStr">
        <is>
          <t>401841457</t>
        </is>
      </c>
      <c r="E13" s="24" t="inlineStr">
        <is>
          <t>SOCCER</t>
        </is>
      </c>
      <c r="F13" s="24" t="inlineStr">
        <is>
          <t>River Plate</t>
        </is>
      </c>
      <c r="G13" s="24" t="inlineStr">
        <is>
          <t>Gimnasia La Plata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355</v>
      </c>
      <c r="M13" s="27" t="n">
        <v>4.55</v>
      </c>
      <c r="N13" s="28" t="n">
        <v>0.21978</v>
      </c>
      <c r="O13" s="28" t="n">
        <v>0.456199</v>
      </c>
      <c r="P13" s="28" t="n">
        <v>0.2</v>
      </c>
      <c r="Q13" s="28" t="n">
        <v>0.236419</v>
      </c>
      <c r="R13" s="26" t="n">
        <v>48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3.55</v>
      </c>
      <c r="AD13" s="24" t="inlineStr">
        <is>
          <t>2026-07-30T04:12:52.533511Z</t>
        </is>
      </c>
      <c r="AE13" s="31" t="inlineStr">
        <is>
          <t>Poisson-DC rates 1.64 (home) / 1.24 (away) from EWMA attack/defense strengths. Executable ask 0.2200 (atc-lpa-gim-riv-2026-07-29-gim).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River Plate</t>
        </is>
      </c>
      <c r="AQ13" s="24" t="inlineStr">
        <is>
          <t>River Plate</t>
        </is>
      </c>
      <c r="AR13" s="24" t="inlineStr">
        <is>
          <t>River Plate</t>
        </is>
      </c>
      <c r="AS13" s="24" t="inlineStr">
        <is>
          <t>Gimnasia La Plata</t>
        </is>
      </c>
      <c r="AT13" s="24" t="inlineStr">
        <is>
          <t>Gimnasia La Plata</t>
        </is>
      </c>
      <c r="AU13" s="24" t="inlineStr">
        <is>
          <t>Gimnasia La Plata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2026-07-29T17:43:20.814669Z</t>
        </is>
      </c>
      <c r="BI13" s="24" t="inlineStr">
        <is>
          <t>["same_event","same_team_same_day","same_league_same_day"]</t>
        </is>
      </c>
      <c r="BJ13" s="25" t="n"/>
      <c r="BK13" s="26" t="n">
        <v>355</v>
      </c>
      <c r="BL13" s="27" t="n">
        <v>4.55</v>
      </c>
      <c r="BM13" s="28" t="n">
        <v>0.21978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6fe762116e044f29</t>
        </is>
      </c>
      <c r="B14" s="24" t="inlineStr">
        <is>
          <t>2026-07-29T17:45:15.881226Z</t>
        </is>
      </c>
      <c r="C14" s="24" t="inlineStr">
        <is>
          <t>2026-07-29T23:30Z</t>
        </is>
      </c>
      <c r="D14" s="24" t="inlineStr">
        <is>
          <t>401863532</t>
        </is>
      </c>
      <c r="E14" s="24" t="inlineStr">
        <is>
          <t>SOCCER</t>
        </is>
      </c>
      <c r="F14" s="24" t="inlineStr">
        <is>
          <t>Wrexham</t>
        </is>
      </c>
      <c r="G14" s="24" t="inlineStr">
        <is>
          <t>Liverpool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0.5541700000000001</v>
      </c>
      <c r="P14" s="28" t="n">
        <v>0.04</v>
      </c>
      <c r="Q14" s="28" t="n">
        <v>-0.14553</v>
      </c>
      <c r="R14" s="26" t="n">
        <v>0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0.4292</v>
      </c>
      <c r="AD14" s="24" t="inlineStr">
        <is>
          <t>2026-07-30T04:12:55.723807Z</t>
        </is>
      </c>
      <c r="AE14" s="31" t="inlineStr">
        <is>
          <t>Poisson-DC rates 2.12 (home) / 1.29 (away) from EWMA attack/defense strengths. Executable ask 0.7000 (atc-clbf-lfc-wre-2026-07-29-lfc).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Wrexham</t>
        </is>
      </c>
      <c r="AQ14" s="24" t="inlineStr">
        <is>
          <t>Wrexham</t>
        </is>
      </c>
      <c r="AR14" s="24" t="inlineStr">
        <is>
          <t>Wrexham</t>
        </is>
      </c>
      <c r="AS14" s="24" t="inlineStr">
        <is>
          <t>Liverpool</t>
        </is>
      </c>
      <c r="AT14" s="24" t="inlineStr">
        <is>
          <t>Liverpool</t>
        </is>
      </c>
      <c r="AU14" s="24" t="inlineStr">
        <is>
          <t>Liverpool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2026-07-29T17:43:24.705734Z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5f5afef2c6ff418f</t>
        </is>
      </c>
      <c r="B15" s="24" t="inlineStr">
        <is>
          <t>2026-07-30T21:08:36.264404Z</t>
        </is>
      </c>
      <c r="C15" s="24" t="inlineStr">
        <is>
          <t>2026-07-31T00:30Z</t>
        </is>
      </c>
      <c r="D15" s="24" t="inlineStr">
        <is>
          <t>401841173</t>
        </is>
      </c>
      <c r="E15" s="24" t="inlineStr">
        <is>
          <t>SOCCER</t>
        </is>
      </c>
      <c r="F15" s="24" t="inlineStr">
        <is>
          <t>Cruzeiro</t>
        </is>
      </c>
      <c r="G15" s="24" t="inlineStr">
        <is>
          <t>Coritiba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245</v>
      </c>
      <c r="M15" s="27" t="n">
        <v>3.45</v>
      </c>
      <c r="N15" s="28" t="n">
        <v>0.289855</v>
      </c>
      <c r="O15" s="28" t="n">
        <v>0.456135</v>
      </c>
      <c r="P15" s="28" t="n">
        <v>0.2</v>
      </c>
      <c r="Q15" s="28" t="n">
        <v>0.16628</v>
      </c>
      <c r="R15" s="26" t="n">
        <v>13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2026-07-31T04:29:36.196646Z</t>
        </is>
      </c>
      <c r="AE15" s="31" t="inlineStr">
        <is>
          <t>Poisson-DC rates 1.64 (home) / 1.24 (away) from EWMA attack/defense strengths. Executable ask 0.2900 (atc-bra-cor-cru-2026-07-30-cor).</t>
        </is>
      </c>
      <c r="AF15" s="31" t="inlineStr">
        <is>
          <t>Research-only soccer score model; draw-aware, but not yet locked-holdout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Cruzeiro</t>
        </is>
      </c>
      <c r="AQ15" s="24" t="inlineStr">
        <is>
          <t>Cruzeiro</t>
        </is>
      </c>
      <c r="AR15" s="24" t="inlineStr">
        <is>
          <t>Cruzeiro</t>
        </is>
      </c>
      <c r="AS15" s="24" t="inlineStr">
        <is>
          <t>Coritiba</t>
        </is>
      </c>
      <c r="AT15" s="24" t="inlineStr">
        <is>
          <t>Coritiba</t>
        </is>
      </c>
      <c r="AU15" s="24" t="inlineStr">
        <is>
          <t>Coritiba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34d1568aad0ff11b5db35f118324684f93281e1c21fa7b80be7a4a4e2cb4bb03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34d1568aad0ff11b5db35f118324684f93281e1c21fa7b80be7a4a4e2cb4bb03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34d1568aad0ff11b5db35f118324684f93281e1c21fa7b80be7a4a4e2cb4bb03</t>
        </is>
      </c>
      <c r="BH15" s="24" t="inlineStr">
        <is>
          <t>2026-07-30T21:07:20.486954Z</t>
        </is>
      </c>
      <c r="BI15" s="24" t="inlineStr">
        <is>
          <t>["same_event","same_team_same_day","same_league_same_day"]</t>
        </is>
      </c>
      <c r="BJ15" s="25" t="n"/>
      <c r="BK15" s="26" t="n">
        <v>245</v>
      </c>
      <c r="BL15" s="27" t="n">
        <v>3.45</v>
      </c>
      <c r="BM15" s="28" t="n">
        <v>0.289855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9bfe664e8e5b4a8b</t>
        </is>
      </c>
      <c r="B16" s="24" t="inlineStr">
        <is>
          <t>2026-07-30T21:08:36.264404Z</t>
        </is>
      </c>
      <c r="C16" s="24" t="inlineStr">
        <is>
          <t>2026-07-31T00:15Z</t>
        </is>
      </c>
      <c r="D16" s="24" t="inlineStr">
        <is>
          <t>401841456</t>
        </is>
      </c>
      <c r="E16" s="24" t="inlineStr">
        <is>
          <t>SOCCER</t>
        </is>
      </c>
      <c r="F16" s="24" t="inlineStr">
        <is>
          <t>Newell's Old Boys</t>
        </is>
      </c>
      <c r="G16" s="24" t="inlineStr">
        <is>
          <t>Independiente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0.456135</v>
      </c>
      <c r="P16" s="28" t="n">
        <v>0.2</v>
      </c>
      <c r="Q16" s="28" t="n">
        <v>-0.15324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0.641</v>
      </c>
      <c r="AD16" s="24" t="inlineStr">
        <is>
          <t>2026-07-31T04:29:36.979280Z</t>
        </is>
      </c>
      <c r="AE16" s="31" t="inlineStr">
        <is>
          <t>Poisson-DC rates 1.64 (home) / 1.24 (away) from EWMA attack/defense strengths. Executable ask 0.6100 (atc-lpa-ind-new-2026-07-30-ind).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Newell's Old Boys</t>
        </is>
      </c>
      <c r="AQ16" s="24" t="inlineStr">
        <is>
          <t>Newell's Old Boys</t>
        </is>
      </c>
      <c r="AR16" s="24" t="inlineStr">
        <is>
          <t>Newell's Old Boys</t>
        </is>
      </c>
      <c r="AS16" s="24" t="inlineStr">
        <is>
          <t>Independiente</t>
        </is>
      </c>
      <c r="AT16" s="24" t="inlineStr">
        <is>
          <t>Independiente</t>
        </is>
      </c>
      <c r="AU16" s="24" t="inlineStr">
        <is>
          <t>Independiente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34d1568aad0ff11b5db35f118324684f93281e1c21fa7b80be7a4a4e2cb4bb03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34d1568aad0ff11b5db35f118324684f93281e1c21fa7b80be7a4a4e2cb4bb03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34d1568aad0ff11b5db35f118324684f93281e1c21fa7b80be7a4a4e2cb4bb03</t>
        </is>
      </c>
      <c r="BH16" s="24" t="inlineStr">
        <is>
          <t>2026-07-30T21:07:21.770185Z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97c8cc75e04649d2</t>
        </is>
      </c>
      <c r="B17" s="24" t="inlineStr">
        <is>
          <t>2026-07-30T21:08:36.264404Z</t>
        </is>
      </c>
      <c r="C17" s="24" t="inlineStr">
        <is>
          <t>2026-07-31T00:30Z</t>
        </is>
      </c>
      <c r="D17" s="24" t="inlineStr">
        <is>
          <t>401874162</t>
        </is>
      </c>
      <c r="E17" s="24" t="inlineStr">
        <is>
          <t>SOCCER</t>
        </is>
      </c>
      <c r="F17" s="24" t="inlineStr">
        <is>
          <t>Independiente Santa Fe</t>
        </is>
      </c>
      <c r="G17" s="24" t="inlineStr">
        <is>
          <t>Caracas FC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223</v>
      </c>
      <c r="M17" s="27" t="n">
        <v>3.23</v>
      </c>
      <c r="N17" s="28" t="n">
        <v>0.309598</v>
      </c>
      <c r="O17" s="28" t="n">
        <v>0.456135</v>
      </c>
      <c r="P17" s="28" t="n">
        <v>0.2</v>
      </c>
      <c r="Q17" s="28" t="n">
        <v>0.146537</v>
      </c>
      <c r="R17" s="26" t="n">
        <v>3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0</v>
      </c>
      <c r="Y17" s="25" t="n"/>
      <c r="Z17" s="26" t="n"/>
      <c r="AA17" s="28" t="n"/>
      <c r="AB17" s="28" t="n"/>
      <c r="AC17" s="30" t="n">
        <v>-1</v>
      </c>
      <c r="AD17" s="24" t="inlineStr">
        <is>
          <t>2026-07-31T04:29:39.457874Z</t>
        </is>
      </c>
      <c r="AE17" s="31" t="inlineStr">
        <is>
          <t>Poisson-DC rates 1.64 (home) / 1.24 (away) from EWMA attack/defense strengths. Executable ask 0.3100 (atc-sud-cfa-isf-2026-07-30-cfa).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Independiente Santa Fe</t>
        </is>
      </c>
      <c r="AQ17" s="24" t="inlineStr">
        <is>
          <t>Independiente Santa Fe</t>
        </is>
      </c>
      <c r="AR17" s="24" t="inlineStr">
        <is>
          <t>Independiente Santa Fe</t>
        </is>
      </c>
      <c r="AS17" s="24" t="inlineStr">
        <is>
          <t>Caracas FC</t>
        </is>
      </c>
      <c r="AT17" s="24" t="inlineStr">
        <is>
          <t>Caracas FC</t>
        </is>
      </c>
      <c r="AU17" s="24" t="inlineStr">
        <is>
          <t>Caracas FC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34d1568aad0ff11b5db35f118324684f93281e1c21fa7b80be7a4a4e2cb4bb03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34d1568aad0ff11b5db35f118324684f93281e1c21fa7b80be7a4a4e2cb4bb03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34d1568aad0ff11b5db35f118324684f93281e1c21fa7b80be7a4a4e2cb4bb03</t>
        </is>
      </c>
      <c r="BH17" s="24" t="inlineStr">
        <is>
          <t>2026-07-30T21:07:22.865296Z</t>
        </is>
      </c>
      <c r="BI17" s="24" t="inlineStr">
        <is>
          <t>["same_event","same_team_same_day","same_league_same_day"]</t>
        </is>
      </c>
      <c r="BJ17" s="25" t="n"/>
      <c r="BK17" s="26" t="n">
        <v>223</v>
      </c>
      <c r="BL17" s="27" t="n">
        <v>3.23</v>
      </c>
      <c r="BM17" s="28" t="n">
        <v>0.309598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5332b99f26d14835</t>
        </is>
      </c>
      <c r="B18" s="24" t="inlineStr">
        <is>
          <t>2026-07-30T21:08:36.264404Z</t>
        </is>
      </c>
      <c r="C18" s="24" t="inlineStr">
        <is>
          <t>2026-07-31T00:30Z</t>
        </is>
      </c>
      <c r="D18" s="24" t="inlineStr">
        <is>
          <t>401874164</t>
        </is>
      </c>
      <c r="E18" s="24" t="inlineStr">
        <is>
          <t>SOCCER</t>
        </is>
      </c>
      <c r="F18" s="24" t="inlineStr">
        <is>
          <t>Boca Juniors</t>
        </is>
      </c>
      <c r="G18" s="24" t="inlineStr">
        <is>
          <t>O'Higgins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0.396866</v>
      </c>
      <c r="P18" s="28" t="n">
        <v>0.19</v>
      </c>
      <c r="Q18" s="28" t="n">
        <v>-0.112938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2026-07-31T04:29:39.572875Z</t>
        </is>
      </c>
      <c r="AE18" s="31" t="inlineStr">
        <is>
          <t>Poisson-DC rates 1.30 (home) / 1.46 (away) from EWMA attack/defense strengths. Executable ask 0.5100 (atc-sud-ohi-boc-2026-07-30-boc).</t>
        </is>
      </c>
      <c r="AF18" s="31" t="inlineStr">
        <is>
          <t>Research-only soccer score model; draw-aware, but not yet locked-holdout qualified.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Boca Juniors</t>
        </is>
      </c>
      <c r="AQ18" s="24" t="inlineStr">
        <is>
          <t>Boca Juniors</t>
        </is>
      </c>
      <c r="AR18" s="24" t="inlineStr">
        <is>
          <t>Boca Juniors</t>
        </is>
      </c>
      <c r="AS18" s="24" t="inlineStr">
        <is>
          <t>O'Higgins</t>
        </is>
      </c>
      <c r="AT18" s="24" t="inlineStr">
        <is>
          <t>O'Higgins</t>
        </is>
      </c>
      <c r="AU18" s="24" t="inlineStr">
        <is>
          <t>O'Higgins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34d1568aad0ff11b5db35f118324684f93281e1c21fa7b80be7a4a4e2cb4bb03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34d1568aad0ff11b5db35f118324684f93281e1c21fa7b80be7a4a4e2cb4bb03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34d1568aad0ff11b5db35f118324684f93281e1c21fa7b80be7a4a4e2cb4bb03</t>
        </is>
      </c>
      <c r="BH18" s="24" t="inlineStr">
        <is>
          <t>2026-07-30T21:07:23.262683Z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0ea3ba73ea6147e2</t>
        </is>
      </c>
      <c r="B19" s="24" t="inlineStr">
        <is>
          <t>2026-07-30T21:08:36.264404Z</t>
        </is>
      </c>
      <c r="C19" s="24" t="inlineStr">
        <is>
          <t>2026-07-30T23:30Z</t>
        </is>
      </c>
      <c r="D19" s="24" t="inlineStr">
        <is>
          <t>401897750</t>
        </is>
      </c>
      <c r="E19" s="24" t="inlineStr">
        <is>
          <t>SOCCER</t>
        </is>
      </c>
      <c r="F19" s="24" t="inlineStr">
        <is>
          <t>Leeds United</t>
        </is>
      </c>
      <c r="G19" s="24" t="inlineStr">
        <is>
          <t>Sunderland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178</v>
      </c>
      <c r="M19" s="27" t="n">
        <v>2.78</v>
      </c>
      <c r="N19" s="28" t="n">
        <v>0.359712</v>
      </c>
      <c r="O19" s="28" t="n">
        <v>0.356905</v>
      </c>
      <c r="P19" s="28" t="n">
        <v>0.04</v>
      </c>
      <c r="Q19" s="28" t="n">
        <v>-0.002807</v>
      </c>
      <c r="R19" s="26" t="n">
        <v>25</v>
      </c>
      <c r="S19" s="29" t="n">
        <v>1.75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-1.75</v>
      </c>
      <c r="AD19" s="24" t="inlineStr">
        <is>
          <t>2026-07-31T04:29:40.244393Z</t>
        </is>
      </c>
      <c r="AE19" s="31" t="inlineStr">
        <is>
          <t>Poisson-DC rates 1.19 (home) / 1.15 (away) from EWMA attack/defense strengths. Executable ask 0.3600 (atc-clbf-lee-sun-2026-07-30-sun).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Leeds United</t>
        </is>
      </c>
      <c r="AQ19" s="24" t="inlineStr">
        <is>
          <t>Leeds United</t>
        </is>
      </c>
      <c r="AR19" s="24" t="inlineStr">
        <is>
          <t>Leeds United</t>
        </is>
      </c>
      <c r="AS19" s="24" t="inlineStr">
        <is>
          <t>Sunderland</t>
        </is>
      </c>
      <c r="AT19" s="24" t="inlineStr">
        <is>
          <t>Sunderland</t>
        </is>
      </c>
      <c r="AU19" s="24" t="inlineStr">
        <is>
          <t>Sunderland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2026-07-30T21:07:23.815408Z</t>
        </is>
      </c>
      <c r="BI19" s="24" t="inlineStr">
        <is>
          <t>["same_event","same_team_same_day","same_league_same_day"]</t>
        </is>
      </c>
      <c r="BJ19" s="25" t="n"/>
      <c r="BK19" s="26" t="n">
        <v>178</v>
      </c>
      <c r="BL19" s="27" t="n">
        <v>2.78</v>
      </c>
      <c r="BM19" s="28" t="n">
        <v>0.359712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c200651130f34160</t>
        </is>
      </c>
      <c r="B20" s="24" t="inlineStr">
        <is>
          <t>2026-07-31T13:42:15.135577Z</t>
        </is>
      </c>
      <c r="C20" s="24" t="inlineStr">
        <is>
          <t>2026-07-31T16:00Z</t>
        </is>
      </c>
      <c r="D20" s="24" t="inlineStr">
        <is>
          <t>401887800</t>
        </is>
      </c>
      <c r="E20" s="24" t="inlineStr">
        <is>
          <t>SOCCER</t>
        </is>
      </c>
      <c r="F20" s="24" t="inlineStr">
        <is>
          <t>Nice</t>
        </is>
      </c>
      <c r="G20" s="24" t="inlineStr">
        <is>
          <t>Juventus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0.657201</v>
      </c>
      <c r="P20" s="28" t="n">
        <v>0.04</v>
      </c>
      <c r="Q20" s="28" t="n">
        <v>0.016913</v>
      </c>
      <c r="R20" s="26" t="n">
        <v>34</v>
      </c>
      <c r="S20" s="29" t="n">
        <v>1.75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2</v>
      </c>
      <c r="Y20" s="25" t="n"/>
      <c r="Z20" s="26" t="n"/>
      <c r="AA20" s="28" t="n"/>
      <c r="AB20" s="28" t="n"/>
      <c r="AC20" s="30" t="n">
        <v>0.9831</v>
      </c>
      <c r="AD20" s="24" t="inlineStr">
        <is>
          <t>2026-07-31T19:51:18.407364Z</t>
        </is>
      </c>
      <c r="AE20" s="31" t="inlineStr">
        <is>
          <t>Poisson-DC rates 1.85 (home) / 0.63 (away) from EWMA attack/defense strengths. Executable ask 0.6400 (atc-clbf-juv-nic-2026-07-31-juv).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Nice</t>
        </is>
      </c>
      <c r="AQ20" s="24" t="inlineStr">
        <is>
          <t>Nice</t>
        </is>
      </c>
      <c r="AR20" s="24" t="inlineStr">
        <is>
          <t>Nice</t>
        </is>
      </c>
      <c r="AS20" s="24" t="inlineStr">
        <is>
          <t>Juventus</t>
        </is>
      </c>
      <c r="AT20" s="24" t="inlineStr">
        <is>
          <t>Juventus</t>
        </is>
      </c>
      <c r="AU20" s="24" t="inlineStr">
        <is>
          <t>Juventus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2026-07-31T13:39:47.941159Z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36b16f24c1db4baa</t>
        </is>
      </c>
      <c r="B21" s="24" t="inlineStr">
        <is>
          <t>2026-07-31T19:55:16.083099Z</t>
        </is>
      </c>
      <c r="C21" s="24" t="inlineStr">
        <is>
          <t>2026-07-31T20:00Z</t>
        </is>
      </c>
      <c r="D21" s="24" t="inlineStr">
        <is>
          <t>401885639</t>
        </is>
      </c>
      <c r="E21" s="24" t="inlineStr">
        <is>
          <t>SOCCER</t>
        </is>
      </c>
      <c r="F21" s="24" t="inlineStr">
        <is>
          <t>Comerciantes Unidos</t>
        </is>
      </c>
      <c r="G21" s="24" t="inlineStr">
        <is>
          <t>Los Chankas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0.461873</v>
      </c>
      <c r="P21" s="28" t="n">
        <v>0.2</v>
      </c>
      <c r="Q21" s="28" t="n">
        <v>-0.028323</v>
      </c>
      <c r="R21" s="26" t="n">
        <v>0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3</v>
      </c>
      <c r="Y21" s="25" t="n"/>
      <c r="Z21" s="26" t="n"/>
      <c r="AA21" s="28" t="n"/>
      <c r="AB21" s="28" t="n"/>
      <c r="AC21" s="30" t="n">
        <v>1.04</v>
      </c>
      <c r="AD21" s="24" t="inlineStr">
        <is>
          <t>2026-07-31T23:28:42.654733Z</t>
        </is>
      </c>
      <c r="AE21" s="31" t="inlineStr">
        <is>
          <t>Poisson-DC rates 1.72 (home) / 1.30 (away) from EWMA attack/defense strengths. Executable ask 0.4900 (atc-pl1-cha-cou-2026-07-31-cha).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Comerciantes Unidos</t>
        </is>
      </c>
      <c r="AQ21" s="24" t="inlineStr">
        <is>
          <t>Comerciantes Unidos</t>
        </is>
      </c>
      <c r="AR21" s="24" t="inlineStr">
        <is>
          <t>Comerciantes Unidos</t>
        </is>
      </c>
      <c r="AS21" s="24" t="inlineStr">
        <is>
          <t>Los Chankas</t>
        </is>
      </c>
      <c r="AT21" s="24" t="inlineStr">
        <is>
          <t>Los Chankas</t>
        </is>
      </c>
      <c r="AU21" s="24" t="inlineStr">
        <is>
          <t>Los Chankas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2026-07-31T19:53:00.380208Z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11de6f56f5344bcf</t>
        </is>
      </c>
      <c r="B22" s="24" t="inlineStr">
        <is>
          <t>2026-07-31T21:07:21.705734Z</t>
        </is>
      </c>
      <c r="C22" s="24" t="inlineStr">
        <is>
          <t>2026-07-31T22:00Z</t>
        </is>
      </c>
      <c r="D22" s="24" t="inlineStr">
        <is>
          <t>401872731</t>
        </is>
      </c>
      <c r="E22" s="24" t="inlineStr">
        <is>
          <t>SOCCER</t>
        </is>
      </c>
      <c r="F22" s="24" t="inlineStr">
        <is>
          <t>Montevideo Wanderers</t>
        </is>
      </c>
      <c r="G22" s="24" t="inlineStr">
        <is>
          <t>Montevideo City Torque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-122</v>
      </c>
      <c r="M22" s="27" t="n">
        <v>1.819672</v>
      </c>
      <c r="N22" s="28" t="n">
        <v>0.54955</v>
      </c>
      <c r="O22" s="28" t="n">
        <v>0.440521</v>
      </c>
      <c r="P22" s="28" t="n">
        <v>0.2</v>
      </c>
      <c r="Q22" s="28" t="n">
        <v>-0.109029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2</v>
      </c>
      <c r="X22" s="26" t="n">
        <v>0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2026-08-01T03:00:15.210003Z</t>
        </is>
      </c>
      <c r="AE22" s="31" t="inlineStr">
        <is>
          <t>Poisson-DC rates 1.46 (home) / 1.10 (away) from EWMA attack/defense strengths. Executable ask 0.5500 (atc-uru1-tor-wan-2026-07-31-tor).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Montevideo Wanderers</t>
        </is>
      </c>
      <c r="AQ22" s="24" t="inlineStr">
        <is>
          <t>Montevideo Wanderers</t>
        </is>
      </c>
      <c r="AR22" s="24" t="inlineStr">
        <is>
          <t>Montevideo Wanderers</t>
        </is>
      </c>
      <c r="AS22" s="24" t="inlineStr">
        <is>
          <t>Montevideo City Torque</t>
        </is>
      </c>
      <c r="AT22" s="24" t="inlineStr">
        <is>
          <t>Montevideo City Torque</t>
        </is>
      </c>
      <c r="AU22" s="24" t="inlineStr">
        <is>
          <t>Montevideo City Torque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2026-07-31T21:05:05.319813Z</t>
        </is>
      </c>
      <c r="BI22" s="24" t="inlineStr">
        <is>
          <t>["same_event","same_team_same_day","same_league_same_day"]</t>
        </is>
      </c>
      <c r="BJ22" s="25" t="n"/>
      <c r="BK22" s="26" t="n">
        <v>-122</v>
      </c>
      <c r="BL22" s="27" t="n">
        <v>1.819672</v>
      </c>
      <c r="BM22" s="28" t="n">
        <v>0.54955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4f0ea301459047d5</t>
        </is>
      </c>
      <c r="B23" s="24" t="inlineStr">
        <is>
          <t>2026-08-01T06:40:10.134766Z</t>
        </is>
      </c>
      <c r="C23" s="24" t="inlineStr">
        <is>
          <t>2026-08-01T10:00Z</t>
        </is>
      </c>
      <c r="D23" s="24" t="inlineStr">
        <is>
          <t>401872737</t>
        </is>
      </c>
      <c r="E23" s="24" t="inlineStr">
        <is>
          <t>SOCCER</t>
        </is>
      </c>
      <c r="F23" s="24" t="inlineStr">
        <is>
          <t>Borussia Dortmund</t>
        </is>
      </c>
      <c r="G23" s="24" t="inlineStr">
        <is>
          <t>FC Tokyo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0.45654</v>
      </c>
      <c r="P23" s="28" t="n">
        <v>0.2</v>
      </c>
      <c r="Q23" s="28" t="n">
        <v>-0.09301</v>
      </c>
      <c r="R23" s="26" t="n">
        <v>0</v>
      </c>
      <c r="S23" s="29" t="n">
        <v>1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0.8197</v>
      </c>
      <c r="AD23" s="24" t="inlineStr">
        <is>
          <t>2026-08-01T13:41:19.925310Z</t>
        </is>
      </c>
      <c r="AE23" s="31" t="inlineStr">
        <is>
          <t>Poisson-DC rates 1.38 (home) / 1.77 (away) from EWMA attack/defense strengths. Executable ask 0.5500 (atc-clbf-tok-bvb-2026-08-01-bvb).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Borussia Dortmund</t>
        </is>
      </c>
      <c r="AQ23" s="24" t="inlineStr">
        <is>
          <t>Borussia Dortmund</t>
        </is>
      </c>
      <c r="AR23" s="24" t="inlineStr">
        <is>
          <t>Borussia Dortmund</t>
        </is>
      </c>
      <c r="AS23" s="24" t="inlineStr">
        <is>
          <t>FC Tokyo</t>
        </is>
      </c>
      <c r="AT23" s="24" t="inlineStr">
        <is>
          <t>FC Tokyo</t>
        </is>
      </c>
      <c r="AU23" s="24" t="inlineStr">
        <is>
          <t>FC Tokyo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2026-08-01T06:36:26.090957Z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02eb8e6babd749a2</t>
        </is>
      </c>
      <c r="B24" s="24" t="inlineStr">
        <is>
          <t>2026-08-01T16:52:27.367453Z</t>
        </is>
      </c>
      <c r="C24" s="24" t="inlineStr">
        <is>
          <t>2026-08-01T18:00Z</t>
        </is>
      </c>
      <c r="D24" s="24" t="inlineStr">
        <is>
          <t>401844018</t>
        </is>
      </c>
      <c r="E24" s="24" t="inlineStr">
        <is>
          <t>SOCCER</t>
        </is>
      </c>
      <c r="F24" s="24" t="inlineStr">
        <is>
          <t>Gimnasia y Esgrima (Jujuy)</t>
        </is>
      </c>
      <c r="G24" s="24" t="inlineStr">
        <is>
          <t>Colegiales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133</v>
      </c>
      <c r="M24" s="27" t="n">
        <v>2.33</v>
      </c>
      <c r="N24" s="28" t="n">
        <v>0.429185</v>
      </c>
      <c r="O24" s="28" t="n">
        <v>0.456135</v>
      </c>
      <c r="P24" s="28" t="n">
        <v>0.2</v>
      </c>
      <c r="Q24" s="28" t="n">
        <v>0.02695</v>
      </c>
      <c r="R24" s="26" t="n">
        <v>0</v>
      </c>
      <c r="S24" s="29" t="n">
        <v>1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2</v>
      </c>
      <c r="Y24" s="25" t="n"/>
      <c r="Z24" s="26" t="n"/>
      <c r="AA24" s="28" t="n"/>
      <c r="AB24" s="28" t="n"/>
      <c r="AC24" s="30" t="n">
        <v>1.33</v>
      </c>
      <c r="AD24" s="24" t="inlineStr">
        <is>
          <t>2026-08-01T20:13:19.135597Z</t>
        </is>
      </c>
      <c r="AE24" s="31" t="inlineStr">
        <is>
          <t>Poisson-DC rates 1.64 (home) / 1.24 (away) from EWMA attack/defense strengths. Executable ask 0.4300 (atc-arg2-cac-ge-2026-08-01-cac).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Gimnasia y Esgrima (Jujuy)</t>
        </is>
      </c>
      <c r="AQ24" s="24" t="inlineStr">
        <is>
          <t>Gimnasia y Esgrima (Jujuy)</t>
        </is>
      </c>
      <c r="AR24" s="24" t="inlineStr">
        <is>
          <t>Gimnasia y Esgrima (Jujuy)</t>
        </is>
      </c>
      <c r="AS24" s="24" t="inlineStr">
        <is>
          <t>Colegiales</t>
        </is>
      </c>
      <c r="AT24" s="24" t="inlineStr">
        <is>
          <t>Colegiales</t>
        </is>
      </c>
      <c r="AU24" s="24" t="inlineStr">
        <is>
          <t>Colegiales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2026-08-01T16:49:30.893071Z</t>
        </is>
      </c>
      <c r="BI24" s="24" t="inlineStr">
        <is>
          <t>["same_event","same_team_same_day","same_league_same_day"]</t>
        </is>
      </c>
      <c r="BJ24" s="25" t="n"/>
      <c r="BK24" s="26" t="n">
        <v>133</v>
      </c>
      <c r="BL24" s="27" t="n">
        <v>2.33</v>
      </c>
      <c r="BM24" s="28" t="n">
        <v>0.429185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3119afb8f63442b9</t>
        </is>
      </c>
      <c r="B25" s="24" t="inlineStr">
        <is>
          <t>2026-08-01T16:52:27.367453Z</t>
        </is>
      </c>
      <c r="C25" s="24" t="inlineStr">
        <is>
          <t>2026-08-01T18:00Z</t>
        </is>
      </c>
      <c r="D25" s="24" t="inlineStr">
        <is>
          <t>401886553</t>
        </is>
      </c>
      <c r="E25" s="24" t="inlineStr">
        <is>
          <t>SOCCER</t>
        </is>
      </c>
      <c r="F25" s="24" t="inlineStr">
        <is>
          <t>Arsenal</t>
        </is>
      </c>
      <c r="G25" s="24" t="inlineStr">
        <is>
          <t>Girona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0.51186</v>
      </c>
      <c r="P25" s="28" t="n">
        <v>0.04</v>
      </c>
      <c r="Q25" s="28" t="n">
        <v>-0.078304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1</v>
      </c>
      <c r="Y25" s="25" t="n"/>
      <c r="Z25" s="26" t="n"/>
      <c r="AA25" s="28" t="n"/>
      <c r="AB25" s="28" t="n"/>
      <c r="AC25" s="30" t="n">
        <v>0.6944</v>
      </c>
      <c r="AD25" s="24" t="inlineStr">
        <is>
          <t>2026-08-01T20:13:22.602729Z</t>
        </is>
      </c>
      <c r="AE25" s="31" t="inlineStr">
        <is>
          <t>Poisson-DC rates 0.58 (home) / 1.23 (away) from EWMA attack/defense strengths. Executable ask 0.5900 (atc-clbf-gir-afr-2026-08-01-afr).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Arsenal</t>
        </is>
      </c>
      <c r="AQ25" s="24" t="inlineStr">
        <is>
          <t>Arsenal</t>
        </is>
      </c>
      <c r="AR25" s="24" t="inlineStr">
        <is>
          <t>Arsenal</t>
        </is>
      </c>
      <c r="AS25" s="24" t="inlineStr">
        <is>
          <t>Girona</t>
        </is>
      </c>
      <c r="AT25" s="24" t="inlineStr">
        <is>
          <t>Girona</t>
        </is>
      </c>
      <c r="AU25" s="24" t="inlineStr">
        <is>
          <t>Girona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2026-08-01T16:49:39.645100Z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45d01ab1161349e2</t>
        </is>
      </c>
      <c r="B26" s="24" t="inlineStr">
        <is>
          <t>2026-08-01T18:40:16.324475Z</t>
        </is>
      </c>
      <c r="C26" s="24" t="inlineStr">
        <is>
          <t>2026-08-01T19:00Z</t>
        </is>
      </c>
      <c r="D26" s="24" t="inlineStr">
        <is>
          <t>401850610</t>
        </is>
      </c>
      <c r="E26" s="24" t="inlineStr">
        <is>
          <t>SOCCER</t>
        </is>
      </c>
      <c r="F26" s="24" t="inlineStr">
        <is>
          <t>Colo Colo</t>
        </is>
      </c>
      <c r="G26" s="24" t="inlineStr">
        <is>
          <t>Everton CD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245</v>
      </c>
      <c r="M26" s="27" t="n">
        <v>3.45</v>
      </c>
      <c r="N26" s="28" t="n">
        <v>0.289855</v>
      </c>
      <c r="O26" s="28" t="n">
        <v>0.447172</v>
      </c>
      <c r="P26" s="28" t="n">
        <v>0.19</v>
      </c>
      <c r="Q26" s="28" t="n">
        <v>0.157317</v>
      </c>
      <c r="R26" s="26" t="n">
        <v>15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loss</t>
        </is>
      </c>
      <c r="W26" s="26" t="n">
        <v>4</v>
      </c>
      <c r="X26" s="26" t="n">
        <v>3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2026-08-01T23:51:10.166427Z</t>
        </is>
      </c>
      <c r="AE26" s="31" t="inlineStr">
        <is>
          <t>Poisson-DC rates 1.53 (home) / 1.16 (away) from EWMA attack/defense strengths. Executable ask 0.2900 (atc-pdc-eve-col-2026-08-01-eve).</t>
        </is>
      </c>
      <c r="AF26" s="31" t="inlineStr">
        <is>
          <t>Research-only soccer score model; draw-aware, but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Colo Colo</t>
        </is>
      </c>
      <c r="AQ26" s="24" t="inlineStr">
        <is>
          <t>Colo Colo</t>
        </is>
      </c>
      <c r="AR26" s="24" t="inlineStr">
        <is>
          <t>Colo Colo</t>
        </is>
      </c>
      <c r="AS26" s="24" t="inlineStr">
        <is>
          <t>Everton CD</t>
        </is>
      </c>
      <c r="AT26" s="24" t="inlineStr">
        <is>
          <t>Everton CD</t>
        </is>
      </c>
      <c r="AU26" s="24" t="inlineStr">
        <is>
          <t>Everton CD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2026-08-01T18:37:04.072976Z</t>
        </is>
      </c>
      <c r="BI26" s="24" t="inlineStr">
        <is>
          <t>["same_event","same_team_same_day","same_league_same_day"]</t>
        </is>
      </c>
      <c r="BJ26" s="25" t="n"/>
      <c r="BK26" s="26" t="n">
        <v>245</v>
      </c>
      <c r="BL26" s="27" t="n">
        <v>3.45</v>
      </c>
      <c r="BM26" s="28" t="n">
        <v>0.289855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49d8e97b6d0a49e1</t>
        </is>
      </c>
      <c r="B27" s="24" t="inlineStr">
        <is>
          <t>2026-08-01T18:40:16.324475Z</t>
        </is>
      </c>
      <c r="C27" s="24" t="inlineStr">
        <is>
          <t>2026-08-01T19:00Z</t>
        </is>
      </c>
      <c r="D27" s="24" t="inlineStr">
        <is>
          <t>401859643</t>
        </is>
      </c>
      <c r="E27" s="24" t="inlineStr">
        <is>
          <t>SOCCER</t>
        </is>
      </c>
      <c r="F27" s="24" t="inlineStr">
        <is>
          <t>Mushuc Runa</t>
        </is>
      </c>
      <c r="G27" s="24" t="inlineStr">
        <is>
          <t>Manta F.C.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186</v>
      </c>
      <c r="M27" s="27" t="n">
        <v>2.86</v>
      </c>
      <c r="N27" s="28" t="n">
        <v>0.34965</v>
      </c>
      <c r="O27" s="28" t="n">
        <v>0.456135</v>
      </c>
      <c r="P27" s="28" t="n">
        <v>0.2</v>
      </c>
      <c r="Q27" s="28" t="n">
        <v>0.106485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2026-08-01T21:40:58.484236Z</t>
        </is>
      </c>
      <c r="AE27" s="31" t="inlineStr">
        <is>
          <t>Poisson-DC rates 1.64 (home) / 1.24 (away) from EWMA attack/defense strengths. Executable ask 0.3500 (atc-ecu1-man-mur-2026-08-01-man).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Mushuc Runa</t>
        </is>
      </c>
      <c r="AQ27" s="24" t="inlineStr">
        <is>
          <t>Mushuc Runa</t>
        </is>
      </c>
      <c r="AR27" s="24" t="inlineStr">
        <is>
          <t>Mushuc Runa</t>
        </is>
      </c>
      <c r="AS27" s="24" t="inlineStr">
        <is>
          <t>Manta F.C.</t>
        </is>
      </c>
      <c r="AT27" s="24" t="inlineStr">
        <is>
          <t>Manta F.C.</t>
        </is>
      </c>
      <c r="AU27" s="24" t="inlineStr">
        <is>
          <t>Manta F.C.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2026-08-01T18:37:05.727261Z</t>
        </is>
      </c>
      <c r="BI27" s="24" t="inlineStr">
        <is>
          <t>["same_event","same_team_same_day","same_league_same_day"]</t>
        </is>
      </c>
      <c r="BJ27" s="25" t="n"/>
      <c r="BK27" s="26" t="n">
        <v>186</v>
      </c>
      <c r="BL27" s="27" t="n">
        <v>2.86</v>
      </c>
      <c r="BM27" s="28" t="n">
        <v>0.34965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6335060e4ee644f9</t>
        </is>
      </c>
      <c r="B28" s="24" t="inlineStr">
        <is>
          <t>2026-08-01T20:17:05.741632Z</t>
        </is>
      </c>
      <c r="C28" s="24" t="inlineStr">
        <is>
          <t>2026-08-01T23:30Z</t>
        </is>
      </c>
      <c r="D28" s="24" t="inlineStr">
        <is>
          <t>761699</t>
        </is>
      </c>
      <c r="E28" s="24" t="inlineStr">
        <is>
          <t>SOCCER</t>
        </is>
      </c>
      <c r="F28" s="24" t="inlineStr">
        <is>
          <t>Nashville SC</t>
        </is>
      </c>
      <c r="G28" s="24" t="inlineStr">
        <is>
          <t>D.C. United</t>
        </is>
      </c>
      <c r="H28" s="24" t="inlineStr">
        <is>
          <t>total</t>
        </is>
      </c>
      <c r="I28" s="24" t="inlineStr">
        <is>
          <t>over</t>
        </is>
      </c>
      <c r="J28" s="25" t="n">
        <v>2.5</v>
      </c>
      <c r="K28" s="24" t="inlineStr">
        <is>
          <t>polymarket_us</t>
        </is>
      </c>
      <c r="L28" s="26" t="n">
        <v>-104</v>
      </c>
      <c r="M28" s="27" t="n">
        <v>1.961538</v>
      </c>
      <c r="N28" s="28" t="n">
        <v>0.509804</v>
      </c>
      <c r="O28" s="28" t="n">
        <v>0.654047</v>
      </c>
      <c r="P28" s="28" t="n">
        <v>0.04</v>
      </c>
      <c r="Q28" s="28" t="n">
        <v>0.144243</v>
      </c>
      <c r="R28" s="26" t="n">
        <v>98</v>
      </c>
      <c r="S28" s="29" t="n">
        <v>1.75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2</v>
      </c>
      <c r="Y28" s="25" t="n"/>
      <c r="Z28" s="26" t="n"/>
      <c r="AA28" s="28" t="n"/>
      <c r="AB28" s="28" t="n"/>
      <c r="AC28" s="30" t="n">
        <v>1.6827</v>
      </c>
      <c r="AD28" s="24" t="inlineStr">
        <is>
          <t>2026-08-02T03:26:14.226095Z</t>
        </is>
      </c>
      <c r="AE28" s="31" t="inlineStr">
        <is>
          <t>Poisson-DC rates 1.27 (home) / 2.09 (away) from EWMA attack/defense strengths. Executable ask 0.5100 (tsc-mls-dcu-nas-2026-08-01-2pt5).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Nashville SC</t>
        </is>
      </c>
      <c r="AQ28" s="24" t="inlineStr">
        <is>
          <t>Nashville SC</t>
        </is>
      </c>
      <c r="AR28" s="24" t="inlineStr">
        <is>
          <t>Nashville SC</t>
        </is>
      </c>
      <c r="AS28" s="24" t="inlineStr">
        <is>
          <t>D.C. United</t>
        </is>
      </c>
      <c r="AT28" s="24" t="inlineStr">
        <is>
          <t>D.C. United</t>
        </is>
      </c>
      <c r="AU28" s="24" t="inlineStr">
        <is>
          <t>D.C. United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2026-08-01T20:14:21.274394Z</t>
        </is>
      </c>
      <c r="BI28" s="24" t="inlineStr">
        <is>
          <t>["same_event","same_team_same_day","same_league_same_day"]</t>
        </is>
      </c>
      <c r="BJ28" s="25" t="n">
        <v>2.5</v>
      </c>
      <c r="BK28" s="26" t="n">
        <v>-104</v>
      </c>
      <c r="BL28" s="27" t="n">
        <v>1.961538</v>
      </c>
      <c r="BM28" s="28" t="n">
        <v>0.509804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b700c24ab7bb44a3</t>
        </is>
      </c>
      <c r="B29" s="24" t="inlineStr">
        <is>
          <t>2026-08-01T20:17:05.741632Z</t>
        </is>
      </c>
      <c r="C29" s="24" t="inlineStr">
        <is>
          <t>2026-08-01T23:30Z</t>
        </is>
      </c>
      <c r="D29" s="24" t="inlineStr">
        <is>
          <t>761700</t>
        </is>
      </c>
      <c r="E29" s="24" t="inlineStr">
        <is>
          <t>SOCCER</t>
        </is>
      </c>
      <c r="F29" s="24" t="inlineStr">
        <is>
          <t>San Jose Earthquakes</t>
        </is>
      </c>
      <c r="G29" s="24" t="inlineStr">
        <is>
          <t>FC Cincinnati</t>
        </is>
      </c>
      <c r="H29" s="24" t="inlineStr">
        <is>
          <t>total</t>
        </is>
      </c>
      <c r="I29" s="24" t="inlineStr">
        <is>
          <t>over</t>
        </is>
      </c>
      <c r="J29" s="25" t="n">
        <v>2.5</v>
      </c>
      <c r="K29" s="24" t="inlineStr">
        <is>
          <t>polymarket_us</t>
        </is>
      </c>
      <c r="L29" s="26" t="n">
        <v>-317</v>
      </c>
      <c r="M29" s="27" t="n">
        <v>1.315457</v>
      </c>
      <c r="N29" s="28" t="n">
        <v>0.760192</v>
      </c>
      <c r="O29" s="28" t="n">
        <v>0.884924</v>
      </c>
      <c r="P29" s="28" t="n">
        <v>0.04</v>
      </c>
      <c r="Q29" s="28" t="n">
        <v>0.124732</v>
      </c>
      <c r="R29" s="26" t="n">
        <v>88</v>
      </c>
      <c r="S29" s="29" t="n">
        <v>2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4</v>
      </c>
      <c r="Y29" s="25" t="n"/>
      <c r="Z29" s="26" t="n"/>
      <c r="AA29" s="28" t="n"/>
      <c r="AB29" s="28" t="n"/>
      <c r="AC29" s="30" t="n">
        <v>0.6309</v>
      </c>
      <c r="AD29" s="24" t="inlineStr">
        <is>
          <t>2026-08-02T04:26:21.106575Z</t>
        </is>
      </c>
      <c r="AE29" s="31" t="inlineStr">
        <is>
          <t>Poisson-DC rates 2.60 (home) / 2.52 (away) from EWMA attack/defense strengths. Executable ask 0.7600 (tsc-mls-fcc-sje-2026-08-01-2pt5).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San Jose Earthquakes</t>
        </is>
      </c>
      <c r="AQ29" s="24" t="inlineStr">
        <is>
          <t>San Jose Earthquakes</t>
        </is>
      </c>
      <c r="AR29" s="24" t="inlineStr">
        <is>
          <t>San Jose Earthquakes</t>
        </is>
      </c>
      <c r="AS29" s="24" t="inlineStr">
        <is>
          <t>FC Cincinnati</t>
        </is>
      </c>
      <c r="AT29" s="24" t="inlineStr">
        <is>
          <t>FC Cincinnati</t>
        </is>
      </c>
      <c r="AU29" s="24" t="inlineStr">
        <is>
          <t>FC Cincinnati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2026-08-01T20:14:22.110761Z</t>
        </is>
      </c>
      <c r="BI29" s="24" t="inlineStr">
        <is>
          <t>["same_event","same_team_same_day","same_league_same_day"]</t>
        </is>
      </c>
      <c r="BJ29" s="25" t="n">
        <v>2.5</v>
      </c>
      <c r="BK29" s="26" t="n">
        <v>-317</v>
      </c>
      <c r="BL29" s="27" t="n">
        <v>1.315457</v>
      </c>
      <c r="BM29" s="28" t="n">
        <v>0.760192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1f48bd79d56a4307</t>
        </is>
      </c>
      <c r="B30" s="24" t="inlineStr">
        <is>
          <t>2026-08-01T20:17:05.741632Z</t>
        </is>
      </c>
      <c r="C30" s="24" t="inlineStr">
        <is>
          <t>2026-08-01T23:30Z</t>
        </is>
      </c>
      <c r="D30" s="24" t="inlineStr">
        <is>
          <t>761701</t>
        </is>
      </c>
      <c r="E30" s="24" t="inlineStr">
        <is>
          <t>SOCCER</t>
        </is>
      </c>
      <c r="F30" s="24" t="inlineStr">
        <is>
          <t>Columbus Crew</t>
        </is>
      </c>
      <c r="G30" s="24" t="inlineStr">
        <is>
          <t>Inter Miami CF</t>
        </is>
      </c>
      <c r="H30" s="24" t="inlineStr">
        <is>
          <t>total</t>
        </is>
      </c>
      <c r="I30" s="24" t="inlineStr">
        <is>
          <t>over</t>
        </is>
      </c>
      <c r="J30" s="25" t="n">
        <v>2.5</v>
      </c>
      <c r="K30" s="24" t="inlineStr">
        <is>
          <t>polymarket_us</t>
        </is>
      </c>
      <c r="L30" s="26" t="n">
        <v>-285</v>
      </c>
      <c r="M30" s="27" t="n">
        <v>1.350877</v>
      </c>
      <c r="N30" s="28" t="n">
        <v>0.74026</v>
      </c>
      <c r="O30" s="28" t="n">
        <v>0.8701759999999999</v>
      </c>
      <c r="P30" s="28" t="n">
        <v>0.04</v>
      </c>
      <c r="Q30" s="28" t="n">
        <v>0.129916</v>
      </c>
      <c r="R30" s="26" t="n">
        <v>91</v>
      </c>
      <c r="S30" s="29" t="n">
        <v>2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0.7018</v>
      </c>
      <c r="AD30" s="24" t="inlineStr">
        <is>
          <t>2026-08-02T03:26:14.497023Z</t>
        </is>
      </c>
      <c r="AE30" s="31" t="inlineStr">
        <is>
          <t>Poisson-DC rates 3.37 (home) / 1.57 (away) from EWMA attack/defense strengths. Executable ask 0.7400 (tsc-mls-mia-clb-2026-08-01-2pt5).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Columbus Crew</t>
        </is>
      </c>
      <c r="AQ30" s="24" t="inlineStr">
        <is>
          <t>Columbus Crew</t>
        </is>
      </c>
      <c r="AR30" s="24" t="inlineStr">
        <is>
          <t>Columbus Crew</t>
        </is>
      </c>
      <c r="AS30" s="24" t="inlineStr">
        <is>
          <t>Inter Miami CF</t>
        </is>
      </c>
      <c r="AT30" s="24" t="inlineStr">
        <is>
          <t>Inter Miami CF</t>
        </is>
      </c>
      <c r="AU30" s="24" t="inlineStr">
        <is>
          <t>Inter Miami CF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2026-08-01T20:14:24.561641Z</t>
        </is>
      </c>
      <c r="BI30" s="24" t="inlineStr">
        <is>
          <t>["same_event","same_team_same_day","same_league_same_day"]</t>
        </is>
      </c>
      <c r="BJ30" s="25" t="n">
        <v>2.5</v>
      </c>
      <c r="BK30" s="26" t="n">
        <v>-285</v>
      </c>
      <c r="BL30" s="27" t="n">
        <v>1.350877</v>
      </c>
      <c r="BM30" s="28" t="n">
        <v>0.74026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534c606f8d994efb</t>
        </is>
      </c>
      <c r="B31" s="24" t="inlineStr">
        <is>
          <t>2026-08-01T20:17:05.741632Z</t>
        </is>
      </c>
      <c r="C31" s="24" t="inlineStr">
        <is>
          <t>2026-08-01T23:30Z</t>
        </is>
      </c>
      <c r="D31" s="24" t="inlineStr">
        <is>
          <t>761702</t>
        </is>
      </c>
      <c r="E31" s="24" t="inlineStr">
        <is>
          <t>SOCCER</t>
        </is>
      </c>
      <c r="F31" s="24" t="inlineStr">
        <is>
          <t>Atlanta United FC</t>
        </is>
      </c>
      <c r="G31" s="24" t="inlineStr">
        <is>
          <t>Philadelphia Union</t>
        </is>
      </c>
      <c r="H31" s="24" t="inlineStr">
        <is>
          <t>total</t>
        </is>
      </c>
      <c r="I31" s="24" t="inlineStr">
        <is>
          <t>over</t>
        </is>
      </c>
      <c r="J31" s="25" t="n">
        <v>2.5</v>
      </c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0.579545</v>
      </c>
      <c r="P31" s="28" t="n">
        <v>0.04</v>
      </c>
      <c r="Q31" s="28" t="n">
        <v>-0.040227</v>
      </c>
      <c r="R31" s="26" t="n">
        <v>6</v>
      </c>
      <c r="S31" s="29" t="n">
        <v>1.25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2</v>
      </c>
      <c r="X31" s="26" t="n">
        <v>3</v>
      </c>
      <c r="Y31" s="25" t="n"/>
      <c r="Z31" s="26" t="n"/>
      <c r="AA31" s="28" t="n"/>
      <c r="AB31" s="28" t="n"/>
      <c r="AC31" s="30" t="n">
        <v>0.7669</v>
      </c>
      <c r="AD31" s="24" t="inlineStr">
        <is>
          <t>2026-08-02T03:26:14.740324Z</t>
        </is>
      </c>
      <c r="AE31" s="31" t="inlineStr">
        <is>
          <t>Poisson-DC rates 1.93 (home) / 1.08 (away) from EWMA attack/defense strengths. Executable ask 0.6200 (tsc-mls-phi-atl-2026-08-01-2pt5).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Atlanta United FC</t>
        </is>
      </c>
      <c r="AQ31" s="24" t="inlineStr">
        <is>
          <t>Atlanta United FC</t>
        </is>
      </c>
      <c r="AR31" s="24" t="inlineStr">
        <is>
          <t>Atlanta United FC</t>
        </is>
      </c>
      <c r="AS31" s="24" t="inlineStr">
        <is>
          <t>Philadelphia Union</t>
        </is>
      </c>
      <c r="AT31" s="24" t="inlineStr">
        <is>
          <t>Philadelphia Union</t>
        </is>
      </c>
      <c r="AU31" s="24" t="inlineStr">
        <is>
          <t>Philadelphia Union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2026-08-01T20:14:26.713468Z</t>
        </is>
      </c>
      <c r="BI31" s="24" t="inlineStr">
        <is>
          <t>["same_event","same_team_same_day","same_league_same_day"]</t>
        </is>
      </c>
      <c r="BJ31" s="25" t="n">
        <v>2.5</v>
      </c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ae6c537b76914b00</t>
        </is>
      </c>
      <c r="B32" s="24" t="inlineStr">
        <is>
          <t>2026-08-01T20:17:05.741632Z</t>
        </is>
      </c>
      <c r="C32" s="24" t="inlineStr">
        <is>
          <t>2026-08-01T23:30Z</t>
        </is>
      </c>
      <c r="D32" s="24" t="inlineStr">
        <is>
          <t>761700</t>
        </is>
      </c>
      <c r="E32" s="24" t="inlineStr">
        <is>
          <t>SOCCER</t>
        </is>
      </c>
      <c r="F32" s="24" t="inlineStr">
        <is>
          <t>San Jose Earthquakes</t>
        </is>
      </c>
      <c r="G32" s="24" t="inlineStr">
        <is>
          <t>FC Cincinnati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0.418282</v>
      </c>
      <c r="P32" s="28" t="n">
        <v>0.04</v>
      </c>
      <c r="Q32" s="28" t="n">
        <v>-0.100949</v>
      </c>
      <c r="R32" s="26" t="n">
        <v>0</v>
      </c>
      <c r="S32" s="29" t="n">
        <v>1.25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2</v>
      </c>
      <c r="X32" s="26" t="n">
        <v>4</v>
      </c>
      <c r="Y32" s="25" t="n"/>
      <c r="Z32" s="26" t="n"/>
      <c r="AA32" s="28" t="n"/>
      <c r="AB32" s="28" t="n"/>
      <c r="AC32" s="30" t="n">
        <v>1.1574</v>
      </c>
      <c r="AD32" s="24" t="inlineStr">
        <is>
          <t>2026-08-02T04:26:21.397669Z</t>
        </is>
      </c>
      <c r="AE32" s="31" t="inlineStr">
        <is>
          <t>Poisson-DC rates 2.60 (home) / 2.52 (away) from EWMA attack/defense strengths. Executable ask 0.5200 (atc-mls-fcc-sje-2026-08-01-fcc).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San Jose Earthquakes</t>
        </is>
      </c>
      <c r="AQ32" s="24" t="inlineStr">
        <is>
          <t>San Jose Earthquakes</t>
        </is>
      </c>
      <c r="AR32" s="24" t="inlineStr">
        <is>
          <t>San Jose Earthquakes</t>
        </is>
      </c>
      <c r="AS32" s="24" t="inlineStr">
        <is>
          <t>FC Cincinnati</t>
        </is>
      </c>
      <c r="AT32" s="24" t="inlineStr">
        <is>
          <t>FC Cincinnati</t>
        </is>
      </c>
      <c r="AU32" s="24" t="inlineStr">
        <is>
          <t>FC Cincinnati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2026-08-01T20:14:21.554713Z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1e573e73d5d24ee5</t>
        </is>
      </c>
      <c r="B33" s="24" t="inlineStr">
        <is>
          <t>2026-08-01T20:17:05.741632Z</t>
        </is>
      </c>
      <c r="C33" s="24" t="inlineStr">
        <is>
          <t>2026-08-01T23:30Z</t>
        </is>
      </c>
      <c r="D33" s="24" t="inlineStr">
        <is>
          <t>761702</t>
        </is>
      </c>
      <c r="E33" s="24" t="inlineStr">
        <is>
          <t>SOCCER</t>
        </is>
      </c>
      <c r="F33" s="24" t="inlineStr">
        <is>
          <t>Atlanta United FC</t>
        </is>
      </c>
      <c r="G33" s="24" t="inlineStr">
        <is>
          <t>Philadelphia Union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0.5599229999999999</v>
      </c>
      <c r="P33" s="28" t="n">
        <v>0.04</v>
      </c>
      <c r="Q33" s="28" t="n">
        <v>-0.049452</v>
      </c>
      <c r="R33" s="26" t="n">
        <v>1</v>
      </c>
      <c r="S33" s="29" t="n">
        <v>1.25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3</v>
      </c>
      <c r="Y33" s="25" t="n"/>
      <c r="Z33" s="26" t="n"/>
      <c r="AA33" s="28" t="n"/>
      <c r="AB33" s="28" t="n"/>
      <c r="AC33" s="30" t="n">
        <v>0.8013</v>
      </c>
      <c r="AD33" s="24" t="inlineStr">
        <is>
          <t>2026-08-02T03:26:15.763444Z</t>
        </is>
      </c>
      <c r="AE33" s="31" t="inlineStr">
        <is>
          <t>Poisson-DC rates 1.93 (home) / 1.08 (away) from EWMA attack/defense strengths. Executable ask 0.6100 (atc-mls-phi-atl-2026-08-01-phi).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Atlanta United FC</t>
        </is>
      </c>
      <c r="AQ33" s="24" t="inlineStr">
        <is>
          <t>Atlanta United FC</t>
        </is>
      </c>
      <c r="AR33" s="24" t="inlineStr">
        <is>
          <t>Atlanta United FC</t>
        </is>
      </c>
      <c r="AS33" s="24" t="inlineStr">
        <is>
          <t>Philadelphia Union</t>
        </is>
      </c>
      <c r="AT33" s="24" t="inlineStr">
        <is>
          <t>Philadelphia Union</t>
        </is>
      </c>
      <c r="AU33" s="24" t="inlineStr">
        <is>
          <t>Philadelphia Union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2026-08-01T20:14:26.266239Z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40b54f606eb04e02</t>
        </is>
      </c>
      <c r="B34" s="24" t="inlineStr">
        <is>
          <t>2026-08-01T20:17:05.741632Z</t>
        </is>
      </c>
      <c r="C34" s="24" t="inlineStr">
        <is>
          <t>2026-08-01T21:00Z</t>
        </is>
      </c>
      <c r="D34" s="24" t="inlineStr">
        <is>
          <t>401841478</t>
        </is>
      </c>
      <c r="E34" s="24" t="inlineStr">
        <is>
          <t>SOCCER</t>
        </is>
      </c>
      <c r="F34" s="24" t="inlineStr">
        <is>
          <t>Defensa y Justicia</t>
        </is>
      </c>
      <c r="G34" s="24" t="inlineStr">
        <is>
          <t>Estudiantes de La Plata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0.451659</v>
      </c>
      <c r="P34" s="28" t="n">
        <v>0.2</v>
      </c>
      <c r="Q34" s="28" t="n">
        <v>-0.138505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3</v>
      </c>
      <c r="Y34" s="25" t="n"/>
      <c r="Z34" s="26" t="n"/>
      <c r="AA34" s="28" t="n"/>
      <c r="AB34" s="28" t="n"/>
      <c r="AC34" s="30" t="n">
        <v>0.6944</v>
      </c>
      <c r="AD34" s="24" t="inlineStr">
        <is>
          <t>2026-08-01T23:51:10.459392Z</t>
        </is>
      </c>
      <c r="AE34" s="31" t="inlineStr">
        <is>
          <t>Poisson-DC rates 1.59 (home) / 1.20 (away) from EWMA attack/defense strengths. Executable ask 0.5900 (atc-lpa-est-def-2026-08-01-est).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Defensa y Justicia</t>
        </is>
      </c>
      <c r="AQ34" s="24" t="inlineStr">
        <is>
          <t>Defensa y Justicia</t>
        </is>
      </c>
      <c r="AR34" s="24" t="inlineStr">
        <is>
          <t>Defensa y Justicia</t>
        </is>
      </c>
      <c r="AS34" s="24" t="inlineStr">
        <is>
          <t>Estudiantes de La Plata</t>
        </is>
      </c>
      <c r="AT34" s="24" t="inlineStr">
        <is>
          <t>Estudiantes de La Plata</t>
        </is>
      </c>
      <c r="AU34" s="24" t="inlineStr">
        <is>
          <t>Estudiantes de La Plata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2026-08-01T20:14:41.137983Z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0318e2143c9e4155</t>
        </is>
      </c>
      <c r="B35" s="24" t="inlineStr">
        <is>
          <t>2026-08-01T20:17:05.741632Z</t>
        </is>
      </c>
      <c r="C35" s="24" t="inlineStr">
        <is>
          <t>2026-08-01T23:30Z</t>
        </is>
      </c>
      <c r="D35" s="24" t="inlineStr">
        <is>
          <t>401841475</t>
        </is>
      </c>
      <c r="E35" s="24" t="inlineStr">
        <is>
          <t>SOCCER</t>
        </is>
      </c>
      <c r="F35" s="24" t="inlineStr">
        <is>
          <t>Tigre</t>
        </is>
      </c>
      <c r="G35" s="24" t="inlineStr">
        <is>
          <t>Racing Club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0.483295</v>
      </c>
      <c r="P35" s="28" t="n">
        <v>0.2</v>
      </c>
      <c r="Q35" s="28" t="n">
        <v>0.013811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2026-08-02T03:26:17.235577Z</t>
        </is>
      </c>
      <c r="AE35" s="31" t="inlineStr">
        <is>
          <t>Poisson-DC rates 1.72 (home) / 1.20 (away) from EWMA attack/defense strengths. Executable ask 0.4700 (atc-lpa-rac-tig-2026-08-01-rac).</t>
        </is>
      </c>
      <c r="AF35" s="31" t="inlineStr">
        <is>
          <t>Research-only soccer score model; draw-aware, but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Tigre</t>
        </is>
      </c>
      <c r="AQ35" s="24" t="inlineStr">
        <is>
          <t>Tigre</t>
        </is>
      </c>
      <c r="AR35" s="24" t="inlineStr">
        <is>
          <t>Tigre</t>
        </is>
      </c>
      <c r="AS35" s="24" t="inlineStr">
        <is>
          <t>Racing Club</t>
        </is>
      </c>
      <c r="AT35" s="24" t="inlineStr">
        <is>
          <t>Racing Club</t>
        </is>
      </c>
      <c r="AU35" s="24" t="inlineStr">
        <is>
          <t>Racing Club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2026-08-01T20:14:41.628532Z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711928eecb964b43</t>
        </is>
      </c>
      <c r="B36" s="24" t="inlineStr">
        <is>
          <t>2026-08-01T20:17:05.741632Z</t>
        </is>
      </c>
      <c r="C36" s="24" t="inlineStr">
        <is>
          <t>2026-08-01T21:30Z</t>
        </is>
      </c>
      <c r="D36" s="24" t="inlineStr">
        <is>
          <t>401850608</t>
        </is>
      </c>
      <c r="E36" s="24" t="inlineStr">
        <is>
          <t>SOCCER</t>
        </is>
      </c>
      <c r="F36" s="24" t="inlineStr">
        <is>
          <t>Coquimbo Unido</t>
        </is>
      </c>
      <c r="G36" s="24" t="inlineStr">
        <is>
          <t>Palestino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186</v>
      </c>
      <c r="M36" s="27" t="n">
        <v>2.86</v>
      </c>
      <c r="N36" s="28" t="n">
        <v>0.34965</v>
      </c>
      <c r="O36" s="28" t="n">
        <v>0.505507</v>
      </c>
      <c r="P36" s="28" t="n">
        <v>0.2</v>
      </c>
      <c r="Q36" s="28" t="n">
        <v>0.155857</v>
      </c>
      <c r="R36" s="26" t="n">
        <v>8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2</v>
      </c>
      <c r="Y36" s="25" t="n"/>
      <c r="Z36" s="26" t="n"/>
      <c r="AA36" s="28" t="n"/>
      <c r="AB36" s="28" t="n"/>
      <c r="AC36" s="30" t="n">
        <v>1.86</v>
      </c>
      <c r="AD36" s="24" t="inlineStr">
        <is>
          <t>2026-08-01T23:51:10.837881Z</t>
        </is>
      </c>
      <c r="AE36" s="31" t="inlineStr">
        <is>
          <t>Poisson-DC rates 1.72 (home) / 1.10 (away) from EWMA attack/defense strengths. Executable ask 0.3500 (atc-pdc-pal-coq-2026-08-01-pal).</t>
        </is>
      </c>
      <c r="AF36" s="31" t="inlineStr">
        <is>
          <t>Research-only soccer score model; draw-aware, but not yet locked-holdout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Coquimbo Unido</t>
        </is>
      </c>
      <c r="AQ36" s="24" t="inlineStr">
        <is>
          <t>Coquimbo Unido</t>
        </is>
      </c>
      <c r="AR36" s="24" t="inlineStr">
        <is>
          <t>Coquimbo Unido</t>
        </is>
      </c>
      <c r="AS36" s="24" t="inlineStr">
        <is>
          <t>Palestino</t>
        </is>
      </c>
      <c r="AT36" s="24" t="inlineStr">
        <is>
          <t>Palestino</t>
        </is>
      </c>
      <c r="AU36" s="24" t="inlineStr">
        <is>
          <t>Palestino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2026-08-01T20:14:43.888722Z</t>
        </is>
      </c>
      <c r="BI36" s="24" t="inlineStr">
        <is>
          <t>["same_event","same_team_same_day","same_league_same_day"]</t>
        </is>
      </c>
      <c r="BJ36" s="25" t="n"/>
      <c r="BK36" s="26" t="n">
        <v>186</v>
      </c>
      <c r="BL36" s="27" t="n">
        <v>2.86</v>
      </c>
      <c r="BM36" s="28" t="n">
        <v>0.34965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d5a1a0d79fb04e60</t>
        </is>
      </c>
      <c r="B37" s="24" t="inlineStr">
        <is>
          <t>2026-08-01T23:53:24.455746Z</t>
        </is>
      </c>
      <c r="C37" s="24" t="inlineStr">
        <is>
          <t>2026-08-02T00:30Z</t>
        </is>
      </c>
      <c r="D37" s="24" t="inlineStr">
        <is>
          <t>761704</t>
        </is>
      </c>
      <c r="E37" s="24" t="inlineStr">
        <is>
          <t>SOCCER</t>
        </is>
      </c>
      <c r="F37" s="24" t="inlineStr">
        <is>
          <t>Charlotte FC</t>
        </is>
      </c>
      <c r="G37" s="24" t="inlineStr">
        <is>
          <t>Chicago Fire FC</t>
        </is>
      </c>
      <c r="H37" s="24" t="inlineStr">
        <is>
          <t>total</t>
        </is>
      </c>
      <c r="I37" s="24" t="inlineStr">
        <is>
          <t>over</t>
        </is>
      </c>
      <c r="J37" s="25" t="n">
        <v>2.5</v>
      </c>
      <c r="K37" s="24" t="inlineStr">
        <is>
          <t>polymarket_us</t>
        </is>
      </c>
      <c r="L37" s="26" t="n">
        <v>-223</v>
      </c>
      <c r="M37" s="27" t="n">
        <v>1.44843</v>
      </c>
      <c r="N37" s="28" t="n">
        <v>0.690402</v>
      </c>
      <c r="O37" s="28" t="n">
        <v>0.676403</v>
      </c>
      <c r="P37" s="28" t="n">
        <v>0.04</v>
      </c>
      <c r="Q37" s="28" t="n">
        <v>-0.013999</v>
      </c>
      <c r="R37" s="26" t="n">
        <v>19</v>
      </c>
      <c r="S37" s="29" t="n">
        <v>2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2</v>
      </c>
      <c r="Y37" s="25" t="n"/>
      <c r="Z37" s="26" t="n"/>
      <c r="AA37" s="28" t="n"/>
      <c r="AB37" s="28" t="n"/>
      <c r="AC37" s="30" t="n">
        <v>0.8969</v>
      </c>
      <c r="AD37" s="24" t="inlineStr">
        <is>
          <t>2026-08-02T03:26:17.505871Z</t>
        </is>
      </c>
      <c r="AE37" s="31" t="inlineStr">
        <is>
          <t>Poisson-DC rates 2.21 (home) / 1.28 (away) from EWMA attack/defense strengths. Executable ask 0.6900 (tsc-mls-chi-clt-2026-08-01-2pt5).</t>
        </is>
      </c>
      <c r="AF37" s="31" t="inlineStr">
        <is>
          <t>Research-only soccer score model; draw-aware, but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Charlotte FC</t>
        </is>
      </c>
      <c r="AQ37" s="24" t="inlineStr">
        <is>
          <t>Charlotte FC</t>
        </is>
      </c>
      <c r="AR37" s="24" t="inlineStr">
        <is>
          <t>Charlotte FC</t>
        </is>
      </c>
      <c r="AS37" s="24" t="inlineStr">
        <is>
          <t>Chicago Fire FC</t>
        </is>
      </c>
      <c r="AT37" s="24" t="inlineStr">
        <is>
          <t>Chicago Fire FC</t>
        </is>
      </c>
      <c r="AU37" s="24" t="inlineStr">
        <is>
          <t>Chicago Fire FC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2026-08-01T23:52:03.726485Z</t>
        </is>
      </c>
      <c r="BI37" s="24" t="inlineStr">
        <is>
          <t>["same_event","same_team_same_day","same_league_same_day"]</t>
        </is>
      </c>
      <c r="BJ37" s="25" t="n">
        <v>2.5</v>
      </c>
      <c r="BK37" s="26" t="n">
        <v>-223</v>
      </c>
      <c r="BL37" s="27" t="n">
        <v>1.44843</v>
      </c>
      <c r="BM37" s="28" t="n">
        <v>0.690402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77cbdb972f24408c</t>
        </is>
      </c>
      <c r="B38" s="24" t="inlineStr">
        <is>
          <t>2026-08-01T23:53:24.455746Z</t>
        </is>
      </c>
      <c r="C38" s="24" t="inlineStr">
        <is>
          <t>2026-08-02T00:30Z</t>
        </is>
      </c>
      <c r="D38" s="24" t="inlineStr">
        <is>
          <t>761703</t>
        </is>
      </c>
      <c r="E38" s="24" t="inlineStr">
        <is>
          <t>SOCCER</t>
        </is>
      </c>
      <c r="F38" s="24" t="inlineStr">
        <is>
          <t>San Diego FC</t>
        </is>
      </c>
      <c r="G38" s="24" t="inlineStr">
        <is>
          <t>Minnesota United FC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-170</v>
      </c>
      <c r="M38" s="27" t="n">
        <v>1.588235</v>
      </c>
      <c r="N38" s="28" t="n">
        <v>0.62963</v>
      </c>
      <c r="O38" s="28" t="n">
        <v>0.66611</v>
      </c>
      <c r="P38" s="28" t="n">
        <v>0.04</v>
      </c>
      <c r="Q38" s="28" t="n">
        <v>0.03648</v>
      </c>
      <c r="R38" s="26" t="n">
        <v>44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1</v>
      </c>
      <c r="Y38" s="25" t="n"/>
      <c r="Z38" s="26" t="n"/>
      <c r="AA38" s="28" t="n"/>
      <c r="AB38" s="28" t="n"/>
      <c r="AC38" s="30" t="n">
        <v>-1.75</v>
      </c>
      <c r="AD38" s="24" t="inlineStr">
        <is>
          <t>2026-08-02T03:26:17.790482Z</t>
        </is>
      </c>
      <c r="AE38" s="31" t="inlineStr">
        <is>
          <t>Poisson-DC rates 1.78 (home) / 1.65 (away) from EWMA attack/defense strengths. Executable ask 0.6300 (tsc-mls-min-sdg-2026-08-01-2pt5).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San Diego FC</t>
        </is>
      </c>
      <c r="AQ38" s="24" t="inlineStr">
        <is>
          <t>San Diego FC</t>
        </is>
      </c>
      <c r="AR38" s="24" t="inlineStr">
        <is>
          <t>San Diego FC</t>
        </is>
      </c>
      <c r="AS38" s="24" t="inlineStr">
        <is>
          <t>Minnesota United FC</t>
        </is>
      </c>
      <c r="AT38" s="24" t="inlineStr">
        <is>
          <t>Minnesota United FC</t>
        </is>
      </c>
      <c r="AU38" s="24" t="inlineStr">
        <is>
          <t>Minnesota United FC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2026-08-01T23:52:06.222075Z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-170</v>
      </c>
      <c r="BL38" s="27" t="n">
        <v>1.588235</v>
      </c>
      <c r="BM38" s="28" t="n">
        <v>0.62963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6fd0a3d28ba44e1a</t>
        </is>
      </c>
      <c r="B39" s="24" t="inlineStr">
        <is>
          <t>2026-08-01T23:53:24.455746Z</t>
        </is>
      </c>
      <c r="C39" s="24" t="inlineStr">
        <is>
          <t>2026-08-02T00:30Z</t>
        </is>
      </c>
      <c r="D39" s="24" t="inlineStr">
        <is>
          <t>761706</t>
        </is>
      </c>
      <c r="E39" s="24" t="inlineStr">
        <is>
          <t>SOCCER</t>
        </is>
      </c>
      <c r="F39" s="24" t="inlineStr">
        <is>
          <t>Houston Dynamo FC</t>
        </is>
      </c>
      <c r="G39" s="24" t="inlineStr">
        <is>
          <t>Sporting Kansas City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0.651724</v>
      </c>
      <c r="P39" s="28" t="n">
        <v>0.04</v>
      </c>
      <c r="Q39" s="28" t="n">
        <v>0.06156</v>
      </c>
      <c r="R39" s="26" t="n">
        <v>57</v>
      </c>
      <c r="S39" s="29" t="n">
        <v>1.75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2026-08-02T03:26:18.086130Z</t>
        </is>
      </c>
      <c r="AE39" s="31" t="inlineStr">
        <is>
          <t>Poisson-DC rates 1.49 (home) / 1.87 (away) from EWMA attack/defense strengths. Executable ask 0.5900 (tsc-mls-skc-hou-2026-08-01-2pt5).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Houston Dynamo FC</t>
        </is>
      </c>
      <c r="AQ39" s="24" t="inlineStr">
        <is>
          <t>Houston Dynamo FC</t>
        </is>
      </c>
      <c r="AR39" s="24" t="inlineStr">
        <is>
          <t>Houston Dynamo FC</t>
        </is>
      </c>
      <c r="AS39" s="24" t="inlineStr">
        <is>
          <t>Sporting Kansas City</t>
        </is>
      </c>
      <c r="AT39" s="24" t="inlineStr">
        <is>
          <t>Sporting Kansas City</t>
        </is>
      </c>
      <c r="AU39" s="24" t="inlineStr">
        <is>
          <t>Sporting Kansas City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2026-08-01T23:52:07.836349Z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90c023aa72c64cfc</t>
        </is>
      </c>
      <c r="B40" s="24" t="inlineStr">
        <is>
          <t>2026-08-01T23:53:24.455746Z</t>
        </is>
      </c>
      <c r="C40" s="24" t="inlineStr">
        <is>
          <t>2026-08-02T00:30Z</t>
        </is>
      </c>
      <c r="D40" s="24" t="inlineStr">
        <is>
          <t>761705</t>
        </is>
      </c>
      <c r="E40" s="24" t="inlineStr">
        <is>
          <t>SOCCER</t>
        </is>
      </c>
      <c r="F40" s="24" t="inlineStr">
        <is>
          <t>Real Salt Lake</t>
        </is>
      </c>
      <c r="G40" s="24" t="inlineStr">
        <is>
          <t>St. Louis CITY SC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-178</v>
      </c>
      <c r="M40" s="27" t="n">
        <v>1.561798</v>
      </c>
      <c r="N40" s="28" t="n">
        <v>0.640288</v>
      </c>
      <c r="O40" s="28" t="n">
        <v>0.623765</v>
      </c>
      <c r="P40" s="28" t="n">
        <v>0.04</v>
      </c>
      <c r="Q40" s="28" t="n">
        <v>-0.016523</v>
      </c>
      <c r="R40" s="26" t="n">
        <v>18</v>
      </c>
      <c r="S40" s="29" t="n">
        <v>1.5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1</v>
      </c>
      <c r="Y40" s="25" t="n"/>
      <c r="Z40" s="26" t="n"/>
      <c r="AA40" s="28" t="n"/>
      <c r="AB40" s="28" t="n"/>
      <c r="AC40" s="30" t="n">
        <v>-1.5</v>
      </c>
      <c r="AD40" s="24" t="inlineStr">
        <is>
          <t>2026-08-02T03:26:18.397668Z</t>
        </is>
      </c>
      <c r="AE40" s="31" t="inlineStr">
        <is>
          <t>Poisson-DC rates 1.71 (home) / 1.51 (away) from EWMA attack/defense strengths. Executable ask 0.6400 (tsc-mls-stl-rsl-2026-08-01-2pt5).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Real Salt Lake</t>
        </is>
      </c>
      <c r="AQ40" s="24" t="inlineStr">
        <is>
          <t>Real Salt Lake</t>
        </is>
      </c>
      <c r="AR40" s="24" t="inlineStr">
        <is>
          <t>Real Salt Lake</t>
        </is>
      </c>
      <c r="AS40" s="24" t="inlineStr">
        <is>
          <t>St. Louis CITY SC</t>
        </is>
      </c>
      <c r="AT40" s="24" t="inlineStr">
        <is>
          <t>St. Louis CITY SC</t>
        </is>
      </c>
      <c r="AU40" s="24" t="inlineStr">
        <is>
          <t>St. Louis CITY SC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2026-08-01T23:52:08.422932Z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-178</v>
      </c>
      <c r="BL40" s="27" t="n">
        <v>1.561798</v>
      </c>
      <c r="BM40" s="28" t="n">
        <v>0.640288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0d3ad5512fa74cd7</t>
        </is>
      </c>
      <c r="B41" s="24" t="inlineStr">
        <is>
          <t>2026-08-01T23:53:24.455746Z</t>
        </is>
      </c>
      <c r="C41" s="24" t="inlineStr">
        <is>
          <t>2026-08-02T01:30Z</t>
        </is>
      </c>
      <c r="D41" s="24" t="inlineStr">
        <is>
          <t>761707</t>
        </is>
      </c>
      <c r="E41" s="24" t="inlineStr">
        <is>
          <t>SOCCER</t>
        </is>
      </c>
      <c r="F41" s="24" t="inlineStr">
        <is>
          <t>Austin FC</t>
        </is>
      </c>
      <c r="G41" s="24" t="inlineStr">
        <is>
          <t>Colorado Rapids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-138</v>
      </c>
      <c r="M41" s="27" t="n">
        <v>1.724638</v>
      </c>
      <c r="N41" s="28" t="n">
        <v>0.579832</v>
      </c>
      <c r="O41" s="28" t="n">
        <v>0.683176</v>
      </c>
      <c r="P41" s="28" t="n">
        <v>0.04</v>
      </c>
      <c r="Q41" s="28" t="n">
        <v>0.103344</v>
      </c>
      <c r="R41" s="26" t="n">
        <v>78</v>
      </c>
      <c r="S41" s="29" t="n">
        <v>2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2026-08-02T04:26:21.660283Z</t>
        </is>
      </c>
      <c r="AE41" s="31" t="inlineStr">
        <is>
          <t>Poisson-DC rates 2.28 (home) / 1.24 (away) from EWMA attack/defense strengths. Executable ask 0.5800 (tsc-mls-col-aus-2026-08-01-2pt5).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Austin FC</t>
        </is>
      </c>
      <c r="AQ41" s="24" t="inlineStr">
        <is>
          <t>Austin FC</t>
        </is>
      </c>
      <c r="AR41" s="24" t="inlineStr">
        <is>
          <t>Austin FC</t>
        </is>
      </c>
      <c r="AS41" s="24" t="inlineStr">
        <is>
          <t>Colorado Rapids</t>
        </is>
      </c>
      <c r="AT41" s="24" t="inlineStr">
        <is>
          <t>Colorado Rapids</t>
        </is>
      </c>
      <c r="AU41" s="24" t="inlineStr">
        <is>
          <t>Colorado Rapids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2026-08-01T23:52:11.070621Z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-138</v>
      </c>
      <c r="BL41" s="27" t="n">
        <v>1.724638</v>
      </c>
      <c r="BM41" s="28" t="n">
        <v>0.579832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bc1b966bcbff4244</t>
        </is>
      </c>
      <c r="B42" s="24" t="inlineStr">
        <is>
          <t>2026-08-01T23:53:24.455746Z</t>
        </is>
      </c>
      <c r="C42" s="24" t="inlineStr">
        <is>
          <t>2026-08-02T02:30Z</t>
        </is>
      </c>
      <c r="D42" s="24" t="inlineStr">
        <is>
          <t>761709</t>
        </is>
      </c>
      <c r="E42" s="24" t="inlineStr">
        <is>
          <t>SOCCER</t>
        </is>
      </c>
      <c r="F42" s="24" t="inlineStr">
        <is>
          <t>FC Dallas</t>
        </is>
      </c>
      <c r="G42" s="24" t="inlineStr">
        <is>
          <t>LA Galaxy</t>
        </is>
      </c>
      <c r="H42" s="24" t="inlineStr">
        <is>
          <t>total</t>
        </is>
      </c>
      <c r="I42" s="24" t="inlineStr">
        <is>
          <t>over</t>
        </is>
      </c>
      <c r="J42" s="25" t="n">
        <v>2.5</v>
      </c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0.6876370000000001</v>
      </c>
      <c r="P42" s="28" t="n">
        <v>0.04</v>
      </c>
      <c r="Q42" s="28" t="n">
        <v>0.047349</v>
      </c>
      <c r="R42" s="26" t="n">
        <v>50</v>
      </c>
      <c r="S42" s="29" t="n">
        <v>2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0</v>
      </c>
      <c r="Y42" s="25" t="n"/>
      <c r="Z42" s="26" t="n"/>
      <c r="AA42" s="28" t="n"/>
      <c r="AB42" s="28" t="n"/>
      <c r="AC42" s="30" t="n">
        <v>-2</v>
      </c>
      <c r="AD42" s="24" t="inlineStr">
        <is>
          <t>2026-08-02T05:39:24.511943Z</t>
        </is>
      </c>
      <c r="AE42" s="31" t="inlineStr">
        <is>
          <t>Poisson-DC rates 1.76 (home) / 1.79 (away) from EWMA attack/defense strengths. Executable ask 0.6400 (tsc-mls-lag-dal-2026-08-01-2pt5).</t>
        </is>
      </c>
      <c r="AF42" s="31" t="inlineStr">
        <is>
          <t>Research-only soccer score model; draw-aware, but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FC Dallas</t>
        </is>
      </c>
      <c r="AQ42" s="24" t="inlineStr">
        <is>
          <t>FC Dallas</t>
        </is>
      </c>
      <c r="AR42" s="24" t="inlineStr">
        <is>
          <t>FC Dallas</t>
        </is>
      </c>
      <c r="AS42" s="24" t="inlineStr">
        <is>
          <t>LA Galaxy</t>
        </is>
      </c>
      <c r="AT42" s="24" t="inlineStr">
        <is>
          <t>LA Galaxy</t>
        </is>
      </c>
      <c r="AU42" s="24" t="inlineStr">
        <is>
          <t>LA Galaxy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2026-08-01T23:52:12.107324Z</t>
        </is>
      </c>
      <c r="BI42" s="24" t="inlineStr">
        <is>
          <t>["same_event","same_team_same_day","same_league_same_day"]</t>
        </is>
      </c>
      <c r="BJ42" s="25" t="n">
        <v>2.5</v>
      </c>
      <c r="BK42" s="26" t="n">
        <v>-178</v>
      </c>
      <c r="BL42" s="27" t="n">
        <v>1.561798</v>
      </c>
      <c r="BM42" s="28" t="n">
        <v>0.640288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22fbb5383a354f59</t>
        </is>
      </c>
      <c r="B43" s="24" t="inlineStr">
        <is>
          <t>2026-08-01T23:53:24.455746Z</t>
        </is>
      </c>
      <c r="C43" s="24" t="inlineStr">
        <is>
          <t>2026-08-02T02:45Z</t>
        </is>
      </c>
      <c r="D43" s="24" t="inlineStr">
        <is>
          <t>761708</t>
        </is>
      </c>
      <c r="E43" s="24" t="inlineStr">
        <is>
          <t>SOCCER</t>
        </is>
      </c>
      <c r="F43" s="24" t="inlineStr">
        <is>
          <t>Seattle Sounders FC</t>
        </is>
      </c>
      <c r="G43" s="24" t="inlineStr">
        <is>
          <t>Portland Timbers</t>
        </is>
      </c>
      <c r="H43" s="24" t="inlineStr">
        <is>
          <t>total</t>
        </is>
      </c>
      <c r="I43" s="24" t="inlineStr">
        <is>
          <t>over</t>
        </is>
      </c>
      <c r="J43" s="25" t="n">
        <v>2.5</v>
      </c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0.666723</v>
      </c>
      <c r="P43" s="28" t="n">
        <v>0.04</v>
      </c>
      <c r="Q43" s="28" t="n">
        <v>-0.003244</v>
      </c>
      <c r="R43" s="26" t="n">
        <v>24</v>
      </c>
      <c r="S43" s="29" t="n">
        <v>1.75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0.8621</v>
      </c>
      <c r="AD43" s="24" t="inlineStr">
        <is>
          <t>2026-08-02T05:39:25.044697Z</t>
        </is>
      </c>
      <c r="AE43" s="31" t="inlineStr">
        <is>
          <t>Poisson-DC rates 1.85 (home) / 1.59 (away) from EWMA attack/defense strengths. Executable ask 0.6700 (tsc-mls-por-sea-2026-08-01-2pt5).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Seattle Sounders FC</t>
        </is>
      </c>
      <c r="AQ43" s="24" t="inlineStr">
        <is>
          <t>Seattle Sounders FC</t>
        </is>
      </c>
      <c r="AR43" s="24" t="inlineStr">
        <is>
          <t>Seattle Sounders FC</t>
        </is>
      </c>
      <c r="AS43" s="24" t="inlineStr">
        <is>
          <t>Portland Timbers</t>
        </is>
      </c>
      <c r="AT43" s="24" t="inlineStr">
        <is>
          <t>Portland Timbers</t>
        </is>
      </c>
      <c r="AU43" s="24" t="inlineStr">
        <is>
          <t>Portland Timbers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2026-08-01T23:52:13.426637Z</t>
        </is>
      </c>
      <c r="BI43" s="24" t="inlineStr">
        <is>
          <t>["same_event","same_team_same_day","same_league_same_day"]</t>
        </is>
      </c>
      <c r="BJ43" s="25" t="n">
        <v>2.5</v>
      </c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fc4e7c8832354064</t>
        </is>
      </c>
      <c r="B44" s="24" t="inlineStr">
        <is>
          <t>2026-08-01T23:53:24.455746Z</t>
        </is>
      </c>
      <c r="C44" s="24" t="inlineStr">
        <is>
          <t>2026-08-02T00:30Z</t>
        </is>
      </c>
      <c r="D44" s="24" t="inlineStr">
        <is>
          <t>761704</t>
        </is>
      </c>
      <c r="E44" s="24" t="inlineStr">
        <is>
          <t>SOCCER</t>
        </is>
      </c>
      <c r="F44" s="24" t="inlineStr">
        <is>
          <t>Charlotte FC</t>
        </is>
      </c>
      <c r="G44" s="24" t="inlineStr">
        <is>
          <t>Chicago Fire FC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0.576863</v>
      </c>
      <c r="P44" s="28" t="n">
        <v>0.04</v>
      </c>
      <c r="Q44" s="28" t="n">
        <v>-0.073487</v>
      </c>
      <c r="R44" s="26" t="n">
        <v>0</v>
      </c>
      <c r="S44" s="29" t="n">
        <v>1.25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2</v>
      </c>
      <c r="Y44" s="25" t="n"/>
      <c r="Z44" s="26" t="n"/>
      <c r="AA44" s="28" t="n"/>
      <c r="AB44" s="28" t="n"/>
      <c r="AC44" s="30" t="n">
        <v>0.672</v>
      </c>
      <c r="AD44" s="24" t="inlineStr">
        <is>
          <t>2026-08-02T03:26:18.789170Z</t>
        </is>
      </c>
      <c r="AE44" s="31" t="inlineStr">
        <is>
          <t>Poisson-DC rates 2.21 (home) / 1.28 (away) from EWMA attack/defense strengths. Executable ask 0.6500 (atc-mls-chi-clt-2026-08-01-chi).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Charlotte FC</t>
        </is>
      </c>
      <c r="AQ44" s="24" t="inlineStr">
        <is>
          <t>Charlotte FC</t>
        </is>
      </c>
      <c r="AR44" s="24" t="inlineStr">
        <is>
          <t>Charlotte FC</t>
        </is>
      </c>
      <c r="AS44" s="24" t="inlineStr">
        <is>
          <t>Chicago Fire FC</t>
        </is>
      </c>
      <c r="AT44" s="24" t="inlineStr">
        <is>
          <t>Chicago Fire FC</t>
        </is>
      </c>
      <c r="AU44" s="24" t="inlineStr">
        <is>
          <t>Chicago Fire FC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2026-08-01T23:52:03.002096Z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6faae02228ba477e</t>
        </is>
      </c>
      <c r="B45" s="24" t="inlineStr">
        <is>
          <t>2026-08-01T23:53:24.455746Z</t>
        </is>
      </c>
      <c r="C45" s="24" t="inlineStr">
        <is>
          <t>2026-08-02T00:30Z</t>
        </is>
      </c>
      <c r="D45" s="24" t="inlineStr">
        <is>
          <t>761706</t>
        </is>
      </c>
      <c r="E45" s="24" t="inlineStr">
        <is>
          <t>SOCCER</t>
        </is>
      </c>
      <c r="F45" s="24" t="inlineStr">
        <is>
          <t>Houston Dynamo FC</t>
        </is>
      </c>
      <c r="G45" s="24" t="inlineStr">
        <is>
          <t>Sporting Kansas City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0.458041</v>
      </c>
      <c r="P45" s="28" t="n">
        <v>0.04</v>
      </c>
      <c r="Q45" s="28" t="n">
        <v>-0.002788</v>
      </c>
      <c r="R45" s="26" t="n">
        <v>25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0</v>
      </c>
      <c r="Y45" s="25" t="n"/>
      <c r="Z45" s="26" t="n"/>
      <c r="AA45" s="28" t="n"/>
      <c r="AB45" s="28" t="n"/>
      <c r="AC45" s="30" t="n">
        <v>1.17</v>
      </c>
      <c r="AD45" s="24" t="inlineStr">
        <is>
          <t>2026-08-02T03:26:19.661895Z</t>
        </is>
      </c>
      <c r="AE45" s="31" t="inlineStr">
        <is>
          <t>Poisson-DC rates 1.49 (home) / 1.87 (away) from EWMA attack/defense strengths. Executable ask 0.4600 (atc-mls-skc-hou-2026-08-01-hou).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Houston Dynamo FC</t>
        </is>
      </c>
      <c r="AQ45" s="24" t="inlineStr">
        <is>
          <t>Houston Dynamo FC</t>
        </is>
      </c>
      <c r="AR45" s="24" t="inlineStr">
        <is>
          <t>Houston Dynamo FC</t>
        </is>
      </c>
      <c r="AS45" s="24" t="inlineStr">
        <is>
          <t>Sporting Kansas City</t>
        </is>
      </c>
      <c r="AT45" s="24" t="inlineStr">
        <is>
          <t>Sporting Kansas City</t>
        </is>
      </c>
      <c r="AU45" s="24" t="inlineStr">
        <is>
          <t>Sporting Kansas City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2026-08-01T23:52:06.344991Z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22f0f340d5054823</t>
        </is>
      </c>
      <c r="B46" s="24" t="inlineStr">
        <is>
          <t>2026-08-01T23:53:24.455746Z</t>
        </is>
      </c>
      <c r="C46" s="24" t="inlineStr">
        <is>
          <t>2026-08-02T01:30Z</t>
        </is>
      </c>
      <c r="D46" s="24" t="inlineStr">
        <is>
          <t>761707</t>
        </is>
      </c>
      <c r="E46" s="24" t="inlineStr">
        <is>
          <t>SOCCER</t>
        </is>
      </c>
      <c r="F46" s="24" t="inlineStr">
        <is>
          <t>Austin FC</t>
        </is>
      </c>
      <c r="G46" s="24" t="inlineStr">
        <is>
          <t>Colorado Rapids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0.6000259999999999</v>
      </c>
      <c r="P46" s="28" t="n">
        <v>0.04</v>
      </c>
      <c r="Q46" s="28" t="n">
        <v>0.040555</v>
      </c>
      <c r="R46" s="26" t="n">
        <v>46</v>
      </c>
      <c r="S46" s="29" t="n">
        <v>1.5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1.1811</v>
      </c>
      <c r="AD46" s="24" t="inlineStr">
        <is>
          <t>2026-08-02T04:26:21.937064Z</t>
        </is>
      </c>
      <c r="AE46" s="31" t="inlineStr">
        <is>
          <t>Poisson-DC rates 2.28 (home) / 1.24 (away) from EWMA attack/defense strengths. Executable ask 0.5600 (atc-mls-col-aus-2026-08-01-col).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Austin FC</t>
        </is>
      </c>
      <c r="AQ46" s="24" t="inlineStr">
        <is>
          <t>Austin FC</t>
        </is>
      </c>
      <c r="AR46" s="24" t="inlineStr">
        <is>
          <t>Austin FC</t>
        </is>
      </c>
      <c r="AS46" s="24" t="inlineStr">
        <is>
          <t>Colorado Rapids</t>
        </is>
      </c>
      <c r="AT46" s="24" t="inlineStr">
        <is>
          <t>Colorado Rapids</t>
        </is>
      </c>
      <c r="AU46" s="24" t="inlineStr">
        <is>
          <t>Colorado Rapids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2026-08-01T23:52:09.543896Z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6a04218c09a84664</t>
        </is>
      </c>
      <c r="B47" s="24" t="inlineStr">
        <is>
          <t>2026-08-01T23:53:24.455746Z</t>
        </is>
      </c>
      <c r="C47" s="24" t="inlineStr">
        <is>
          <t>2026-08-02T02:45Z</t>
        </is>
      </c>
      <c r="D47" s="24" t="inlineStr">
        <is>
          <t>761708</t>
        </is>
      </c>
      <c r="E47" s="24" t="inlineStr">
        <is>
          <t>SOCCER</t>
        </is>
      </c>
      <c r="F47" s="24" t="inlineStr">
        <is>
          <t>Seattle Sounders FC</t>
        </is>
      </c>
      <c r="G47" s="24" t="inlineStr">
        <is>
          <t>Portland Timbers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0.432832</v>
      </c>
      <c r="P47" s="28" t="n">
        <v>0.04</v>
      </c>
      <c r="Q47" s="28" t="n">
        <v>-0.036652</v>
      </c>
      <c r="R47" s="26" t="n">
        <v>8</v>
      </c>
      <c r="S47" s="29" t="n">
        <v>1.25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2</v>
      </c>
      <c r="Y47" s="25" t="n"/>
      <c r="Z47" s="26" t="n"/>
      <c r="AA47" s="28" t="n"/>
      <c r="AB47" s="28" t="n"/>
      <c r="AC47" s="30" t="n">
        <v>1.4125</v>
      </c>
      <c r="AD47" s="24" t="inlineStr">
        <is>
          <t>2026-08-02T05:39:26.164706Z</t>
        </is>
      </c>
      <c r="AE47" s="31" t="inlineStr">
        <is>
          <t>Poisson-DC rates 1.85 (home) / 1.59 (away) from EWMA attack/defense strengths. Executable ask 0.4700 (atc-mls-por-sea-2026-08-01-por).</t>
        </is>
      </c>
      <c r="AF47" s="31" t="inlineStr">
        <is>
          <t>Research-only soccer score model; draw-aware, but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Seattle Sounders FC</t>
        </is>
      </c>
      <c r="AQ47" s="24" t="inlineStr">
        <is>
          <t>Seattle Sounders FC</t>
        </is>
      </c>
      <c r="AR47" s="24" t="inlineStr">
        <is>
          <t>Seattle Sounders FC</t>
        </is>
      </c>
      <c r="AS47" s="24" t="inlineStr">
        <is>
          <t>Portland Timbers</t>
        </is>
      </c>
      <c r="AT47" s="24" t="inlineStr">
        <is>
          <t>Portland Timbers</t>
        </is>
      </c>
      <c r="AU47" s="24" t="inlineStr">
        <is>
          <t>Portland Timbers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2026-08-01T23:52:12.696180Z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3d7c6e251fde488b</t>
        </is>
      </c>
      <c r="B48" s="24" t="inlineStr">
        <is>
          <t>2026-08-01T23:53:24.455746Z</t>
        </is>
      </c>
      <c r="C48" s="24" t="inlineStr">
        <is>
          <t>2026-08-02T00:00Z</t>
        </is>
      </c>
      <c r="D48" s="24" t="inlineStr">
        <is>
          <t>401859646</t>
        </is>
      </c>
      <c r="E48" s="24" t="inlineStr">
        <is>
          <t>SOCCER</t>
        </is>
      </c>
      <c r="F48" s="24" t="inlineStr">
        <is>
          <t>Aucas</t>
        </is>
      </c>
      <c r="G48" s="24" t="inlineStr">
        <is>
          <t>Emelec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133</v>
      </c>
      <c r="M48" s="27" t="n">
        <v>2.33</v>
      </c>
      <c r="N48" s="28" t="n">
        <v>0.429185</v>
      </c>
      <c r="O48" s="28" t="n">
        <v>0.456135</v>
      </c>
      <c r="P48" s="28" t="n">
        <v>0.2</v>
      </c>
      <c r="Q48" s="28" t="n">
        <v>0.02695</v>
      </c>
      <c r="R48" s="26" t="n">
        <v>0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loss</t>
        </is>
      </c>
      <c r="W48" s="26" t="n">
        <v>2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2026-08-02T03:26:22.035170Z</t>
        </is>
      </c>
      <c r="AE48" s="31" t="inlineStr">
        <is>
          <t>Poisson-DC rates 1.64 (home) / 1.24 (away) from EWMA attack/defense strengths. Executable ask 0.4300 (atc-ecu1-cse-sda-2026-08-01-cse).</t>
        </is>
      </c>
      <c r="AF48" s="31" t="inlineStr">
        <is>
          <t>Research-only soccer score model; draw-aware, but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Aucas</t>
        </is>
      </c>
      <c r="AQ48" s="24" t="inlineStr">
        <is>
          <t>Aucas</t>
        </is>
      </c>
      <c r="AR48" s="24" t="inlineStr">
        <is>
          <t>Aucas</t>
        </is>
      </c>
      <c r="AS48" s="24" t="inlineStr">
        <is>
          <t>Emelec</t>
        </is>
      </c>
      <c r="AT48" s="24" t="inlineStr">
        <is>
          <t>Emelec</t>
        </is>
      </c>
      <c r="AU48" s="24" t="inlineStr">
        <is>
          <t>Emelec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2026-08-01T23:52:16.427787Z</t>
        </is>
      </c>
      <c r="BI48" s="24" t="inlineStr">
        <is>
          <t>["same_event","same_team_same_day","same_league_same_day"]</t>
        </is>
      </c>
      <c r="BJ48" s="25" t="n"/>
      <c r="BK48" s="26" t="n">
        <v>133</v>
      </c>
      <c r="BL48" s="27" t="n">
        <v>2.33</v>
      </c>
      <c r="BM48" s="28" t="n">
        <v>0.429185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4d895a66fde74244</t>
        </is>
      </c>
      <c r="B49" s="24" t="inlineStr">
        <is>
          <t>2026-08-02T12:28:25.454250Z</t>
        </is>
      </c>
      <c r="C49" s="24" t="inlineStr">
        <is>
          <t>2026-08-02T12:30Z</t>
        </is>
      </c>
      <c r="D49" s="24" t="inlineStr">
        <is>
          <t>401886552</t>
        </is>
      </c>
      <c r="E49" s="24" t="inlineStr">
        <is>
          <t>SOCCER</t>
        </is>
      </c>
      <c r="F49" s="24" t="inlineStr">
        <is>
          <t>Ajax Amsterdam</t>
        </is>
      </c>
      <c r="G49" s="24" t="inlineStr">
        <is>
          <t>FC Volendam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-194</v>
      </c>
      <c r="M49" s="27" t="n">
        <v>1.515464</v>
      </c>
      <c r="N49" s="28" t="n">
        <v>0.659864</v>
      </c>
      <c r="O49" s="28" t="n">
        <v>0.515227</v>
      </c>
      <c r="P49" s="28" t="n">
        <v>0.04</v>
      </c>
      <c r="Q49" s="28" t="n">
        <v>-0.144637</v>
      </c>
      <c r="R49" s="26" t="n">
        <v>0</v>
      </c>
      <c r="S49" s="29" t="n">
        <v>1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3</v>
      </c>
      <c r="X49" s="26" t="n">
        <v>1</v>
      </c>
      <c r="Y49" s="25" t="n"/>
      <c r="Z49" s="26" t="n"/>
      <c r="AA49" s="28" t="n"/>
      <c r="AB49" s="28" t="n"/>
      <c r="AC49" s="30" t="n">
        <v>0.5155</v>
      </c>
      <c r="AD49" s="24" t="inlineStr">
        <is>
          <t>2026-08-02T15:53:27.869718Z</t>
        </is>
      </c>
      <c r="AE49" s="31" t="inlineStr">
        <is>
          <t>Poisson-DC rates 0.88 (home) / 1.54 (away) from EWMA attack/defense strengths. Executable ask 0.6600 (atc-clbf-fvco-aja-2026-08-02-aja).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Ajax Amsterdam</t>
        </is>
      </c>
      <c r="AQ49" s="24" t="inlineStr">
        <is>
          <t>Ajax Amsterdam</t>
        </is>
      </c>
      <c r="AR49" s="24" t="inlineStr">
        <is>
          <t>Ajax Amsterdam</t>
        </is>
      </c>
      <c r="AS49" s="24" t="inlineStr">
        <is>
          <t>FC Volendam</t>
        </is>
      </c>
      <c r="AT49" s="24" t="inlineStr">
        <is>
          <t>FC Volendam</t>
        </is>
      </c>
      <c r="AU49" s="24" t="inlineStr">
        <is>
          <t>FC Volendam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2026-08-02T12:25:27.623402Z</t>
        </is>
      </c>
      <c r="BI49" s="24" t="inlineStr">
        <is>
          <t>["same_event","same_team_same_day","same_league_same_day"]</t>
        </is>
      </c>
      <c r="BJ49" s="25" t="n"/>
      <c r="BK49" s="26" t="n">
        <v>-194</v>
      </c>
      <c r="BL49" s="27" t="n">
        <v>1.515464</v>
      </c>
      <c r="BM49" s="28" t="n">
        <v>0.659864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b93cfe1d302c48e3</t>
        </is>
      </c>
      <c r="B50" s="24" t="inlineStr">
        <is>
          <t>2026-08-02T12:28:25.454250Z</t>
        </is>
      </c>
      <c r="C50" s="24" t="inlineStr">
        <is>
          <t>2026-08-02T13:00Z</t>
        </is>
      </c>
      <c r="D50" s="24" t="inlineStr">
        <is>
          <t>401886551</t>
        </is>
      </c>
      <c r="E50" s="24" t="inlineStr">
        <is>
          <t>SOCCER</t>
        </is>
      </c>
      <c r="F50" s="24" t="inlineStr">
        <is>
          <t>Atalanta</t>
        </is>
      </c>
      <c r="G50" s="24" t="inlineStr">
        <is>
          <t>Feyenoord Rotterdam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0.575359</v>
      </c>
      <c r="P50" s="28" t="n">
        <v>0.04</v>
      </c>
      <c r="Q50" s="28" t="n">
        <v>0.235223</v>
      </c>
      <c r="R50" s="26" t="n">
        <v>100</v>
      </c>
      <c r="S50" s="29" t="n">
        <v>1.25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2</v>
      </c>
      <c r="Y50" s="25" t="n"/>
      <c r="Z50" s="26" t="n"/>
      <c r="AA50" s="28" t="n"/>
      <c r="AB50" s="28" t="n"/>
      <c r="AC50" s="30" t="n">
        <v>2.425</v>
      </c>
      <c r="AD50" s="24" t="inlineStr">
        <is>
          <t>2026-08-02T15:53:28.234366Z</t>
        </is>
      </c>
      <c r="AE50" s="31" t="inlineStr">
        <is>
          <t>Poisson-DC rates 1.92 (home) / 1.01 (away) from EWMA attack/defense strengths. Executable ask 0.3400 (atc-clbf-fey-ata-2026-08-02-fey).</t>
        </is>
      </c>
      <c r="AF50" s="31" t="inlineStr">
        <is>
          <t>Research-only soccer score model; draw-aware, but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Atalanta</t>
        </is>
      </c>
      <c r="AQ50" s="24" t="inlineStr">
        <is>
          <t>Atalanta</t>
        </is>
      </c>
      <c r="AR50" s="24" t="inlineStr">
        <is>
          <t>Atalanta</t>
        </is>
      </c>
      <c r="AS50" s="24" t="inlineStr">
        <is>
          <t>Feyenoord Rotterdam</t>
        </is>
      </c>
      <c r="AT50" s="24" t="inlineStr">
        <is>
          <t>Feyenoord Rotterdam</t>
        </is>
      </c>
      <c r="AU50" s="24" t="inlineStr">
        <is>
          <t>Feyenoord Rotterdam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2026-08-02T12:25:27.610137Z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c263948c11c94638</t>
        </is>
      </c>
      <c r="B51" s="24" t="inlineStr">
        <is>
          <t>2026-08-02T13:05:47.245126Z</t>
        </is>
      </c>
      <c r="C51" s="24" t="inlineStr">
        <is>
          <t>2026-08-02T15:00Z</t>
        </is>
      </c>
      <c r="D51" s="24" t="inlineStr">
        <is>
          <t>401872734</t>
        </is>
      </c>
      <c r="E51" s="24" t="inlineStr">
        <is>
          <t>SOCCER</t>
        </is>
      </c>
      <c r="F51" s="24" t="inlineStr">
        <is>
          <t>Boston River</t>
        </is>
      </c>
      <c r="G51" s="24" t="inlineStr">
        <is>
          <t>Racing (Montevideo)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0.5359159999999999</v>
      </c>
      <c r="P51" s="28" t="n">
        <v>0.2</v>
      </c>
      <c r="Q51" s="28" t="n">
        <v>-0.023555</v>
      </c>
      <c r="R51" s="26" t="n">
        <v>0</v>
      </c>
      <c r="S51" s="29" t="n">
        <v>1</v>
      </c>
      <c r="T51" s="24" t="inlineStr">
        <is>
          <t>soccer-poisson-dc-v1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Poisson-DC rates 1.84 (home) / 1.10 (away) from EWMA attack/defense strengths. Executable ask 0.5600 (atc-uru1-rcm-bri-2026-08-02-rcm).</t>
        </is>
      </c>
      <c r="AF51" s="31" t="inlineStr">
        <is>
          <t>Research-only soccer score model; draw-aware, but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Boston River</t>
        </is>
      </c>
      <c r="AQ51" s="24" t="inlineStr">
        <is>
          <t>Boston River</t>
        </is>
      </c>
      <c r="AR51" s="24" t="inlineStr">
        <is>
          <t>Boston River</t>
        </is>
      </c>
      <c r="AS51" s="24" t="inlineStr">
        <is>
          <t>Racing (Montevideo)</t>
        </is>
      </c>
      <c r="AT51" s="24" t="inlineStr">
        <is>
          <t>Racing (Montevideo)</t>
        </is>
      </c>
      <c r="AU51" s="24" t="inlineStr">
        <is>
          <t>Racing (Montevideo)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2026-08-02T13:02:47.678863Z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2d67de72f6ba48bd</t>
        </is>
      </c>
      <c r="B52" s="24" t="inlineStr">
        <is>
          <t>2026-08-02T13:05:47.245126Z</t>
        </is>
      </c>
      <c r="C52" s="24" t="inlineStr">
        <is>
          <t>2026-08-02T14:30Z</t>
        </is>
      </c>
      <c r="D52" s="24" t="inlineStr">
        <is>
          <t>401898711</t>
        </is>
      </c>
      <c r="E52" s="24" t="inlineStr">
        <is>
          <t>SOCCER</t>
        </is>
      </c>
      <c r="F52" s="24" t="inlineStr">
        <is>
          <t>Udinese</t>
        </is>
      </c>
      <c r="G52" s="24" t="inlineStr">
        <is>
          <t>Trabzonspor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156</v>
      </c>
      <c r="M52" s="27" t="n">
        <v>2.56</v>
      </c>
      <c r="N52" s="28" t="n">
        <v>0.390625</v>
      </c>
      <c r="O52" s="28" t="n">
        <v>0.395816</v>
      </c>
      <c r="P52" s="28" t="n">
        <v>0.2</v>
      </c>
      <c r="Q52" s="28" t="n">
        <v>0.005191</v>
      </c>
      <c r="R52" s="26" t="n">
        <v>0</v>
      </c>
      <c r="S52" s="29" t="n">
        <v>1</v>
      </c>
      <c r="T52" s="24" t="inlineStr">
        <is>
          <t>soccer-poisson-dc-v1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Poisson-DC rates 1.26 (home) / 1.06 (away) from EWMA attack/defense strengths. Executable ask 0.3900 (atc-clbf-tra-udi-2026-08-02-tra).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Udinese</t>
        </is>
      </c>
      <c r="AQ52" s="24" t="inlineStr">
        <is>
          <t>Udinese</t>
        </is>
      </c>
      <c r="AR52" s="24" t="inlineStr">
        <is>
          <t>Udinese</t>
        </is>
      </c>
      <c r="AS52" s="24" t="inlineStr">
        <is>
          <t>Trabzonspor</t>
        </is>
      </c>
      <c r="AT52" s="24" t="inlineStr">
        <is>
          <t>Trabzonspor</t>
        </is>
      </c>
      <c r="AU52" s="24" t="inlineStr">
        <is>
          <t>Trabzonspor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2026-08-02T13:02:50.866524Z</t>
        </is>
      </c>
      <c r="BI52" s="24" t="inlineStr">
        <is>
          <t>["same_event","same_team_same_day","same_league_same_day"]</t>
        </is>
      </c>
      <c r="BJ52" s="25" t="n"/>
      <c r="BK52" s="26" t="n">
        <v>156</v>
      </c>
      <c r="BL52" s="27" t="n">
        <v>2.56</v>
      </c>
      <c r="BM52" s="28" t="n">
        <v>0.390625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c03585b82e134879</t>
        </is>
      </c>
      <c r="B53" s="24" t="inlineStr">
        <is>
          <t>2026-08-02T15:49:40.829108Z</t>
        </is>
      </c>
      <c r="C53" s="24" t="inlineStr">
        <is>
          <t>2026-08-02T16:00Z</t>
        </is>
      </c>
      <c r="D53" s="24" t="inlineStr">
        <is>
          <t>401897751</t>
        </is>
      </c>
      <c r="E53" s="24" t="inlineStr">
        <is>
          <t>SOCCER</t>
        </is>
      </c>
      <c r="F53" s="24" t="inlineStr">
        <is>
          <t>Wrexham</t>
        </is>
      </c>
      <c r="G53" s="24" t="inlineStr">
        <is>
          <t>Sunderland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0.395592</v>
      </c>
      <c r="P53" s="28" t="n">
        <v>0.04</v>
      </c>
      <c r="Q53" s="28" t="n">
        <v>-0.114212</v>
      </c>
      <c r="R53" s="26" t="n">
        <v>0</v>
      </c>
      <c r="S53" s="29" t="n">
        <v>1.5</v>
      </c>
      <c r="T53" s="24" t="inlineStr">
        <is>
          <t>soccer-poisson-dc-v1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Poisson-DC rates 1.40 (home) / 1.24 (away) from EWMA attack/defense strengths. Executable ask 0.5100 (atc-clbf-sun-wre-2026-08-02-sun).</t>
        </is>
      </c>
      <c r="AF53" s="31" t="inlineStr">
        <is>
          <t>Research-only soccer score model; draw-aware, but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Wrexham</t>
        </is>
      </c>
      <c r="AQ53" s="24" t="inlineStr">
        <is>
          <t>Wrexham</t>
        </is>
      </c>
      <c r="AR53" s="24" t="inlineStr">
        <is>
          <t>Wrexham</t>
        </is>
      </c>
      <c r="AS53" s="24" t="inlineStr">
        <is>
          <t>Sunderland</t>
        </is>
      </c>
      <c r="AT53" s="24" t="inlineStr">
        <is>
          <t>Sunderland</t>
        </is>
      </c>
      <c r="AU53" s="24" t="inlineStr">
        <is>
          <t>Sunderland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2026-08-02T15:46:37.855949Z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inlineStr">
        <is>
          <t>False</t>
        </is>
      </c>
    </row>
    <row r="54" ht="36" customHeight="1">
      <c r="A54" s="24" t="inlineStr">
        <is>
          <t>c1a2615685634f23</t>
        </is>
      </c>
      <c r="B54" s="24" t="inlineStr">
        <is>
          <t>2026-07-28T20:34:14.874473Z</t>
        </is>
      </c>
      <c r="C54" s="24" t="inlineStr">
        <is>
          <t>2026-07-28T22:30Z</t>
        </is>
      </c>
      <c r="D54" s="24" t="inlineStr">
        <is>
          <t>401860261</t>
        </is>
      </c>
      <c r="E54" s="24" t="inlineStr">
        <is>
          <t>SOCCER</t>
        </is>
      </c>
      <c r="F54" s="24" t="inlineStr">
        <is>
          <t>Athletic</t>
        </is>
      </c>
      <c r="G54" s="24" t="inlineStr">
        <is>
          <t>Ponte Preta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300</v>
      </c>
      <c r="M54" s="27" t="n">
        <v>4</v>
      </c>
      <c r="N54" s="28" t="n">
        <v>0.25</v>
      </c>
      <c r="O54" s="28" t="n">
        <v>0.456199</v>
      </c>
      <c r="P54" s="28" t="n">
        <v>0.2</v>
      </c>
      <c r="Q54" s="28" t="n">
        <v>0.206199</v>
      </c>
      <c r="R54" s="26" t="n">
        <v>33</v>
      </c>
      <c r="S54" s="29" t="n">
        <v>1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1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2026-08-02T16:08:41.284188Z</t>
        </is>
      </c>
      <c r="AE54" s="31" t="inlineStr">
        <is>
          <t>Poisson-DC rates 1.64 (home) / 1.24 (away) from EWMA attack/defense strengths. Executable ask 0.2500 (atc-brb-pop-ath-2026-07-28-pop).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Athletic</t>
        </is>
      </c>
      <c r="AQ54" s="24" t="inlineStr">
        <is>
          <t>Athletic</t>
        </is>
      </c>
      <c r="AR54" s="24" t="inlineStr">
        <is>
          <t>Athletic</t>
        </is>
      </c>
      <c r="AS54" s="24" t="inlineStr">
        <is>
          <t>Ponte Preta</t>
        </is>
      </c>
      <c r="AT54" s="24" t="inlineStr">
        <is>
          <t>Ponte Preta</t>
        </is>
      </c>
      <c r="AU54" s="24" t="inlineStr">
        <is>
          <t>Ponte Preta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0361718a19f38c3d244b71cb6b1f2e7e14a86925e833d2186645250fc084b969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0361718a19f38c3d244b71cb6b1f2e7e14a86925e833d2186645250fc084b969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0361718a19f38c3d244b71cb6b1f2e7e14a86925e833d2186645250fc084b969</t>
        </is>
      </c>
      <c r="BH54" s="24" t="inlineStr">
        <is>
          <t>2026-07-28T20:32:26.083099Z</t>
        </is>
      </c>
      <c r="BI54" s="24" t="inlineStr">
        <is>
          <t>["same_event","same_team_same_day","same_league_same_day"]</t>
        </is>
      </c>
      <c r="BJ54" s="25" t="n"/>
      <c r="BK54" s="26" t="n">
        <v>300</v>
      </c>
      <c r="BL54" s="27" t="n">
        <v>4</v>
      </c>
      <c r="BM54" s="28" t="n">
        <v>0.25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b4c3bd27b9274dbf</t>
        </is>
      </c>
      <c r="B55" s="24" t="inlineStr">
        <is>
          <t>2026-07-28T23:39:16.759753Z</t>
        </is>
      </c>
      <c r="C55" s="24" t="inlineStr">
        <is>
          <t>2026-07-29T00:15Z</t>
        </is>
      </c>
      <c r="D55" s="24" t="inlineStr">
        <is>
          <t>401841453</t>
        </is>
      </c>
      <c r="E55" s="24" t="inlineStr">
        <is>
          <t>SOCCER</t>
        </is>
      </c>
      <c r="F55" s="24" t="inlineStr">
        <is>
          <t>Racing Club</t>
        </is>
      </c>
      <c r="G55" s="24" t="inlineStr">
        <is>
          <t>Rosario Central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108</v>
      </c>
      <c r="M55" s="27" t="n">
        <v>2.08</v>
      </c>
      <c r="N55" s="28" t="n">
        <v>0.480769</v>
      </c>
      <c r="O55" s="28" t="n">
        <v>0.456199</v>
      </c>
      <c r="P55" s="28" t="n">
        <v>0.2</v>
      </c>
      <c r="Q55" s="28" t="n">
        <v>-0.02457</v>
      </c>
      <c r="R55" s="26" t="n">
        <v>0</v>
      </c>
      <c r="S55" s="29" t="n">
        <v>1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loss</t>
        </is>
      </c>
      <c r="W55" s="26" t="n">
        <v>0</v>
      </c>
      <c r="X55" s="26" t="n">
        <v>0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2026-08-02T16:08:41.511670Z</t>
        </is>
      </c>
      <c r="AE55" s="31" t="inlineStr">
        <is>
          <t>Poisson-DC rates 1.64 (home) / 1.24 (away) from EWMA attack/defense strengths. Executable ask 0.4800 (atc-lpa-ros-rac-2026-07-28-ros).</t>
        </is>
      </c>
      <c r="AF55" s="31" t="inlineStr">
        <is>
          <t>Research-only soccer score model; draw-aware, but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Racing Club</t>
        </is>
      </c>
      <c r="AQ55" s="24" t="inlineStr">
        <is>
          <t>Racing Club</t>
        </is>
      </c>
      <c r="AR55" s="24" t="inlineStr">
        <is>
          <t>Racing Club</t>
        </is>
      </c>
      <c r="AS55" s="24" t="inlineStr">
        <is>
          <t>Rosario Central</t>
        </is>
      </c>
      <c r="AT55" s="24" t="inlineStr">
        <is>
          <t>Rosario Central</t>
        </is>
      </c>
      <c r="AU55" s="24" t="inlineStr">
        <is>
          <t>Rosario Central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0361718a19f38c3d244b71cb6b1f2e7e14a86925e833d2186645250fc084b969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0361718a19f38c3d244b71cb6b1f2e7e14a86925e833d2186645250fc084b969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0361718a19f38c3d244b71cb6b1f2e7e14a86925e833d2186645250fc084b969</t>
        </is>
      </c>
      <c r="BH55" s="24" t="inlineStr">
        <is>
          <t>2026-07-28T23:38:00.751821Z</t>
        </is>
      </c>
      <c r="BI55" s="24" t="inlineStr">
        <is>
          <t>["same_event","same_team_same_day","same_league_same_day"]</t>
        </is>
      </c>
      <c r="BJ55" s="25" t="n"/>
      <c r="BK55" s="26" t="n">
        <v>108</v>
      </c>
      <c r="BL55" s="27" t="n">
        <v>2.08</v>
      </c>
      <c r="BM55" s="28" t="n">
        <v>0.480769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2016ad82b8004b89</t>
        </is>
      </c>
      <c r="B56" s="24" t="inlineStr">
        <is>
          <t>2026-07-29T17:45:15.881226Z</t>
        </is>
      </c>
      <c r="C56" s="24" t="inlineStr">
        <is>
          <t>2026-07-29T22:30Z</t>
        </is>
      </c>
      <c r="D56" s="24" t="inlineStr">
        <is>
          <t>401841171</t>
        </is>
      </c>
      <c r="E56" s="24" t="inlineStr">
        <is>
          <t>SOCCER</t>
        </is>
      </c>
      <c r="F56" s="24" t="inlineStr">
        <is>
          <t>Flamengo</t>
        </is>
      </c>
      <c r="G56" s="24" t="inlineStr">
        <is>
          <t>Internacional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285</v>
      </c>
      <c r="M56" s="27" t="n">
        <v>3.85</v>
      </c>
      <c r="N56" s="28" t="n">
        <v>0.25974</v>
      </c>
      <c r="O56" s="28" t="n">
        <v>0.456199</v>
      </c>
      <c r="P56" s="28" t="n">
        <v>0.2</v>
      </c>
      <c r="Q56" s="28" t="n">
        <v>0.196459</v>
      </c>
      <c r="R56" s="26" t="n">
        <v>28</v>
      </c>
      <c r="S56" s="29" t="n">
        <v>1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2026-08-02T16:08:41.737916Z</t>
        </is>
      </c>
      <c r="AE56" s="31" t="inlineStr">
        <is>
          <t>Poisson-DC rates 1.64 (home) / 1.24 (away) from EWMA attack/defense strengths. Executable ask 0.2600 (atc-bra-int-fla-2026-07-29-int).</t>
        </is>
      </c>
      <c r="AF56" s="31" t="inlineStr">
        <is>
          <t>Research-only soccer score model; draw-aware, but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Flamengo</t>
        </is>
      </c>
      <c r="AQ56" s="24" t="inlineStr">
        <is>
          <t>Flamengo</t>
        </is>
      </c>
      <c r="AR56" s="24" t="inlineStr">
        <is>
          <t>Flamengo</t>
        </is>
      </c>
      <c r="AS56" s="24" t="inlineStr">
        <is>
          <t>Internacional</t>
        </is>
      </c>
      <c r="AT56" s="24" t="inlineStr">
        <is>
          <t>Internacional</t>
        </is>
      </c>
      <c r="AU56" s="24" t="inlineStr">
        <is>
          <t>Internacional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0361718a19f38c3d244b71cb6b1f2e7e14a86925e833d2186645250fc084b969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0361718a19f38c3d244b71cb6b1f2e7e14a86925e833d2186645250fc084b969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0361718a19f38c3d244b71cb6b1f2e7e14a86925e833d2186645250fc084b969</t>
        </is>
      </c>
      <c r="BH56" s="24" t="inlineStr">
        <is>
          <t>2026-07-29T17:43:19.651886Z</t>
        </is>
      </c>
      <c r="BI56" s="24" t="inlineStr">
        <is>
          <t>["same_event","same_team_same_day","same_league_same_day"]</t>
        </is>
      </c>
      <c r="BJ56" s="25" t="n"/>
      <c r="BK56" s="26" t="n">
        <v>285</v>
      </c>
      <c r="BL56" s="27" t="n">
        <v>3.85</v>
      </c>
      <c r="BM56" s="28" t="n">
        <v>0.25974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543936a84904488a</t>
        </is>
      </c>
      <c r="B57" s="24" t="inlineStr">
        <is>
          <t>2026-07-29T17:45:15.881226Z</t>
        </is>
      </c>
      <c r="C57" s="24" t="inlineStr">
        <is>
          <t>2026-07-30T00:30Z</t>
        </is>
      </c>
      <c r="D57" s="24" t="inlineStr">
        <is>
          <t>401841177</t>
        </is>
      </c>
      <c r="E57" s="24" t="inlineStr">
        <is>
          <t>SOCCER</t>
        </is>
      </c>
      <c r="F57" s="24" t="inlineStr">
        <is>
          <t>Bahia</t>
        </is>
      </c>
      <c r="G57" s="24" t="inlineStr">
        <is>
          <t>Fluminense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-133</v>
      </c>
      <c r="M57" s="27" t="n">
        <v>1.75188</v>
      </c>
      <c r="N57" s="28" t="n">
        <v>0.570815</v>
      </c>
      <c r="O57" s="28" t="n">
        <v>0.456199</v>
      </c>
      <c r="P57" s="28" t="n">
        <v>0.2</v>
      </c>
      <c r="Q57" s="28" t="n">
        <v>-0.114616</v>
      </c>
      <c r="R57" s="26" t="n">
        <v>0</v>
      </c>
      <c r="S57" s="29" t="n">
        <v>1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0</v>
      </c>
      <c r="Y57" s="25" t="n"/>
      <c r="Z57" s="26" t="n"/>
      <c r="AA57" s="28" t="n"/>
      <c r="AB57" s="28" t="n"/>
      <c r="AC57" s="30" t="n">
        <v>-1</v>
      </c>
      <c r="AD57" s="24" t="inlineStr">
        <is>
          <t>2026-08-02T16:08:41.992016Z</t>
        </is>
      </c>
      <c r="AE57" s="31" t="inlineStr">
        <is>
          <t>Poisson-DC rates 1.64 (home) / 1.24 (away) from EWMA attack/defense strengths. Executable ask 0.5700 (atc-bra-flu-bah-2026-07-29-flu).</t>
        </is>
      </c>
      <c r="AF57" s="31" t="inlineStr">
        <is>
          <t>Research-only soccer score model; draw-aware, but not yet locked-holdout qualified.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Bahia</t>
        </is>
      </c>
      <c r="AQ57" s="24" t="inlineStr">
        <is>
          <t>Bahia</t>
        </is>
      </c>
      <c r="AR57" s="24" t="inlineStr">
        <is>
          <t>Bahia</t>
        </is>
      </c>
      <c r="AS57" s="24" t="inlineStr">
        <is>
          <t>Fluminense</t>
        </is>
      </c>
      <c r="AT57" s="24" t="inlineStr">
        <is>
          <t>Fluminense</t>
        </is>
      </c>
      <c r="AU57" s="24" t="inlineStr">
        <is>
          <t>Fluminense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0361718a19f38c3d244b71cb6b1f2e7e14a86925e833d2186645250fc084b969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0361718a19f38c3d244b71cb6b1f2e7e14a86925e833d2186645250fc084b969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0361718a19f38c3d244b71cb6b1f2e7e14a86925e833d2186645250fc084b969</t>
        </is>
      </c>
      <c r="BH57" s="24" t="inlineStr">
        <is>
          <t>2026-07-29T17:43:20.222742Z</t>
        </is>
      </c>
      <c r="BI57" s="24" t="inlineStr">
        <is>
          <t>["same_event","same_team_same_day","same_league_same_day"]</t>
        </is>
      </c>
      <c r="BJ57" s="25" t="n"/>
      <c r="BK57" s="26" t="n">
        <v>-133</v>
      </c>
      <c r="BL57" s="27" t="n">
        <v>1.75188</v>
      </c>
      <c r="BM57" s="28" t="n">
        <v>0.570815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de331d6e34e540e2</t>
        </is>
      </c>
      <c r="B58" s="24" t="inlineStr">
        <is>
          <t>2026-07-31T16:48:13.817502Z</t>
        </is>
      </c>
      <c r="C58" s="24" t="inlineStr">
        <is>
          <t>2026-07-31T18:45Z</t>
        </is>
      </c>
      <c r="D58" s="24" t="inlineStr">
        <is>
          <t>401886550</t>
        </is>
      </c>
      <c r="E58" s="24" t="inlineStr">
        <is>
          <t>SOCCER</t>
        </is>
      </c>
      <c r="F58" s="24" t="inlineStr">
        <is>
          <t>Barcelona</t>
        </is>
      </c>
      <c r="G58" s="24" t="inlineStr">
        <is>
          <t>Birmingham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-186</v>
      </c>
      <c r="M58" s="27" t="n">
        <v>1.537634</v>
      </c>
      <c r="N58" s="28" t="n">
        <v>0.65035</v>
      </c>
      <c r="O58" s="28" t="n">
        <v>0.480022</v>
      </c>
      <c r="P58" s="28" t="n">
        <v>0.04</v>
      </c>
      <c r="Q58" s="28" t="n">
        <v>-0.170328</v>
      </c>
      <c r="R58" s="26" t="n">
        <v>0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loss</t>
        </is>
      </c>
      <c r="W58" s="26" t="n">
        <v>2</v>
      </c>
      <c r="X58" s="26" t="n">
        <v>2</v>
      </c>
      <c r="Y58" s="25" t="n"/>
      <c r="Z58" s="26" t="n"/>
      <c r="AA58" s="28" t="n"/>
      <c r="AB58" s="28" t="n"/>
      <c r="AC58" s="30" t="n">
        <v>-1</v>
      </c>
      <c r="AD58" s="24" t="inlineStr">
        <is>
          <t>2026-08-02T16:08:42.220408Z</t>
        </is>
      </c>
      <c r="AE58" s="31" t="inlineStr">
        <is>
          <t>Poisson-DC rates 1.04 (home) / 1.55 (away) from EWMA attack/defense strengths. Executable ask 0.6500 (atc-clbf-bc-bar-2026-07-31-bar).</t>
        </is>
      </c>
      <c r="AF58" s="31" t="inlineStr">
        <is>
          <t>Research-only soccer score model; draw-aware, but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Barcelona</t>
        </is>
      </c>
      <c r="AQ58" s="24" t="inlineStr">
        <is>
          <t>Barcelona</t>
        </is>
      </c>
      <c r="AR58" s="24" t="inlineStr">
        <is>
          <t>Barcelona</t>
        </is>
      </c>
      <c r="AS58" s="24" t="inlineStr">
        <is>
          <t>Birmingham City</t>
        </is>
      </c>
      <c r="AT58" s="24" t="inlineStr">
        <is>
          <t>Birmingham City</t>
        </is>
      </c>
      <c r="AU58" s="24" t="inlineStr">
        <is>
          <t>Birmingham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2026-07-31T16:45:56.333365Z</t>
        </is>
      </c>
      <c r="BI58" s="24" t="inlineStr">
        <is>
          <t>["same_event","same_team_same_day","same_league_same_day"]</t>
        </is>
      </c>
      <c r="BJ58" s="25" t="n"/>
      <c r="BK58" s="26" t="n">
        <v>-186</v>
      </c>
      <c r="BL58" s="27" t="n">
        <v>1.537634</v>
      </c>
      <c r="BM58" s="28" t="n">
        <v>0.65035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c87494a621b142c6</t>
        </is>
      </c>
      <c r="B59" s="24" t="inlineStr">
        <is>
          <t>2026-08-01T13:44:56.720128Z</t>
        </is>
      </c>
      <c r="C59" s="24" t="inlineStr">
        <is>
          <t>2026-08-01T15:00Z</t>
        </is>
      </c>
      <c r="D59" s="24" t="inlineStr">
        <is>
          <t>401872727</t>
        </is>
      </c>
      <c r="E59" s="24" t="inlineStr">
        <is>
          <t>SOCCER</t>
        </is>
      </c>
      <c r="F59" s="24" t="inlineStr">
        <is>
          <t>Danubio</t>
        </is>
      </c>
      <c r="G59" s="24" t="inlineStr">
        <is>
          <t>Albion FC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0.456135</v>
      </c>
      <c r="P59" s="28" t="n">
        <v>0.2</v>
      </c>
      <c r="Q59" s="28" t="n">
        <v>0.005685</v>
      </c>
      <c r="R59" s="26" t="n">
        <v>0</v>
      </c>
      <c r="S59" s="29" t="n">
        <v>1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2</v>
      </c>
      <c r="Y59" s="25" t="n"/>
      <c r="Z59" s="26" t="n"/>
      <c r="AA59" s="28" t="n"/>
      <c r="AB59" s="28" t="n"/>
      <c r="AC59" s="30" t="n">
        <v>-1</v>
      </c>
      <c r="AD59" s="24" t="inlineStr">
        <is>
          <t>2026-08-02T16:08:42.448500Z</t>
        </is>
      </c>
      <c r="AE59" s="31" t="inlineStr">
        <is>
          <t>Poisson-DC rates 1.64 (home) / 1.24 (away) from EWMA attack/defense strengths. Executable ask 0.4500 (atc-uru1-alb-dan-2026-08-01-alb).</t>
        </is>
      </c>
      <c r="AF59" s="31" t="inlineStr">
        <is>
          <t>Research-only soccer score model; draw-aware, but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Danubio</t>
        </is>
      </c>
      <c r="AQ59" s="24" t="inlineStr">
        <is>
          <t>Danubio</t>
        </is>
      </c>
      <c r="AR59" s="24" t="inlineStr">
        <is>
          <t>Danubio</t>
        </is>
      </c>
      <c r="AS59" s="24" t="inlineStr">
        <is>
          <t>Albion FC</t>
        </is>
      </c>
      <c r="AT59" s="24" t="inlineStr">
        <is>
          <t>Albion FC</t>
        </is>
      </c>
      <c r="AU59" s="24" t="inlineStr">
        <is>
          <t>Albion FC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2026-08-01T13:42:37.826503Z</t>
        </is>
      </c>
      <c r="BI59" s="24" t="inlineStr">
        <is>
          <t>["same_event","same_team_same_day","same_league_same_day"]</t>
        </is>
      </c>
      <c r="BJ59" s="25" t="n"/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8a0779918c9d4a86</t>
        </is>
      </c>
      <c r="B60" s="24" t="inlineStr">
        <is>
          <t>2026-08-01T13:44:56.720128Z</t>
        </is>
      </c>
      <c r="C60" s="24" t="inlineStr">
        <is>
          <t>2026-08-01T16:00Z</t>
        </is>
      </c>
      <c r="D60" s="24" t="inlineStr">
        <is>
          <t>401888842</t>
        </is>
      </c>
      <c r="E60" s="24" t="inlineStr">
        <is>
          <t>SOCCER</t>
        </is>
      </c>
      <c r="F60" s="24" t="inlineStr">
        <is>
          <t>Fiorentina</t>
        </is>
      </c>
      <c r="G60" s="24" t="inlineStr">
        <is>
          <t>Real Madrid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0.592521</v>
      </c>
      <c r="P60" s="28" t="n">
        <v>0.04</v>
      </c>
      <c r="Q60" s="28" t="n">
        <v>0.05335</v>
      </c>
      <c r="R60" s="26" t="n">
        <v>53</v>
      </c>
      <c r="S60" s="29" t="n">
        <v>1.25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2</v>
      </c>
      <c r="Y60" s="25" t="n"/>
      <c r="Z60" s="26" t="n"/>
      <c r="AA60" s="28" t="n"/>
      <c r="AB60" s="28" t="n"/>
      <c r="AC60" s="30" t="n">
        <v>-1.25</v>
      </c>
      <c r="AD60" s="24" t="inlineStr">
        <is>
          <t>2026-08-02T16:08:42.686566Z</t>
        </is>
      </c>
      <c r="AE60" s="31" t="inlineStr">
        <is>
          <t>Poisson-DC rates 1.76 (home) / 0.80 (away) from EWMA attack/defense strengths. Executable ask 0.5400 (atc-clbf-rme-fio-2026-08-01-rme).</t>
        </is>
      </c>
      <c r="AF60" s="31" t="inlineStr">
        <is>
          <t>Research-only soccer score model; draw-aware, but not yet locked-holdout qualified.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Fiorentina</t>
        </is>
      </c>
      <c r="AQ60" s="24" t="inlineStr">
        <is>
          <t>Fiorentina</t>
        </is>
      </c>
      <c r="AR60" s="24" t="inlineStr">
        <is>
          <t>Fiorentina</t>
        </is>
      </c>
      <c r="AS60" s="24" t="inlineStr">
        <is>
          <t>Real Madrid</t>
        </is>
      </c>
      <c r="AT60" s="24" t="inlineStr">
        <is>
          <t>Real Madrid</t>
        </is>
      </c>
      <c r="AU60" s="24" t="inlineStr">
        <is>
          <t>Real Madrid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2026-08-01T13:42:44.313687Z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f8ad772a47164d5f</t>
        </is>
      </c>
      <c r="B61" s="24" t="inlineStr">
        <is>
          <t>2026-08-01T16:52:27.367453Z</t>
        </is>
      </c>
      <c r="C61" s="24" t="inlineStr">
        <is>
          <t>2026-08-01T18:00Z</t>
        </is>
      </c>
      <c r="D61" s="24" t="inlineStr">
        <is>
          <t>401844028</t>
        </is>
      </c>
      <c r="E61" s="24" t="inlineStr">
        <is>
          <t>SOCCER</t>
        </is>
      </c>
      <c r="F61" s="24" t="inlineStr">
        <is>
          <t>Midland</t>
        </is>
      </c>
      <c r="G61" s="24" t="inlineStr">
        <is>
          <t>Almagro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233</v>
      </c>
      <c r="M61" s="27" t="n">
        <v>3.33</v>
      </c>
      <c r="N61" s="28" t="n">
        <v>0.3003</v>
      </c>
      <c r="O61" s="28" t="n">
        <v>0.456135</v>
      </c>
      <c r="P61" s="28" t="n">
        <v>0.2</v>
      </c>
      <c r="Q61" s="28" t="n">
        <v>0.155835</v>
      </c>
      <c r="R61" s="26" t="n">
        <v>8</v>
      </c>
      <c r="S61" s="29" t="n">
        <v>1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2026-08-02T16:08:42.916011Z</t>
        </is>
      </c>
      <c r="AE61" s="31" t="inlineStr">
        <is>
          <t>Poisson-DC rates 1.64 (home) / 1.24 (away) from EWMA attack/defense strengths. Executable ask 0.3000 (atc-arg2-alm-afm-2026-08-02-alm).</t>
        </is>
      </c>
      <c r="AF61" s="31" t="inlineStr">
        <is>
          <t>Research-only soccer score model; draw-aware, but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Midland</t>
        </is>
      </c>
      <c r="AQ61" s="24" t="inlineStr">
        <is>
          <t>Midland</t>
        </is>
      </c>
      <c r="AR61" s="24" t="inlineStr">
        <is>
          <t>Midland</t>
        </is>
      </c>
      <c r="AS61" s="24" t="inlineStr">
        <is>
          <t>Almagro</t>
        </is>
      </c>
      <c r="AT61" s="24" t="inlineStr">
        <is>
          <t>Almagro</t>
        </is>
      </c>
      <c r="AU61" s="24" t="inlineStr">
        <is>
          <t>Almagro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2026-08-01T16:49:30.902860Z</t>
        </is>
      </c>
      <c r="BI61" s="24" t="inlineStr">
        <is>
          <t>["same_event","same_team_same_day","same_league_same_day"]</t>
        </is>
      </c>
      <c r="BJ61" s="25" t="n"/>
      <c r="BK61" s="26" t="n">
        <v>233</v>
      </c>
      <c r="BL61" s="27" t="n">
        <v>3.33</v>
      </c>
      <c r="BM61" s="28" t="n">
        <v>0.3003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4b09a9d9374d46a7</t>
        </is>
      </c>
      <c r="B62" s="24" t="inlineStr">
        <is>
          <t>2026-08-01T16:52:27.367453Z</t>
        </is>
      </c>
      <c r="C62" s="24" t="inlineStr">
        <is>
          <t>2026-08-01T18:30Z</t>
        </is>
      </c>
      <c r="D62" s="24" t="inlineStr">
        <is>
          <t>401844021</t>
        </is>
      </c>
      <c r="E62" s="24" t="inlineStr">
        <is>
          <t>SOCCER</t>
        </is>
      </c>
      <c r="F62" s="24" t="inlineStr">
        <is>
          <t>Quilmes</t>
        </is>
      </c>
      <c r="G62" s="24" t="inlineStr">
        <is>
          <t>Patronato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0.440521</v>
      </c>
      <c r="P62" s="28" t="n">
        <v>0.2</v>
      </c>
      <c r="Q62" s="28" t="n">
        <v>0.030685</v>
      </c>
      <c r="R62" s="26" t="n">
        <v>0</v>
      </c>
      <c r="S62" s="29" t="n">
        <v>1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loss</t>
        </is>
      </c>
      <c r="W62" s="26" t="n">
        <v>3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2026-08-02T16:08:43.145514Z</t>
        </is>
      </c>
      <c r="AE62" s="31" t="inlineStr">
        <is>
          <t>Poisson-DC rates 1.46 (home) / 1.10 (away) from EWMA attack/defense strengths. Executable ask 0.4100 (atc-arg2-cap-qui-2026-08-02-cap).</t>
        </is>
      </c>
      <c r="AF62" s="31" t="inlineStr">
        <is>
          <t>Research-only soccer score model; draw-aware, but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Quilmes</t>
        </is>
      </c>
      <c r="AQ62" s="24" t="inlineStr">
        <is>
          <t>Quilmes</t>
        </is>
      </c>
      <c r="AR62" s="24" t="inlineStr">
        <is>
          <t>Quilmes</t>
        </is>
      </c>
      <c r="AS62" s="24" t="inlineStr">
        <is>
          <t>Patronato</t>
        </is>
      </c>
      <c r="AT62" s="24" t="inlineStr">
        <is>
          <t>Patronato</t>
        </is>
      </c>
      <c r="AU62" s="24" t="inlineStr">
        <is>
          <t>Patronato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2026-08-01T16:49:31.486214Z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ce8bcb5176c94e2f</t>
        </is>
      </c>
      <c r="B63" s="24" t="inlineStr">
        <is>
          <t>2026-08-01T16:52:27.367453Z</t>
        </is>
      </c>
      <c r="C63" s="24" t="inlineStr">
        <is>
          <t>2026-08-01T18:00Z</t>
        </is>
      </c>
      <c r="D63" s="24" t="inlineStr">
        <is>
          <t>401872730</t>
        </is>
      </c>
      <c r="E63" s="24" t="inlineStr">
        <is>
          <t>SOCCER</t>
        </is>
      </c>
      <c r="F63" s="24" t="inlineStr">
        <is>
          <t>Juventud</t>
        </is>
      </c>
      <c r="G63" s="24" t="inlineStr">
        <is>
          <t>Deportivo Maldonado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0.418807</v>
      </c>
      <c r="P63" s="28" t="n">
        <v>0.2</v>
      </c>
      <c r="Q63" s="28" t="n">
        <v>-0.120364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2026-08-02T16:08:43.373338Z</t>
        </is>
      </c>
      <c r="AE63" s="31" t="inlineStr">
        <is>
          <t>Poisson-DC rates 1.46 (home) / 1.20 (away) from EWMA attack/defense strengths. Executable ask 0.5400 (atc-uru1-mal-juv-2026-08-01-mal).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Juventud</t>
        </is>
      </c>
      <c r="AQ63" s="24" t="inlineStr">
        <is>
          <t>Juventud</t>
        </is>
      </c>
      <c r="AR63" s="24" t="inlineStr">
        <is>
          <t>Juventud</t>
        </is>
      </c>
      <c r="AS63" s="24" t="inlineStr">
        <is>
          <t>Deportivo Maldonado</t>
        </is>
      </c>
      <c r="AT63" s="24" t="inlineStr">
        <is>
          <t>Deportivo Maldonado</t>
        </is>
      </c>
      <c r="AU63" s="24" t="inlineStr">
        <is>
          <t>Deportivo Maldonado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2026-08-01T16:49:34.759598Z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95372c50a2ed4ced</t>
        </is>
      </c>
      <c r="B64" s="24" t="inlineStr">
        <is>
          <t>2026-08-01T20:17:05.741632Z</t>
        </is>
      </c>
      <c r="C64" s="24" t="inlineStr">
        <is>
          <t>2026-08-01T23:30Z</t>
        </is>
      </c>
      <c r="D64" s="24" t="inlineStr">
        <is>
          <t>761699</t>
        </is>
      </c>
      <c r="E64" s="24" t="inlineStr">
        <is>
          <t>SOCCER</t>
        </is>
      </c>
      <c r="F64" s="24" t="inlineStr">
        <is>
          <t>Nashville SC</t>
        </is>
      </c>
      <c r="G64" s="24" t="inlineStr">
        <is>
          <t>D.C. United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144</v>
      </c>
      <c r="M64" s="27" t="n">
        <v>2.44</v>
      </c>
      <c r="N64" s="28" t="n">
        <v>0.409836</v>
      </c>
      <c r="O64" s="28" t="n">
        <v>0.552914</v>
      </c>
      <c r="P64" s="28" t="n">
        <v>0.04</v>
      </c>
      <c r="Q64" s="28" t="n">
        <v>0.143078</v>
      </c>
      <c r="R64" s="26" t="n">
        <v>98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loss</t>
        </is>
      </c>
      <c r="W64" s="26" t="n">
        <v>2</v>
      </c>
      <c r="X64" s="26" t="n">
        <v>2</v>
      </c>
      <c r="Y64" s="25" t="n"/>
      <c r="Z64" s="26" t="n"/>
      <c r="AA64" s="28" t="n"/>
      <c r="AB64" s="28" t="n"/>
      <c r="AC64" s="30" t="n">
        <v>-1</v>
      </c>
      <c r="AD64" s="24" t="inlineStr">
        <is>
          <t>2026-08-02T16:08:43.600333Z</t>
        </is>
      </c>
      <c r="AE64" s="31" t="inlineStr">
        <is>
          <t>Poisson-DC rates 1.27 (home) / 2.09 (away) from EWMA attack/defense strengths. Executable ask 0.4100 (atc-mls-dcu-nas-2026-08-01-nas).</t>
        </is>
      </c>
      <c r="AF64" s="31" t="inlineStr">
        <is>
          <t>Research-only soccer score model; draw-aware, but not yet locked-holdout qualified.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Nashville SC</t>
        </is>
      </c>
      <c r="AQ64" s="24" t="inlineStr">
        <is>
          <t>Nashville SC</t>
        </is>
      </c>
      <c r="AR64" s="24" t="inlineStr">
        <is>
          <t>Nashville SC</t>
        </is>
      </c>
      <c r="AS64" s="24" t="inlineStr">
        <is>
          <t>D.C. United</t>
        </is>
      </c>
      <c r="AT64" s="24" t="inlineStr">
        <is>
          <t>D.C. United</t>
        </is>
      </c>
      <c r="AU64" s="24" t="inlineStr">
        <is>
          <t>D.C. United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2026-08-01T20:14:20.050683Z</t>
        </is>
      </c>
      <c r="BI64" s="24" t="inlineStr">
        <is>
          <t>["same_event","same_team_same_day","same_league_same_day"]</t>
        </is>
      </c>
      <c r="BJ64" s="25" t="n"/>
      <c r="BK64" s="26" t="n">
        <v>144</v>
      </c>
      <c r="BL64" s="27" t="n">
        <v>2.44</v>
      </c>
      <c r="BM64" s="28" t="n">
        <v>0.409836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b586e7aa165f48df</t>
        </is>
      </c>
      <c r="B65" s="24" t="inlineStr">
        <is>
          <t>2026-08-01T20:17:05.741632Z</t>
        </is>
      </c>
      <c r="C65" s="24" t="inlineStr">
        <is>
          <t>2026-08-01T23:30Z</t>
        </is>
      </c>
      <c r="D65" s="24" t="inlineStr">
        <is>
          <t>761701</t>
        </is>
      </c>
      <c r="E65" s="24" t="inlineStr">
        <is>
          <t>SOCCER</t>
        </is>
      </c>
      <c r="F65" s="24" t="inlineStr">
        <is>
          <t>Columbus Crew</t>
        </is>
      </c>
      <c r="G65" s="24" t="inlineStr">
        <is>
          <t>Inter Miami CF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-170</v>
      </c>
      <c r="M65" s="27" t="n">
        <v>1.588235</v>
      </c>
      <c r="N65" s="28" t="n">
        <v>0.62963</v>
      </c>
      <c r="O65" s="28" t="n">
        <v>0.715665</v>
      </c>
      <c r="P65" s="28" t="n">
        <v>0.04</v>
      </c>
      <c r="Q65" s="28" t="n">
        <v>0.086035</v>
      </c>
      <c r="R65" s="26" t="n">
        <v>69</v>
      </c>
      <c r="S65" s="29" t="n">
        <v>2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loss</t>
        </is>
      </c>
      <c r="W65" s="26" t="n">
        <v>2</v>
      </c>
      <c r="X65" s="26" t="n">
        <v>2</v>
      </c>
      <c r="Y65" s="25" t="n"/>
      <c r="Z65" s="26" t="n"/>
      <c r="AA65" s="28" t="n"/>
      <c r="AB65" s="28" t="n"/>
      <c r="AC65" s="30" t="n">
        <v>-2</v>
      </c>
      <c r="AD65" s="24" t="inlineStr">
        <is>
          <t>2026-08-02T16:08:43.828094Z</t>
        </is>
      </c>
      <c r="AE65" s="31" t="inlineStr">
        <is>
          <t>Poisson-DC rates 3.37 (home) / 1.57 (away) from EWMA attack/defense strengths. Executable ask 0.6300 (atc-mls-mia-clb-2026-08-01-mia).</t>
        </is>
      </c>
      <c r="AF65" s="31" t="inlineStr">
        <is>
          <t>Research-only soccer score model; draw-aware, but not yet locked-holdout qualified.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Columbus Crew</t>
        </is>
      </c>
      <c r="AQ65" s="24" t="inlineStr">
        <is>
          <t>Columbus Crew</t>
        </is>
      </c>
      <c r="AR65" s="24" t="inlineStr">
        <is>
          <t>Columbus Crew</t>
        </is>
      </c>
      <c r="AS65" s="24" t="inlineStr">
        <is>
          <t>Inter Miami CF</t>
        </is>
      </c>
      <c r="AT65" s="24" t="inlineStr">
        <is>
          <t>Inter Miami CF</t>
        </is>
      </c>
      <c r="AU65" s="24" t="inlineStr">
        <is>
          <t>Inter Miami CF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2026-08-01T20:14:23.116312Z</t>
        </is>
      </c>
      <c r="BI65" s="24" t="inlineStr">
        <is>
          <t>["same_event","same_team_same_day","same_league_same_day"]</t>
        </is>
      </c>
      <c r="BJ65" s="25" t="n"/>
      <c r="BK65" s="26" t="n">
        <v>-170</v>
      </c>
      <c r="BL65" s="27" t="n">
        <v>1.588235</v>
      </c>
      <c r="BM65" s="28" t="n">
        <v>0.62963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0c98127e634e4762</t>
        </is>
      </c>
      <c r="B66" s="24" t="inlineStr">
        <is>
          <t>2026-08-01T23:53:24.455746Z</t>
        </is>
      </c>
      <c r="C66" s="24" t="inlineStr">
        <is>
          <t>2026-08-02T00:30Z</t>
        </is>
      </c>
      <c r="D66" s="24" t="inlineStr">
        <is>
          <t>761703</t>
        </is>
      </c>
      <c r="E66" s="24" t="inlineStr">
        <is>
          <t>SOCCER</t>
        </is>
      </c>
      <c r="F66" s="24" t="inlineStr">
        <is>
          <t>San Diego FC</t>
        </is>
      </c>
      <c r="G66" s="24" t="inlineStr">
        <is>
          <t>Minnesota United FC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104</v>
      </c>
      <c r="M66" s="27" t="n">
        <v>2.04</v>
      </c>
      <c r="N66" s="28" t="n">
        <v>0.490196</v>
      </c>
      <c r="O66" s="28" t="n">
        <v>0.405166</v>
      </c>
      <c r="P66" s="28" t="n">
        <v>0.04</v>
      </c>
      <c r="Q66" s="28" t="n">
        <v>-0.08502999999999999</v>
      </c>
      <c r="R66" s="26" t="n">
        <v>0</v>
      </c>
      <c r="S66" s="29" t="n">
        <v>1.25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2026-08-02T16:08:44.079464Z</t>
        </is>
      </c>
      <c r="AE66" s="31" t="inlineStr">
        <is>
          <t>Poisson-DC rates 1.78 (home) / 1.65 (away) from EWMA attack/defense strengths. Executable ask 0.4900 (atc-mls-min-sdg-2026-08-01-min).</t>
        </is>
      </c>
      <c r="AF66" s="31" t="inlineStr">
        <is>
          <t>Research-only soccer score model; draw-aware, but not yet locked-holdout qualified.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San Diego FC</t>
        </is>
      </c>
      <c r="AQ66" s="24" t="inlineStr">
        <is>
          <t>San Diego FC</t>
        </is>
      </c>
      <c r="AR66" s="24" t="inlineStr">
        <is>
          <t>San Diego FC</t>
        </is>
      </c>
      <c r="AS66" s="24" t="inlineStr">
        <is>
          <t>Minnesota United FC</t>
        </is>
      </c>
      <c r="AT66" s="24" t="inlineStr">
        <is>
          <t>Minnesota United FC</t>
        </is>
      </c>
      <c r="AU66" s="24" t="inlineStr">
        <is>
          <t>Minnesota United FC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2026-08-01T23:52:04.626307Z</t>
        </is>
      </c>
      <c r="BI66" s="24" t="inlineStr">
        <is>
          <t>["same_event","same_team_same_day","same_league_same_day"]</t>
        </is>
      </c>
      <c r="BJ66" s="25" t="n"/>
      <c r="BK66" s="26" t="n">
        <v>104</v>
      </c>
      <c r="BL66" s="27" t="n">
        <v>2.04</v>
      </c>
      <c r="BM66" s="28" t="n">
        <v>0.490196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cc6b8b218f134422</t>
        </is>
      </c>
      <c r="B67" s="24" t="inlineStr">
        <is>
          <t>2026-08-01T23:53:24.455746Z</t>
        </is>
      </c>
      <c r="C67" s="24" t="inlineStr">
        <is>
          <t>2026-08-02T00:30Z</t>
        </is>
      </c>
      <c r="D67" s="24" t="inlineStr">
        <is>
          <t>761705</t>
        </is>
      </c>
      <c r="E67" s="24" t="inlineStr">
        <is>
          <t>SOCCER</t>
        </is>
      </c>
      <c r="F67" s="24" t="inlineStr">
        <is>
          <t>Real Salt Lake</t>
        </is>
      </c>
      <c r="G67" s="24" t="inlineStr">
        <is>
          <t>St. Louis CITY SC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0.416937</v>
      </c>
      <c r="P67" s="28" t="n">
        <v>0.04</v>
      </c>
      <c r="Q67" s="28" t="n">
        <v>-0.083063</v>
      </c>
      <c r="R67" s="26" t="n">
        <v>0</v>
      </c>
      <c r="S67" s="29" t="n">
        <v>1.25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1</v>
      </c>
      <c r="Y67" s="25" t="n"/>
      <c r="Z67" s="26" t="n"/>
      <c r="AA67" s="28" t="n"/>
      <c r="AB67" s="28" t="n"/>
      <c r="AC67" s="30" t="n">
        <v>-1.25</v>
      </c>
      <c r="AD67" s="24" t="inlineStr">
        <is>
          <t>2026-08-02T16:08:44.309366Z</t>
        </is>
      </c>
      <c r="AE67" s="31" t="inlineStr">
        <is>
          <t>Poisson-DC rates 1.71 (home) / 1.51 (away) from EWMA attack/defense strengths. Executable ask 0.5000 (atc-mls-stl-rsl-2026-08-01-stl).</t>
        </is>
      </c>
      <c r="AF67" s="31" t="inlineStr">
        <is>
          <t>Research-only soccer score model; draw-aware, but not yet locked-holdout qualified.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Real Salt Lake</t>
        </is>
      </c>
      <c r="AQ67" s="24" t="inlineStr">
        <is>
          <t>Real Salt Lake</t>
        </is>
      </c>
      <c r="AR67" s="24" t="inlineStr">
        <is>
          <t>Real Salt Lake</t>
        </is>
      </c>
      <c r="AS67" s="24" t="inlineStr">
        <is>
          <t>St. Louis CITY SC</t>
        </is>
      </c>
      <c r="AT67" s="24" t="inlineStr">
        <is>
          <t>St. Louis CITY SC</t>
        </is>
      </c>
      <c r="AU67" s="24" t="inlineStr">
        <is>
          <t>St. Louis CITY SC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2026-08-01T23:52:07.835197Z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17c41ca1fdf74770</t>
        </is>
      </c>
      <c r="B68" s="24" t="inlineStr">
        <is>
          <t>2026-08-01T23:53:24.455746Z</t>
        </is>
      </c>
      <c r="C68" s="24" t="inlineStr">
        <is>
          <t>2026-08-02T02:30Z</t>
        </is>
      </c>
      <c r="D68" s="24" t="inlineStr">
        <is>
          <t>761709</t>
        </is>
      </c>
      <c r="E68" s="24" t="inlineStr">
        <is>
          <t>SOCCER</t>
        </is>
      </c>
      <c r="F68" s="24" t="inlineStr">
        <is>
          <t>FC Dallas</t>
        </is>
      </c>
      <c r="G68" s="24" t="inlineStr">
        <is>
          <t>LA Galaxy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186</v>
      </c>
      <c r="M68" s="27" t="n">
        <v>2.86</v>
      </c>
      <c r="N68" s="28" t="n">
        <v>0.34965</v>
      </c>
      <c r="O68" s="28" t="n">
        <v>0.38746</v>
      </c>
      <c r="P68" s="28" t="n">
        <v>0.04</v>
      </c>
      <c r="Q68" s="28" t="n">
        <v>0.03781</v>
      </c>
      <c r="R68" s="26" t="n">
        <v>45</v>
      </c>
      <c r="S68" s="29" t="n">
        <v>1.5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0</v>
      </c>
      <c r="Y68" s="25" t="n"/>
      <c r="Z68" s="26" t="n"/>
      <c r="AA68" s="28" t="n"/>
      <c r="AB68" s="28" t="n"/>
      <c r="AC68" s="30" t="n">
        <v>-1.5</v>
      </c>
      <c r="AD68" s="24" t="inlineStr">
        <is>
          <t>2026-08-02T16:08:44.537276Z</t>
        </is>
      </c>
      <c r="AE68" s="31" t="inlineStr">
        <is>
          <t>Poisson-DC rates 1.76 (home) / 1.79 (away) from EWMA attack/defense strengths. Executable ask 0.3500 (atc-mls-lag-dal-2026-08-01-dal).</t>
        </is>
      </c>
      <c r="AF68" s="31" t="inlineStr">
        <is>
          <t>Research-only soccer score model; draw-aware, but not yet locked-holdout qualified.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FC Dallas</t>
        </is>
      </c>
      <c r="AQ68" s="24" t="inlineStr">
        <is>
          <t>FC Dallas</t>
        </is>
      </c>
      <c r="AR68" s="24" t="inlineStr">
        <is>
          <t>FC Dallas</t>
        </is>
      </c>
      <c r="AS68" s="24" t="inlineStr">
        <is>
          <t>LA Galaxy</t>
        </is>
      </c>
      <c r="AT68" s="24" t="inlineStr">
        <is>
          <t>LA Galaxy</t>
        </is>
      </c>
      <c r="AU68" s="24" t="inlineStr">
        <is>
          <t>LA Galaxy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2026-08-01T23:52:11.231740Z</t>
        </is>
      </c>
      <c r="BI68" s="24" t="inlineStr">
        <is>
          <t>["same_event","same_team_same_day","same_league_same_day"]</t>
        </is>
      </c>
      <c r="BJ68" s="25" t="n"/>
      <c r="BK68" s="26" t="n">
        <v>186</v>
      </c>
      <c r="BL68" s="27" t="n">
        <v>2.86</v>
      </c>
      <c r="BM68" s="28" t="n">
        <v>0.34965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65e3b4f475a748df</t>
        </is>
      </c>
      <c r="B69" s="24" t="inlineStr">
        <is>
          <t>2026-08-02T16:13:18.780884Z</t>
        </is>
      </c>
      <c r="C69" s="24" t="inlineStr">
        <is>
          <t>2026-08-02T17:30Z</t>
        </is>
      </c>
      <c r="D69" s="24" t="inlineStr">
        <is>
          <t>401841470</t>
        </is>
      </c>
      <c r="E69" s="24" t="inlineStr">
        <is>
          <t>SOCCER</t>
        </is>
      </c>
      <c r="F69" s="24" t="inlineStr">
        <is>
          <t>Gimnasia La Plata</t>
        </is>
      </c>
      <c r="G69" s="24" t="inlineStr">
        <is>
          <t>Aldosivi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233</v>
      </c>
      <c r="M69" s="27" t="n">
        <v>3.33</v>
      </c>
      <c r="N69" s="28" t="n">
        <v>0.3003</v>
      </c>
      <c r="O69" s="28" t="n">
        <v>0.456135</v>
      </c>
      <c r="P69" s="28" t="n">
        <v>0.2</v>
      </c>
      <c r="Q69" s="28" t="n">
        <v>0.155835</v>
      </c>
      <c r="R69" s="26" t="n">
        <v>8</v>
      </c>
      <c r="S69" s="29" t="n">
        <v>1</v>
      </c>
      <c r="T69" s="24" t="inlineStr">
        <is>
          <t>soccer-poisson-dc-v1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Poisson-DC rates 1.64 (home) / 1.24 (away) from EWMA attack/defense strengths. Executable ask 0.3000 (atc-lpa-ald-gim-2026-08-02-ald).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Gimnasia La Plata</t>
        </is>
      </c>
      <c r="AQ69" s="24" t="inlineStr">
        <is>
          <t>Gimnasia La Plata</t>
        </is>
      </c>
      <c r="AR69" s="24" t="inlineStr">
        <is>
          <t>Gimnasia La Plata</t>
        </is>
      </c>
      <c r="AS69" s="24" t="inlineStr">
        <is>
          <t>Aldosivi</t>
        </is>
      </c>
      <c r="AT69" s="24" t="inlineStr">
        <is>
          <t>Aldosivi</t>
        </is>
      </c>
      <c r="AU69" s="24" t="inlineStr">
        <is>
          <t>Aldosivi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2026-08-02T16:10:08.431356Z</t>
        </is>
      </c>
      <c r="BI69" s="24" t="inlineStr">
        <is>
          <t>["same_event","same_team_same_day","same_league_same_day"]</t>
        </is>
      </c>
      <c r="BJ69" s="25" t="n"/>
      <c r="BK69" s="26" t="n">
        <v>233</v>
      </c>
      <c r="BL69" s="27" t="n">
        <v>3.33</v>
      </c>
      <c r="BM69" s="28" t="n">
        <v>0.3003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inlineStr">
        <is>
          <t>True</t>
        </is>
      </c>
    </row>
    <row r="70" ht="36" customHeight="1">
      <c r="A70" s="24" t="inlineStr">
        <is>
          <t>b245873e9e554042</t>
        </is>
      </c>
      <c r="B70" s="24" t="inlineStr">
        <is>
          <t>2026-08-02T16:13:18.780884Z</t>
        </is>
      </c>
      <c r="C70" s="24" t="inlineStr">
        <is>
          <t>2026-08-02T20:00Z</t>
        </is>
      </c>
      <c r="D70" s="24" t="inlineStr">
        <is>
          <t>401841473</t>
        </is>
      </c>
      <c r="E70" s="24" t="inlineStr">
        <is>
          <t>SOCCER</t>
        </is>
      </c>
      <c r="F70" s="24" t="inlineStr">
        <is>
          <t>Boca Juniors</t>
        </is>
      </c>
      <c r="G70" s="24" t="inlineStr">
        <is>
          <t>Newell's Old Boys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335</v>
      </c>
      <c r="M70" s="27" t="n">
        <v>4.35</v>
      </c>
      <c r="N70" s="28" t="n">
        <v>0.229885</v>
      </c>
      <c r="O70" s="28" t="n">
        <v>0.398039</v>
      </c>
      <c r="P70" s="28" t="n">
        <v>0.2</v>
      </c>
      <c r="Q70" s="28" t="n">
        <v>0.168154</v>
      </c>
      <c r="R70" s="26" t="n">
        <v>14</v>
      </c>
      <c r="S70" s="29" t="n">
        <v>1</v>
      </c>
      <c r="T70" s="24" t="inlineStr">
        <is>
          <t>soccer-poisson-dc-v1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Poisson-DC rates 1.46 (home) / 1.30 (away) from EWMA attack/defense strengths. Executable ask 0.2300 (atc-lpa-new-boc-2026-08-02-new).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Boca Juniors</t>
        </is>
      </c>
      <c r="AQ70" s="24" t="inlineStr">
        <is>
          <t>Boca Juniors</t>
        </is>
      </c>
      <c r="AR70" s="24" t="inlineStr">
        <is>
          <t>Boca Juniors</t>
        </is>
      </c>
      <c r="AS70" s="24" t="inlineStr">
        <is>
          <t>Newell's Old Boys</t>
        </is>
      </c>
      <c r="AT70" s="24" t="inlineStr">
        <is>
          <t>Newell's Old Boys</t>
        </is>
      </c>
      <c r="AU70" s="24" t="inlineStr">
        <is>
          <t>Newell's Old Boys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2026-08-02T16:10:08.536425Z</t>
        </is>
      </c>
      <c r="BI70" s="24" t="inlineStr">
        <is>
          <t>["same_event","same_team_same_day","same_league_same_day"]</t>
        </is>
      </c>
      <c r="BJ70" s="25" t="n"/>
      <c r="BK70" s="26" t="n">
        <v>335</v>
      </c>
      <c r="BL70" s="27" t="n">
        <v>4.35</v>
      </c>
      <c r="BM70" s="28" t="n">
        <v>0.229885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inlineStr">
        <is>
          <t>True</t>
        </is>
      </c>
    </row>
    <row r="71" ht="36" customHeight="1">
      <c r="A71" s="24" t="inlineStr">
        <is>
          <t>079e03c7ad3f4597</t>
        </is>
      </c>
      <c r="B71" s="24" t="inlineStr">
        <is>
          <t>2026-08-02T16:13:18.780884Z</t>
        </is>
      </c>
      <c r="C71" s="24" t="inlineStr">
        <is>
          <t>2026-08-02T22:15Z</t>
        </is>
      </c>
      <c r="D71" s="24" t="inlineStr">
        <is>
          <t>401841476</t>
        </is>
      </c>
      <c r="E71" s="24" t="inlineStr">
        <is>
          <t>SOCCER</t>
        </is>
      </c>
      <c r="F71" s="24" t="inlineStr">
        <is>
          <t>Rosario Central</t>
        </is>
      </c>
      <c r="G71" s="24" t="inlineStr">
        <is>
          <t>River Plate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113</v>
      </c>
      <c r="M71" s="27" t="n">
        <v>2.13</v>
      </c>
      <c r="N71" s="28" t="n">
        <v>0.469484</v>
      </c>
      <c r="O71" s="28" t="n">
        <v>0.5359159999999999</v>
      </c>
      <c r="P71" s="28" t="n">
        <v>0.2</v>
      </c>
      <c r="Q71" s="28" t="n">
        <v>0.066432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Poisson-DC rates 1.84 (home) / 1.10 (away) from EWMA attack/defense strengths. Executable ask 0.4700 (atc-lpa-riv-ros-2026-08-02-riv).</t>
        </is>
      </c>
      <c r="AF71" s="31" t="inlineStr">
        <is>
          <t>Research-only soccer score model; draw-aware, but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Rosario Central</t>
        </is>
      </c>
      <c r="AQ71" s="24" t="inlineStr">
        <is>
          <t>Rosario Central</t>
        </is>
      </c>
      <c r="AR71" s="24" t="inlineStr">
        <is>
          <t>Rosario Central</t>
        </is>
      </c>
      <c r="AS71" s="24" t="inlineStr">
        <is>
          <t>River Plate</t>
        </is>
      </c>
      <c r="AT71" s="24" t="inlineStr">
        <is>
          <t>River Plate</t>
        </is>
      </c>
      <c r="AU71" s="24" t="inlineStr">
        <is>
          <t>River Plate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2026-08-02T16:10:08.980617Z</t>
        </is>
      </c>
      <c r="BI71" s="24" t="inlineStr">
        <is>
          <t>["same_event","same_team_same_day","same_league_same_day"]</t>
        </is>
      </c>
      <c r="BJ71" s="25" t="n"/>
      <c r="BK71" s="26" t="n">
        <v>113</v>
      </c>
      <c r="BL71" s="27" t="n">
        <v>2.13</v>
      </c>
      <c r="BM71" s="28" t="n">
        <v>0.469484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inlineStr">
        <is>
          <t>True</t>
        </is>
      </c>
    </row>
    <row r="72" ht="36" customHeight="1">
      <c r="A72" s="24" t="inlineStr">
        <is>
          <t>60c11542f9d14dcb</t>
        </is>
      </c>
      <c r="B72" s="24" t="inlineStr">
        <is>
          <t>2026-08-02T16:13:18.780884Z</t>
        </is>
      </c>
      <c r="C72" s="24" t="inlineStr">
        <is>
          <t>2026-08-02T18:00Z</t>
        </is>
      </c>
      <c r="D72" s="24" t="inlineStr">
        <is>
          <t>401844015</t>
        </is>
      </c>
      <c r="E72" s="24" t="inlineStr">
        <is>
          <t>SOCCER</t>
        </is>
      </c>
      <c r="F72" s="24" t="inlineStr">
        <is>
          <t>Agropecuario</t>
        </is>
      </c>
      <c r="G72" s="24" t="inlineStr">
        <is>
          <t>Chacarita Juniors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0.456135</v>
      </c>
      <c r="P72" s="28" t="n">
        <v>0.2</v>
      </c>
      <c r="Q72" s="28" t="n">
        <v>0.005685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Poisson-DC rates 1.64 (home) / 1.24 (away) from EWMA attack/defense strengths. Executable ask 0.4500 (atc-arg2-cjh-caa-2026-08-01-cjh).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Agropecuario</t>
        </is>
      </c>
      <c r="AQ72" s="24" t="inlineStr">
        <is>
          <t>Agropecuario</t>
        </is>
      </c>
      <c r="AR72" s="24" t="inlineStr">
        <is>
          <t>Agropecuario</t>
        </is>
      </c>
      <c r="AS72" s="24" t="inlineStr">
        <is>
          <t>Chacarita Juniors</t>
        </is>
      </c>
      <c r="AT72" s="24" t="inlineStr">
        <is>
          <t>Chacarita Juniors</t>
        </is>
      </c>
      <c r="AU72" s="24" t="inlineStr">
        <is>
          <t>Chacarita Juniors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2026-08-02T16:10:09.690642Z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inlineStr">
        <is>
          <t>True</t>
        </is>
      </c>
    </row>
    <row r="73" ht="36" customHeight="1">
      <c r="A73" s="24" t="inlineStr">
        <is>
          <t>fef45de45c904f50</t>
        </is>
      </c>
      <c r="B73" s="24" t="inlineStr">
        <is>
          <t>2026-08-02T16:13:18.780884Z</t>
        </is>
      </c>
      <c r="C73" s="24" t="inlineStr">
        <is>
          <t>2026-08-02T18:00Z</t>
        </is>
      </c>
      <c r="D73" s="24" t="inlineStr">
        <is>
          <t>401844019</t>
        </is>
      </c>
      <c r="E73" s="24" t="inlineStr">
        <is>
          <t>SOCCER</t>
        </is>
      </c>
      <c r="F73" s="24" t="inlineStr">
        <is>
          <t>San Miguel</t>
        </is>
      </c>
      <c r="G73" s="24" t="inlineStr">
        <is>
          <t>San Telmo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178</v>
      </c>
      <c r="M73" s="27" t="n">
        <v>2.78</v>
      </c>
      <c r="N73" s="28" t="n">
        <v>0.359712</v>
      </c>
      <c r="O73" s="28" t="n">
        <v>0.456135</v>
      </c>
      <c r="P73" s="28" t="n">
        <v>0.2</v>
      </c>
      <c r="Q73" s="28" t="n">
        <v>0.09642299999999999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Poisson-DC rates 1.64 (home) / 1.24 (away) from EWMA attack/defense strengths. Executable ask 0.3600 (atc-arg2-ste-casm-2026-08-02-ste).</t>
        </is>
      </c>
      <c r="AF73" s="31" t="inlineStr">
        <is>
          <t>Research-only soccer score model; draw-aware, but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San Miguel</t>
        </is>
      </c>
      <c r="AQ73" s="24" t="inlineStr">
        <is>
          <t>San Miguel</t>
        </is>
      </c>
      <c r="AR73" s="24" t="inlineStr">
        <is>
          <t>San Miguel</t>
        </is>
      </c>
      <c r="AS73" s="24" t="inlineStr">
        <is>
          <t>San Telmo</t>
        </is>
      </c>
      <c r="AT73" s="24" t="inlineStr">
        <is>
          <t>San Telmo</t>
        </is>
      </c>
      <c r="AU73" s="24" t="inlineStr">
        <is>
          <t>San Telmo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2026-08-02T16:10:10.319650Z</t>
        </is>
      </c>
      <c r="BI73" s="24" t="inlineStr">
        <is>
          <t>["same_event","same_team_same_day","same_league_same_day"]</t>
        </is>
      </c>
      <c r="BJ73" s="25" t="n"/>
      <c r="BK73" s="26" t="n">
        <v>178</v>
      </c>
      <c r="BL73" s="27" t="n">
        <v>2.78</v>
      </c>
      <c r="BM73" s="28" t="n">
        <v>0.359712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inlineStr">
        <is>
          <t>True</t>
        </is>
      </c>
    </row>
    <row r="74" ht="36" customHeight="1">
      <c r="A74" s="24" t="inlineStr">
        <is>
          <t>06cb55ce4b104aa8</t>
        </is>
      </c>
      <c r="B74" s="24" t="inlineStr">
        <is>
          <t>2026-08-02T16:13:18.780884Z</t>
        </is>
      </c>
      <c r="C74" s="24" t="inlineStr">
        <is>
          <t>2026-08-02T18:30Z</t>
        </is>
      </c>
      <c r="D74" s="24" t="inlineStr">
        <is>
          <t>401844012</t>
        </is>
      </c>
      <c r="E74" s="24" t="inlineStr">
        <is>
          <t>SOCCER</t>
        </is>
      </c>
      <c r="F74" s="24" t="inlineStr">
        <is>
          <t>Gimnasia y Tiro (Salta)</t>
        </is>
      </c>
      <c r="G74" s="24" t="inlineStr">
        <is>
          <t>Temperley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117</v>
      </c>
      <c r="M74" s="27" t="n">
        <v>2.17</v>
      </c>
      <c r="N74" s="28" t="n">
        <v>0.460829</v>
      </c>
      <c r="O74" s="28" t="n">
        <v>0.456135</v>
      </c>
      <c r="P74" s="28" t="n">
        <v>0.2</v>
      </c>
      <c r="Q74" s="28" t="n">
        <v>-0.004694</v>
      </c>
      <c r="R74" s="26" t="n">
        <v>0</v>
      </c>
      <c r="S74" s="29" t="n">
        <v>1</v>
      </c>
      <c r="T74" s="24" t="inlineStr">
        <is>
          <t>soccer-poisson-dc-v1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Poisson-DC rates 1.64 (home) / 1.24 (away) from EWMA attack/defense strengths. Executable ask 0.4600 (atc-arg2-cat-gyt-2026-08-02-cat).</t>
        </is>
      </c>
      <c r="AF74" s="31" t="inlineStr">
        <is>
          <t>Research-only soccer score model; draw-aware, but not yet locked-holdout qualified.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Gimnasia y Tiro (Salta)</t>
        </is>
      </c>
      <c r="AQ74" s="24" t="inlineStr">
        <is>
          <t>Gimnasia y Tiro (Salta)</t>
        </is>
      </c>
      <c r="AR74" s="24" t="inlineStr">
        <is>
          <t>Gimnasia y Tiro (Salta)</t>
        </is>
      </c>
      <c r="AS74" s="24" t="inlineStr">
        <is>
          <t>Temperley</t>
        </is>
      </c>
      <c r="AT74" s="24" t="inlineStr">
        <is>
          <t>Temperley</t>
        </is>
      </c>
      <c r="AU74" s="24" t="inlineStr">
        <is>
          <t>Temperley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2026-08-02T16:10:10.262963Z</t>
        </is>
      </c>
      <c r="BI74" s="24" t="inlineStr">
        <is>
          <t>["same_event","same_team_same_day","same_league_same_day"]</t>
        </is>
      </c>
      <c r="BJ74" s="25" t="n"/>
      <c r="BK74" s="26" t="n">
        <v>117</v>
      </c>
      <c r="BL74" s="27" t="n">
        <v>2.17</v>
      </c>
      <c r="BM74" s="28" t="n">
        <v>0.460829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inlineStr">
        <is>
          <t>False</t>
        </is>
      </c>
    </row>
    <row r="75" ht="36" customHeight="1">
      <c r="A75" s="24" t="inlineStr">
        <is>
          <t>46b66e5bd4974ad2</t>
        </is>
      </c>
      <c r="B75" s="24" t="inlineStr">
        <is>
          <t>2026-08-02T16:13:18.780884Z</t>
        </is>
      </c>
      <c r="C75" s="24" t="inlineStr">
        <is>
          <t>2026-08-02T19:00Z</t>
        </is>
      </c>
      <c r="D75" s="24" t="inlineStr">
        <is>
          <t>401844026</t>
        </is>
      </c>
      <c r="E75" s="24" t="inlineStr">
        <is>
          <t>SOCCER</t>
        </is>
      </c>
      <c r="F75" s="24" t="inlineStr">
        <is>
          <t>All Boys</t>
        </is>
      </c>
      <c r="G75" s="24" t="inlineStr">
        <is>
          <t>Deportivo Madryn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-108</v>
      </c>
      <c r="M75" s="27" t="n">
        <v>1.925926</v>
      </c>
      <c r="N75" s="28" t="n">
        <v>0.519231</v>
      </c>
      <c r="O75" s="28" t="n">
        <v>0.456135</v>
      </c>
      <c r="P75" s="28" t="n">
        <v>0.2</v>
      </c>
      <c r="Q75" s="28" t="n">
        <v>-0.063096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Poisson-DC rates 1.64 (home) / 1.24 (away) from EWMA attack/defense strengths. Executable ask 0.5200 (atc-arg2-dma-abo-2026-08-02-dma).</t>
        </is>
      </c>
      <c r="AF75" s="31" t="inlineStr">
        <is>
          <t>Research-only soccer score model; draw-aware, but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All Boys</t>
        </is>
      </c>
      <c r="AQ75" s="24" t="inlineStr">
        <is>
          <t>All Boys</t>
        </is>
      </c>
      <c r="AR75" s="24" t="inlineStr">
        <is>
          <t>All Boys</t>
        </is>
      </c>
      <c r="AS75" s="24" t="inlineStr">
        <is>
          <t>Deportivo Madryn</t>
        </is>
      </c>
      <c r="AT75" s="24" t="inlineStr">
        <is>
          <t>Deportivo Madryn</t>
        </is>
      </c>
      <c r="AU75" s="24" t="inlineStr">
        <is>
          <t>Deportivo Madryn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2026-08-02T16:10:10.820622Z</t>
        </is>
      </c>
      <c r="BI75" s="24" t="inlineStr">
        <is>
          <t>["same_event","same_team_same_day","same_league_same_day"]</t>
        </is>
      </c>
      <c r="BJ75" s="25" t="n"/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inlineStr">
        <is>
          <t>False</t>
        </is>
      </c>
    </row>
    <row r="76" ht="36" customHeight="1">
      <c r="A76" s="24" t="inlineStr">
        <is>
          <t>5837966c80e343ae</t>
        </is>
      </c>
      <c r="B76" s="24" t="inlineStr">
        <is>
          <t>2026-08-02T16:13:18.780884Z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150</v>
      </c>
      <c r="M76" s="27" t="n">
        <v>2.5</v>
      </c>
      <c r="N76" s="28" t="n">
        <v>0.4</v>
      </c>
      <c r="O76" s="28" t="n">
        <v>0.456135</v>
      </c>
      <c r="P76" s="28" t="n">
        <v>0.2</v>
      </c>
      <c r="Q76" s="28" t="n">
        <v>0.056135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Poisson-DC rates 1.64 (home) / 1.24 (away) from EWMA attack/defense strengths. Executable ask 0.4000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2026-08-02T16:10:11.344005Z</t>
        </is>
      </c>
      <c r="BI76" s="24" t="inlineStr">
        <is>
          <t>["same_event","same_team_same_day","same_league_same_day"]</t>
        </is>
      </c>
      <c r="BJ76" s="25" t="n"/>
      <c r="BK76" s="26" t="n">
        <v>150</v>
      </c>
      <c r="BL76" s="27" t="n">
        <v>2.5</v>
      </c>
      <c r="BM76" s="28" t="n">
        <v>0.4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inlineStr">
        <is>
          <t>True</t>
        </is>
      </c>
    </row>
    <row r="77" ht="36" customHeight="1">
      <c r="A77" s="24" t="inlineStr">
        <is>
          <t>a6eb7d6b34f444b0</t>
        </is>
      </c>
      <c r="B77" s="24" t="inlineStr">
        <is>
          <t>2026-08-02T16:13:18.780884Z</t>
        </is>
      </c>
      <c r="C77" s="24" t="inlineStr">
        <is>
          <t>2026-08-03T01:00Z</t>
        </is>
      </c>
      <c r="D77" s="24" t="inlineStr">
        <is>
          <t>401877966</t>
        </is>
      </c>
      <c r="E77" s="24" t="inlineStr">
        <is>
          <t>SOCCER</t>
        </is>
      </c>
      <c r="F77" s="24" t="inlineStr">
        <is>
          <t>Once Caldas</t>
        </is>
      </c>
      <c r="G77" s="24" t="inlineStr">
        <is>
          <t>Independiente Santa Fe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117</v>
      </c>
      <c r="M77" s="27" t="n">
        <v>2.17</v>
      </c>
      <c r="N77" s="28" t="n">
        <v>0.460829</v>
      </c>
      <c r="O77" s="28" t="n">
        <v>0.456135</v>
      </c>
      <c r="P77" s="28" t="n">
        <v>0.2</v>
      </c>
      <c r="Q77" s="28" t="n">
        <v>-0.004694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Poisson-DC rates 1.64 (home) / 1.24 (away) from EWMA attack/defense strengths. Executable ask 0.4600 (atc-lco-san-onc-2026-08-02-san).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Once Caldas</t>
        </is>
      </c>
      <c r="AQ77" s="24" t="inlineStr">
        <is>
          <t>Once Caldas</t>
        </is>
      </c>
      <c r="AR77" s="24" t="inlineStr">
        <is>
          <t>Once Caldas</t>
        </is>
      </c>
      <c r="AS77" s="24" t="inlineStr">
        <is>
          <t>Independiente Santa Fe</t>
        </is>
      </c>
      <c r="AT77" s="24" t="inlineStr">
        <is>
          <t>Independiente Santa Fe</t>
        </is>
      </c>
      <c r="AU77" s="24" t="inlineStr">
        <is>
          <t>Independiente Santa Fe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2026-08-02T16:10:11.996978Z</t>
        </is>
      </c>
      <c r="BI77" s="24" t="inlineStr">
        <is>
          <t>["same_event","same_team_same_day","same_league_same_day"]</t>
        </is>
      </c>
      <c r="BJ77" s="25" t="n"/>
      <c r="BK77" s="26" t="n">
        <v>117</v>
      </c>
      <c r="BL77" s="27" t="n">
        <v>2.17</v>
      </c>
      <c r="BM77" s="28" t="n">
        <v>0.460829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inlineStr">
        <is>
          <t>False</t>
        </is>
      </c>
    </row>
    <row r="78" ht="36" customHeight="1">
      <c r="A78" s="24" t="inlineStr">
        <is>
          <t>b380f2df213e4b4b</t>
        </is>
      </c>
      <c r="B78" s="24" t="inlineStr">
        <is>
          <t>2026-08-02T16:13:18.780884Z</t>
        </is>
      </c>
      <c r="C78" s="24" t="inlineStr">
        <is>
          <t>2026-08-02T19:00Z</t>
        </is>
      </c>
      <c r="D78" s="24" t="inlineStr">
        <is>
          <t>401850609</t>
        </is>
      </c>
      <c r="E78" s="24" t="inlineStr">
        <is>
          <t>SOCCER</t>
        </is>
      </c>
      <c r="F78" s="24" t="inlineStr">
        <is>
          <t>O'Higgins</t>
        </is>
      </c>
      <c r="G78" s="24" t="inlineStr">
        <is>
          <t>La Serena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156</v>
      </c>
      <c r="M78" s="27" t="n">
        <v>2.56</v>
      </c>
      <c r="N78" s="28" t="n">
        <v>0.390625</v>
      </c>
      <c r="O78" s="28" t="n">
        <v>0.5359159999999999</v>
      </c>
      <c r="P78" s="28" t="n">
        <v>0.2</v>
      </c>
      <c r="Q78" s="28" t="n">
        <v>0.145291</v>
      </c>
      <c r="R78" s="26" t="n">
        <v>3</v>
      </c>
      <c r="S78" s="29" t="n">
        <v>1</v>
      </c>
      <c r="T78" s="24" t="inlineStr">
        <is>
          <t>soccer-poisson-dc-v1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Poisson-DC rates 1.84 (home) / 1.10 (away) from EWMA attack/defense strengths. Executable ask 0.3900 (atc-pdc-ser-ohi-2026-08-02-ser).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O'Higgins</t>
        </is>
      </c>
      <c r="AQ78" s="24" t="inlineStr">
        <is>
          <t>O'Higgins</t>
        </is>
      </c>
      <c r="AR78" s="24" t="inlineStr">
        <is>
          <t>O'Higgins</t>
        </is>
      </c>
      <c r="AS78" s="24" t="inlineStr">
        <is>
          <t>La Serena</t>
        </is>
      </c>
      <c r="AT78" s="24" t="inlineStr">
        <is>
          <t>La Serena</t>
        </is>
      </c>
      <c r="AU78" s="24" t="inlineStr">
        <is>
          <t>La Serena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2026-08-02T16:10:13.051822Z</t>
        </is>
      </c>
      <c r="BI78" s="24" t="inlineStr">
        <is>
          <t>["same_event","same_team_same_day","same_league_same_day"]</t>
        </is>
      </c>
      <c r="BJ78" s="25" t="n"/>
      <c r="BK78" s="26" t="n">
        <v>156</v>
      </c>
      <c r="BL78" s="27" t="n">
        <v>2.56</v>
      </c>
      <c r="BM78" s="28" t="n">
        <v>0.390625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inlineStr">
        <is>
          <t>True</t>
        </is>
      </c>
    </row>
    <row r="79" ht="36" customHeight="1">
      <c r="A79" s="24" t="inlineStr">
        <is>
          <t>3d91d425059841ea</t>
        </is>
      </c>
      <c r="B79" s="24" t="inlineStr">
        <is>
          <t>2026-08-02T16:13:18.780884Z</t>
        </is>
      </c>
      <c r="C79" s="24" t="inlineStr">
        <is>
          <t>2026-08-02T21:30Z</t>
        </is>
      </c>
      <c r="D79" s="24" t="inlineStr">
        <is>
          <t>401850607</t>
        </is>
      </c>
      <c r="E79" s="24" t="inlineStr">
        <is>
          <t>SOCCER</t>
        </is>
      </c>
      <c r="F79" s="24" t="inlineStr">
        <is>
          <t>Huachipato</t>
        </is>
      </c>
      <c r="G79" s="24" t="inlineStr">
        <is>
          <t>Universidad de Chile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-178</v>
      </c>
      <c r="M79" s="27" t="n">
        <v>1.561798</v>
      </c>
      <c r="N79" s="28" t="n">
        <v>0.640288</v>
      </c>
      <c r="O79" s="28" t="n">
        <v>0.414794</v>
      </c>
      <c r="P79" s="28" t="n">
        <v>0.19</v>
      </c>
      <c r="Q79" s="28" t="n">
        <v>-0.225494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Poisson-DC rates 1.41 (home) / 1.16 (away) from EWMA attack/defense strengths. Executable ask 0.6400 (atc-pdc-unc-hua-2026-08-02-unc).</t>
        </is>
      </c>
      <c r="AF79" s="31" t="inlineStr">
        <is>
          <t>Research-only soccer score model; draw-aware, but not yet locked-holdout qualified.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Huachipato</t>
        </is>
      </c>
      <c r="AQ79" s="24" t="inlineStr">
        <is>
          <t>Huachipato</t>
        </is>
      </c>
      <c r="AR79" s="24" t="inlineStr">
        <is>
          <t>Huachipato</t>
        </is>
      </c>
      <c r="AS79" s="24" t="inlineStr">
        <is>
          <t>Universidad de Chile</t>
        </is>
      </c>
      <c r="AT79" s="24" t="inlineStr">
        <is>
          <t>Universidad de Chile</t>
        </is>
      </c>
      <c r="AU79" s="24" t="inlineStr">
        <is>
          <t>Universidad de Chile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2026-08-02T16:10:13.076403Z</t>
        </is>
      </c>
      <c r="BI79" s="24" t="inlineStr">
        <is>
          <t>["same_event","same_team_same_day","same_league_same_day"]</t>
        </is>
      </c>
      <c r="BJ79" s="25" t="n"/>
      <c r="BK79" s="26" t="n">
        <v>-178</v>
      </c>
      <c r="BL79" s="27" t="n">
        <v>1.561798</v>
      </c>
      <c r="BM79" s="28" t="n">
        <v>0.640288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inlineStr">
        <is>
          <t>False</t>
        </is>
      </c>
    </row>
    <row r="80" ht="36" customHeight="1">
      <c r="A80" s="24" t="inlineStr">
        <is>
          <t>ad9cbe9b7e93465a</t>
        </is>
      </c>
      <c r="B80" s="24" t="inlineStr">
        <is>
          <t>2026-08-02T16:13:18.780884Z</t>
        </is>
      </c>
      <c r="C80" s="24" t="inlineStr">
        <is>
          <t>2026-08-02T20:30Z</t>
        </is>
      </c>
      <c r="D80" s="24" t="inlineStr">
        <is>
          <t>401859644</t>
        </is>
      </c>
      <c r="E80" s="24" t="inlineStr">
        <is>
          <t>SOCCER</t>
        </is>
      </c>
      <c r="F80" s="24" t="inlineStr">
        <is>
          <t>Guayaquil City FC</t>
        </is>
      </c>
      <c r="G80" s="24" t="inlineStr">
        <is>
          <t>Macará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0.456135</v>
      </c>
      <c r="P80" s="28" t="n">
        <v>0.2</v>
      </c>
      <c r="Q80" s="28" t="n">
        <v>-0.203729</v>
      </c>
      <c r="R80" s="26" t="n">
        <v>0</v>
      </c>
      <c r="S80" s="29" t="n">
        <v>1</v>
      </c>
      <c r="T80" s="24" t="inlineStr">
        <is>
          <t>soccer-poisson-dc-v1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Poisson-DC rates 1.64 (home) / 1.24 (away) from EWMA attack/defense strengths. Executable ask 0.6600 (atc-ecu1-mac-gua-2026-08-02-mac).</t>
        </is>
      </c>
      <c r="AF80" s="31" t="inlineStr">
        <is>
          <t>Research-only soccer score model; draw-aware, but not yet locked-holdout qualified.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Guayaquil City FC</t>
        </is>
      </c>
      <c r="AQ80" s="24" t="inlineStr">
        <is>
          <t>Guayaquil City FC</t>
        </is>
      </c>
      <c r="AR80" s="24" t="inlineStr">
        <is>
          <t>Guayaquil City FC</t>
        </is>
      </c>
      <c r="AS80" s="24" t="inlineStr">
        <is>
          <t>Macará</t>
        </is>
      </c>
      <c r="AT80" s="24" t="inlineStr">
        <is>
          <t>Macará</t>
        </is>
      </c>
      <c r="AU80" s="24" t="inlineStr">
        <is>
          <t>Macará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2026-08-02T16:10:14.638862Z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inlineStr">
        <is>
          <t>False</t>
        </is>
      </c>
    </row>
    <row r="81" ht="36" customHeight="1">
      <c r="A81" s="24" t="inlineStr">
        <is>
          <t>68744155690146ed</t>
        </is>
      </c>
      <c r="B81" s="24" t="inlineStr">
        <is>
          <t>2026-08-02T16:13:18.780884Z</t>
        </is>
      </c>
      <c r="C81" s="24" t="inlineStr">
        <is>
          <t>2026-08-02T23:10Z</t>
        </is>
      </c>
      <c r="D81" s="24" t="inlineStr">
        <is>
          <t>401859718</t>
        </is>
      </c>
      <c r="E81" s="24" t="inlineStr">
        <is>
          <t>SOCCER</t>
        </is>
      </c>
      <c r="F81" s="24" t="inlineStr">
        <is>
          <t>Barcelona SC</t>
        </is>
      </c>
      <c r="G81" s="24" t="inlineStr">
        <is>
          <t>Leones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194</v>
      </c>
      <c r="M81" s="27" t="n">
        <v>2.94</v>
      </c>
      <c r="N81" s="28" t="n">
        <v>0.340136</v>
      </c>
      <c r="O81" s="28" t="n">
        <v>0.406677</v>
      </c>
      <c r="P81" s="28" t="n">
        <v>0.19</v>
      </c>
      <c r="Q81" s="28" t="n">
        <v>0.066541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Poisson-DC rates 1.38 (home) / 1.56 (away) from EWMA attack/defense strengths. Executable ask 0.3400 (atc-ecu1-leo-bsc-2026-08-02-bsc).</t>
        </is>
      </c>
      <c r="AF81" s="31" t="inlineStr">
        <is>
          <t>Research-only soccer score model; draw-aware, but not yet locked-holdout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Barcelona SC</t>
        </is>
      </c>
      <c r="AQ81" s="24" t="inlineStr">
        <is>
          <t>Barcelona SC</t>
        </is>
      </c>
      <c r="AR81" s="24" t="inlineStr">
        <is>
          <t>Barcelona SC</t>
        </is>
      </c>
      <c r="AS81" s="24" t="inlineStr">
        <is>
          <t>Leones</t>
        </is>
      </c>
      <c r="AT81" s="24" t="inlineStr">
        <is>
          <t>Leones</t>
        </is>
      </c>
      <c r="AU81" s="24" t="inlineStr">
        <is>
          <t>Leones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2026-08-02T16:10:15.198916Z</t>
        </is>
      </c>
      <c r="BI81" s="24" t="inlineStr">
        <is>
          <t>["same_event","same_team_same_day","same_league_same_day"]</t>
        </is>
      </c>
      <c r="BJ81" s="25" t="n"/>
      <c r="BK81" s="26" t="n">
        <v>194</v>
      </c>
      <c r="BL81" s="27" t="n">
        <v>2.94</v>
      </c>
      <c r="BM81" s="28" t="n">
        <v>0.340136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inlineStr">
        <is>
          <t>True</t>
        </is>
      </c>
    </row>
    <row r="82" ht="36" customHeight="1">
      <c r="A82" s="24" t="inlineStr">
        <is>
          <t>a4f7fe9a35d54329</t>
        </is>
      </c>
      <c r="B82" s="24" t="inlineStr">
        <is>
          <t>2026-08-02T16:13:18.780884Z</t>
        </is>
      </c>
      <c r="C82" s="24" t="inlineStr">
        <is>
          <t>2026-08-02T20:00Z</t>
        </is>
      </c>
      <c r="D82" s="24" t="inlineStr">
        <is>
          <t>401863533</t>
        </is>
      </c>
      <c r="E82" s="24" t="inlineStr">
        <is>
          <t>SOCCER</t>
        </is>
      </c>
      <c r="F82" s="24" t="inlineStr">
        <is>
          <t>Leeds United</t>
        </is>
      </c>
      <c r="G82" s="24" t="inlineStr">
        <is>
          <t>Liverpool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-138</v>
      </c>
      <c r="M82" s="27" t="n">
        <v>1.724638</v>
      </c>
      <c r="N82" s="28" t="n">
        <v>0.579832</v>
      </c>
      <c r="O82" s="28" t="n">
        <v>0.482992</v>
      </c>
      <c r="P82" s="28" t="n">
        <v>0.04</v>
      </c>
      <c r="Q82" s="28" t="n">
        <v>-0.09684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Poisson-DC rates 1.69 (home) / 1.17 (away) from EWMA attack/defense strengths. Executable ask 0.5800 (atc-clbf-lfc-lee-2026-08-02-lfc).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NO_CALL_LOW_EDGE</t>
        </is>
      </c>
      <c r="AP82" s="24" t="inlineStr">
        <is>
          <t>Leeds United</t>
        </is>
      </c>
      <c r="AQ82" s="24" t="inlineStr">
        <is>
          <t>Leeds United</t>
        </is>
      </c>
      <c r="AR82" s="24" t="inlineStr">
        <is>
          <t>Leeds United</t>
        </is>
      </c>
      <c r="AS82" s="24" t="inlineStr">
        <is>
          <t>Liverpool</t>
        </is>
      </c>
      <c r="AT82" s="24" t="inlineStr">
        <is>
          <t>Liverpool</t>
        </is>
      </c>
      <c r="AU82" s="24" t="inlineStr">
        <is>
          <t>Liverpool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34d1568aad0ff11b5db35f118324684f93281e1c21fa7b80be7a4a4e2cb4bb03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34d1568aad0ff11b5db35f118324684f93281e1c21fa7b80be7a4a4e2cb4bb03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34d1568aad0ff11b5db35f118324684f93281e1c21fa7b80be7a4a4e2cb4bb03</t>
        </is>
      </c>
      <c r="BH82" s="24" t="inlineStr">
        <is>
          <t>2026-08-02T16:10:17.255205Z</t>
        </is>
      </c>
      <c r="BI82" s="24" t="inlineStr">
        <is>
          <t>["same_event","same_team_same_day","same_league_same_day"]</t>
        </is>
      </c>
      <c r="BJ82" s="25" t="n"/>
      <c r="BK82" s="26" t="n">
        <v>-138</v>
      </c>
      <c r="BL82" s="27" t="n">
        <v>1.724638</v>
      </c>
      <c r="BM82" s="28" t="n">
        <v>0.579832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2026-08-02T16:19:57Z</dcterms:created>
  <dcterms:modified xsi:type="dcterms:W3CDTF">2026-08-02T16:19:57Z</dcterms:modified>
</cp:coreProperties>
</file>