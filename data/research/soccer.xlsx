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O82" headerRowCount="1">
  <autoFilter ref="A1:CO82"/>
  <tableColumns count="93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rest_disparity"/>
    <tableColumn id="91" name="back_to_back_gap"/>
    <tableColumn id="92" name="games_last_7_gap"/>
    <tableColumn id="93" name="schedule_missingn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COUNTA('Picks'!$A$2:$A$82)</f>
        <v/>
      </c>
      <c r="C4" s="6">
        <f>COUNTIF('Picks'!$U$2:$U$82,"open")</f>
        <v/>
      </c>
      <c r="E4" s="6">
        <f>COUNTIF('Picks'!$U$2:$U$82,"settled")</f>
        <v/>
      </c>
      <c r="G4" s="6">
        <f>IF(COUNTIFS('Picks'!$U$2:$U$82,"settled",'Picks'!$V$2:$V$82,"win")+COUNTIFS('Picks'!$U$2:$U$82,"settled",'Picks'!$V$2:$V$82,"loss")&gt;=$L$2,"Ready","Insufficient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COUNTIF('Picks'!$BX$2:$BX$82,"&gt;0")</f>
        <v/>
      </c>
      <c r="C7" s="6">
        <f>COUNTIFS('Picks'!$BX$2:$BX$82,"&gt;0",'Picks'!$V$2:$V$82,"win")&amp;"-"&amp;COUNTIFS('Picks'!$BX$2:$BX$82,"&gt;0",'Picks'!$V$2:$V$82,"loss")</f>
        <v/>
      </c>
      <c r="E7" s="7">
        <f>IFERROR(COUNTIFS('Picks'!$BX$2:$BX$82,"&gt;0",'Picks'!$V$2:$V$82,"win")/(COUNTIFS('Picks'!$BX$2:$BX$82,"&gt;0",'Picks'!$V$2:$V$82,"win")+COUNTIFS('Picks'!$BX$2:$BX$82,"&gt;0",'Picks'!$V$2:$V$82,"loss")),0)</f>
        <v/>
      </c>
      <c r="G7" s="7">
        <f>IFERROR(SUM('Picks'!$BY$2:$BY$82)/SUM('Picks'!$BX$2:$BX$82),0)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SUM('Picks'!$BY$2:$BY$82)</f>
        <v/>
      </c>
      <c r="C10" s="9">
        <f>IFERROR(AVERAGEIF('Picks'!$AB$2:$AB$82,"&lt;&gt;",'Picks'!$AB$2:$AB$82),0)</f>
        <v/>
      </c>
      <c r="E10" s="6">
        <f>COUNTIFS('Picks'!$AM$2:$AM$82,"QUALIFIED_SHADOW_CALL",'Picks'!$U$2:$U$82,"settled")</f>
        <v/>
      </c>
      <c r="G10" s="8">
        <f>SUMIFS('Picks'!$AC$2:$AC$82,'Picks'!$AM$2:$AM$82,"QUALIFIED_SHADOW_CALL")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COUNTIFS('Picks'!$H$2:$H$82,$A14,'Picks'!$U$2:$U$82,"settled")</f>
        <v/>
      </c>
      <c r="C14" s="13">
        <f>COUNTIFS('Picks'!$H$2:$H$82,$A14,'Picks'!$U$2:$U$82,"settled",'Picks'!$V$2:$V$82,"win")</f>
        <v/>
      </c>
      <c r="D14" s="13">
        <f>COUNTIFS('Picks'!$H$2:$H$82,$A14,'Picks'!$U$2:$U$82,"settled",'Picks'!$V$2:$V$82,"loss")</f>
        <v/>
      </c>
      <c r="E14" s="14">
        <f>IFERROR(C14/(C14+D14),0)</f>
        <v/>
      </c>
      <c r="F14" s="15">
        <f>SUMIFS('Picks'!$BY$2:$BY$82,'Picks'!$H$2:$H$82,$A14)</f>
        <v/>
      </c>
      <c r="G14" s="16">
        <f>IFERROR(AVERAGEIFS('Picks'!$AB$2:$AB$82,'Picks'!$H$2:$H$82,$A14,'Picks'!$U$2:$U$82,"settled"),0)</f>
        <v/>
      </c>
    </row>
    <row r="15">
      <c r="A15" s="17" t="inlineStr">
        <is>
          <t>spread</t>
        </is>
      </c>
      <c r="B15" s="18">
        <f>COUNTIFS('Picks'!$H$2:$H$82,$A15,'Picks'!$U$2:$U$82,"settled")</f>
        <v/>
      </c>
      <c r="C15" s="18">
        <f>COUNTIFS('Picks'!$H$2:$H$82,$A15,'Picks'!$U$2:$U$82,"settled",'Picks'!$V$2:$V$82,"win")</f>
        <v/>
      </c>
      <c r="D15" s="18">
        <f>COUNTIFS('Picks'!$H$2:$H$82,$A15,'Picks'!$U$2:$U$82,"settled",'Picks'!$V$2:$V$82,"loss")</f>
        <v/>
      </c>
      <c r="E15" s="19">
        <f>IFERROR(C15/(C15+D15),0)</f>
        <v/>
      </c>
      <c r="F15" s="20">
        <f>SUMIFS('Picks'!$BY$2:$BY$82,'Picks'!$H$2:$H$82,$A15)</f>
        <v/>
      </c>
      <c r="G15" s="21">
        <f>IFERROR(AVERAGEIFS('Picks'!$AB$2:$AB$82,'Picks'!$H$2:$H$82,$A15,'Picks'!$U$2:$U$82,"settled"),0)</f>
        <v/>
      </c>
    </row>
    <row r="16">
      <c r="A16" s="12" t="inlineStr">
        <is>
          <t>total</t>
        </is>
      </c>
      <c r="B16" s="13">
        <f>COUNTIFS('Picks'!$H$2:$H$82,$A16,'Picks'!$U$2:$U$82,"settled")</f>
        <v/>
      </c>
      <c r="C16" s="13">
        <f>COUNTIFS('Picks'!$H$2:$H$82,$A16,'Picks'!$U$2:$U$82,"settled",'Picks'!$V$2:$V$82,"win")</f>
        <v/>
      </c>
      <c r="D16" s="13">
        <f>COUNTIFS('Picks'!$H$2:$H$82,$A16,'Picks'!$U$2:$U$82,"settled",'Picks'!$V$2:$V$82,"loss")</f>
        <v/>
      </c>
      <c r="E16" s="14">
        <f>IFERROR(C16/(C16+D16),0)</f>
        <v/>
      </c>
      <c r="F16" s="15">
        <f>SUMIFS('Picks'!$BY$2:$BY$82,'Picks'!$H$2:$H$82,$A16)</f>
        <v/>
      </c>
      <c r="G16" s="16">
        <f>IFERROR(AVERAGEIFS('Picks'!$AB$2:$AB$82,'Picks'!$H$2:$H$82,$A16,'Picks'!$U$2:$U$82,"settled"),0)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O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</row>
    <row r="2" ht="36" customHeight="1">
      <c r="A2" s="24" t="inlineStr">
        <is>
          <t>7a7b4ead9f41446d</t>
        </is>
      </c>
      <c r="B2" s="24" t="inlineStr">
        <is>
          <t>2026-07-27T17:35:44.644443Z</t>
        </is>
      </c>
      <c r="C2" s="24" t="inlineStr">
        <is>
          <t>2026-07-27T18:00Z</t>
        </is>
      </c>
      <c r="D2" s="24" t="inlineStr">
        <is>
          <t>401886548</t>
        </is>
      </c>
      <c r="E2" s="24" t="inlineStr">
        <is>
          <t>SOCCER</t>
        </is>
      </c>
      <c r="F2" s="24" t="inlineStr">
        <is>
          <t>Venezia</t>
        </is>
      </c>
      <c r="G2" s="24" t="inlineStr">
        <is>
          <t>Galatasaray</t>
        </is>
      </c>
      <c r="H2" s="24" t="inlineStr">
        <is>
          <t>total</t>
        </is>
      </c>
      <c r="I2" s="24" t="inlineStr">
        <is>
          <t>under</t>
        </is>
      </c>
      <c r="J2" s="25" t="n">
        <v>2.5</v>
      </c>
      <c r="K2" s="24" t="inlineStr">
        <is>
          <t>polymarket_us</t>
        </is>
      </c>
      <c r="L2" s="26" t="n">
        <v>203</v>
      </c>
      <c r="M2" s="27" t="n">
        <v>3.03</v>
      </c>
      <c r="N2" s="28" t="n">
        <v>0.330033</v>
      </c>
      <c r="O2" s="28" t="n">
        <v>0.523162</v>
      </c>
      <c r="P2" s="28" t="n">
        <v>0.08</v>
      </c>
      <c r="Q2" s="28" t="n">
        <v>0.193129</v>
      </c>
      <c r="R2" s="26" t="n">
        <v>99</v>
      </c>
      <c r="S2" s="29" t="n">
        <v>1</v>
      </c>
      <c r="T2" s="24" t="inlineStr">
        <is>
          <t>soccer-poisson-dc-v1</t>
        </is>
      </c>
      <c r="U2" s="24" t="inlineStr">
        <is>
          <t>settled</t>
        </is>
      </c>
      <c r="V2" s="24" t="inlineStr">
        <is>
          <t>loss</t>
        </is>
      </c>
      <c r="W2" s="26" t="n">
        <v>3</v>
      </c>
      <c r="X2" s="26" t="n">
        <v>0</v>
      </c>
      <c r="Y2" s="25" t="n"/>
      <c r="Z2" s="26" t="n"/>
      <c r="AA2" s="28" t="n"/>
      <c r="AB2" s="28" t="n"/>
      <c r="AC2" s="30" t="n">
        <v>-1</v>
      </c>
      <c r="AD2" s="24" t="inlineStr">
        <is>
          <t>2026-07-27T22:51:58.565109Z</t>
        </is>
      </c>
      <c r="AE2" s="31" t="inlineStr">
        <is>
          <t>Poisson-DC rates 1.63 (home) / 0.95 (away) from EWMA attack/defense strengths. Executable ask 0.3300 (tsc-clbf-gal-ven-2026-07-27-2pt5).</t>
        </is>
      </c>
      <c r="AF2" s="31" t="inlineStr">
        <is>
          <t>Research-only soccer score model; draw-aware, but not yet locked-holdout qualified.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research_observation</t>
        </is>
      </c>
      <c r="AL2" s="26" t="n">
        <v>3</v>
      </c>
      <c r="AM2" s="24" t="inlineStr">
        <is>
          <t>RESEARCH_OBSERVATION</t>
        </is>
      </c>
      <c r="AN2" s="24" t="inlineStr">
        <is>
          <t>NO_CALL</t>
        </is>
      </c>
      <c r="AO2" s="24" t="inlineStr">
        <is>
          <t>NO_CALL_MODEL_UNVALIDATED</t>
        </is>
      </c>
      <c r="AP2" s="24" t="inlineStr">
        <is>
          <t>Venezia</t>
        </is>
      </c>
      <c r="AQ2" s="24" t="inlineStr">
        <is>
          <t>Venezia</t>
        </is>
      </c>
      <c r="AR2" s="24" t="inlineStr">
        <is>
          <t>Venezia</t>
        </is>
      </c>
      <c r="AS2" s="24" t="inlineStr">
        <is>
          <t>Galatasaray</t>
        </is>
      </c>
      <c r="AT2" s="24" t="inlineStr">
        <is>
          <t>Galatasaray</t>
        </is>
      </c>
      <c r="AU2" s="24" t="inlineStr">
        <is>
          <t>Galatasaray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research</t>
        </is>
      </c>
      <c r="BA2" s="24" t="inlineStr">
        <is>
          <t>0361718a19f38c3d244b71cb6b1f2e7e14a86925e833d2186645250fc084b969</t>
        </is>
      </c>
      <c r="BB2" s="24" t="inlineStr">
        <is>
          <t>poisson_dixon_coles</t>
        </is>
      </c>
      <c r="BC2" s="24" t="inlineStr">
        <is>
          <t>soccer-poisson-dc-v1</t>
        </is>
      </c>
      <c r="BD2" s="24" t="inlineStr">
        <is>
          <t>0361718a19f38c3d244b71cb6b1f2e7e14a86925e833d2186645250fc084b969</t>
        </is>
      </c>
      <c r="BE2" s="24" t="inlineStr">
        <is>
          <t>soccer-poisson-dc-v1</t>
        </is>
      </c>
      <c r="BF2" s="24" t="inlineStr">
        <is>
          <t>1</t>
        </is>
      </c>
      <c r="BG2" s="24" t="inlineStr">
        <is>
          <t>0361718a19f38c3d244b71cb6b1f2e7e14a86925e833d2186645250fc084b969</t>
        </is>
      </c>
      <c r="BH2" s="24" t="inlineStr">
        <is>
          <t>2026-07-27T17:34:15.330265Z</t>
        </is>
      </c>
      <c r="BI2" s="24" t="inlineStr">
        <is>
          <t>["same_event","same_team_same_day","same_league_same_day"]</t>
        </is>
      </c>
      <c r="BJ2" s="25" t="n">
        <v>2.5</v>
      </c>
      <c r="BK2" s="26" t="n">
        <v>203</v>
      </c>
      <c r="BL2" s="27" t="n">
        <v>3.03</v>
      </c>
      <c r="BM2" s="28" t="n">
        <v>0.330033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</row>
    <row r="3" ht="36" customHeight="1">
      <c r="A3" s="24" t="inlineStr">
        <is>
          <t>19fc9ad985604d74</t>
        </is>
      </c>
      <c r="B3" s="24" t="inlineStr">
        <is>
          <t>2026-07-27T17:35:44.644443Z</t>
        </is>
      </c>
      <c r="C3" s="24" t="inlineStr">
        <is>
          <t>2026-07-27T18:00Z</t>
        </is>
      </c>
      <c r="D3" s="24" t="inlineStr">
        <is>
          <t>401886548</t>
        </is>
      </c>
      <c r="E3" s="24" t="inlineStr">
        <is>
          <t>SOCCER</t>
        </is>
      </c>
      <c r="F3" s="24" t="inlineStr">
        <is>
          <t>Venezia</t>
        </is>
      </c>
      <c r="G3" s="24" t="inlineStr">
        <is>
          <t>Galatasaray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-178</v>
      </c>
      <c r="M3" s="27" t="n">
        <v>1.561798</v>
      </c>
      <c r="N3" s="28" t="n">
        <v>0.640288</v>
      </c>
      <c r="O3" s="28" t="n">
        <v>0.5234799999999999</v>
      </c>
      <c r="P3" s="28" t="n">
        <v>0.08</v>
      </c>
      <c r="Q3" s="28" t="n">
        <v>-0.116808</v>
      </c>
      <c r="R3" s="26" t="n">
        <v>0</v>
      </c>
      <c r="S3" s="29" t="n">
        <v>1</v>
      </c>
      <c r="T3" s="24" t="inlineStr">
        <is>
          <t>soccer-poisson-dc-v1</t>
        </is>
      </c>
      <c r="U3" s="24" t="inlineStr">
        <is>
          <t>settled</t>
        </is>
      </c>
      <c r="V3" s="24" t="inlineStr">
        <is>
          <t>loss</t>
        </is>
      </c>
      <c r="W3" s="26" t="n">
        <v>3</v>
      </c>
      <c r="X3" s="26" t="n">
        <v>0</v>
      </c>
      <c r="Y3" s="25" t="n"/>
      <c r="Z3" s="26" t="n"/>
      <c r="AA3" s="28" t="n"/>
      <c r="AB3" s="28" t="n"/>
      <c r="AC3" s="30" t="n">
        <v>-1</v>
      </c>
      <c r="AD3" s="24" t="inlineStr">
        <is>
          <t>2026-07-27T22:51:58.610670Z</t>
        </is>
      </c>
      <c r="AE3" s="31" t="inlineStr">
        <is>
          <t>Poisson-DC rates 1.63 (home) / 0.95 (away) from EWMA attack/defense strengths. Executable ask 0.6400 (atc-clbf-gal-ven-2026-07-27-gal).</t>
        </is>
      </c>
      <c r="AF3" s="31" t="inlineStr">
        <is>
          <t>Research-only soccer score model; draw-aware, but not yet locked-holdout qualified.</t>
        </is>
      </c>
      <c r="AG3" s="24" t="inlineStr">
        <is>
          <t>review_required</t>
        </is>
      </c>
      <c r="AH3" s="24" t="n"/>
      <c r="AI3" s="31" t="n"/>
      <c r="AJ3" s="31" t="n"/>
      <c r="AK3" s="24" t="inlineStr">
        <is>
          <t>research_observation</t>
        </is>
      </c>
      <c r="AL3" s="26" t="n">
        <v>3</v>
      </c>
      <c r="AM3" s="24" t="inlineStr">
        <is>
          <t>RESEARCH_OBSERVATION</t>
        </is>
      </c>
      <c r="AN3" s="24" t="inlineStr">
        <is>
          <t>NO_CALL</t>
        </is>
      </c>
      <c r="AO3" s="24" t="inlineStr">
        <is>
          <t>NO_CALL_MODEL_UNVALIDATED</t>
        </is>
      </c>
      <c r="AP3" s="24" t="inlineStr">
        <is>
          <t>Venezia</t>
        </is>
      </c>
      <c r="AQ3" s="24" t="inlineStr">
        <is>
          <t>Venezia</t>
        </is>
      </c>
      <c r="AR3" s="24" t="inlineStr">
        <is>
          <t>Venezia</t>
        </is>
      </c>
      <c r="AS3" s="24" t="inlineStr">
        <is>
          <t>Galatasaray</t>
        </is>
      </c>
      <c r="AT3" s="24" t="inlineStr">
        <is>
          <t>Galatasaray</t>
        </is>
      </c>
      <c r="AU3" s="24" t="inlineStr">
        <is>
          <t>Galatasaray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research</t>
        </is>
      </c>
      <c r="BA3" s="24" t="inlineStr">
        <is>
          <t>0361718a19f38c3d244b71cb6b1f2e7e14a86925e833d2186645250fc084b969</t>
        </is>
      </c>
      <c r="BB3" s="24" t="inlineStr">
        <is>
          <t>poisson_dixon_coles</t>
        </is>
      </c>
      <c r="BC3" s="24" t="inlineStr">
        <is>
          <t>soccer-poisson-dc-v1</t>
        </is>
      </c>
      <c r="BD3" s="24" t="inlineStr">
        <is>
          <t>0361718a19f38c3d244b71cb6b1f2e7e14a86925e833d2186645250fc084b969</t>
        </is>
      </c>
      <c r="BE3" s="24" t="inlineStr">
        <is>
          <t>soccer-poisson-dc-v1</t>
        </is>
      </c>
      <c r="BF3" s="24" t="inlineStr">
        <is>
          <t>1</t>
        </is>
      </c>
      <c r="BG3" s="24" t="inlineStr">
        <is>
          <t>0361718a19f38c3d244b71cb6b1f2e7e14a86925e833d2186645250fc084b969</t>
        </is>
      </c>
      <c r="BH3" s="24" t="inlineStr">
        <is>
          <t>2026-07-27T17:34:15.326479Z</t>
        </is>
      </c>
      <c r="BI3" s="24" t="inlineStr">
        <is>
          <t>["same_event","same_team_same_day","same_league_same_day"]</t>
        </is>
      </c>
      <c r="BJ3" s="25" t="n"/>
      <c r="BK3" s="26" t="n">
        <v>-178</v>
      </c>
      <c r="BL3" s="27" t="n">
        <v>1.561798</v>
      </c>
      <c r="BM3" s="28" t="n">
        <v>0.640288</v>
      </c>
      <c r="BN3" s="28" t="n"/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</row>
    <row r="4" ht="36" customHeight="1">
      <c r="A4" s="24" t="inlineStr">
        <is>
          <t>c75f6d1022da4a63</t>
        </is>
      </c>
      <c r="B4" s="24" t="inlineStr">
        <is>
          <t>2026-07-27T22:53:46.963522Z</t>
        </is>
      </c>
      <c r="C4" s="24" t="inlineStr">
        <is>
          <t>2026-07-27T23:00Z</t>
        </is>
      </c>
      <c r="D4" s="24" t="inlineStr">
        <is>
          <t>401843998</t>
        </is>
      </c>
      <c r="E4" s="24" t="inlineStr">
        <is>
          <t>SOCCER</t>
        </is>
      </c>
      <c r="F4" s="24" t="inlineStr">
        <is>
          <t>Almagro</t>
        </is>
      </c>
      <c r="G4" s="24" t="inlineStr">
        <is>
          <t>Atlanta</t>
        </is>
      </c>
      <c r="H4" s="24" t="inlineStr">
        <is>
          <t>total</t>
        </is>
      </c>
      <c r="I4" s="24" t="inlineStr">
        <is>
          <t>over</t>
        </is>
      </c>
      <c r="J4" s="25" t="n">
        <v>2.5</v>
      </c>
      <c r="K4" s="24" t="inlineStr">
        <is>
          <t>polymarket_us</t>
        </is>
      </c>
      <c r="L4" s="26" t="n">
        <v>170</v>
      </c>
      <c r="M4" s="27" t="n">
        <v>2.7</v>
      </c>
      <c r="N4" s="28" t="n">
        <v>0.37037</v>
      </c>
      <c r="O4" s="28" t="n">
        <v>0.550664</v>
      </c>
      <c r="P4" s="28" t="n">
        <v>0.2</v>
      </c>
      <c r="Q4" s="28" t="n">
        <v>0.180294</v>
      </c>
      <c r="R4" s="26" t="n">
        <v>20</v>
      </c>
      <c r="S4" s="29" t="n">
        <v>1</v>
      </c>
      <c r="T4" s="24" t="inlineStr">
        <is>
          <t>soccer-poisson-dc-v1</t>
        </is>
      </c>
      <c r="U4" s="24" t="inlineStr">
        <is>
          <t>settled</t>
        </is>
      </c>
      <c r="V4" s="24" t="inlineStr">
        <is>
          <t>win</t>
        </is>
      </c>
      <c r="W4" s="26" t="n">
        <v>3</v>
      </c>
      <c r="X4" s="26" t="n">
        <v>1</v>
      </c>
      <c r="Y4" s="25" t="n"/>
      <c r="Z4" s="26" t="n"/>
      <c r="AA4" s="28" t="n"/>
      <c r="AB4" s="28" t="n"/>
      <c r="AC4" s="30" t="n">
        <v>1.7</v>
      </c>
      <c r="AD4" s="24" t="inlineStr">
        <is>
          <t>2026-07-28T01:57:11.783634Z</t>
        </is>
      </c>
      <c r="AE4" s="31" t="inlineStr">
        <is>
          <t>Poisson-DC rates 1.64 (home) / 1.24 (away) from EWMA attack/defense strengths. Executable ask 0.3700 (tsc-arg2-atl-alm-2026-07-27-2pt5).</t>
        </is>
      </c>
      <c r="AF4" s="31" t="inlineStr">
        <is>
          <t>Research-only soccer score model; draw-aware, but not yet locked-holdout qualified.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research_observation</t>
        </is>
      </c>
      <c r="AL4" s="26" t="n">
        <v>3</v>
      </c>
      <c r="AM4" s="24" t="inlineStr">
        <is>
          <t>RESEARCH_OBSERVATION</t>
        </is>
      </c>
      <c r="AN4" s="24" t="inlineStr">
        <is>
          <t>NO_CALL</t>
        </is>
      </c>
      <c r="AO4" s="24" t="inlineStr">
        <is>
          <t>NO_CALL_MODEL_UNVALIDATED</t>
        </is>
      </c>
      <c r="AP4" s="24" t="inlineStr">
        <is>
          <t>Almagro</t>
        </is>
      </c>
      <c r="AQ4" s="24" t="inlineStr">
        <is>
          <t>Almagro</t>
        </is>
      </c>
      <c r="AR4" s="24" t="inlineStr">
        <is>
          <t>Almagro</t>
        </is>
      </c>
      <c r="AS4" s="24" t="inlineStr">
        <is>
          <t>Atlanta</t>
        </is>
      </c>
      <c r="AT4" s="24" t="inlineStr">
        <is>
          <t>Atlanta</t>
        </is>
      </c>
      <c r="AU4" s="24" t="inlineStr">
        <is>
          <t>Atlanta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research</t>
        </is>
      </c>
      <c r="BA4" s="24" t="inlineStr">
        <is>
          <t>0361718a19f38c3d244b71cb6b1f2e7e14a86925e833d2186645250fc084b969</t>
        </is>
      </c>
      <c r="BB4" s="24" t="inlineStr">
        <is>
          <t>poisson_dixon_coles</t>
        </is>
      </c>
      <c r="BC4" s="24" t="inlineStr">
        <is>
          <t>soccer-poisson-dc-v1</t>
        </is>
      </c>
      <c r="BD4" s="24" t="inlineStr">
        <is>
          <t>0361718a19f38c3d244b71cb6b1f2e7e14a86925e833d2186645250fc084b969</t>
        </is>
      </c>
      <c r="BE4" s="24" t="inlineStr">
        <is>
          <t>soccer-poisson-dc-v1</t>
        </is>
      </c>
      <c r="BF4" s="24" t="inlineStr">
        <is>
          <t>1</t>
        </is>
      </c>
      <c r="BG4" s="24" t="inlineStr">
        <is>
          <t>0361718a19f38c3d244b71cb6b1f2e7e14a86925e833d2186645250fc084b969</t>
        </is>
      </c>
      <c r="BH4" s="24" t="inlineStr">
        <is>
          <t>2026-07-27T22:52:46.180696Z</t>
        </is>
      </c>
      <c r="BI4" s="24" t="inlineStr">
        <is>
          <t>["same_event","same_team_same_day","same_league_same_day"]</t>
        </is>
      </c>
      <c r="BJ4" s="25" t="n">
        <v>2.5</v>
      </c>
      <c r="BK4" s="26" t="n">
        <v>170</v>
      </c>
      <c r="BL4" s="27" t="n">
        <v>2.7</v>
      </c>
      <c r="BM4" s="28" t="n">
        <v>0.37037</v>
      </c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</row>
    <row r="5" ht="36" customHeight="1">
      <c r="A5" s="24" t="inlineStr">
        <is>
          <t>a46c289941a345c2</t>
        </is>
      </c>
      <c r="B5" s="24" t="inlineStr">
        <is>
          <t>2026-07-27T22:53:46.963522Z</t>
        </is>
      </c>
      <c r="C5" s="24" t="inlineStr">
        <is>
          <t>2026-07-27T23:00Z</t>
        </is>
      </c>
      <c r="D5" s="24" t="inlineStr">
        <is>
          <t>401843998</t>
        </is>
      </c>
      <c r="E5" s="24" t="inlineStr">
        <is>
          <t>SOCCER</t>
        </is>
      </c>
      <c r="F5" s="24" t="inlineStr">
        <is>
          <t>Almagro</t>
        </is>
      </c>
      <c r="G5" s="24" t="inlineStr">
        <is>
          <t>Atlanta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-156</v>
      </c>
      <c r="M5" s="27" t="n">
        <v>1.641026</v>
      </c>
      <c r="N5" s="28" t="n">
        <v>0.609375</v>
      </c>
      <c r="O5" s="28" t="n">
        <v>0.456199</v>
      </c>
      <c r="P5" s="28" t="n">
        <v>0.2</v>
      </c>
      <c r="Q5" s="28" t="n">
        <v>-0.153176</v>
      </c>
      <c r="R5" s="26" t="n">
        <v>0</v>
      </c>
      <c r="S5" s="29" t="n">
        <v>1</v>
      </c>
      <c r="T5" s="24" t="inlineStr">
        <is>
          <t>soccer-poisson-dc-v1</t>
        </is>
      </c>
      <c r="U5" s="24" t="inlineStr">
        <is>
          <t>settled</t>
        </is>
      </c>
      <c r="V5" s="24" t="inlineStr">
        <is>
          <t>loss</t>
        </is>
      </c>
      <c r="W5" s="26" t="n">
        <v>3</v>
      </c>
      <c r="X5" s="26" t="n">
        <v>1</v>
      </c>
      <c r="Y5" s="25" t="n"/>
      <c r="Z5" s="26" t="n"/>
      <c r="AA5" s="28" t="n"/>
      <c r="AB5" s="28" t="n"/>
      <c r="AC5" s="30" t="n">
        <v>-1</v>
      </c>
      <c r="AD5" s="24" t="inlineStr">
        <is>
          <t>2026-07-28T01:57:11.829328Z</t>
        </is>
      </c>
      <c r="AE5" s="31" t="inlineStr">
        <is>
          <t>Poisson-DC rates 1.64 (home) / 1.24 (away) from EWMA attack/defense strengths. Executable ask 0.6100 (atc-arg2-atl-alm-2026-07-27-atl).</t>
        </is>
      </c>
      <c r="AF5" s="31" t="inlineStr">
        <is>
          <t>Research-only soccer score model; draw-aware, but not yet locked-holdout qualified.</t>
        </is>
      </c>
      <c r="AG5" s="24" t="inlineStr">
        <is>
          <t>review_required</t>
        </is>
      </c>
      <c r="AH5" s="24" t="n"/>
      <c r="AI5" s="31" t="n"/>
      <c r="AJ5" s="31" t="n"/>
      <c r="AK5" s="24" t="inlineStr">
        <is>
          <t>research_observation</t>
        </is>
      </c>
      <c r="AL5" s="26" t="n">
        <v>3</v>
      </c>
      <c r="AM5" s="24" t="inlineStr">
        <is>
          <t>RESEARCH_OBSERVATION</t>
        </is>
      </c>
      <c r="AN5" s="24" t="inlineStr">
        <is>
          <t>NO_CALL</t>
        </is>
      </c>
      <c r="AO5" s="24" t="inlineStr">
        <is>
          <t>NO_CALL_MODEL_UNVALIDATED</t>
        </is>
      </c>
      <c r="AP5" s="24" t="inlineStr">
        <is>
          <t>Almagro</t>
        </is>
      </c>
      <c r="AQ5" s="24" t="inlineStr">
        <is>
          <t>Almagro</t>
        </is>
      </c>
      <c r="AR5" s="24" t="inlineStr">
        <is>
          <t>Almagro</t>
        </is>
      </c>
      <c r="AS5" s="24" t="inlineStr">
        <is>
          <t>Atlanta</t>
        </is>
      </c>
      <c r="AT5" s="24" t="inlineStr">
        <is>
          <t>Atlanta</t>
        </is>
      </c>
      <c r="AU5" s="24" t="inlineStr">
        <is>
          <t>Atlanta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research</t>
        </is>
      </c>
      <c r="BA5" s="24" t="inlineStr">
        <is>
          <t>0361718a19f38c3d244b71cb6b1f2e7e14a86925e833d2186645250fc084b969</t>
        </is>
      </c>
      <c r="BB5" s="24" t="inlineStr">
        <is>
          <t>poisson_dixon_coles</t>
        </is>
      </c>
      <c r="BC5" s="24" t="inlineStr">
        <is>
          <t>soccer-poisson-dc-v1</t>
        </is>
      </c>
      <c r="BD5" s="24" t="inlineStr">
        <is>
          <t>0361718a19f38c3d244b71cb6b1f2e7e14a86925e833d2186645250fc084b969</t>
        </is>
      </c>
      <c r="BE5" s="24" t="inlineStr">
        <is>
          <t>soccer-poisson-dc-v1</t>
        </is>
      </c>
      <c r="BF5" s="24" t="inlineStr">
        <is>
          <t>1</t>
        </is>
      </c>
      <c r="BG5" s="24" t="inlineStr">
        <is>
          <t>0361718a19f38c3d244b71cb6b1f2e7e14a86925e833d2186645250fc084b969</t>
        </is>
      </c>
      <c r="BH5" s="24" t="inlineStr">
        <is>
          <t>2026-07-27T22:52:46.097852Z</t>
        </is>
      </c>
      <c r="BI5" s="24" t="inlineStr">
        <is>
          <t>["same_event","same_team_same_day","same_league_same_day"]</t>
        </is>
      </c>
      <c r="BJ5" s="25" t="n"/>
      <c r="BK5" s="26" t="n">
        <v>-156</v>
      </c>
      <c r="BL5" s="27" t="n">
        <v>1.641026</v>
      </c>
      <c r="BM5" s="28" t="n">
        <v>0.609375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</row>
    <row r="6" ht="36" customHeight="1">
      <c r="A6" s="24" t="inlineStr">
        <is>
          <t>5dcf18c1bd674c37</t>
        </is>
      </c>
      <c r="B6" s="24" t="inlineStr">
        <is>
          <t>2026-07-28T20:34:14.874473Z</t>
        </is>
      </c>
      <c r="C6" s="24" t="inlineStr">
        <is>
          <t>2026-07-28T22:30Z</t>
        </is>
      </c>
      <c r="D6" s="24" t="inlineStr">
        <is>
          <t>401860254</t>
        </is>
      </c>
      <c r="E6" s="24" t="inlineStr">
        <is>
          <t>SOCCER</t>
        </is>
      </c>
      <c r="F6" s="24" t="inlineStr">
        <is>
          <t>Avaí</t>
        </is>
      </c>
      <c r="G6" s="24" t="inlineStr">
        <is>
          <t>Juventude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-127</v>
      </c>
      <c r="M6" s="27" t="n">
        <v>1.787402</v>
      </c>
      <c r="N6" s="28" t="n">
        <v>0.5594710000000001</v>
      </c>
      <c r="O6" s="28" t="n">
        <v>0.456199</v>
      </c>
      <c r="P6" s="28" t="n">
        <v>0.2</v>
      </c>
      <c r="Q6" s="28" t="n">
        <v>-0.103272</v>
      </c>
      <c r="R6" s="26" t="n">
        <v>0</v>
      </c>
      <c r="S6" s="29" t="n">
        <v>1</v>
      </c>
      <c r="T6" s="24" t="inlineStr">
        <is>
          <t>soccer-poisson-dc-v1</t>
        </is>
      </c>
      <c r="U6" s="24" t="inlineStr">
        <is>
          <t>settled</t>
        </is>
      </c>
      <c r="V6" s="24" t="inlineStr">
        <is>
          <t>win</t>
        </is>
      </c>
      <c r="W6" s="26" t="n">
        <v>0</v>
      </c>
      <c r="X6" s="26" t="n">
        <v>1</v>
      </c>
      <c r="Y6" s="25" t="n"/>
      <c r="Z6" s="26" t="n"/>
      <c r="AA6" s="28" t="n"/>
      <c r="AB6" s="28" t="n"/>
      <c r="AC6" s="30" t="n">
        <v>0.7874</v>
      </c>
      <c r="AD6" s="24" t="inlineStr">
        <is>
          <t>2026-07-29T02:41:46.905781Z</t>
        </is>
      </c>
      <c r="AE6" s="31" t="inlineStr">
        <is>
          <t>Poisson-DC rates 1.64 (home) / 1.24 (away) from EWMA attack/defense strengths. Executable ask 0.5600 (atc-brb-juv-ava-2026-07-28-juv).</t>
        </is>
      </c>
      <c r="AF6" s="31" t="inlineStr">
        <is>
          <t>Research-only soccer score model; draw-aware, but not yet locked-holdout qualified.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research_observation</t>
        </is>
      </c>
      <c r="AL6" s="26" t="n">
        <v>3</v>
      </c>
      <c r="AM6" s="24" t="inlineStr">
        <is>
          <t>RESEARCH_OBSERVATION</t>
        </is>
      </c>
      <c r="AN6" s="24" t="inlineStr">
        <is>
          <t>NO_CALL</t>
        </is>
      </c>
      <c r="AO6" s="24" t="inlineStr">
        <is>
          <t>NO_CALL_MODEL_UNVALIDATED</t>
        </is>
      </c>
      <c r="AP6" s="24" t="inlineStr">
        <is>
          <t>Avaí</t>
        </is>
      </c>
      <c r="AQ6" s="24" t="inlineStr">
        <is>
          <t>Avaí</t>
        </is>
      </c>
      <c r="AR6" s="24" t="inlineStr">
        <is>
          <t>Avaí</t>
        </is>
      </c>
      <c r="AS6" s="24" t="inlineStr">
        <is>
          <t>Juventude</t>
        </is>
      </c>
      <c r="AT6" s="24" t="inlineStr">
        <is>
          <t>Juventude</t>
        </is>
      </c>
      <c r="AU6" s="24" t="inlineStr">
        <is>
          <t>Juventude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research</t>
        </is>
      </c>
      <c r="BA6" s="24" t="inlineStr">
        <is>
          <t>0361718a19f38c3d244b71cb6b1f2e7e14a86925e833d2186645250fc084b969</t>
        </is>
      </c>
      <c r="BB6" s="24" t="inlineStr">
        <is>
          <t>poisson_dixon_coles</t>
        </is>
      </c>
      <c r="BC6" s="24" t="inlineStr">
        <is>
          <t>soccer-poisson-dc-v1</t>
        </is>
      </c>
      <c r="BD6" s="24" t="inlineStr">
        <is>
          <t>0361718a19f38c3d244b71cb6b1f2e7e14a86925e833d2186645250fc084b969</t>
        </is>
      </c>
      <c r="BE6" s="24" t="inlineStr">
        <is>
          <t>soccer-poisson-dc-v1</t>
        </is>
      </c>
      <c r="BF6" s="24" t="inlineStr">
        <is>
          <t>1</t>
        </is>
      </c>
      <c r="BG6" s="24" t="inlineStr">
        <is>
          <t>0361718a19f38c3d244b71cb6b1f2e7e14a86925e833d2186645250fc084b969</t>
        </is>
      </c>
      <c r="BH6" s="24" t="inlineStr">
        <is>
          <t>2026-07-28T20:32:26.107744Z</t>
        </is>
      </c>
      <c r="BI6" s="24" t="inlineStr">
        <is>
          <t>["same_event","same_team_same_day","same_league_same_day"]</t>
        </is>
      </c>
      <c r="BJ6" s="25" t="n"/>
      <c r="BK6" s="26" t="n">
        <v>-127</v>
      </c>
      <c r="BL6" s="27" t="n">
        <v>1.787402</v>
      </c>
      <c r="BM6" s="28" t="n">
        <v>0.5594710000000001</v>
      </c>
      <c r="BN6" s="28" t="n"/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</row>
    <row r="7" ht="36" customHeight="1">
      <c r="A7" s="24" t="inlineStr">
        <is>
          <t>c1a2615685634f23</t>
        </is>
      </c>
      <c r="B7" s="24" t="inlineStr">
        <is>
          <t>2026-07-28T20:34:14.874473Z</t>
        </is>
      </c>
      <c r="C7" s="24" t="inlineStr">
        <is>
          <t>2026-07-28T22:30Z</t>
        </is>
      </c>
      <c r="D7" s="24" t="inlineStr">
        <is>
          <t>401860261</t>
        </is>
      </c>
      <c r="E7" s="24" t="inlineStr">
        <is>
          <t>SOCCER</t>
        </is>
      </c>
      <c r="F7" s="24" t="inlineStr">
        <is>
          <t>Athletic</t>
        </is>
      </c>
      <c r="G7" s="24" t="inlineStr">
        <is>
          <t>Ponte Preta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300</v>
      </c>
      <c r="M7" s="27" t="n">
        <v>4</v>
      </c>
      <c r="N7" s="28" t="n">
        <v>0.25</v>
      </c>
      <c r="O7" s="28" t="n">
        <v>0.456199</v>
      </c>
      <c r="P7" s="28" t="n">
        <v>0.2</v>
      </c>
      <c r="Q7" s="28" t="n">
        <v>0.206199</v>
      </c>
      <c r="R7" s="26" t="n">
        <v>33</v>
      </c>
      <c r="S7" s="29" t="n">
        <v>1</v>
      </c>
      <c r="T7" s="24" t="inlineStr">
        <is>
          <t>soccer-poisson-dc-v1</t>
        </is>
      </c>
      <c r="U7" s="24" t="inlineStr">
        <is>
          <t>settled</t>
        </is>
      </c>
      <c r="V7" s="24" t="inlineStr">
        <is>
          <t>push</t>
        </is>
      </c>
      <c r="W7" s="26" t="n">
        <v>1</v>
      </c>
      <c r="X7" s="26" t="n">
        <v>1</v>
      </c>
      <c r="Y7" s="25" t="n"/>
      <c r="Z7" s="26" t="n"/>
      <c r="AA7" s="28" t="n"/>
      <c r="AB7" s="28" t="n"/>
      <c r="AC7" s="30" t="n">
        <v>0</v>
      </c>
      <c r="AD7" s="24" t="inlineStr">
        <is>
          <t>2026-07-29T02:41:46.978948Z</t>
        </is>
      </c>
      <c r="AE7" s="31" t="inlineStr">
        <is>
          <t>Poisson-DC rates 1.64 (home) / 1.24 (away) from EWMA attack/defense strengths. Executable ask 0.2500 (atc-brb-pop-ath-2026-07-28-pop).</t>
        </is>
      </c>
      <c r="AF7" s="31" t="inlineStr">
        <is>
          <t>Research-only soccer score model; draw-aware, but not yet locked-holdout qualified.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research_observation</t>
        </is>
      </c>
      <c r="AL7" s="26" t="n">
        <v>3</v>
      </c>
      <c r="AM7" s="24" t="inlineStr">
        <is>
          <t>RESEARCH_OBSERVATION</t>
        </is>
      </c>
      <c r="AN7" s="24" t="inlineStr">
        <is>
          <t>NO_CALL</t>
        </is>
      </c>
      <c r="AO7" s="24" t="inlineStr">
        <is>
          <t>NO_CALL_MODEL_UNVALIDATED</t>
        </is>
      </c>
      <c r="AP7" s="24" t="inlineStr">
        <is>
          <t>Athletic</t>
        </is>
      </c>
      <c r="AQ7" s="24" t="inlineStr">
        <is>
          <t>Athletic</t>
        </is>
      </c>
      <c r="AR7" s="24" t="inlineStr">
        <is>
          <t>Athletic</t>
        </is>
      </c>
      <c r="AS7" s="24" t="inlineStr">
        <is>
          <t>Ponte Preta</t>
        </is>
      </c>
      <c r="AT7" s="24" t="inlineStr">
        <is>
          <t>Ponte Preta</t>
        </is>
      </c>
      <c r="AU7" s="24" t="inlineStr">
        <is>
          <t>Ponte Preta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research</t>
        </is>
      </c>
      <c r="BA7" s="24" t="inlineStr">
        <is>
          <t>0361718a19f38c3d244b71cb6b1f2e7e14a86925e833d2186645250fc084b969</t>
        </is>
      </c>
      <c r="BB7" s="24" t="inlineStr">
        <is>
          <t>poisson_dixon_coles</t>
        </is>
      </c>
      <c r="BC7" s="24" t="inlineStr">
        <is>
          <t>soccer-poisson-dc-v1</t>
        </is>
      </c>
      <c r="BD7" s="24" t="inlineStr">
        <is>
          <t>0361718a19f38c3d244b71cb6b1f2e7e14a86925e833d2186645250fc084b969</t>
        </is>
      </c>
      <c r="BE7" s="24" t="inlineStr">
        <is>
          <t>soccer-poisson-dc-v1</t>
        </is>
      </c>
      <c r="BF7" s="24" t="inlineStr">
        <is>
          <t>1</t>
        </is>
      </c>
      <c r="BG7" s="24" t="inlineStr">
        <is>
          <t>0361718a19f38c3d244b71cb6b1f2e7e14a86925e833d2186645250fc084b969</t>
        </is>
      </c>
      <c r="BH7" s="24" t="inlineStr">
        <is>
          <t>2026-07-28T20:32:26.083099Z</t>
        </is>
      </c>
      <c r="BI7" s="24" t="inlineStr">
        <is>
          <t>["same_event","same_team_same_day","same_league_same_day"]</t>
        </is>
      </c>
      <c r="BJ7" s="25" t="n"/>
      <c r="BK7" s="26" t="n">
        <v>300</v>
      </c>
      <c r="BL7" s="27" t="n">
        <v>4</v>
      </c>
      <c r="BM7" s="28" t="n">
        <v>0.25</v>
      </c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</row>
    <row r="8" ht="36" customHeight="1">
      <c r="A8" s="24" t="inlineStr">
        <is>
          <t>71dc8bd5d8eb498a</t>
        </is>
      </c>
      <c r="B8" s="24" t="inlineStr">
        <is>
          <t>2026-07-28T20:34:14.874473Z</t>
        </is>
      </c>
      <c r="C8" s="24" t="inlineStr">
        <is>
          <t>2026-07-28T22:00Z</t>
        </is>
      </c>
      <c r="D8" s="24" t="inlineStr">
        <is>
          <t>401841452</t>
        </is>
      </c>
      <c r="E8" s="24" t="inlineStr">
        <is>
          <t>SOCCER</t>
        </is>
      </c>
      <c r="F8" s="24" t="inlineStr">
        <is>
          <t>Gimnasia (Mendoza)</t>
        </is>
      </c>
      <c r="G8" s="24" t="inlineStr">
        <is>
          <t>San Lorenzo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100</v>
      </c>
      <c r="M8" s="27" t="n">
        <v>2</v>
      </c>
      <c r="N8" s="28" t="n">
        <v>0.5</v>
      </c>
      <c r="O8" s="28" t="n">
        <v>0.456199</v>
      </c>
      <c r="P8" s="28" t="n">
        <v>0.2</v>
      </c>
      <c r="Q8" s="28" t="n">
        <v>-0.043801</v>
      </c>
      <c r="R8" s="26" t="n">
        <v>0</v>
      </c>
      <c r="S8" s="29" t="n">
        <v>1</v>
      </c>
      <c r="T8" s="24" t="inlineStr">
        <is>
          <t>soccer-poisson-dc-v1</t>
        </is>
      </c>
      <c r="U8" s="24" t="inlineStr">
        <is>
          <t>settled</t>
        </is>
      </c>
      <c r="V8" s="24" t="inlineStr">
        <is>
          <t>win</t>
        </is>
      </c>
      <c r="W8" s="26" t="n">
        <v>0</v>
      </c>
      <c r="X8" s="26" t="n">
        <v>1</v>
      </c>
      <c r="Y8" s="25" t="n"/>
      <c r="Z8" s="26" t="n"/>
      <c r="AA8" s="28" t="n"/>
      <c r="AB8" s="28" t="n"/>
      <c r="AC8" s="30" t="n">
        <v>1</v>
      </c>
      <c r="AD8" s="24" t="inlineStr">
        <is>
          <t>2026-07-29T02:41:47.313571Z</t>
        </is>
      </c>
      <c r="AE8" s="31" t="inlineStr">
        <is>
          <t>Poisson-DC rates 1.64 (home) / 1.24 (away) from EWMA attack/defense strengths. Executable ask 0.5000 (atc-lpa-slo-gye-2026-07-28-slo).</t>
        </is>
      </c>
      <c r="AF8" s="31" t="inlineStr">
        <is>
          <t>Research-only soccer score model; draw-aware, but not yet locked-holdout qualified.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research_observation</t>
        </is>
      </c>
      <c r="AL8" s="26" t="n">
        <v>3</v>
      </c>
      <c r="AM8" s="24" t="inlineStr">
        <is>
          <t>RESEARCH_OBSERVATION</t>
        </is>
      </c>
      <c r="AN8" s="24" t="inlineStr">
        <is>
          <t>NO_CALL</t>
        </is>
      </c>
      <c r="AO8" s="24" t="inlineStr">
        <is>
          <t>NO_CALL_MODEL_UNVALIDATED</t>
        </is>
      </c>
      <c r="AP8" s="24" t="inlineStr">
        <is>
          <t>Gimnasia (Mendoza)</t>
        </is>
      </c>
      <c r="AQ8" s="24" t="inlineStr">
        <is>
          <t>Gimnasia (Mendoza)</t>
        </is>
      </c>
      <c r="AR8" s="24" t="inlineStr">
        <is>
          <t>Gimnasia (Mendoza)</t>
        </is>
      </c>
      <c r="AS8" s="24" t="inlineStr">
        <is>
          <t>San Lorenzo</t>
        </is>
      </c>
      <c r="AT8" s="24" t="inlineStr">
        <is>
          <t>San Lorenzo</t>
        </is>
      </c>
      <c r="AU8" s="24" t="inlineStr">
        <is>
          <t>San Lorenzo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research</t>
        </is>
      </c>
      <c r="BA8" s="24" t="inlineStr">
        <is>
          <t>0361718a19f38c3d244b71cb6b1f2e7e14a86925e833d2186645250fc084b969</t>
        </is>
      </c>
      <c r="BB8" s="24" t="inlineStr">
        <is>
          <t>poisson_dixon_coles</t>
        </is>
      </c>
      <c r="BC8" s="24" t="inlineStr">
        <is>
          <t>soccer-poisson-dc-v1</t>
        </is>
      </c>
      <c r="BD8" s="24" t="inlineStr">
        <is>
          <t>0361718a19f38c3d244b71cb6b1f2e7e14a86925e833d2186645250fc084b969</t>
        </is>
      </c>
      <c r="BE8" s="24" t="inlineStr">
        <is>
          <t>soccer-poisson-dc-v1</t>
        </is>
      </c>
      <c r="BF8" s="24" t="inlineStr">
        <is>
          <t>1</t>
        </is>
      </c>
      <c r="BG8" s="24" t="inlineStr">
        <is>
          <t>0361718a19f38c3d244b71cb6b1f2e7e14a86925e833d2186645250fc084b969</t>
        </is>
      </c>
      <c r="BH8" s="24" t="inlineStr">
        <is>
          <t>2026-07-28T20:32:27.095637Z</t>
        </is>
      </c>
      <c r="BI8" s="24" t="inlineStr">
        <is>
          <t>["same_event","same_team_same_day","same_league_same_day"]</t>
        </is>
      </c>
      <c r="BJ8" s="25" t="n"/>
      <c r="BK8" s="26" t="n">
        <v>100</v>
      </c>
      <c r="BL8" s="27" t="n">
        <v>2</v>
      </c>
      <c r="BM8" s="28" t="n">
        <v>0.5</v>
      </c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</row>
    <row r="9" ht="36" customHeight="1">
      <c r="A9" s="24" t="inlineStr">
        <is>
          <t>538e4eae98a44836</t>
        </is>
      </c>
      <c r="B9" s="24" t="inlineStr">
        <is>
          <t>2026-07-28T20:34:14.874473Z</t>
        </is>
      </c>
      <c r="C9" s="24" t="inlineStr">
        <is>
          <t>2026-07-28T22:00Z</t>
        </is>
      </c>
      <c r="D9" s="24" t="inlineStr">
        <is>
          <t>401874071</t>
        </is>
      </c>
      <c r="E9" s="24" t="inlineStr">
        <is>
          <t>SOCCER</t>
        </is>
      </c>
      <c r="F9" s="24" t="inlineStr">
        <is>
          <t>Nacional</t>
        </is>
      </c>
      <c r="G9" s="24" t="inlineStr">
        <is>
          <t>Tigre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polymarket_us</t>
        </is>
      </c>
      <c r="L9" s="26" t="n">
        <v>122</v>
      </c>
      <c r="M9" s="27" t="n">
        <v>2.22</v>
      </c>
      <c r="N9" s="28" t="n">
        <v>0.45045</v>
      </c>
      <c r="O9" s="28" t="n">
        <v>0.456199</v>
      </c>
      <c r="P9" s="28" t="n">
        <v>0.2</v>
      </c>
      <c r="Q9" s="28" t="n">
        <v>0.005749</v>
      </c>
      <c r="R9" s="26" t="n">
        <v>0</v>
      </c>
      <c r="S9" s="29" t="n">
        <v>1</v>
      </c>
      <c r="T9" s="24" t="inlineStr">
        <is>
          <t>soccer-poisson-dc-v1</t>
        </is>
      </c>
      <c r="U9" s="24" t="inlineStr">
        <is>
          <t>settled</t>
        </is>
      </c>
      <c r="V9" s="24" t="inlineStr">
        <is>
          <t>loss</t>
        </is>
      </c>
      <c r="W9" s="26" t="n">
        <v>2</v>
      </c>
      <c r="X9" s="26" t="n">
        <v>1</v>
      </c>
      <c r="Y9" s="25" t="n"/>
      <c r="Z9" s="26" t="n"/>
      <c r="AA9" s="28" t="n"/>
      <c r="AB9" s="28" t="n"/>
      <c r="AC9" s="30" t="n">
        <v>-1</v>
      </c>
      <c r="AD9" s="24" t="inlineStr">
        <is>
          <t>2026-07-29T02:41:49.355103Z</t>
        </is>
      </c>
      <c r="AE9" s="31" t="inlineStr">
        <is>
          <t>Poisson-DC rates 1.64 (home) / 1.24 (away) from EWMA attack/defense strengths. Executable ask 0.4500 (atc-sud-tig-nac-2026-07-28-tig).</t>
        </is>
      </c>
      <c r="AF9" s="31" t="inlineStr">
        <is>
          <t>Research-only soccer score model; draw-aware, but not yet locked-holdout qualified.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research_observation</t>
        </is>
      </c>
      <c r="AL9" s="26" t="n">
        <v>3</v>
      </c>
      <c r="AM9" s="24" t="inlineStr">
        <is>
          <t>RESEARCH_OBSERVATION</t>
        </is>
      </c>
      <c r="AN9" s="24" t="inlineStr">
        <is>
          <t>NO_CALL</t>
        </is>
      </c>
      <c r="AO9" s="24" t="inlineStr">
        <is>
          <t>NO_CALL_MODEL_UNVALIDATED</t>
        </is>
      </c>
      <c r="AP9" s="24" t="inlineStr">
        <is>
          <t>Nacional</t>
        </is>
      </c>
      <c r="AQ9" s="24" t="inlineStr">
        <is>
          <t>Nacional</t>
        </is>
      </c>
      <c r="AR9" s="24" t="inlineStr">
        <is>
          <t>Nacional</t>
        </is>
      </c>
      <c r="AS9" s="24" t="inlineStr">
        <is>
          <t>Tigre</t>
        </is>
      </c>
      <c r="AT9" s="24" t="inlineStr">
        <is>
          <t>Tigre</t>
        </is>
      </c>
      <c r="AU9" s="24" t="inlineStr">
        <is>
          <t>Tigre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research</t>
        </is>
      </c>
      <c r="BA9" s="24" t="inlineStr">
        <is>
          <t>0361718a19f38c3d244b71cb6b1f2e7e14a86925e833d2186645250fc084b969</t>
        </is>
      </c>
      <c r="BB9" s="24" t="inlineStr">
        <is>
          <t>poisson_dixon_coles</t>
        </is>
      </c>
      <c r="BC9" s="24" t="inlineStr">
        <is>
          <t>soccer-poisson-dc-v1</t>
        </is>
      </c>
      <c r="BD9" s="24" t="inlineStr">
        <is>
          <t>0361718a19f38c3d244b71cb6b1f2e7e14a86925e833d2186645250fc084b969</t>
        </is>
      </c>
      <c r="BE9" s="24" t="inlineStr">
        <is>
          <t>soccer-poisson-dc-v1</t>
        </is>
      </c>
      <c r="BF9" s="24" t="inlineStr">
        <is>
          <t>1</t>
        </is>
      </c>
      <c r="BG9" s="24" t="inlineStr">
        <is>
          <t>0361718a19f38c3d244b71cb6b1f2e7e14a86925e833d2186645250fc084b969</t>
        </is>
      </c>
      <c r="BH9" s="24" t="inlineStr">
        <is>
          <t>2026-07-28T20:32:28.187625Z</t>
        </is>
      </c>
      <c r="BI9" s="24" t="inlineStr">
        <is>
          <t>["same_event","same_team_same_day","same_league_same_day"]</t>
        </is>
      </c>
      <c r="BJ9" s="25" t="n"/>
      <c r="BK9" s="26" t="n">
        <v>122</v>
      </c>
      <c r="BL9" s="27" t="n">
        <v>2.22</v>
      </c>
      <c r="BM9" s="28" t="n">
        <v>0.45045</v>
      </c>
      <c r="BN9" s="28" t="n"/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</row>
    <row r="10" ht="36" customHeight="1">
      <c r="A10" s="24" t="inlineStr">
        <is>
          <t>9d29b7c025c54f14</t>
        </is>
      </c>
      <c r="B10" s="24" t="inlineStr">
        <is>
          <t>2026-07-28T23:39:16.759753Z</t>
        </is>
      </c>
      <c r="C10" s="24" t="inlineStr">
        <is>
          <t>2026-07-29T00:35Z</t>
        </is>
      </c>
      <c r="D10" s="24" t="inlineStr">
        <is>
          <t>401860253</t>
        </is>
      </c>
      <c r="E10" s="24" t="inlineStr">
        <is>
          <t>SOCCER</t>
        </is>
      </c>
      <c r="F10" s="24" t="inlineStr">
        <is>
          <t>Botafogo-SP</t>
        </is>
      </c>
      <c r="G10" s="24" t="inlineStr">
        <is>
          <t>Fortaleza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-104</v>
      </c>
      <c r="M10" s="27" t="n">
        <v>1.961538</v>
      </c>
      <c r="N10" s="28" t="n">
        <v>0.509804</v>
      </c>
      <c r="O10" s="28" t="n">
        <v>0.456199</v>
      </c>
      <c r="P10" s="28" t="n">
        <v>0.2</v>
      </c>
      <c r="Q10" s="28" t="n">
        <v>-0.053605</v>
      </c>
      <c r="R10" s="26" t="n">
        <v>0</v>
      </c>
      <c r="S10" s="29" t="n">
        <v>1</v>
      </c>
      <c r="T10" s="24" t="inlineStr">
        <is>
          <t>soccer-poisson-dc-v1</t>
        </is>
      </c>
      <c r="U10" s="24" t="inlineStr">
        <is>
          <t>settled</t>
        </is>
      </c>
      <c r="V10" s="24" t="inlineStr">
        <is>
          <t>win</t>
        </is>
      </c>
      <c r="W10" s="26" t="n">
        <v>0</v>
      </c>
      <c r="X10" s="26" t="n">
        <v>1</v>
      </c>
      <c r="Y10" s="25" t="n"/>
      <c r="Z10" s="26" t="n"/>
      <c r="AA10" s="28" t="n"/>
      <c r="AB10" s="28" t="n"/>
      <c r="AC10" s="30" t="n">
        <v>0.9615</v>
      </c>
      <c r="AD10" s="24" t="inlineStr">
        <is>
          <t>2026-07-29T02:41:49.433624Z</t>
        </is>
      </c>
      <c r="AE10" s="31" t="inlineStr">
        <is>
          <t>Poisson-DC rates 1.64 (home) / 1.24 (away) from EWMA attack/defense strengths. Executable ask 0.5100 (atc-brb-fec-bot-2026-07-28-fec).</t>
        </is>
      </c>
      <c r="AF10" s="31" t="inlineStr">
        <is>
          <t>Research-only soccer score model; draw-aware, but not yet locked-holdout qualified.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research_observation</t>
        </is>
      </c>
      <c r="AL10" s="26" t="n">
        <v>3</v>
      </c>
      <c r="AM10" s="24" t="inlineStr">
        <is>
          <t>RESEARCH_OBSERVATION</t>
        </is>
      </c>
      <c r="AN10" s="24" t="inlineStr">
        <is>
          <t>NO_CALL</t>
        </is>
      </c>
      <c r="AO10" s="24" t="inlineStr">
        <is>
          <t>NO_CALL_MODEL_UNVALIDATED</t>
        </is>
      </c>
      <c r="AP10" s="24" t="inlineStr">
        <is>
          <t>Botafogo-SP</t>
        </is>
      </c>
      <c r="AQ10" s="24" t="inlineStr">
        <is>
          <t>Botafogo-SP</t>
        </is>
      </c>
      <c r="AR10" s="24" t="inlineStr">
        <is>
          <t>Botafogo-SP</t>
        </is>
      </c>
      <c r="AS10" s="24" t="inlineStr">
        <is>
          <t>Fortaleza</t>
        </is>
      </c>
      <c r="AT10" s="24" t="inlineStr">
        <is>
          <t>Fortaleza</t>
        </is>
      </c>
      <c r="AU10" s="24" t="inlineStr">
        <is>
          <t>Fortaleza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research</t>
        </is>
      </c>
      <c r="BA10" s="24" t="inlineStr">
        <is>
          <t>0361718a19f38c3d244b71cb6b1f2e7e14a86925e833d2186645250fc084b969</t>
        </is>
      </c>
      <c r="BB10" s="24" t="inlineStr">
        <is>
          <t>poisson_dixon_coles</t>
        </is>
      </c>
      <c r="BC10" s="24" t="inlineStr">
        <is>
          <t>soccer-poisson-dc-v1</t>
        </is>
      </c>
      <c r="BD10" s="24" t="inlineStr">
        <is>
          <t>0361718a19f38c3d244b71cb6b1f2e7e14a86925e833d2186645250fc084b969</t>
        </is>
      </c>
      <c r="BE10" s="24" t="inlineStr">
        <is>
          <t>soccer-poisson-dc-v1</t>
        </is>
      </c>
      <c r="BF10" s="24" t="inlineStr">
        <is>
          <t>1</t>
        </is>
      </c>
      <c r="BG10" s="24" t="inlineStr">
        <is>
          <t>0361718a19f38c3d244b71cb6b1f2e7e14a86925e833d2186645250fc084b969</t>
        </is>
      </c>
      <c r="BH10" s="24" t="inlineStr">
        <is>
          <t>2026-07-28T23:37:59.431647Z</t>
        </is>
      </c>
      <c r="BI10" s="24" t="inlineStr">
        <is>
          <t>["same_event","same_team_same_day","same_league_same_day"]</t>
        </is>
      </c>
      <c r="BJ10" s="25" t="n"/>
      <c r="BK10" s="26" t="n">
        <v>-104</v>
      </c>
      <c r="BL10" s="27" t="n">
        <v>1.961538</v>
      </c>
      <c r="BM10" s="28" t="n">
        <v>0.509804</v>
      </c>
      <c r="BN10" s="28" t="n"/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</row>
    <row r="11" ht="36" customHeight="1">
      <c r="A11" s="24" t="inlineStr">
        <is>
          <t>b4c3bd27b9274dbf</t>
        </is>
      </c>
      <c r="B11" s="24" t="inlineStr">
        <is>
          <t>2026-07-28T23:39:16.759753Z</t>
        </is>
      </c>
      <c r="C11" s="24" t="inlineStr">
        <is>
          <t>2026-07-29T00:15Z</t>
        </is>
      </c>
      <c r="D11" s="24" t="inlineStr">
        <is>
          <t>401841453</t>
        </is>
      </c>
      <c r="E11" s="24" t="inlineStr">
        <is>
          <t>SOCCER</t>
        </is>
      </c>
      <c r="F11" s="24" t="inlineStr">
        <is>
          <t>Racing Club</t>
        </is>
      </c>
      <c r="G11" s="24" t="inlineStr">
        <is>
          <t>Rosario Central</t>
        </is>
      </c>
      <c r="H11" s="24" t="inlineStr">
        <is>
          <t>moneyline</t>
        </is>
      </c>
      <c r="I11" s="24" t="inlineStr">
        <is>
          <t>home</t>
        </is>
      </c>
      <c r="J11" s="25" t="n"/>
      <c r="K11" s="24" t="inlineStr">
        <is>
          <t>polymarket_us</t>
        </is>
      </c>
      <c r="L11" s="26" t="n">
        <v>108</v>
      </c>
      <c r="M11" s="27" t="n">
        <v>2.08</v>
      </c>
      <c r="N11" s="28" t="n">
        <v>0.480769</v>
      </c>
      <c r="O11" s="28" t="n">
        <v>0.456199</v>
      </c>
      <c r="P11" s="28" t="n">
        <v>0.2</v>
      </c>
      <c r="Q11" s="28" t="n">
        <v>-0.02457</v>
      </c>
      <c r="R11" s="26" t="n">
        <v>0</v>
      </c>
      <c r="S11" s="29" t="n">
        <v>1</v>
      </c>
      <c r="T11" s="24" t="inlineStr">
        <is>
          <t>soccer-poisson-dc-v1</t>
        </is>
      </c>
      <c r="U11" s="24" t="inlineStr">
        <is>
          <t>settled</t>
        </is>
      </c>
      <c r="V11" s="24" t="inlineStr">
        <is>
          <t>push</t>
        </is>
      </c>
      <c r="W11" s="26" t="n">
        <v>0</v>
      </c>
      <c r="X11" s="26" t="n">
        <v>0</v>
      </c>
      <c r="Y11" s="25" t="n"/>
      <c r="Z11" s="26" t="n"/>
      <c r="AA11" s="28" t="n"/>
      <c r="AB11" s="28" t="n"/>
      <c r="AC11" s="30" t="n">
        <v>0</v>
      </c>
      <c r="AD11" s="24" t="inlineStr">
        <is>
          <t>2026-07-29T02:41:49.507236Z</t>
        </is>
      </c>
      <c r="AE11" s="31" t="inlineStr">
        <is>
          <t>Poisson-DC rates 1.64 (home) / 1.24 (away) from EWMA attack/defense strengths. Executable ask 0.4800 (atc-lpa-ros-rac-2026-07-28-ros).</t>
        </is>
      </c>
      <c r="AF11" s="31" t="inlineStr">
        <is>
          <t>Research-only soccer score model; draw-aware, but not yet locked-holdout qualified.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research_observation</t>
        </is>
      </c>
      <c r="AL11" s="26" t="n">
        <v>3</v>
      </c>
      <c r="AM11" s="24" t="inlineStr">
        <is>
          <t>RESEARCH_OBSERVATION</t>
        </is>
      </c>
      <c r="AN11" s="24" t="inlineStr">
        <is>
          <t>NO_CALL</t>
        </is>
      </c>
      <c r="AO11" s="24" t="inlineStr">
        <is>
          <t>NO_CALL_MODEL_UNVALIDATED</t>
        </is>
      </c>
      <c r="AP11" s="24" t="inlineStr">
        <is>
          <t>Racing Club</t>
        </is>
      </c>
      <c r="AQ11" s="24" t="inlineStr">
        <is>
          <t>Racing Club</t>
        </is>
      </c>
      <c r="AR11" s="24" t="inlineStr">
        <is>
          <t>Racing Club</t>
        </is>
      </c>
      <c r="AS11" s="24" t="inlineStr">
        <is>
          <t>Rosario Central</t>
        </is>
      </c>
      <c r="AT11" s="24" t="inlineStr">
        <is>
          <t>Rosario Central</t>
        </is>
      </c>
      <c r="AU11" s="24" t="inlineStr">
        <is>
          <t>Rosario Central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research</t>
        </is>
      </c>
      <c r="BA11" s="24" t="inlineStr">
        <is>
          <t>0361718a19f38c3d244b71cb6b1f2e7e14a86925e833d2186645250fc084b969</t>
        </is>
      </c>
      <c r="BB11" s="24" t="inlineStr">
        <is>
          <t>poisson_dixon_coles</t>
        </is>
      </c>
      <c r="BC11" s="24" t="inlineStr">
        <is>
          <t>soccer-poisson-dc-v1</t>
        </is>
      </c>
      <c r="BD11" s="24" t="inlineStr">
        <is>
          <t>0361718a19f38c3d244b71cb6b1f2e7e14a86925e833d2186645250fc084b969</t>
        </is>
      </c>
      <c r="BE11" s="24" t="inlineStr">
        <is>
          <t>soccer-poisson-dc-v1</t>
        </is>
      </c>
      <c r="BF11" s="24" t="inlineStr">
        <is>
          <t>1</t>
        </is>
      </c>
      <c r="BG11" s="24" t="inlineStr">
        <is>
          <t>0361718a19f38c3d244b71cb6b1f2e7e14a86925e833d2186645250fc084b969</t>
        </is>
      </c>
      <c r="BH11" s="24" t="inlineStr">
        <is>
          <t>2026-07-28T23:38:00.751821Z</t>
        </is>
      </c>
      <c r="BI11" s="24" t="inlineStr">
        <is>
          <t>["same_event","same_team_same_day","same_league_same_day"]</t>
        </is>
      </c>
      <c r="BJ11" s="25" t="n"/>
      <c r="BK11" s="26" t="n">
        <v>108</v>
      </c>
      <c r="BL11" s="27" t="n">
        <v>2.08</v>
      </c>
      <c r="BM11" s="28" t="n">
        <v>0.480769</v>
      </c>
      <c r="BN11" s="28" t="n"/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</row>
    <row r="12" ht="36" customHeight="1">
      <c r="A12" s="24" t="inlineStr">
        <is>
          <t>5d005d5149204d49</t>
        </is>
      </c>
      <c r="B12" s="24" t="inlineStr">
        <is>
          <t>2026-07-29T08:55:19.773254Z</t>
        </is>
      </c>
      <c r="C12" s="24" t="inlineStr">
        <is>
          <t>2026-07-29T10:00Z</t>
        </is>
      </c>
      <c r="D12" s="24" t="inlineStr">
        <is>
          <t>401872736</t>
        </is>
      </c>
      <c r="E12" s="24" t="inlineStr">
        <is>
          <t>SOCCER</t>
        </is>
      </c>
      <c r="F12" s="24" t="inlineStr">
        <is>
          <t>Borussia Dortmund</t>
        </is>
      </c>
      <c r="G12" s="24" t="inlineStr">
        <is>
          <t>Cerezo Osaka</t>
        </is>
      </c>
      <c r="H12" s="24" t="inlineStr">
        <is>
          <t>moneyline</t>
        </is>
      </c>
      <c r="I12" s="24" t="inlineStr">
        <is>
          <t>away</t>
        </is>
      </c>
      <c r="J12" s="25" t="n"/>
      <c r="K12" s="24" t="inlineStr">
        <is>
          <t>polymarket_us</t>
        </is>
      </c>
      <c r="L12" s="26" t="n">
        <v>-178</v>
      </c>
      <c r="M12" s="27" t="n">
        <v>1.561798</v>
      </c>
      <c r="N12" s="28" t="n">
        <v>0.640288</v>
      </c>
      <c r="O12" s="28" t="n">
        <v>0.440542</v>
      </c>
      <c r="P12" s="28" t="n">
        <v>0.2</v>
      </c>
      <c r="Q12" s="28" t="n">
        <v>-0.199746</v>
      </c>
      <c r="R12" s="26" t="n">
        <v>0</v>
      </c>
      <c r="S12" s="29" t="n">
        <v>1</v>
      </c>
      <c r="T12" s="24" t="inlineStr">
        <is>
          <t>soccer-poisson-dc-v1</t>
        </is>
      </c>
      <c r="U12" s="24" t="inlineStr">
        <is>
          <t>settled</t>
        </is>
      </c>
      <c r="V12" s="24" t="inlineStr">
        <is>
          <t>loss</t>
        </is>
      </c>
      <c r="W12" s="26" t="n">
        <v>0</v>
      </c>
      <c r="X12" s="26" t="n">
        <v>1</v>
      </c>
      <c r="Y12" s="25" t="n"/>
      <c r="Z12" s="26" t="n"/>
      <c r="AA12" s="28" t="n"/>
      <c r="AB12" s="28" t="n"/>
      <c r="AC12" s="30" t="n">
        <v>-1</v>
      </c>
      <c r="AD12" s="24" t="inlineStr">
        <is>
          <t>2026-07-29T15:04:55.440111Z</t>
        </is>
      </c>
      <c r="AE12" s="31" t="inlineStr">
        <is>
          <t>Poisson-DC rates 1.39 (home) / 1.71 (away) from EWMA attack/defense strengths. Executable ask 0.6400 (atc-clbf-cer-bvb-2026-07-29-bvb).</t>
        </is>
      </c>
      <c r="AF12" s="31" t="inlineStr">
        <is>
          <t>Research-only soccer score model; draw-aware, but not yet locked-holdout qualified.</t>
        </is>
      </c>
      <c r="AG12" s="24" t="inlineStr">
        <is>
          <t>review_required</t>
        </is>
      </c>
      <c r="AH12" s="24" t="n"/>
      <c r="AI12" s="31" t="n"/>
      <c r="AJ12" s="31" t="n"/>
      <c r="AK12" s="24" t="inlineStr">
        <is>
          <t>research_observation</t>
        </is>
      </c>
      <c r="AL12" s="26" t="n">
        <v>3</v>
      </c>
      <c r="AM12" s="24" t="inlineStr">
        <is>
          <t>RESEARCH_OBSERVATION</t>
        </is>
      </c>
      <c r="AN12" s="24" t="inlineStr">
        <is>
          <t>NO_CALL</t>
        </is>
      </c>
      <c r="AO12" s="24" t="inlineStr">
        <is>
          <t>NO_CALL_MODEL_UNVALIDATED</t>
        </is>
      </c>
      <c r="AP12" s="24" t="inlineStr">
        <is>
          <t>Borussia Dortmund</t>
        </is>
      </c>
      <c r="AQ12" s="24" t="inlineStr">
        <is>
          <t>Borussia Dortmund</t>
        </is>
      </c>
      <c r="AR12" s="24" t="inlineStr">
        <is>
          <t>Borussia Dortmund</t>
        </is>
      </c>
      <c r="AS12" s="24" t="inlineStr">
        <is>
          <t>Cerezo Osaka</t>
        </is>
      </c>
      <c r="AT12" s="24" t="inlineStr">
        <is>
          <t>Cerezo Osaka</t>
        </is>
      </c>
      <c r="AU12" s="24" t="inlineStr">
        <is>
          <t>Cerezo Osaka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research</t>
        </is>
      </c>
      <c r="BA12" s="24" t="inlineStr">
        <is>
          <t>0361718a19f38c3d244b71cb6b1f2e7e14a86925e833d2186645250fc084b969</t>
        </is>
      </c>
      <c r="BB12" s="24" t="inlineStr">
        <is>
          <t>poisson_dixon_coles</t>
        </is>
      </c>
      <c r="BC12" s="24" t="inlineStr">
        <is>
          <t>soccer-poisson-dc-v1</t>
        </is>
      </c>
      <c r="BD12" s="24" t="inlineStr">
        <is>
          <t>0361718a19f38c3d244b71cb6b1f2e7e14a86925e833d2186645250fc084b969</t>
        </is>
      </c>
      <c r="BE12" s="24" t="inlineStr">
        <is>
          <t>soccer-poisson-dc-v1</t>
        </is>
      </c>
      <c r="BF12" s="24" t="inlineStr">
        <is>
          <t>1</t>
        </is>
      </c>
      <c r="BG12" s="24" t="inlineStr">
        <is>
          <t>0361718a19f38c3d244b71cb6b1f2e7e14a86925e833d2186645250fc084b969</t>
        </is>
      </c>
      <c r="BH12" s="24" t="inlineStr">
        <is>
          <t>2026-07-29T08:52:45.504203Z</t>
        </is>
      </c>
      <c r="BI12" s="24" t="inlineStr">
        <is>
          <t>["same_event","same_team_same_day","same_league_same_day"]</t>
        </is>
      </c>
      <c r="BJ12" s="25" t="n"/>
      <c r="BK12" s="26" t="n">
        <v>-178</v>
      </c>
      <c r="BL12" s="27" t="n">
        <v>1.561798</v>
      </c>
      <c r="BM12" s="28" t="n">
        <v>0.640288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</row>
    <row r="13" ht="36" customHeight="1">
      <c r="A13" s="24" t="inlineStr">
        <is>
          <t>f8c013a541034830</t>
        </is>
      </c>
      <c r="B13" s="24" t="inlineStr">
        <is>
          <t>2026-07-29T15:07:40.379188Z</t>
        </is>
      </c>
      <c r="C13" s="24" t="inlineStr">
        <is>
          <t>2026-07-29T17:30Z</t>
        </is>
      </c>
      <c r="D13" s="24" t="inlineStr">
        <is>
          <t>401841461</t>
        </is>
      </c>
      <c r="E13" s="24" t="inlineStr">
        <is>
          <t>SOCCER</t>
        </is>
      </c>
      <c r="F13" s="24" t="inlineStr">
        <is>
          <t>Aldosivi</t>
        </is>
      </c>
      <c r="G13" s="24" t="inlineStr">
        <is>
          <t>Barracas Central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144</v>
      </c>
      <c r="M13" s="27" t="n">
        <v>2.44</v>
      </c>
      <c r="N13" s="28" t="n">
        <v>0.409836</v>
      </c>
      <c r="O13" s="28" t="n">
        <v>0.456199</v>
      </c>
      <c r="P13" s="28" t="n">
        <v>0.2</v>
      </c>
      <c r="Q13" s="28" t="n">
        <v>0.046363</v>
      </c>
      <c r="R13" s="26" t="n">
        <v>0</v>
      </c>
      <c r="S13" s="29" t="n">
        <v>1</v>
      </c>
      <c r="T13" s="24" t="inlineStr">
        <is>
          <t>soccer-poisson-dc-v1</t>
        </is>
      </c>
      <c r="U13" s="24" t="inlineStr">
        <is>
          <t>settled</t>
        </is>
      </c>
      <c r="V13" s="24" t="inlineStr">
        <is>
          <t>win</t>
        </is>
      </c>
      <c r="W13" s="26" t="n">
        <v>0</v>
      </c>
      <c r="X13" s="26" t="n">
        <v>1</v>
      </c>
      <c r="Y13" s="25" t="n"/>
      <c r="Z13" s="26" t="n"/>
      <c r="AA13" s="28" t="n"/>
      <c r="AB13" s="28" t="n"/>
      <c r="AC13" s="30" t="n">
        <v>1.44</v>
      </c>
      <c r="AD13" s="24" t="inlineStr">
        <is>
          <t>2026-07-30T04:12:52.147509Z</t>
        </is>
      </c>
      <c r="AE13" s="31" t="inlineStr">
        <is>
          <t>Poisson-DC rates 1.64 (home) / 1.24 (away) from EWMA attack/defense strengths. Executable ask 0.4100 (atc-lpa-bar-ald-2026-07-29-bar).</t>
        </is>
      </c>
      <c r="AF13" s="31" t="inlineStr">
        <is>
          <t>Research-only soccer score model; draw-aware, but not yet locked-holdout qualified.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research_observation</t>
        </is>
      </c>
      <c r="AL13" s="26" t="n">
        <v>3</v>
      </c>
      <c r="AM13" s="24" t="inlineStr">
        <is>
          <t>RESEARCH_OBSERVATION</t>
        </is>
      </c>
      <c r="AN13" s="24" t="inlineStr">
        <is>
          <t>NO_CALL</t>
        </is>
      </c>
      <c r="AO13" s="24" t="inlineStr">
        <is>
          <t>NO_CALL_MODEL_UNVALIDATED</t>
        </is>
      </c>
      <c r="AP13" s="24" t="inlineStr">
        <is>
          <t>Aldosivi</t>
        </is>
      </c>
      <c r="AQ13" s="24" t="inlineStr">
        <is>
          <t>Aldosivi</t>
        </is>
      </c>
      <c r="AR13" s="24" t="inlineStr">
        <is>
          <t>Aldosivi</t>
        </is>
      </c>
      <c r="AS13" s="24" t="inlineStr">
        <is>
          <t>Barracas Central</t>
        </is>
      </c>
      <c r="AT13" s="24" t="inlineStr">
        <is>
          <t>Barracas Central</t>
        </is>
      </c>
      <c r="AU13" s="24" t="inlineStr">
        <is>
          <t>Barracas Central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research</t>
        </is>
      </c>
      <c r="BA13" s="24" t="inlineStr">
        <is>
          <t>0361718a19f38c3d244b71cb6b1f2e7e14a86925e833d2186645250fc084b969</t>
        </is>
      </c>
      <c r="BB13" s="24" t="inlineStr">
        <is>
          <t>poisson_dixon_coles</t>
        </is>
      </c>
      <c r="BC13" s="24" t="inlineStr">
        <is>
          <t>soccer-poisson-dc-v1</t>
        </is>
      </c>
      <c r="BD13" s="24" t="inlineStr">
        <is>
          <t>0361718a19f38c3d244b71cb6b1f2e7e14a86925e833d2186645250fc084b969</t>
        </is>
      </c>
      <c r="BE13" s="24" t="inlineStr">
        <is>
          <t>soccer-poisson-dc-v1</t>
        </is>
      </c>
      <c r="BF13" s="24" t="inlineStr">
        <is>
          <t>1</t>
        </is>
      </c>
      <c r="BG13" s="24" t="inlineStr">
        <is>
          <t>0361718a19f38c3d244b71cb6b1f2e7e14a86925e833d2186645250fc084b969</t>
        </is>
      </c>
      <c r="BH13" s="24" t="inlineStr">
        <is>
          <t>2026-07-29T15:06:01.050931Z</t>
        </is>
      </c>
      <c r="BI13" s="24" t="inlineStr">
        <is>
          <t>["same_event","same_team_same_day","same_league_same_day"]</t>
        </is>
      </c>
      <c r="BJ13" s="25" t="n"/>
      <c r="BK13" s="26" t="n">
        <v>144</v>
      </c>
      <c r="BL13" s="27" t="n">
        <v>2.44</v>
      </c>
      <c r="BM13" s="28" t="n">
        <v>0.409836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</row>
    <row r="14" ht="36" customHeight="1">
      <c r="A14" s="24" t="inlineStr">
        <is>
          <t>2016ad82b8004b89</t>
        </is>
      </c>
      <c r="B14" s="24" t="inlineStr">
        <is>
          <t>2026-07-29T17:45:15.881226Z</t>
        </is>
      </c>
      <c r="C14" s="24" t="inlineStr">
        <is>
          <t>2026-07-29T22:30Z</t>
        </is>
      </c>
      <c r="D14" s="24" t="inlineStr">
        <is>
          <t>401841171</t>
        </is>
      </c>
      <c r="E14" s="24" t="inlineStr">
        <is>
          <t>SOCCER</t>
        </is>
      </c>
      <c r="F14" s="24" t="inlineStr">
        <is>
          <t>Flamengo</t>
        </is>
      </c>
      <c r="G14" s="24" t="inlineStr">
        <is>
          <t>Internacional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285</v>
      </c>
      <c r="M14" s="27" t="n">
        <v>3.85</v>
      </c>
      <c r="N14" s="28" t="n">
        <v>0.25974</v>
      </c>
      <c r="O14" s="28" t="n">
        <v>0.456199</v>
      </c>
      <c r="P14" s="28" t="n">
        <v>0.2</v>
      </c>
      <c r="Q14" s="28" t="n">
        <v>0.196459</v>
      </c>
      <c r="R14" s="26" t="n">
        <v>28</v>
      </c>
      <c r="S14" s="29" t="n">
        <v>1</v>
      </c>
      <c r="T14" s="24" t="inlineStr">
        <is>
          <t>soccer-poisson-dc-v1</t>
        </is>
      </c>
      <c r="U14" s="24" t="inlineStr">
        <is>
          <t>settled</t>
        </is>
      </c>
      <c r="V14" s="24" t="inlineStr">
        <is>
          <t>push</t>
        </is>
      </c>
      <c r="W14" s="26" t="n">
        <v>1</v>
      </c>
      <c r="X14" s="26" t="n">
        <v>1</v>
      </c>
      <c r="Y14" s="25" t="n"/>
      <c r="Z14" s="26" t="n"/>
      <c r="AA14" s="28" t="n"/>
      <c r="AB14" s="28" t="n"/>
      <c r="AC14" s="30" t="n">
        <v>0</v>
      </c>
      <c r="AD14" s="24" t="inlineStr">
        <is>
          <t>2026-07-30T04:12:52.241515Z</t>
        </is>
      </c>
      <c r="AE14" s="31" t="inlineStr">
        <is>
          <t>Poisson-DC rates 1.64 (home) / 1.24 (away) from EWMA attack/defense strengths. Executable ask 0.2600 (atc-bra-int-fla-2026-07-29-int).</t>
        </is>
      </c>
      <c r="AF14" s="31" t="inlineStr">
        <is>
          <t>Research-only soccer score model; draw-aware, but not yet locked-holdout qualified.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research_observation</t>
        </is>
      </c>
      <c r="AL14" s="26" t="n">
        <v>3</v>
      </c>
      <c r="AM14" s="24" t="inlineStr">
        <is>
          <t>RESEARCH_OBSERVATION</t>
        </is>
      </c>
      <c r="AN14" s="24" t="inlineStr">
        <is>
          <t>NO_CALL</t>
        </is>
      </c>
      <c r="AO14" s="24" t="inlineStr">
        <is>
          <t>NO_CALL_MODEL_UNVALIDATED</t>
        </is>
      </c>
      <c r="AP14" s="24" t="inlineStr">
        <is>
          <t>Flamengo</t>
        </is>
      </c>
      <c r="AQ14" s="24" t="inlineStr">
        <is>
          <t>Flamengo</t>
        </is>
      </c>
      <c r="AR14" s="24" t="inlineStr">
        <is>
          <t>Flamengo</t>
        </is>
      </c>
      <c r="AS14" s="24" t="inlineStr">
        <is>
          <t>Internacional</t>
        </is>
      </c>
      <c r="AT14" s="24" t="inlineStr">
        <is>
          <t>Internacional</t>
        </is>
      </c>
      <c r="AU14" s="24" t="inlineStr">
        <is>
          <t>Internacional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research</t>
        </is>
      </c>
      <c r="BA14" s="24" t="inlineStr">
        <is>
          <t>0361718a19f38c3d244b71cb6b1f2e7e14a86925e833d2186645250fc084b969</t>
        </is>
      </c>
      <c r="BB14" s="24" t="inlineStr">
        <is>
          <t>poisson_dixon_coles</t>
        </is>
      </c>
      <c r="BC14" s="24" t="inlineStr">
        <is>
          <t>soccer-poisson-dc-v1</t>
        </is>
      </c>
      <c r="BD14" s="24" t="inlineStr">
        <is>
          <t>0361718a19f38c3d244b71cb6b1f2e7e14a86925e833d2186645250fc084b969</t>
        </is>
      </c>
      <c r="BE14" s="24" t="inlineStr">
        <is>
          <t>soccer-poisson-dc-v1</t>
        </is>
      </c>
      <c r="BF14" s="24" t="inlineStr">
        <is>
          <t>1</t>
        </is>
      </c>
      <c r="BG14" s="24" t="inlineStr">
        <is>
          <t>0361718a19f38c3d244b71cb6b1f2e7e14a86925e833d2186645250fc084b969</t>
        </is>
      </c>
      <c r="BH14" s="24" t="inlineStr">
        <is>
          <t>2026-07-29T17:43:19.651886Z</t>
        </is>
      </c>
      <c r="BI14" s="24" t="inlineStr">
        <is>
          <t>["same_event","same_team_same_day","same_league_same_day"]</t>
        </is>
      </c>
      <c r="BJ14" s="25" t="n"/>
      <c r="BK14" s="26" t="n">
        <v>285</v>
      </c>
      <c r="BL14" s="27" t="n">
        <v>3.85</v>
      </c>
      <c r="BM14" s="28" t="n">
        <v>0.25974</v>
      </c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</row>
    <row r="15" ht="36" customHeight="1">
      <c r="A15" s="24" t="inlineStr">
        <is>
          <t>9eab45bc1b49434a</t>
        </is>
      </c>
      <c r="B15" s="24" t="inlineStr">
        <is>
          <t>2026-07-29T17:45:15.881226Z</t>
        </is>
      </c>
      <c r="C15" s="24" t="inlineStr">
        <is>
          <t>2026-07-29T22:30Z</t>
        </is>
      </c>
      <c r="D15" s="24" t="inlineStr">
        <is>
          <t>401841170</t>
        </is>
      </c>
      <c r="E15" s="24" t="inlineStr">
        <is>
          <t>SOCCER</t>
        </is>
      </c>
      <c r="F15" s="24" t="inlineStr">
        <is>
          <t>Remo</t>
        </is>
      </c>
      <c r="G15" s="24" t="inlineStr">
        <is>
          <t>Mirassol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-138</v>
      </c>
      <c r="M15" s="27" t="n">
        <v>1.724638</v>
      </c>
      <c r="N15" s="28" t="n">
        <v>0.579832</v>
      </c>
      <c r="O15" s="28" t="n">
        <v>0.456199</v>
      </c>
      <c r="P15" s="28" t="n">
        <v>0.2</v>
      </c>
      <c r="Q15" s="28" t="n">
        <v>-0.123633</v>
      </c>
      <c r="R15" s="26" t="n">
        <v>0</v>
      </c>
      <c r="S15" s="29" t="n">
        <v>1</v>
      </c>
      <c r="T15" s="24" t="inlineStr">
        <is>
          <t>soccer-poisson-dc-v1</t>
        </is>
      </c>
      <c r="U15" s="24" t="inlineStr">
        <is>
          <t>settled</t>
        </is>
      </c>
      <c r="V15" s="24" t="inlineStr">
        <is>
          <t>win</t>
        </is>
      </c>
      <c r="W15" s="26" t="n">
        <v>1</v>
      </c>
      <c r="X15" s="26" t="n">
        <v>2</v>
      </c>
      <c r="Y15" s="25" t="n"/>
      <c r="Z15" s="26" t="n"/>
      <c r="AA15" s="28" t="n"/>
      <c r="AB15" s="28" t="n"/>
      <c r="AC15" s="30" t="n">
        <v>0.7246</v>
      </c>
      <c r="AD15" s="24" t="inlineStr">
        <is>
          <t>2026-07-30T04:12:52.337713Z</t>
        </is>
      </c>
      <c r="AE15" s="31" t="inlineStr">
        <is>
          <t>Poisson-DC rates 1.64 (home) / 1.24 (away) from EWMA attack/defense strengths. Executable ask 0.5800 (atc-bra-mir-cre-2026-07-29-mir).</t>
        </is>
      </c>
      <c r="AF15" s="31" t="inlineStr">
        <is>
          <t>Research-only soccer score model; draw-aware, but not yet locked-holdout qualified.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research_observation</t>
        </is>
      </c>
      <c r="AL15" s="26" t="n">
        <v>3</v>
      </c>
      <c r="AM15" s="24" t="inlineStr">
        <is>
          <t>RESEARCH_OBSERVATION</t>
        </is>
      </c>
      <c r="AN15" s="24" t="inlineStr">
        <is>
          <t>NO_CALL</t>
        </is>
      </c>
      <c r="AO15" s="24" t="inlineStr">
        <is>
          <t>NO_CALL_MODEL_UNVALIDATED</t>
        </is>
      </c>
      <c r="AP15" s="24" t="inlineStr">
        <is>
          <t>Remo</t>
        </is>
      </c>
      <c r="AQ15" s="24" t="inlineStr">
        <is>
          <t>Remo</t>
        </is>
      </c>
      <c r="AR15" s="24" t="inlineStr">
        <is>
          <t>Remo</t>
        </is>
      </c>
      <c r="AS15" s="24" t="inlineStr">
        <is>
          <t>Mirassol</t>
        </is>
      </c>
      <c r="AT15" s="24" t="inlineStr">
        <is>
          <t>Mirassol</t>
        </is>
      </c>
      <c r="AU15" s="24" t="inlineStr">
        <is>
          <t>Mirassol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research</t>
        </is>
      </c>
      <c r="BA15" s="24" t="inlineStr">
        <is>
          <t>0361718a19f38c3d244b71cb6b1f2e7e14a86925e833d2186645250fc084b969</t>
        </is>
      </c>
      <c r="BB15" s="24" t="inlineStr">
        <is>
          <t>poisson_dixon_coles</t>
        </is>
      </c>
      <c r="BC15" s="24" t="inlineStr">
        <is>
          <t>soccer-poisson-dc-v1</t>
        </is>
      </c>
      <c r="BD15" s="24" t="inlineStr">
        <is>
          <t>0361718a19f38c3d244b71cb6b1f2e7e14a86925e833d2186645250fc084b969</t>
        </is>
      </c>
      <c r="BE15" s="24" t="inlineStr">
        <is>
          <t>soccer-poisson-dc-v1</t>
        </is>
      </c>
      <c r="BF15" s="24" t="inlineStr">
        <is>
          <t>1</t>
        </is>
      </c>
      <c r="BG15" s="24" t="inlineStr">
        <is>
          <t>0361718a19f38c3d244b71cb6b1f2e7e14a86925e833d2186645250fc084b969</t>
        </is>
      </c>
      <c r="BH15" s="24" t="inlineStr">
        <is>
          <t>2026-07-29T17:43:19.742689Z</t>
        </is>
      </c>
      <c r="BI15" s="24" t="inlineStr">
        <is>
          <t>["same_event","same_team_same_day","same_league_same_day"]</t>
        </is>
      </c>
      <c r="BJ15" s="25" t="n"/>
      <c r="BK15" s="26" t="n">
        <v>-138</v>
      </c>
      <c r="BL15" s="27" t="n">
        <v>1.724638</v>
      </c>
      <c r="BM15" s="28" t="n">
        <v>0.579832</v>
      </c>
      <c r="BN15" s="28" t="n"/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</row>
    <row r="16" ht="36" customHeight="1">
      <c r="A16" s="24" t="inlineStr">
        <is>
          <t>543936a84904488a</t>
        </is>
      </c>
      <c r="B16" s="24" t="inlineStr">
        <is>
          <t>2026-07-29T17:45:15.881226Z</t>
        </is>
      </c>
      <c r="C16" s="24" t="inlineStr">
        <is>
          <t>2026-07-30T00:30Z</t>
        </is>
      </c>
      <c r="D16" s="24" t="inlineStr">
        <is>
          <t>401841177</t>
        </is>
      </c>
      <c r="E16" s="24" t="inlineStr">
        <is>
          <t>SOCCER</t>
        </is>
      </c>
      <c r="F16" s="24" t="inlineStr">
        <is>
          <t>Bahia</t>
        </is>
      </c>
      <c r="G16" s="24" t="inlineStr">
        <is>
          <t>Fluminense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-133</v>
      </c>
      <c r="M16" s="27" t="n">
        <v>1.75188</v>
      </c>
      <c r="N16" s="28" t="n">
        <v>0.570815</v>
      </c>
      <c r="O16" s="28" t="n">
        <v>0.456199</v>
      </c>
      <c r="P16" s="28" t="n">
        <v>0.2</v>
      </c>
      <c r="Q16" s="28" t="n">
        <v>-0.114616</v>
      </c>
      <c r="R16" s="26" t="n">
        <v>0</v>
      </c>
      <c r="S16" s="29" t="n">
        <v>1</v>
      </c>
      <c r="T16" s="24" t="inlineStr">
        <is>
          <t>soccer-poisson-dc-v1</t>
        </is>
      </c>
      <c r="U16" s="24" t="inlineStr">
        <is>
          <t>settled</t>
        </is>
      </c>
      <c r="V16" s="24" t="inlineStr">
        <is>
          <t>push</t>
        </is>
      </c>
      <c r="W16" s="26" t="n">
        <v>0</v>
      </c>
      <c r="X16" s="26" t="n">
        <v>0</v>
      </c>
      <c r="Y16" s="25" t="n"/>
      <c r="Z16" s="26" t="n"/>
      <c r="AA16" s="28" t="n"/>
      <c r="AB16" s="28" t="n"/>
      <c r="AC16" s="30" t="n">
        <v>0</v>
      </c>
      <c r="AD16" s="24" t="inlineStr">
        <is>
          <t>2026-07-30T04:12:52.435602Z</t>
        </is>
      </c>
      <c r="AE16" s="31" t="inlineStr">
        <is>
          <t>Poisson-DC rates 1.64 (home) / 1.24 (away) from EWMA attack/defense strengths. Executable ask 0.5700 (atc-bra-flu-bah-2026-07-29-flu).</t>
        </is>
      </c>
      <c r="AF16" s="31" t="inlineStr">
        <is>
          <t>Research-only soccer score model; draw-aware, but not yet locked-holdout qualified.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research_observation</t>
        </is>
      </c>
      <c r="AL16" s="26" t="n">
        <v>3</v>
      </c>
      <c r="AM16" s="24" t="inlineStr">
        <is>
          <t>RESEARCH_OBSERVATION</t>
        </is>
      </c>
      <c r="AN16" s="24" t="inlineStr">
        <is>
          <t>NO_CALL</t>
        </is>
      </c>
      <c r="AO16" s="24" t="inlineStr">
        <is>
          <t>NO_CALL_MODEL_UNVALIDATED</t>
        </is>
      </c>
      <c r="AP16" s="24" t="inlineStr">
        <is>
          <t>Bahia</t>
        </is>
      </c>
      <c r="AQ16" s="24" t="inlineStr">
        <is>
          <t>Bahia</t>
        </is>
      </c>
      <c r="AR16" s="24" t="inlineStr">
        <is>
          <t>Bahia</t>
        </is>
      </c>
      <c r="AS16" s="24" t="inlineStr">
        <is>
          <t>Fluminense</t>
        </is>
      </c>
      <c r="AT16" s="24" t="inlineStr">
        <is>
          <t>Fluminense</t>
        </is>
      </c>
      <c r="AU16" s="24" t="inlineStr">
        <is>
          <t>Fluminense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research</t>
        </is>
      </c>
      <c r="BA16" s="24" t="inlineStr">
        <is>
          <t>0361718a19f38c3d244b71cb6b1f2e7e14a86925e833d2186645250fc084b969</t>
        </is>
      </c>
      <c r="BB16" s="24" t="inlineStr">
        <is>
          <t>poisson_dixon_coles</t>
        </is>
      </c>
      <c r="BC16" s="24" t="inlineStr">
        <is>
          <t>soccer-poisson-dc-v1</t>
        </is>
      </c>
      <c r="BD16" s="24" t="inlineStr">
        <is>
          <t>0361718a19f38c3d244b71cb6b1f2e7e14a86925e833d2186645250fc084b969</t>
        </is>
      </c>
      <c r="BE16" s="24" t="inlineStr">
        <is>
          <t>soccer-poisson-dc-v1</t>
        </is>
      </c>
      <c r="BF16" s="24" t="inlineStr">
        <is>
          <t>1</t>
        </is>
      </c>
      <c r="BG16" s="24" t="inlineStr">
        <is>
          <t>0361718a19f38c3d244b71cb6b1f2e7e14a86925e833d2186645250fc084b969</t>
        </is>
      </c>
      <c r="BH16" s="24" t="inlineStr">
        <is>
          <t>2026-07-29T17:43:20.222742Z</t>
        </is>
      </c>
      <c r="BI16" s="24" t="inlineStr">
        <is>
          <t>["same_event","same_team_same_day","same_league_same_day"]</t>
        </is>
      </c>
      <c r="BJ16" s="25" t="n"/>
      <c r="BK16" s="26" t="n">
        <v>-133</v>
      </c>
      <c r="BL16" s="27" t="n">
        <v>1.75188</v>
      </c>
      <c r="BM16" s="28" t="n">
        <v>0.570815</v>
      </c>
      <c r="BN16" s="28" t="n"/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</row>
    <row r="17" ht="36" customHeight="1">
      <c r="A17" s="24" t="inlineStr">
        <is>
          <t>e4ff84b7e06b4da7</t>
        </is>
      </c>
      <c r="B17" s="24" t="inlineStr">
        <is>
          <t>2026-07-29T17:45:15.881226Z</t>
        </is>
      </c>
      <c r="C17" s="24" t="inlineStr">
        <is>
          <t>2026-07-29T22:15Z</t>
        </is>
      </c>
      <c r="D17" s="24" t="inlineStr">
        <is>
          <t>401841457</t>
        </is>
      </c>
      <c r="E17" s="24" t="inlineStr">
        <is>
          <t>SOCCER</t>
        </is>
      </c>
      <c r="F17" s="24" t="inlineStr">
        <is>
          <t>River Plate</t>
        </is>
      </c>
      <c r="G17" s="24" t="inlineStr">
        <is>
          <t>Gimnasia La Plata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355</v>
      </c>
      <c r="M17" s="27" t="n">
        <v>4.55</v>
      </c>
      <c r="N17" s="28" t="n">
        <v>0.21978</v>
      </c>
      <c r="O17" s="28" t="n">
        <v>0.456199</v>
      </c>
      <c r="P17" s="28" t="n">
        <v>0.2</v>
      </c>
      <c r="Q17" s="28" t="n">
        <v>0.236419</v>
      </c>
      <c r="R17" s="26" t="n">
        <v>48</v>
      </c>
      <c r="S17" s="29" t="n">
        <v>1</v>
      </c>
      <c r="T17" s="24" t="inlineStr">
        <is>
          <t>soccer-poisson-dc-v1</t>
        </is>
      </c>
      <c r="U17" s="24" t="inlineStr">
        <is>
          <t>settled</t>
        </is>
      </c>
      <c r="V17" s="24" t="inlineStr">
        <is>
          <t>win</t>
        </is>
      </c>
      <c r="W17" s="26" t="n">
        <v>0</v>
      </c>
      <c r="X17" s="26" t="n">
        <v>1</v>
      </c>
      <c r="Y17" s="25" t="n"/>
      <c r="Z17" s="26" t="n"/>
      <c r="AA17" s="28" t="n"/>
      <c r="AB17" s="28" t="n"/>
      <c r="AC17" s="30" t="n">
        <v>3.55</v>
      </c>
      <c r="AD17" s="24" t="inlineStr">
        <is>
          <t>2026-07-30T04:12:52.533511Z</t>
        </is>
      </c>
      <c r="AE17" s="31" t="inlineStr">
        <is>
          <t>Poisson-DC rates 1.64 (home) / 1.24 (away) from EWMA attack/defense strengths. Executable ask 0.2200 (atc-lpa-gim-riv-2026-07-29-gim).</t>
        </is>
      </c>
      <c r="AF17" s="31" t="inlineStr">
        <is>
          <t>Research-only soccer score model; draw-aware, but not yet locked-holdout qualified.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research_observation</t>
        </is>
      </c>
      <c r="AL17" s="26" t="n">
        <v>3</v>
      </c>
      <c r="AM17" s="24" t="inlineStr">
        <is>
          <t>RESEARCH_OBSERVATION</t>
        </is>
      </c>
      <c r="AN17" s="24" t="inlineStr">
        <is>
          <t>NO_CALL</t>
        </is>
      </c>
      <c r="AO17" s="24" t="inlineStr">
        <is>
          <t>NO_CALL_MODEL_UNVALIDATED</t>
        </is>
      </c>
      <c r="AP17" s="24" t="inlineStr">
        <is>
          <t>River Plate</t>
        </is>
      </c>
      <c r="AQ17" s="24" t="inlineStr">
        <is>
          <t>River Plate</t>
        </is>
      </c>
      <c r="AR17" s="24" t="inlineStr">
        <is>
          <t>River Plate</t>
        </is>
      </c>
      <c r="AS17" s="24" t="inlineStr">
        <is>
          <t>Gimnasia La Plata</t>
        </is>
      </c>
      <c r="AT17" s="24" t="inlineStr">
        <is>
          <t>Gimnasia La Plata</t>
        </is>
      </c>
      <c r="AU17" s="24" t="inlineStr">
        <is>
          <t>Gimnasia La Plata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research</t>
        </is>
      </c>
      <c r="BA17" s="24" t="inlineStr">
        <is>
          <t>0361718a19f38c3d244b71cb6b1f2e7e14a86925e833d2186645250fc084b969</t>
        </is>
      </c>
      <c r="BB17" s="24" t="inlineStr">
        <is>
          <t>poisson_dixon_coles</t>
        </is>
      </c>
      <c r="BC17" s="24" t="inlineStr">
        <is>
          <t>soccer-poisson-dc-v1</t>
        </is>
      </c>
      <c r="BD17" s="24" t="inlineStr">
        <is>
          <t>0361718a19f38c3d244b71cb6b1f2e7e14a86925e833d2186645250fc084b969</t>
        </is>
      </c>
      <c r="BE17" s="24" t="inlineStr">
        <is>
          <t>soccer-poisson-dc-v1</t>
        </is>
      </c>
      <c r="BF17" s="24" t="inlineStr">
        <is>
          <t>1</t>
        </is>
      </c>
      <c r="BG17" s="24" t="inlineStr">
        <is>
          <t>0361718a19f38c3d244b71cb6b1f2e7e14a86925e833d2186645250fc084b969</t>
        </is>
      </c>
      <c r="BH17" s="24" t="inlineStr">
        <is>
          <t>2026-07-29T17:43:20.814669Z</t>
        </is>
      </c>
      <c r="BI17" s="24" t="inlineStr">
        <is>
          <t>["same_event","same_team_same_day","same_league_same_day"]</t>
        </is>
      </c>
      <c r="BJ17" s="25" t="n"/>
      <c r="BK17" s="26" t="n">
        <v>355</v>
      </c>
      <c r="BL17" s="27" t="n">
        <v>4.55</v>
      </c>
      <c r="BM17" s="28" t="n">
        <v>0.21978</v>
      </c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</row>
    <row r="18" ht="36" customHeight="1">
      <c r="A18" s="24" t="inlineStr">
        <is>
          <t>6fe762116e044f29</t>
        </is>
      </c>
      <c r="B18" s="24" t="inlineStr">
        <is>
          <t>2026-07-29T17:45:15.881226Z</t>
        </is>
      </c>
      <c r="C18" s="24" t="inlineStr">
        <is>
          <t>2026-07-29T23:30Z</t>
        </is>
      </c>
      <c r="D18" s="24" t="inlineStr">
        <is>
          <t>401863532</t>
        </is>
      </c>
      <c r="E18" s="24" t="inlineStr">
        <is>
          <t>SOCCER</t>
        </is>
      </c>
      <c r="F18" s="24" t="inlineStr">
        <is>
          <t>Wrexham</t>
        </is>
      </c>
      <c r="G18" s="24" t="inlineStr">
        <is>
          <t>Liverpool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-233</v>
      </c>
      <c r="M18" s="27" t="n">
        <v>1.429185</v>
      </c>
      <c r="N18" s="28" t="n">
        <v>0.6997</v>
      </c>
      <c r="O18" s="28" t="n">
        <v>0.5541700000000001</v>
      </c>
      <c r="P18" s="28" t="n">
        <v>0.04</v>
      </c>
      <c r="Q18" s="28" t="n">
        <v>-0.14553</v>
      </c>
      <c r="R18" s="26" t="n">
        <v>0</v>
      </c>
      <c r="S18" s="29" t="n">
        <v>1</v>
      </c>
      <c r="T18" s="24" t="inlineStr">
        <is>
          <t>soccer-poisson-dc-v1</t>
        </is>
      </c>
      <c r="U18" s="24" t="inlineStr">
        <is>
          <t>settled</t>
        </is>
      </c>
      <c r="V18" s="24" t="inlineStr">
        <is>
          <t>win</t>
        </is>
      </c>
      <c r="W18" s="26" t="n">
        <v>0</v>
      </c>
      <c r="X18" s="26" t="n">
        <v>1</v>
      </c>
      <c r="Y18" s="25" t="n"/>
      <c r="Z18" s="26" t="n"/>
      <c r="AA18" s="28" t="n"/>
      <c r="AB18" s="28" t="n"/>
      <c r="AC18" s="30" t="n">
        <v>0.4292</v>
      </c>
      <c r="AD18" s="24" t="inlineStr">
        <is>
          <t>2026-07-30T04:12:55.723807Z</t>
        </is>
      </c>
      <c r="AE18" s="31" t="inlineStr">
        <is>
          <t>Poisson-DC rates 2.12 (home) / 1.29 (away) from EWMA attack/defense strengths. Executable ask 0.7000 (atc-clbf-lfc-wre-2026-07-29-lfc).</t>
        </is>
      </c>
      <c r="AF18" s="31" t="inlineStr">
        <is>
          <t>Research-only soccer score model; draw-aware, but not yet locked-holdout qualified.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research_observation</t>
        </is>
      </c>
      <c r="AL18" s="26" t="n">
        <v>3</v>
      </c>
      <c r="AM18" s="24" t="inlineStr">
        <is>
          <t>RESEARCH_OBSERVATION</t>
        </is>
      </c>
      <c r="AN18" s="24" t="inlineStr">
        <is>
          <t>NO_CALL</t>
        </is>
      </c>
      <c r="AO18" s="24" t="inlineStr">
        <is>
          <t>NO_CALL_MODEL_UNVALIDATED</t>
        </is>
      </c>
      <c r="AP18" s="24" t="inlineStr">
        <is>
          <t>Wrexham</t>
        </is>
      </c>
      <c r="AQ18" s="24" t="inlineStr">
        <is>
          <t>Wrexham</t>
        </is>
      </c>
      <c r="AR18" s="24" t="inlineStr">
        <is>
          <t>Wrexham</t>
        </is>
      </c>
      <c r="AS18" s="24" t="inlineStr">
        <is>
          <t>Liverpool</t>
        </is>
      </c>
      <c r="AT18" s="24" t="inlineStr">
        <is>
          <t>Liverpool</t>
        </is>
      </c>
      <c r="AU18" s="24" t="inlineStr">
        <is>
          <t>Liverpool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research</t>
        </is>
      </c>
      <c r="BA18" s="24" t="inlineStr">
        <is>
          <t>0361718a19f38c3d244b71cb6b1f2e7e14a86925e833d2186645250fc084b969</t>
        </is>
      </c>
      <c r="BB18" s="24" t="inlineStr">
        <is>
          <t>poisson_dixon_coles</t>
        </is>
      </c>
      <c r="BC18" s="24" t="inlineStr">
        <is>
          <t>soccer-poisson-dc-v1</t>
        </is>
      </c>
      <c r="BD18" s="24" t="inlineStr">
        <is>
          <t>0361718a19f38c3d244b71cb6b1f2e7e14a86925e833d2186645250fc084b969</t>
        </is>
      </c>
      <c r="BE18" s="24" t="inlineStr">
        <is>
          <t>soccer-poisson-dc-v1</t>
        </is>
      </c>
      <c r="BF18" s="24" t="inlineStr">
        <is>
          <t>1</t>
        </is>
      </c>
      <c r="BG18" s="24" t="inlineStr">
        <is>
          <t>0361718a19f38c3d244b71cb6b1f2e7e14a86925e833d2186645250fc084b969</t>
        </is>
      </c>
      <c r="BH18" s="24" t="inlineStr">
        <is>
          <t>2026-07-29T17:43:24.705734Z</t>
        </is>
      </c>
      <c r="BI18" s="24" t="inlineStr">
        <is>
          <t>["same_event","same_team_same_day","same_league_same_day"]</t>
        </is>
      </c>
      <c r="BJ18" s="25" t="n"/>
      <c r="BK18" s="26" t="n">
        <v>-233</v>
      </c>
      <c r="BL18" s="27" t="n">
        <v>1.429185</v>
      </c>
      <c r="BM18" s="28" t="n">
        <v>0.6997</v>
      </c>
      <c r="BN18" s="28" t="n"/>
      <c r="BO18" s="28" t="n"/>
      <c r="BP18" s="25" t="n"/>
      <c r="BQ18" s="27" t="n"/>
      <c r="BR18" s="28" t="n"/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</row>
    <row r="19" ht="36" customHeight="1">
      <c r="A19" s="24" t="inlineStr">
        <is>
          <t>5f5afef2c6ff418f</t>
        </is>
      </c>
      <c r="B19" s="24" t="inlineStr">
        <is>
          <t>2026-07-30T21:08:36.264404Z</t>
        </is>
      </c>
      <c r="C19" s="24" t="inlineStr">
        <is>
          <t>2026-07-31T00:30Z</t>
        </is>
      </c>
      <c r="D19" s="24" t="inlineStr">
        <is>
          <t>401841173</t>
        </is>
      </c>
      <c r="E19" s="24" t="inlineStr">
        <is>
          <t>SOCCER</t>
        </is>
      </c>
      <c r="F19" s="24" t="inlineStr">
        <is>
          <t>Cruzeiro</t>
        </is>
      </c>
      <c r="G19" s="24" t="inlineStr">
        <is>
          <t>Coritiba</t>
        </is>
      </c>
      <c r="H19" s="24" t="inlineStr">
        <is>
          <t>moneyline</t>
        </is>
      </c>
      <c r="I19" s="24" t="inlineStr">
        <is>
          <t>home</t>
        </is>
      </c>
      <c r="J19" s="25" t="n"/>
      <c r="K19" s="24" t="inlineStr">
        <is>
          <t>polymarket_us</t>
        </is>
      </c>
      <c r="L19" s="26" t="n">
        <v>245</v>
      </c>
      <c r="M19" s="27" t="n">
        <v>3.45</v>
      </c>
      <c r="N19" s="28" t="n">
        <v>0.289855</v>
      </c>
      <c r="O19" s="28" t="n">
        <v>0.456135</v>
      </c>
      <c r="P19" s="28" t="n">
        <v>0.2</v>
      </c>
      <c r="Q19" s="28" t="n">
        <v>0.16628</v>
      </c>
      <c r="R19" s="26" t="n">
        <v>13</v>
      </c>
      <c r="S19" s="29" t="n">
        <v>1</v>
      </c>
      <c r="T19" s="24" t="inlineStr">
        <is>
          <t>soccer-poisson-dc-v1</t>
        </is>
      </c>
      <c r="U19" s="24" t="inlineStr">
        <is>
          <t>settled</t>
        </is>
      </c>
      <c r="V19" s="24" t="inlineStr">
        <is>
          <t>loss</t>
        </is>
      </c>
      <c r="W19" s="26" t="n">
        <v>1</v>
      </c>
      <c r="X19" s="26" t="n">
        <v>0</v>
      </c>
      <c r="Y19" s="25" t="n"/>
      <c r="Z19" s="26" t="n"/>
      <c r="AA19" s="28" t="n"/>
      <c r="AB19" s="28" t="n"/>
      <c r="AC19" s="30" t="n">
        <v>-1</v>
      </c>
      <c r="AD19" s="24" t="inlineStr">
        <is>
          <t>2026-07-31T04:29:36.196646Z</t>
        </is>
      </c>
      <c r="AE19" s="31" t="inlineStr">
        <is>
          <t>Poisson-DC rates 1.64 (home) / 1.24 (away) from EWMA attack/defense strengths. Executable ask 0.2900 (atc-bra-cor-cru-2026-07-30-cor).</t>
        </is>
      </c>
      <c r="AF19" s="31" t="inlineStr">
        <is>
          <t>Research-only soccer score model; draw-aware, but not yet locked-holdout qualified.</t>
        </is>
      </c>
      <c r="AG19" s="24" t="inlineStr">
        <is>
          <t>review_required</t>
        </is>
      </c>
      <c r="AH19" s="24" t="n"/>
      <c r="AI19" s="31" t="n"/>
      <c r="AJ19" s="31" t="n"/>
      <c r="AK19" s="24" t="inlineStr">
        <is>
          <t>research_observation</t>
        </is>
      </c>
      <c r="AL19" s="26" t="n">
        <v>3</v>
      </c>
      <c r="AM19" s="24" t="inlineStr">
        <is>
          <t>RESEARCH_OBSERVATION</t>
        </is>
      </c>
      <c r="AN19" s="24" t="inlineStr">
        <is>
          <t>NO_CALL</t>
        </is>
      </c>
      <c r="AO19" s="24" t="inlineStr">
        <is>
          <t>NO_CALL_MODEL_UNVALIDATED</t>
        </is>
      </c>
      <c r="AP19" s="24" t="inlineStr">
        <is>
          <t>Cruzeiro</t>
        </is>
      </c>
      <c r="AQ19" s="24" t="inlineStr">
        <is>
          <t>Cruzeiro</t>
        </is>
      </c>
      <c r="AR19" s="24" t="inlineStr">
        <is>
          <t>Cruzeiro</t>
        </is>
      </c>
      <c r="AS19" s="24" t="inlineStr">
        <is>
          <t>Coritiba</t>
        </is>
      </c>
      <c r="AT19" s="24" t="inlineStr">
        <is>
          <t>Coritiba</t>
        </is>
      </c>
      <c r="AU19" s="24" t="inlineStr">
        <is>
          <t>Coritiba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research</t>
        </is>
      </c>
      <c r="BA19" s="24" t="inlineStr">
        <is>
          <t>34d1568aad0ff11b5db35f118324684f93281e1c21fa7b80be7a4a4e2cb4bb03</t>
        </is>
      </c>
      <c r="BB19" s="24" t="inlineStr">
        <is>
          <t>poisson_dixon_coles</t>
        </is>
      </c>
      <c r="BC19" s="24" t="inlineStr">
        <is>
          <t>soccer-poisson-dc-v1</t>
        </is>
      </c>
      <c r="BD19" s="24" t="inlineStr">
        <is>
          <t>34d1568aad0ff11b5db35f118324684f93281e1c21fa7b80be7a4a4e2cb4bb03</t>
        </is>
      </c>
      <c r="BE19" s="24" t="inlineStr">
        <is>
          <t>soccer-poisson-dc-v1</t>
        </is>
      </c>
      <c r="BF19" s="24" t="inlineStr">
        <is>
          <t>1</t>
        </is>
      </c>
      <c r="BG19" s="24" t="inlineStr">
        <is>
          <t>34d1568aad0ff11b5db35f118324684f93281e1c21fa7b80be7a4a4e2cb4bb03</t>
        </is>
      </c>
      <c r="BH19" s="24" t="inlineStr">
        <is>
          <t>2026-07-30T21:07:20.486954Z</t>
        </is>
      </c>
      <c r="BI19" s="24" t="inlineStr">
        <is>
          <t>["same_event","same_team_same_day","same_league_same_day"]</t>
        </is>
      </c>
      <c r="BJ19" s="25" t="n"/>
      <c r="BK19" s="26" t="n">
        <v>245</v>
      </c>
      <c r="BL19" s="27" t="n">
        <v>3.45</v>
      </c>
      <c r="BM19" s="28" t="n">
        <v>0.289855</v>
      </c>
      <c r="BN19" s="28" t="n"/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</row>
    <row r="20" ht="36" customHeight="1">
      <c r="A20" s="24" t="inlineStr">
        <is>
          <t>9bfe664e8e5b4a8b</t>
        </is>
      </c>
      <c r="B20" s="24" t="inlineStr">
        <is>
          <t>2026-07-30T21:08:36.264404Z</t>
        </is>
      </c>
      <c r="C20" s="24" t="inlineStr">
        <is>
          <t>2026-07-31T00:15Z</t>
        </is>
      </c>
      <c r="D20" s="24" t="inlineStr">
        <is>
          <t>401841456</t>
        </is>
      </c>
      <c r="E20" s="24" t="inlineStr">
        <is>
          <t>SOCCER</t>
        </is>
      </c>
      <c r="F20" s="24" t="inlineStr">
        <is>
          <t>Newell's Old Boys</t>
        </is>
      </c>
      <c r="G20" s="24" t="inlineStr">
        <is>
          <t>Independiente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-156</v>
      </c>
      <c r="M20" s="27" t="n">
        <v>1.641026</v>
      </c>
      <c r="N20" s="28" t="n">
        <v>0.609375</v>
      </c>
      <c r="O20" s="28" t="n">
        <v>0.456135</v>
      </c>
      <c r="P20" s="28" t="n">
        <v>0.2</v>
      </c>
      <c r="Q20" s="28" t="n">
        <v>-0.15324</v>
      </c>
      <c r="R20" s="26" t="n">
        <v>0</v>
      </c>
      <c r="S20" s="29" t="n">
        <v>1</v>
      </c>
      <c r="T20" s="24" t="inlineStr">
        <is>
          <t>soccer-poisson-dc-v1</t>
        </is>
      </c>
      <c r="U20" s="24" t="inlineStr">
        <is>
          <t>settled</t>
        </is>
      </c>
      <c r="V20" s="24" t="inlineStr">
        <is>
          <t>win</t>
        </is>
      </c>
      <c r="W20" s="26" t="n">
        <v>0</v>
      </c>
      <c r="X20" s="26" t="n">
        <v>1</v>
      </c>
      <c r="Y20" s="25" t="n"/>
      <c r="Z20" s="26" t="n"/>
      <c r="AA20" s="28" t="n"/>
      <c r="AB20" s="28" t="n"/>
      <c r="AC20" s="30" t="n">
        <v>0.641</v>
      </c>
      <c r="AD20" s="24" t="inlineStr">
        <is>
          <t>2026-07-31T04:29:36.979280Z</t>
        </is>
      </c>
      <c r="AE20" s="31" t="inlineStr">
        <is>
          <t>Poisson-DC rates 1.64 (home) / 1.24 (away) from EWMA attack/defense strengths. Executable ask 0.6100 (atc-lpa-ind-new-2026-07-30-ind).</t>
        </is>
      </c>
      <c r="AF20" s="31" t="inlineStr">
        <is>
          <t>Research-only soccer score model; draw-aware, but not yet locked-holdout qualified.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research_observation</t>
        </is>
      </c>
      <c r="AL20" s="26" t="n">
        <v>3</v>
      </c>
      <c r="AM20" s="24" t="inlineStr">
        <is>
          <t>RESEARCH_OBSERVATION</t>
        </is>
      </c>
      <c r="AN20" s="24" t="inlineStr">
        <is>
          <t>NO_CALL</t>
        </is>
      </c>
      <c r="AO20" s="24" t="inlineStr">
        <is>
          <t>NO_CALL_MODEL_UNVALIDATED</t>
        </is>
      </c>
      <c r="AP20" s="24" t="inlineStr">
        <is>
          <t>Newell's Old Boys</t>
        </is>
      </c>
      <c r="AQ20" s="24" t="inlineStr">
        <is>
          <t>Newell's Old Boys</t>
        </is>
      </c>
      <c r="AR20" s="24" t="inlineStr">
        <is>
          <t>Newell's Old Boys</t>
        </is>
      </c>
      <c r="AS20" s="24" t="inlineStr">
        <is>
          <t>Independiente</t>
        </is>
      </c>
      <c r="AT20" s="24" t="inlineStr">
        <is>
          <t>Independiente</t>
        </is>
      </c>
      <c r="AU20" s="24" t="inlineStr">
        <is>
          <t>Independiente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research</t>
        </is>
      </c>
      <c r="BA20" s="24" t="inlineStr">
        <is>
          <t>34d1568aad0ff11b5db35f118324684f93281e1c21fa7b80be7a4a4e2cb4bb03</t>
        </is>
      </c>
      <c r="BB20" s="24" t="inlineStr">
        <is>
          <t>poisson_dixon_coles</t>
        </is>
      </c>
      <c r="BC20" s="24" t="inlineStr">
        <is>
          <t>soccer-poisson-dc-v1</t>
        </is>
      </c>
      <c r="BD20" s="24" t="inlineStr">
        <is>
          <t>34d1568aad0ff11b5db35f118324684f93281e1c21fa7b80be7a4a4e2cb4bb03</t>
        </is>
      </c>
      <c r="BE20" s="24" t="inlineStr">
        <is>
          <t>soccer-poisson-dc-v1</t>
        </is>
      </c>
      <c r="BF20" s="24" t="inlineStr">
        <is>
          <t>1</t>
        </is>
      </c>
      <c r="BG20" s="24" t="inlineStr">
        <is>
          <t>34d1568aad0ff11b5db35f118324684f93281e1c21fa7b80be7a4a4e2cb4bb03</t>
        </is>
      </c>
      <c r="BH20" s="24" t="inlineStr">
        <is>
          <t>2026-07-30T21:07:21.770185Z</t>
        </is>
      </c>
      <c r="BI20" s="24" t="inlineStr">
        <is>
          <t>["same_event","same_team_same_day","same_league_same_day"]</t>
        </is>
      </c>
      <c r="BJ20" s="25" t="n"/>
      <c r="BK20" s="26" t="n">
        <v>-156</v>
      </c>
      <c r="BL20" s="27" t="n">
        <v>1.641026</v>
      </c>
      <c r="BM20" s="28" t="n">
        <v>0.609375</v>
      </c>
      <c r="BN20" s="28" t="n"/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</row>
    <row r="21" ht="36" customHeight="1">
      <c r="A21" s="24" t="inlineStr">
        <is>
          <t>97c8cc75e04649d2</t>
        </is>
      </c>
      <c r="B21" s="24" t="inlineStr">
        <is>
          <t>2026-07-30T21:08:36.264404Z</t>
        </is>
      </c>
      <c r="C21" s="24" t="inlineStr">
        <is>
          <t>2026-07-31T00:30Z</t>
        </is>
      </c>
      <c r="D21" s="24" t="inlineStr">
        <is>
          <t>401874162</t>
        </is>
      </c>
      <c r="E21" s="24" t="inlineStr">
        <is>
          <t>SOCCER</t>
        </is>
      </c>
      <c r="F21" s="24" t="inlineStr">
        <is>
          <t>Independiente Santa Fe</t>
        </is>
      </c>
      <c r="G21" s="24" t="inlineStr">
        <is>
          <t>Caracas FC</t>
        </is>
      </c>
      <c r="H21" s="24" t="inlineStr">
        <is>
          <t>moneyline</t>
        </is>
      </c>
      <c r="I21" s="24" t="inlineStr">
        <is>
          <t>home</t>
        </is>
      </c>
      <c r="J21" s="25" t="n"/>
      <c r="K21" s="24" t="inlineStr">
        <is>
          <t>polymarket_us</t>
        </is>
      </c>
      <c r="L21" s="26" t="n">
        <v>223</v>
      </c>
      <c r="M21" s="27" t="n">
        <v>3.23</v>
      </c>
      <c r="N21" s="28" t="n">
        <v>0.309598</v>
      </c>
      <c r="O21" s="28" t="n">
        <v>0.456135</v>
      </c>
      <c r="P21" s="28" t="n">
        <v>0.2</v>
      </c>
      <c r="Q21" s="28" t="n">
        <v>0.146537</v>
      </c>
      <c r="R21" s="26" t="n">
        <v>3</v>
      </c>
      <c r="S21" s="29" t="n">
        <v>1</v>
      </c>
      <c r="T21" s="24" t="inlineStr">
        <is>
          <t>soccer-poisson-dc-v1</t>
        </is>
      </c>
      <c r="U21" s="24" t="inlineStr">
        <is>
          <t>settled</t>
        </is>
      </c>
      <c r="V21" s="24" t="inlineStr">
        <is>
          <t>loss</t>
        </is>
      </c>
      <c r="W21" s="26" t="n">
        <v>3</v>
      </c>
      <c r="X21" s="26" t="n">
        <v>0</v>
      </c>
      <c r="Y21" s="25" t="n"/>
      <c r="Z21" s="26" t="n"/>
      <c r="AA21" s="28" t="n"/>
      <c r="AB21" s="28" t="n"/>
      <c r="AC21" s="30" t="n">
        <v>-1</v>
      </c>
      <c r="AD21" s="24" t="inlineStr">
        <is>
          <t>2026-07-31T04:29:39.457874Z</t>
        </is>
      </c>
      <c r="AE21" s="31" t="inlineStr">
        <is>
          <t>Poisson-DC rates 1.64 (home) / 1.24 (away) from EWMA attack/defense strengths. Executable ask 0.3100 (atc-sud-cfa-isf-2026-07-30-cfa).</t>
        </is>
      </c>
      <c r="AF21" s="31" t="inlineStr">
        <is>
          <t>Research-only soccer score model; draw-aware, but not yet locked-holdout qualified.</t>
        </is>
      </c>
      <c r="AG21" s="24" t="inlineStr">
        <is>
          <t>review_required</t>
        </is>
      </c>
      <c r="AH21" s="24" t="n"/>
      <c r="AI21" s="31" t="n"/>
      <c r="AJ21" s="31" t="n"/>
      <c r="AK21" s="24" t="inlineStr">
        <is>
          <t>research_observation</t>
        </is>
      </c>
      <c r="AL21" s="26" t="n">
        <v>3</v>
      </c>
      <c r="AM21" s="24" t="inlineStr">
        <is>
          <t>RESEARCH_OBSERVATION</t>
        </is>
      </c>
      <c r="AN21" s="24" t="inlineStr">
        <is>
          <t>NO_CALL</t>
        </is>
      </c>
      <c r="AO21" s="24" t="inlineStr">
        <is>
          <t>NO_CALL_MODEL_UNVALIDATED</t>
        </is>
      </c>
      <c r="AP21" s="24" t="inlineStr">
        <is>
          <t>Independiente Santa Fe</t>
        </is>
      </c>
      <c r="AQ21" s="24" t="inlineStr">
        <is>
          <t>Independiente Santa Fe</t>
        </is>
      </c>
      <c r="AR21" s="24" t="inlineStr">
        <is>
          <t>Independiente Santa Fe</t>
        </is>
      </c>
      <c r="AS21" s="24" t="inlineStr">
        <is>
          <t>Caracas FC</t>
        </is>
      </c>
      <c r="AT21" s="24" t="inlineStr">
        <is>
          <t>Caracas FC</t>
        </is>
      </c>
      <c r="AU21" s="24" t="inlineStr">
        <is>
          <t>Caracas FC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research</t>
        </is>
      </c>
      <c r="BA21" s="24" t="inlineStr">
        <is>
          <t>34d1568aad0ff11b5db35f118324684f93281e1c21fa7b80be7a4a4e2cb4bb03</t>
        </is>
      </c>
      <c r="BB21" s="24" t="inlineStr">
        <is>
          <t>poisson_dixon_coles</t>
        </is>
      </c>
      <c r="BC21" s="24" t="inlineStr">
        <is>
          <t>soccer-poisson-dc-v1</t>
        </is>
      </c>
      <c r="BD21" s="24" t="inlineStr">
        <is>
          <t>34d1568aad0ff11b5db35f118324684f93281e1c21fa7b80be7a4a4e2cb4bb03</t>
        </is>
      </c>
      <c r="BE21" s="24" t="inlineStr">
        <is>
          <t>soccer-poisson-dc-v1</t>
        </is>
      </c>
      <c r="BF21" s="24" t="inlineStr">
        <is>
          <t>1</t>
        </is>
      </c>
      <c r="BG21" s="24" t="inlineStr">
        <is>
          <t>34d1568aad0ff11b5db35f118324684f93281e1c21fa7b80be7a4a4e2cb4bb03</t>
        </is>
      </c>
      <c r="BH21" s="24" t="inlineStr">
        <is>
          <t>2026-07-30T21:07:22.865296Z</t>
        </is>
      </c>
      <c r="BI21" s="24" t="inlineStr">
        <is>
          <t>["same_event","same_team_same_day","same_league_same_day"]</t>
        </is>
      </c>
      <c r="BJ21" s="25" t="n"/>
      <c r="BK21" s="26" t="n">
        <v>223</v>
      </c>
      <c r="BL21" s="27" t="n">
        <v>3.23</v>
      </c>
      <c r="BM21" s="28" t="n">
        <v>0.309598</v>
      </c>
      <c r="BN21" s="28" t="n"/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</row>
    <row r="22" ht="36" customHeight="1">
      <c r="A22" s="24" t="inlineStr">
        <is>
          <t>5332b99f26d14835</t>
        </is>
      </c>
      <c r="B22" s="24" t="inlineStr">
        <is>
          <t>2026-07-30T21:08:36.264404Z</t>
        </is>
      </c>
      <c r="C22" s="24" t="inlineStr">
        <is>
          <t>2026-07-31T00:30Z</t>
        </is>
      </c>
      <c r="D22" s="24" t="inlineStr">
        <is>
          <t>401874164</t>
        </is>
      </c>
      <c r="E22" s="24" t="inlineStr">
        <is>
          <t>SOCCER</t>
        </is>
      </c>
      <c r="F22" s="24" t="inlineStr">
        <is>
          <t>Boca Juniors</t>
        </is>
      </c>
      <c r="G22" s="24" t="inlineStr">
        <is>
          <t>O'Higgins</t>
        </is>
      </c>
      <c r="H22" s="24" t="inlineStr">
        <is>
          <t>moneyline</t>
        </is>
      </c>
      <c r="I22" s="24" t="inlineStr">
        <is>
          <t>away</t>
        </is>
      </c>
      <c r="J22" s="25" t="n"/>
      <c r="K22" s="24" t="inlineStr">
        <is>
          <t>polymarket_us</t>
        </is>
      </c>
      <c r="L22" s="26" t="n">
        <v>-104</v>
      </c>
      <c r="M22" s="27" t="n">
        <v>1.961538</v>
      </c>
      <c r="N22" s="28" t="n">
        <v>0.509804</v>
      </c>
      <c r="O22" s="28" t="n">
        <v>0.396866</v>
      </c>
      <c r="P22" s="28" t="n">
        <v>0.19</v>
      </c>
      <c r="Q22" s="28" t="n">
        <v>-0.112938</v>
      </c>
      <c r="R22" s="26" t="n">
        <v>0</v>
      </c>
      <c r="S22" s="29" t="n">
        <v>1</v>
      </c>
      <c r="T22" s="24" t="inlineStr">
        <is>
          <t>soccer-poisson-dc-v1</t>
        </is>
      </c>
      <c r="U22" s="24" t="inlineStr">
        <is>
          <t>settled</t>
        </is>
      </c>
      <c r="V22" s="24" t="inlineStr">
        <is>
          <t>loss</t>
        </is>
      </c>
      <c r="W22" s="26" t="n">
        <v>0</v>
      </c>
      <c r="X22" s="26" t="n">
        <v>1</v>
      </c>
      <c r="Y22" s="25" t="n"/>
      <c r="Z22" s="26" t="n"/>
      <c r="AA22" s="28" t="n"/>
      <c r="AB22" s="28" t="n"/>
      <c r="AC22" s="30" t="n">
        <v>-1</v>
      </c>
      <c r="AD22" s="24" t="inlineStr">
        <is>
          <t>2026-07-31T04:29:39.572875Z</t>
        </is>
      </c>
      <c r="AE22" s="31" t="inlineStr">
        <is>
          <t>Poisson-DC rates 1.30 (home) / 1.46 (away) from EWMA attack/defense strengths. Executable ask 0.5100 (atc-sud-ohi-boc-2026-07-30-boc).</t>
        </is>
      </c>
      <c r="AF22" s="31" t="inlineStr">
        <is>
          <t>Research-only soccer score model; draw-aware, but not yet locked-holdout qualified.</t>
        </is>
      </c>
      <c r="AG22" s="24" t="inlineStr">
        <is>
          <t>review_required</t>
        </is>
      </c>
      <c r="AH22" s="24" t="n"/>
      <c r="AI22" s="31" t="n"/>
      <c r="AJ22" s="31" t="n"/>
      <c r="AK22" s="24" t="inlineStr">
        <is>
          <t>research_observation</t>
        </is>
      </c>
      <c r="AL22" s="26" t="n">
        <v>3</v>
      </c>
      <c r="AM22" s="24" t="inlineStr">
        <is>
          <t>RESEARCH_OBSERVATION</t>
        </is>
      </c>
      <c r="AN22" s="24" t="inlineStr">
        <is>
          <t>NO_CALL</t>
        </is>
      </c>
      <c r="AO22" s="24" t="inlineStr">
        <is>
          <t>NO_CALL_MODEL_UNVALIDATED</t>
        </is>
      </c>
      <c r="AP22" s="24" t="inlineStr">
        <is>
          <t>Boca Juniors</t>
        </is>
      </c>
      <c r="AQ22" s="24" t="inlineStr">
        <is>
          <t>Boca Juniors</t>
        </is>
      </c>
      <c r="AR22" s="24" t="inlineStr">
        <is>
          <t>Boca Juniors</t>
        </is>
      </c>
      <c r="AS22" s="24" t="inlineStr">
        <is>
          <t>O'Higgins</t>
        </is>
      </c>
      <c r="AT22" s="24" t="inlineStr">
        <is>
          <t>O'Higgins</t>
        </is>
      </c>
      <c r="AU22" s="24" t="inlineStr">
        <is>
          <t>O'Higgins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research</t>
        </is>
      </c>
      <c r="BA22" s="24" t="inlineStr">
        <is>
          <t>34d1568aad0ff11b5db35f118324684f93281e1c21fa7b80be7a4a4e2cb4bb03</t>
        </is>
      </c>
      <c r="BB22" s="24" t="inlineStr">
        <is>
          <t>poisson_dixon_coles</t>
        </is>
      </c>
      <c r="BC22" s="24" t="inlineStr">
        <is>
          <t>soccer-poisson-dc-v1</t>
        </is>
      </c>
      <c r="BD22" s="24" t="inlineStr">
        <is>
          <t>34d1568aad0ff11b5db35f118324684f93281e1c21fa7b80be7a4a4e2cb4bb03</t>
        </is>
      </c>
      <c r="BE22" s="24" t="inlineStr">
        <is>
          <t>soccer-poisson-dc-v1</t>
        </is>
      </c>
      <c r="BF22" s="24" t="inlineStr">
        <is>
          <t>1</t>
        </is>
      </c>
      <c r="BG22" s="24" t="inlineStr">
        <is>
          <t>34d1568aad0ff11b5db35f118324684f93281e1c21fa7b80be7a4a4e2cb4bb03</t>
        </is>
      </c>
      <c r="BH22" s="24" t="inlineStr">
        <is>
          <t>2026-07-30T21:07:23.262683Z</t>
        </is>
      </c>
      <c r="BI22" s="24" t="inlineStr">
        <is>
          <t>["same_event","same_team_same_day","same_league_same_day"]</t>
        </is>
      </c>
      <c r="BJ22" s="25" t="n"/>
      <c r="BK22" s="26" t="n">
        <v>-104</v>
      </c>
      <c r="BL22" s="27" t="n">
        <v>1.961538</v>
      </c>
      <c r="BM22" s="28" t="n">
        <v>0.509804</v>
      </c>
      <c r="BN22" s="28" t="n"/>
      <c r="BO22" s="28" t="n"/>
      <c r="BP22" s="25" t="n"/>
      <c r="BQ22" s="27" t="n"/>
      <c r="BR22" s="28" t="n"/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</row>
    <row r="23" ht="36" customHeight="1">
      <c r="A23" s="24" t="inlineStr">
        <is>
          <t>0ea3ba73ea6147e2</t>
        </is>
      </c>
      <c r="B23" s="24" t="inlineStr">
        <is>
          <t>2026-07-30T21:08:36.264404Z</t>
        </is>
      </c>
      <c r="C23" s="24" t="inlineStr">
        <is>
          <t>2026-07-30T23:30Z</t>
        </is>
      </c>
      <c r="D23" s="24" t="inlineStr">
        <is>
          <t>401897750</t>
        </is>
      </c>
      <c r="E23" s="24" t="inlineStr">
        <is>
          <t>SOCCER</t>
        </is>
      </c>
      <c r="F23" s="24" t="inlineStr">
        <is>
          <t>Leeds United</t>
        </is>
      </c>
      <c r="G23" s="24" t="inlineStr">
        <is>
          <t>Sunderland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178</v>
      </c>
      <c r="M23" s="27" t="n">
        <v>2.78</v>
      </c>
      <c r="N23" s="28" t="n">
        <v>0.359712</v>
      </c>
      <c r="O23" s="28" t="n">
        <v>0.356905</v>
      </c>
      <c r="P23" s="28" t="n">
        <v>0.04</v>
      </c>
      <c r="Q23" s="28" t="n">
        <v>-0.002807</v>
      </c>
      <c r="R23" s="26" t="n">
        <v>25</v>
      </c>
      <c r="S23" s="29" t="n">
        <v>1.75</v>
      </c>
      <c r="T23" s="24" t="inlineStr">
        <is>
          <t>soccer-poisson-dc-v1</t>
        </is>
      </c>
      <c r="U23" s="24" t="inlineStr">
        <is>
          <t>settled</t>
        </is>
      </c>
      <c r="V23" s="24" t="inlineStr">
        <is>
          <t>loss</t>
        </is>
      </c>
      <c r="W23" s="26" t="n">
        <v>1</v>
      </c>
      <c r="X23" s="26" t="n">
        <v>0</v>
      </c>
      <c r="Y23" s="25" t="n"/>
      <c r="Z23" s="26" t="n"/>
      <c r="AA23" s="28" t="n"/>
      <c r="AB23" s="28" t="n"/>
      <c r="AC23" s="30" t="n">
        <v>-1.75</v>
      </c>
      <c r="AD23" s="24" t="inlineStr">
        <is>
          <t>2026-07-31T04:29:40.244393Z</t>
        </is>
      </c>
      <c r="AE23" s="31" t="inlineStr">
        <is>
          <t>Poisson-DC rates 1.19 (home) / 1.15 (away) from EWMA attack/defense strengths. Executable ask 0.3600 (atc-clbf-lee-sun-2026-07-30-sun).</t>
        </is>
      </c>
      <c r="AF23" s="31" t="inlineStr">
        <is>
          <t>Research-only soccer score model; draw-aware, but not yet locked-holdout qualified.</t>
        </is>
      </c>
      <c r="AG23" s="24" t="inlineStr">
        <is>
          <t>review_required</t>
        </is>
      </c>
      <c r="AH23" s="24" t="n"/>
      <c r="AI23" s="31" t="n"/>
      <c r="AJ23" s="31" t="n"/>
      <c r="AK23" s="24" t="inlineStr">
        <is>
          <t>research_observation</t>
        </is>
      </c>
      <c r="AL23" s="26" t="n">
        <v>3</v>
      </c>
      <c r="AM23" s="24" t="inlineStr">
        <is>
          <t>RESEARCH_OBSERVATION</t>
        </is>
      </c>
      <c r="AN23" s="24" t="inlineStr">
        <is>
          <t>NO_CALL</t>
        </is>
      </c>
      <c r="AO23" s="24" t="inlineStr">
        <is>
          <t>NO_CALL_MODEL_UNVALIDATED</t>
        </is>
      </c>
      <c r="AP23" s="24" t="inlineStr">
        <is>
          <t>Leeds United</t>
        </is>
      </c>
      <c r="AQ23" s="24" t="inlineStr">
        <is>
          <t>Leeds United</t>
        </is>
      </c>
      <c r="AR23" s="24" t="inlineStr">
        <is>
          <t>Leeds United</t>
        </is>
      </c>
      <c r="AS23" s="24" t="inlineStr">
        <is>
          <t>Sunderland</t>
        </is>
      </c>
      <c r="AT23" s="24" t="inlineStr">
        <is>
          <t>Sunderland</t>
        </is>
      </c>
      <c r="AU23" s="24" t="inlineStr">
        <is>
          <t>Sunderland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research</t>
        </is>
      </c>
      <c r="BA23" s="24" t="inlineStr">
        <is>
          <t>34d1568aad0ff11b5db35f118324684f93281e1c21fa7b80be7a4a4e2cb4bb03</t>
        </is>
      </c>
      <c r="BB23" s="24" t="inlineStr">
        <is>
          <t>poisson_dixon_coles</t>
        </is>
      </c>
      <c r="BC23" s="24" t="inlineStr">
        <is>
          <t>soccer-poisson-dc-v1</t>
        </is>
      </c>
      <c r="BD23" s="24" t="inlineStr">
        <is>
          <t>34d1568aad0ff11b5db35f118324684f93281e1c21fa7b80be7a4a4e2cb4bb03</t>
        </is>
      </c>
      <c r="BE23" s="24" t="inlineStr">
        <is>
          <t>soccer-poisson-dc-v1</t>
        </is>
      </c>
      <c r="BF23" s="24" t="inlineStr">
        <is>
          <t>1</t>
        </is>
      </c>
      <c r="BG23" s="24" t="inlineStr">
        <is>
          <t>34d1568aad0ff11b5db35f118324684f93281e1c21fa7b80be7a4a4e2cb4bb03</t>
        </is>
      </c>
      <c r="BH23" s="24" t="inlineStr">
        <is>
          <t>2026-07-30T21:07:23.815408Z</t>
        </is>
      </c>
      <c r="BI23" s="24" t="inlineStr">
        <is>
          <t>["same_event","same_team_same_day","same_league_same_day"]</t>
        </is>
      </c>
      <c r="BJ23" s="25" t="n"/>
      <c r="BK23" s="26" t="n">
        <v>178</v>
      </c>
      <c r="BL23" s="27" t="n">
        <v>2.78</v>
      </c>
      <c r="BM23" s="28" t="n">
        <v>0.359712</v>
      </c>
      <c r="BN23" s="28" t="n"/>
      <c r="BO23" s="28" t="n"/>
      <c r="BP23" s="25" t="n"/>
      <c r="BQ23" s="27" t="n"/>
      <c r="BR23" s="28" t="n"/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</row>
    <row r="24" ht="36" customHeight="1">
      <c r="A24" s="24" t="inlineStr">
        <is>
          <t>c200651130f34160</t>
        </is>
      </c>
      <c r="B24" s="24" t="inlineStr">
        <is>
          <t>2026-07-31T13:42:15.135577Z</t>
        </is>
      </c>
      <c r="C24" s="24" t="inlineStr">
        <is>
          <t>2026-07-31T16:00Z</t>
        </is>
      </c>
      <c r="D24" s="24" t="inlineStr">
        <is>
          <t>401887800</t>
        </is>
      </c>
      <c r="E24" s="24" t="inlineStr">
        <is>
          <t>SOCCER</t>
        </is>
      </c>
      <c r="F24" s="24" t="inlineStr">
        <is>
          <t>Nice</t>
        </is>
      </c>
      <c r="G24" s="24" t="inlineStr">
        <is>
          <t>Juventus</t>
        </is>
      </c>
      <c r="H24" s="24" t="inlineStr">
        <is>
          <t>moneyline</t>
        </is>
      </c>
      <c r="I24" s="24" t="inlineStr">
        <is>
          <t>home</t>
        </is>
      </c>
      <c r="J24" s="25" t="n"/>
      <c r="K24" s="24" t="inlineStr">
        <is>
          <t>polymarket_us</t>
        </is>
      </c>
      <c r="L24" s="26" t="n">
        <v>-178</v>
      </c>
      <c r="M24" s="27" t="n">
        <v>1.561798</v>
      </c>
      <c r="N24" s="28" t="n">
        <v>0.640288</v>
      </c>
      <c r="O24" s="28" t="n">
        <v>0.657201</v>
      </c>
      <c r="P24" s="28" t="n">
        <v>0.04</v>
      </c>
      <c r="Q24" s="28" t="n">
        <v>0.016913</v>
      </c>
      <c r="R24" s="26" t="n">
        <v>34</v>
      </c>
      <c r="S24" s="29" t="n">
        <v>1.75</v>
      </c>
      <c r="T24" s="24" t="inlineStr">
        <is>
          <t>soccer-poisson-dc-v1</t>
        </is>
      </c>
      <c r="U24" s="24" t="inlineStr">
        <is>
          <t>settled</t>
        </is>
      </c>
      <c r="V24" s="24" t="inlineStr">
        <is>
          <t>win</t>
        </is>
      </c>
      <c r="W24" s="26" t="n">
        <v>0</v>
      </c>
      <c r="X24" s="26" t="n">
        <v>2</v>
      </c>
      <c r="Y24" s="25" t="n"/>
      <c r="Z24" s="26" t="n"/>
      <c r="AA24" s="28" t="n"/>
      <c r="AB24" s="28" t="n"/>
      <c r="AC24" s="30" t="n">
        <v>0.9831</v>
      </c>
      <c r="AD24" s="24" t="inlineStr">
        <is>
          <t>2026-07-31T19:51:18.407364Z</t>
        </is>
      </c>
      <c r="AE24" s="31" t="inlineStr">
        <is>
          <t>Poisson-DC rates 1.85 (home) / 0.63 (away) from EWMA attack/defense strengths. Executable ask 0.6400 (atc-clbf-juv-nic-2026-07-31-juv).</t>
        </is>
      </c>
      <c r="AF24" s="31" t="inlineStr">
        <is>
          <t>Research-only soccer score model; draw-aware, but not yet locked-holdout qualified.</t>
        </is>
      </c>
      <c r="AG24" s="24" t="inlineStr">
        <is>
          <t>not_applicable</t>
        </is>
      </c>
      <c r="AH24" s="24" t="n"/>
      <c r="AI24" s="31" t="n"/>
      <c r="AJ24" s="31" t="n"/>
      <c r="AK24" s="24" t="inlineStr">
        <is>
          <t>research_observation</t>
        </is>
      </c>
      <c r="AL24" s="26" t="n">
        <v>3</v>
      </c>
      <c r="AM24" s="24" t="inlineStr">
        <is>
          <t>RESEARCH_OBSERVATION</t>
        </is>
      </c>
      <c r="AN24" s="24" t="inlineStr">
        <is>
          <t>NO_CALL</t>
        </is>
      </c>
      <c r="AO24" s="24" t="inlineStr">
        <is>
          <t>NO_CALL_MODEL_UNVALIDATED</t>
        </is>
      </c>
      <c r="AP24" s="24" t="inlineStr">
        <is>
          <t>Nice</t>
        </is>
      </c>
      <c r="AQ24" s="24" t="inlineStr">
        <is>
          <t>Nice</t>
        </is>
      </c>
      <c r="AR24" s="24" t="inlineStr">
        <is>
          <t>Nice</t>
        </is>
      </c>
      <c r="AS24" s="24" t="inlineStr">
        <is>
          <t>Juventus</t>
        </is>
      </c>
      <c r="AT24" s="24" t="inlineStr">
        <is>
          <t>Juventus</t>
        </is>
      </c>
      <c r="AU24" s="24" t="inlineStr">
        <is>
          <t>Juventus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research</t>
        </is>
      </c>
      <c r="BA24" s="24" t="inlineStr">
        <is>
          <t>34d1568aad0ff11b5db35f118324684f93281e1c21fa7b80be7a4a4e2cb4bb03</t>
        </is>
      </c>
      <c r="BB24" s="24" t="inlineStr">
        <is>
          <t>poisson_dixon_coles</t>
        </is>
      </c>
      <c r="BC24" s="24" t="inlineStr">
        <is>
          <t>soccer-poisson-dc-v1</t>
        </is>
      </c>
      <c r="BD24" s="24" t="inlineStr">
        <is>
          <t>34d1568aad0ff11b5db35f118324684f93281e1c21fa7b80be7a4a4e2cb4bb03</t>
        </is>
      </c>
      <c r="BE24" s="24" t="inlineStr">
        <is>
          <t>soccer-poisson-dc-v1</t>
        </is>
      </c>
      <c r="BF24" s="24" t="inlineStr">
        <is>
          <t>1</t>
        </is>
      </c>
      <c r="BG24" s="24" t="inlineStr">
        <is>
          <t>34d1568aad0ff11b5db35f118324684f93281e1c21fa7b80be7a4a4e2cb4bb03</t>
        </is>
      </c>
      <c r="BH24" s="24" t="inlineStr">
        <is>
          <t>2026-07-31T13:39:47.941159Z</t>
        </is>
      </c>
      <c r="BI24" s="24" t="inlineStr">
        <is>
          <t>["same_event","same_team_same_day","same_league_same_day"]</t>
        </is>
      </c>
      <c r="BJ24" s="25" t="n"/>
      <c r="BK24" s="26" t="n">
        <v>-178</v>
      </c>
      <c r="BL24" s="27" t="n">
        <v>1.561798</v>
      </c>
      <c r="BM24" s="28" t="n">
        <v>0.640288</v>
      </c>
      <c r="BN24" s="28" t="n"/>
      <c r="BO24" s="28" t="n"/>
      <c r="BP24" s="25" t="n"/>
      <c r="BQ24" s="27" t="n"/>
      <c r="BR24" s="28" t="n"/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</row>
    <row r="25" ht="36" customHeight="1">
      <c r="A25" s="24" t="inlineStr">
        <is>
          <t>de331d6e34e540e2</t>
        </is>
      </c>
      <c r="B25" s="24" t="inlineStr">
        <is>
          <t>2026-07-31T16:48:13.817502Z</t>
        </is>
      </c>
      <c r="C25" s="24" t="inlineStr">
        <is>
          <t>2026-07-31T18:45Z</t>
        </is>
      </c>
      <c r="D25" s="24" t="inlineStr">
        <is>
          <t>401886550</t>
        </is>
      </c>
      <c r="E25" s="24" t="inlineStr">
        <is>
          <t>SOCCER</t>
        </is>
      </c>
      <c r="F25" s="24" t="inlineStr">
        <is>
          <t>Barcelona</t>
        </is>
      </c>
      <c r="G25" s="24" t="inlineStr">
        <is>
          <t>Birmingham City</t>
        </is>
      </c>
      <c r="H25" s="24" t="inlineStr">
        <is>
          <t>moneyline</t>
        </is>
      </c>
      <c r="I25" s="24" t="inlineStr">
        <is>
          <t>away</t>
        </is>
      </c>
      <c r="J25" s="25" t="n"/>
      <c r="K25" s="24" t="inlineStr">
        <is>
          <t>polymarket_us</t>
        </is>
      </c>
      <c r="L25" s="26" t="n">
        <v>-186</v>
      </c>
      <c r="M25" s="27" t="n">
        <v>1.537634</v>
      </c>
      <c r="N25" s="28" t="n">
        <v>0.65035</v>
      </c>
      <c r="O25" s="28" t="n">
        <v>0.480022</v>
      </c>
      <c r="P25" s="28" t="n">
        <v>0.04</v>
      </c>
      <c r="Q25" s="28" t="n">
        <v>-0.170328</v>
      </c>
      <c r="R25" s="26" t="n">
        <v>0</v>
      </c>
      <c r="S25" s="29" t="n">
        <v>1</v>
      </c>
      <c r="T25" s="24" t="inlineStr">
        <is>
          <t>soccer-poisson-dc-v1</t>
        </is>
      </c>
      <c r="U25" s="24" t="inlineStr">
        <is>
          <t>settled</t>
        </is>
      </c>
      <c r="V25" s="24" t="inlineStr">
        <is>
          <t>push</t>
        </is>
      </c>
      <c r="W25" s="26" t="n">
        <v>2</v>
      </c>
      <c r="X25" s="26" t="n">
        <v>2</v>
      </c>
      <c r="Y25" s="25" t="n"/>
      <c r="Z25" s="26" t="n"/>
      <c r="AA25" s="28" t="n"/>
      <c r="AB25" s="28" t="n"/>
      <c r="AC25" s="30" t="n">
        <v>0</v>
      </c>
      <c r="AD25" s="24" t="inlineStr">
        <is>
          <t>2026-07-31T21:03:36.213553Z</t>
        </is>
      </c>
      <c r="AE25" s="31" t="inlineStr">
        <is>
          <t>Poisson-DC rates 1.04 (home) / 1.55 (away) from EWMA attack/defense strengths. Executable ask 0.6500 (atc-clbf-bc-bar-2026-07-31-bar).</t>
        </is>
      </c>
      <c r="AF25" s="31" t="inlineStr">
        <is>
          <t>Research-only soccer score model; draw-aware, but not yet locked-holdout qualified.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research_observation</t>
        </is>
      </c>
      <c r="AL25" s="26" t="n">
        <v>3</v>
      </c>
      <c r="AM25" s="24" t="inlineStr">
        <is>
          <t>RESEARCH_OBSERVATION</t>
        </is>
      </c>
      <c r="AN25" s="24" t="inlineStr">
        <is>
          <t>NO_CALL</t>
        </is>
      </c>
      <c r="AO25" s="24" t="inlineStr">
        <is>
          <t>NO_CALL_MODEL_UNVALIDATED</t>
        </is>
      </c>
      <c r="AP25" s="24" t="inlineStr">
        <is>
          <t>Barcelona</t>
        </is>
      </c>
      <c r="AQ25" s="24" t="inlineStr">
        <is>
          <t>Barcelona</t>
        </is>
      </c>
      <c r="AR25" s="24" t="inlineStr">
        <is>
          <t>Barcelona</t>
        </is>
      </c>
      <c r="AS25" s="24" t="inlineStr">
        <is>
          <t>Birmingham City</t>
        </is>
      </c>
      <c r="AT25" s="24" t="inlineStr">
        <is>
          <t>Birmingham City</t>
        </is>
      </c>
      <c r="AU25" s="24" t="inlineStr">
        <is>
          <t>Birmingham City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research</t>
        </is>
      </c>
      <c r="BA25" s="24" t="inlineStr">
        <is>
          <t>34d1568aad0ff11b5db35f118324684f93281e1c21fa7b80be7a4a4e2cb4bb03</t>
        </is>
      </c>
      <c r="BB25" s="24" t="inlineStr">
        <is>
          <t>poisson_dixon_coles</t>
        </is>
      </c>
      <c r="BC25" s="24" t="inlineStr">
        <is>
          <t>soccer-poisson-dc-v1</t>
        </is>
      </c>
      <c r="BD25" s="24" t="inlineStr">
        <is>
          <t>34d1568aad0ff11b5db35f118324684f93281e1c21fa7b80be7a4a4e2cb4bb03</t>
        </is>
      </c>
      <c r="BE25" s="24" t="inlineStr">
        <is>
          <t>soccer-poisson-dc-v1</t>
        </is>
      </c>
      <c r="BF25" s="24" t="inlineStr">
        <is>
          <t>1</t>
        </is>
      </c>
      <c r="BG25" s="24" t="inlineStr">
        <is>
          <t>34d1568aad0ff11b5db35f118324684f93281e1c21fa7b80be7a4a4e2cb4bb03</t>
        </is>
      </c>
      <c r="BH25" s="24" t="inlineStr">
        <is>
          <t>2026-07-31T16:45:56.333365Z</t>
        </is>
      </c>
      <c r="BI25" s="24" t="inlineStr">
        <is>
          <t>["same_event","same_team_same_day","same_league_same_day"]</t>
        </is>
      </c>
      <c r="BJ25" s="25" t="n"/>
      <c r="BK25" s="26" t="n">
        <v>-186</v>
      </c>
      <c r="BL25" s="27" t="n">
        <v>1.537634</v>
      </c>
      <c r="BM25" s="28" t="n">
        <v>0.65035</v>
      </c>
      <c r="BN25" s="28" t="n"/>
      <c r="BO25" s="28" t="n"/>
      <c r="BP25" s="25" t="n"/>
      <c r="BQ25" s="27" t="n"/>
      <c r="BR25" s="28" t="n"/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</row>
    <row r="26" ht="36" customHeight="1">
      <c r="A26" s="24" t="inlineStr">
        <is>
          <t>36b16f24c1db4baa</t>
        </is>
      </c>
      <c r="B26" s="24" t="inlineStr">
        <is>
          <t>2026-07-31T19:55:16.083099Z</t>
        </is>
      </c>
      <c r="C26" s="24" t="inlineStr">
        <is>
          <t>2026-07-31T20:00Z</t>
        </is>
      </c>
      <c r="D26" s="24" t="inlineStr">
        <is>
          <t>401885639</t>
        </is>
      </c>
      <c r="E26" s="24" t="inlineStr">
        <is>
          <t>SOCCER</t>
        </is>
      </c>
      <c r="F26" s="24" t="inlineStr">
        <is>
          <t>Comerciantes Unidos</t>
        </is>
      </c>
      <c r="G26" s="24" t="inlineStr">
        <is>
          <t>Los Chankas</t>
        </is>
      </c>
      <c r="H26" s="24" t="inlineStr">
        <is>
          <t>moneyline</t>
        </is>
      </c>
      <c r="I26" s="24" t="inlineStr">
        <is>
          <t>home</t>
        </is>
      </c>
      <c r="J26" s="25" t="n"/>
      <c r="K26" s="24" t="inlineStr">
        <is>
          <t>polymarket_us</t>
        </is>
      </c>
      <c r="L26" s="26" t="n">
        <v>104</v>
      </c>
      <c r="M26" s="27" t="n">
        <v>2.04</v>
      </c>
      <c r="N26" s="28" t="n">
        <v>0.490196</v>
      </c>
      <c r="O26" s="28" t="n">
        <v>0.461873</v>
      </c>
      <c r="P26" s="28" t="n">
        <v>0.2</v>
      </c>
      <c r="Q26" s="28" t="n">
        <v>-0.028323</v>
      </c>
      <c r="R26" s="26" t="n">
        <v>0</v>
      </c>
      <c r="S26" s="29" t="n">
        <v>1</v>
      </c>
      <c r="T26" s="24" t="inlineStr">
        <is>
          <t>soccer-poisson-dc-v1</t>
        </is>
      </c>
      <c r="U26" s="24" t="inlineStr">
        <is>
          <t>settled</t>
        </is>
      </c>
      <c r="V26" s="24" t="inlineStr">
        <is>
          <t>win</t>
        </is>
      </c>
      <c r="W26" s="26" t="n">
        <v>2</v>
      </c>
      <c r="X26" s="26" t="n">
        <v>3</v>
      </c>
      <c r="Y26" s="25" t="n"/>
      <c r="Z26" s="26" t="n"/>
      <c r="AA26" s="28" t="n"/>
      <c r="AB26" s="28" t="n"/>
      <c r="AC26" s="30" t="n">
        <v>1.04</v>
      </c>
      <c r="AD26" s="24" t="inlineStr">
        <is>
          <t>2026-07-31T23:28:42.654733Z</t>
        </is>
      </c>
      <c r="AE26" s="31" t="inlineStr">
        <is>
          <t>Poisson-DC rates 1.72 (home) / 1.30 (away) from EWMA attack/defense strengths. Executable ask 0.4900 (atc-pl1-cha-cou-2026-07-31-cha).</t>
        </is>
      </c>
      <c r="AF26" s="31" t="inlineStr">
        <is>
          <t>Research-only soccer score model; draw-aware, but not yet locked-holdout qualified.</t>
        </is>
      </c>
      <c r="AG26" s="24" t="inlineStr">
        <is>
          <t>not_applicable</t>
        </is>
      </c>
      <c r="AH26" s="24" t="n"/>
      <c r="AI26" s="31" t="n"/>
      <c r="AJ26" s="31" t="n"/>
      <c r="AK26" s="24" t="inlineStr">
        <is>
          <t>research_observation</t>
        </is>
      </c>
      <c r="AL26" s="26" t="n">
        <v>3</v>
      </c>
      <c r="AM26" s="24" t="inlineStr">
        <is>
          <t>RESEARCH_OBSERVATION</t>
        </is>
      </c>
      <c r="AN26" s="24" t="inlineStr">
        <is>
          <t>NO_CALL</t>
        </is>
      </c>
      <c r="AO26" s="24" t="inlineStr">
        <is>
          <t>NO_CALL_MODEL_UNVALIDATED</t>
        </is>
      </c>
      <c r="AP26" s="24" t="inlineStr">
        <is>
          <t>Comerciantes Unidos</t>
        </is>
      </c>
      <c r="AQ26" s="24" t="inlineStr">
        <is>
          <t>Comerciantes Unidos</t>
        </is>
      </c>
      <c r="AR26" s="24" t="inlineStr">
        <is>
          <t>Comerciantes Unidos</t>
        </is>
      </c>
      <c r="AS26" s="24" t="inlineStr">
        <is>
          <t>Los Chankas</t>
        </is>
      </c>
      <c r="AT26" s="24" t="inlineStr">
        <is>
          <t>Los Chankas</t>
        </is>
      </c>
      <c r="AU26" s="24" t="inlineStr">
        <is>
          <t>Los Chankas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research</t>
        </is>
      </c>
      <c r="BA26" s="24" t="inlineStr">
        <is>
          <t>34d1568aad0ff11b5db35f118324684f93281e1c21fa7b80be7a4a4e2cb4bb03</t>
        </is>
      </c>
      <c r="BB26" s="24" t="inlineStr">
        <is>
          <t>poisson_dixon_coles</t>
        </is>
      </c>
      <c r="BC26" s="24" t="inlineStr">
        <is>
          <t>soccer-poisson-dc-v1</t>
        </is>
      </c>
      <c r="BD26" s="24" t="inlineStr">
        <is>
          <t>34d1568aad0ff11b5db35f118324684f93281e1c21fa7b80be7a4a4e2cb4bb03</t>
        </is>
      </c>
      <c r="BE26" s="24" t="inlineStr">
        <is>
          <t>soccer-poisson-dc-v1</t>
        </is>
      </c>
      <c r="BF26" s="24" t="inlineStr">
        <is>
          <t>1</t>
        </is>
      </c>
      <c r="BG26" s="24" t="inlineStr">
        <is>
          <t>34d1568aad0ff11b5db35f118324684f93281e1c21fa7b80be7a4a4e2cb4bb03</t>
        </is>
      </c>
      <c r="BH26" s="24" t="inlineStr">
        <is>
          <t>2026-07-31T19:53:00.380208Z</t>
        </is>
      </c>
      <c r="BI26" s="24" t="inlineStr">
        <is>
          <t>["same_event","same_team_same_day","same_league_same_day"]</t>
        </is>
      </c>
      <c r="BJ26" s="25" t="n"/>
      <c r="BK26" s="26" t="n">
        <v>104</v>
      </c>
      <c r="BL26" s="27" t="n">
        <v>2.04</v>
      </c>
      <c r="BM26" s="28" t="n">
        <v>0.490196</v>
      </c>
      <c r="BN26" s="28" t="n"/>
      <c r="BO26" s="28" t="n"/>
      <c r="BP26" s="25" t="n"/>
      <c r="BQ26" s="27" t="n"/>
      <c r="BR26" s="28" t="n"/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</row>
    <row r="27" ht="36" customHeight="1">
      <c r="A27" s="24" t="inlineStr">
        <is>
          <t>11de6f56f5344bcf</t>
        </is>
      </c>
      <c r="B27" s="24" t="inlineStr">
        <is>
          <t>2026-07-31T21:07:21.705734Z</t>
        </is>
      </c>
      <c r="C27" s="24" t="inlineStr">
        <is>
          <t>2026-07-31T22:00Z</t>
        </is>
      </c>
      <c r="D27" s="24" t="inlineStr">
        <is>
          <t>401872731</t>
        </is>
      </c>
      <c r="E27" s="24" t="inlineStr">
        <is>
          <t>SOCCER</t>
        </is>
      </c>
      <c r="F27" s="24" t="inlineStr">
        <is>
          <t>Montevideo Wanderers</t>
        </is>
      </c>
      <c r="G27" s="24" t="inlineStr">
        <is>
          <t>Montevideo City Torque</t>
        </is>
      </c>
      <c r="H27" s="24" t="inlineStr">
        <is>
          <t>moneyline</t>
        </is>
      </c>
      <c r="I27" s="24" t="inlineStr">
        <is>
          <t>home</t>
        </is>
      </c>
      <c r="J27" s="25" t="n"/>
      <c r="K27" s="24" t="inlineStr">
        <is>
          <t>polymarket_us</t>
        </is>
      </c>
      <c r="L27" s="26" t="n">
        <v>-122</v>
      </c>
      <c r="M27" s="27" t="n">
        <v>1.819672</v>
      </c>
      <c r="N27" s="28" t="n">
        <v>0.54955</v>
      </c>
      <c r="O27" s="28" t="n">
        <v>0.440521</v>
      </c>
      <c r="P27" s="28" t="n">
        <v>0.2</v>
      </c>
      <c r="Q27" s="28" t="n">
        <v>-0.109029</v>
      </c>
      <c r="R27" s="26" t="n">
        <v>0</v>
      </c>
      <c r="S27" s="29" t="n">
        <v>1</v>
      </c>
      <c r="T27" s="24" t="inlineStr">
        <is>
          <t>soccer-poisson-dc-v1</t>
        </is>
      </c>
      <c r="U27" s="24" t="inlineStr">
        <is>
          <t>settled</t>
        </is>
      </c>
      <c r="V27" s="24" t="inlineStr">
        <is>
          <t>loss</t>
        </is>
      </c>
      <c r="W27" s="26" t="n">
        <v>2</v>
      </c>
      <c r="X27" s="26" t="n">
        <v>0</v>
      </c>
      <c r="Y27" s="25" t="n"/>
      <c r="Z27" s="26" t="n"/>
      <c r="AA27" s="28" t="n"/>
      <c r="AB27" s="28" t="n"/>
      <c r="AC27" s="30" t="n">
        <v>-1</v>
      </c>
      <c r="AD27" s="24" t="inlineStr">
        <is>
          <t>2026-08-01T03:00:15.210003Z</t>
        </is>
      </c>
      <c r="AE27" s="31" t="inlineStr">
        <is>
          <t>Poisson-DC rates 1.46 (home) / 1.10 (away) from EWMA attack/defense strengths. Executable ask 0.5500 (atc-uru1-tor-wan-2026-07-31-tor).</t>
        </is>
      </c>
      <c r="AF27" s="31" t="inlineStr">
        <is>
          <t>Research-only soccer score model; draw-aware, but not yet locked-holdout qualified.</t>
        </is>
      </c>
      <c r="AG27" s="24" t="inlineStr">
        <is>
          <t>review_required</t>
        </is>
      </c>
      <c r="AH27" s="24" t="n"/>
      <c r="AI27" s="31" t="n"/>
      <c r="AJ27" s="31" t="n"/>
      <c r="AK27" s="24" t="inlineStr">
        <is>
          <t>research_observation</t>
        </is>
      </c>
      <c r="AL27" s="26" t="n">
        <v>3</v>
      </c>
      <c r="AM27" s="24" t="inlineStr">
        <is>
          <t>RESEARCH_OBSERVATION</t>
        </is>
      </c>
      <c r="AN27" s="24" t="inlineStr">
        <is>
          <t>NO_CALL</t>
        </is>
      </c>
      <c r="AO27" s="24" t="inlineStr">
        <is>
          <t>NO_CALL_MODEL_UNVALIDATED</t>
        </is>
      </c>
      <c r="AP27" s="24" t="inlineStr">
        <is>
          <t>Montevideo Wanderers</t>
        </is>
      </c>
      <c r="AQ27" s="24" t="inlineStr">
        <is>
          <t>Montevideo Wanderers</t>
        </is>
      </c>
      <c r="AR27" s="24" t="inlineStr">
        <is>
          <t>Montevideo Wanderers</t>
        </is>
      </c>
      <c r="AS27" s="24" t="inlineStr">
        <is>
          <t>Montevideo City Torque</t>
        </is>
      </c>
      <c r="AT27" s="24" t="inlineStr">
        <is>
          <t>Montevideo City Torque</t>
        </is>
      </c>
      <c r="AU27" s="24" t="inlineStr">
        <is>
          <t>Montevideo City Torque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research</t>
        </is>
      </c>
      <c r="BA27" s="24" t="inlineStr">
        <is>
          <t>34d1568aad0ff11b5db35f118324684f93281e1c21fa7b80be7a4a4e2cb4bb03</t>
        </is>
      </c>
      <c r="BB27" s="24" t="inlineStr">
        <is>
          <t>poisson_dixon_coles</t>
        </is>
      </c>
      <c r="BC27" s="24" t="inlineStr">
        <is>
          <t>soccer-poisson-dc-v1</t>
        </is>
      </c>
      <c r="BD27" s="24" t="inlineStr">
        <is>
          <t>34d1568aad0ff11b5db35f118324684f93281e1c21fa7b80be7a4a4e2cb4bb03</t>
        </is>
      </c>
      <c r="BE27" s="24" t="inlineStr">
        <is>
          <t>soccer-poisson-dc-v1</t>
        </is>
      </c>
      <c r="BF27" s="24" t="inlineStr">
        <is>
          <t>1</t>
        </is>
      </c>
      <c r="BG27" s="24" t="inlineStr">
        <is>
          <t>34d1568aad0ff11b5db35f118324684f93281e1c21fa7b80be7a4a4e2cb4bb03</t>
        </is>
      </c>
      <c r="BH27" s="24" t="inlineStr">
        <is>
          <t>2026-07-31T21:05:05.319813Z</t>
        </is>
      </c>
      <c r="BI27" s="24" t="inlineStr">
        <is>
          <t>["same_event","same_team_same_day","same_league_same_day"]</t>
        </is>
      </c>
      <c r="BJ27" s="25" t="n"/>
      <c r="BK27" s="26" t="n">
        <v>-122</v>
      </c>
      <c r="BL27" s="27" t="n">
        <v>1.819672</v>
      </c>
      <c r="BM27" s="28" t="n">
        <v>0.54955</v>
      </c>
      <c r="BN27" s="28" t="n"/>
      <c r="BO27" s="28" t="n"/>
      <c r="BP27" s="25" t="n"/>
      <c r="BQ27" s="27" t="n"/>
      <c r="BR27" s="28" t="n"/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</row>
    <row r="28" ht="36" customHeight="1">
      <c r="A28" s="24" t="inlineStr">
        <is>
          <t>4f0ea301459047d5</t>
        </is>
      </c>
      <c r="B28" s="24" t="inlineStr">
        <is>
          <t>2026-08-01T06:40:10.134766Z</t>
        </is>
      </c>
      <c r="C28" s="24" t="inlineStr">
        <is>
          <t>2026-08-01T10:00Z</t>
        </is>
      </c>
      <c r="D28" s="24" t="inlineStr">
        <is>
          <t>401872737</t>
        </is>
      </c>
      <c r="E28" s="24" t="inlineStr">
        <is>
          <t>SOCCER</t>
        </is>
      </c>
      <c r="F28" s="24" t="inlineStr">
        <is>
          <t>Borussia Dortmund</t>
        </is>
      </c>
      <c r="G28" s="24" t="inlineStr">
        <is>
          <t>FC Tokyo</t>
        </is>
      </c>
      <c r="H28" s="24" t="inlineStr">
        <is>
          <t>moneyline</t>
        </is>
      </c>
      <c r="I28" s="24" t="inlineStr">
        <is>
          <t>away</t>
        </is>
      </c>
      <c r="J28" s="25" t="n"/>
      <c r="K28" s="24" t="inlineStr">
        <is>
          <t>polymarket_us</t>
        </is>
      </c>
      <c r="L28" s="26" t="n">
        <v>-122</v>
      </c>
      <c r="M28" s="27" t="n">
        <v>1.819672</v>
      </c>
      <c r="N28" s="28" t="n">
        <v>0.54955</v>
      </c>
      <c r="O28" s="28" t="n">
        <v>0.45654</v>
      </c>
      <c r="P28" s="28" t="n">
        <v>0.2</v>
      </c>
      <c r="Q28" s="28" t="n">
        <v>-0.09301</v>
      </c>
      <c r="R28" s="26" t="n">
        <v>0</v>
      </c>
      <c r="S28" s="29" t="n">
        <v>1</v>
      </c>
      <c r="T28" s="24" t="inlineStr">
        <is>
          <t>soccer-poisson-dc-v1</t>
        </is>
      </c>
      <c r="U28" s="24" t="inlineStr">
        <is>
          <t>settled</t>
        </is>
      </c>
      <c r="V28" s="24" t="inlineStr">
        <is>
          <t>win</t>
        </is>
      </c>
      <c r="W28" s="26" t="n">
        <v>1</v>
      </c>
      <c r="X28" s="26" t="n">
        <v>0</v>
      </c>
      <c r="Y28" s="25" t="n"/>
      <c r="Z28" s="26" t="n"/>
      <c r="AA28" s="28" t="n"/>
      <c r="AB28" s="28" t="n"/>
      <c r="AC28" s="30" t="n">
        <v>0.8197</v>
      </c>
      <c r="AD28" s="24" t="inlineStr">
        <is>
          <t>2026-08-01T13:41:19.925310Z</t>
        </is>
      </c>
      <c r="AE28" s="31" t="inlineStr">
        <is>
          <t>Poisson-DC rates 1.38 (home) / 1.77 (away) from EWMA attack/defense strengths. Executable ask 0.5500 (atc-clbf-tok-bvb-2026-08-01-bvb).</t>
        </is>
      </c>
      <c r="AF28" s="31" t="inlineStr">
        <is>
          <t>Research-only soccer score model; draw-aware, but not yet locked-holdout qualified.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research_observation</t>
        </is>
      </c>
      <c r="AL28" s="26" t="n">
        <v>3</v>
      </c>
      <c r="AM28" s="24" t="inlineStr">
        <is>
          <t>RESEARCH_OBSERVATION</t>
        </is>
      </c>
      <c r="AN28" s="24" t="inlineStr">
        <is>
          <t>NO_CALL</t>
        </is>
      </c>
      <c r="AO28" s="24" t="inlineStr">
        <is>
          <t>NO_CALL_MODEL_UNVALIDATED</t>
        </is>
      </c>
      <c r="AP28" s="24" t="inlineStr">
        <is>
          <t>Borussia Dortmund</t>
        </is>
      </c>
      <c r="AQ28" s="24" t="inlineStr">
        <is>
          <t>Borussia Dortmund</t>
        </is>
      </c>
      <c r="AR28" s="24" t="inlineStr">
        <is>
          <t>Borussia Dortmund</t>
        </is>
      </c>
      <c r="AS28" s="24" t="inlineStr">
        <is>
          <t>FC Tokyo</t>
        </is>
      </c>
      <c r="AT28" s="24" t="inlineStr">
        <is>
          <t>FC Tokyo</t>
        </is>
      </c>
      <c r="AU28" s="24" t="inlineStr">
        <is>
          <t>FC Tokyo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research</t>
        </is>
      </c>
      <c r="BA28" s="24" t="inlineStr">
        <is>
          <t>34d1568aad0ff11b5db35f118324684f93281e1c21fa7b80be7a4a4e2cb4bb03</t>
        </is>
      </c>
      <c r="BB28" s="24" t="inlineStr">
        <is>
          <t>poisson_dixon_coles</t>
        </is>
      </c>
      <c r="BC28" s="24" t="inlineStr">
        <is>
          <t>soccer-poisson-dc-v1</t>
        </is>
      </c>
      <c r="BD28" s="24" t="inlineStr">
        <is>
          <t>34d1568aad0ff11b5db35f118324684f93281e1c21fa7b80be7a4a4e2cb4bb03</t>
        </is>
      </c>
      <c r="BE28" s="24" t="inlineStr">
        <is>
          <t>soccer-poisson-dc-v1</t>
        </is>
      </c>
      <c r="BF28" s="24" t="inlineStr">
        <is>
          <t>1</t>
        </is>
      </c>
      <c r="BG28" s="24" t="inlineStr">
        <is>
          <t>34d1568aad0ff11b5db35f118324684f93281e1c21fa7b80be7a4a4e2cb4bb03</t>
        </is>
      </c>
      <c r="BH28" s="24" t="inlineStr">
        <is>
          <t>2026-08-01T06:36:26.090957Z</t>
        </is>
      </c>
      <c r="BI28" s="24" t="inlineStr">
        <is>
          <t>["same_event","same_team_same_day","same_league_same_day"]</t>
        </is>
      </c>
      <c r="BJ28" s="25" t="n"/>
      <c r="BK28" s="26" t="n">
        <v>-122</v>
      </c>
      <c r="BL28" s="27" t="n">
        <v>1.819672</v>
      </c>
      <c r="BM28" s="28" t="n">
        <v>0.54955</v>
      </c>
      <c r="BN28" s="28" t="n"/>
      <c r="BO28" s="28" t="n"/>
      <c r="BP28" s="25" t="n"/>
      <c r="BQ28" s="27" t="n"/>
      <c r="BR28" s="28" t="n"/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</row>
    <row r="29" ht="36" customHeight="1">
      <c r="A29" s="24" t="inlineStr">
        <is>
          <t>c87494a621b142c6</t>
        </is>
      </c>
      <c r="B29" s="24" t="inlineStr">
        <is>
          <t>2026-08-01T13:44:56.720128Z</t>
        </is>
      </c>
      <c r="C29" s="24" t="inlineStr">
        <is>
          <t>2026-08-01T15:00Z</t>
        </is>
      </c>
      <c r="D29" s="24" t="inlineStr">
        <is>
          <t>401872727</t>
        </is>
      </c>
      <c r="E29" s="24" t="inlineStr">
        <is>
          <t>SOCCER</t>
        </is>
      </c>
      <c r="F29" s="24" t="inlineStr">
        <is>
          <t>Danubio</t>
        </is>
      </c>
      <c r="G29" s="24" t="inlineStr">
        <is>
          <t>Albion FC</t>
        </is>
      </c>
      <c r="H29" s="24" t="inlineStr">
        <is>
          <t>moneyline</t>
        </is>
      </c>
      <c r="I29" s="24" t="inlineStr">
        <is>
          <t>home</t>
        </is>
      </c>
      <c r="J29" s="25" t="n"/>
      <c r="K29" s="24" t="inlineStr">
        <is>
          <t>polymarket_us</t>
        </is>
      </c>
      <c r="L29" s="26" t="n">
        <v>122</v>
      </c>
      <c r="M29" s="27" t="n">
        <v>2.22</v>
      </c>
      <c r="N29" s="28" t="n">
        <v>0.45045</v>
      </c>
      <c r="O29" s="28" t="n">
        <v>0.456135</v>
      </c>
      <c r="P29" s="28" t="n">
        <v>0.2</v>
      </c>
      <c r="Q29" s="28" t="n">
        <v>0.005685</v>
      </c>
      <c r="R29" s="26" t="n">
        <v>0</v>
      </c>
      <c r="S29" s="29" t="n">
        <v>1</v>
      </c>
      <c r="T29" s="24" t="inlineStr">
        <is>
          <t>soccer-poisson-dc-v1</t>
        </is>
      </c>
      <c r="U29" s="24" t="inlineStr">
        <is>
          <t>settled</t>
        </is>
      </c>
      <c r="V29" s="24" t="inlineStr">
        <is>
          <t>push</t>
        </is>
      </c>
      <c r="W29" s="26" t="n">
        <v>2</v>
      </c>
      <c r="X29" s="26" t="n">
        <v>2</v>
      </c>
      <c r="Y29" s="25" t="n"/>
      <c r="Z29" s="26" t="n"/>
      <c r="AA29" s="28" t="n"/>
      <c r="AB29" s="28" t="n"/>
      <c r="AC29" s="30" t="n">
        <v>0</v>
      </c>
      <c r="AD29" s="24" t="inlineStr">
        <is>
          <t>2026-08-01T18:35:32.929288Z</t>
        </is>
      </c>
      <c r="AE29" s="31" t="inlineStr">
        <is>
          <t>Poisson-DC rates 1.64 (home) / 1.24 (away) from EWMA attack/defense strengths. Executable ask 0.4500 (atc-uru1-alb-dan-2026-08-01-alb).</t>
        </is>
      </c>
      <c r="AF29" s="31" t="inlineStr">
        <is>
          <t>Research-only soccer score model; draw-aware, but not yet locked-holdout qualified.</t>
        </is>
      </c>
      <c r="AG29" s="24" t="inlineStr">
        <is>
          <t>not_applicable</t>
        </is>
      </c>
      <c r="AH29" s="24" t="n"/>
      <c r="AI29" s="31" t="n"/>
      <c r="AJ29" s="31" t="n"/>
      <c r="AK29" s="24" t="inlineStr">
        <is>
          <t>research_observation</t>
        </is>
      </c>
      <c r="AL29" s="26" t="n">
        <v>3</v>
      </c>
      <c r="AM29" s="24" t="inlineStr">
        <is>
          <t>RESEARCH_OBSERVATION</t>
        </is>
      </c>
      <c r="AN29" s="24" t="inlineStr">
        <is>
          <t>NO_CALL</t>
        </is>
      </c>
      <c r="AO29" s="24" t="inlineStr">
        <is>
          <t>NO_CALL_MODEL_UNVALIDATED</t>
        </is>
      </c>
      <c r="AP29" s="24" t="inlineStr">
        <is>
          <t>Danubio</t>
        </is>
      </c>
      <c r="AQ29" s="24" t="inlineStr">
        <is>
          <t>Danubio</t>
        </is>
      </c>
      <c r="AR29" s="24" t="inlineStr">
        <is>
          <t>Danubio</t>
        </is>
      </c>
      <c r="AS29" s="24" t="inlineStr">
        <is>
          <t>Albion FC</t>
        </is>
      </c>
      <c r="AT29" s="24" t="inlineStr">
        <is>
          <t>Albion FC</t>
        </is>
      </c>
      <c r="AU29" s="24" t="inlineStr">
        <is>
          <t>Albion FC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research</t>
        </is>
      </c>
      <c r="BA29" s="24" t="inlineStr">
        <is>
          <t>34d1568aad0ff11b5db35f118324684f93281e1c21fa7b80be7a4a4e2cb4bb03</t>
        </is>
      </c>
      <c r="BB29" s="24" t="inlineStr">
        <is>
          <t>poisson_dixon_coles</t>
        </is>
      </c>
      <c r="BC29" s="24" t="inlineStr">
        <is>
          <t>soccer-poisson-dc-v1</t>
        </is>
      </c>
      <c r="BD29" s="24" t="inlineStr">
        <is>
          <t>34d1568aad0ff11b5db35f118324684f93281e1c21fa7b80be7a4a4e2cb4bb03</t>
        </is>
      </c>
      <c r="BE29" s="24" t="inlineStr">
        <is>
          <t>soccer-poisson-dc-v1</t>
        </is>
      </c>
      <c r="BF29" s="24" t="inlineStr">
        <is>
          <t>1</t>
        </is>
      </c>
      <c r="BG29" s="24" t="inlineStr">
        <is>
          <t>34d1568aad0ff11b5db35f118324684f93281e1c21fa7b80be7a4a4e2cb4bb03</t>
        </is>
      </c>
      <c r="BH29" s="24" t="inlineStr">
        <is>
          <t>2026-08-01T13:42:37.826503Z</t>
        </is>
      </c>
      <c r="BI29" s="24" t="inlineStr">
        <is>
          <t>["same_event","same_team_same_day","same_league_same_day"]</t>
        </is>
      </c>
      <c r="BJ29" s="25" t="n"/>
      <c r="BK29" s="26" t="n">
        <v>122</v>
      </c>
      <c r="BL29" s="27" t="n">
        <v>2.22</v>
      </c>
      <c r="BM29" s="28" t="n">
        <v>0.45045</v>
      </c>
      <c r="BN29" s="28" t="n"/>
      <c r="BO29" s="28" t="n"/>
      <c r="BP29" s="25" t="n"/>
      <c r="BQ29" s="27" t="n"/>
      <c r="BR29" s="28" t="n"/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</row>
    <row r="30" ht="36" customHeight="1">
      <c r="A30" s="24" t="inlineStr">
        <is>
          <t>8a0779918c9d4a86</t>
        </is>
      </c>
      <c r="B30" s="24" t="inlineStr">
        <is>
          <t>2026-08-01T13:44:56.720128Z</t>
        </is>
      </c>
      <c r="C30" s="24" t="inlineStr">
        <is>
          <t>2026-08-01T16:00Z</t>
        </is>
      </c>
      <c r="D30" s="24" t="inlineStr">
        <is>
          <t>401888842</t>
        </is>
      </c>
      <c r="E30" s="24" t="inlineStr">
        <is>
          <t>SOCCER</t>
        </is>
      </c>
      <c r="F30" s="24" t="inlineStr">
        <is>
          <t>Fiorentina</t>
        </is>
      </c>
      <c r="G30" s="24" t="inlineStr">
        <is>
          <t>Real Madrid</t>
        </is>
      </c>
      <c r="H30" s="24" t="inlineStr">
        <is>
          <t>moneyline</t>
        </is>
      </c>
      <c r="I30" s="24" t="inlineStr">
        <is>
          <t>home</t>
        </is>
      </c>
      <c r="J30" s="25" t="n"/>
      <c r="K30" s="24" t="inlineStr">
        <is>
          <t>polymarket_us</t>
        </is>
      </c>
      <c r="L30" s="26" t="n">
        <v>-117</v>
      </c>
      <c r="M30" s="27" t="n">
        <v>1.854701</v>
      </c>
      <c r="N30" s="28" t="n">
        <v>0.539171</v>
      </c>
      <c r="O30" s="28" t="n">
        <v>0.592521</v>
      </c>
      <c r="P30" s="28" t="n">
        <v>0.04</v>
      </c>
      <c r="Q30" s="28" t="n">
        <v>0.05335</v>
      </c>
      <c r="R30" s="26" t="n">
        <v>53</v>
      </c>
      <c r="S30" s="29" t="n">
        <v>1.25</v>
      </c>
      <c r="T30" s="24" t="inlineStr">
        <is>
          <t>soccer-poisson-dc-v1</t>
        </is>
      </c>
      <c r="U30" s="24" t="inlineStr">
        <is>
          <t>settled</t>
        </is>
      </c>
      <c r="V30" s="24" t="inlineStr">
        <is>
          <t>push</t>
        </is>
      </c>
      <c r="W30" s="26" t="n">
        <v>2</v>
      </c>
      <c r="X30" s="26" t="n">
        <v>2</v>
      </c>
      <c r="Y30" s="25" t="n"/>
      <c r="Z30" s="26" t="n"/>
      <c r="AA30" s="28" t="n"/>
      <c r="AB30" s="28" t="n"/>
      <c r="AC30" s="30" t="n">
        <v>0</v>
      </c>
      <c r="AD30" s="24" t="inlineStr">
        <is>
          <t>2026-08-01T18:35:34.883257Z</t>
        </is>
      </c>
      <c r="AE30" s="31" t="inlineStr">
        <is>
          <t>Poisson-DC rates 1.76 (home) / 0.80 (away) from EWMA attack/defense strengths. Executable ask 0.5400 (atc-clbf-rme-fio-2026-08-01-rme).</t>
        </is>
      </c>
      <c r="AF30" s="31" t="inlineStr">
        <is>
          <t>Research-only soccer score model; draw-aware, but not yet locked-holdout qualified.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research_observation</t>
        </is>
      </c>
      <c r="AL30" s="26" t="n">
        <v>3</v>
      </c>
      <c r="AM30" s="24" t="inlineStr">
        <is>
          <t>RESEARCH_OBSERVATION</t>
        </is>
      </c>
      <c r="AN30" s="24" t="inlineStr">
        <is>
          <t>NO_CALL</t>
        </is>
      </c>
      <c r="AO30" s="24" t="inlineStr">
        <is>
          <t>NO_CALL_MODEL_UNVALIDATED</t>
        </is>
      </c>
      <c r="AP30" s="24" t="inlineStr">
        <is>
          <t>Fiorentina</t>
        </is>
      </c>
      <c r="AQ30" s="24" t="inlineStr">
        <is>
          <t>Fiorentina</t>
        </is>
      </c>
      <c r="AR30" s="24" t="inlineStr">
        <is>
          <t>Fiorentina</t>
        </is>
      </c>
      <c r="AS30" s="24" t="inlineStr">
        <is>
          <t>Real Madrid</t>
        </is>
      </c>
      <c r="AT30" s="24" t="inlineStr">
        <is>
          <t>Real Madrid</t>
        </is>
      </c>
      <c r="AU30" s="24" t="inlineStr">
        <is>
          <t>Real Madrid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research</t>
        </is>
      </c>
      <c r="BA30" s="24" t="inlineStr">
        <is>
          <t>34d1568aad0ff11b5db35f118324684f93281e1c21fa7b80be7a4a4e2cb4bb03</t>
        </is>
      </c>
      <c r="BB30" s="24" t="inlineStr">
        <is>
          <t>poisson_dixon_coles</t>
        </is>
      </c>
      <c r="BC30" s="24" t="inlineStr">
        <is>
          <t>soccer-poisson-dc-v1</t>
        </is>
      </c>
      <c r="BD30" s="24" t="inlineStr">
        <is>
          <t>34d1568aad0ff11b5db35f118324684f93281e1c21fa7b80be7a4a4e2cb4bb03</t>
        </is>
      </c>
      <c r="BE30" s="24" t="inlineStr">
        <is>
          <t>soccer-poisson-dc-v1</t>
        </is>
      </c>
      <c r="BF30" s="24" t="inlineStr">
        <is>
          <t>1</t>
        </is>
      </c>
      <c r="BG30" s="24" t="inlineStr">
        <is>
          <t>34d1568aad0ff11b5db35f118324684f93281e1c21fa7b80be7a4a4e2cb4bb03</t>
        </is>
      </c>
      <c r="BH30" s="24" t="inlineStr">
        <is>
          <t>2026-08-01T13:42:44.313687Z</t>
        </is>
      </c>
      <c r="BI30" s="24" t="inlineStr">
        <is>
          <t>["same_event","same_team_same_day","same_league_same_day"]</t>
        </is>
      </c>
      <c r="BJ30" s="25" t="n"/>
      <c r="BK30" s="26" t="n">
        <v>-117</v>
      </c>
      <c r="BL30" s="27" t="n">
        <v>1.854701</v>
      </c>
      <c r="BM30" s="28" t="n">
        <v>0.539171</v>
      </c>
      <c r="BN30" s="28" t="n"/>
      <c r="BO30" s="28" t="n"/>
      <c r="BP30" s="25" t="n"/>
      <c r="BQ30" s="27" t="n"/>
      <c r="BR30" s="28" t="n"/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</row>
    <row r="31" ht="36" customHeight="1">
      <c r="A31" s="24" t="inlineStr">
        <is>
          <t>f8ad772a47164d5f</t>
        </is>
      </c>
      <c r="B31" s="24" t="inlineStr">
        <is>
          <t>2026-08-01T16:52:27.367453Z</t>
        </is>
      </c>
      <c r="C31" s="24" t="inlineStr">
        <is>
          <t>2026-08-01T18:00Z</t>
        </is>
      </c>
      <c r="D31" s="24" t="inlineStr">
        <is>
          <t>401844028</t>
        </is>
      </c>
      <c r="E31" s="24" t="inlineStr">
        <is>
          <t>SOCCER</t>
        </is>
      </c>
      <c r="F31" s="24" t="inlineStr">
        <is>
          <t>Midland</t>
        </is>
      </c>
      <c r="G31" s="24" t="inlineStr">
        <is>
          <t>Almagro</t>
        </is>
      </c>
      <c r="H31" s="24" t="inlineStr">
        <is>
          <t>moneyline</t>
        </is>
      </c>
      <c r="I31" s="24" t="inlineStr">
        <is>
          <t>home</t>
        </is>
      </c>
      <c r="J31" s="25" t="n"/>
      <c r="K31" s="24" t="inlineStr">
        <is>
          <t>polymarket_us</t>
        </is>
      </c>
      <c r="L31" s="26" t="n">
        <v>233</v>
      </c>
      <c r="M31" s="27" t="n">
        <v>3.33</v>
      </c>
      <c r="N31" s="28" t="n">
        <v>0.3003</v>
      </c>
      <c r="O31" s="28" t="n">
        <v>0.456135</v>
      </c>
      <c r="P31" s="28" t="n">
        <v>0.2</v>
      </c>
      <c r="Q31" s="28" t="n">
        <v>0.155835</v>
      </c>
      <c r="R31" s="26" t="n">
        <v>8</v>
      </c>
      <c r="S31" s="29" t="n">
        <v>1</v>
      </c>
      <c r="T31" s="24" t="inlineStr">
        <is>
          <t>soccer-poisson-dc-v1</t>
        </is>
      </c>
      <c r="U31" s="24" t="inlineStr">
        <is>
          <t>settled</t>
        </is>
      </c>
      <c r="V31" s="24" t="inlineStr">
        <is>
          <t>push</t>
        </is>
      </c>
      <c r="W31" s="26" t="n">
        <v>1</v>
      </c>
      <c r="X31" s="26" t="n">
        <v>1</v>
      </c>
      <c r="Y31" s="25" t="n"/>
      <c r="Z31" s="26" t="n"/>
      <c r="AA31" s="28" t="n"/>
      <c r="AB31" s="28" t="n"/>
      <c r="AC31" s="30" t="n">
        <v>0</v>
      </c>
      <c r="AD31" s="24" t="inlineStr">
        <is>
          <t>2026-08-01T20:34:14.764038Z</t>
        </is>
      </c>
      <c r="AE31" s="31" t="inlineStr">
        <is>
          <t>Poisson-DC rates 1.64 (home) / 1.24 (away) from EWMA attack/defense strengths. Executable ask 0.3000 (atc-arg2-alm-afm-2026-08-02-alm).</t>
        </is>
      </c>
      <c r="AF31" s="31" t="inlineStr">
        <is>
          <t>Research-only soccer score model; draw-aware, but not yet locked-holdout qualified.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research_observation</t>
        </is>
      </c>
      <c r="AL31" s="26" t="n">
        <v>3</v>
      </c>
      <c r="AM31" s="24" t="inlineStr">
        <is>
          <t>RESEARCH_OBSERVATION</t>
        </is>
      </c>
      <c r="AN31" s="24" t="inlineStr">
        <is>
          <t>NO_CALL</t>
        </is>
      </c>
      <c r="AO31" s="24" t="inlineStr">
        <is>
          <t>NO_CALL_MODEL_UNVALIDATED</t>
        </is>
      </c>
      <c r="AP31" s="24" t="inlineStr">
        <is>
          <t>Midland</t>
        </is>
      </c>
      <c r="AQ31" s="24" t="inlineStr">
        <is>
          <t>Midland</t>
        </is>
      </c>
      <c r="AR31" s="24" t="inlineStr">
        <is>
          <t>Midland</t>
        </is>
      </c>
      <c r="AS31" s="24" t="inlineStr">
        <is>
          <t>Almagro</t>
        </is>
      </c>
      <c r="AT31" s="24" t="inlineStr">
        <is>
          <t>Almagro</t>
        </is>
      </c>
      <c r="AU31" s="24" t="inlineStr">
        <is>
          <t>Almagro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research</t>
        </is>
      </c>
      <c r="BA31" s="24" t="inlineStr">
        <is>
          <t>34d1568aad0ff11b5db35f118324684f93281e1c21fa7b80be7a4a4e2cb4bb03</t>
        </is>
      </c>
      <c r="BB31" s="24" t="inlineStr">
        <is>
          <t>poisson_dixon_coles</t>
        </is>
      </c>
      <c r="BC31" s="24" t="inlineStr">
        <is>
          <t>soccer-poisson-dc-v1</t>
        </is>
      </c>
      <c r="BD31" s="24" t="inlineStr">
        <is>
          <t>34d1568aad0ff11b5db35f118324684f93281e1c21fa7b80be7a4a4e2cb4bb03</t>
        </is>
      </c>
      <c r="BE31" s="24" t="inlineStr">
        <is>
          <t>soccer-poisson-dc-v1</t>
        </is>
      </c>
      <c r="BF31" s="24" t="inlineStr">
        <is>
          <t>1</t>
        </is>
      </c>
      <c r="BG31" s="24" t="inlineStr">
        <is>
          <t>34d1568aad0ff11b5db35f118324684f93281e1c21fa7b80be7a4a4e2cb4bb03</t>
        </is>
      </c>
      <c r="BH31" s="24" t="inlineStr">
        <is>
          <t>2026-08-01T16:49:30.902860Z</t>
        </is>
      </c>
      <c r="BI31" s="24" t="inlineStr">
        <is>
          <t>["same_event","same_team_same_day","same_league_same_day"]</t>
        </is>
      </c>
      <c r="BJ31" s="25" t="n"/>
      <c r="BK31" s="26" t="n">
        <v>233</v>
      </c>
      <c r="BL31" s="27" t="n">
        <v>3.33</v>
      </c>
      <c r="BM31" s="28" t="n">
        <v>0.3003</v>
      </c>
      <c r="BN31" s="28" t="n"/>
      <c r="BO31" s="28" t="n"/>
      <c r="BP31" s="25" t="n"/>
      <c r="BQ31" s="27" t="n"/>
      <c r="BR31" s="28" t="n"/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</row>
    <row r="32" ht="36" customHeight="1">
      <c r="A32" s="24" t="inlineStr">
        <is>
          <t>02eb8e6babd749a2</t>
        </is>
      </c>
      <c r="B32" s="24" t="inlineStr">
        <is>
          <t>2026-08-01T16:52:27.367453Z</t>
        </is>
      </c>
      <c r="C32" s="24" t="inlineStr">
        <is>
          <t>2026-08-01T18:00Z</t>
        </is>
      </c>
      <c r="D32" s="24" t="inlineStr">
        <is>
          <t>401844018</t>
        </is>
      </c>
      <c r="E32" s="24" t="inlineStr">
        <is>
          <t>SOCCER</t>
        </is>
      </c>
      <c r="F32" s="24" t="inlineStr">
        <is>
          <t>Gimnasia y Esgrima (Jujuy)</t>
        </is>
      </c>
      <c r="G32" s="24" t="inlineStr">
        <is>
          <t>Colegiales</t>
        </is>
      </c>
      <c r="H32" s="24" t="inlineStr">
        <is>
          <t>moneyline</t>
        </is>
      </c>
      <c r="I32" s="24" t="inlineStr">
        <is>
          <t>home</t>
        </is>
      </c>
      <c r="J32" s="25" t="n"/>
      <c r="K32" s="24" t="inlineStr">
        <is>
          <t>polymarket_us</t>
        </is>
      </c>
      <c r="L32" s="26" t="n">
        <v>133</v>
      </c>
      <c r="M32" s="27" t="n">
        <v>2.33</v>
      </c>
      <c r="N32" s="28" t="n">
        <v>0.429185</v>
      </c>
      <c r="O32" s="28" t="n">
        <v>0.456135</v>
      </c>
      <c r="P32" s="28" t="n">
        <v>0.2</v>
      </c>
      <c r="Q32" s="28" t="n">
        <v>0.02695</v>
      </c>
      <c r="R32" s="26" t="n">
        <v>0</v>
      </c>
      <c r="S32" s="29" t="n">
        <v>1</v>
      </c>
      <c r="T32" s="24" t="inlineStr">
        <is>
          <t>soccer-poisson-dc-v1</t>
        </is>
      </c>
      <c r="U32" s="24" t="inlineStr">
        <is>
          <t>settled</t>
        </is>
      </c>
      <c r="V32" s="24" t="inlineStr">
        <is>
          <t>win</t>
        </is>
      </c>
      <c r="W32" s="26" t="n">
        <v>1</v>
      </c>
      <c r="X32" s="26" t="n">
        <v>2</v>
      </c>
      <c r="Y32" s="25" t="n"/>
      <c r="Z32" s="26" t="n"/>
      <c r="AA32" s="28" t="n"/>
      <c r="AB32" s="28" t="n"/>
      <c r="AC32" s="30" t="n">
        <v>1.33</v>
      </c>
      <c r="AD32" s="24" t="inlineStr">
        <is>
          <t>2026-08-01T20:13:19.135597Z</t>
        </is>
      </c>
      <c r="AE32" s="31" t="inlineStr">
        <is>
          <t>Poisson-DC rates 1.64 (home) / 1.24 (away) from EWMA attack/defense strengths. Executable ask 0.4300 (atc-arg2-cac-ge-2026-08-01-cac).</t>
        </is>
      </c>
      <c r="AF32" s="31" t="inlineStr">
        <is>
          <t>Research-only soccer score model; draw-aware, but not yet locked-holdout qualified.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research_observation</t>
        </is>
      </c>
      <c r="AL32" s="26" t="n">
        <v>3</v>
      </c>
      <c r="AM32" s="24" t="inlineStr">
        <is>
          <t>RESEARCH_OBSERVATION</t>
        </is>
      </c>
      <c r="AN32" s="24" t="inlineStr">
        <is>
          <t>NO_CALL</t>
        </is>
      </c>
      <c r="AO32" s="24" t="inlineStr">
        <is>
          <t>NO_CALL_MODEL_UNVALIDATED</t>
        </is>
      </c>
      <c r="AP32" s="24" t="inlineStr">
        <is>
          <t>Gimnasia y Esgrima (Jujuy)</t>
        </is>
      </c>
      <c r="AQ32" s="24" t="inlineStr">
        <is>
          <t>Gimnasia y Esgrima (Jujuy)</t>
        </is>
      </c>
      <c r="AR32" s="24" t="inlineStr">
        <is>
          <t>Gimnasia y Esgrima (Jujuy)</t>
        </is>
      </c>
      <c r="AS32" s="24" t="inlineStr">
        <is>
          <t>Colegiales</t>
        </is>
      </c>
      <c r="AT32" s="24" t="inlineStr">
        <is>
          <t>Colegiales</t>
        </is>
      </c>
      <c r="AU32" s="24" t="inlineStr">
        <is>
          <t>Colegiales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research</t>
        </is>
      </c>
      <c r="BA32" s="24" t="inlineStr">
        <is>
          <t>34d1568aad0ff11b5db35f118324684f93281e1c21fa7b80be7a4a4e2cb4bb03</t>
        </is>
      </c>
      <c r="BB32" s="24" t="inlineStr">
        <is>
          <t>poisson_dixon_coles</t>
        </is>
      </c>
      <c r="BC32" s="24" t="inlineStr">
        <is>
          <t>soccer-poisson-dc-v1</t>
        </is>
      </c>
      <c r="BD32" s="24" t="inlineStr">
        <is>
          <t>34d1568aad0ff11b5db35f118324684f93281e1c21fa7b80be7a4a4e2cb4bb03</t>
        </is>
      </c>
      <c r="BE32" s="24" t="inlineStr">
        <is>
          <t>soccer-poisson-dc-v1</t>
        </is>
      </c>
      <c r="BF32" s="24" t="inlineStr">
        <is>
          <t>1</t>
        </is>
      </c>
      <c r="BG32" s="24" t="inlineStr">
        <is>
          <t>34d1568aad0ff11b5db35f118324684f93281e1c21fa7b80be7a4a4e2cb4bb03</t>
        </is>
      </c>
      <c r="BH32" s="24" t="inlineStr">
        <is>
          <t>2026-08-01T16:49:30.893071Z</t>
        </is>
      </c>
      <c r="BI32" s="24" t="inlineStr">
        <is>
          <t>["same_event","same_team_same_day","same_league_same_day"]</t>
        </is>
      </c>
      <c r="BJ32" s="25" t="n"/>
      <c r="BK32" s="26" t="n">
        <v>133</v>
      </c>
      <c r="BL32" s="27" t="n">
        <v>2.33</v>
      </c>
      <c r="BM32" s="28" t="n">
        <v>0.429185</v>
      </c>
      <c r="BN32" s="28" t="n"/>
      <c r="BO32" s="28" t="n"/>
      <c r="BP32" s="25" t="n"/>
      <c r="BQ32" s="27" t="n"/>
      <c r="BR32" s="28" t="n"/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</row>
    <row r="33" ht="36" customHeight="1">
      <c r="A33" s="24" t="inlineStr">
        <is>
          <t>4b09a9d9374d46a7</t>
        </is>
      </c>
      <c r="B33" s="24" t="inlineStr">
        <is>
          <t>2026-08-01T16:52:27.367453Z</t>
        </is>
      </c>
      <c r="C33" s="24" t="inlineStr">
        <is>
          <t>2026-08-01T18:30Z</t>
        </is>
      </c>
      <c r="D33" s="24" t="inlineStr">
        <is>
          <t>401844021</t>
        </is>
      </c>
      <c r="E33" s="24" t="inlineStr">
        <is>
          <t>SOCCER</t>
        </is>
      </c>
      <c r="F33" s="24" t="inlineStr">
        <is>
          <t>Quilmes</t>
        </is>
      </c>
      <c r="G33" s="24" t="inlineStr">
        <is>
          <t>Patronato</t>
        </is>
      </c>
      <c r="H33" s="24" t="inlineStr">
        <is>
          <t>moneyline</t>
        </is>
      </c>
      <c r="I33" s="24" t="inlineStr">
        <is>
          <t>home</t>
        </is>
      </c>
      <c r="J33" s="25" t="n"/>
      <c r="K33" s="24" t="inlineStr">
        <is>
          <t>polymarket_us</t>
        </is>
      </c>
      <c r="L33" s="26" t="n">
        <v>144</v>
      </c>
      <c r="M33" s="27" t="n">
        <v>2.44</v>
      </c>
      <c r="N33" s="28" t="n">
        <v>0.409836</v>
      </c>
      <c r="O33" s="28" t="n">
        <v>0.440521</v>
      </c>
      <c r="P33" s="28" t="n">
        <v>0.2</v>
      </c>
      <c r="Q33" s="28" t="n">
        <v>0.030685</v>
      </c>
      <c r="R33" s="26" t="n">
        <v>0</v>
      </c>
      <c r="S33" s="29" t="n">
        <v>1</v>
      </c>
      <c r="T33" s="24" t="inlineStr">
        <is>
          <t>soccer-poisson-dc-v1</t>
        </is>
      </c>
      <c r="U33" s="24" t="inlineStr">
        <is>
          <t>settled</t>
        </is>
      </c>
      <c r="V33" s="24" t="inlineStr">
        <is>
          <t>push</t>
        </is>
      </c>
      <c r="W33" s="26" t="n">
        <v>3</v>
      </c>
      <c r="X33" s="26" t="n">
        <v>3</v>
      </c>
      <c r="Y33" s="25" t="n"/>
      <c r="Z33" s="26" t="n"/>
      <c r="AA33" s="28" t="n"/>
      <c r="AB33" s="28" t="n"/>
      <c r="AC33" s="30" t="n">
        <v>0</v>
      </c>
      <c r="AD33" s="24" t="inlineStr">
        <is>
          <t>2026-08-01T21:25:27.602390Z</t>
        </is>
      </c>
      <c r="AE33" s="31" t="inlineStr">
        <is>
          <t>Poisson-DC rates 1.46 (home) / 1.10 (away) from EWMA attack/defense strengths. Executable ask 0.4100 (atc-arg2-cap-qui-2026-08-02-cap).</t>
        </is>
      </c>
      <c r="AF33" s="31" t="inlineStr">
        <is>
          <t>Research-only soccer score model; draw-aware, but not yet locked-holdout qualified.</t>
        </is>
      </c>
      <c r="AG33" s="24" t="inlineStr">
        <is>
          <t>not_applicable</t>
        </is>
      </c>
      <c r="AH33" s="24" t="n"/>
      <c r="AI33" s="31" t="n"/>
      <c r="AJ33" s="31" t="n"/>
      <c r="AK33" s="24" t="inlineStr">
        <is>
          <t>research_observation</t>
        </is>
      </c>
      <c r="AL33" s="26" t="n">
        <v>3</v>
      </c>
      <c r="AM33" s="24" t="inlineStr">
        <is>
          <t>RESEARCH_OBSERVATION</t>
        </is>
      </c>
      <c r="AN33" s="24" t="inlineStr">
        <is>
          <t>NO_CALL</t>
        </is>
      </c>
      <c r="AO33" s="24" t="inlineStr">
        <is>
          <t>NO_CALL_MODEL_UNVALIDATED</t>
        </is>
      </c>
      <c r="AP33" s="24" t="inlineStr">
        <is>
          <t>Quilmes</t>
        </is>
      </c>
      <c r="AQ33" s="24" t="inlineStr">
        <is>
          <t>Quilmes</t>
        </is>
      </c>
      <c r="AR33" s="24" t="inlineStr">
        <is>
          <t>Quilmes</t>
        </is>
      </c>
      <c r="AS33" s="24" t="inlineStr">
        <is>
          <t>Patronato</t>
        </is>
      </c>
      <c r="AT33" s="24" t="inlineStr">
        <is>
          <t>Patronato</t>
        </is>
      </c>
      <c r="AU33" s="24" t="inlineStr">
        <is>
          <t>Patronato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research</t>
        </is>
      </c>
      <c r="BA33" s="24" t="inlineStr">
        <is>
          <t>34d1568aad0ff11b5db35f118324684f93281e1c21fa7b80be7a4a4e2cb4bb03</t>
        </is>
      </c>
      <c r="BB33" s="24" t="inlineStr">
        <is>
          <t>poisson_dixon_coles</t>
        </is>
      </c>
      <c r="BC33" s="24" t="inlineStr">
        <is>
          <t>soccer-poisson-dc-v1</t>
        </is>
      </c>
      <c r="BD33" s="24" t="inlineStr">
        <is>
          <t>34d1568aad0ff11b5db35f118324684f93281e1c21fa7b80be7a4a4e2cb4bb03</t>
        </is>
      </c>
      <c r="BE33" s="24" t="inlineStr">
        <is>
          <t>soccer-poisson-dc-v1</t>
        </is>
      </c>
      <c r="BF33" s="24" t="inlineStr">
        <is>
          <t>1</t>
        </is>
      </c>
      <c r="BG33" s="24" t="inlineStr">
        <is>
          <t>34d1568aad0ff11b5db35f118324684f93281e1c21fa7b80be7a4a4e2cb4bb03</t>
        </is>
      </c>
      <c r="BH33" s="24" t="inlineStr">
        <is>
          <t>2026-08-01T16:49:31.486214Z</t>
        </is>
      </c>
      <c r="BI33" s="24" t="inlineStr">
        <is>
          <t>["same_event","same_team_same_day","same_league_same_day"]</t>
        </is>
      </c>
      <c r="BJ33" s="25" t="n"/>
      <c r="BK33" s="26" t="n">
        <v>144</v>
      </c>
      <c r="BL33" s="27" t="n">
        <v>2.44</v>
      </c>
      <c r="BM33" s="28" t="n">
        <v>0.409836</v>
      </c>
      <c r="BN33" s="28" t="n"/>
      <c r="BO33" s="28" t="n"/>
      <c r="BP33" s="25" t="n"/>
      <c r="BQ33" s="27" t="n"/>
      <c r="BR33" s="28" t="n"/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</row>
    <row r="34" ht="36" customHeight="1">
      <c r="A34" s="24" t="inlineStr">
        <is>
          <t>ce8bcb5176c94e2f</t>
        </is>
      </c>
      <c r="B34" s="24" t="inlineStr">
        <is>
          <t>2026-08-01T16:52:27.367453Z</t>
        </is>
      </c>
      <c r="C34" s="24" t="inlineStr">
        <is>
          <t>2026-08-01T18:00Z</t>
        </is>
      </c>
      <c r="D34" s="24" t="inlineStr">
        <is>
          <t>401872730</t>
        </is>
      </c>
      <c r="E34" s="24" t="inlineStr">
        <is>
          <t>SOCCER</t>
        </is>
      </c>
      <c r="F34" s="24" t="inlineStr">
        <is>
          <t>Juventud</t>
        </is>
      </c>
      <c r="G34" s="24" t="inlineStr">
        <is>
          <t>Deportivo Maldonado</t>
        </is>
      </c>
      <c r="H34" s="24" t="inlineStr">
        <is>
          <t>moneyline</t>
        </is>
      </c>
      <c r="I34" s="24" t="inlineStr">
        <is>
          <t>home</t>
        </is>
      </c>
      <c r="J34" s="25" t="n"/>
      <c r="K34" s="24" t="inlineStr">
        <is>
          <t>polymarket_us</t>
        </is>
      </c>
      <c r="L34" s="26" t="n">
        <v>-117</v>
      </c>
      <c r="M34" s="27" t="n">
        <v>1.854701</v>
      </c>
      <c r="N34" s="28" t="n">
        <v>0.539171</v>
      </c>
      <c r="O34" s="28" t="n">
        <v>0.418807</v>
      </c>
      <c r="P34" s="28" t="n">
        <v>0.2</v>
      </c>
      <c r="Q34" s="28" t="n">
        <v>-0.120364</v>
      </c>
      <c r="R34" s="26" t="n">
        <v>0</v>
      </c>
      <c r="S34" s="29" t="n">
        <v>1</v>
      </c>
      <c r="T34" s="24" t="inlineStr">
        <is>
          <t>soccer-poisson-dc-v1</t>
        </is>
      </c>
      <c r="U34" s="24" t="inlineStr">
        <is>
          <t>settled</t>
        </is>
      </c>
      <c r="V34" s="24" t="inlineStr">
        <is>
          <t>push</t>
        </is>
      </c>
      <c r="W34" s="26" t="n">
        <v>0</v>
      </c>
      <c r="X34" s="26" t="n">
        <v>0</v>
      </c>
      <c r="Y34" s="25" t="n"/>
      <c r="Z34" s="26" t="n"/>
      <c r="AA34" s="28" t="n"/>
      <c r="AB34" s="28" t="n"/>
      <c r="AC34" s="30" t="n">
        <v>0</v>
      </c>
      <c r="AD34" s="24" t="inlineStr">
        <is>
          <t>2026-08-01T20:13:20.615731Z</t>
        </is>
      </c>
      <c r="AE34" s="31" t="inlineStr">
        <is>
          <t>Poisson-DC rates 1.46 (home) / 1.20 (away) from EWMA attack/defense strengths. Executable ask 0.5400 (atc-uru1-mal-juv-2026-08-01-mal).</t>
        </is>
      </c>
      <c r="AF34" s="31" t="inlineStr">
        <is>
          <t>Research-only soccer score model; draw-aware, but not yet locked-holdout qualified.</t>
        </is>
      </c>
      <c r="AG34" s="24" t="inlineStr">
        <is>
          <t>not_applicable</t>
        </is>
      </c>
      <c r="AH34" s="24" t="n"/>
      <c r="AI34" s="31" t="n"/>
      <c r="AJ34" s="31" t="n"/>
      <c r="AK34" s="24" t="inlineStr">
        <is>
          <t>research_observation</t>
        </is>
      </c>
      <c r="AL34" s="26" t="n">
        <v>3</v>
      </c>
      <c r="AM34" s="24" t="inlineStr">
        <is>
          <t>RESEARCH_OBSERVATION</t>
        </is>
      </c>
      <c r="AN34" s="24" t="inlineStr">
        <is>
          <t>NO_CALL</t>
        </is>
      </c>
      <c r="AO34" s="24" t="inlineStr">
        <is>
          <t>NO_CALL_MODEL_UNVALIDATED</t>
        </is>
      </c>
      <c r="AP34" s="24" t="inlineStr">
        <is>
          <t>Juventud</t>
        </is>
      </c>
      <c r="AQ34" s="24" t="inlineStr">
        <is>
          <t>Juventud</t>
        </is>
      </c>
      <c r="AR34" s="24" t="inlineStr">
        <is>
          <t>Juventud</t>
        </is>
      </c>
      <c r="AS34" s="24" t="inlineStr">
        <is>
          <t>Deportivo Maldonado</t>
        </is>
      </c>
      <c r="AT34" s="24" t="inlineStr">
        <is>
          <t>Deportivo Maldonado</t>
        </is>
      </c>
      <c r="AU34" s="24" t="inlineStr">
        <is>
          <t>Deportivo Maldonado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research</t>
        </is>
      </c>
      <c r="BA34" s="24" t="inlineStr">
        <is>
          <t>34d1568aad0ff11b5db35f118324684f93281e1c21fa7b80be7a4a4e2cb4bb03</t>
        </is>
      </c>
      <c r="BB34" s="24" t="inlineStr">
        <is>
          <t>poisson_dixon_coles</t>
        </is>
      </c>
      <c r="BC34" s="24" t="inlineStr">
        <is>
          <t>soccer-poisson-dc-v1</t>
        </is>
      </c>
      <c r="BD34" s="24" t="inlineStr">
        <is>
          <t>34d1568aad0ff11b5db35f118324684f93281e1c21fa7b80be7a4a4e2cb4bb03</t>
        </is>
      </c>
      <c r="BE34" s="24" t="inlineStr">
        <is>
          <t>soccer-poisson-dc-v1</t>
        </is>
      </c>
      <c r="BF34" s="24" t="inlineStr">
        <is>
          <t>1</t>
        </is>
      </c>
      <c r="BG34" s="24" t="inlineStr">
        <is>
          <t>34d1568aad0ff11b5db35f118324684f93281e1c21fa7b80be7a4a4e2cb4bb03</t>
        </is>
      </c>
      <c r="BH34" s="24" t="inlineStr">
        <is>
          <t>2026-08-01T16:49:34.759598Z</t>
        </is>
      </c>
      <c r="BI34" s="24" t="inlineStr">
        <is>
          <t>["same_event","same_team_same_day","same_league_same_day"]</t>
        </is>
      </c>
      <c r="BJ34" s="25" t="n"/>
      <c r="BK34" s="26" t="n">
        <v>-117</v>
      </c>
      <c r="BL34" s="27" t="n">
        <v>1.854701</v>
      </c>
      <c r="BM34" s="28" t="n">
        <v>0.539171</v>
      </c>
      <c r="BN34" s="28" t="n"/>
      <c r="BO34" s="28" t="n"/>
      <c r="BP34" s="25" t="n"/>
      <c r="BQ34" s="27" t="n"/>
      <c r="BR34" s="28" t="n"/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</row>
    <row r="35" ht="36" customHeight="1">
      <c r="A35" s="24" t="inlineStr">
        <is>
          <t>3119afb8f63442b9</t>
        </is>
      </c>
      <c r="B35" s="24" t="inlineStr">
        <is>
          <t>2026-08-01T16:52:27.367453Z</t>
        </is>
      </c>
      <c r="C35" s="24" t="inlineStr">
        <is>
          <t>2026-08-01T18:00Z</t>
        </is>
      </c>
      <c r="D35" s="24" t="inlineStr">
        <is>
          <t>401886553</t>
        </is>
      </c>
      <c r="E35" s="24" t="inlineStr">
        <is>
          <t>SOCCER</t>
        </is>
      </c>
      <c r="F35" s="24" t="inlineStr">
        <is>
          <t>Arsenal</t>
        </is>
      </c>
      <c r="G35" s="24" t="inlineStr">
        <is>
          <t>Girona</t>
        </is>
      </c>
      <c r="H35" s="24" t="inlineStr">
        <is>
          <t>moneyline</t>
        </is>
      </c>
      <c r="I35" s="24" t="inlineStr">
        <is>
          <t>away</t>
        </is>
      </c>
      <c r="J35" s="25" t="n"/>
      <c r="K35" s="24" t="inlineStr">
        <is>
          <t>polymarket_us</t>
        </is>
      </c>
      <c r="L35" s="26" t="n">
        <v>-144</v>
      </c>
      <c r="M35" s="27" t="n">
        <v>1.694444</v>
      </c>
      <c r="N35" s="28" t="n">
        <v>0.590164</v>
      </c>
      <c r="O35" s="28" t="n">
        <v>0.51186</v>
      </c>
      <c r="P35" s="28" t="n">
        <v>0.04</v>
      </c>
      <c r="Q35" s="28" t="n">
        <v>-0.078304</v>
      </c>
      <c r="R35" s="26" t="n">
        <v>0</v>
      </c>
      <c r="S35" s="29" t="n">
        <v>1</v>
      </c>
      <c r="T35" s="24" t="inlineStr">
        <is>
          <t>soccer-poisson-dc-v1</t>
        </is>
      </c>
      <c r="U35" s="24" t="inlineStr">
        <is>
          <t>settled</t>
        </is>
      </c>
      <c r="V35" s="24" t="inlineStr">
        <is>
          <t>win</t>
        </is>
      </c>
      <c r="W35" s="26" t="n">
        <v>4</v>
      </c>
      <c r="X35" s="26" t="n">
        <v>1</v>
      </c>
      <c r="Y35" s="25" t="n"/>
      <c r="Z35" s="26" t="n"/>
      <c r="AA35" s="28" t="n"/>
      <c r="AB35" s="28" t="n"/>
      <c r="AC35" s="30" t="n">
        <v>0.6944</v>
      </c>
      <c r="AD35" s="24" t="inlineStr">
        <is>
          <t>2026-08-01T20:13:22.602729Z</t>
        </is>
      </c>
      <c r="AE35" s="31" t="inlineStr">
        <is>
          <t>Poisson-DC rates 0.58 (home) / 1.23 (away) from EWMA attack/defense strengths. Executable ask 0.5900 (atc-clbf-gir-afr-2026-08-01-afr).</t>
        </is>
      </c>
      <c r="AF35" s="31" t="inlineStr">
        <is>
          <t>Research-only soccer score model; draw-aware, but not yet locked-holdout qualified.</t>
        </is>
      </c>
      <c r="AG35" s="24" t="inlineStr">
        <is>
          <t>not_applicable</t>
        </is>
      </c>
      <c r="AH35" s="24" t="n"/>
      <c r="AI35" s="31" t="n"/>
      <c r="AJ35" s="31" t="n"/>
      <c r="AK35" s="24" t="inlineStr">
        <is>
          <t>research_observation</t>
        </is>
      </c>
      <c r="AL35" s="26" t="n">
        <v>3</v>
      </c>
      <c r="AM35" s="24" t="inlineStr">
        <is>
          <t>RESEARCH_OBSERVATION</t>
        </is>
      </c>
      <c r="AN35" s="24" t="inlineStr">
        <is>
          <t>NO_CALL</t>
        </is>
      </c>
      <c r="AO35" s="24" t="inlineStr">
        <is>
          <t>NO_CALL_MODEL_UNVALIDATED</t>
        </is>
      </c>
      <c r="AP35" s="24" t="inlineStr">
        <is>
          <t>Arsenal</t>
        </is>
      </c>
      <c r="AQ35" s="24" t="inlineStr">
        <is>
          <t>Arsenal</t>
        </is>
      </c>
      <c r="AR35" s="24" t="inlineStr">
        <is>
          <t>Arsenal</t>
        </is>
      </c>
      <c r="AS35" s="24" t="inlineStr">
        <is>
          <t>Girona</t>
        </is>
      </c>
      <c r="AT35" s="24" t="inlineStr">
        <is>
          <t>Girona</t>
        </is>
      </c>
      <c r="AU35" s="24" t="inlineStr">
        <is>
          <t>Girona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research</t>
        </is>
      </c>
      <c r="BA35" s="24" t="inlineStr">
        <is>
          <t>34d1568aad0ff11b5db35f118324684f93281e1c21fa7b80be7a4a4e2cb4bb03</t>
        </is>
      </c>
      <c r="BB35" s="24" t="inlineStr">
        <is>
          <t>poisson_dixon_coles</t>
        </is>
      </c>
      <c r="BC35" s="24" t="inlineStr">
        <is>
          <t>soccer-poisson-dc-v1</t>
        </is>
      </c>
      <c r="BD35" s="24" t="inlineStr">
        <is>
          <t>34d1568aad0ff11b5db35f118324684f93281e1c21fa7b80be7a4a4e2cb4bb03</t>
        </is>
      </c>
      <c r="BE35" s="24" t="inlineStr">
        <is>
          <t>soccer-poisson-dc-v1</t>
        </is>
      </c>
      <c r="BF35" s="24" t="inlineStr">
        <is>
          <t>1</t>
        </is>
      </c>
      <c r="BG35" s="24" t="inlineStr">
        <is>
          <t>34d1568aad0ff11b5db35f118324684f93281e1c21fa7b80be7a4a4e2cb4bb03</t>
        </is>
      </c>
      <c r="BH35" s="24" t="inlineStr">
        <is>
          <t>2026-08-01T16:49:39.645100Z</t>
        </is>
      </c>
      <c r="BI35" s="24" t="inlineStr">
        <is>
          <t>["same_event","same_team_same_day","same_league_same_day"]</t>
        </is>
      </c>
      <c r="BJ35" s="25" t="n"/>
      <c r="BK35" s="26" t="n">
        <v>-144</v>
      </c>
      <c r="BL35" s="27" t="n">
        <v>1.694444</v>
      </c>
      <c r="BM35" s="28" t="n">
        <v>0.590164</v>
      </c>
      <c r="BN35" s="28" t="n"/>
      <c r="BO35" s="28" t="n"/>
      <c r="BP35" s="25" t="n"/>
      <c r="BQ35" s="27" t="n"/>
      <c r="BR35" s="28" t="n"/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</row>
    <row r="36" ht="36" customHeight="1">
      <c r="A36" s="24" t="inlineStr">
        <is>
          <t>45d01ab1161349e2</t>
        </is>
      </c>
      <c r="B36" s="24" t="inlineStr">
        <is>
          <t>2026-08-01T18:40:16.324475Z</t>
        </is>
      </c>
      <c r="C36" s="24" t="inlineStr">
        <is>
          <t>2026-08-01T19:00Z</t>
        </is>
      </c>
      <c r="D36" s="24" t="inlineStr">
        <is>
          <t>401850610</t>
        </is>
      </c>
      <c r="E36" s="24" t="inlineStr">
        <is>
          <t>SOCCER</t>
        </is>
      </c>
      <c r="F36" s="24" t="inlineStr">
        <is>
          <t>Colo Colo</t>
        </is>
      </c>
      <c r="G36" s="24" t="inlineStr">
        <is>
          <t>Everton CD</t>
        </is>
      </c>
      <c r="H36" s="24" t="inlineStr">
        <is>
          <t>moneyline</t>
        </is>
      </c>
      <c r="I36" s="24" t="inlineStr">
        <is>
          <t>home</t>
        </is>
      </c>
      <c r="J36" s="25" t="n"/>
      <c r="K36" s="24" t="inlineStr">
        <is>
          <t>polymarket_us</t>
        </is>
      </c>
      <c r="L36" s="26" t="n">
        <v>245</v>
      </c>
      <c r="M36" s="27" t="n">
        <v>3.45</v>
      </c>
      <c r="N36" s="28" t="n">
        <v>0.289855</v>
      </c>
      <c r="O36" s="28" t="n">
        <v>0.447172</v>
      </c>
      <c r="P36" s="28" t="n">
        <v>0.19</v>
      </c>
      <c r="Q36" s="28" t="n">
        <v>0.157317</v>
      </c>
      <c r="R36" s="26" t="n">
        <v>15</v>
      </c>
      <c r="S36" s="29" t="n">
        <v>1</v>
      </c>
      <c r="T36" s="24" t="inlineStr">
        <is>
          <t>soccer-poisson-dc-v1</t>
        </is>
      </c>
      <c r="U36" s="24" t="inlineStr">
        <is>
          <t>settled</t>
        </is>
      </c>
      <c r="V36" s="24" t="inlineStr">
        <is>
          <t>loss</t>
        </is>
      </c>
      <c r="W36" s="26" t="n">
        <v>4</v>
      </c>
      <c r="X36" s="26" t="n">
        <v>3</v>
      </c>
      <c r="Y36" s="25" t="n"/>
      <c r="Z36" s="26" t="n"/>
      <c r="AA36" s="28" t="n"/>
      <c r="AB36" s="28" t="n"/>
      <c r="AC36" s="30" t="n">
        <v>-1</v>
      </c>
      <c r="AD36" s="24" t="inlineStr">
        <is>
          <t>2026-08-01T23:51:10.166427Z</t>
        </is>
      </c>
      <c r="AE36" s="31" t="inlineStr">
        <is>
          <t>Poisson-DC rates 1.53 (home) / 1.16 (away) from EWMA attack/defense strengths. Executable ask 0.2900 (atc-pdc-eve-col-2026-08-01-eve).</t>
        </is>
      </c>
      <c r="AF36" s="31" t="inlineStr">
        <is>
          <t>Research-only soccer score model; draw-aware, but not yet locked-holdout qualified.</t>
        </is>
      </c>
      <c r="AG36" s="24" t="inlineStr">
        <is>
          <t>review_required</t>
        </is>
      </c>
      <c r="AH36" s="24" t="n"/>
      <c r="AI36" s="31" t="n"/>
      <c r="AJ36" s="31" t="n"/>
      <c r="AK36" s="24" t="inlineStr">
        <is>
          <t>research_observation</t>
        </is>
      </c>
      <c r="AL36" s="26" t="n">
        <v>3</v>
      </c>
      <c r="AM36" s="24" t="inlineStr">
        <is>
          <t>RESEARCH_OBSERVATION</t>
        </is>
      </c>
      <c r="AN36" s="24" t="inlineStr">
        <is>
          <t>NO_CALL</t>
        </is>
      </c>
      <c r="AO36" s="24" t="inlineStr">
        <is>
          <t>NO_CALL_MODEL_UNVALIDATED</t>
        </is>
      </c>
      <c r="AP36" s="24" t="inlineStr">
        <is>
          <t>Colo Colo</t>
        </is>
      </c>
      <c r="AQ36" s="24" t="inlineStr">
        <is>
          <t>Colo Colo</t>
        </is>
      </c>
      <c r="AR36" s="24" t="inlineStr">
        <is>
          <t>Colo Colo</t>
        </is>
      </c>
      <c r="AS36" s="24" t="inlineStr">
        <is>
          <t>Everton CD</t>
        </is>
      </c>
      <c r="AT36" s="24" t="inlineStr">
        <is>
          <t>Everton CD</t>
        </is>
      </c>
      <c r="AU36" s="24" t="inlineStr">
        <is>
          <t>Everton CD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research</t>
        </is>
      </c>
      <c r="BA36" s="24" t="inlineStr">
        <is>
          <t>34d1568aad0ff11b5db35f118324684f93281e1c21fa7b80be7a4a4e2cb4bb03</t>
        </is>
      </c>
      <c r="BB36" s="24" t="inlineStr">
        <is>
          <t>poisson_dixon_coles</t>
        </is>
      </c>
      <c r="BC36" s="24" t="inlineStr">
        <is>
          <t>soccer-poisson-dc-v1</t>
        </is>
      </c>
      <c r="BD36" s="24" t="inlineStr">
        <is>
          <t>34d1568aad0ff11b5db35f118324684f93281e1c21fa7b80be7a4a4e2cb4bb03</t>
        </is>
      </c>
      <c r="BE36" s="24" t="inlineStr">
        <is>
          <t>soccer-poisson-dc-v1</t>
        </is>
      </c>
      <c r="BF36" s="24" t="inlineStr">
        <is>
          <t>1</t>
        </is>
      </c>
      <c r="BG36" s="24" t="inlineStr">
        <is>
          <t>34d1568aad0ff11b5db35f118324684f93281e1c21fa7b80be7a4a4e2cb4bb03</t>
        </is>
      </c>
      <c r="BH36" s="24" t="inlineStr">
        <is>
          <t>2026-08-01T18:37:04.072976Z</t>
        </is>
      </c>
      <c r="BI36" s="24" t="inlineStr">
        <is>
          <t>["same_event","same_team_same_day","same_league_same_day"]</t>
        </is>
      </c>
      <c r="BJ36" s="25" t="n"/>
      <c r="BK36" s="26" t="n">
        <v>245</v>
      </c>
      <c r="BL36" s="27" t="n">
        <v>3.45</v>
      </c>
      <c r="BM36" s="28" t="n">
        <v>0.289855</v>
      </c>
      <c r="BN36" s="28" t="n"/>
      <c r="BO36" s="28" t="n"/>
      <c r="BP36" s="25" t="n"/>
      <c r="BQ36" s="27" t="n"/>
      <c r="BR36" s="28" t="n"/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</row>
    <row r="37" ht="36" customHeight="1">
      <c r="A37" s="24" t="inlineStr">
        <is>
          <t>49d8e97b6d0a49e1</t>
        </is>
      </c>
      <c r="B37" s="24" t="inlineStr">
        <is>
          <t>2026-08-01T18:40:16.324475Z</t>
        </is>
      </c>
      <c r="C37" s="24" t="inlineStr">
        <is>
          <t>2026-08-01T19:00Z</t>
        </is>
      </c>
      <c r="D37" s="24" t="inlineStr">
        <is>
          <t>401859643</t>
        </is>
      </c>
      <c r="E37" s="24" t="inlineStr">
        <is>
          <t>SOCCER</t>
        </is>
      </c>
      <c r="F37" s="24" t="inlineStr">
        <is>
          <t>Mushuc Runa</t>
        </is>
      </c>
      <c r="G37" s="24" t="inlineStr">
        <is>
          <t>Manta F.C.</t>
        </is>
      </c>
      <c r="H37" s="24" t="inlineStr">
        <is>
          <t>moneyline</t>
        </is>
      </c>
      <c r="I37" s="24" t="inlineStr">
        <is>
          <t>home</t>
        </is>
      </c>
      <c r="J37" s="25" t="n"/>
      <c r="K37" s="24" t="inlineStr">
        <is>
          <t>polymarket_us</t>
        </is>
      </c>
      <c r="L37" s="26" t="n">
        <v>186</v>
      </c>
      <c r="M37" s="27" t="n">
        <v>2.86</v>
      </c>
      <c r="N37" s="28" t="n">
        <v>0.34965</v>
      </c>
      <c r="O37" s="28" t="n">
        <v>0.456135</v>
      </c>
      <c r="P37" s="28" t="n">
        <v>0.2</v>
      </c>
      <c r="Q37" s="28" t="n">
        <v>0.106485</v>
      </c>
      <c r="R37" s="26" t="n">
        <v>0</v>
      </c>
      <c r="S37" s="29" t="n">
        <v>1</v>
      </c>
      <c r="T37" s="24" t="inlineStr">
        <is>
          <t>soccer-poisson-dc-v1</t>
        </is>
      </c>
      <c r="U37" s="24" t="inlineStr">
        <is>
          <t>settled</t>
        </is>
      </c>
      <c r="V37" s="24" t="inlineStr">
        <is>
          <t>loss</t>
        </is>
      </c>
      <c r="W37" s="26" t="n">
        <v>2</v>
      </c>
      <c r="X37" s="26" t="n">
        <v>1</v>
      </c>
      <c r="Y37" s="25" t="n"/>
      <c r="Z37" s="26" t="n"/>
      <c r="AA37" s="28" t="n"/>
      <c r="AB37" s="28" t="n"/>
      <c r="AC37" s="30" t="n">
        <v>-1</v>
      </c>
      <c r="AD37" s="24" t="inlineStr">
        <is>
          <t>2026-08-01T21:40:58.484236Z</t>
        </is>
      </c>
      <c r="AE37" s="31" t="inlineStr">
        <is>
          <t>Poisson-DC rates 1.64 (home) / 1.24 (away) from EWMA attack/defense strengths. Executable ask 0.3500 (atc-ecu1-man-mur-2026-08-01-man).</t>
        </is>
      </c>
      <c r="AF37" s="31" t="inlineStr">
        <is>
          <t>Research-only soccer score model; draw-aware, but not yet locked-holdout qualified.</t>
        </is>
      </c>
      <c r="AG37" s="24" t="inlineStr">
        <is>
          <t>review_required</t>
        </is>
      </c>
      <c r="AH37" s="24" t="n"/>
      <c r="AI37" s="31" t="n"/>
      <c r="AJ37" s="31" t="n"/>
      <c r="AK37" s="24" t="inlineStr">
        <is>
          <t>research_observation</t>
        </is>
      </c>
      <c r="AL37" s="26" t="n">
        <v>3</v>
      </c>
      <c r="AM37" s="24" t="inlineStr">
        <is>
          <t>RESEARCH_OBSERVATION</t>
        </is>
      </c>
      <c r="AN37" s="24" t="inlineStr">
        <is>
          <t>NO_CALL</t>
        </is>
      </c>
      <c r="AO37" s="24" t="inlineStr">
        <is>
          <t>NO_CALL_MODEL_UNVALIDATED</t>
        </is>
      </c>
      <c r="AP37" s="24" t="inlineStr">
        <is>
          <t>Mushuc Runa</t>
        </is>
      </c>
      <c r="AQ37" s="24" t="inlineStr">
        <is>
          <t>Mushuc Runa</t>
        </is>
      </c>
      <c r="AR37" s="24" t="inlineStr">
        <is>
          <t>Mushuc Runa</t>
        </is>
      </c>
      <c r="AS37" s="24" t="inlineStr">
        <is>
          <t>Manta F.C.</t>
        </is>
      </c>
      <c r="AT37" s="24" t="inlineStr">
        <is>
          <t>Manta F.C.</t>
        </is>
      </c>
      <c r="AU37" s="24" t="inlineStr">
        <is>
          <t>Manta F.C.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research</t>
        </is>
      </c>
      <c r="BA37" s="24" t="inlineStr">
        <is>
          <t>34d1568aad0ff11b5db35f118324684f93281e1c21fa7b80be7a4a4e2cb4bb03</t>
        </is>
      </c>
      <c r="BB37" s="24" t="inlineStr">
        <is>
          <t>poisson_dixon_coles</t>
        </is>
      </c>
      <c r="BC37" s="24" t="inlineStr">
        <is>
          <t>soccer-poisson-dc-v1</t>
        </is>
      </c>
      <c r="BD37" s="24" t="inlineStr">
        <is>
          <t>34d1568aad0ff11b5db35f118324684f93281e1c21fa7b80be7a4a4e2cb4bb03</t>
        </is>
      </c>
      <c r="BE37" s="24" t="inlineStr">
        <is>
          <t>soccer-poisson-dc-v1</t>
        </is>
      </c>
      <c r="BF37" s="24" t="inlineStr">
        <is>
          <t>1</t>
        </is>
      </c>
      <c r="BG37" s="24" t="inlineStr">
        <is>
          <t>34d1568aad0ff11b5db35f118324684f93281e1c21fa7b80be7a4a4e2cb4bb03</t>
        </is>
      </c>
      <c r="BH37" s="24" t="inlineStr">
        <is>
          <t>2026-08-01T18:37:05.727261Z</t>
        </is>
      </c>
      <c r="BI37" s="24" t="inlineStr">
        <is>
          <t>["same_event","same_team_same_day","same_league_same_day"]</t>
        </is>
      </c>
      <c r="BJ37" s="25" t="n"/>
      <c r="BK37" s="26" t="n">
        <v>186</v>
      </c>
      <c r="BL37" s="27" t="n">
        <v>2.86</v>
      </c>
      <c r="BM37" s="28" t="n">
        <v>0.34965</v>
      </c>
      <c r="BN37" s="28" t="n"/>
      <c r="BO37" s="28" t="n"/>
      <c r="BP37" s="25" t="n"/>
      <c r="BQ37" s="27" t="n"/>
      <c r="BR37" s="28" t="n"/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</row>
    <row r="38" ht="36" customHeight="1">
      <c r="A38" s="24" t="inlineStr">
        <is>
          <t>6335060e4ee644f9</t>
        </is>
      </c>
      <c r="B38" s="24" t="inlineStr">
        <is>
          <t>2026-08-01T20:17:05.741632Z</t>
        </is>
      </c>
      <c r="C38" s="24" t="inlineStr">
        <is>
          <t>2026-08-01T23:30Z</t>
        </is>
      </c>
      <c r="D38" s="24" t="inlineStr">
        <is>
          <t>761699</t>
        </is>
      </c>
      <c r="E38" s="24" t="inlineStr">
        <is>
          <t>SOCCER</t>
        </is>
      </c>
      <c r="F38" s="24" t="inlineStr">
        <is>
          <t>Nashville SC</t>
        </is>
      </c>
      <c r="G38" s="24" t="inlineStr">
        <is>
          <t>D.C. United</t>
        </is>
      </c>
      <c r="H38" s="24" t="inlineStr">
        <is>
          <t>total</t>
        </is>
      </c>
      <c r="I38" s="24" t="inlineStr">
        <is>
          <t>over</t>
        </is>
      </c>
      <c r="J38" s="25" t="n">
        <v>2.5</v>
      </c>
      <c r="K38" s="24" t="inlineStr">
        <is>
          <t>polymarket_us</t>
        </is>
      </c>
      <c r="L38" s="26" t="n">
        <v>-104</v>
      </c>
      <c r="M38" s="27" t="n">
        <v>1.961538</v>
      </c>
      <c r="N38" s="28" t="n">
        <v>0.509804</v>
      </c>
      <c r="O38" s="28" t="n">
        <v>0.654047</v>
      </c>
      <c r="P38" s="28" t="n">
        <v>0.04</v>
      </c>
      <c r="Q38" s="28" t="n">
        <v>0.144243</v>
      </c>
      <c r="R38" s="26" t="n">
        <v>98</v>
      </c>
      <c r="S38" s="29" t="n">
        <v>1.75</v>
      </c>
      <c r="T38" s="24" t="inlineStr">
        <is>
          <t>soccer-poisson-dc-v1</t>
        </is>
      </c>
      <c r="U38" s="24" t="inlineStr">
        <is>
          <t>settled</t>
        </is>
      </c>
      <c r="V38" s="24" t="inlineStr">
        <is>
          <t>win</t>
        </is>
      </c>
      <c r="W38" s="26" t="n">
        <v>2</v>
      </c>
      <c r="X38" s="26" t="n">
        <v>2</v>
      </c>
      <c r="Y38" s="25" t="n"/>
      <c r="Z38" s="26" t="n"/>
      <c r="AA38" s="28" t="n"/>
      <c r="AB38" s="28" t="n"/>
      <c r="AC38" s="30" t="n">
        <v>1.6827</v>
      </c>
      <c r="AD38" s="24" t="inlineStr">
        <is>
          <t>2026-08-02T03:26:14.226095Z</t>
        </is>
      </c>
      <c r="AE38" s="31" t="inlineStr">
        <is>
          <t>Poisson-DC rates 1.27 (home) / 2.09 (away) from EWMA attack/defense strengths. Executable ask 0.5100 (tsc-mls-dcu-nas-2026-08-01-2pt5).</t>
        </is>
      </c>
      <c r="AF38" s="31" t="inlineStr">
        <is>
          <t>Research-only soccer score model; draw-aware, but not yet locked-holdout qualified.</t>
        </is>
      </c>
      <c r="AG38" s="24" t="inlineStr">
        <is>
          <t>not_applicable</t>
        </is>
      </c>
      <c r="AH38" s="24" t="n"/>
      <c r="AI38" s="31" t="n"/>
      <c r="AJ38" s="31" t="n"/>
      <c r="AK38" s="24" t="inlineStr">
        <is>
          <t>research_observation</t>
        </is>
      </c>
      <c r="AL38" s="26" t="n">
        <v>3</v>
      </c>
      <c r="AM38" s="24" t="inlineStr">
        <is>
          <t>RESEARCH_OBSERVATION</t>
        </is>
      </c>
      <c r="AN38" s="24" t="inlineStr">
        <is>
          <t>NO_CALL</t>
        </is>
      </c>
      <c r="AO38" s="24" t="inlineStr">
        <is>
          <t>NO_CALL_MODEL_UNVALIDATED</t>
        </is>
      </c>
      <c r="AP38" s="24" t="inlineStr">
        <is>
          <t>Nashville SC</t>
        </is>
      </c>
      <c r="AQ38" s="24" t="inlineStr">
        <is>
          <t>Nashville SC</t>
        </is>
      </c>
      <c r="AR38" s="24" t="inlineStr">
        <is>
          <t>Nashville SC</t>
        </is>
      </c>
      <c r="AS38" s="24" t="inlineStr">
        <is>
          <t>D.C. United</t>
        </is>
      </c>
      <c r="AT38" s="24" t="inlineStr">
        <is>
          <t>D.C. United</t>
        </is>
      </c>
      <c r="AU38" s="24" t="inlineStr">
        <is>
          <t>D.C. United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research</t>
        </is>
      </c>
      <c r="BA38" s="24" t="inlineStr">
        <is>
          <t>34d1568aad0ff11b5db35f118324684f93281e1c21fa7b80be7a4a4e2cb4bb03</t>
        </is>
      </c>
      <c r="BB38" s="24" t="inlineStr">
        <is>
          <t>poisson_dixon_coles</t>
        </is>
      </c>
      <c r="BC38" s="24" t="inlineStr">
        <is>
          <t>soccer-poisson-dc-v1</t>
        </is>
      </c>
      <c r="BD38" s="24" t="inlineStr">
        <is>
          <t>34d1568aad0ff11b5db35f118324684f93281e1c21fa7b80be7a4a4e2cb4bb03</t>
        </is>
      </c>
      <c r="BE38" s="24" t="inlineStr">
        <is>
          <t>soccer-poisson-dc-v1</t>
        </is>
      </c>
      <c r="BF38" s="24" t="inlineStr">
        <is>
          <t>1</t>
        </is>
      </c>
      <c r="BG38" s="24" t="inlineStr">
        <is>
          <t>34d1568aad0ff11b5db35f118324684f93281e1c21fa7b80be7a4a4e2cb4bb03</t>
        </is>
      </c>
      <c r="BH38" s="24" t="inlineStr">
        <is>
          <t>2026-08-01T20:14:21.274394Z</t>
        </is>
      </c>
      <c r="BI38" s="24" t="inlineStr">
        <is>
          <t>["same_event","same_team_same_day","same_league_same_day"]</t>
        </is>
      </c>
      <c r="BJ38" s="25" t="n">
        <v>2.5</v>
      </c>
      <c r="BK38" s="26" t="n">
        <v>-104</v>
      </c>
      <c r="BL38" s="27" t="n">
        <v>1.961538</v>
      </c>
      <c r="BM38" s="28" t="n">
        <v>0.509804</v>
      </c>
      <c r="BN38" s="28" t="n"/>
      <c r="BO38" s="28" t="n"/>
      <c r="BP38" s="25" t="n"/>
      <c r="BQ38" s="27" t="n"/>
      <c r="BR38" s="28" t="n"/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</row>
    <row r="39" ht="36" customHeight="1">
      <c r="A39" s="24" t="inlineStr">
        <is>
          <t>b700c24ab7bb44a3</t>
        </is>
      </c>
      <c r="B39" s="24" t="inlineStr">
        <is>
          <t>2026-08-01T20:17:05.741632Z</t>
        </is>
      </c>
      <c r="C39" s="24" t="inlineStr">
        <is>
          <t>2026-08-01T23:30Z</t>
        </is>
      </c>
      <c r="D39" s="24" t="inlineStr">
        <is>
          <t>761700</t>
        </is>
      </c>
      <c r="E39" s="24" t="inlineStr">
        <is>
          <t>SOCCER</t>
        </is>
      </c>
      <c r="F39" s="24" t="inlineStr">
        <is>
          <t>San Jose Earthquakes</t>
        </is>
      </c>
      <c r="G39" s="24" t="inlineStr">
        <is>
          <t>FC Cincinnati</t>
        </is>
      </c>
      <c r="H39" s="24" t="inlineStr">
        <is>
          <t>total</t>
        </is>
      </c>
      <c r="I39" s="24" t="inlineStr">
        <is>
          <t>over</t>
        </is>
      </c>
      <c r="J39" s="25" t="n">
        <v>2.5</v>
      </c>
      <c r="K39" s="24" t="inlineStr">
        <is>
          <t>polymarket_us</t>
        </is>
      </c>
      <c r="L39" s="26" t="n">
        <v>-317</v>
      </c>
      <c r="M39" s="27" t="n">
        <v>1.315457</v>
      </c>
      <c r="N39" s="28" t="n">
        <v>0.760192</v>
      </c>
      <c r="O39" s="28" t="n">
        <v>0.884924</v>
      </c>
      <c r="P39" s="28" t="n">
        <v>0.04</v>
      </c>
      <c r="Q39" s="28" t="n">
        <v>0.124732</v>
      </c>
      <c r="R39" s="26" t="n">
        <v>88</v>
      </c>
      <c r="S39" s="29" t="n">
        <v>2</v>
      </c>
      <c r="T39" s="24" t="inlineStr">
        <is>
          <t>soccer-poisson-dc-v1</t>
        </is>
      </c>
      <c r="U39" s="24" t="inlineStr">
        <is>
          <t>settled</t>
        </is>
      </c>
      <c r="V39" s="24" t="inlineStr">
        <is>
          <t>win</t>
        </is>
      </c>
      <c r="W39" s="26" t="n">
        <v>2</v>
      </c>
      <c r="X39" s="26" t="n">
        <v>4</v>
      </c>
      <c r="Y39" s="25" t="n"/>
      <c r="Z39" s="26" t="n"/>
      <c r="AA39" s="28" t="n"/>
      <c r="AB39" s="28" t="n"/>
      <c r="AC39" s="30" t="n">
        <v>0.6309</v>
      </c>
      <c r="AD39" s="24" t="inlineStr">
        <is>
          <t>2026-08-02T04:26:21.106575Z</t>
        </is>
      </c>
      <c r="AE39" s="31" t="inlineStr">
        <is>
          <t>Poisson-DC rates 2.60 (home) / 2.52 (away) from EWMA attack/defense strengths. Executable ask 0.7600 (tsc-mls-fcc-sje-2026-08-01-2pt5).</t>
        </is>
      </c>
      <c r="AF39" s="31" t="inlineStr">
        <is>
          <t>Research-only soccer score model; draw-aware, but not yet locked-holdout qualified.</t>
        </is>
      </c>
      <c r="AG39" s="24" t="inlineStr">
        <is>
          <t>not_applicable</t>
        </is>
      </c>
      <c r="AH39" s="24" t="n"/>
      <c r="AI39" s="31" t="n"/>
      <c r="AJ39" s="31" t="n"/>
      <c r="AK39" s="24" t="inlineStr">
        <is>
          <t>research_observation</t>
        </is>
      </c>
      <c r="AL39" s="26" t="n">
        <v>3</v>
      </c>
      <c r="AM39" s="24" t="inlineStr">
        <is>
          <t>RESEARCH_OBSERVATION</t>
        </is>
      </c>
      <c r="AN39" s="24" t="inlineStr">
        <is>
          <t>NO_CALL</t>
        </is>
      </c>
      <c r="AO39" s="24" t="inlineStr">
        <is>
          <t>NO_CALL_MODEL_UNVALIDATED</t>
        </is>
      </c>
      <c r="AP39" s="24" t="inlineStr">
        <is>
          <t>San Jose Earthquakes</t>
        </is>
      </c>
      <c r="AQ39" s="24" t="inlineStr">
        <is>
          <t>San Jose Earthquakes</t>
        </is>
      </c>
      <c r="AR39" s="24" t="inlineStr">
        <is>
          <t>San Jose Earthquakes</t>
        </is>
      </c>
      <c r="AS39" s="24" t="inlineStr">
        <is>
          <t>FC Cincinnati</t>
        </is>
      </c>
      <c r="AT39" s="24" t="inlineStr">
        <is>
          <t>FC Cincinnati</t>
        </is>
      </c>
      <c r="AU39" s="24" t="inlineStr">
        <is>
          <t>FC Cincinnati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research</t>
        </is>
      </c>
      <c r="BA39" s="24" t="inlineStr">
        <is>
          <t>34d1568aad0ff11b5db35f118324684f93281e1c21fa7b80be7a4a4e2cb4bb03</t>
        </is>
      </c>
      <c r="BB39" s="24" t="inlineStr">
        <is>
          <t>poisson_dixon_coles</t>
        </is>
      </c>
      <c r="BC39" s="24" t="inlineStr">
        <is>
          <t>soccer-poisson-dc-v1</t>
        </is>
      </c>
      <c r="BD39" s="24" t="inlineStr">
        <is>
          <t>34d1568aad0ff11b5db35f118324684f93281e1c21fa7b80be7a4a4e2cb4bb03</t>
        </is>
      </c>
      <c r="BE39" s="24" t="inlineStr">
        <is>
          <t>soccer-poisson-dc-v1</t>
        </is>
      </c>
      <c r="BF39" s="24" t="inlineStr">
        <is>
          <t>1</t>
        </is>
      </c>
      <c r="BG39" s="24" t="inlineStr">
        <is>
          <t>34d1568aad0ff11b5db35f118324684f93281e1c21fa7b80be7a4a4e2cb4bb03</t>
        </is>
      </c>
      <c r="BH39" s="24" t="inlineStr">
        <is>
          <t>2026-08-01T20:14:22.110761Z</t>
        </is>
      </c>
      <c r="BI39" s="24" t="inlineStr">
        <is>
          <t>["same_event","same_team_same_day","same_league_same_day"]</t>
        </is>
      </c>
      <c r="BJ39" s="25" t="n">
        <v>2.5</v>
      </c>
      <c r="BK39" s="26" t="n">
        <v>-317</v>
      </c>
      <c r="BL39" s="27" t="n">
        <v>1.315457</v>
      </c>
      <c r="BM39" s="28" t="n">
        <v>0.760192</v>
      </c>
      <c r="BN39" s="28" t="n"/>
      <c r="BO39" s="28" t="n"/>
      <c r="BP39" s="25" t="n"/>
      <c r="BQ39" s="27" t="n"/>
      <c r="BR39" s="28" t="n"/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</row>
    <row r="40" ht="36" customHeight="1">
      <c r="A40" s="24" t="inlineStr">
        <is>
          <t>1f48bd79d56a4307</t>
        </is>
      </c>
      <c r="B40" s="24" t="inlineStr">
        <is>
          <t>2026-08-01T20:17:05.741632Z</t>
        </is>
      </c>
      <c r="C40" s="24" t="inlineStr">
        <is>
          <t>2026-08-01T23:30Z</t>
        </is>
      </c>
      <c r="D40" s="24" t="inlineStr">
        <is>
          <t>761701</t>
        </is>
      </c>
      <c r="E40" s="24" t="inlineStr">
        <is>
          <t>SOCCER</t>
        </is>
      </c>
      <c r="F40" s="24" t="inlineStr">
        <is>
          <t>Columbus Crew</t>
        </is>
      </c>
      <c r="G40" s="24" t="inlineStr">
        <is>
          <t>Inter Miami CF</t>
        </is>
      </c>
      <c r="H40" s="24" t="inlineStr">
        <is>
          <t>total</t>
        </is>
      </c>
      <c r="I40" s="24" t="inlineStr">
        <is>
          <t>over</t>
        </is>
      </c>
      <c r="J40" s="25" t="n">
        <v>2.5</v>
      </c>
      <c r="K40" s="24" t="inlineStr">
        <is>
          <t>polymarket_us</t>
        </is>
      </c>
      <c r="L40" s="26" t="n">
        <v>-285</v>
      </c>
      <c r="M40" s="27" t="n">
        <v>1.350877</v>
      </c>
      <c r="N40" s="28" t="n">
        <v>0.74026</v>
      </c>
      <c r="O40" s="28" t="n">
        <v>0.8701759999999999</v>
      </c>
      <c r="P40" s="28" t="n">
        <v>0.04</v>
      </c>
      <c r="Q40" s="28" t="n">
        <v>0.129916</v>
      </c>
      <c r="R40" s="26" t="n">
        <v>91</v>
      </c>
      <c r="S40" s="29" t="n">
        <v>2</v>
      </c>
      <c r="T40" s="24" t="inlineStr">
        <is>
          <t>soccer-poisson-dc-v1</t>
        </is>
      </c>
      <c r="U40" s="24" t="inlineStr">
        <is>
          <t>settled</t>
        </is>
      </c>
      <c r="V40" s="24" t="inlineStr">
        <is>
          <t>win</t>
        </is>
      </c>
      <c r="W40" s="26" t="n">
        <v>2</v>
      </c>
      <c r="X40" s="26" t="n">
        <v>2</v>
      </c>
      <c r="Y40" s="25" t="n"/>
      <c r="Z40" s="26" t="n"/>
      <c r="AA40" s="28" t="n"/>
      <c r="AB40" s="28" t="n"/>
      <c r="AC40" s="30" t="n">
        <v>0.7018</v>
      </c>
      <c r="AD40" s="24" t="inlineStr">
        <is>
          <t>2026-08-02T03:26:14.497023Z</t>
        </is>
      </c>
      <c r="AE40" s="31" t="inlineStr">
        <is>
          <t>Poisson-DC rates 3.37 (home) / 1.57 (away) from EWMA attack/defense strengths. Executable ask 0.7400 (tsc-mls-mia-clb-2026-08-01-2pt5).</t>
        </is>
      </c>
      <c r="AF40" s="31" t="inlineStr">
        <is>
          <t>Research-only soccer score model; draw-aware, but not yet locked-holdout qualified.</t>
        </is>
      </c>
      <c r="AG40" s="24" t="inlineStr">
        <is>
          <t>not_applicable</t>
        </is>
      </c>
      <c r="AH40" s="24" t="n"/>
      <c r="AI40" s="31" t="n"/>
      <c r="AJ40" s="31" t="n"/>
      <c r="AK40" s="24" t="inlineStr">
        <is>
          <t>research_observation</t>
        </is>
      </c>
      <c r="AL40" s="26" t="n">
        <v>3</v>
      </c>
      <c r="AM40" s="24" t="inlineStr">
        <is>
          <t>RESEARCH_OBSERVATION</t>
        </is>
      </c>
      <c r="AN40" s="24" t="inlineStr">
        <is>
          <t>NO_CALL</t>
        </is>
      </c>
      <c r="AO40" s="24" t="inlineStr">
        <is>
          <t>NO_CALL_MODEL_UNVALIDATED</t>
        </is>
      </c>
      <c r="AP40" s="24" t="inlineStr">
        <is>
          <t>Columbus Crew</t>
        </is>
      </c>
      <c r="AQ40" s="24" t="inlineStr">
        <is>
          <t>Columbus Crew</t>
        </is>
      </c>
      <c r="AR40" s="24" t="inlineStr">
        <is>
          <t>Columbus Crew</t>
        </is>
      </c>
      <c r="AS40" s="24" t="inlineStr">
        <is>
          <t>Inter Miami CF</t>
        </is>
      </c>
      <c r="AT40" s="24" t="inlineStr">
        <is>
          <t>Inter Miami CF</t>
        </is>
      </c>
      <c r="AU40" s="24" t="inlineStr">
        <is>
          <t>Inter Miami CF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research</t>
        </is>
      </c>
      <c r="BA40" s="24" t="inlineStr">
        <is>
          <t>34d1568aad0ff11b5db35f118324684f93281e1c21fa7b80be7a4a4e2cb4bb03</t>
        </is>
      </c>
      <c r="BB40" s="24" t="inlineStr">
        <is>
          <t>poisson_dixon_coles</t>
        </is>
      </c>
      <c r="BC40" s="24" t="inlineStr">
        <is>
          <t>soccer-poisson-dc-v1</t>
        </is>
      </c>
      <c r="BD40" s="24" t="inlineStr">
        <is>
          <t>34d1568aad0ff11b5db35f118324684f93281e1c21fa7b80be7a4a4e2cb4bb03</t>
        </is>
      </c>
      <c r="BE40" s="24" t="inlineStr">
        <is>
          <t>soccer-poisson-dc-v1</t>
        </is>
      </c>
      <c r="BF40" s="24" t="inlineStr">
        <is>
          <t>1</t>
        </is>
      </c>
      <c r="BG40" s="24" t="inlineStr">
        <is>
          <t>34d1568aad0ff11b5db35f118324684f93281e1c21fa7b80be7a4a4e2cb4bb03</t>
        </is>
      </c>
      <c r="BH40" s="24" t="inlineStr">
        <is>
          <t>2026-08-01T20:14:24.561641Z</t>
        </is>
      </c>
      <c r="BI40" s="24" t="inlineStr">
        <is>
          <t>["same_event","same_team_same_day","same_league_same_day"]</t>
        </is>
      </c>
      <c r="BJ40" s="25" t="n">
        <v>2.5</v>
      </c>
      <c r="BK40" s="26" t="n">
        <v>-285</v>
      </c>
      <c r="BL40" s="27" t="n">
        <v>1.350877</v>
      </c>
      <c r="BM40" s="28" t="n">
        <v>0.74026</v>
      </c>
      <c r="BN40" s="28" t="n"/>
      <c r="BO40" s="28" t="n"/>
      <c r="BP40" s="25" t="n"/>
      <c r="BQ40" s="27" t="n"/>
      <c r="BR40" s="28" t="n"/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</row>
    <row r="41" ht="36" customHeight="1">
      <c r="A41" s="24" t="inlineStr">
        <is>
          <t>534c606f8d994efb</t>
        </is>
      </c>
      <c r="B41" s="24" t="inlineStr">
        <is>
          <t>2026-08-01T20:17:05.741632Z</t>
        </is>
      </c>
      <c r="C41" s="24" t="inlineStr">
        <is>
          <t>2026-08-01T23:30Z</t>
        </is>
      </c>
      <c r="D41" s="24" t="inlineStr">
        <is>
          <t>761702</t>
        </is>
      </c>
      <c r="E41" s="24" t="inlineStr">
        <is>
          <t>SOCCER</t>
        </is>
      </c>
      <c r="F41" s="24" t="inlineStr">
        <is>
          <t>Atlanta United FC</t>
        </is>
      </c>
      <c r="G41" s="24" t="inlineStr">
        <is>
          <t>Philadelphia Union</t>
        </is>
      </c>
      <c r="H41" s="24" t="inlineStr">
        <is>
          <t>total</t>
        </is>
      </c>
      <c r="I41" s="24" t="inlineStr">
        <is>
          <t>over</t>
        </is>
      </c>
      <c r="J41" s="25" t="n">
        <v>2.5</v>
      </c>
      <c r="K41" s="24" t="inlineStr">
        <is>
          <t>polymarket_us</t>
        </is>
      </c>
      <c r="L41" s="26" t="n">
        <v>-163</v>
      </c>
      <c r="M41" s="27" t="n">
        <v>1.613497</v>
      </c>
      <c r="N41" s="28" t="n">
        <v>0.619772</v>
      </c>
      <c r="O41" s="28" t="n">
        <v>0.579545</v>
      </c>
      <c r="P41" s="28" t="n">
        <v>0.04</v>
      </c>
      <c r="Q41" s="28" t="n">
        <v>-0.040227</v>
      </c>
      <c r="R41" s="26" t="n">
        <v>6</v>
      </c>
      <c r="S41" s="29" t="n">
        <v>1.25</v>
      </c>
      <c r="T41" s="24" t="inlineStr">
        <is>
          <t>soccer-poisson-dc-v1</t>
        </is>
      </c>
      <c r="U41" s="24" t="inlineStr">
        <is>
          <t>settled</t>
        </is>
      </c>
      <c r="V41" s="24" t="inlineStr">
        <is>
          <t>win</t>
        </is>
      </c>
      <c r="W41" s="26" t="n">
        <v>2</v>
      </c>
      <c r="X41" s="26" t="n">
        <v>3</v>
      </c>
      <c r="Y41" s="25" t="n"/>
      <c r="Z41" s="26" t="n"/>
      <c r="AA41" s="28" t="n"/>
      <c r="AB41" s="28" t="n"/>
      <c r="AC41" s="30" t="n">
        <v>0.7669</v>
      </c>
      <c r="AD41" s="24" t="inlineStr">
        <is>
          <t>2026-08-02T03:26:14.740324Z</t>
        </is>
      </c>
      <c r="AE41" s="31" t="inlineStr">
        <is>
          <t>Poisson-DC rates 1.93 (home) / 1.08 (away) from EWMA attack/defense strengths. Executable ask 0.6200 (tsc-mls-phi-atl-2026-08-01-2pt5).</t>
        </is>
      </c>
      <c r="AF41" s="31" t="inlineStr">
        <is>
          <t>Research-only soccer score model; draw-aware, but not yet locked-holdout qualified.</t>
        </is>
      </c>
      <c r="AG41" s="24" t="inlineStr">
        <is>
          <t>not_applicable</t>
        </is>
      </c>
      <c r="AH41" s="24" t="n"/>
      <c r="AI41" s="31" t="n"/>
      <c r="AJ41" s="31" t="n"/>
      <c r="AK41" s="24" t="inlineStr">
        <is>
          <t>research_observation</t>
        </is>
      </c>
      <c r="AL41" s="26" t="n">
        <v>3</v>
      </c>
      <c r="AM41" s="24" t="inlineStr">
        <is>
          <t>RESEARCH_OBSERVATION</t>
        </is>
      </c>
      <c r="AN41" s="24" t="inlineStr">
        <is>
          <t>NO_CALL</t>
        </is>
      </c>
      <c r="AO41" s="24" t="inlineStr">
        <is>
          <t>NO_CALL_MODEL_UNVALIDATED</t>
        </is>
      </c>
      <c r="AP41" s="24" t="inlineStr">
        <is>
          <t>Atlanta United FC</t>
        </is>
      </c>
      <c r="AQ41" s="24" t="inlineStr">
        <is>
          <t>Atlanta United FC</t>
        </is>
      </c>
      <c r="AR41" s="24" t="inlineStr">
        <is>
          <t>Atlanta United FC</t>
        </is>
      </c>
      <c r="AS41" s="24" t="inlineStr">
        <is>
          <t>Philadelphia Union</t>
        </is>
      </c>
      <c r="AT41" s="24" t="inlineStr">
        <is>
          <t>Philadelphia Union</t>
        </is>
      </c>
      <c r="AU41" s="24" t="inlineStr">
        <is>
          <t>Philadelphia Union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research</t>
        </is>
      </c>
      <c r="BA41" s="24" t="inlineStr">
        <is>
          <t>34d1568aad0ff11b5db35f118324684f93281e1c21fa7b80be7a4a4e2cb4bb03</t>
        </is>
      </c>
      <c r="BB41" s="24" t="inlineStr">
        <is>
          <t>poisson_dixon_coles</t>
        </is>
      </c>
      <c r="BC41" s="24" t="inlineStr">
        <is>
          <t>soccer-poisson-dc-v1</t>
        </is>
      </c>
      <c r="BD41" s="24" t="inlineStr">
        <is>
          <t>34d1568aad0ff11b5db35f118324684f93281e1c21fa7b80be7a4a4e2cb4bb03</t>
        </is>
      </c>
      <c r="BE41" s="24" t="inlineStr">
        <is>
          <t>soccer-poisson-dc-v1</t>
        </is>
      </c>
      <c r="BF41" s="24" t="inlineStr">
        <is>
          <t>1</t>
        </is>
      </c>
      <c r="BG41" s="24" t="inlineStr">
        <is>
          <t>34d1568aad0ff11b5db35f118324684f93281e1c21fa7b80be7a4a4e2cb4bb03</t>
        </is>
      </c>
      <c r="BH41" s="24" t="inlineStr">
        <is>
          <t>2026-08-01T20:14:26.713468Z</t>
        </is>
      </c>
      <c r="BI41" s="24" t="inlineStr">
        <is>
          <t>["same_event","same_team_same_day","same_league_same_day"]</t>
        </is>
      </c>
      <c r="BJ41" s="25" t="n">
        <v>2.5</v>
      </c>
      <c r="BK41" s="26" t="n">
        <v>-163</v>
      </c>
      <c r="BL41" s="27" t="n">
        <v>1.613497</v>
      </c>
      <c r="BM41" s="28" t="n">
        <v>0.619772</v>
      </c>
      <c r="BN41" s="28" t="n"/>
      <c r="BO41" s="28" t="n"/>
      <c r="BP41" s="25" t="n"/>
      <c r="BQ41" s="27" t="n"/>
      <c r="BR41" s="28" t="n"/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</row>
    <row r="42" ht="36" customHeight="1">
      <c r="A42" s="24" t="inlineStr">
        <is>
          <t>95372c50a2ed4ced</t>
        </is>
      </c>
      <c r="B42" s="24" t="inlineStr">
        <is>
          <t>2026-08-01T20:17:05.741632Z</t>
        </is>
      </c>
      <c r="C42" s="24" t="inlineStr">
        <is>
          <t>2026-08-01T23:30Z</t>
        </is>
      </c>
      <c r="D42" s="24" t="inlineStr">
        <is>
          <t>761699</t>
        </is>
      </c>
      <c r="E42" s="24" t="inlineStr">
        <is>
          <t>SOCCER</t>
        </is>
      </c>
      <c r="F42" s="24" t="inlineStr">
        <is>
          <t>Nashville SC</t>
        </is>
      </c>
      <c r="G42" s="24" t="inlineStr">
        <is>
          <t>D.C. United</t>
        </is>
      </c>
      <c r="H42" s="24" t="inlineStr">
        <is>
          <t>moneyline</t>
        </is>
      </c>
      <c r="I42" s="24" t="inlineStr">
        <is>
          <t>away</t>
        </is>
      </c>
      <c r="J42" s="25" t="n"/>
      <c r="K42" s="24" t="inlineStr">
        <is>
          <t>polymarket_us</t>
        </is>
      </c>
      <c r="L42" s="26" t="n">
        <v>144</v>
      </c>
      <c r="M42" s="27" t="n">
        <v>2.44</v>
      </c>
      <c r="N42" s="28" t="n">
        <v>0.409836</v>
      </c>
      <c r="O42" s="28" t="n">
        <v>0.552914</v>
      </c>
      <c r="P42" s="28" t="n">
        <v>0.04</v>
      </c>
      <c r="Q42" s="28" t="n">
        <v>0.143078</v>
      </c>
      <c r="R42" s="26" t="n">
        <v>98</v>
      </c>
      <c r="S42" s="29" t="n">
        <v>1</v>
      </c>
      <c r="T42" s="24" t="inlineStr">
        <is>
          <t>soccer-poisson-dc-v1</t>
        </is>
      </c>
      <c r="U42" s="24" t="inlineStr">
        <is>
          <t>settled</t>
        </is>
      </c>
      <c r="V42" s="24" t="inlineStr">
        <is>
          <t>push</t>
        </is>
      </c>
      <c r="W42" s="26" t="n">
        <v>2</v>
      </c>
      <c r="X42" s="26" t="n">
        <v>2</v>
      </c>
      <c r="Y42" s="25" t="n"/>
      <c r="Z42" s="26" t="n"/>
      <c r="AA42" s="28" t="n"/>
      <c r="AB42" s="28" t="n"/>
      <c r="AC42" s="30" t="n">
        <v>0</v>
      </c>
      <c r="AD42" s="24" t="inlineStr">
        <is>
          <t>2026-08-02T03:26:15.055587Z</t>
        </is>
      </c>
      <c r="AE42" s="31" t="inlineStr">
        <is>
          <t>Poisson-DC rates 1.27 (home) / 2.09 (away) from EWMA attack/defense strengths. Executable ask 0.4100 (atc-mls-dcu-nas-2026-08-01-nas).</t>
        </is>
      </c>
      <c r="AF42" s="31" t="inlineStr">
        <is>
          <t>Research-only soccer score model; draw-aware, but not yet locked-holdout qualified.</t>
        </is>
      </c>
      <c r="AG42" s="24" t="inlineStr">
        <is>
          <t>not_applicable</t>
        </is>
      </c>
      <c r="AH42" s="24" t="n"/>
      <c r="AI42" s="31" t="n"/>
      <c r="AJ42" s="31" t="n"/>
      <c r="AK42" s="24" t="inlineStr">
        <is>
          <t>research_observation</t>
        </is>
      </c>
      <c r="AL42" s="26" t="n">
        <v>3</v>
      </c>
      <c r="AM42" s="24" t="inlineStr">
        <is>
          <t>RESEARCH_OBSERVATION</t>
        </is>
      </c>
      <c r="AN42" s="24" t="inlineStr">
        <is>
          <t>NO_CALL</t>
        </is>
      </c>
      <c r="AO42" s="24" t="inlineStr">
        <is>
          <t>NO_CALL_MODEL_UNVALIDATED</t>
        </is>
      </c>
      <c r="AP42" s="24" t="inlineStr">
        <is>
          <t>Nashville SC</t>
        </is>
      </c>
      <c r="AQ42" s="24" t="inlineStr">
        <is>
          <t>Nashville SC</t>
        </is>
      </c>
      <c r="AR42" s="24" t="inlineStr">
        <is>
          <t>Nashville SC</t>
        </is>
      </c>
      <c r="AS42" s="24" t="inlineStr">
        <is>
          <t>D.C. United</t>
        </is>
      </c>
      <c r="AT42" s="24" t="inlineStr">
        <is>
          <t>D.C. United</t>
        </is>
      </c>
      <c r="AU42" s="24" t="inlineStr">
        <is>
          <t>D.C. United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research</t>
        </is>
      </c>
      <c r="BA42" s="24" t="inlineStr">
        <is>
          <t>34d1568aad0ff11b5db35f118324684f93281e1c21fa7b80be7a4a4e2cb4bb03</t>
        </is>
      </c>
      <c r="BB42" s="24" t="inlineStr">
        <is>
          <t>poisson_dixon_coles</t>
        </is>
      </c>
      <c r="BC42" s="24" t="inlineStr">
        <is>
          <t>soccer-poisson-dc-v1</t>
        </is>
      </c>
      <c r="BD42" s="24" t="inlineStr">
        <is>
          <t>34d1568aad0ff11b5db35f118324684f93281e1c21fa7b80be7a4a4e2cb4bb03</t>
        </is>
      </c>
      <c r="BE42" s="24" t="inlineStr">
        <is>
          <t>soccer-poisson-dc-v1</t>
        </is>
      </c>
      <c r="BF42" s="24" t="inlineStr">
        <is>
          <t>1</t>
        </is>
      </c>
      <c r="BG42" s="24" t="inlineStr">
        <is>
          <t>34d1568aad0ff11b5db35f118324684f93281e1c21fa7b80be7a4a4e2cb4bb03</t>
        </is>
      </c>
      <c r="BH42" s="24" t="inlineStr">
        <is>
          <t>2026-08-01T20:14:20.050683Z</t>
        </is>
      </c>
      <c r="BI42" s="24" t="inlineStr">
        <is>
          <t>["same_event","same_team_same_day","same_league_same_day"]</t>
        </is>
      </c>
      <c r="BJ42" s="25" t="n"/>
      <c r="BK42" s="26" t="n">
        <v>144</v>
      </c>
      <c r="BL42" s="27" t="n">
        <v>2.44</v>
      </c>
      <c r="BM42" s="28" t="n">
        <v>0.409836</v>
      </c>
      <c r="BN42" s="28" t="n"/>
      <c r="BO42" s="28" t="n"/>
      <c r="BP42" s="25" t="n"/>
      <c r="BQ42" s="27" t="n"/>
      <c r="BR42" s="28" t="n"/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</row>
    <row r="43" ht="36" customHeight="1">
      <c r="A43" s="24" t="inlineStr">
        <is>
          <t>ae6c537b76914b00</t>
        </is>
      </c>
      <c r="B43" s="24" t="inlineStr">
        <is>
          <t>2026-08-01T20:17:05.741632Z</t>
        </is>
      </c>
      <c r="C43" s="24" t="inlineStr">
        <is>
          <t>2026-08-01T23:30Z</t>
        </is>
      </c>
      <c r="D43" s="24" t="inlineStr">
        <is>
          <t>761700</t>
        </is>
      </c>
      <c r="E43" s="24" t="inlineStr">
        <is>
          <t>SOCCER</t>
        </is>
      </c>
      <c r="F43" s="24" t="inlineStr">
        <is>
          <t>San Jose Earthquakes</t>
        </is>
      </c>
      <c r="G43" s="24" t="inlineStr">
        <is>
          <t>FC Cincinnati</t>
        </is>
      </c>
      <c r="H43" s="24" t="inlineStr">
        <is>
          <t>moneyline</t>
        </is>
      </c>
      <c r="I43" s="24" t="inlineStr">
        <is>
          <t>home</t>
        </is>
      </c>
      <c r="J43" s="25" t="n"/>
      <c r="K43" s="24" t="inlineStr">
        <is>
          <t>polymarket_us</t>
        </is>
      </c>
      <c r="L43" s="26" t="n">
        <v>-108</v>
      </c>
      <c r="M43" s="27" t="n">
        <v>1.925926</v>
      </c>
      <c r="N43" s="28" t="n">
        <v>0.519231</v>
      </c>
      <c r="O43" s="28" t="n">
        <v>0.418282</v>
      </c>
      <c r="P43" s="28" t="n">
        <v>0.04</v>
      </c>
      <c r="Q43" s="28" t="n">
        <v>-0.100949</v>
      </c>
      <c r="R43" s="26" t="n">
        <v>0</v>
      </c>
      <c r="S43" s="29" t="n">
        <v>1.25</v>
      </c>
      <c r="T43" s="24" t="inlineStr">
        <is>
          <t>soccer-poisson-dc-v1</t>
        </is>
      </c>
      <c r="U43" s="24" t="inlineStr">
        <is>
          <t>settled</t>
        </is>
      </c>
      <c r="V43" s="24" t="inlineStr">
        <is>
          <t>win</t>
        </is>
      </c>
      <c r="W43" s="26" t="n">
        <v>2</v>
      </c>
      <c r="X43" s="26" t="n">
        <v>4</v>
      </c>
      <c r="Y43" s="25" t="n"/>
      <c r="Z43" s="26" t="n"/>
      <c r="AA43" s="28" t="n"/>
      <c r="AB43" s="28" t="n"/>
      <c r="AC43" s="30" t="n">
        <v>1.1574</v>
      </c>
      <c r="AD43" s="24" t="inlineStr">
        <is>
          <t>2026-08-02T04:26:21.397669Z</t>
        </is>
      </c>
      <c r="AE43" s="31" t="inlineStr">
        <is>
          <t>Poisson-DC rates 2.60 (home) / 2.52 (away) from EWMA attack/defense strengths. Executable ask 0.5200 (atc-mls-fcc-sje-2026-08-01-fcc).</t>
        </is>
      </c>
      <c r="AF43" s="31" t="inlineStr">
        <is>
          <t>Research-only soccer score model; draw-aware, but not yet locked-holdout qualified.</t>
        </is>
      </c>
      <c r="AG43" s="24" t="inlineStr">
        <is>
          <t>not_applicable</t>
        </is>
      </c>
      <c r="AH43" s="24" t="n"/>
      <c r="AI43" s="31" t="n"/>
      <c r="AJ43" s="31" t="n"/>
      <c r="AK43" s="24" t="inlineStr">
        <is>
          <t>research_observation</t>
        </is>
      </c>
      <c r="AL43" s="26" t="n">
        <v>3</v>
      </c>
      <c r="AM43" s="24" t="inlineStr">
        <is>
          <t>RESEARCH_OBSERVATION</t>
        </is>
      </c>
      <c r="AN43" s="24" t="inlineStr">
        <is>
          <t>NO_CALL</t>
        </is>
      </c>
      <c r="AO43" s="24" t="inlineStr">
        <is>
          <t>NO_CALL_MODEL_UNVALIDATED</t>
        </is>
      </c>
      <c r="AP43" s="24" t="inlineStr">
        <is>
          <t>San Jose Earthquakes</t>
        </is>
      </c>
      <c r="AQ43" s="24" t="inlineStr">
        <is>
          <t>San Jose Earthquakes</t>
        </is>
      </c>
      <c r="AR43" s="24" t="inlineStr">
        <is>
          <t>San Jose Earthquakes</t>
        </is>
      </c>
      <c r="AS43" s="24" t="inlineStr">
        <is>
          <t>FC Cincinnati</t>
        </is>
      </c>
      <c r="AT43" s="24" t="inlineStr">
        <is>
          <t>FC Cincinnati</t>
        </is>
      </c>
      <c r="AU43" s="24" t="inlineStr">
        <is>
          <t>FC Cincinnati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research</t>
        </is>
      </c>
      <c r="BA43" s="24" t="inlineStr">
        <is>
          <t>34d1568aad0ff11b5db35f118324684f93281e1c21fa7b80be7a4a4e2cb4bb03</t>
        </is>
      </c>
      <c r="BB43" s="24" t="inlineStr">
        <is>
          <t>poisson_dixon_coles</t>
        </is>
      </c>
      <c r="BC43" s="24" t="inlineStr">
        <is>
          <t>soccer-poisson-dc-v1</t>
        </is>
      </c>
      <c r="BD43" s="24" t="inlineStr">
        <is>
          <t>34d1568aad0ff11b5db35f118324684f93281e1c21fa7b80be7a4a4e2cb4bb03</t>
        </is>
      </c>
      <c r="BE43" s="24" t="inlineStr">
        <is>
          <t>soccer-poisson-dc-v1</t>
        </is>
      </c>
      <c r="BF43" s="24" t="inlineStr">
        <is>
          <t>1</t>
        </is>
      </c>
      <c r="BG43" s="24" t="inlineStr">
        <is>
          <t>34d1568aad0ff11b5db35f118324684f93281e1c21fa7b80be7a4a4e2cb4bb03</t>
        </is>
      </c>
      <c r="BH43" s="24" t="inlineStr">
        <is>
          <t>2026-08-01T20:14:21.554713Z</t>
        </is>
      </c>
      <c r="BI43" s="24" t="inlineStr">
        <is>
          <t>["same_event","same_team_same_day","same_league_same_day"]</t>
        </is>
      </c>
      <c r="BJ43" s="25" t="n"/>
      <c r="BK43" s="26" t="n">
        <v>-108</v>
      </c>
      <c r="BL43" s="27" t="n">
        <v>1.925926</v>
      </c>
      <c r="BM43" s="28" t="n">
        <v>0.519231</v>
      </c>
      <c r="BN43" s="28" t="n"/>
      <c r="BO43" s="28" t="n"/>
      <c r="BP43" s="25" t="n"/>
      <c r="BQ43" s="27" t="n"/>
      <c r="BR43" s="28" t="n"/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</row>
    <row r="44" ht="36" customHeight="1">
      <c r="A44" s="24" t="inlineStr">
        <is>
          <t>b586e7aa165f48df</t>
        </is>
      </c>
      <c r="B44" s="24" t="inlineStr">
        <is>
          <t>2026-08-01T20:17:05.741632Z</t>
        </is>
      </c>
      <c r="C44" s="24" t="inlineStr">
        <is>
          <t>2026-08-01T23:30Z</t>
        </is>
      </c>
      <c r="D44" s="24" t="inlineStr">
        <is>
          <t>761701</t>
        </is>
      </c>
      <c r="E44" s="24" t="inlineStr">
        <is>
          <t>SOCCER</t>
        </is>
      </c>
      <c r="F44" s="24" t="inlineStr">
        <is>
          <t>Columbus Crew</t>
        </is>
      </c>
      <c r="G44" s="24" t="inlineStr">
        <is>
          <t>Inter Miami CF</t>
        </is>
      </c>
      <c r="H44" s="24" t="inlineStr">
        <is>
          <t>moneyline</t>
        </is>
      </c>
      <c r="I44" s="24" t="inlineStr">
        <is>
          <t>home</t>
        </is>
      </c>
      <c r="J44" s="25" t="n"/>
      <c r="K44" s="24" t="inlineStr">
        <is>
          <t>polymarket_us</t>
        </is>
      </c>
      <c r="L44" s="26" t="n">
        <v>-170</v>
      </c>
      <c r="M44" s="27" t="n">
        <v>1.588235</v>
      </c>
      <c r="N44" s="28" t="n">
        <v>0.62963</v>
      </c>
      <c r="O44" s="28" t="n">
        <v>0.715665</v>
      </c>
      <c r="P44" s="28" t="n">
        <v>0.04</v>
      </c>
      <c r="Q44" s="28" t="n">
        <v>0.086035</v>
      </c>
      <c r="R44" s="26" t="n">
        <v>69</v>
      </c>
      <c r="S44" s="29" t="n">
        <v>2</v>
      </c>
      <c r="T44" s="24" t="inlineStr">
        <is>
          <t>soccer-poisson-dc-v1</t>
        </is>
      </c>
      <c r="U44" s="24" t="inlineStr">
        <is>
          <t>settled</t>
        </is>
      </c>
      <c r="V44" s="24" t="inlineStr">
        <is>
          <t>push</t>
        </is>
      </c>
      <c r="W44" s="26" t="n">
        <v>2</v>
      </c>
      <c r="X44" s="26" t="n">
        <v>2</v>
      </c>
      <c r="Y44" s="25" t="n"/>
      <c r="Z44" s="26" t="n"/>
      <c r="AA44" s="28" t="n"/>
      <c r="AB44" s="28" t="n"/>
      <c r="AC44" s="30" t="n">
        <v>0</v>
      </c>
      <c r="AD44" s="24" t="inlineStr">
        <is>
          <t>2026-08-02T03:26:15.417178Z</t>
        </is>
      </c>
      <c r="AE44" s="31" t="inlineStr">
        <is>
          <t>Poisson-DC rates 3.37 (home) / 1.57 (away) from EWMA attack/defense strengths. Executable ask 0.6300 (atc-mls-mia-clb-2026-08-01-mia).</t>
        </is>
      </c>
      <c r="AF44" s="31" t="inlineStr">
        <is>
          <t>Research-only soccer score model; draw-aware, but not yet locked-holdout qualified.</t>
        </is>
      </c>
      <c r="AG44" s="24" t="inlineStr">
        <is>
          <t>not_applicable</t>
        </is>
      </c>
      <c r="AH44" s="24" t="n"/>
      <c r="AI44" s="31" t="n"/>
      <c r="AJ44" s="31" t="n"/>
      <c r="AK44" s="24" t="inlineStr">
        <is>
          <t>research_observation</t>
        </is>
      </c>
      <c r="AL44" s="26" t="n">
        <v>3</v>
      </c>
      <c r="AM44" s="24" t="inlineStr">
        <is>
          <t>RESEARCH_OBSERVATION</t>
        </is>
      </c>
      <c r="AN44" s="24" t="inlineStr">
        <is>
          <t>NO_CALL</t>
        </is>
      </c>
      <c r="AO44" s="24" t="inlineStr">
        <is>
          <t>NO_CALL_MODEL_UNVALIDATED</t>
        </is>
      </c>
      <c r="AP44" s="24" t="inlineStr">
        <is>
          <t>Columbus Crew</t>
        </is>
      </c>
      <c r="AQ44" s="24" t="inlineStr">
        <is>
          <t>Columbus Crew</t>
        </is>
      </c>
      <c r="AR44" s="24" t="inlineStr">
        <is>
          <t>Columbus Crew</t>
        </is>
      </c>
      <c r="AS44" s="24" t="inlineStr">
        <is>
          <t>Inter Miami CF</t>
        </is>
      </c>
      <c r="AT44" s="24" t="inlineStr">
        <is>
          <t>Inter Miami CF</t>
        </is>
      </c>
      <c r="AU44" s="24" t="inlineStr">
        <is>
          <t>Inter Miami CF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research</t>
        </is>
      </c>
      <c r="BA44" s="24" t="inlineStr">
        <is>
          <t>34d1568aad0ff11b5db35f118324684f93281e1c21fa7b80be7a4a4e2cb4bb03</t>
        </is>
      </c>
      <c r="BB44" s="24" t="inlineStr">
        <is>
          <t>poisson_dixon_coles</t>
        </is>
      </c>
      <c r="BC44" s="24" t="inlineStr">
        <is>
          <t>soccer-poisson-dc-v1</t>
        </is>
      </c>
      <c r="BD44" s="24" t="inlineStr">
        <is>
          <t>34d1568aad0ff11b5db35f118324684f93281e1c21fa7b80be7a4a4e2cb4bb03</t>
        </is>
      </c>
      <c r="BE44" s="24" t="inlineStr">
        <is>
          <t>soccer-poisson-dc-v1</t>
        </is>
      </c>
      <c r="BF44" s="24" t="inlineStr">
        <is>
          <t>1</t>
        </is>
      </c>
      <c r="BG44" s="24" t="inlineStr">
        <is>
          <t>34d1568aad0ff11b5db35f118324684f93281e1c21fa7b80be7a4a4e2cb4bb03</t>
        </is>
      </c>
      <c r="BH44" s="24" t="inlineStr">
        <is>
          <t>2026-08-01T20:14:23.116312Z</t>
        </is>
      </c>
      <c r="BI44" s="24" t="inlineStr">
        <is>
          <t>["same_event","same_team_same_day","same_league_same_day"]</t>
        </is>
      </c>
      <c r="BJ44" s="25" t="n"/>
      <c r="BK44" s="26" t="n">
        <v>-170</v>
      </c>
      <c r="BL44" s="27" t="n">
        <v>1.588235</v>
      </c>
      <c r="BM44" s="28" t="n">
        <v>0.62963</v>
      </c>
      <c r="BN44" s="28" t="n"/>
      <c r="BO44" s="28" t="n"/>
      <c r="BP44" s="25" t="n"/>
      <c r="BQ44" s="27" t="n"/>
      <c r="BR44" s="28" t="n"/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</row>
    <row r="45" ht="36" customHeight="1">
      <c r="A45" s="24" t="inlineStr">
        <is>
          <t>1e573e73d5d24ee5</t>
        </is>
      </c>
      <c r="B45" s="24" t="inlineStr">
        <is>
          <t>2026-08-01T20:17:05.741632Z</t>
        </is>
      </c>
      <c r="C45" s="24" t="inlineStr">
        <is>
          <t>2026-08-01T23:30Z</t>
        </is>
      </c>
      <c r="D45" s="24" t="inlineStr">
        <is>
          <t>761702</t>
        </is>
      </c>
      <c r="E45" s="24" t="inlineStr">
        <is>
          <t>SOCCER</t>
        </is>
      </c>
      <c r="F45" s="24" t="inlineStr">
        <is>
          <t>Atlanta United FC</t>
        </is>
      </c>
      <c r="G45" s="24" t="inlineStr">
        <is>
          <t>Philadelphia Union</t>
        </is>
      </c>
      <c r="H45" s="24" t="inlineStr">
        <is>
          <t>moneyline</t>
        </is>
      </c>
      <c r="I45" s="24" t="inlineStr">
        <is>
          <t>home</t>
        </is>
      </c>
      <c r="J45" s="25" t="n"/>
      <c r="K45" s="24" t="inlineStr">
        <is>
          <t>polymarket_us</t>
        </is>
      </c>
      <c r="L45" s="26" t="n">
        <v>-156</v>
      </c>
      <c r="M45" s="27" t="n">
        <v>1.641026</v>
      </c>
      <c r="N45" s="28" t="n">
        <v>0.609375</v>
      </c>
      <c r="O45" s="28" t="n">
        <v>0.5599229999999999</v>
      </c>
      <c r="P45" s="28" t="n">
        <v>0.04</v>
      </c>
      <c r="Q45" s="28" t="n">
        <v>-0.049452</v>
      </c>
      <c r="R45" s="26" t="n">
        <v>1</v>
      </c>
      <c r="S45" s="29" t="n">
        <v>1.25</v>
      </c>
      <c r="T45" s="24" t="inlineStr">
        <is>
          <t>soccer-poisson-dc-v1</t>
        </is>
      </c>
      <c r="U45" s="24" t="inlineStr">
        <is>
          <t>settled</t>
        </is>
      </c>
      <c r="V45" s="24" t="inlineStr">
        <is>
          <t>win</t>
        </is>
      </c>
      <c r="W45" s="26" t="n">
        <v>2</v>
      </c>
      <c r="X45" s="26" t="n">
        <v>3</v>
      </c>
      <c r="Y45" s="25" t="n"/>
      <c r="Z45" s="26" t="n"/>
      <c r="AA45" s="28" t="n"/>
      <c r="AB45" s="28" t="n"/>
      <c r="AC45" s="30" t="n">
        <v>0.8013</v>
      </c>
      <c r="AD45" s="24" t="inlineStr">
        <is>
          <t>2026-08-02T03:26:15.763444Z</t>
        </is>
      </c>
      <c r="AE45" s="31" t="inlineStr">
        <is>
          <t>Poisson-DC rates 1.93 (home) / 1.08 (away) from EWMA attack/defense strengths. Executable ask 0.6100 (atc-mls-phi-atl-2026-08-01-phi).</t>
        </is>
      </c>
      <c r="AF45" s="31" t="inlineStr">
        <is>
          <t>Research-only soccer score model; draw-aware, but not yet locked-holdout qualified.</t>
        </is>
      </c>
      <c r="AG45" s="24" t="inlineStr">
        <is>
          <t>not_applicable</t>
        </is>
      </c>
      <c r="AH45" s="24" t="n"/>
      <c r="AI45" s="31" t="n"/>
      <c r="AJ45" s="31" t="n"/>
      <c r="AK45" s="24" t="inlineStr">
        <is>
          <t>research_observation</t>
        </is>
      </c>
      <c r="AL45" s="26" t="n">
        <v>3</v>
      </c>
      <c r="AM45" s="24" t="inlineStr">
        <is>
          <t>RESEARCH_OBSERVATION</t>
        </is>
      </c>
      <c r="AN45" s="24" t="inlineStr">
        <is>
          <t>NO_CALL</t>
        </is>
      </c>
      <c r="AO45" s="24" t="inlineStr">
        <is>
          <t>NO_CALL_MODEL_UNVALIDATED</t>
        </is>
      </c>
      <c r="AP45" s="24" t="inlineStr">
        <is>
          <t>Atlanta United FC</t>
        </is>
      </c>
      <c r="AQ45" s="24" t="inlineStr">
        <is>
          <t>Atlanta United FC</t>
        </is>
      </c>
      <c r="AR45" s="24" t="inlineStr">
        <is>
          <t>Atlanta United FC</t>
        </is>
      </c>
      <c r="AS45" s="24" t="inlineStr">
        <is>
          <t>Philadelphia Union</t>
        </is>
      </c>
      <c r="AT45" s="24" t="inlineStr">
        <is>
          <t>Philadelphia Union</t>
        </is>
      </c>
      <c r="AU45" s="24" t="inlineStr">
        <is>
          <t>Philadelphia Union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research</t>
        </is>
      </c>
      <c r="BA45" s="24" t="inlineStr">
        <is>
          <t>34d1568aad0ff11b5db35f118324684f93281e1c21fa7b80be7a4a4e2cb4bb03</t>
        </is>
      </c>
      <c r="BB45" s="24" t="inlineStr">
        <is>
          <t>poisson_dixon_coles</t>
        </is>
      </c>
      <c r="BC45" s="24" t="inlineStr">
        <is>
          <t>soccer-poisson-dc-v1</t>
        </is>
      </c>
      <c r="BD45" s="24" t="inlineStr">
        <is>
          <t>34d1568aad0ff11b5db35f118324684f93281e1c21fa7b80be7a4a4e2cb4bb03</t>
        </is>
      </c>
      <c r="BE45" s="24" t="inlineStr">
        <is>
          <t>soccer-poisson-dc-v1</t>
        </is>
      </c>
      <c r="BF45" s="24" t="inlineStr">
        <is>
          <t>1</t>
        </is>
      </c>
      <c r="BG45" s="24" t="inlineStr">
        <is>
          <t>34d1568aad0ff11b5db35f118324684f93281e1c21fa7b80be7a4a4e2cb4bb03</t>
        </is>
      </c>
      <c r="BH45" s="24" t="inlineStr">
        <is>
          <t>2026-08-01T20:14:26.266239Z</t>
        </is>
      </c>
      <c r="BI45" s="24" t="inlineStr">
        <is>
          <t>["same_event","same_team_same_day","same_league_same_day"]</t>
        </is>
      </c>
      <c r="BJ45" s="25" t="n"/>
      <c r="BK45" s="26" t="n">
        <v>-156</v>
      </c>
      <c r="BL45" s="27" t="n">
        <v>1.641026</v>
      </c>
      <c r="BM45" s="28" t="n">
        <v>0.609375</v>
      </c>
      <c r="BN45" s="28" t="n"/>
      <c r="BO45" s="28" t="n"/>
      <c r="BP45" s="25" t="n"/>
      <c r="BQ45" s="27" t="n"/>
      <c r="BR45" s="28" t="n"/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</row>
    <row r="46" ht="36" customHeight="1">
      <c r="A46" s="24" t="inlineStr">
        <is>
          <t>40b54f606eb04e02</t>
        </is>
      </c>
      <c r="B46" s="24" t="inlineStr">
        <is>
          <t>2026-08-01T20:17:05.741632Z</t>
        </is>
      </c>
      <c r="C46" s="24" t="inlineStr">
        <is>
          <t>2026-08-01T21:00Z</t>
        </is>
      </c>
      <c r="D46" s="24" t="inlineStr">
        <is>
          <t>401841478</t>
        </is>
      </c>
      <c r="E46" s="24" t="inlineStr">
        <is>
          <t>SOCCER</t>
        </is>
      </c>
      <c r="F46" s="24" t="inlineStr">
        <is>
          <t>Defensa y Justicia</t>
        </is>
      </c>
      <c r="G46" s="24" t="inlineStr">
        <is>
          <t>Estudiantes de La Plata</t>
        </is>
      </c>
      <c r="H46" s="24" t="inlineStr">
        <is>
          <t>moneyline</t>
        </is>
      </c>
      <c r="I46" s="24" t="inlineStr">
        <is>
          <t>home</t>
        </is>
      </c>
      <c r="J46" s="25" t="n"/>
      <c r="K46" s="24" t="inlineStr">
        <is>
          <t>polymarket_us</t>
        </is>
      </c>
      <c r="L46" s="26" t="n">
        <v>-144</v>
      </c>
      <c r="M46" s="27" t="n">
        <v>1.694444</v>
      </c>
      <c r="N46" s="28" t="n">
        <v>0.590164</v>
      </c>
      <c r="O46" s="28" t="n">
        <v>0.451659</v>
      </c>
      <c r="P46" s="28" t="n">
        <v>0.2</v>
      </c>
      <c r="Q46" s="28" t="n">
        <v>-0.138505</v>
      </c>
      <c r="R46" s="26" t="n">
        <v>0</v>
      </c>
      <c r="S46" s="29" t="n">
        <v>1</v>
      </c>
      <c r="T46" s="24" t="inlineStr">
        <is>
          <t>soccer-poisson-dc-v1</t>
        </is>
      </c>
      <c r="U46" s="24" t="inlineStr">
        <is>
          <t>settled</t>
        </is>
      </c>
      <c r="V46" s="24" t="inlineStr">
        <is>
          <t>win</t>
        </is>
      </c>
      <c r="W46" s="26" t="n">
        <v>0</v>
      </c>
      <c r="X46" s="26" t="n">
        <v>3</v>
      </c>
      <c r="Y46" s="25" t="n"/>
      <c r="Z46" s="26" t="n"/>
      <c r="AA46" s="28" t="n"/>
      <c r="AB46" s="28" t="n"/>
      <c r="AC46" s="30" t="n">
        <v>0.6944</v>
      </c>
      <c r="AD46" s="24" t="inlineStr">
        <is>
          <t>2026-08-01T23:51:10.459392Z</t>
        </is>
      </c>
      <c r="AE46" s="31" t="inlineStr">
        <is>
          <t>Poisson-DC rates 1.59 (home) / 1.20 (away) from EWMA attack/defense strengths. Executable ask 0.5900 (atc-lpa-est-def-2026-08-01-est).</t>
        </is>
      </c>
      <c r="AF46" s="31" t="inlineStr">
        <is>
          <t>Research-only soccer score model; draw-aware, but not yet locked-holdout qualified.</t>
        </is>
      </c>
      <c r="AG46" s="24" t="inlineStr">
        <is>
          <t>not_applicable</t>
        </is>
      </c>
      <c r="AH46" s="24" t="n"/>
      <c r="AI46" s="31" t="n"/>
      <c r="AJ46" s="31" t="n"/>
      <c r="AK46" s="24" t="inlineStr">
        <is>
          <t>research_observation</t>
        </is>
      </c>
      <c r="AL46" s="26" t="n">
        <v>3</v>
      </c>
      <c r="AM46" s="24" t="inlineStr">
        <is>
          <t>RESEARCH_OBSERVATION</t>
        </is>
      </c>
      <c r="AN46" s="24" t="inlineStr">
        <is>
          <t>NO_CALL</t>
        </is>
      </c>
      <c r="AO46" s="24" t="inlineStr">
        <is>
          <t>NO_CALL_MODEL_UNVALIDATED</t>
        </is>
      </c>
      <c r="AP46" s="24" t="inlineStr">
        <is>
          <t>Defensa y Justicia</t>
        </is>
      </c>
      <c r="AQ46" s="24" t="inlineStr">
        <is>
          <t>Defensa y Justicia</t>
        </is>
      </c>
      <c r="AR46" s="24" t="inlineStr">
        <is>
          <t>Defensa y Justicia</t>
        </is>
      </c>
      <c r="AS46" s="24" t="inlineStr">
        <is>
          <t>Estudiantes de La Plata</t>
        </is>
      </c>
      <c r="AT46" s="24" t="inlineStr">
        <is>
          <t>Estudiantes de La Plata</t>
        </is>
      </c>
      <c r="AU46" s="24" t="inlineStr">
        <is>
          <t>Estudiantes de La Plata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research</t>
        </is>
      </c>
      <c r="BA46" s="24" t="inlineStr">
        <is>
          <t>34d1568aad0ff11b5db35f118324684f93281e1c21fa7b80be7a4a4e2cb4bb03</t>
        </is>
      </c>
      <c r="BB46" s="24" t="inlineStr">
        <is>
          <t>poisson_dixon_coles</t>
        </is>
      </c>
      <c r="BC46" s="24" t="inlineStr">
        <is>
          <t>soccer-poisson-dc-v1</t>
        </is>
      </c>
      <c r="BD46" s="24" t="inlineStr">
        <is>
          <t>34d1568aad0ff11b5db35f118324684f93281e1c21fa7b80be7a4a4e2cb4bb03</t>
        </is>
      </c>
      <c r="BE46" s="24" t="inlineStr">
        <is>
          <t>soccer-poisson-dc-v1</t>
        </is>
      </c>
      <c r="BF46" s="24" t="inlineStr">
        <is>
          <t>1</t>
        </is>
      </c>
      <c r="BG46" s="24" t="inlineStr">
        <is>
          <t>34d1568aad0ff11b5db35f118324684f93281e1c21fa7b80be7a4a4e2cb4bb03</t>
        </is>
      </c>
      <c r="BH46" s="24" t="inlineStr">
        <is>
          <t>2026-08-01T20:14:41.137983Z</t>
        </is>
      </c>
      <c r="BI46" s="24" t="inlineStr">
        <is>
          <t>["same_event","same_team_same_day","same_league_same_day"]</t>
        </is>
      </c>
      <c r="BJ46" s="25" t="n"/>
      <c r="BK46" s="26" t="n">
        <v>-144</v>
      </c>
      <c r="BL46" s="27" t="n">
        <v>1.694444</v>
      </c>
      <c r="BM46" s="28" t="n">
        <v>0.590164</v>
      </c>
      <c r="BN46" s="28" t="n"/>
      <c r="BO46" s="28" t="n"/>
      <c r="BP46" s="25" t="n"/>
      <c r="BQ46" s="27" t="n"/>
      <c r="BR46" s="28" t="n"/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</row>
    <row r="47" ht="36" customHeight="1">
      <c r="A47" s="24" t="inlineStr">
        <is>
          <t>0318e2143c9e4155</t>
        </is>
      </c>
      <c r="B47" s="24" t="inlineStr">
        <is>
          <t>2026-08-01T20:17:05.741632Z</t>
        </is>
      </c>
      <c r="C47" s="24" t="inlineStr">
        <is>
          <t>2026-08-01T23:30Z</t>
        </is>
      </c>
      <c r="D47" s="24" t="inlineStr">
        <is>
          <t>401841475</t>
        </is>
      </c>
      <c r="E47" s="24" t="inlineStr">
        <is>
          <t>SOCCER</t>
        </is>
      </c>
      <c r="F47" s="24" t="inlineStr">
        <is>
          <t>Tigre</t>
        </is>
      </c>
      <c r="G47" s="24" t="inlineStr">
        <is>
          <t>Racing Club</t>
        </is>
      </c>
      <c r="H47" s="24" t="inlineStr">
        <is>
          <t>moneyline</t>
        </is>
      </c>
      <c r="I47" s="24" t="inlineStr">
        <is>
          <t>home</t>
        </is>
      </c>
      <c r="J47" s="25" t="n"/>
      <c r="K47" s="24" t="inlineStr">
        <is>
          <t>polymarket_us</t>
        </is>
      </c>
      <c r="L47" s="26" t="n">
        <v>113</v>
      </c>
      <c r="M47" s="27" t="n">
        <v>2.13</v>
      </c>
      <c r="N47" s="28" t="n">
        <v>0.469484</v>
      </c>
      <c r="O47" s="28" t="n">
        <v>0.483295</v>
      </c>
      <c r="P47" s="28" t="n">
        <v>0.2</v>
      </c>
      <c r="Q47" s="28" t="n">
        <v>0.013811</v>
      </c>
      <c r="R47" s="26" t="n">
        <v>0</v>
      </c>
      <c r="S47" s="29" t="n">
        <v>1</v>
      </c>
      <c r="T47" s="24" t="inlineStr">
        <is>
          <t>soccer-poisson-dc-v1</t>
        </is>
      </c>
      <c r="U47" s="24" t="inlineStr">
        <is>
          <t>settled</t>
        </is>
      </c>
      <c r="V47" s="24" t="inlineStr">
        <is>
          <t>loss</t>
        </is>
      </c>
      <c r="W47" s="26" t="n">
        <v>3</v>
      </c>
      <c r="X47" s="26" t="n">
        <v>1</v>
      </c>
      <c r="Y47" s="25" t="n"/>
      <c r="Z47" s="26" t="n"/>
      <c r="AA47" s="28" t="n"/>
      <c r="AB47" s="28" t="n"/>
      <c r="AC47" s="30" t="n">
        <v>-1</v>
      </c>
      <c r="AD47" s="24" t="inlineStr">
        <is>
          <t>2026-08-02T03:26:17.235577Z</t>
        </is>
      </c>
      <c r="AE47" s="31" t="inlineStr">
        <is>
          <t>Poisson-DC rates 1.72 (home) / 1.20 (away) from EWMA attack/defense strengths. Executable ask 0.4700 (atc-lpa-rac-tig-2026-08-01-rac).</t>
        </is>
      </c>
      <c r="AF47" s="31" t="inlineStr">
        <is>
          <t>Research-only soccer score model; draw-aware, but not yet locked-holdout qualified.</t>
        </is>
      </c>
      <c r="AG47" s="24" t="inlineStr">
        <is>
          <t>review_required</t>
        </is>
      </c>
      <c r="AH47" s="24" t="n"/>
      <c r="AI47" s="31" t="n"/>
      <c r="AJ47" s="31" t="n"/>
      <c r="AK47" s="24" t="inlineStr">
        <is>
          <t>research_observation</t>
        </is>
      </c>
      <c r="AL47" s="26" t="n">
        <v>3</v>
      </c>
      <c r="AM47" s="24" t="inlineStr">
        <is>
          <t>RESEARCH_OBSERVATION</t>
        </is>
      </c>
      <c r="AN47" s="24" t="inlineStr">
        <is>
          <t>NO_CALL</t>
        </is>
      </c>
      <c r="AO47" s="24" t="inlineStr">
        <is>
          <t>NO_CALL_MODEL_UNVALIDATED</t>
        </is>
      </c>
      <c r="AP47" s="24" t="inlineStr">
        <is>
          <t>Tigre</t>
        </is>
      </c>
      <c r="AQ47" s="24" t="inlineStr">
        <is>
          <t>Tigre</t>
        </is>
      </c>
      <c r="AR47" s="24" t="inlineStr">
        <is>
          <t>Tigre</t>
        </is>
      </c>
      <c r="AS47" s="24" t="inlineStr">
        <is>
          <t>Racing Club</t>
        </is>
      </c>
      <c r="AT47" s="24" t="inlineStr">
        <is>
          <t>Racing Club</t>
        </is>
      </c>
      <c r="AU47" s="24" t="inlineStr">
        <is>
          <t>Racing Club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research</t>
        </is>
      </c>
      <c r="BA47" s="24" t="inlineStr">
        <is>
          <t>34d1568aad0ff11b5db35f118324684f93281e1c21fa7b80be7a4a4e2cb4bb03</t>
        </is>
      </c>
      <c r="BB47" s="24" t="inlineStr">
        <is>
          <t>poisson_dixon_coles</t>
        </is>
      </c>
      <c r="BC47" s="24" t="inlineStr">
        <is>
          <t>soccer-poisson-dc-v1</t>
        </is>
      </c>
      <c r="BD47" s="24" t="inlineStr">
        <is>
          <t>34d1568aad0ff11b5db35f118324684f93281e1c21fa7b80be7a4a4e2cb4bb03</t>
        </is>
      </c>
      <c r="BE47" s="24" t="inlineStr">
        <is>
          <t>soccer-poisson-dc-v1</t>
        </is>
      </c>
      <c r="BF47" s="24" t="inlineStr">
        <is>
          <t>1</t>
        </is>
      </c>
      <c r="BG47" s="24" t="inlineStr">
        <is>
          <t>34d1568aad0ff11b5db35f118324684f93281e1c21fa7b80be7a4a4e2cb4bb03</t>
        </is>
      </c>
      <c r="BH47" s="24" t="inlineStr">
        <is>
          <t>2026-08-01T20:14:41.628532Z</t>
        </is>
      </c>
      <c r="BI47" s="24" t="inlineStr">
        <is>
          <t>["same_event","same_team_same_day","same_league_same_day"]</t>
        </is>
      </c>
      <c r="BJ47" s="25" t="n"/>
      <c r="BK47" s="26" t="n">
        <v>113</v>
      </c>
      <c r="BL47" s="27" t="n">
        <v>2.13</v>
      </c>
      <c r="BM47" s="28" t="n">
        <v>0.469484</v>
      </c>
      <c r="BN47" s="28" t="n"/>
      <c r="BO47" s="28" t="n"/>
      <c r="BP47" s="25" t="n"/>
      <c r="BQ47" s="27" t="n"/>
      <c r="BR47" s="28" t="n"/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</row>
    <row r="48" ht="36" customHeight="1">
      <c r="A48" s="24" t="inlineStr">
        <is>
          <t>711928eecb964b43</t>
        </is>
      </c>
      <c r="B48" s="24" t="inlineStr">
        <is>
          <t>2026-08-01T20:17:05.741632Z</t>
        </is>
      </c>
      <c r="C48" s="24" t="inlineStr">
        <is>
          <t>2026-08-01T21:30Z</t>
        </is>
      </c>
      <c r="D48" s="24" t="inlineStr">
        <is>
          <t>401850608</t>
        </is>
      </c>
      <c r="E48" s="24" t="inlineStr">
        <is>
          <t>SOCCER</t>
        </is>
      </c>
      <c r="F48" s="24" t="inlineStr">
        <is>
          <t>Coquimbo Unido</t>
        </is>
      </c>
      <c r="G48" s="24" t="inlineStr">
        <is>
          <t>Palestino</t>
        </is>
      </c>
      <c r="H48" s="24" t="inlineStr">
        <is>
          <t>moneyline</t>
        </is>
      </c>
      <c r="I48" s="24" t="inlineStr">
        <is>
          <t>home</t>
        </is>
      </c>
      <c r="J48" s="25" t="n"/>
      <c r="K48" s="24" t="inlineStr">
        <is>
          <t>polymarket_us</t>
        </is>
      </c>
      <c r="L48" s="26" t="n">
        <v>186</v>
      </c>
      <c r="M48" s="27" t="n">
        <v>2.86</v>
      </c>
      <c r="N48" s="28" t="n">
        <v>0.34965</v>
      </c>
      <c r="O48" s="28" t="n">
        <v>0.505507</v>
      </c>
      <c r="P48" s="28" t="n">
        <v>0.2</v>
      </c>
      <c r="Q48" s="28" t="n">
        <v>0.155857</v>
      </c>
      <c r="R48" s="26" t="n">
        <v>8</v>
      </c>
      <c r="S48" s="29" t="n">
        <v>1</v>
      </c>
      <c r="T48" s="24" t="inlineStr">
        <is>
          <t>soccer-poisson-dc-v1</t>
        </is>
      </c>
      <c r="U48" s="24" t="inlineStr">
        <is>
          <t>settled</t>
        </is>
      </c>
      <c r="V48" s="24" t="inlineStr">
        <is>
          <t>win</t>
        </is>
      </c>
      <c r="W48" s="26" t="n">
        <v>1</v>
      </c>
      <c r="X48" s="26" t="n">
        <v>2</v>
      </c>
      <c r="Y48" s="25" t="n"/>
      <c r="Z48" s="26" t="n"/>
      <c r="AA48" s="28" t="n"/>
      <c r="AB48" s="28" t="n"/>
      <c r="AC48" s="30" t="n">
        <v>1.86</v>
      </c>
      <c r="AD48" s="24" t="inlineStr">
        <is>
          <t>2026-08-01T23:51:10.837881Z</t>
        </is>
      </c>
      <c r="AE48" s="31" t="inlineStr">
        <is>
          <t>Poisson-DC rates 1.72 (home) / 1.10 (away) from EWMA attack/defense strengths. Executable ask 0.3500 (atc-pdc-pal-coq-2026-08-01-pal).</t>
        </is>
      </c>
      <c r="AF48" s="31" t="inlineStr">
        <is>
          <t>Research-only soccer score model; draw-aware, but not yet locked-holdout qualified.</t>
        </is>
      </c>
      <c r="AG48" s="24" t="inlineStr">
        <is>
          <t>not_applicable</t>
        </is>
      </c>
      <c r="AH48" s="24" t="n"/>
      <c r="AI48" s="31" t="n"/>
      <c r="AJ48" s="31" t="n"/>
      <c r="AK48" s="24" t="inlineStr">
        <is>
          <t>research_observation</t>
        </is>
      </c>
      <c r="AL48" s="26" t="n">
        <v>3</v>
      </c>
      <c r="AM48" s="24" t="inlineStr">
        <is>
          <t>RESEARCH_OBSERVATION</t>
        </is>
      </c>
      <c r="AN48" s="24" t="inlineStr">
        <is>
          <t>NO_CALL</t>
        </is>
      </c>
      <c r="AO48" s="24" t="inlineStr">
        <is>
          <t>NO_CALL_MODEL_UNVALIDATED</t>
        </is>
      </c>
      <c r="AP48" s="24" t="inlineStr">
        <is>
          <t>Coquimbo Unido</t>
        </is>
      </c>
      <c r="AQ48" s="24" t="inlineStr">
        <is>
          <t>Coquimbo Unido</t>
        </is>
      </c>
      <c r="AR48" s="24" t="inlineStr">
        <is>
          <t>Coquimbo Unido</t>
        </is>
      </c>
      <c r="AS48" s="24" t="inlineStr">
        <is>
          <t>Palestino</t>
        </is>
      </c>
      <c r="AT48" s="24" t="inlineStr">
        <is>
          <t>Palestino</t>
        </is>
      </c>
      <c r="AU48" s="24" t="inlineStr">
        <is>
          <t>Palestino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research</t>
        </is>
      </c>
      <c r="BA48" s="24" t="inlineStr">
        <is>
          <t>34d1568aad0ff11b5db35f118324684f93281e1c21fa7b80be7a4a4e2cb4bb03</t>
        </is>
      </c>
      <c r="BB48" s="24" t="inlineStr">
        <is>
          <t>poisson_dixon_coles</t>
        </is>
      </c>
      <c r="BC48" s="24" t="inlineStr">
        <is>
          <t>soccer-poisson-dc-v1</t>
        </is>
      </c>
      <c r="BD48" s="24" t="inlineStr">
        <is>
          <t>34d1568aad0ff11b5db35f118324684f93281e1c21fa7b80be7a4a4e2cb4bb03</t>
        </is>
      </c>
      <c r="BE48" s="24" t="inlineStr">
        <is>
          <t>soccer-poisson-dc-v1</t>
        </is>
      </c>
      <c r="BF48" s="24" t="inlineStr">
        <is>
          <t>1</t>
        </is>
      </c>
      <c r="BG48" s="24" t="inlineStr">
        <is>
          <t>34d1568aad0ff11b5db35f118324684f93281e1c21fa7b80be7a4a4e2cb4bb03</t>
        </is>
      </c>
      <c r="BH48" s="24" t="inlineStr">
        <is>
          <t>2026-08-01T20:14:43.888722Z</t>
        </is>
      </c>
      <c r="BI48" s="24" t="inlineStr">
        <is>
          <t>["same_event","same_team_same_day","same_league_same_day"]</t>
        </is>
      </c>
      <c r="BJ48" s="25" t="n"/>
      <c r="BK48" s="26" t="n">
        <v>186</v>
      </c>
      <c r="BL48" s="27" t="n">
        <v>2.86</v>
      </c>
      <c r="BM48" s="28" t="n">
        <v>0.34965</v>
      </c>
      <c r="BN48" s="28" t="n"/>
      <c r="BO48" s="28" t="n"/>
      <c r="BP48" s="25" t="n"/>
      <c r="BQ48" s="27" t="n"/>
      <c r="BR48" s="28" t="n"/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</row>
    <row r="49" ht="36" customHeight="1">
      <c r="A49" s="24" t="inlineStr">
        <is>
          <t>d5a1a0d79fb04e60</t>
        </is>
      </c>
      <c r="B49" s="24" t="inlineStr">
        <is>
          <t>2026-08-01T23:53:24.455746Z</t>
        </is>
      </c>
      <c r="C49" s="24" t="inlineStr">
        <is>
          <t>2026-08-02T00:30Z</t>
        </is>
      </c>
      <c r="D49" s="24" t="inlineStr">
        <is>
          <t>761704</t>
        </is>
      </c>
      <c r="E49" s="24" t="inlineStr">
        <is>
          <t>SOCCER</t>
        </is>
      </c>
      <c r="F49" s="24" t="inlineStr">
        <is>
          <t>Charlotte FC</t>
        </is>
      </c>
      <c r="G49" s="24" t="inlineStr">
        <is>
          <t>Chicago Fire FC</t>
        </is>
      </c>
      <c r="H49" s="24" t="inlineStr">
        <is>
          <t>total</t>
        </is>
      </c>
      <c r="I49" s="24" t="inlineStr">
        <is>
          <t>over</t>
        </is>
      </c>
      <c r="J49" s="25" t="n">
        <v>2.5</v>
      </c>
      <c r="K49" s="24" t="inlineStr">
        <is>
          <t>polymarket_us</t>
        </is>
      </c>
      <c r="L49" s="26" t="n">
        <v>-223</v>
      </c>
      <c r="M49" s="27" t="n">
        <v>1.44843</v>
      </c>
      <c r="N49" s="28" t="n">
        <v>0.690402</v>
      </c>
      <c r="O49" s="28" t="n">
        <v>0.676403</v>
      </c>
      <c r="P49" s="28" t="n">
        <v>0.04</v>
      </c>
      <c r="Q49" s="28" t="n">
        <v>-0.013999</v>
      </c>
      <c r="R49" s="26" t="n">
        <v>19</v>
      </c>
      <c r="S49" s="29" t="n">
        <v>2</v>
      </c>
      <c r="T49" s="24" t="inlineStr">
        <is>
          <t>soccer-poisson-dc-v1</t>
        </is>
      </c>
      <c r="U49" s="24" t="inlineStr">
        <is>
          <t>settled</t>
        </is>
      </c>
      <c r="V49" s="24" t="inlineStr">
        <is>
          <t>win</t>
        </is>
      </c>
      <c r="W49" s="26" t="n">
        <v>1</v>
      </c>
      <c r="X49" s="26" t="n">
        <v>2</v>
      </c>
      <c r="Y49" s="25" t="n"/>
      <c r="Z49" s="26" t="n"/>
      <c r="AA49" s="28" t="n"/>
      <c r="AB49" s="28" t="n"/>
      <c r="AC49" s="30" t="n">
        <v>0.8969</v>
      </c>
      <c r="AD49" s="24" t="inlineStr">
        <is>
          <t>2026-08-02T03:26:17.505871Z</t>
        </is>
      </c>
      <c r="AE49" s="31" t="inlineStr">
        <is>
          <t>Poisson-DC rates 2.21 (home) / 1.28 (away) from EWMA attack/defense strengths. Executable ask 0.6900 (tsc-mls-chi-clt-2026-08-01-2pt5).</t>
        </is>
      </c>
      <c r="AF49" s="31" t="inlineStr">
        <is>
          <t>Research-only soccer score model; draw-aware, but not yet locked-holdout qualified.</t>
        </is>
      </c>
      <c r="AG49" s="24" t="inlineStr">
        <is>
          <t>not_applicable</t>
        </is>
      </c>
      <c r="AH49" s="24" t="n"/>
      <c r="AI49" s="31" t="n"/>
      <c r="AJ49" s="31" t="n"/>
      <c r="AK49" s="24" t="inlineStr">
        <is>
          <t>research_observation</t>
        </is>
      </c>
      <c r="AL49" s="26" t="n">
        <v>3</v>
      </c>
      <c r="AM49" s="24" t="inlineStr">
        <is>
          <t>RESEARCH_OBSERVATION</t>
        </is>
      </c>
      <c r="AN49" s="24" t="inlineStr">
        <is>
          <t>NO_CALL</t>
        </is>
      </c>
      <c r="AO49" s="24" t="inlineStr">
        <is>
          <t>NO_CALL_MODEL_UNVALIDATED</t>
        </is>
      </c>
      <c r="AP49" s="24" t="inlineStr">
        <is>
          <t>Charlotte FC</t>
        </is>
      </c>
      <c r="AQ49" s="24" t="inlineStr">
        <is>
          <t>Charlotte FC</t>
        </is>
      </c>
      <c r="AR49" s="24" t="inlineStr">
        <is>
          <t>Charlotte FC</t>
        </is>
      </c>
      <c r="AS49" s="24" t="inlineStr">
        <is>
          <t>Chicago Fire FC</t>
        </is>
      </c>
      <c r="AT49" s="24" t="inlineStr">
        <is>
          <t>Chicago Fire FC</t>
        </is>
      </c>
      <c r="AU49" s="24" t="inlineStr">
        <is>
          <t>Chicago Fire FC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research</t>
        </is>
      </c>
      <c r="BA49" s="24" t="inlineStr">
        <is>
          <t>34d1568aad0ff11b5db35f118324684f93281e1c21fa7b80be7a4a4e2cb4bb03</t>
        </is>
      </c>
      <c r="BB49" s="24" t="inlineStr">
        <is>
          <t>poisson_dixon_coles</t>
        </is>
      </c>
      <c r="BC49" s="24" t="inlineStr">
        <is>
          <t>soccer-poisson-dc-v1</t>
        </is>
      </c>
      <c r="BD49" s="24" t="inlineStr">
        <is>
          <t>34d1568aad0ff11b5db35f118324684f93281e1c21fa7b80be7a4a4e2cb4bb03</t>
        </is>
      </c>
      <c r="BE49" s="24" t="inlineStr">
        <is>
          <t>soccer-poisson-dc-v1</t>
        </is>
      </c>
      <c r="BF49" s="24" t="inlineStr">
        <is>
          <t>1</t>
        </is>
      </c>
      <c r="BG49" s="24" t="inlineStr">
        <is>
          <t>34d1568aad0ff11b5db35f118324684f93281e1c21fa7b80be7a4a4e2cb4bb03</t>
        </is>
      </c>
      <c r="BH49" s="24" t="inlineStr">
        <is>
          <t>2026-08-01T23:52:03.726485Z</t>
        </is>
      </c>
      <c r="BI49" s="24" t="inlineStr">
        <is>
          <t>["same_event","same_team_same_day","same_league_same_day"]</t>
        </is>
      </c>
      <c r="BJ49" s="25" t="n">
        <v>2.5</v>
      </c>
      <c r="BK49" s="26" t="n">
        <v>-223</v>
      </c>
      <c r="BL49" s="27" t="n">
        <v>1.44843</v>
      </c>
      <c r="BM49" s="28" t="n">
        <v>0.690402</v>
      </c>
      <c r="BN49" s="28" t="n"/>
      <c r="BO49" s="28" t="n"/>
      <c r="BP49" s="25" t="n"/>
      <c r="BQ49" s="27" t="n"/>
      <c r="BR49" s="28" t="n"/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</row>
    <row r="50" ht="36" customHeight="1">
      <c r="A50" s="24" t="inlineStr">
        <is>
          <t>77cbdb972f24408c</t>
        </is>
      </c>
      <c r="B50" s="24" t="inlineStr">
        <is>
          <t>2026-08-01T23:53:24.455746Z</t>
        </is>
      </c>
      <c r="C50" s="24" t="inlineStr">
        <is>
          <t>2026-08-02T00:30Z</t>
        </is>
      </c>
      <c r="D50" s="24" t="inlineStr">
        <is>
          <t>761703</t>
        </is>
      </c>
      <c r="E50" s="24" t="inlineStr">
        <is>
          <t>SOCCER</t>
        </is>
      </c>
      <c r="F50" s="24" t="inlineStr">
        <is>
          <t>San Diego FC</t>
        </is>
      </c>
      <c r="G50" s="24" t="inlineStr">
        <is>
          <t>Minnesota United FC</t>
        </is>
      </c>
      <c r="H50" s="24" t="inlineStr">
        <is>
          <t>total</t>
        </is>
      </c>
      <c r="I50" s="24" t="inlineStr">
        <is>
          <t>over</t>
        </is>
      </c>
      <c r="J50" s="25" t="n">
        <v>2.5</v>
      </c>
      <c r="K50" s="24" t="inlineStr">
        <is>
          <t>polymarket_us</t>
        </is>
      </c>
      <c r="L50" s="26" t="n">
        <v>-170</v>
      </c>
      <c r="M50" s="27" t="n">
        <v>1.588235</v>
      </c>
      <c r="N50" s="28" t="n">
        <v>0.62963</v>
      </c>
      <c r="O50" s="28" t="n">
        <v>0.66611</v>
      </c>
      <c r="P50" s="28" t="n">
        <v>0.04</v>
      </c>
      <c r="Q50" s="28" t="n">
        <v>0.03648</v>
      </c>
      <c r="R50" s="26" t="n">
        <v>44</v>
      </c>
      <c r="S50" s="29" t="n">
        <v>1.75</v>
      </c>
      <c r="T50" s="24" t="inlineStr">
        <is>
          <t>soccer-poisson-dc-v1</t>
        </is>
      </c>
      <c r="U50" s="24" t="inlineStr">
        <is>
          <t>settled</t>
        </is>
      </c>
      <c r="V50" s="24" t="inlineStr">
        <is>
          <t>loss</t>
        </is>
      </c>
      <c r="W50" s="26" t="n">
        <v>1</v>
      </c>
      <c r="X50" s="26" t="n">
        <v>1</v>
      </c>
      <c r="Y50" s="25" t="n"/>
      <c r="Z50" s="26" t="n"/>
      <c r="AA50" s="28" t="n"/>
      <c r="AB50" s="28" t="n"/>
      <c r="AC50" s="30" t="n">
        <v>-1.75</v>
      </c>
      <c r="AD50" s="24" t="inlineStr">
        <is>
          <t>2026-08-02T03:26:17.790482Z</t>
        </is>
      </c>
      <c r="AE50" s="31" t="inlineStr">
        <is>
          <t>Poisson-DC rates 1.78 (home) / 1.65 (away) from EWMA attack/defense strengths. Executable ask 0.6300 (tsc-mls-min-sdg-2026-08-01-2pt5).</t>
        </is>
      </c>
      <c r="AF50" s="31" t="inlineStr">
        <is>
          <t>Research-only soccer score model; draw-aware, but not yet locked-holdout qualified.</t>
        </is>
      </c>
      <c r="AG50" s="24" t="inlineStr">
        <is>
          <t>review_required</t>
        </is>
      </c>
      <c r="AH50" s="24" t="n"/>
      <c r="AI50" s="31" t="n"/>
      <c r="AJ50" s="31" t="n"/>
      <c r="AK50" s="24" t="inlineStr">
        <is>
          <t>research_observation</t>
        </is>
      </c>
      <c r="AL50" s="26" t="n">
        <v>3</v>
      </c>
      <c r="AM50" s="24" t="inlineStr">
        <is>
          <t>RESEARCH_OBSERVATION</t>
        </is>
      </c>
      <c r="AN50" s="24" t="inlineStr">
        <is>
          <t>NO_CALL</t>
        </is>
      </c>
      <c r="AO50" s="24" t="inlineStr">
        <is>
          <t>NO_CALL_MODEL_UNVALIDATED</t>
        </is>
      </c>
      <c r="AP50" s="24" t="inlineStr">
        <is>
          <t>San Diego FC</t>
        </is>
      </c>
      <c r="AQ50" s="24" t="inlineStr">
        <is>
          <t>San Diego FC</t>
        </is>
      </c>
      <c r="AR50" s="24" t="inlineStr">
        <is>
          <t>San Diego FC</t>
        </is>
      </c>
      <c r="AS50" s="24" t="inlineStr">
        <is>
          <t>Minnesota United FC</t>
        </is>
      </c>
      <c r="AT50" s="24" t="inlineStr">
        <is>
          <t>Minnesota United FC</t>
        </is>
      </c>
      <c r="AU50" s="24" t="inlineStr">
        <is>
          <t>Minnesota United FC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research</t>
        </is>
      </c>
      <c r="BA50" s="24" t="inlineStr">
        <is>
          <t>34d1568aad0ff11b5db35f118324684f93281e1c21fa7b80be7a4a4e2cb4bb03</t>
        </is>
      </c>
      <c r="BB50" s="24" t="inlineStr">
        <is>
          <t>poisson_dixon_coles</t>
        </is>
      </c>
      <c r="BC50" s="24" t="inlineStr">
        <is>
          <t>soccer-poisson-dc-v1</t>
        </is>
      </c>
      <c r="BD50" s="24" t="inlineStr">
        <is>
          <t>34d1568aad0ff11b5db35f118324684f93281e1c21fa7b80be7a4a4e2cb4bb03</t>
        </is>
      </c>
      <c r="BE50" s="24" t="inlineStr">
        <is>
          <t>soccer-poisson-dc-v1</t>
        </is>
      </c>
      <c r="BF50" s="24" t="inlineStr">
        <is>
          <t>1</t>
        </is>
      </c>
      <c r="BG50" s="24" t="inlineStr">
        <is>
          <t>34d1568aad0ff11b5db35f118324684f93281e1c21fa7b80be7a4a4e2cb4bb03</t>
        </is>
      </c>
      <c r="BH50" s="24" t="inlineStr">
        <is>
          <t>2026-08-01T23:52:06.222075Z</t>
        </is>
      </c>
      <c r="BI50" s="24" t="inlineStr">
        <is>
          <t>["same_event","same_team_same_day","same_league_same_day"]</t>
        </is>
      </c>
      <c r="BJ50" s="25" t="n">
        <v>2.5</v>
      </c>
      <c r="BK50" s="26" t="n">
        <v>-170</v>
      </c>
      <c r="BL50" s="27" t="n">
        <v>1.588235</v>
      </c>
      <c r="BM50" s="28" t="n">
        <v>0.62963</v>
      </c>
      <c r="BN50" s="28" t="n"/>
      <c r="BO50" s="28" t="n"/>
      <c r="BP50" s="25" t="n"/>
      <c r="BQ50" s="27" t="n"/>
      <c r="BR50" s="28" t="n"/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</row>
    <row r="51" ht="36" customHeight="1">
      <c r="A51" s="24" t="inlineStr">
        <is>
          <t>6fd0a3d28ba44e1a</t>
        </is>
      </c>
      <c r="B51" s="24" t="inlineStr">
        <is>
          <t>2026-08-01T23:53:24.455746Z</t>
        </is>
      </c>
      <c r="C51" s="24" t="inlineStr">
        <is>
          <t>2026-08-02T00:30Z</t>
        </is>
      </c>
      <c r="D51" s="24" t="inlineStr">
        <is>
          <t>761706</t>
        </is>
      </c>
      <c r="E51" s="24" t="inlineStr">
        <is>
          <t>SOCCER</t>
        </is>
      </c>
      <c r="F51" s="24" t="inlineStr">
        <is>
          <t>Houston Dynamo FC</t>
        </is>
      </c>
      <c r="G51" s="24" t="inlineStr">
        <is>
          <t>Sporting Kansas City</t>
        </is>
      </c>
      <c r="H51" s="24" t="inlineStr">
        <is>
          <t>total</t>
        </is>
      </c>
      <c r="I51" s="24" t="inlineStr">
        <is>
          <t>over</t>
        </is>
      </c>
      <c r="J51" s="25" t="n">
        <v>2.5</v>
      </c>
      <c r="K51" s="24" t="inlineStr">
        <is>
          <t>polymarket_us</t>
        </is>
      </c>
      <c r="L51" s="26" t="n">
        <v>-144</v>
      </c>
      <c r="M51" s="27" t="n">
        <v>1.694444</v>
      </c>
      <c r="N51" s="28" t="n">
        <v>0.590164</v>
      </c>
      <c r="O51" s="28" t="n">
        <v>0.651724</v>
      </c>
      <c r="P51" s="28" t="n">
        <v>0.04</v>
      </c>
      <c r="Q51" s="28" t="n">
        <v>0.06156</v>
      </c>
      <c r="R51" s="26" t="n">
        <v>57</v>
      </c>
      <c r="S51" s="29" t="n">
        <v>1.75</v>
      </c>
      <c r="T51" s="24" t="inlineStr">
        <is>
          <t>soccer-poisson-dc-v1</t>
        </is>
      </c>
      <c r="U51" s="24" t="inlineStr">
        <is>
          <t>settled</t>
        </is>
      </c>
      <c r="V51" s="24" t="inlineStr">
        <is>
          <t>loss</t>
        </is>
      </c>
      <c r="W51" s="26" t="n">
        <v>2</v>
      </c>
      <c r="X51" s="26" t="n">
        <v>0</v>
      </c>
      <c r="Y51" s="25" t="n"/>
      <c r="Z51" s="26" t="n"/>
      <c r="AA51" s="28" t="n"/>
      <c r="AB51" s="28" t="n"/>
      <c r="AC51" s="30" t="n">
        <v>-1.75</v>
      </c>
      <c r="AD51" s="24" t="inlineStr">
        <is>
          <t>2026-08-02T03:26:18.086130Z</t>
        </is>
      </c>
      <c r="AE51" s="31" t="inlineStr">
        <is>
          <t>Poisson-DC rates 1.49 (home) / 1.87 (away) from EWMA attack/defense strengths. Executable ask 0.5900 (tsc-mls-skc-hou-2026-08-01-2pt5).</t>
        </is>
      </c>
      <c r="AF51" s="31" t="inlineStr">
        <is>
          <t>Research-only soccer score model; draw-aware, but not yet locked-holdout qualified.</t>
        </is>
      </c>
      <c r="AG51" s="24" t="inlineStr">
        <is>
          <t>review_required</t>
        </is>
      </c>
      <c r="AH51" s="24" t="n"/>
      <c r="AI51" s="31" t="n"/>
      <c r="AJ51" s="31" t="n"/>
      <c r="AK51" s="24" t="inlineStr">
        <is>
          <t>research_observation</t>
        </is>
      </c>
      <c r="AL51" s="26" t="n">
        <v>3</v>
      </c>
      <c r="AM51" s="24" t="inlineStr">
        <is>
          <t>RESEARCH_OBSERVATION</t>
        </is>
      </c>
      <c r="AN51" s="24" t="inlineStr">
        <is>
          <t>NO_CALL</t>
        </is>
      </c>
      <c r="AO51" s="24" t="inlineStr">
        <is>
          <t>NO_CALL_MODEL_UNVALIDATED</t>
        </is>
      </c>
      <c r="AP51" s="24" t="inlineStr">
        <is>
          <t>Houston Dynamo FC</t>
        </is>
      </c>
      <c r="AQ51" s="24" t="inlineStr">
        <is>
          <t>Houston Dynamo FC</t>
        </is>
      </c>
      <c r="AR51" s="24" t="inlineStr">
        <is>
          <t>Houston Dynamo FC</t>
        </is>
      </c>
      <c r="AS51" s="24" t="inlineStr">
        <is>
          <t>Sporting Kansas City</t>
        </is>
      </c>
      <c r="AT51" s="24" t="inlineStr">
        <is>
          <t>Sporting Kansas City</t>
        </is>
      </c>
      <c r="AU51" s="24" t="inlineStr">
        <is>
          <t>Sporting Kansas City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research</t>
        </is>
      </c>
      <c r="BA51" s="24" t="inlineStr">
        <is>
          <t>34d1568aad0ff11b5db35f118324684f93281e1c21fa7b80be7a4a4e2cb4bb03</t>
        </is>
      </c>
      <c r="BB51" s="24" t="inlineStr">
        <is>
          <t>poisson_dixon_coles</t>
        </is>
      </c>
      <c r="BC51" s="24" t="inlineStr">
        <is>
          <t>soccer-poisson-dc-v1</t>
        </is>
      </c>
      <c r="BD51" s="24" t="inlineStr">
        <is>
          <t>34d1568aad0ff11b5db35f118324684f93281e1c21fa7b80be7a4a4e2cb4bb03</t>
        </is>
      </c>
      <c r="BE51" s="24" t="inlineStr">
        <is>
          <t>soccer-poisson-dc-v1</t>
        </is>
      </c>
      <c r="BF51" s="24" t="inlineStr">
        <is>
          <t>1</t>
        </is>
      </c>
      <c r="BG51" s="24" t="inlineStr">
        <is>
          <t>34d1568aad0ff11b5db35f118324684f93281e1c21fa7b80be7a4a4e2cb4bb03</t>
        </is>
      </c>
      <c r="BH51" s="24" t="inlineStr">
        <is>
          <t>2026-08-01T23:52:07.836349Z</t>
        </is>
      </c>
      <c r="BI51" s="24" t="inlineStr">
        <is>
          <t>["same_event","same_team_same_day","same_league_same_day"]</t>
        </is>
      </c>
      <c r="BJ51" s="25" t="n">
        <v>2.5</v>
      </c>
      <c r="BK51" s="26" t="n">
        <v>-144</v>
      </c>
      <c r="BL51" s="27" t="n">
        <v>1.694444</v>
      </c>
      <c r="BM51" s="28" t="n">
        <v>0.590164</v>
      </c>
      <c r="BN51" s="28" t="n"/>
      <c r="BO51" s="28" t="n"/>
      <c r="BP51" s="25" t="n"/>
      <c r="BQ51" s="27" t="n"/>
      <c r="BR51" s="28" t="n"/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</row>
    <row r="52" ht="36" customHeight="1">
      <c r="A52" s="24" t="inlineStr">
        <is>
          <t>90c023aa72c64cfc</t>
        </is>
      </c>
      <c r="B52" s="24" t="inlineStr">
        <is>
          <t>2026-08-01T23:53:24.455746Z</t>
        </is>
      </c>
      <c r="C52" s="24" t="inlineStr">
        <is>
          <t>2026-08-02T00:30Z</t>
        </is>
      </c>
      <c r="D52" s="24" t="inlineStr">
        <is>
          <t>761705</t>
        </is>
      </c>
      <c r="E52" s="24" t="inlineStr">
        <is>
          <t>SOCCER</t>
        </is>
      </c>
      <c r="F52" s="24" t="inlineStr">
        <is>
          <t>Real Salt Lake</t>
        </is>
      </c>
      <c r="G52" s="24" t="inlineStr">
        <is>
          <t>St. Louis CITY SC</t>
        </is>
      </c>
      <c r="H52" s="24" t="inlineStr">
        <is>
          <t>total</t>
        </is>
      </c>
      <c r="I52" s="24" t="inlineStr">
        <is>
          <t>over</t>
        </is>
      </c>
      <c r="J52" s="25" t="n">
        <v>2.5</v>
      </c>
      <c r="K52" s="24" t="inlineStr">
        <is>
          <t>polymarket_us</t>
        </is>
      </c>
      <c r="L52" s="26" t="n">
        <v>-178</v>
      </c>
      <c r="M52" s="27" t="n">
        <v>1.561798</v>
      </c>
      <c r="N52" s="28" t="n">
        <v>0.640288</v>
      </c>
      <c r="O52" s="28" t="n">
        <v>0.623765</v>
      </c>
      <c r="P52" s="28" t="n">
        <v>0.04</v>
      </c>
      <c r="Q52" s="28" t="n">
        <v>-0.016523</v>
      </c>
      <c r="R52" s="26" t="n">
        <v>18</v>
      </c>
      <c r="S52" s="29" t="n">
        <v>1.5</v>
      </c>
      <c r="T52" s="24" t="inlineStr">
        <is>
          <t>soccer-poisson-dc-v1</t>
        </is>
      </c>
      <c r="U52" s="24" t="inlineStr">
        <is>
          <t>settled</t>
        </is>
      </c>
      <c r="V52" s="24" t="inlineStr">
        <is>
          <t>loss</t>
        </is>
      </c>
      <c r="W52" s="26" t="n">
        <v>1</v>
      </c>
      <c r="X52" s="26" t="n">
        <v>1</v>
      </c>
      <c r="Y52" s="25" t="n"/>
      <c r="Z52" s="26" t="n"/>
      <c r="AA52" s="28" t="n"/>
      <c r="AB52" s="28" t="n"/>
      <c r="AC52" s="30" t="n">
        <v>-1.5</v>
      </c>
      <c r="AD52" s="24" t="inlineStr">
        <is>
          <t>2026-08-02T03:26:18.397668Z</t>
        </is>
      </c>
      <c r="AE52" s="31" t="inlineStr">
        <is>
          <t>Poisson-DC rates 1.71 (home) / 1.51 (away) from EWMA attack/defense strengths. Executable ask 0.6400 (tsc-mls-stl-rsl-2026-08-01-2pt5).</t>
        </is>
      </c>
      <c r="AF52" s="31" t="inlineStr">
        <is>
          <t>Research-only soccer score model; draw-aware, but not yet locked-holdout qualified.</t>
        </is>
      </c>
      <c r="AG52" s="24" t="inlineStr">
        <is>
          <t>review_required</t>
        </is>
      </c>
      <c r="AH52" s="24" t="n"/>
      <c r="AI52" s="31" t="n"/>
      <c r="AJ52" s="31" t="n"/>
      <c r="AK52" s="24" t="inlineStr">
        <is>
          <t>research_observation</t>
        </is>
      </c>
      <c r="AL52" s="26" t="n">
        <v>3</v>
      </c>
      <c r="AM52" s="24" t="inlineStr">
        <is>
          <t>RESEARCH_OBSERVATION</t>
        </is>
      </c>
      <c r="AN52" s="24" t="inlineStr">
        <is>
          <t>NO_CALL</t>
        </is>
      </c>
      <c r="AO52" s="24" t="inlineStr">
        <is>
          <t>NO_CALL_MODEL_UNVALIDATED</t>
        </is>
      </c>
      <c r="AP52" s="24" t="inlineStr">
        <is>
          <t>Real Salt Lake</t>
        </is>
      </c>
      <c r="AQ52" s="24" t="inlineStr">
        <is>
          <t>Real Salt Lake</t>
        </is>
      </c>
      <c r="AR52" s="24" t="inlineStr">
        <is>
          <t>Real Salt Lake</t>
        </is>
      </c>
      <c r="AS52" s="24" t="inlineStr">
        <is>
          <t>St. Louis CITY SC</t>
        </is>
      </c>
      <c r="AT52" s="24" t="inlineStr">
        <is>
          <t>St. Louis CITY SC</t>
        </is>
      </c>
      <c r="AU52" s="24" t="inlineStr">
        <is>
          <t>St. Louis CITY SC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research</t>
        </is>
      </c>
      <c r="BA52" s="24" t="inlineStr">
        <is>
          <t>34d1568aad0ff11b5db35f118324684f93281e1c21fa7b80be7a4a4e2cb4bb03</t>
        </is>
      </c>
      <c r="BB52" s="24" t="inlineStr">
        <is>
          <t>poisson_dixon_coles</t>
        </is>
      </c>
      <c r="BC52" s="24" t="inlineStr">
        <is>
          <t>soccer-poisson-dc-v1</t>
        </is>
      </c>
      <c r="BD52" s="24" t="inlineStr">
        <is>
          <t>34d1568aad0ff11b5db35f118324684f93281e1c21fa7b80be7a4a4e2cb4bb03</t>
        </is>
      </c>
      <c r="BE52" s="24" t="inlineStr">
        <is>
          <t>soccer-poisson-dc-v1</t>
        </is>
      </c>
      <c r="BF52" s="24" t="inlineStr">
        <is>
          <t>1</t>
        </is>
      </c>
      <c r="BG52" s="24" t="inlineStr">
        <is>
          <t>34d1568aad0ff11b5db35f118324684f93281e1c21fa7b80be7a4a4e2cb4bb03</t>
        </is>
      </c>
      <c r="BH52" s="24" t="inlineStr">
        <is>
          <t>2026-08-01T23:52:08.422932Z</t>
        </is>
      </c>
      <c r="BI52" s="24" t="inlineStr">
        <is>
          <t>["same_event","same_team_same_day","same_league_same_day"]</t>
        </is>
      </c>
      <c r="BJ52" s="25" t="n">
        <v>2.5</v>
      </c>
      <c r="BK52" s="26" t="n">
        <v>-178</v>
      </c>
      <c r="BL52" s="27" t="n">
        <v>1.561798</v>
      </c>
      <c r="BM52" s="28" t="n">
        <v>0.640288</v>
      </c>
      <c r="BN52" s="28" t="n"/>
      <c r="BO52" s="28" t="n"/>
      <c r="BP52" s="25" t="n"/>
      <c r="BQ52" s="27" t="n"/>
      <c r="BR52" s="28" t="n"/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</row>
    <row r="53" ht="36" customHeight="1">
      <c r="A53" s="24" t="inlineStr">
        <is>
          <t>0d3ad5512fa74cd7</t>
        </is>
      </c>
      <c r="B53" s="24" t="inlineStr">
        <is>
          <t>2026-08-01T23:53:24.455746Z</t>
        </is>
      </c>
      <c r="C53" s="24" t="inlineStr">
        <is>
          <t>2026-08-02T01:30Z</t>
        </is>
      </c>
      <c r="D53" s="24" t="inlineStr">
        <is>
          <t>761707</t>
        </is>
      </c>
      <c r="E53" s="24" t="inlineStr">
        <is>
          <t>SOCCER</t>
        </is>
      </c>
      <c r="F53" s="24" t="inlineStr">
        <is>
          <t>Austin FC</t>
        </is>
      </c>
      <c r="G53" s="24" t="inlineStr">
        <is>
          <t>Colorado Rapids</t>
        </is>
      </c>
      <c r="H53" s="24" t="inlineStr">
        <is>
          <t>total</t>
        </is>
      </c>
      <c r="I53" s="24" t="inlineStr">
        <is>
          <t>over</t>
        </is>
      </c>
      <c r="J53" s="25" t="n">
        <v>2.5</v>
      </c>
      <c r="K53" s="24" t="inlineStr">
        <is>
          <t>polymarket_us</t>
        </is>
      </c>
      <c r="L53" s="26" t="n">
        <v>-138</v>
      </c>
      <c r="M53" s="27" t="n">
        <v>1.724638</v>
      </c>
      <c r="N53" s="28" t="n">
        <v>0.579832</v>
      </c>
      <c r="O53" s="28" t="n">
        <v>0.683176</v>
      </c>
      <c r="P53" s="28" t="n">
        <v>0.04</v>
      </c>
      <c r="Q53" s="28" t="n">
        <v>0.103344</v>
      </c>
      <c r="R53" s="26" t="n">
        <v>78</v>
      </c>
      <c r="S53" s="29" t="n">
        <v>2</v>
      </c>
      <c r="T53" s="24" t="inlineStr">
        <is>
          <t>soccer-poisson-dc-v1</t>
        </is>
      </c>
      <c r="U53" s="24" t="inlineStr">
        <is>
          <t>settled</t>
        </is>
      </c>
      <c r="V53" s="24" t="inlineStr">
        <is>
          <t>loss</t>
        </is>
      </c>
      <c r="W53" s="26" t="n">
        <v>0</v>
      </c>
      <c r="X53" s="26" t="n">
        <v>1</v>
      </c>
      <c r="Y53" s="25" t="n"/>
      <c r="Z53" s="26" t="n"/>
      <c r="AA53" s="28" t="n"/>
      <c r="AB53" s="28" t="n"/>
      <c r="AC53" s="30" t="n">
        <v>-2</v>
      </c>
      <c r="AD53" s="24" t="inlineStr">
        <is>
          <t>2026-08-02T04:26:21.660283Z</t>
        </is>
      </c>
      <c r="AE53" s="31" t="inlineStr">
        <is>
          <t>Poisson-DC rates 2.28 (home) / 1.24 (away) from EWMA attack/defense strengths. Executable ask 0.5800 (tsc-mls-col-aus-2026-08-01-2pt5).</t>
        </is>
      </c>
      <c r="AF53" s="31" t="inlineStr">
        <is>
          <t>Research-only soccer score model; draw-aware, but not yet locked-holdout qualified.</t>
        </is>
      </c>
      <c r="AG53" s="24" t="inlineStr">
        <is>
          <t>review_required</t>
        </is>
      </c>
      <c r="AH53" s="24" t="n"/>
      <c r="AI53" s="31" t="n"/>
      <c r="AJ53" s="31" t="n"/>
      <c r="AK53" s="24" t="inlineStr">
        <is>
          <t>research_observation</t>
        </is>
      </c>
      <c r="AL53" s="26" t="n">
        <v>3</v>
      </c>
      <c r="AM53" s="24" t="inlineStr">
        <is>
          <t>RESEARCH_OBSERVATION</t>
        </is>
      </c>
      <c r="AN53" s="24" t="inlineStr">
        <is>
          <t>NO_CALL</t>
        </is>
      </c>
      <c r="AO53" s="24" t="inlineStr">
        <is>
          <t>NO_CALL_MODEL_UNVALIDATED</t>
        </is>
      </c>
      <c r="AP53" s="24" t="inlineStr">
        <is>
          <t>Austin FC</t>
        </is>
      </c>
      <c r="AQ53" s="24" t="inlineStr">
        <is>
          <t>Austin FC</t>
        </is>
      </c>
      <c r="AR53" s="24" t="inlineStr">
        <is>
          <t>Austin FC</t>
        </is>
      </c>
      <c r="AS53" s="24" t="inlineStr">
        <is>
          <t>Colorado Rapids</t>
        </is>
      </c>
      <c r="AT53" s="24" t="inlineStr">
        <is>
          <t>Colorado Rapids</t>
        </is>
      </c>
      <c r="AU53" s="24" t="inlineStr">
        <is>
          <t>Colorado Rapids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research</t>
        </is>
      </c>
      <c r="BA53" s="24" t="inlineStr">
        <is>
          <t>34d1568aad0ff11b5db35f118324684f93281e1c21fa7b80be7a4a4e2cb4bb03</t>
        </is>
      </c>
      <c r="BB53" s="24" t="inlineStr">
        <is>
          <t>poisson_dixon_coles</t>
        </is>
      </c>
      <c r="BC53" s="24" t="inlineStr">
        <is>
          <t>soccer-poisson-dc-v1</t>
        </is>
      </c>
      <c r="BD53" s="24" t="inlineStr">
        <is>
          <t>34d1568aad0ff11b5db35f118324684f93281e1c21fa7b80be7a4a4e2cb4bb03</t>
        </is>
      </c>
      <c r="BE53" s="24" t="inlineStr">
        <is>
          <t>soccer-poisson-dc-v1</t>
        </is>
      </c>
      <c r="BF53" s="24" t="inlineStr">
        <is>
          <t>1</t>
        </is>
      </c>
      <c r="BG53" s="24" t="inlineStr">
        <is>
          <t>34d1568aad0ff11b5db35f118324684f93281e1c21fa7b80be7a4a4e2cb4bb03</t>
        </is>
      </c>
      <c r="BH53" s="24" t="inlineStr">
        <is>
          <t>2026-08-01T23:52:11.070621Z</t>
        </is>
      </c>
      <c r="BI53" s="24" t="inlineStr">
        <is>
          <t>["same_event","same_team_same_day","same_league_same_day"]</t>
        </is>
      </c>
      <c r="BJ53" s="25" t="n">
        <v>2.5</v>
      </c>
      <c r="BK53" s="26" t="n">
        <v>-138</v>
      </c>
      <c r="BL53" s="27" t="n">
        <v>1.724638</v>
      </c>
      <c r="BM53" s="28" t="n">
        <v>0.579832</v>
      </c>
      <c r="BN53" s="28" t="n"/>
      <c r="BO53" s="28" t="n"/>
      <c r="BP53" s="25" t="n"/>
      <c r="BQ53" s="27" t="n"/>
      <c r="BR53" s="28" t="n"/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</row>
    <row r="54" ht="36" customHeight="1">
      <c r="A54" s="24" t="inlineStr">
        <is>
          <t>bc1b966bcbff4244</t>
        </is>
      </c>
      <c r="B54" s="24" t="inlineStr">
        <is>
          <t>2026-08-01T23:53:24.455746Z</t>
        </is>
      </c>
      <c r="C54" s="24" t="inlineStr">
        <is>
          <t>2026-08-02T02:30Z</t>
        </is>
      </c>
      <c r="D54" s="24" t="inlineStr">
        <is>
          <t>761709</t>
        </is>
      </c>
      <c r="E54" s="24" t="inlineStr">
        <is>
          <t>SOCCER</t>
        </is>
      </c>
      <c r="F54" s="24" t="inlineStr">
        <is>
          <t>FC Dallas</t>
        </is>
      </c>
      <c r="G54" s="24" t="inlineStr">
        <is>
          <t>LA Galaxy</t>
        </is>
      </c>
      <c r="H54" s="24" t="inlineStr">
        <is>
          <t>total</t>
        </is>
      </c>
      <c r="I54" s="24" t="inlineStr">
        <is>
          <t>over</t>
        </is>
      </c>
      <c r="J54" s="25" t="n">
        <v>2.5</v>
      </c>
      <c r="K54" s="24" t="inlineStr">
        <is>
          <t>polymarket_us</t>
        </is>
      </c>
      <c r="L54" s="26" t="n">
        <v>-178</v>
      </c>
      <c r="M54" s="27" t="n">
        <v>1.561798</v>
      </c>
      <c r="N54" s="28" t="n">
        <v>0.640288</v>
      </c>
      <c r="O54" s="28" t="n">
        <v>0.6876370000000001</v>
      </c>
      <c r="P54" s="28" t="n">
        <v>0.04</v>
      </c>
      <c r="Q54" s="28" t="n">
        <v>0.047349</v>
      </c>
      <c r="R54" s="26" t="n">
        <v>50</v>
      </c>
      <c r="S54" s="29" t="n">
        <v>2</v>
      </c>
      <c r="T54" s="24" t="inlineStr">
        <is>
          <t>soccer-poisson-dc-v1</t>
        </is>
      </c>
      <c r="U54" s="24" t="inlineStr">
        <is>
          <t>settled</t>
        </is>
      </c>
      <c r="V54" s="24" t="inlineStr">
        <is>
          <t>loss</t>
        </is>
      </c>
      <c r="W54" s="26" t="n">
        <v>0</v>
      </c>
      <c r="X54" s="26" t="n">
        <v>0</v>
      </c>
      <c r="Y54" s="25" t="n"/>
      <c r="Z54" s="26" t="n"/>
      <c r="AA54" s="28" t="n"/>
      <c r="AB54" s="28" t="n"/>
      <c r="AC54" s="30" t="n">
        <v>-2</v>
      </c>
      <c r="AD54" s="24" t="inlineStr">
        <is>
          <t>2026-08-02T05:39:24.511943Z</t>
        </is>
      </c>
      <c r="AE54" s="31" t="inlineStr">
        <is>
          <t>Poisson-DC rates 1.76 (home) / 1.79 (away) from EWMA attack/defense strengths. Executable ask 0.6400 (tsc-mls-lag-dal-2026-08-01-2pt5).</t>
        </is>
      </c>
      <c r="AF54" s="31" t="inlineStr">
        <is>
          <t>Research-only soccer score model; draw-aware, but not yet locked-holdout qualified.</t>
        </is>
      </c>
      <c r="AG54" s="24" t="inlineStr">
        <is>
          <t>review_required</t>
        </is>
      </c>
      <c r="AH54" s="24" t="n"/>
      <c r="AI54" s="31" t="n"/>
      <c r="AJ54" s="31" t="n"/>
      <c r="AK54" s="24" t="inlineStr">
        <is>
          <t>research_observation</t>
        </is>
      </c>
      <c r="AL54" s="26" t="n">
        <v>3</v>
      </c>
      <c r="AM54" s="24" t="inlineStr">
        <is>
          <t>RESEARCH_OBSERVATION</t>
        </is>
      </c>
      <c r="AN54" s="24" t="inlineStr">
        <is>
          <t>NO_CALL</t>
        </is>
      </c>
      <c r="AO54" s="24" t="inlineStr">
        <is>
          <t>NO_CALL_MODEL_UNVALIDATED</t>
        </is>
      </c>
      <c r="AP54" s="24" t="inlineStr">
        <is>
          <t>FC Dallas</t>
        </is>
      </c>
      <c r="AQ54" s="24" t="inlineStr">
        <is>
          <t>FC Dallas</t>
        </is>
      </c>
      <c r="AR54" s="24" t="inlineStr">
        <is>
          <t>FC Dallas</t>
        </is>
      </c>
      <c r="AS54" s="24" t="inlineStr">
        <is>
          <t>LA Galaxy</t>
        </is>
      </c>
      <c r="AT54" s="24" t="inlineStr">
        <is>
          <t>LA Galaxy</t>
        </is>
      </c>
      <c r="AU54" s="24" t="inlineStr">
        <is>
          <t>LA Galaxy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research</t>
        </is>
      </c>
      <c r="BA54" s="24" t="inlineStr">
        <is>
          <t>34d1568aad0ff11b5db35f118324684f93281e1c21fa7b80be7a4a4e2cb4bb03</t>
        </is>
      </c>
      <c r="BB54" s="24" t="inlineStr">
        <is>
          <t>poisson_dixon_coles</t>
        </is>
      </c>
      <c r="BC54" s="24" t="inlineStr">
        <is>
          <t>soccer-poisson-dc-v1</t>
        </is>
      </c>
      <c r="BD54" s="24" t="inlineStr">
        <is>
          <t>34d1568aad0ff11b5db35f118324684f93281e1c21fa7b80be7a4a4e2cb4bb03</t>
        </is>
      </c>
      <c r="BE54" s="24" t="inlineStr">
        <is>
          <t>soccer-poisson-dc-v1</t>
        </is>
      </c>
      <c r="BF54" s="24" t="inlineStr">
        <is>
          <t>1</t>
        </is>
      </c>
      <c r="BG54" s="24" t="inlineStr">
        <is>
          <t>34d1568aad0ff11b5db35f118324684f93281e1c21fa7b80be7a4a4e2cb4bb03</t>
        </is>
      </c>
      <c r="BH54" s="24" t="inlineStr">
        <is>
          <t>2026-08-01T23:52:12.107324Z</t>
        </is>
      </c>
      <c r="BI54" s="24" t="inlineStr">
        <is>
          <t>["same_event","same_team_same_day","same_league_same_day"]</t>
        </is>
      </c>
      <c r="BJ54" s="25" t="n">
        <v>2.5</v>
      </c>
      <c r="BK54" s="26" t="n">
        <v>-178</v>
      </c>
      <c r="BL54" s="27" t="n">
        <v>1.561798</v>
      </c>
      <c r="BM54" s="28" t="n">
        <v>0.640288</v>
      </c>
      <c r="BN54" s="28" t="n"/>
      <c r="BO54" s="28" t="n"/>
      <c r="BP54" s="25" t="n"/>
      <c r="BQ54" s="27" t="n"/>
      <c r="BR54" s="28" t="n"/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</row>
    <row r="55" ht="36" customHeight="1">
      <c r="A55" s="24" t="inlineStr">
        <is>
          <t>22fbb5383a354f59</t>
        </is>
      </c>
      <c r="B55" s="24" t="inlineStr">
        <is>
          <t>2026-08-01T23:53:24.455746Z</t>
        </is>
      </c>
      <c r="C55" s="24" t="inlineStr">
        <is>
          <t>2026-08-02T02:45Z</t>
        </is>
      </c>
      <c r="D55" s="24" t="inlineStr">
        <is>
          <t>761708</t>
        </is>
      </c>
      <c r="E55" s="24" t="inlineStr">
        <is>
          <t>SOCCER</t>
        </is>
      </c>
      <c r="F55" s="24" t="inlineStr">
        <is>
          <t>Seattle Sounders FC</t>
        </is>
      </c>
      <c r="G55" s="24" t="inlineStr">
        <is>
          <t>Portland Timbers</t>
        </is>
      </c>
      <c r="H55" s="24" t="inlineStr">
        <is>
          <t>total</t>
        </is>
      </c>
      <c r="I55" s="24" t="inlineStr">
        <is>
          <t>over</t>
        </is>
      </c>
      <c r="J55" s="25" t="n">
        <v>2.5</v>
      </c>
      <c r="K55" s="24" t="inlineStr">
        <is>
          <t>polymarket_us</t>
        </is>
      </c>
      <c r="L55" s="26" t="n">
        <v>-203</v>
      </c>
      <c r="M55" s="27" t="n">
        <v>1.492611</v>
      </c>
      <c r="N55" s="28" t="n">
        <v>0.669967</v>
      </c>
      <c r="O55" s="28" t="n">
        <v>0.666723</v>
      </c>
      <c r="P55" s="28" t="n">
        <v>0.04</v>
      </c>
      <c r="Q55" s="28" t="n">
        <v>-0.003244</v>
      </c>
      <c r="R55" s="26" t="n">
        <v>24</v>
      </c>
      <c r="S55" s="29" t="n">
        <v>1.75</v>
      </c>
      <c r="T55" s="24" t="inlineStr">
        <is>
          <t>soccer-poisson-dc-v1</t>
        </is>
      </c>
      <c r="U55" s="24" t="inlineStr">
        <is>
          <t>settled</t>
        </is>
      </c>
      <c r="V55" s="24" t="inlineStr">
        <is>
          <t>win</t>
        </is>
      </c>
      <c r="W55" s="26" t="n">
        <v>1</v>
      </c>
      <c r="X55" s="26" t="n">
        <v>2</v>
      </c>
      <c r="Y55" s="25" t="n"/>
      <c r="Z55" s="26" t="n"/>
      <c r="AA55" s="28" t="n"/>
      <c r="AB55" s="28" t="n"/>
      <c r="AC55" s="30" t="n">
        <v>0.8621</v>
      </c>
      <c r="AD55" s="24" t="inlineStr">
        <is>
          <t>2026-08-02T05:39:25.044697Z</t>
        </is>
      </c>
      <c r="AE55" s="31" t="inlineStr">
        <is>
          <t>Poisson-DC rates 1.85 (home) / 1.59 (away) from EWMA attack/defense strengths. Executable ask 0.6700 (tsc-mls-por-sea-2026-08-01-2pt5).</t>
        </is>
      </c>
      <c r="AF55" s="31" t="inlineStr">
        <is>
          <t>Research-only soccer score model; draw-aware, but not yet locked-holdout qualified.</t>
        </is>
      </c>
      <c r="AG55" s="24" t="inlineStr">
        <is>
          <t>not_applicable</t>
        </is>
      </c>
      <c r="AH55" s="24" t="n"/>
      <c r="AI55" s="31" t="n"/>
      <c r="AJ55" s="31" t="n"/>
      <c r="AK55" s="24" t="inlineStr">
        <is>
          <t>research_observation</t>
        </is>
      </c>
      <c r="AL55" s="26" t="n">
        <v>3</v>
      </c>
      <c r="AM55" s="24" t="inlineStr">
        <is>
          <t>RESEARCH_OBSERVATION</t>
        </is>
      </c>
      <c r="AN55" s="24" t="inlineStr">
        <is>
          <t>NO_CALL</t>
        </is>
      </c>
      <c r="AO55" s="24" t="inlineStr">
        <is>
          <t>NO_CALL_MODEL_UNVALIDATED</t>
        </is>
      </c>
      <c r="AP55" s="24" t="inlineStr">
        <is>
          <t>Seattle Sounders FC</t>
        </is>
      </c>
      <c r="AQ55" s="24" t="inlineStr">
        <is>
          <t>Seattle Sounders FC</t>
        </is>
      </c>
      <c r="AR55" s="24" t="inlineStr">
        <is>
          <t>Seattle Sounders FC</t>
        </is>
      </c>
      <c r="AS55" s="24" t="inlineStr">
        <is>
          <t>Portland Timbers</t>
        </is>
      </c>
      <c r="AT55" s="24" t="inlineStr">
        <is>
          <t>Portland Timbers</t>
        </is>
      </c>
      <c r="AU55" s="24" t="inlineStr">
        <is>
          <t>Portland Timbers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research</t>
        </is>
      </c>
      <c r="BA55" s="24" t="inlineStr">
        <is>
          <t>34d1568aad0ff11b5db35f118324684f93281e1c21fa7b80be7a4a4e2cb4bb03</t>
        </is>
      </c>
      <c r="BB55" s="24" t="inlineStr">
        <is>
          <t>poisson_dixon_coles</t>
        </is>
      </c>
      <c r="BC55" s="24" t="inlineStr">
        <is>
          <t>soccer-poisson-dc-v1</t>
        </is>
      </c>
      <c r="BD55" s="24" t="inlineStr">
        <is>
          <t>34d1568aad0ff11b5db35f118324684f93281e1c21fa7b80be7a4a4e2cb4bb03</t>
        </is>
      </c>
      <c r="BE55" s="24" t="inlineStr">
        <is>
          <t>soccer-poisson-dc-v1</t>
        </is>
      </c>
      <c r="BF55" s="24" t="inlineStr">
        <is>
          <t>1</t>
        </is>
      </c>
      <c r="BG55" s="24" t="inlineStr">
        <is>
          <t>34d1568aad0ff11b5db35f118324684f93281e1c21fa7b80be7a4a4e2cb4bb03</t>
        </is>
      </c>
      <c r="BH55" s="24" t="inlineStr">
        <is>
          <t>2026-08-01T23:52:13.426637Z</t>
        </is>
      </c>
      <c r="BI55" s="24" t="inlineStr">
        <is>
          <t>["same_event","same_team_same_day","same_league_same_day"]</t>
        </is>
      </c>
      <c r="BJ55" s="25" t="n">
        <v>2.5</v>
      </c>
      <c r="BK55" s="26" t="n">
        <v>-203</v>
      </c>
      <c r="BL55" s="27" t="n">
        <v>1.492611</v>
      </c>
      <c r="BM55" s="28" t="n">
        <v>0.669967</v>
      </c>
      <c r="BN55" s="28" t="n"/>
      <c r="BO55" s="28" t="n"/>
      <c r="BP55" s="25" t="n"/>
      <c r="BQ55" s="27" t="n"/>
      <c r="BR55" s="28" t="n"/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</row>
    <row r="56" ht="36" customHeight="1">
      <c r="A56" s="24" t="inlineStr">
        <is>
          <t>fc4e7c8832354064</t>
        </is>
      </c>
      <c r="B56" s="24" t="inlineStr">
        <is>
          <t>2026-08-01T23:53:24.455746Z</t>
        </is>
      </c>
      <c r="C56" s="24" t="inlineStr">
        <is>
          <t>2026-08-02T00:30Z</t>
        </is>
      </c>
      <c r="D56" s="24" t="inlineStr">
        <is>
          <t>761704</t>
        </is>
      </c>
      <c r="E56" s="24" t="inlineStr">
        <is>
          <t>SOCCER</t>
        </is>
      </c>
      <c r="F56" s="24" t="inlineStr">
        <is>
          <t>Charlotte FC</t>
        </is>
      </c>
      <c r="G56" s="24" t="inlineStr">
        <is>
          <t>Chicago Fire FC</t>
        </is>
      </c>
      <c r="H56" s="24" t="inlineStr">
        <is>
          <t>moneyline</t>
        </is>
      </c>
      <c r="I56" s="24" t="inlineStr">
        <is>
          <t>home</t>
        </is>
      </c>
      <c r="J56" s="25" t="n"/>
      <c r="K56" s="24" t="inlineStr">
        <is>
          <t>polymarket_us</t>
        </is>
      </c>
      <c r="L56" s="26" t="n">
        <v>-186</v>
      </c>
      <c r="M56" s="27" t="n">
        <v>1.537634</v>
      </c>
      <c r="N56" s="28" t="n">
        <v>0.65035</v>
      </c>
      <c r="O56" s="28" t="n">
        <v>0.576863</v>
      </c>
      <c r="P56" s="28" t="n">
        <v>0.04</v>
      </c>
      <c r="Q56" s="28" t="n">
        <v>-0.073487</v>
      </c>
      <c r="R56" s="26" t="n">
        <v>0</v>
      </c>
      <c r="S56" s="29" t="n">
        <v>1.25</v>
      </c>
      <c r="T56" s="24" t="inlineStr">
        <is>
          <t>soccer-poisson-dc-v1</t>
        </is>
      </c>
      <c r="U56" s="24" t="inlineStr">
        <is>
          <t>settled</t>
        </is>
      </c>
      <c r="V56" s="24" t="inlineStr">
        <is>
          <t>win</t>
        </is>
      </c>
      <c r="W56" s="26" t="n">
        <v>1</v>
      </c>
      <c r="X56" s="26" t="n">
        <v>2</v>
      </c>
      <c r="Y56" s="25" t="n"/>
      <c r="Z56" s="26" t="n"/>
      <c r="AA56" s="28" t="n"/>
      <c r="AB56" s="28" t="n"/>
      <c r="AC56" s="30" t="n">
        <v>0.672</v>
      </c>
      <c r="AD56" s="24" t="inlineStr">
        <is>
          <t>2026-08-02T03:26:18.789170Z</t>
        </is>
      </c>
      <c r="AE56" s="31" t="inlineStr">
        <is>
          <t>Poisson-DC rates 2.21 (home) / 1.28 (away) from EWMA attack/defense strengths. Executable ask 0.6500 (atc-mls-chi-clt-2026-08-01-chi).</t>
        </is>
      </c>
      <c r="AF56" s="31" t="inlineStr">
        <is>
          <t>Research-only soccer score model; draw-aware, but not yet locked-holdout qualified.</t>
        </is>
      </c>
      <c r="AG56" s="24" t="inlineStr">
        <is>
          <t>not_applicable</t>
        </is>
      </c>
      <c r="AH56" s="24" t="n"/>
      <c r="AI56" s="31" t="n"/>
      <c r="AJ56" s="31" t="n"/>
      <c r="AK56" s="24" t="inlineStr">
        <is>
          <t>research_observation</t>
        </is>
      </c>
      <c r="AL56" s="26" t="n">
        <v>3</v>
      </c>
      <c r="AM56" s="24" t="inlineStr">
        <is>
          <t>RESEARCH_OBSERVATION</t>
        </is>
      </c>
      <c r="AN56" s="24" t="inlineStr">
        <is>
          <t>NO_CALL</t>
        </is>
      </c>
      <c r="AO56" s="24" t="inlineStr">
        <is>
          <t>NO_CALL_MODEL_UNVALIDATED</t>
        </is>
      </c>
      <c r="AP56" s="24" t="inlineStr">
        <is>
          <t>Charlotte FC</t>
        </is>
      </c>
      <c r="AQ56" s="24" t="inlineStr">
        <is>
          <t>Charlotte FC</t>
        </is>
      </c>
      <c r="AR56" s="24" t="inlineStr">
        <is>
          <t>Charlotte FC</t>
        </is>
      </c>
      <c r="AS56" s="24" t="inlineStr">
        <is>
          <t>Chicago Fire FC</t>
        </is>
      </c>
      <c r="AT56" s="24" t="inlineStr">
        <is>
          <t>Chicago Fire FC</t>
        </is>
      </c>
      <c r="AU56" s="24" t="inlineStr">
        <is>
          <t>Chicago Fire FC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research</t>
        </is>
      </c>
      <c r="BA56" s="24" t="inlineStr">
        <is>
          <t>34d1568aad0ff11b5db35f118324684f93281e1c21fa7b80be7a4a4e2cb4bb03</t>
        </is>
      </c>
      <c r="BB56" s="24" t="inlineStr">
        <is>
          <t>poisson_dixon_coles</t>
        </is>
      </c>
      <c r="BC56" s="24" t="inlineStr">
        <is>
          <t>soccer-poisson-dc-v1</t>
        </is>
      </c>
      <c r="BD56" s="24" t="inlineStr">
        <is>
          <t>34d1568aad0ff11b5db35f118324684f93281e1c21fa7b80be7a4a4e2cb4bb03</t>
        </is>
      </c>
      <c r="BE56" s="24" t="inlineStr">
        <is>
          <t>soccer-poisson-dc-v1</t>
        </is>
      </c>
      <c r="BF56" s="24" t="inlineStr">
        <is>
          <t>1</t>
        </is>
      </c>
      <c r="BG56" s="24" t="inlineStr">
        <is>
          <t>34d1568aad0ff11b5db35f118324684f93281e1c21fa7b80be7a4a4e2cb4bb03</t>
        </is>
      </c>
      <c r="BH56" s="24" t="inlineStr">
        <is>
          <t>2026-08-01T23:52:03.002096Z</t>
        </is>
      </c>
      <c r="BI56" s="24" t="inlineStr">
        <is>
          <t>["same_event","same_team_same_day","same_league_same_day"]</t>
        </is>
      </c>
      <c r="BJ56" s="25" t="n"/>
      <c r="BK56" s="26" t="n">
        <v>-186</v>
      </c>
      <c r="BL56" s="27" t="n">
        <v>1.537634</v>
      </c>
      <c r="BM56" s="28" t="n">
        <v>0.65035</v>
      </c>
      <c r="BN56" s="28" t="n"/>
      <c r="BO56" s="28" t="n"/>
      <c r="BP56" s="25" t="n"/>
      <c r="BQ56" s="27" t="n"/>
      <c r="BR56" s="28" t="n"/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</row>
    <row r="57" ht="36" customHeight="1">
      <c r="A57" s="24" t="inlineStr">
        <is>
          <t>0c98127e634e4762</t>
        </is>
      </c>
      <c r="B57" s="24" t="inlineStr">
        <is>
          <t>2026-08-01T23:53:24.455746Z</t>
        </is>
      </c>
      <c r="C57" s="24" t="inlineStr">
        <is>
          <t>2026-08-02T00:30Z</t>
        </is>
      </c>
      <c r="D57" s="24" t="inlineStr">
        <is>
          <t>761703</t>
        </is>
      </c>
      <c r="E57" s="24" t="inlineStr">
        <is>
          <t>SOCCER</t>
        </is>
      </c>
      <c r="F57" s="24" t="inlineStr">
        <is>
          <t>San Diego FC</t>
        </is>
      </c>
      <c r="G57" s="24" t="inlineStr">
        <is>
          <t>Minnesota United FC</t>
        </is>
      </c>
      <c r="H57" s="24" t="inlineStr">
        <is>
          <t>moneyline</t>
        </is>
      </c>
      <c r="I57" s="24" t="inlineStr">
        <is>
          <t>home</t>
        </is>
      </c>
      <c r="J57" s="25" t="n"/>
      <c r="K57" s="24" t="inlineStr">
        <is>
          <t>polymarket_us</t>
        </is>
      </c>
      <c r="L57" s="26" t="n">
        <v>104</v>
      </c>
      <c r="M57" s="27" t="n">
        <v>2.04</v>
      </c>
      <c r="N57" s="28" t="n">
        <v>0.490196</v>
      </c>
      <c r="O57" s="28" t="n">
        <v>0.405166</v>
      </c>
      <c r="P57" s="28" t="n">
        <v>0.04</v>
      </c>
      <c r="Q57" s="28" t="n">
        <v>-0.08502999999999999</v>
      </c>
      <c r="R57" s="26" t="n">
        <v>0</v>
      </c>
      <c r="S57" s="29" t="n">
        <v>1.25</v>
      </c>
      <c r="T57" s="24" t="inlineStr">
        <is>
          <t>soccer-poisson-dc-v1</t>
        </is>
      </c>
      <c r="U57" s="24" t="inlineStr">
        <is>
          <t>settled</t>
        </is>
      </c>
      <c r="V57" s="24" t="inlineStr">
        <is>
          <t>push</t>
        </is>
      </c>
      <c r="W57" s="26" t="n">
        <v>1</v>
      </c>
      <c r="X57" s="26" t="n">
        <v>1</v>
      </c>
      <c r="Y57" s="25" t="n"/>
      <c r="Z57" s="26" t="n"/>
      <c r="AA57" s="28" t="n"/>
      <c r="AB57" s="28" t="n"/>
      <c r="AC57" s="30" t="n">
        <v>0</v>
      </c>
      <c r="AD57" s="24" t="inlineStr">
        <is>
          <t>2026-08-02T03:26:19.306168Z</t>
        </is>
      </c>
      <c r="AE57" s="31" t="inlineStr">
        <is>
          <t>Poisson-DC rates 1.78 (home) / 1.65 (away) from EWMA attack/defense strengths. Executable ask 0.4900 (atc-mls-min-sdg-2026-08-01-min).</t>
        </is>
      </c>
      <c r="AF57" s="31" t="inlineStr">
        <is>
          <t>Research-only soccer score model; draw-aware, but not yet locked-holdout qualified.</t>
        </is>
      </c>
      <c r="AG57" s="24" t="inlineStr">
        <is>
          <t>not_applicable</t>
        </is>
      </c>
      <c r="AH57" s="24" t="n"/>
      <c r="AI57" s="31" t="n"/>
      <c r="AJ57" s="31" t="n"/>
      <c r="AK57" s="24" t="inlineStr">
        <is>
          <t>research_observation</t>
        </is>
      </c>
      <c r="AL57" s="26" t="n">
        <v>3</v>
      </c>
      <c r="AM57" s="24" t="inlineStr">
        <is>
          <t>RESEARCH_OBSERVATION</t>
        </is>
      </c>
      <c r="AN57" s="24" t="inlineStr">
        <is>
          <t>NO_CALL</t>
        </is>
      </c>
      <c r="AO57" s="24" t="inlineStr">
        <is>
          <t>NO_CALL_MODEL_UNVALIDATED</t>
        </is>
      </c>
      <c r="AP57" s="24" t="inlineStr">
        <is>
          <t>San Diego FC</t>
        </is>
      </c>
      <c r="AQ57" s="24" t="inlineStr">
        <is>
          <t>San Diego FC</t>
        </is>
      </c>
      <c r="AR57" s="24" t="inlineStr">
        <is>
          <t>San Diego FC</t>
        </is>
      </c>
      <c r="AS57" s="24" t="inlineStr">
        <is>
          <t>Minnesota United FC</t>
        </is>
      </c>
      <c r="AT57" s="24" t="inlineStr">
        <is>
          <t>Minnesota United FC</t>
        </is>
      </c>
      <c r="AU57" s="24" t="inlineStr">
        <is>
          <t>Minnesota United FC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research</t>
        </is>
      </c>
      <c r="BA57" s="24" t="inlineStr">
        <is>
          <t>34d1568aad0ff11b5db35f118324684f93281e1c21fa7b80be7a4a4e2cb4bb03</t>
        </is>
      </c>
      <c r="BB57" s="24" t="inlineStr">
        <is>
          <t>poisson_dixon_coles</t>
        </is>
      </c>
      <c r="BC57" s="24" t="inlineStr">
        <is>
          <t>soccer-poisson-dc-v1</t>
        </is>
      </c>
      <c r="BD57" s="24" t="inlineStr">
        <is>
          <t>34d1568aad0ff11b5db35f118324684f93281e1c21fa7b80be7a4a4e2cb4bb03</t>
        </is>
      </c>
      <c r="BE57" s="24" t="inlineStr">
        <is>
          <t>soccer-poisson-dc-v1</t>
        </is>
      </c>
      <c r="BF57" s="24" t="inlineStr">
        <is>
          <t>1</t>
        </is>
      </c>
      <c r="BG57" s="24" t="inlineStr">
        <is>
          <t>34d1568aad0ff11b5db35f118324684f93281e1c21fa7b80be7a4a4e2cb4bb03</t>
        </is>
      </c>
      <c r="BH57" s="24" t="inlineStr">
        <is>
          <t>2026-08-01T23:52:04.626307Z</t>
        </is>
      </c>
      <c r="BI57" s="24" t="inlineStr">
        <is>
          <t>["same_event","same_team_same_day","same_league_same_day"]</t>
        </is>
      </c>
      <c r="BJ57" s="25" t="n"/>
      <c r="BK57" s="26" t="n">
        <v>104</v>
      </c>
      <c r="BL57" s="27" t="n">
        <v>2.04</v>
      </c>
      <c r="BM57" s="28" t="n">
        <v>0.490196</v>
      </c>
      <c r="BN57" s="28" t="n"/>
      <c r="BO57" s="28" t="n"/>
      <c r="BP57" s="25" t="n"/>
      <c r="BQ57" s="27" t="n"/>
      <c r="BR57" s="28" t="n"/>
      <c r="BS57" s="28" t="n"/>
      <c r="BT57" s="28" t="n"/>
      <c r="BU57" s="25" t="n"/>
      <c r="BV57" s="29" t="n"/>
      <c r="BW57" s="24" t="n"/>
      <c r="BX57" s="30" t="n"/>
      <c r="BY57" s="27" t="n"/>
      <c r="BZ57" s="24" t="n"/>
      <c r="CA57" s="31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</row>
    <row r="58" ht="36" customHeight="1">
      <c r="A58" s="24" t="inlineStr">
        <is>
          <t>6faae02228ba477e</t>
        </is>
      </c>
      <c r="B58" s="24" t="inlineStr">
        <is>
          <t>2026-08-01T23:53:24.455746Z</t>
        </is>
      </c>
      <c r="C58" s="24" t="inlineStr">
        <is>
          <t>2026-08-02T00:30Z</t>
        </is>
      </c>
      <c r="D58" s="24" t="inlineStr">
        <is>
          <t>761706</t>
        </is>
      </c>
      <c r="E58" s="24" t="inlineStr">
        <is>
          <t>SOCCER</t>
        </is>
      </c>
      <c r="F58" s="24" t="inlineStr">
        <is>
          <t>Houston Dynamo FC</t>
        </is>
      </c>
      <c r="G58" s="24" t="inlineStr">
        <is>
          <t>Sporting Kansas City</t>
        </is>
      </c>
      <c r="H58" s="24" t="inlineStr">
        <is>
          <t>moneyline</t>
        </is>
      </c>
      <c r="I58" s="24" t="inlineStr">
        <is>
          <t>away</t>
        </is>
      </c>
      <c r="J58" s="25" t="n"/>
      <c r="K58" s="24" t="inlineStr">
        <is>
          <t>polymarket_us</t>
        </is>
      </c>
      <c r="L58" s="26" t="n">
        <v>117</v>
      </c>
      <c r="M58" s="27" t="n">
        <v>2.17</v>
      </c>
      <c r="N58" s="28" t="n">
        <v>0.460829</v>
      </c>
      <c r="O58" s="28" t="n">
        <v>0.458041</v>
      </c>
      <c r="P58" s="28" t="n">
        <v>0.04</v>
      </c>
      <c r="Q58" s="28" t="n">
        <v>-0.002788</v>
      </c>
      <c r="R58" s="26" t="n">
        <v>25</v>
      </c>
      <c r="S58" s="29" t="n">
        <v>1</v>
      </c>
      <c r="T58" s="24" t="inlineStr">
        <is>
          <t>soccer-poisson-dc-v1</t>
        </is>
      </c>
      <c r="U58" s="24" t="inlineStr">
        <is>
          <t>settled</t>
        </is>
      </c>
      <c r="V58" s="24" t="inlineStr">
        <is>
          <t>win</t>
        </is>
      </c>
      <c r="W58" s="26" t="n">
        <v>2</v>
      </c>
      <c r="X58" s="26" t="n">
        <v>0</v>
      </c>
      <c r="Y58" s="25" t="n"/>
      <c r="Z58" s="26" t="n"/>
      <c r="AA58" s="28" t="n"/>
      <c r="AB58" s="28" t="n"/>
      <c r="AC58" s="30" t="n">
        <v>1.17</v>
      </c>
      <c r="AD58" s="24" t="inlineStr">
        <is>
          <t>2026-08-02T03:26:19.661895Z</t>
        </is>
      </c>
      <c r="AE58" s="31" t="inlineStr">
        <is>
          <t>Poisson-DC rates 1.49 (home) / 1.87 (away) from EWMA attack/defense strengths. Executable ask 0.4600 (atc-mls-skc-hou-2026-08-01-hou).</t>
        </is>
      </c>
      <c r="AF58" s="31" t="inlineStr">
        <is>
          <t>Research-only soccer score model; draw-aware, but not yet locked-holdout qualified.</t>
        </is>
      </c>
      <c r="AG58" s="24" t="inlineStr">
        <is>
          <t>not_applicable</t>
        </is>
      </c>
      <c r="AH58" s="24" t="n"/>
      <c r="AI58" s="31" t="n"/>
      <c r="AJ58" s="31" t="n"/>
      <c r="AK58" s="24" t="inlineStr">
        <is>
          <t>research_observation</t>
        </is>
      </c>
      <c r="AL58" s="26" t="n">
        <v>3</v>
      </c>
      <c r="AM58" s="24" t="inlineStr">
        <is>
          <t>RESEARCH_OBSERVATION</t>
        </is>
      </c>
      <c r="AN58" s="24" t="inlineStr">
        <is>
          <t>NO_CALL</t>
        </is>
      </c>
      <c r="AO58" s="24" t="inlineStr">
        <is>
          <t>NO_CALL_MODEL_UNVALIDATED</t>
        </is>
      </c>
      <c r="AP58" s="24" t="inlineStr">
        <is>
          <t>Houston Dynamo FC</t>
        </is>
      </c>
      <c r="AQ58" s="24" t="inlineStr">
        <is>
          <t>Houston Dynamo FC</t>
        </is>
      </c>
      <c r="AR58" s="24" t="inlineStr">
        <is>
          <t>Houston Dynamo FC</t>
        </is>
      </c>
      <c r="AS58" s="24" t="inlineStr">
        <is>
          <t>Sporting Kansas City</t>
        </is>
      </c>
      <c r="AT58" s="24" t="inlineStr">
        <is>
          <t>Sporting Kansas City</t>
        </is>
      </c>
      <c r="AU58" s="24" t="inlineStr">
        <is>
          <t>Sporting Kansas City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research</t>
        </is>
      </c>
      <c r="BA58" s="24" t="inlineStr">
        <is>
          <t>34d1568aad0ff11b5db35f118324684f93281e1c21fa7b80be7a4a4e2cb4bb03</t>
        </is>
      </c>
      <c r="BB58" s="24" t="inlineStr">
        <is>
          <t>poisson_dixon_coles</t>
        </is>
      </c>
      <c r="BC58" s="24" t="inlineStr">
        <is>
          <t>soccer-poisson-dc-v1</t>
        </is>
      </c>
      <c r="BD58" s="24" t="inlineStr">
        <is>
          <t>34d1568aad0ff11b5db35f118324684f93281e1c21fa7b80be7a4a4e2cb4bb03</t>
        </is>
      </c>
      <c r="BE58" s="24" t="inlineStr">
        <is>
          <t>soccer-poisson-dc-v1</t>
        </is>
      </c>
      <c r="BF58" s="24" t="inlineStr">
        <is>
          <t>1</t>
        </is>
      </c>
      <c r="BG58" s="24" t="inlineStr">
        <is>
          <t>34d1568aad0ff11b5db35f118324684f93281e1c21fa7b80be7a4a4e2cb4bb03</t>
        </is>
      </c>
      <c r="BH58" s="24" t="inlineStr">
        <is>
          <t>2026-08-01T23:52:06.344991Z</t>
        </is>
      </c>
      <c r="BI58" s="24" t="inlineStr">
        <is>
          <t>["same_event","same_team_same_day","same_league_same_day"]</t>
        </is>
      </c>
      <c r="BJ58" s="25" t="n"/>
      <c r="BK58" s="26" t="n">
        <v>117</v>
      </c>
      <c r="BL58" s="27" t="n">
        <v>2.17</v>
      </c>
      <c r="BM58" s="28" t="n">
        <v>0.460829</v>
      </c>
      <c r="BN58" s="28" t="n"/>
      <c r="BO58" s="28" t="n"/>
      <c r="BP58" s="25" t="n"/>
      <c r="BQ58" s="27" t="n"/>
      <c r="BR58" s="28" t="n"/>
      <c r="BS58" s="28" t="n"/>
      <c r="BT58" s="28" t="n"/>
      <c r="BU58" s="25" t="n"/>
      <c r="BV58" s="29" t="n"/>
      <c r="BW58" s="24" t="n"/>
      <c r="BX58" s="30" t="n"/>
      <c r="BY58" s="27" t="n"/>
      <c r="BZ58" s="24" t="n"/>
      <c r="CA58" s="31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</row>
    <row r="59" ht="36" customHeight="1">
      <c r="A59" s="24" t="inlineStr">
        <is>
          <t>cc6b8b218f134422</t>
        </is>
      </c>
      <c r="B59" s="24" t="inlineStr">
        <is>
          <t>2026-08-01T23:53:24.455746Z</t>
        </is>
      </c>
      <c r="C59" s="24" t="inlineStr">
        <is>
          <t>2026-08-02T00:30Z</t>
        </is>
      </c>
      <c r="D59" s="24" t="inlineStr">
        <is>
          <t>761705</t>
        </is>
      </c>
      <c r="E59" s="24" t="inlineStr">
        <is>
          <t>SOCCER</t>
        </is>
      </c>
      <c r="F59" s="24" t="inlineStr">
        <is>
          <t>Real Salt Lake</t>
        </is>
      </c>
      <c r="G59" s="24" t="inlineStr">
        <is>
          <t>St. Louis CITY SC</t>
        </is>
      </c>
      <c r="H59" s="24" t="inlineStr">
        <is>
          <t>moneyline</t>
        </is>
      </c>
      <c r="I59" s="24" t="inlineStr">
        <is>
          <t>home</t>
        </is>
      </c>
      <c r="J59" s="25" t="n"/>
      <c r="K59" s="24" t="inlineStr">
        <is>
          <t>polymarket_us</t>
        </is>
      </c>
      <c r="L59" s="26" t="n">
        <v>100</v>
      </c>
      <c r="M59" s="27" t="n">
        <v>2</v>
      </c>
      <c r="N59" s="28" t="n">
        <v>0.5</v>
      </c>
      <c r="O59" s="28" t="n">
        <v>0.416937</v>
      </c>
      <c r="P59" s="28" t="n">
        <v>0.04</v>
      </c>
      <c r="Q59" s="28" t="n">
        <v>-0.083063</v>
      </c>
      <c r="R59" s="26" t="n">
        <v>0</v>
      </c>
      <c r="S59" s="29" t="n">
        <v>1.25</v>
      </c>
      <c r="T59" s="24" t="inlineStr">
        <is>
          <t>soccer-poisson-dc-v1</t>
        </is>
      </c>
      <c r="U59" s="24" t="inlineStr">
        <is>
          <t>settled</t>
        </is>
      </c>
      <c r="V59" s="24" t="inlineStr">
        <is>
          <t>push</t>
        </is>
      </c>
      <c r="W59" s="26" t="n">
        <v>1</v>
      </c>
      <c r="X59" s="26" t="n">
        <v>1</v>
      </c>
      <c r="Y59" s="25" t="n"/>
      <c r="Z59" s="26" t="n"/>
      <c r="AA59" s="28" t="n"/>
      <c r="AB59" s="28" t="n"/>
      <c r="AC59" s="30" t="n">
        <v>0</v>
      </c>
      <c r="AD59" s="24" t="inlineStr">
        <is>
          <t>2026-08-02T03:26:20.027864Z</t>
        </is>
      </c>
      <c r="AE59" s="31" t="inlineStr">
        <is>
          <t>Poisson-DC rates 1.71 (home) / 1.51 (away) from EWMA attack/defense strengths. Executable ask 0.5000 (atc-mls-stl-rsl-2026-08-01-stl).</t>
        </is>
      </c>
      <c r="AF59" s="31" t="inlineStr">
        <is>
          <t>Research-only soccer score model; draw-aware, but not yet locked-holdout qualified.</t>
        </is>
      </c>
      <c r="AG59" s="24" t="inlineStr">
        <is>
          <t>not_applicable</t>
        </is>
      </c>
      <c r="AH59" s="24" t="n"/>
      <c r="AI59" s="31" t="n"/>
      <c r="AJ59" s="31" t="n"/>
      <c r="AK59" s="24" t="inlineStr">
        <is>
          <t>research_observation</t>
        </is>
      </c>
      <c r="AL59" s="26" t="n">
        <v>3</v>
      </c>
      <c r="AM59" s="24" t="inlineStr">
        <is>
          <t>RESEARCH_OBSERVATION</t>
        </is>
      </c>
      <c r="AN59" s="24" t="inlineStr">
        <is>
          <t>NO_CALL</t>
        </is>
      </c>
      <c r="AO59" s="24" t="inlineStr">
        <is>
          <t>NO_CALL_MODEL_UNVALIDATED</t>
        </is>
      </c>
      <c r="AP59" s="24" t="inlineStr">
        <is>
          <t>Real Salt Lake</t>
        </is>
      </c>
      <c r="AQ59" s="24" t="inlineStr">
        <is>
          <t>Real Salt Lake</t>
        </is>
      </c>
      <c r="AR59" s="24" t="inlineStr">
        <is>
          <t>Real Salt Lake</t>
        </is>
      </c>
      <c r="AS59" s="24" t="inlineStr">
        <is>
          <t>St. Louis CITY SC</t>
        </is>
      </c>
      <c r="AT59" s="24" t="inlineStr">
        <is>
          <t>St. Louis CITY SC</t>
        </is>
      </c>
      <c r="AU59" s="24" t="inlineStr">
        <is>
          <t>St. Louis CITY SC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research</t>
        </is>
      </c>
      <c r="BA59" s="24" t="inlineStr">
        <is>
          <t>34d1568aad0ff11b5db35f118324684f93281e1c21fa7b80be7a4a4e2cb4bb03</t>
        </is>
      </c>
      <c r="BB59" s="24" t="inlineStr">
        <is>
          <t>poisson_dixon_coles</t>
        </is>
      </c>
      <c r="BC59" s="24" t="inlineStr">
        <is>
          <t>soccer-poisson-dc-v1</t>
        </is>
      </c>
      <c r="BD59" s="24" t="inlineStr">
        <is>
          <t>34d1568aad0ff11b5db35f118324684f93281e1c21fa7b80be7a4a4e2cb4bb03</t>
        </is>
      </c>
      <c r="BE59" s="24" t="inlineStr">
        <is>
          <t>soccer-poisson-dc-v1</t>
        </is>
      </c>
      <c r="BF59" s="24" t="inlineStr">
        <is>
          <t>1</t>
        </is>
      </c>
      <c r="BG59" s="24" t="inlineStr">
        <is>
          <t>34d1568aad0ff11b5db35f118324684f93281e1c21fa7b80be7a4a4e2cb4bb03</t>
        </is>
      </c>
      <c r="BH59" s="24" t="inlineStr">
        <is>
          <t>2026-08-01T23:52:07.835197Z</t>
        </is>
      </c>
      <c r="BI59" s="24" t="inlineStr">
        <is>
          <t>["same_event","same_team_same_day","same_league_same_day"]</t>
        </is>
      </c>
      <c r="BJ59" s="25" t="n"/>
      <c r="BK59" s="26" t="n">
        <v>100</v>
      </c>
      <c r="BL59" s="27" t="n">
        <v>2</v>
      </c>
      <c r="BM59" s="28" t="n">
        <v>0.5</v>
      </c>
      <c r="BN59" s="28" t="n"/>
      <c r="BO59" s="28" t="n"/>
      <c r="BP59" s="25" t="n"/>
      <c r="BQ59" s="27" t="n"/>
      <c r="BR59" s="28" t="n"/>
      <c r="BS59" s="28" t="n"/>
      <c r="BT59" s="28" t="n"/>
      <c r="BU59" s="25" t="n"/>
      <c r="BV59" s="29" t="n"/>
      <c r="BW59" s="24" t="n"/>
      <c r="BX59" s="30" t="n"/>
      <c r="BY59" s="27" t="n"/>
      <c r="BZ59" s="24" t="n"/>
      <c r="CA59" s="31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</row>
    <row r="60" ht="36" customHeight="1">
      <c r="A60" s="24" t="inlineStr">
        <is>
          <t>22f0f340d5054823</t>
        </is>
      </c>
      <c r="B60" s="24" t="inlineStr">
        <is>
          <t>2026-08-01T23:53:24.455746Z</t>
        </is>
      </c>
      <c r="C60" s="24" t="inlineStr">
        <is>
          <t>2026-08-02T01:30Z</t>
        </is>
      </c>
      <c r="D60" s="24" t="inlineStr">
        <is>
          <t>761707</t>
        </is>
      </c>
      <c r="E60" s="24" t="inlineStr">
        <is>
          <t>SOCCER</t>
        </is>
      </c>
      <c r="F60" s="24" t="inlineStr">
        <is>
          <t>Austin FC</t>
        </is>
      </c>
      <c r="G60" s="24" t="inlineStr">
        <is>
          <t>Colorado Rapids</t>
        </is>
      </c>
      <c r="H60" s="24" t="inlineStr">
        <is>
          <t>moneyline</t>
        </is>
      </c>
      <c r="I60" s="24" t="inlineStr">
        <is>
          <t>home</t>
        </is>
      </c>
      <c r="J60" s="25" t="n"/>
      <c r="K60" s="24" t="inlineStr">
        <is>
          <t>polymarket_us</t>
        </is>
      </c>
      <c r="L60" s="26" t="n">
        <v>-127</v>
      </c>
      <c r="M60" s="27" t="n">
        <v>1.787402</v>
      </c>
      <c r="N60" s="28" t="n">
        <v>0.5594710000000001</v>
      </c>
      <c r="O60" s="28" t="n">
        <v>0.6000259999999999</v>
      </c>
      <c r="P60" s="28" t="n">
        <v>0.04</v>
      </c>
      <c r="Q60" s="28" t="n">
        <v>0.040555</v>
      </c>
      <c r="R60" s="26" t="n">
        <v>46</v>
      </c>
      <c r="S60" s="29" t="n">
        <v>1.5</v>
      </c>
      <c r="T60" s="24" t="inlineStr">
        <is>
          <t>soccer-poisson-dc-v1</t>
        </is>
      </c>
      <c r="U60" s="24" t="inlineStr">
        <is>
          <t>settled</t>
        </is>
      </c>
      <c r="V60" s="24" t="inlineStr">
        <is>
          <t>win</t>
        </is>
      </c>
      <c r="W60" s="26" t="n">
        <v>0</v>
      </c>
      <c r="X60" s="26" t="n">
        <v>1</v>
      </c>
      <c r="Y60" s="25" t="n"/>
      <c r="Z60" s="26" t="n"/>
      <c r="AA60" s="28" t="n"/>
      <c r="AB60" s="28" t="n"/>
      <c r="AC60" s="30" t="n">
        <v>1.1811</v>
      </c>
      <c r="AD60" s="24" t="inlineStr">
        <is>
          <t>2026-08-02T04:26:21.937064Z</t>
        </is>
      </c>
      <c r="AE60" s="31" t="inlineStr">
        <is>
          <t>Poisson-DC rates 2.28 (home) / 1.24 (away) from EWMA attack/defense strengths. Executable ask 0.5600 (atc-mls-col-aus-2026-08-01-col).</t>
        </is>
      </c>
      <c r="AF60" s="31" t="inlineStr">
        <is>
          <t>Research-only soccer score model; draw-aware, but not yet locked-holdout qualified.</t>
        </is>
      </c>
      <c r="AG60" s="24" t="inlineStr">
        <is>
          <t>not_applicable</t>
        </is>
      </c>
      <c r="AH60" s="24" t="n"/>
      <c r="AI60" s="31" t="n"/>
      <c r="AJ60" s="31" t="n"/>
      <c r="AK60" s="24" t="inlineStr">
        <is>
          <t>research_observation</t>
        </is>
      </c>
      <c r="AL60" s="26" t="n">
        <v>3</v>
      </c>
      <c r="AM60" s="24" t="inlineStr">
        <is>
          <t>RESEARCH_OBSERVATION</t>
        </is>
      </c>
      <c r="AN60" s="24" t="inlineStr">
        <is>
          <t>NO_CALL</t>
        </is>
      </c>
      <c r="AO60" s="24" t="inlineStr">
        <is>
          <t>NO_CALL_MODEL_UNVALIDATED</t>
        </is>
      </c>
      <c r="AP60" s="24" t="inlineStr">
        <is>
          <t>Austin FC</t>
        </is>
      </c>
      <c r="AQ60" s="24" t="inlineStr">
        <is>
          <t>Austin FC</t>
        </is>
      </c>
      <c r="AR60" s="24" t="inlineStr">
        <is>
          <t>Austin FC</t>
        </is>
      </c>
      <c r="AS60" s="24" t="inlineStr">
        <is>
          <t>Colorado Rapids</t>
        </is>
      </c>
      <c r="AT60" s="24" t="inlineStr">
        <is>
          <t>Colorado Rapids</t>
        </is>
      </c>
      <c r="AU60" s="24" t="inlineStr">
        <is>
          <t>Colorado Rapids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research</t>
        </is>
      </c>
      <c r="BA60" s="24" t="inlineStr">
        <is>
          <t>34d1568aad0ff11b5db35f118324684f93281e1c21fa7b80be7a4a4e2cb4bb03</t>
        </is>
      </c>
      <c r="BB60" s="24" t="inlineStr">
        <is>
          <t>poisson_dixon_coles</t>
        </is>
      </c>
      <c r="BC60" s="24" t="inlineStr">
        <is>
          <t>soccer-poisson-dc-v1</t>
        </is>
      </c>
      <c r="BD60" s="24" t="inlineStr">
        <is>
          <t>34d1568aad0ff11b5db35f118324684f93281e1c21fa7b80be7a4a4e2cb4bb03</t>
        </is>
      </c>
      <c r="BE60" s="24" t="inlineStr">
        <is>
          <t>soccer-poisson-dc-v1</t>
        </is>
      </c>
      <c r="BF60" s="24" t="inlineStr">
        <is>
          <t>1</t>
        </is>
      </c>
      <c r="BG60" s="24" t="inlineStr">
        <is>
          <t>34d1568aad0ff11b5db35f118324684f93281e1c21fa7b80be7a4a4e2cb4bb03</t>
        </is>
      </c>
      <c r="BH60" s="24" t="inlineStr">
        <is>
          <t>2026-08-01T23:52:09.543896Z</t>
        </is>
      </c>
      <c r="BI60" s="24" t="inlineStr">
        <is>
          <t>["same_event","same_team_same_day","same_league_same_day"]</t>
        </is>
      </c>
      <c r="BJ60" s="25" t="n"/>
      <c r="BK60" s="26" t="n">
        <v>-127</v>
      </c>
      <c r="BL60" s="27" t="n">
        <v>1.787402</v>
      </c>
      <c r="BM60" s="28" t="n">
        <v>0.5594710000000001</v>
      </c>
      <c r="BN60" s="28" t="n"/>
      <c r="BO60" s="28" t="n"/>
      <c r="BP60" s="25" t="n"/>
      <c r="BQ60" s="27" t="n"/>
      <c r="BR60" s="28" t="n"/>
      <c r="BS60" s="28" t="n"/>
      <c r="BT60" s="28" t="n"/>
      <c r="BU60" s="25" t="n"/>
      <c r="BV60" s="29" t="n"/>
      <c r="BW60" s="24" t="n"/>
      <c r="BX60" s="30" t="n"/>
      <c r="BY60" s="27" t="n"/>
      <c r="BZ60" s="24" t="n"/>
      <c r="CA60" s="31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</row>
    <row r="61" ht="36" customHeight="1">
      <c r="A61" s="24" t="inlineStr">
        <is>
          <t>17c41ca1fdf74770</t>
        </is>
      </c>
      <c r="B61" s="24" t="inlineStr">
        <is>
          <t>2026-08-01T23:53:24.455746Z</t>
        </is>
      </c>
      <c r="C61" s="24" t="inlineStr">
        <is>
          <t>2026-08-02T02:30Z</t>
        </is>
      </c>
      <c r="D61" s="24" t="inlineStr">
        <is>
          <t>761709</t>
        </is>
      </c>
      <c r="E61" s="24" t="inlineStr">
        <is>
          <t>SOCCER</t>
        </is>
      </c>
      <c r="F61" s="24" t="inlineStr">
        <is>
          <t>FC Dallas</t>
        </is>
      </c>
      <c r="G61" s="24" t="inlineStr">
        <is>
          <t>LA Galaxy</t>
        </is>
      </c>
      <c r="H61" s="24" t="inlineStr">
        <is>
          <t>moneyline</t>
        </is>
      </c>
      <c r="I61" s="24" t="inlineStr">
        <is>
          <t>away</t>
        </is>
      </c>
      <c r="J61" s="25" t="n"/>
      <c r="K61" s="24" t="inlineStr">
        <is>
          <t>polymarket_us</t>
        </is>
      </c>
      <c r="L61" s="26" t="n">
        <v>186</v>
      </c>
      <c r="M61" s="27" t="n">
        <v>2.86</v>
      </c>
      <c r="N61" s="28" t="n">
        <v>0.34965</v>
      </c>
      <c r="O61" s="28" t="n">
        <v>0.38746</v>
      </c>
      <c r="P61" s="28" t="n">
        <v>0.04</v>
      </c>
      <c r="Q61" s="28" t="n">
        <v>0.03781</v>
      </c>
      <c r="R61" s="26" t="n">
        <v>45</v>
      </c>
      <c r="S61" s="29" t="n">
        <v>1.5</v>
      </c>
      <c r="T61" s="24" t="inlineStr">
        <is>
          <t>soccer-poisson-dc-v1</t>
        </is>
      </c>
      <c r="U61" s="24" t="inlineStr">
        <is>
          <t>settled</t>
        </is>
      </c>
      <c r="V61" s="24" t="inlineStr">
        <is>
          <t>push</t>
        </is>
      </c>
      <c r="W61" s="26" t="n">
        <v>0</v>
      </c>
      <c r="X61" s="26" t="n">
        <v>0</v>
      </c>
      <c r="Y61" s="25" t="n"/>
      <c r="Z61" s="26" t="n"/>
      <c r="AA61" s="28" t="n"/>
      <c r="AB61" s="28" t="n"/>
      <c r="AC61" s="30" t="n">
        <v>0</v>
      </c>
      <c r="AD61" s="24" t="inlineStr">
        <is>
          <t>2026-08-02T05:39:25.608387Z</t>
        </is>
      </c>
      <c r="AE61" s="31" t="inlineStr">
        <is>
          <t>Poisson-DC rates 1.76 (home) / 1.79 (away) from EWMA attack/defense strengths. Executable ask 0.3500 (atc-mls-lag-dal-2026-08-01-dal).</t>
        </is>
      </c>
      <c r="AF61" s="31" t="inlineStr">
        <is>
          <t>Research-only soccer score model; draw-aware, but not yet locked-holdout qualified.</t>
        </is>
      </c>
      <c r="AG61" s="24" t="inlineStr">
        <is>
          <t>not_applicable</t>
        </is>
      </c>
      <c r="AH61" s="24" t="n"/>
      <c r="AI61" s="31" t="n"/>
      <c r="AJ61" s="31" t="n"/>
      <c r="AK61" s="24" t="inlineStr">
        <is>
          <t>research_observation</t>
        </is>
      </c>
      <c r="AL61" s="26" t="n">
        <v>3</v>
      </c>
      <c r="AM61" s="24" t="inlineStr">
        <is>
          <t>RESEARCH_OBSERVATION</t>
        </is>
      </c>
      <c r="AN61" s="24" t="inlineStr">
        <is>
          <t>NO_CALL</t>
        </is>
      </c>
      <c r="AO61" s="24" t="inlineStr">
        <is>
          <t>NO_CALL_MODEL_UNVALIDATED</t>
        </is>
      </c>
      <c r="AP61" s="24" t="inlineStr">
        <is>
          <t>FC Dallas</t>
        </is>
      </c>
      <c r="AQ61" s="24" t="inlineStr">
        <is>
          <t>FC Dallas</t>
        </is>
      </c>
      <c r="AR61" s="24" t="inlineStr">
        <is>
          <t>FC Dallas</t>
        </is>
      </c>
      <c r="AS61" s="24" t="inlineStr">
        <is>
          <t>LA Galaxy</t>
        </is>
      </c>
      <c r="AT61" s="24" t="inlineStr">
        <is>
          <t>LA Galaxy</t>
        </is>
      </c>
      <c r="AU61" s="24" t="inlineStr">
        <is>
          <t>LA Galaxy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research</t>
        </is>
      </c>
      <c r="BA61" s="24" t="inlineStr">
        <is>
          <t>34d1568aad0ff11b5db35f118324684f93281e1c21fa7b80be7a4a4e2cb4bb03</t>
        </is>
      </c>
      <c r="BB61" s="24" t="inlineStr">
        <is>
          <t>poisson_dixon_coles</t>
        </is>
      </c>
      <c r="BC61" s="24" t="inlineStr">
        <is>
          <t>soccer-poisson-dc-v1</t>
        </is>
      </c>
      <c r="BD61" s="24" t="inlineStr">
        <is>
          <t>34d1568aad0ff11b5db35f118324684f93281e1c21fa7b80be7a4a4e2cb4bb03</t>
        </is>
      </c>
      <c r="BE61" s="24" t="inlineStr">
        <is>
          <t>soccer-poisson-dc-v1</t>
        </is>
      </c>
      <c r="BF61" s="24" t="inlineStr">
        <is>
          <t>1</t>
        </is>
      </c>
      <c r="BG61" s="24" t="inlineStr">
        <is>
          <t>34d1568aad0ff11b5db35f118324684f93281e1c21fa7b80be7a4a4e2cb4bb03</t>
        </is>
      </c>
      <c r="BH61" s="24" t="inlineStr">
        <is>
          <t>2026-08-01T23:52:11.231740Z</t>
        </is>
      </c>
      <c r="BI61" s="24" t="inlineStr">
        <is>
          <t>["same_event","same_team_same_day","same_league_same_day"]</t>
        </is>
      </c>
      <c r="BJ61" s="25" t="n"/>
      <c r="BK61" s="26" t="n">
        <v>186</v>
      </c>
      <c r="BL61" s="27" t="n">
        <v>2.86</v>
      </c>
      <c r="BM61" s="28" t="n">
        <v>0.34965</v>
      </c>
      <c r="BN61" s="28" t="n"/>
      <c r="BO61" s="28" t="n"/>
      <c r="BP61" s="25" t="n"/>
      <c r="BQ61" s="27" t="n"/>
      <c r="BR61" s="28" t="n"/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</row>
    <row r="62" ht="36" customHeight="1">
      <c r="A62" s="24" t="inlineStr">
        <is>
          <t>6a04218c09a84664</t>
        </is>
      </c>
      <c r="B62" s="24" t="inlineStr">
        <is>
          <t>2026-08-01T23:53:24.455746Z</t>
        </is>
      </c>
      <c r="C62" s="24" t="inlineStr">
        <is>
          <t>2026-08-02T02:45Z</t>
        </is>
      </c>
      <c r="D62" s="24" t="inlineStr">
        <is>
          <t>761708</t>
        </is>
      </c>
      <c r="E62" s="24" t="inlineStr">
        <is>
          <t>SOCCER</t>
        </is>
      </c>
      <c r="F62" s="24" t="inlineStr">
        <is>
          <t>Seattle Sounders FC</t>
        </is>
      </c>
      <c r="G62" s="24" t="inlineStr">
        <is>
          <t>Portland Timbers</t>
        </is>
      </c>
      <c r="H62" s="24" t="inlineStr">
        <is>
          <t>moneyline</t>
        </is>
      </c>
      <c r="I62" s="24" t="inlineStr">
        <is>
          <t>home</t>
        </is>
      </c>
      <c r="J62" s="25" t="n"/>
      <c r="K62" s="24" t="inlineStr">
        <is>
          <t>polymarket_us</t>
        </is>
      </c>
      <c r="L62" s="26" t="n">
        <v>113</v>
      </c>
      <c r="M62" s="27" t="n">
        <v>2.13</v>
      </c>
      <c r="N62" s="28" t="n">
        <v>0.469484</v>
      </c>
      <c r="O62" s="28" t="n">
        <v>0.432832</v>
      </c>
      <c r="P62" s="28" t="n">
        <v>0.04</v>
      </c>
      <c r="Q62" s="28" t="n">
        <v>-0.036652</v>
      </c>
      <c r="R62" s="26" t="n">
        <v>8</v>
      </c>
      <c r="S62" s="29" t="n">
        <v>1.25</v>
      </c>
      <c r="T62" s="24" t="inlineStr">
        <is>
          <t>soccer-poisson-dc-v1</t>
        </is>
      </c>
      <c r="U62" s="24" t="inlineStr">
        <is>
          <t>settled</t>
        </is>
      </c>
      <c r="V62" s="24" t="inlineStr">
        <is>
          <t>win</t>
        </is>
      </c>
      <c r="W62" s="26" t="n">
        <v>1</v>
      </c>
      <c r="X62" s="26" t="n">
        <v>2</v>
      </c>
      <c r="Y62" s="25" t="n"/>
      <c r="Z62" s="26" t="n"/>
      <c r="AA62" s="28" t="n"/>
      <c r="AB62" s="28" t="n"/>
      <c r="AC62" s="30" t="n">
        <v>1.4125</v>
      </c>
      <c r="AD62" s="24" t="inlineStr">
        <is>
          <t>2026-08-02T05:39:26.164706Z</t>
        </is>
      </c>
      <c r="AE62" s="31" t="inlineStr">
        <is>
          <t>Poisson-DC rates 1.85 (home) / 1.59 (away) from EWMA attack/defense strengths. Executable ask 0.4700 (atc-mls-por-sea-2026-08-01-por).</t>
        </is>
      </c>
      <c r="AF62" s="31" t="inlineStr">
        <is>
          <t>Research-only soccer score model; draw-aware, but not yet locked-holdout qualified.</t>
        </is>
      </c>
      <c r="AG62" s="24" t="inlineStr">
        <is>
          <t>not_applicable</t>
        </is>
      </c>
      <c r="AH62" s="24" t="n"/>
      <c r="AI62" s="31" t="n"/>
      <c r="AJ62" s="31" t="n"/>
      <c r="AK62" s="24" t="inlineStr">
        <is>
          <t>research_observation</t>
        </is>
      </c>
      <c r="AL62" s="26" t="n">
        <v>3</v>
      </c>
      <c r="AM62" s="24" t="inlineStr">
        <is>
          <t>RESEARCH_OBSERVATION</t>
        </is>
      </c>
      <c r="AN62" s="24" t="inlineStr">
        <is>
          <t>NO_CALL</t>
        </is>
      </c>
      <c r="AO62" s="24" t="inlineStr">
        <is>
          <t>NO_CALL_MODEL_UNVALIDATED</t>
        </is>
      </c>
      <c r="AP62" s="24" t="inlineStr">
        <is>
          <t>Seattle Sounders FC</t>
        </is>
      </c>
      <c r="AQ62" s="24" t="inlineStr">
        <is>
          <t>Seattle Sounders FC</t>
        </is>
      </c>
      <c r="AR62" s="24" t="inlineStr">
        <is>
          <t>Seattle Sounders FC</t>
        </is>
      </c>
      <c r="AS62" s="24" t="inlineStr">
        <is>
          <t>Portland Timbers</t>
        </is>
      </c>
      <c r="AT62" s="24" t="inlineStr">
        <is>
          <t>Portland Timbers</t>
        </is>
      </c>
      <c r="AU62" s="24" t="inlineStr">
        <is>
          <t>Portland Timbers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research</t>
        </is>
      </c>
      <c r="BA62" s="24" t="inlineStr">
        <is>
          <t>34d1568aad0ff11b5db35f118324684f93281e1c21fa7b80be7a4a4e2cb4bb03</t>
        </is>
      </c>
      <c r="BB62" s="24" t="inlineStr">
        <is>
          <t>poisson_dixon_coles</t>
        </is>
      </c>
      <c r="BC62" s="24" t="inlineStr">
        <is>
          <t>soccer-poisson-dc-v1</t>
        </is>
      </c>
      <c r="BD62" s="24" t="inlineStr">
        <is>
          <t>34d1568aad0ff11b5db35f118324684f93281e1c21fa7b80be7a4a4e2cb4bb03</t>
        </is>
      </c>
      <c r="BE62" s="24" t="inlineStr">
        <is>
          <t>soccer-poisson-dc-v1</t>
        </is>
      </c>
      <c r="BF62" s="24" t="inlineStr">
        <is>
          <t>1</t>
        </is>
      </c>
      <c r="BG62" s="24" t="inlineStr">
        <is>
          <t>34d1568aad0ff11b5db35f118324684f93281e1c21fa7b80be7a4a4e2cb4bb03</t>
        </is>
      </c>
      <c r="BH62" s="24" t="inlineStr">
        <is>
          <t>2026-08-01T23:52:12.696180Z</t>
        </is>
      </c>
      <c r="BI62" s="24" t="inlineStr">
        <is>
          <t>["same_event","same_team_same_day","same_league_same_day"]</t>
        </is>
      </c>
      <c r="BJ62" s="25" t="n"/>
      <c r="BK62" s="26" t="n">
        <v>113</v>
      </c>
      <c r="BL62" s="27" t="n">
        <v>2.13</v>
      </c>
      <c r="BM62" s="28" t="n">
        <v>0.469484</v>
      </c>
      <c r="BN62" s="28" t="n"/>
      <c r="BO62" s="28" t="n"/>
      <c r="BP62" s="25" t="n"/>
      <c r="BQ62" s="27" t="n"/>
      <c r="BR62" s="28" t="n"/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</row>
    <row r="63" ht="36" customHeight="1">
      <c r="A63" s="24" t="inlineStr">
        <is>
          <t>3d7c6e251fde488b</t>
        </is>
      </c>
      <c r="B63" s="24" t="inlineStr">
        <is>
          <t>2026-08-01T23:53:24.455746Z</t>
        </is>
      </c>
      <c r="C63" s="24" t="inlineStr">
        <is>
          <t>2026-08-02T00:00Z</t>
        </is>
      </c>
      <c r="D63" s="24" t="inlineStr">
        <is>
          <t>401859646</t>
        </is>
      </c>
      <c r="E63" s="24" t="inlineStr">
        <is>
          <t>SOCCER</t>
        </is>
      </c>
      <c r="F63" s="24" t="inlineStr">
        <is>
          <t>Aucas</t>
        </is>
      </c>
      <c r="G63" s="24" t="inlineStr">
        <is>
          <t>Emelec</t>
        </is>
      </c>
      <c r="H63" s="24" t="inlineStr">
        <is>
          <t>moneyline</t>
        </is>
      </c>
      <c r="I63" s="24" t="inlineStr">
        <is>
          <t>home</t>
        </is>
      </c>
      <c r="J63" s="25" t="n"/>
      <c r="K63" s="24" t="inlineStr">
        <is>
          <t>polymarket_us</t>
        </is>
      </c>
      <c r="L63" s="26" t="n">
        <v>133</v>
      </c>
      <c r="M63" s="27" t="n">
        <v>2.33</v>
      </c>
      <c r="N63" s="28" t="n">
        <v>0.429185</v>
      </c>
      <c r="O63" s="28" t="n">
        <v>0.456135</v>
      </c>
      <c r="P63" s="28" t="n">
        <v>0.2</v>
      </c>
      <c r="Q63" s="28" t="n">
        <v>0.02695</v>
      </c>
      <c r="R63" s="26" t="n">
        <v>0</v>
      </c>
      <c r="S63" s="29" t="n">
        <v>1</v>
      </c>
      <c r="T63" s="24" t="inlineStr">
        <is>
          <t>soccer-poisson-dc-v1</t>
        </is>
      </c>
      <c r="U63" s="24" t="inlineStr">
        <is>
          <t>settled</t>
        </is>
      </c>
      <c r="V63" s="24" t="inlineStr">
        <is>
          <t>loss</t>
        </is>
      </c>
      <c r="W63" s="26" t="n">
        <v>2</v>
      </c>
      <c r="X63" s="26" t="n">
        <v>0</v>
      </c>
      <c r="Y63" s="25" t="n"/>
      <c r="Z63" s="26" t="n"/>
      <c r="AA63" s="28" t="n"/>
      <c r="AB63" s="28" t="n"/>
      <c r="AC63" s="30" t="n">
        <v>-1</v>
      </c>
      <c r="AD63" s="24" t="inlineStr">
        <is>
          <t>2026-08-02T03:26:22.035170Z</t>
        </is>
      </c>
      <c r="AE63" s="31" t="inlineStr">
        <is>
          <t>Poisson-DC rates 1.64 (home) / 1.24 (away) from EWMA attack/defense strengths. Executable ask 0.4300 (atc-ecu1-cse-sda-2026-08-01-cse).</t>
        </is>
      </c>
      <c r="AF63" s="31" t="inlineStr">
        <is>
          <t>Research-only soccer score model; draw-aware, but not yet locked-holdout qualified.</t>
        </is>
      </c>
      <c r="AG63" s="24" t="inlineStr">
        <is>
          <t>review_required</t>
        </is>
      </c>
      <c r="AH63" s="24" t="n"/>
      <c r="AI63" s="31" t="n"/>
      <c r="AJ63" s="31" t="n"/>
      <c r="AK63" s="24" t="inlineStr">
        <is>
          <t>research_observation</t>
        </is>
      </c>
      <c r="AL63" s="26" t="n">
        <v>3</v>
      </c>
      <c r="AM63" s="24" t="inlineStr">
        <is>
          <t>RESEARCH_OBSERVATION</t>
        </is>
      </c>
      <c r="AN63" s="24" t="inlineStr">
        <is>
          <t>NO_CALL</t>
        </is>
      </c>
      <c r="AO63" s="24" t="inlineStr">
        <is>
          <t>NO_CALL_MODEL_UNVALIDATED</t>
        </is>
      </c>
      <c r="AP63" s="24" t="inlineStr">
        <is>
          <t>Aucas</t>
        </is>
      </c>
      <c r="AQ63" s="24" t="inlineStr">
        <is>
          <t>Aucas</t>
        </is>
      </c>
      <c r="AR63" s="24" t="inlineStr">
        <is>
          <t>Aucas</t>
        </is>
      </c>
      <c r="AS63" s="24" t="inlineStr">
        <is>
          <t>Emelec</t>
        </is>
      </c>
      <c r="AT63" s="24" t="inlineStr">
        <is>
          <t>Emelec</t>
        </is>
      </c>
      <c r="AU63" s="24" t="inlineStr">
        <is>
          <t>Emelec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research</t>
        </is>
      </c>
      <c r="BA63" s="24" t="inlineStr">
        <is>
          <t>34d1568aad0ff11b5db35f118324684f93281e1c21fa7b80be7a4a4e2cb4bb03</t>
        </is>
      </c>
      <c r="BB63" s="24" t="inlineStr">
        <is>
          <t>poisson_dixon_coles</t>
        </is>
      </c>
      <c r="BC63" s="24" t="inlineStr">
        <is>
          <t>soccer-poisson-dc-v1</t>
        </is>
      </c>
      <c r="BD63" s="24" t="inlineStr">
        <is>
          <t>34d1568aad0ff11b5db35f118324684f93281e1c21fa7b80be7a4a4e2cb4bb03</t>
        </is>
      </c>
      <c r="BE63" s="24" t="inlineStr">
        <is>
          <t>soccer-poisson-dc-v1</t>
        </is>
      </c>
      <c r="BF63" s="24" t="inlineStr">
        <is>
          <t>1</t>
        </is>
      </c>
      <c r="BG63" s="24" t="inlineStr">
        <is>
          <t>34d1568aad0ff11b5db35f118324684f93281e1c21fa7b80be7a4a4e2cb4bb03</t>
        </is>
      </c>
      <c r="BH63" s="24" t="inlineStr">
        <is>
          <t>2026-08-01T23:52:16.427787Z</t>
        </is>
      </c>
      <c r="BI63" s="24" t="inlineStr">
        <is>
          <t>["same_event","same_team_same_day","same_league_same_day"]</t>
        </is>
      </c>
      <c r="BJ63" s="25" t="n"/>
      <c r="BK63" s="26" t="n">
        <v>133</v>
      </c>
      <c r="BL63" s="27" t="n">
        <v>2.33</v>
      </c>
      <c r="BM63" s="28" t="n">
        <v>0.429185</v>
      </c>
      <c r="BN63" s="28" t="n"/>
      <c r="BO63" s="28" t="n"/>
      <c r="BP63" s="25" t="n"/>
      <c r="BQ63" s="27" t="n"/>
      <c r="BR63" s="28" t="n"/>
      <c r="BS63" s="28" t="n"/>
      <c r="BT63" s="28" t="n"/>
      <c r="BU63" s="25" t="n"/>
      <c r="BV63" s="29" t="n"/>
      <c r="BW63" s="24" t="n"/>
      <c r="BX63" s="30" t="n"/>
      <c r="BY63" s="27" t="n"/>
      <c r="BZ63" s="24" t="n"/>
      <c r="CA63" s="31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n"/>
    </row>
    <row r="64" ht="36" customHeight="1">
      <c r="A64" s="24" t="inlineStr">
        <is>
          <t>55ed7995713c4be4</t>
        </is>
      </c>
      <c r="B64" s="24" t="inlineStr">
        <is>
          <t>2026-08-02T08:16:59.190075Z</t>
        </is>
      </c>
      <c r="C64" s="24" t="inlineStr">
        <is>
          <t>2026-08-02T17:30Z</t>
        </is>
      </c>
      <c r="D64" s="24" t="inlineStr">
        <is>
          <t>401841470</t>
        </is>
      </c>
      <c r="E64" s="24" t="inlineStr">
        <is>
          <t>SOCCER</t>
        </is>
      </c>
      <c r="F64" s="24" t="inlineStr">
        <is>
          <t>Gimnasia La Plata</t>
        </is>
      </c>
      <c r="G64" s="24" t="inlineStr">
        <is>
          <t>Aldosivi</t>
        </is>
      </c>
      <c r="H64" s="24" t="inlineStr">
        <is>
          <t>moneyline</t>
        </is>
      </c>
      <c r="I64" s="24" t="inlineStr">
        <is>
          <t>home</t>
        </is>
      </c>
      <c r="J64" s="25" t="n"/>
      <c r="K64" s="24" t="inlineStr">
        <is>
          <t>polymarket_us</t>
        </is>
      </c>
      <c r="L64" s="26" t="n">
        <v>233</v>
      </c>
      <c r="M64" s="27" t="n">
        <v>3.33</v>
      </c>
      <c r="N64" s="28" t="n">
        <v>0.3003</v>
      </c>
      <c r="O64" s="28" t="n">
        <v>0.456135</v>
      </c>
      <c r="P64" s="28" t="n">
        <v>0.2</v>
      </c>
      <c r="Q64" s="28" t="n">
        <v>0.155835</v>
      </c>
      <c r="R64" s="26" t="n">
        <v>8</v>
      </c>
      <c r="S64" s="29" t="n">
        <v>1</v>
      </c>
      <c r="T64" s="24" t="inlineStr">
        <is>
          <t>soccer-poisson-dc-v1</t>
        </is>
      </c>
      <c r="U64" s="24" t="inlineStr">
        <is>
          <t>open</t>
        </is>
      </c>
      <c r="V64" s="24" t="n"/>
      <c r="W64" s="26" t="n"/>
      <c r="X64" s="26" t="n"/>
      <c r="Y64" s="25" t="n"/>
      <c r="Z64" s="26" t="n"/>
      <c r="AA64" s="28" t="n"/>
      <c r="AB64" s="28" t="n"/>
      <c r="AC64" s="30" t="n"/>
      <c r="AD64" s="24" t="n"/>
      <c r="AE64" s="31" t="inlineStr">
        <is>
          <t>Poisson-DC rates 1.64 (home) / 1.24 (away) from EWMA attack/defense strengths. Executable ask 0.3000 (atc-lpa-ald-gim-2026-08-02-ald).</t>
        </is>
      </c>
      <c r="AF64" s="31" t="inlineStr">
        <is>
          <t>Research-only soccer score model; draw-aware, but not yet locked-holdout qualified.</t>
        </is>
      </c>
      <c r="AG64" s="24" t="inlineStr">
        <is>
          <t>not_applicable</t>
        </is>
      </c>
      <c r="AH64" s="24" t="n"/>
      <c r="AI64" s="31" t="n"/>
      <c r="AJ64" s="31" t="n"/>
      <c r="AK64" s="24" t="inlineStr">
        <is>
          <t>research_observation</t>
        </is>
      </c>
      <c r="AL64" s="26" t="n">
        <v>3</v>
      </c>
      <c r="AM64" s="24" t="inlineStr">
        <is>
          <t>RESEARCH_OBSERVATION</t>
        </is>
      </c>
      <c r="AN64" s="24" t="inlineStr">
        <is>
          <t>NO_CALL</t>
        </is>
      </c>
      <c r="AO64" s="24" t="inlineStr">
        <is>
          <t>NO_CALL_MODEL_UNVALIDATED</t>
        </is>
      </c>
      <c r="AP64" s="24" t="inlineStr">
        <is>
          <t>Gimnasia La Plata</t>
        </is>
      </c>
      <c r="AQ64" s="24" t="inlineStr">
        <is>
          <t>Gimnasia La Plata</t>
        </is>
      </c>
      <c r="AR64" s="24" t="inlineStr">
        <is>
          <t>Gimnasia La Plata</t>
        </is>
      </c>
      <c r="AS64" s="24" t="inlineStr">
        <is>
          <t>Aldosivi</t>
        </is>
      </c>
      <c r="AT64" s="24" t="inlineStr">
        <is>
          <t>Aldosivi</t>
        </is>
      </c>
      <c r="AU64" s="24" t="inlineStr">
        <is>
          <t>Aldosivi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research</t>
        </is>
      </c>
      <c r="BA64" s="24" t="inlineStr">
        <is>
          <t>34d1568aad0ff11b5db35f118324684f93281e1c21fa7b80be7a4a4e2cb4bb03</t>
        </is>
      </c>
      <c r="BB64" s="24" t="inlineStr">
        <is>
          <t>poisson_dixon_coles</t>
        </is>
      </c>
      <c r="BC64" s="24" t="inlineStr">
        <is>
          <t>soccer-poisson-dc-v1</t>
        </is>
      </c>
      <c r="BD64" s="24" t="inlineStr">
        <is>
          <t>34d1568aad0ff11b5db35f118324684f93281e1c21fa7b80be7a4a4e2cb4bb03</t>
        </is>
      </c>
      <c r="BE64" s="24" t="inlineStr">
        <is>
          <t>soccer-poisson-dc-v1</t>
        </is>
      </c>
      <c r="BF64" s="24" t="inlineStr">
        <is>
          <t>1</t>
        </is>
      </c>
      <c r="BG64" s="24" t="inlineStr">
        <is>
          <t>34d1568aad0ff11b5db35f118324684f93281e1c21fa7b80be7a4a4e2cb4bb03</t>
        </is>
      </c>
      <c r="BH64" s="24" t="inlineStr">
        <is>
          <t>2026-08-02T08:13:25.124724Z</t>
        </is>
      </c>
      <c r="BI64" s="24" t="inlineStr">
        <is>
          <t>["same_event","same_team_same_day","same_league_same_day"]</t>
        </is>
      </c>
      <c r="BJ64" s="25" t="n"/>
      <c r="BK64" s="26" t="n">
        <v>233</v>
      </c>
      <c r="BL64" s="27" t="n">
        <v>3.33</v>
      </c>
      <c r="BM64" s="28" t="n">
        <v>0.3003</v>
      </c>
      <c r="BN64" s="28" t="n"/>
      <c r="BO64" s="28" t="n"/>
      <c r="BP64" s="25" t="n"/>
      <c r="BQ64" s="27" t="n"/>
      <c r="BR64" s="28" t="n"/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</row>
    <row r="65" ht="36" customHeight="1">
      <c r="A65" s="24" t="inlineStr">
        <is>
          <t>392a2f6d67a34620</t>
        </is>
      </c>
      <c r="B65" s="24" t="inlineStr">
        <is>
          <t>2026-08-02T08:16:59.190075Z</t>
        </is>
      </c>
      <c r="C65" s="24" t="inlineStr">
        <is>
          <t>2026-08-02T20:00Z</t>
        </is>
      </c>
      <c r="D65" s="24" t="inlineStr">
        <is>
          <t>401841473</t>
        </is>
      </c>
      <c r="E65" s="24" t="inlineStr">
        <is>
          <t>SOCCER</t>
        </is>
      </c>
      <c r="F65" s="24" t="inlineStr">
        <is>
          <t>Boca Juniors</t>
        </is>
      </c>
      <c r="G65" s="24" t="inlineStr">
        <is>
          <t>Newell's Old Boys</t>
        </is>
      </c>
      <c r="H65" s="24" t="inlineStr">
        <is>
          <t>moneyline</t>
        </is>
      </c>
      <c r="I65" s="24" t="inlineStr">
        <is>
          <t>home</t>
        </is>
      </c>
      <c r="J65" s="25" t="n"/>
      <c r="K65" s="24" t="inlineStr">
        <is>
          <t>polymarket_us</t>
        </is>
      </c>
      <c r="L65" s="26" t="n">
        <v>285</v>
      </c>
      <c r="M65" s="27" t="n">
        <v>3.85</v>
      </c>
      <c r="N65" s="28" t="n">
        <v>0.25974</v>
      </c>
      <c r="O65" s="28" t="n">
        <v>0.398039</v>
      </c>
      <c r="P65" s="28" t="n">
        <v>0.2</v>
      </c>
      <c r="Q65" s="28" t="n">
        <v>0.138299</v>
      </c>
      <c r="R65" s="26" t="n">
        <v>0</v>
      </c>
      <c r="S65" s="29" t="n">
        <v>1</v>
      </c>
      <c r="T65" s="24" t="inlineStr">
        <is>
          <t>soccer-poisson-dc-v1</t>
        </is>
      </c>
      <c r="U65" s="24" t="inlineStr">
        <is>
          <t>open</t>
        </is>
      </c>
      <c r="V65" s="24" t="n"/>
      <c r="W65" s="26" t="n"/>
      <c r="X65" s="26" t="n"/>
      <c r="Y65" s="25" t="n"/>
      <c r="Z65" s="26" t="n"/>
      <c r="AA65" s="28" t="n"/>
      <c r="AB65" s="28" t="n"/>
      <c r="AC65" s="30" t="n"/>
      <c r="AD65" s="24" t="n"/>
      <c r="AE65" s="31" t="inlineStr">
        <is>
          <t>Poisson-DC rates 1.46 (home) / 1.30 (away) from EWMA attack/defense strengths. Executable ask 0.2600 (atc-lpa-new-boc-2026-08-02-new).</t>
        </is>
      </c>
      <c r="AF65" s="31" t="inlineStr">
        <is>
          <t>Research-only soccer score model; draw-aware, but not yet locked-holdout qualified.</t>
        </is>
      </c>
      <c r="AG65" s="24" t="inlineStr">
        <is>
          <t>not_applicable</t>
        </is>
      </c>
      <c r="AH65" s="24" t="n"/>
      <c r="AI65" s="31" t="n"/>
      <c r="AJ65" s="31" t="n"/>
      <c r="AK65" s="24" t="inlineStr">
        <is>
          <t>research_observation</t>
        </is>
      </c>
      <c r="AL65" s="26" t="n">
        <v>3</v>
      </c>
      <c r="AM65" s="24" t="inlineStr">
        <is>
          <t>RESEARCH_OBSERVATION</t>
        </is>
      </c>
      <c r="AN65" s="24" t="inlineStr">
        <is>
          <t>NO_CALL</t>
        </is>
      </c>
      <c r="AO65" s="24" t="inlineStr">
        <is>
          <t>NO_CALL_MODEL_UNVALIDATED</t>
        </is>
      </c>
      <c r="AP65" s="24" t="inlineStr">
        <is>
          <t>Boca Juniors</t>
        </is>
      </c>
      <c r="AQ65" s="24" t="inlineStr">
        <is>
          <t>Boca Juniors</t>
        </is>
      </c>
      <c r="AR65" s="24" t="inlineStr">
        <is>
          <t>Boca Juniors</t>
        </is>
      </c>
      <c r="AS65" s="24" t="inlineStr">
        <is>
          <t>Newell's Old Boys</t>
        </is>
      </c>
      <c r="AT65" s="24" t="inlineStr">
        <is>
          <t>Newell's Old Boys</t>
        </is>
      </c>
      <c r="AU65" s="24" t="inlineStr">
        <is>
          <t>Newell's Old Boys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research</t>
        </is>
      </c>
      <c r="BA65" s="24" t="inlineStr">
        <is>
          <t>34d1568aad0ff11b5db35f118324684f93281e1c21fa7b80be7a4a4e2cb4bb03</t>
        </is>
      </c>
      <c r="BB65" s="24" t="inlineStr">
        <is>
          <t>poisson_dixon_coles</t>
        </is>
      </c>
      <c r="BC65" s="24" t="inlineStr">
        <is>
          <t>soccer-poisson-dc-v1</t>
        </is>
      </c>
      <c r="BD65" s="24" t="inlineStr">
        <is>
          <t>34d1568aad0ff11b5db35f118324684f93281e1c21fa7b80be7a4a4e2cb4bb03</t>
        </is>
      </c>
      <c r="BE65" s="24" t="inlineStr">
        <is>
          <t>soccer-poisson-dc-v1</t>
        </is>
      </c>
      <c r="BF65" s="24" t="inlineStr">
        <is>
          <t>1</t>
        </is>
      </c>
      <c r="BG65" s="24" t="inlineStr">
        <is>
          <t>34d1568aad0ff11b5db35f118324684f93281e1c21fa7b80be7a4a4e2cb4bb03</t>
        </is>
      </c>
      <c r="BH65" s="24" t="inlineStr">
        <is>
          <t>2026-08-02T08:13:25.131583Z</t>
        </is>
      </c>
      <c r="BI65" s="24" t="inlineStr">
        <is>
          <t>["same_event","same_team_same_day","same_league_same_day"]</t>
        </is>
      </c>
      <c r="BJ65" s="25" t="n"/>
      <c r="BK65" s="26" t="n">
        <v>285</v>
      </c>
      <c r="BL65" s="27" t="n">
        <v>3.85</v>
      </c>
      <c r="BM65" s="28" t="n">
        <v>0.25974</v>
      </c>
      <c r="BN65" s="28" t="n"/>
      <c r="BO65" s="28" t="n"/>
      <c r="BP65" s="25" t="n"/>
      <c r="BQ65" s="27" t="n"/>
      <c r="BR65" s="28" t="n"/>
      <c r="BS65" s="28" t="n"/>
      <c r="BT65" s="28" t="n"/>
      <c r="BU65" s="25" t="n"/>
      <c r="BV65" s="29" t="n"/>
      <c r="BW65" s="24" t="n"/>
      <c r="BX65" s="30" t="n"/>
      <c r="BY65" s="27" t="n"/>
      <c r="BZ65" s="24" t="n"/>
      <c r="CA65" s="31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</row>
    <row r="66" ht="36" customHeight="1">
      <c r="A66" s="24" t="inlineStr">
        <is>
          <t>a74b609450044b06</t>
        </is>
      </c>
      <c r="B66" s="24" t="inlineStr">
        <is>
          <t>2026-08-02T08:16:59.190075Z</t>
        </is>
      </c>
      <c r="C66" s="24" t="inlineStr">
        <is>
          <t>2026-08-02T22:15Z</t>
        </is>
      </c>
      <c r="D66" s="24" t="inlineStr">
        <is>
          <t>401841476</t>
        </is>
      </c>
      <c r="E66" s="24" t="inlineStr">
        <is>
          <t>SOCCER</t>
        </is>
      </c>
      <c r="F66" s="24" t="inlineStr">
        <is>
          <t>Rosario Central</t>
        </is>
      </c>
      <c r="G66" s="24" t="inlineStr">
        <is>
          <t>River Plate</t>
        </is>
      </c>
      <c r="H66" s="24" t="inlineStr">
        <is>
          <t>moneyline</t>
        </is>
      </c>
      <c r="I66" s="24" t="inlineStr">
        <is>
          <t>home</t>
        </is>
      </c>
      <c r="J66" s="25" t="n"/>
      <c r="K66" s="24" t="inlineStr">
        <is>
          <t>polymarket_us</t>
        </is>
      </c>
      <c r="L66" s="26" t="n">
        <v>108</v>
      </c>
      <c r="M66" s="27" t="n">
        <v>2.08</v>
      </c>
      <c r="N66" s="28" t="n">
        <v>0.480769</v>
      </c>
      <c r="O66" s="28" t="n">
        <v>0.5359159999999999</v>
      </c>
      <c r="P66" s="28" t="n">
        <v>0.2</v>
      </c>
      <c r="Q66" s="28" t="n">
        <v>0.055147</v>
      </c>
      <c r="R66" s="26" t="n">
        <v>0</v>
      </c>
      <c r="S66" s="29" t="n">
        <v>1</v>
      </c>
      <c r="T66" s="24" t="inlineStr">
        <is>
          <t>soccer-poisson-dc-v1</t>
        </is>
      </c>
      <c r="U66" s="24" t="inlineStr">
        <is>
          <t>open</t>
        </is>
      </c>
      <c r="V66" s="24" t="n"/>
      <c r="W66" s="26" t="n"/>
      <c r="X66" s="26" t="n"/>
      <c r="Y66" s="25" t="n"/>
      <c r="Z66" s="26" t="n"/>
      <c r="AA66" s="28" t="n"/>
      <c r="AB66" s="28" t="n"/>
      <c r="AC66" s="30" t="n"/>
      <c r="AD66" s="24" t="n"/>
      <c r="AE66" s="31" t="inlineStr">
        <is>
          <t>Poisson-DC rates 1.84 (home) / 1.10 (away) from EWMA attack/defense strengths. Executable ask 0.4800 (atc-lpa-riv-ros-2026-08-02-riv).</t>
        </is>
      </c>
      <c r="AF66" s="31" t="inlineStr">
        <is>
          <t>Research-only soccer score model; draw-aware, but not yet locked-holdout qualified.</t>
        </is>
      </c>
      <c r="AG66" s="24" t="inlineStr">
        <is>
          <t>not_applicable</t>
        </is>
      </c>
      <c r="AH66" s="24" t="n"/>
      <c r="AI66" s="31" t="n"/>
      <c r="AJ66" s="31" t="n"/>
      <c r="AK66" s="24" t="inlineStr">
        <is>
          <t>research_observation</t>
        </is>
      </c>
      <c r="AL66" s="26" t="n">
        <v>3</v>
      </c>
      <c r="AM66" s="24" t="inlineStr">
        <is>
          <t>RESEARCH_OBSERVATION</t>
        </is>
      </c>
      <c r="AN66" s="24" t="inlineStr">
        <is>
          <t>NO_CALL</t>
        </is>
      </c>
      <c r="AO66" s="24" t="inlineStr">
        <is>
          <t>NO_CALL_MODEL_UNVALIDATED</t>
        </is>
      </c>
      <c r="AP66" s="24" t="inlineStr">
        <is>
          <t>Rosario Central</t>
        </is>
      </c>
      <c r="AQ66" s="24" t="inlineStr">
        <is>
          <t>Rosario Central</t>
        </is>
      </c>
      <c r="AR66" s="24" t="inlineStr">
        <is>
          <t>Rosario Central</t>
        </is>
      </c>
      <c r="AS66" s="24" t="inlineStr">
        <is>
          <t>River Plate</t>
        </is>
      </c>
      <c r="AT66" s="24" t="inlineStr">
        <is>
          <t>River Plate</t>
        </is>
      </c>
      <c r="AU66" s="24" t="inlineStr">
        <is>
          <t>River Plate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research</t>
        </is>
      </c>
      <c r="BA66" s="24" t="inlineStr">
        <is>
          <t>34d1568aad0ff11b5db35f118324684f93281e1c21fa7b80be7a4a4e2cb4bb03</t>
        </is>
      </c>
      <c r="BB66" s="24" t="inlineStr">
        <is>
          <t>poisson_dixon_coles</t>
        </is>
      </c>
      <c r="BC66" s="24" t="inlineStr">
        <is>
          <t>soccer-poisson-dc-v1</t>
        </is>
      </c>
      <c r="BD66" s="24" t="inlineStr">
        <is>
          <t>34d1568aad0ff11b5db35f118324684f93281e1c21fa7b80be7a4a4e2cb4bb03</t>
        </is>
      </c>
      <c r="BE66" s="24" t="inlineStr">
        <is>
          <t>soccer-poisson-dc-v1</t>
        </is>
      </c>
      <c r="BF66" s="24" t="inlineStr">
        <is>
          <t>1</t>
        </is>
      </c>
      <c r="BG66" s="24" t="inlineStr">
        <is>
          <t>34d1568aad0ff11b5db35f118324684f93281e1c21fa7b80be7a4a4e2cb4bb03</t>
        </is>
      </c>
      <c r="BH66" s="24" t="inlineStr">
        <is>
          <t>2026-08-02T08:13:25.638678Z</t>
        </is>
      </c>
      <c r="BI66" s="24" t="inlineStr">
        <is>
          <t>["same_event","same_team_same_day","same_league_same_day"]</t>
        </is>
      </c>
      <c r="BJ66" s="25" t="n"/>
      <c r="BK66" s="26" t="n">
        <v>108</v>
      </c>
      <c r="BL66" s="27" t="n">
        <v>2.08</v>
      </c>
      <c r="BM66" s="28" t="n">
        <v>0.480769</v>
      </c>
      <c r="BN66" s="28" t="n"/>
      <c r="BO66" s="28" t="n"/>
      <c r="BP66" s="25" t="n"/>
      <c r="BQ66" s="27" t="n"/>
      <c r="BR66" s="28" t="n"/>
      <c r="BS66" s="28" t="n"/>
      <c r="BT66" s="28" t="n"/>
      <c r="BU66" s="25" t="n"/>
      <c r="BV66" s="29" t="n"/>
      <c r="BW66" s="24" t="n"/>
      <c r="BX66" s="30" t="n"/>
      <c r="BY66" s="27" t="n"/>
      <c r="BZ66" s="24" t="n"/>
      <c r="CA66" s="31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</row>
    <row r="67" ht="36" customHeight="1">
      <c r="A67" s="24" t="inlineStr">
        <is>
          <t>40d602f63b694901</t>
        </is>
      </c>
      <c r="B67" s="24" t="inlineStr">
        <is>
          <t>2026-08-02T08:16:59.190075Z</t>
        </is>
      </c>
      <c r="C67" s="24" t="inlineStr">
        <is>
          <t>2026-08-02T18:00Z</t>
        </is>
      </c>
      <c r="D67" s="24" t="inlineStr">
        <is>
          <t>401844015</t>
        </is>
      </c>
      <c r="E67" s="24" t="inlineStr">
        <is>
          <t>SOCCER</t>
        </is>
      </c>
      <c r="F67" s="24" t="inlineStr">
        <is>
          <t>Agropecuario</t>
        </is>
      </c>
      <c r="G67" s="24" t="inlineStr">
        <is>
          <t>Chacarita Juniors</t>
        </is>
      </c>
      <c r="H67" s="24" t="inlineStr">
        <is>
          <t>moneyline</t>
        </is>
      </c>
      <c r="I67" s="24" t="inlineStr">
        <is>
          <t>home</t>
        </is>
      </c>
      <c r="J67" s="25" t="n"/>
      <c r="K67" s="24" t="inlineStr">
        <is>
          <t>polymarket_us</t>
        </is>
      </c>
      <c r="L67" s="26" t="n">
        <v>122</v>
      </c>
      <c r="M67" s="27" t="n">
        <v>2.22</v>
      </c>
      <c r="N67" s="28" t="n">
        <v>0.45045</v>
      </c>
      <c r="O67" s="28" t="n">
        <v>0.456135</v>
      </c>
      <c r="P67" s="28" t="n">
        <v>0.2</v>
      </c>
      <c r="Q67" s="28" t="n">
        <v>0.005685</v>
      </c>
      <c r="R67" s="26" t="n">
        <v>0</v>
      </c>
      <c r="S67" s="29" t="n">
        <v>1</v>
      </c>
      <c r="T67" s="24" t="inlineStr">
        <is>
          <t>soccer-poisson-dc-v1</t>
        </is>
      </c>
      <c r="U67" s="24" t="inlineStr">
        <is>
          <t>open</t>
        </is>
      </c>
      <c r="V67" s="24" t="n"/>
      <c r="W67" s="26" t="n"/>
      <c r="X67" s="26" t="n"/>
      <c r="Y67" s="25" t="n"/>
      <c r="Z67" s="26" t="n"/>
      <c r="AA67" s="28" t="n"/>
      <c r="AB67" s="28" t="n"/>
      <c r="AC67" s="30" t="n"/>
      <c r="AD67" s="24" t="n"/>
      <c r="AE67" s="31" t="inlineStr">
        <is>
          <t>Poisson-DC rates 1.64 (home) / 1.24 (away) from EWMA attack/defense strengths. Executable ask 0.4500 (atc-arg2-cjh-caa-2026-08-01-cjh).</t>
        </is>
      </c>
      <c r="AF67" s="31" t="inlineStr">
        <is>
          <t>Research-only soccer score model; draw-aware, but not yet locked-holdout qualified.</t>
        </is>
      </c>
      <c r="AG67" s="24" t="inlineStr">
        <is>
          <t>not_applicable</t>
        </is>
      </c>
      <c r="AH67" s="24" t="n"/>
      <c r="AI67" s="31" t="n"/>
      <c r="AJ67" s="31" t="n"/>
      <c r="AK67" s="24" t="inlineStr">
        <is>
          <t>research_observation</t>
        </is>
      </c>
      <c r="AL67" s="26" t="n">
        <v>3</v>
      </c>
      <c r="AM67" s="24" t="inlineStr">
        <is>
          <t>RESEARCH_OBSERVATION</t>
        </is>
      </c>
      <c r="AN67" s="24" t="inlineStr">
        <is>
          <t>NO_CALL</t>
        </is>
      </c>
      <c r="AO67" s="24" t="inlineStr">
        <is>
          <t>NO_CALL_MODEL_UNVALIDATED</t>
        </is>
      </c>
      <c r="AP67" s="24" t="inlineStr">
        <is>
          <t>Agropecuario</t>
        </is>
      </c>
      <c r="AQ67" s="24" t="inlineStr">
        <is>
          <t>Agropecuario</t>
        </is>
      </c>
      <c r="AR67" s="24" t="inlineStr">
        <is>
          <t>Agropecuario</t>
        </is>
      </c>
      <c r="AS67" s="24" t="inlineStr">
        <is>
          <t>Chacarita Juniors</t>
        </is>
      </c>
      <c r="AT67" s="24" t="inlineStr">
        <is>
          <t>Chacarita Juniors</t>
        </is>
      </c>
      <c r="AU67" s="24" t="inlineStr">
        <is>
          <t>Chacarita Juniors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research</t>
        </is>
      </c>
      <c r="BA67" s="24" t="inlineStr">
        <is>
          <t>34d1568aad0ff11b5db35f118324684f93281e1c21fa7b80be7a4a4e2cb4bb03</t>
        </is>
      </c>
      <c r="BB67" s="24" t="inlineStr">
        <is>
          <t>poisson_dixon_coles</t>
        </is>
      </c>
      <c r="BC67" s="24" t="inlineStr">
        <is>
          <t>soccer-poisson-dc-v1</t>
        </is>
      </c>
      <c r="BD67" s="24" t="inlineStr">
        <is>
          <t>34d1568aad0ff11b5db35f118324684f93281e1c21fa7b80be7a4a4e2cb4bb03</t>
        </is>
      </c>
      <c r="BE67" s="24" t="inlineStr">
        <is>
          <t>soccer-poisson-dc-v1</t>
        </is>
      </c>
      <c r="BF67" s="24" t="inlineStr">
        <is>
          <t>1</t>
        </is>
      </c>
      <c r="BG67" s="24" t="inlineStr">
        <is>
          <t>34d1568aad0ff11b5db35f118324684f93281e1c21fa7b80be7a4a4e2cb4bb03</t>
        </is>
      </c>
      <c r="BH67" s="24" t="inlineStr">
        <is>
          <t>2026-08-02T08:13:26.192927Z</t>
        </is>
      </c>
      <c r="BI67" s="24" t="inlineStr">
        <is>
          <t>["same_event","same_team_same_day","same_league_same_day"]</t>
        </is>
      </c>
      <c r="BJ67" s="25" t="n"/>
      <c r="BK67" s="26" t="n">
        <v>122</v>
      </c>
      <c r="BL67" s="27" t="n">
        <v>2.22</v>
      </c>
      <c r="BM67" s="28" t="n">
        <v>0.45045</v>
      </c>
      <c r="BN67" s="28" t="n"/>
      <c r="BO67" s="28" t="n"/>
      <c r="BP67" s="25" t="n"/>
      <c r="BQ67" s="27" t="n"/>
      <c r="BR67" s="28" t="n"/>
      <c r="BS67" s="28" t="n"/>
      <c r="BT67" s="28" t="n"/>
      <c r="BU67" s="25" t="n"/>
      <c r="BV67" s="29" t="n"/>
      <c r="BW67" s="24" t="n"/>
      <c r="BX67" s="30" t="n"/>
      <c r="BY67" s="27" t="n"/>
      <c r="BZ67" s="24" t="n"/>
      <c r="CA67" s="31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  <c r="CN67" s="24" t="n"/>
      <c r="CO67" s="24" t="n"/>
    </row>
    <row r="68" ht="36" customHeight="1">
      <c r="A68" s="24" t="inlineStr">
        <is>
          <t>571cbfbe79c14c25</t>
        </is>
      </c>
      <c r="B68" s="24" t="inlineStr">
        <is>
          <t>2026-08-02T08:16:59.190075Z</t>
        </is>
      </c>
      <c r="C68" s="24" t="inlineStr">
        <is>
          <t>2026-08-02T18:00Z</t>
        </is>
      </c>
      <c r="D68" s="24" t="inlineStr">
        <is>
          <t>401844019</t>
        </is>
      </c>
      <c r="E68" s="24" t="inlineStr">
        <is>
          <t>SOCCER</t>
        </is>
      </c>
      <c r="F68" s="24" t="inlineStr">
        <is>
          <t>San Miguel</t>
        </is>
      </c>
      <c r="G68" s="24" t="inlineStr">
        <is>
          <t>San Telmo</t>
        </is>
      </c>
      <c r="H68" s="24" t="inlineStr">
        <is>
          <t>moneyline</t>
        </is>
      </c>
      <c r="I68" s="24" t="inlineStr">
        <is>
          <t>home</t>
        </is>
      </c>
      <c r="J68" s="25" t="n"/>
      <c r="K68" s="24" t="inlineStr">
        <is>
          <t>polymarket_us</t>
        </is>
      </c>
      <c r="L68" s="26" t="n">
        <v>170</v>
      </c>
      <c r="M68" s="27" t="n">
        <v>2.7</v>
      </c>
      <c r="N68" s="28" t="n">
        <v>0.37037</v>
      </c>
      <c r="O68" s="28" t="n">
        <v>0.456135</v>
      </c>
      <c r="P68" s="28" t="n">
        <v>0.2</v>
      </c>
      <c r="Q68" s="28" t="n">
        <v>0.08576499999999999</v>
      </c>
      <c r="R68" s="26" t="n">
        <v>0</v>
      </c>
      <c r="S68" s="29" t="n">
        <v>1</v>
      </c>
      <c r="T68" s="24" t="inlineStr">
        <is>
          <t>soccer-poisson-dc-v1</t>
        </is>
      </c>
      <c r="U68" s="24" t="inlineStr">
        <is>
          <t>open</t>
        </is>
      </c>
      <c r="V68" s="24" t="n"/>
      <c r="W68" s="26" t="n"/>
      <c r="X68" s="26" t="n"/>
      <c r="Y68" s="25" t="n"/>
      <c r="Z68" s="26" t="n"/>
      <c r="AA68" s="28" t="n"/>
      <c r="AB68" s="28" t="n"/>
      <c r="AC68" s="30" t="n"/>
      <c r="AD68" s="24" t="n"/>
      <c r="AE68" s="31" t="inlineStr">
        <is>
          <t>Poisson-DC rates 1.64 (home) / 1.24 (away) from EWMA attack/defense strengths. Executable ask 0.3700 (atc-arg2-ste-casm-2026-08-02-ste).</t>
        </is>
      </c>
      <c r="AF68" s="31" t="inlineStr">
        <is>
          <t>Research-only soccer score model; draw-aware, but not yet locked-holdout qualified.</t>
        </is>
      </c>
      <c r="AG68" s="24" t="inlineStr">
        <is>
          <t>not_applicable</t>
        </is>
      </c>
      <c r="AH68" s="24" t="n"/>
      <c r="AI68" s="31" t="n"/>
      <c r="AJ68" s="31" t="n"/>
      <c r="AK68" s="24" t="inlineStr">
        <is>
          <t>research_observation</t>
        </is>
      </c>
      <c r="AL68" s="26" t="n">
        <v>3</v>
      </c>
      <c r="AM68" s="24" t="inlineStr">
        <is>
          <t>RESEARCH_OBSERVATION</t>
        </is>
      </c>
      <c r="AN68" s="24" t="inlineStr">
        <is>
          <t>NO_CALL</t>
        </is>
      </c>
      <c r="AO68" s="24" t="inlineStr">
        <is>
          <t>NO_CALL_MODEL_UNVALIDATED</t>
        </is>
      </c>
      <c r="AP68" s="24" t="inlineStr">
        <is>
          <t>San Miguel</t>
        </is>
      </c>
      <c r="AQ68" s="24" t="inlineStr">
        <is>
          <t>San Miguel</t>
        </is>
      </c>
      <c r="AR68" s="24" t="inlineStr">
        <is>
          <t>San Miguel</t>
        </is>
      </c>
      <c r="AS68" s="24" t="inlineStr">
        <is>
          <t>San Telmo</t>
        </is>
      </c>
      <c r="AT68" s="24" t="inlineStr">
        <is>
          <t>San Telmo</t>
        </is>
      </c>
      <c r="AU68" s="24" t="inlineStr">
        <is>
          <t>San Telmo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research</t>
        </is>
      </c>
      <c r="BA68" s="24" t="inlineStr">
        <is>
          <t>34d1568aad0ff11b5db35f118324684f93281e1c21fa7b80be7a4a4e2cb4bb03</t>
        </is>
      </c>
      <c r="BB68" s="24" t="inlineStr">
        <is>
          <t>poisson_dixon_coles</t>
        </is>
      </c>
      <c r="BC68" s="24" t="inlineStr">
        <is>
          <t>soccer-poisson-dc-v1</t>
        </is>
      </c>
      <c r="BD68" s="24" t="inlineStr">
        <is>
          <t>34d1568aad0ff11b5db35f118324684f93281e1c21fa7b80be7a4a4e2cb4bb03</t>
        </is>
      </c>
      <c r="BE68" s="24" t="inlineStr">
        <is>
          <t>soccer-poisson-dc-v1</t>
        </is>
      </c>
      <c r="BF68" s="24" t="inlineStr">
        <is>
          <t>1</t>
        </is>
      </c>
      <c r="BG68" s="24" t="inlineStr">
        <is>
          <t>34d1568aad0ff11b5db35f118324684f93281e1c21fa7b80be7a4a4e2cb4bb03</t>
        </is>
      </c>
      <c r="BH68" s="24" t="inlineStr">
        <is>
          <t>2026-08-02T08:13:26.834968Z</t>
        </is>
      </c>
      <c r="BI68" s="24" t="inlineStr">
        <is>
          <t>["same_event","same_team_same_day","same_league_same_day"]</t>
        </is>
      </c>
      <c r="BJ68" s="25" t="n"/>
      <c r="BK68" s="26" t="n">
        <v>170</v>
      </c>
      <c r="BL68" s="27" t="n">
        <v>2.7</v>
      </c>
      <c r="BM68" s="28" t="n">
        <v>0.37037</v>
      </c>
      <c r="BN68" s="28" t="n"/>
      <c r="BO68" s="28" t="n"/>
      <c r="BP68" s="25" t="n"/>
      <c r="BQ68" s="27" t="n"/>
      <c r="BR68" s="28" t="n"/>
      <c r="BS68" s="28" t="n"/>
      <c r="BT68" s="28" t="n"/>
      <c r="BU68" s="25" t="n"/>
      <c r="BV68" s="29" t="n"/>
      <c r="BW68" s="24" t="n"/>
      <c r="BX68" s="30" t="n"/>
      <c r="BY68" s="27" t="n"/>
      <c r="BZ68" s="24" t="n"/>
      <c r="CA68" s="31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  <c r="CN68" s="24" t="n"/>
      <c r="CO68" s="24" t="n"/>
    </row>
    <row r="69" ht="36" customHeight="1">
      <c r="A69" s="24" t="inlineStr">
        <is>
          <t>207400d6575545fb</t>
        </is>
      </c>
      <c r="B69" s="24" t="inlineStr">
        <is>
          <t>2026-08-02T08:16:59.190075Z</t>
        </is>
      </c>
      <c r="C69" s="24" t="inlineStr">
        <is>
          <t>2026-08-02T18:30Z</t>
        </is>
      </c>
      <c r="D69" s="24" t="inlineStr">
        <is>
          <t>401844012</t>
        </is>
      </c>
      <c r="E69" s="24" t="inlineStr">
        <is>
          <t>SOCCER</t>
        </is>
      </c>
      <c r="F69" s="24" t="inlineStr">
        <is>
          <t>Gimnasia y Tiro (Salta)</t>
        </is>
      </c>
      <c r="G69" s="24" t="inlineStr">
        <is>
          <t>Temperley</t>
        </is>
      </c>
      <c r="H69" s="24" t="inlineStr">
        <is>
          <t>moneyline</t>
        </is>
      </c>
      <c r="I69" s="24" t="inlineStr">
        <is>
          <t>home</t>
        </is>
      </c>
      <c r="J69" s="25" t="n"/>
      <c r="K69" s="24" t="inlineStr">
        <is>
          <t>polymarket_us</t>
        </is>
      </c>
      <c r="L69" s="26" t="n">
        <v>117</v>
      </c>
      <c r="M69" s="27" t="n">
        <v>2.17</v>
      </c>
      <c r="N69" s="28" t="n">
        <v>0.460829</v>
      </c>
      <c r="O69" s="28" t="n">
        <v>0.456135</v>
      </c>
      <c r="P69" s="28" t="n">
        <v>0.2</v>
      </c>
      <c r="Q69" s="28" t="n">
        <v>-0.004694</v>
      </c>
      <c r="R69" s="26" t="n">
        <v>0</v>
      </c>
      <c r="S69" s="29" t="n">
        <v>1</v>
      </c>
      <c r="T69" s="24" t="inlineStr">
        <is>
          <t>soccer-poisson-dc-v1</t>
        </is>
      </c>
      <c r="U69" s="24" t="inlineStr">
        <is>
          <t>open</t>
        </is>
      </c>
      <c r="V69" s="24" t="n"/>
      <c r="W69" s="26" t="n"/>
      <c r="X69" s="26" t="n"/>
      <c r="Y69" s="25" t="n"/>
      <c r="Z69" s="26" t="n"/>
      <c r="AA69" s="28" t="n"/>
      <c r="AB69" s="28" t="n"/>
      <c r="AC69" s="30" t="n"/>
      <c r="AD69" s="24" t="n"/>
      <c r="AE69" s="31" t="inlineStr">
        <is>
          <t>Poisson-DC rates 1.64 (home) / 1.24 (away) from EWMA attack/defense strengths. Executable ask 0.4600 (atc-arg2-cat-gyt-2026-08-02-cat).</t>
        </is>
      </c>
      <c r="AF69" s="31" t="inlineStr">
        <is>
          <t>Research-only soccer score model; draw-aware, but not yet locked-holdout qualified.</t>
        </is>
      </c>
      <c r="AG69" s="24" t="inlineStr">
        <is>
          <t>not_applicable</t>
        </is>
      </c>
      <c r="AH69" s="24" t="n"/>
      <c r="AI69" s="31" t="n"/>
      <c r="AJ69" s="31" t="n"/>
      <c r="AK69" s="24" t="inlineStr">
        <is>
          <t>research_observation</t>
        </is>
      </c>
      <c r="AL69" s="26" t="n">
        <v>3</v>
      </c>
      <c r="AM69" s="24" t="inlineStr">
        <is>
          <t>RESEARCH_OBSERVATION</t>
        </is>
      </c>
      <c r="AN69" s="24" t="inlineStr">
        <is>
          <t>NO_CALL</t>
        </is>
      </c>
      <c r="AO69" s="24" t="inlineStr">
        <is>
          <t>NO_CALL_MODEL_UNVALIDATED</t>
        </is>
      </c>
      <c r="AP69" s="24" t="inlineStr">
        <is>
          <t>Gimnasia y Tiro (Salta)</t>
        </is>
      </c>
      <c r="AQ69" s="24" t="inlineStr">
        <is>
          <t>Gimnasia y Tiro (Salta)</t>
        </is>
      </c>
      <c r="AR69" s="24" t="inlineStr">
        <is>
          <t>Gimnasia y Tiro (Salta)</t>
        </is>
      </c>
      <c r="AS69" s="24" t="inlineStr">
        <is>
          <t>Temperley</t>
        </is>
      </c>
      <c r="AT69" s="24" t="inlineStr">
        <is>
          <t>Temperley</t>
        </is>
      </c>
      <c r="AU69" s="24" t="inlineStr">
        <is>
          <t>Temperley</t>
        </is>
      </c>
      <c r="AV69" s="24" t="n"/>
      <c r="AW69" s="24" t="n"/>
      <c r="AX69" s="24" t="inlineStr">
        <is>
          <t>statistical_model</t>
        </is>
      </c>
      <c r="AY69" s="24" t="n"/>
      <c r="AZ69" s="24" t="inlineStr">
        <is>
          <t>research</t>
        </is>
      </c>
      <c r="BA69" s="24" t="inlineStr">
        <is>
          <t>34d1568aad0ff11b5db35f118324684f93281e1c21fa7b80be7a4a4e2cb4bb03</t>
        </is>
      </c>
      <c r="BB69" s="24" t="inlineStr">
        <is>
          <t>poisson_dixon_coles</t>
        </is>
      </c>
      <c r="BC69" s="24" t="inlineStr">
        <is>
          <t>soccer-poisson-dc-v1</t>
        </is>
      </c>
      <c r="BD69" s="24" t="inlineStr">
        <is>
          <t>34d1568aad0ff11b5db35f118324684f93281e1c21fa7b80be7a4a4e2cb4bb03</t>
        </is>
      </c>
      <c r="BE69" s="24" t="inlineStr">
        <is>
          <t>soccer-poisson-dc-v1</t>
        </is>
      </c>
      <c r="BF69" s="24" t="inlineStr">
        <is>
          <t>1</t>
        </is>
      </c>
      <c r="BG69" s="24" t="inlineStr">
        <is>
          <t>34d1568aad0ff11b5db35f118324684f93281e1c21fa7b80be7a4a4e2cb4bb03</t>
        </is>
      </c>
      <c r="BH69" s="24" t="inlineStr">
        <is>
          <t>2026-08-02T08:13:26.808979Z</t>
        </is>
      </c>
      <c r="BI69" s="24" t="inlineStr">
        <is>
          <t>["same_event","same_team_same_day","same_league_same_day"]</t>
        </is>
      </c>
      <c r="BJ69" s="25" t="n"/>
      <c r="BK69" s="26" t="n">
        <v>117</v>
      </c>
      <c r="BL69" s="27" t="n">
        <v>2.17</v>
      </c>
      <c r="BM69" s="28" t="n">
        <v>0.460829</v>
      </c>
      <c r="BN69" s="28" t="n"/>
      <c r="BO69" s="28" t="n"/>
      <c r="BP69" s="25" t="n"/>
      <c r="BQ69" s="27" t="n"/>
      <c r="BR69" s="28" t="n"/>
      <c r="BS69" s="28" t="n"/>
      <c r="BT69" s="28" t="n"/>
      <c r="BU69" s="25" t="n"/>
      <c r="BV69" s="29" t="n"/>
      <c r="BW69" s="24" t="n"/>
      <c r="BX69" s="30" t="n"/>
      <c r="BY69" s="27" t="n"/>
      <c r="BZ69" s="24" t="n"/>
      <c r="CA69" s="31" t="n"/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  <c r="CL69" s="24" t="n"/>
      <c r="CM69" s="24" t="n"/>
      <c r="CN69" s="24" t="n"/>
      <c r="CO69" s="24" t="n"/>
    </row>
    <row r="70" ht="36" customHeight="1">
      <c r="A70" s="24" t="inlineStr">
        <is>
          <t>e88f0fa338274204</t>
        </is>
      </c>
      <c r="B70" s="24" t="inlineStr">
        <is>
          <t>2026-08-02T08:16:59.190075Z</t>
        </is>
      </c>
      <c r="C70" s="24" t="inlineStr">
        <is>
          <t>2026-08-02T19:00Z</t>
        </is>
      </c>
      <c r="D70" s="24" t="inlineStr">
        <is>
          <t>401844026</t>
        </is>
      </c>
      <c r="E70" s="24" t="inlineStr">
        <is>
          <t>SOCCER</t>
        </is>
      </c>
      <c r="F70" s="24" t="inlineStr">
        <is>
          <t>All Boys</t>
        </is>
      </c>
      <c r="G70" s="24" t="inlineStr">
        <is>
          <t>Deportivo Madryn</t>
        </is>
      </c>
      <c r="H70" s="24" t="inlineStr">
        <is>
          <t>moneyline</t>
        </is>
      </c>
      <c r="I70" s="24" t="inlineStr">
        <is>
          <t>home</t>
        </is>
      </c>
      <c r="J70" s="25" t="n"/>
      <c r="K70" s="24" t="inlineStr">
        <is>
          <t>polymarket_us</t>
        </is>
      </c>
      <c r="L70" s="26" t="n">
        <v>-104</v>
      </c>
      <c r="M70" s="27" t="n">
        <v>1.961538</v>
      </c>
      <c r="N70" s="28" t="n">
        <v>0.509804</v>
      </c>
      <c r="O70" s="28" t="n">
        <v>0.456135</v>
      </c>
      <c r="P70" s="28" t="n">
        <v>0.2</v>
      </c>
      <c r="Q70" s="28" t="n">
        <v>-0.053669</v>
      </c>
      <c r="R70" s="26" t="n">
        <v>0</v>
      </c>
      <c r="S70" s="29" t="n">
        <v>1</v>
      </c>
      <c r="T70" s="24" t="inlineStr">
        <is>
          <t>soccer-poisson-dc-v1</t>
        </is>
      </c>
      <c r="U70" s="24" t="inlineStr">
        <is>
          <t>open</t>
        </is>
      </c>
      <c r="V70" s="24" t="n"/>
      <c r="W70" s="26" t="n"/>
      <c r="X70" s="26" t="n"/>
      <c r="Y70" s="25" t="n"/>
      <c r="Z70" s="26" t="n"/>
      <c r="AA70" s="28" t="n"/>
      <c r="AB70" s="28" t="n"/>
      <c r="AC70" s="30" t="n"/>
      <c r="AD70" s="24" t="n"/>
      <c r="AE70" s="31" t="inlineStr">
        <is>
          <t>Poisson-DC rates 1.64 (home) / 1.24 (away) from EWMA attack/defense strengths. Executable ask 0.5100 (atc-arg2-dma-abo-2026-08-02-dma).</t>
        </is>
      </c>
      <c r="AF70" s="31" t="inlineStr">
        <is>
          <t>Research-only soccer score model; draw-aware, but not yet locked-holdout qualified.</t>
        </is>
      </c>
      <c r="AG70" s="24" t="inlineStr">
        <is>
          <t>not_applicable</t>
        </is>
      </c>
      <c r="AH70" s="24" t="n"/>
      <c r="AI70" s="31" t="n"/>
      <c r="AJ70" s="31" t="n"/>
      <c r="AK70" s="24" t="inlineStr">
        <is>
          <t>research_observation</t>
        </is>
      </c>
      <c r="AL70" s="26" t="n">
        <v>3</v>
      </c>
      <c r="AM70" s="24" t="inlineStr">
        <is>
          <t>RESEARCH_OBSERVATION</t>
        </is>
      </c>
      <c r="AN70" s="24" t="inlineStr">
        <is>
          <t>NO_CALL</t>
        </is>
      </c>
      <c r="AO70" s="24" t="inlineStr">
        <is>
          <t>NO_CALL_MODEL_UNVALIDATED</t>
        </is>
      </c>
      <c r="AP70" s="24" t="inlineStr">
        <is>
          <t>All Boys</t>
        </is>
      </c>
      <c r="AQ70" s="24" t="inlineStr">
        <is>
          <t>All Boys</t>
        </is>
      </c>
      <c r="AR70" s="24" t="inlineStr">
        <is>
          <t>All Boys</t>
        </is>
      </c>
      <c r="AS70" s="24" t="inlineStr">
        <is>
          <t>Deportivo Madryn</t>
        </is>
      </c>
      <c r="AT70" s="24" t="inlineStr">
        <is>
          <t>Deportivo Madryn</t>
        </is>
      </c>
      <c r="AU70" s="24" t="inlineStr">
        <is>
          <t>Deportivo Madryn</t>
        </is>
      </c>
      <c r="AV70" s="24" t="n"/>
      <c r="AW70" s="24" t="n"/>
      <c r="AX70" s="24" t="inlineStr">
        <is>
          <t>statistical_model</t>
        </is>
      </c>
      <c r="AY70" s="24" t="n"/>
      <c r="AZ70" s="24" t="inlineStr">
        <is>
          <t>research</t>
        </is>
      </c>
      <c r="BA70" s="24" t="inlineStr">
        <is>
          <t>34d1568aad0ff11b5db35f118324684f93281e1c21fa7b80be7a4a4e2cb4bb03</t>
        </is>
      </c>
      <c r="BB70" s="24" t="inlineStr">
        <is>
          <t>poisson_dixon_coles</t>
        </is>
      </c>
      <c r="BC70" s="24" t="inlineStr">
        <is>
          <t>soccer-poisson-dc-v1</t>
        </is>
      </c>
      <c r="BD70" s="24" t="inlineStr">
        <is>
          <t>34d1568aad0ff11b5db35f118324684f93281e1c21fa7b80be7a4a4e2cb4bb03</t>
        </is>
      </c>
      <c r="BE70" s="24" t="inlineStr">
        <is>
          <t>soccer-poisson-dc-v1</t>
        </is>
      </c>
      <c r="BF70" s="24" t="inlineStr">
        <is>
          <t>1</t>
        </is>
      </c>
      <c r="BG70" s="24" t="inlineStr">
        <is>
          <t>34d1568aad0ff11b5db35f118324684f93281e1c21fa7b80be7a4a4e2cb4bb03</t>
        </is>
      </c>
      <c r="BH70" s="24" t="inlineStr">
        <is>
          <t>2026-08-02T08:13:27.355220Z</t>
        </is>
      </c>
      <c r="BI70" s="24" t="inlineStr">
        <is>
          <t>["same_event","same_team_same_day","same_league_same_day"]</t>
        </is>
      </c>
      <c r="BJ70" s="25" t="n"/>
      <c r="BK70" s="26" t="n">
        <v>-104</v>
      </c>
      <c r="BL70" s="27" t="n">
        <v>1.961538</v>
      </c>
      <c r="BM70" s="28" t="n">
        <v>0.509804</v>
      </c>
      <c r="BN70" s="28" t="n"/>
      <c r="BO70" s="28" t="n"/>
      <c r="BP70" s="25" t="n"/>
      <c r="BQ70" s="27" t="n"/>
      <c r="BR70" s="28" t="n"/>
      <c r="BS70" s="28" t="n"/>
      <c r="BT70" s="28" t="n"/>
      <c r="BU70" s="25" t="n"/>
      <c r="BV70" s="29" t="n"/>
      <c r="BW70" s="24" t="n"/>
      <c r="BX70" s="30" t="n"/>
      <c r="BY70" s="27" t="n"/>
      <c r="BZ70" s="24" t="n"/>
      <c r="CA70" s="31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</row>
    <row r="71" ht="36" customHeight="1">
      <c r="A71" s="24" t="inlineStr">
        <is>
          <t>bc81abee15784afc</t>
        </is>
      </c>
      <c r="B71" s="24" t="inlineStr">
        <is>
          <t>2026-08-02T08:16:59.190075Z</t>
        </is>
      </c>
      <c r="C71" s="24" t="inlineStr">
        <is>
          <t>2026-08-02T19:30Z</t>
        </is>
      </c>
      <c r="D71" s="24" t="inlineStr">
        <is>
          <t>401844014</t>
        </is>
      </c>
      <c r="E71" s="24" t="inlineStr">
        <is>
          <t>SOCCER</t>
        </is>
      </c>
      <c r="F71" s="24" t="inlineStr">
        <is>
          <t>Los Andes</t>
        </is>
      </c>
      <c r="G71" s="24" t="inlineStr">
        <is>
          <t>Central Norte</t>
        </is>
      </c>
      <c r="H71" s="24" t="inlineStr">
        <is>
          <t>moneyline</t>
        </is>
      </c>
      <c r="I71" s="24" t="inlineStr">
        <is>
          <t>home</t>
        </is>
      </c>
      <c r="J71" s="25" t="n"/>
      <c r="K71" s="24" t="inlineStr">
        <is>
          <t>polymarket_us</t>
        </is>
      </c>
      <c r="L71" s="26" t="n">
        <v>170</v>
      </c>
      <c r="M71" s="27" t="n">
        <v>2.7</v>
      </c>
      <c r="N71" s="28" t="n">
        <v>0.37037</v>
      </c>
      <c r="O71" s="28" t="n">
        <v>0.456135</v>
      </c>
      <c r="P71" s="28" t="n">
        <v>0.2</v>
      </c>
      <c r="Q71" s="28" t="n">
        <v>0.08576499999999999</v>
      </c>
      <c r="R71" s="26" t="n">
        <v>0</v>
      </c>
      <c r="S71" s="29" t="n">
        <v>1</v>
      </c>
      <c r="T71" s="24" t="inlineStr">
        <is>
          <t>soccer-poisson-dc-v1</t>
        </is>
      </c>
      <c r="U71" s="24" t="inlineStr">
        <is>
          <t>open</t>
        </is>
      </c>
      <c r="V71" s="24" t="n"/>
      <c r="W71" s="26" t="n"/>
      <c r="X71" s="26" t="n"/>
      <c r="Y71" s="25" t="n"/>
      <c r="Z71" s="26" t="n"/>
      <c r="AA71" s="28" t="n"/>
      <c r="AB71" s="28" t="n"/>
      <c r="AC71" s="30" t="n"/>
      <c r="AD71" s="24" t="n"/>
      <c r="AE71" s="31" t="inlineStr">
        <is>
          <t>Poisson-DC rates 1.64 (home) / 1.24 (away) from EWMA attack/defense strengths. Executable ask 0.3700 (atc-arg2-ccns-ala-2026-08-02-ccns).</t>
        </is>
      </c>
      <c r="AF71" s="31" t="inlineStr">
        <is>
          <t>Research-only soccer score model; draw-aware, but not yet locked-holdout qualified.</t>
        </is>
      </c>
      <c r="AG71" s="24" t="inlineStr">
        <is>
          <t>not_applicable</t>
        </is>
      </c>
      <c r="AH71" s="24" t="n"/>
      <c r="AI71" s="31" t="n"/>
      <c r="AJ71" s="31" t="n"/>
      <c r="AK71" s="24" t="inlineStr">
        <is>
          <t>research_observation</t>
        </is>
      </c>
      <c r="AL71" s="26" t="n">
        <v>3</v>
      </c>
      <c r="AM71" s="24" t="inlineStr">
        <is>
          <t>RESEARCH_OBSERVATION</t>
        </is>
      </c>
      <c r="AN71" s="24" t="inlineStr">
        <is>
          <t>NO_CALL</t>
        </is>
      </c>
      <c r="AO71" s="24" t="inlineStr">
        <is>
          <t>NO_CALL_MODEL_UNVALIDATED</t>
        </is>
      </c>
      <c r="AP71" s="24" t="inlineStr">
        <is>
          <t>Los Andes</t>
        </is>
      </c>
      <c r="AQ71" s="24" t="inlineStr">
        <is>
          <t>Los Andes</t>
        </is>
      </c>
      <c r="AR71" s="24" t="inlineStr">
        <is>
          <t>Los Andes</t>
        </is>
      </c>
      <c r="AS71" s="24" t="inlineStr">
        <is>
          <t>Central Norte</t>
        </is>
      </c>
      <c r="AT71" s="24" t="inlineStr">
        <is>
          <t>Central Norte</t>
        </is>
      </c>
      <c r="AU71" s="24" t="inlineStr">
        <is>
          <t>Central Norte</t>
        </is>
      </c>
      <c r="AV71" s="24" t="n"/>
      <c r="AW71" s="24" t="n"/>
      <c r="AX71" s="24" t="inlineStr">
        <is>
          <t>statistical_model</t>
        </is>
      </c>
      <c r="AY71" s="24" t="n"/>
      <c r="AZ71" s="24" t="inlineStr">
        <is>
          <t>research</t>
        </is>
      </c>
      <c r="BA71" s="24" t="inlineStr">
        <is>
          <t>34d1568aad0ff11b5db35f118324684f93281e1c21fa7b80be7a4a4e2cb4bb03</t>
        </is>
      </c>
      <c r="BB71" s="24" t="inlineStr">
        <is>
          <t>poisson_dixon_coles</t>
        </is>
      </c>
      <c r="BC71" s="24" t="inlineStr">
        <is>
          <t>soccer-poisson-dc-v1</t>
        </is>
      </c>
      <c r="BD71" s="24" t="inlineStr">
        <is>
          <t>34d1568aad0ff11b5db35f118324684f93281e1c21fa7b80be7a4a4e2cb4bb03</t>
        </is>
      </c>
      <c r="BE71" s="24" t="inlineStr">
        <is>
          <t>soccer-poisson-dc-v1</t>
        </is>
      </c>
      <c r="BF71" s="24" t="inlineStr">
        <is>
          <t>1</t>
        </is>
      </c>
      <c r="BG71" s="24" t="inlineStr">
        <is>
          <t>34d1568aad0ff11b5db35f118324684f93281e1c21fa7b80be7a4a4e2cb4bb03</t>
        </is>
      </c>
      <c r="BH71" s="24" t="inlineStr">
        <is>
          <t>2026-08-02T08:13:27.689892Z</t>
        </is>
      </c>
      <c r="BI71" s="24" t="inlineStr">
        <is>
          <t>["same_event","same_team_same_day","same_league_same_day"]</t>
        </is>
      </c>
      <c r="BJ71" s="25" t="n"/>
      <c r="BK71" s="26" t="n">
        <v>170</v>
      </c>
      <c r="BL71" s="27" t="n">
        <v>2.7</v>
      </c>
      <c r="BM71" s="28" t="n">
        <v>0.37037</v>
      </c>
      <c r="BN71" s="28" t="n"/>
      <c r="BO71" s="28" t="n"/>
      <c r="BP71" s="25" t="n"/>
      <c r="BQ71" s="27" t="n"/>
      <c r="BR71" s="28" t="n"/>
      <c r="BS71" s="28" t="n"/>
      <c r="BT71" s="28" t="n"/>
      <c r="BU71" s="25" t="n"/>
      <c r="BV71" s="29" t="n"/>
      <c r="BW71" s="24" t="n"/>
      <c r="BX71" s="30" t="n"/>
      <c r="BY71" s="27" t="n"/>
      <c r="BZ71" s="24" t="n"/>
      <c r="CA71" s="31" t="n"/>
      <c r="CB71" s="24" t="n"/>
      <c r="CC71" s="24" t="n"/>
      <c r="CD71" s="24" t="n"/>
      <c r="CE71" s="24" t="n"/>
      <c r="CF71" s="24" t="n"/>
      <c r="CG71" s="24" t="n"/>
      <c r="CH71" s="24" t="n"/>
      <c r="CI71" s="24" t="n"/>
      <c r="CJ71" s="24" t="n"/>
      <c r="CK71" s="24" t="n"/>
      <c r="CL71" s="24" t="n"/>
      <c r="CM71" s="24" t="n"/>
      <c r="CN71" s="24" t="n"/>
      <c r="CO71" s="24" t="n"/>
    </row>
    <row r="72" ht="36" customHeight="1">
      <c r="A72" s="24" t="inlineStr">
        <is>
          <t>e02d784cb60042dd</t>
        </is>
      </c>
      <c r="B72" s="24" t="inlineStr">
        <is>
          <t>2026-08-02T08:16:59.190075Z</t>
        </is>
      </c>
      <c r="C72" s="24" t="inlineStr">
        <is>
          <t>2026-08-03T01:00Z</t>
        </is>
      </c>
      <c r="D72" s="24" t="inlineStr">
        <is>
          <t>401877966</t>
        </is>
      </c>
      <c r="E72" s="24" t="inlineStr">
        <is>
          <t>SOCCER</t>
        </is>
      </c>
      <c r="F72" s="24" t="inlineStr">
        <is>
          <t>Once Caldas</t>
        </is>
      </c>
      <c r="G72" s="24" t="inlineStr">
        <is>
          <t>Independiente Santa Fe</t>
        </is>
      </c>
      <c r="H72" s="24" t="inlineStr">
        <is>
          <t>moneyline</t>
        </is>
      </c>
      <c r="I72" s="24" t="inlineStr">
        <is>
          <t>home</t>
        </is>
      </c>
      <c r="J72" s="25" t="n"/>
      <c r="K72" s="24" t="inlineStr">
        <is>
          <t>polymarket_us</t>
        </is>
      </c>
      <c r="L72" s="26" t="n">
        <v>117</v>
      </c>
      <c r="M72" s="27" t="n">
        <v>2.17</v>
      </c>
      <c r="N72" s="28" t="n">
        <v>0.460829</v>
      </c>
      <c r="O72" s="28" t="n">
        <v>0.456135</v>
      </c>
      <c r="P72" s="28" t="n">
        <v>0.2</v>
      </c>
      <c r="Q72" s="28" t="n">
        <v>-0.004694</v>
      </c>
      <c r="R72" s="26" t="n">
        <v>0</v>
      </c>
      <c r="S72" s="29" t="n">
        <v>1</v>
      </c>
      <c r="T72" s="24" t="inlineStr">
        <is>
          <t>soccer-poisson-dc-v1</t>
        </is>
      </c>
      <c r="U72" s="24" t="inlineStr">
        <is>
          <t>open</t>
        </is>
      </c>
      <c r="V72" s="24" t="n"/>
      <c r="W72" s="26" t="n"/>
      <c r="X72" s="26" t="n"/>
      <c r="Y72" s="25" t="n"/>
      <c r="Z72" s="26" t="n"/>
      <c r="AA72" s="28" t="n"/>
      <c r="AB72" s="28" t="n"/>
      <c r="AC72" s="30" t="n"/>
      <c r="AD72" s="24" t="n"/>
      <c r="AE72" s="31" t="inlineStr">
        <is>
          <t>Poisson-DC rates 1.64 (home) / 1.24 (away) from EWMA attack/defense strengths. Executable ask 0.4600 (atc-lco-san-onc-2026-08-02-san).</t>
        </is>
      </c>
      <c r="AF72" s="31" t="inlineStr">
        <is>
          <t>Research-only soccer score model; draw-aware, but not yet locked-holdout qualified.</t>
        </is>
      </c>
      <c r="AG72" s="24" t="inlineStr">
        <is>
          <t>not_applicable</t>
        </is>
      </c>
      <c r="AH72" s="24" t="n"/>
      <c r="AI72" s="31" t="n"/>
      <c r="AJ72" s="31" t="n"/>
      <c r="AK72" s="24" t="inlineStr">
        <is>
          <t>research_observation</t>
        </is>
      </c>
      <c r="AL72" s="26" t="n">
        <v>3</v>
      </c>
      <c r="AM72" s="24" t="inlineStr">
        <is>
          <t>RESEARCH_OBSERVATION</t>
        </is>
      </c>
      <c r="AN72" s="24" t="inlineStr">
        <is>
          <t>NO_CALL</t>
        </is>
      </c>
      <c r="AO72" s="24" t="inlineStr">
        <is>
          <t>NO_CALL_MODEL_UNVALIDATED</t>
        </is>
      </c>
      <c r="AP72" s="24" t="inlineStr">
        <is>
          <t>Once Caldas</t>
        </is>
      </c>
      <c r="AQ72" s="24" t="inlineStr">
        <is>
          <t>Once Caldas</t>
        </is>
      </c>
      <c r="AR72" s="24" t="inlineStr">
        <is>
          <t>Once Caldas</t>
        </is>
      </c>
      <c r="AS72" s="24" t="inlineStr">
        <is>
          <t>Independiente Santa Fe</t>
        </is>
      </c>
      <c r="AT72" s="24" t="inlineStr">
        <is>
          <t>Independiente Santa Fe</t>
        </is>
      </c>
      <c r="AU72" s="24" t="inlineStr">
        <is>
          <t>Independiente Santa Fe</t>
        </is>
      </c>
      <c r="AV72" s="24" t="n"/>
      <c r="AW72" s="24" t="n"/>
      <c r="AX72" s="24" t="inlineStr">
        <is>
          <t>statistical_model</t>
        </is>
      </c>
      <c r="AY72" s="24" t="n"/>
      <c r="AZ72" s="24" t="inlineStr">
        <is>
          <t>research</t>
        </is>
      </c>
      <c r="BA72" s="24" t="inlineStr">
        <is>
          <t>34d1568aad0ff11b5db35f118324684f93281e1c21fa7b80be7a4a4e2cb4bb03</t>
        </is>
      </c>
      <c r="BB72" s="24" t="inlineStr">
        <is>
          <t>poisson_dixon_coles</t>
        </is>
      </c>
      <c r="BC72" s="24" t="inlineStr">
        <is>
          <t>soccer-poisson-dc-v1</t>
        </is>
      </c>
      <c r="BD72" s="24" t="inlineStr">
        <is>
          <t>34d1568aad0ff11b5db35f118324684f93281e1c21fa7b80be7a4a4e2cb4bb03</t>
        </is>
      </c>
      <c r="BE72" s="24" t="inlineStr">
        <is>
          <t>soccer-poisson-dc-v1</t>
        </is>
      </c>
      <c r="BF72" s="24" t="inlineStr">
        <is>
          <t>1</t>
        </is>
      </c>
      <c r="BG72" s="24" t="inlineStr">
        <is>
          <t>34d1568aad0ff11b5db35f118324684f93281e1c21fa7b80be7a4a4e2cb4bb03</t>
        </is>
      </c>
      <c r="BH72" s="24" t="inlineStr">
        <is>
          <t>2026-08-02T08:13:28.471107Z</t>
        </is>
      </c>
      <c r="BI72" s="24" t="inlineStr">
        <is>
          <t>["same_event","same_team_same_day","same_league_same_day"]</t>
        </is>
      </c>
      <c r="BJ72" s="25" t="n"/>
      <c r="BK72" s="26" t="n">
        <v>117</v>
      </c>
      <c r="BL72" s="27" t="n">
        <v>2.17</v>
      </c>
      <c r="BM72" s="28" t="n">
        <v>0.460829</v>
      </c>
      <c r="BN72" s="28" t="n"/>
      <c r="BO72" s="28" t="n"/>
      <c r="BP72" s="25" t="n"/>
      <c r="BQ72" s="27" t="n"/>
      <c r="BR72" s="28" t="n"/>
      <c r="BS72" s="28" t="n"/>
      <c r="BT72" s="28" t="n"/>
      <c r="BU72" s="25" t="n"/>
      <c r="BV72" s="29" t="n"/>
      <c r="BW72" s="24" t="n"/>
      <c r="BX72" s="30" t="n"/>
      <c r="BY72" s="27" t="n"/>
      <c r="BZ72" s="24" t="n"/>
      <c r="CA72" s="31" t="n"/>
      <c r="CB72" s="24" t="n"/>
      <c r="CC72" s="24" t="n"/>
      <c r="CD72" s="24" t="n"/>
      <c r="CE72" s="24" t="n"/>
      <c r="CF72" s="24" t="n"/>
      <c r="CG72" s="24" t="n"/>
      <c r="CH72" s="24" t="n"/>
      <c r="CI72" s="24" t="n"/>
      <c r="CJ72" s="24" t="n"/>
      <c r="CK72" s="24" t="n"/>
      <c r="CL72" s="24" t="n"/>
      <c r="CM72" s="24" t="n"/>
      <c r="CN72" s="24" t="n"/>
      <c r="CO72" s="24" t="n"/>
    </row>
    <row r="73" ht="36" customHeight="1">
      <c r="A73" s="24" t="inlineStr">
        <is>
          <t>deda227db4bb477d</t>
        </is>
      </c>
      <c r="B73" s="24" t="inlineStr">
        <is>
          <t>2026-08-02T08:16:59.190075Z</t>
        </is>
      </c>
      <c r="C73" s="24" t="inlineStr">
        <is>
          <t>2026-08-02T19:00Z</t>
        </is>
      </c>
      <c r="D73" s="24" t="inlineStr">
        <is>
          <t>401850609</t>
        </is>
      </c>
      <c r="E73" s="24" t="inlineStr">
        <is>
          <t>SOCCER</t>
        </is>
      </c>
      <c r="F73" s="24" t="inlineStr">
        <is>
          <t>O'Higgins</t>
        </is>
      </c>
      <c r="G73" s="24" t="inlineStr">
        <is>
          <t>La Serena</t>
        </is>
      </c>
      <c r="H73" s="24" t="inlineStr">
        <is>
          <t>moneyline</t>
        </is>
      </c>
      <c r="I73" s="24" t="inlineStr">
        <is>
          <t>home</t>
        </is>
      </c>
      <c r="J73" s="25" t="n"/>
      <c r="K73" s="24" t="inlineStr">
        <is>
          <t>polymarket_us</t>
        </is>
      </c>
      <c r="L73" s="26" t="n">
        <v>150</v>
      </c>
      <c r="M73" s="27" t="n">
        <v>2.5</v>
      </c>
      <c r="N73" s="28" t="n">
        <v>0.4</v>
      </c>
      <c r="O73" s="28" t="n">
        <v>0.5359159999999999</v>
      </c>
      <c r="P73" s="28" t="n">
        <v>0.2</v>
      </c>
      <c r="Q73" s="28" t="n">
        <v>0.135916</v>
      </c>
      <c r="R73" s="26" t="n">
        <v>0</v>
      </c>
      <c r="S73" s="29" t="n">
        <v>1</v>
      </c>
      <c r="T73" s="24" t="inlineStr">
        <is>
          <t>soccer-poisson-dc-v1</t>
        </is>
      </c>
      <c r="U73" s="24" t="inlineStr">
        <is>
          <t>open</t>
        </is>
      </c>
      <c r="V73" s="24" t="n"/>
      <c r="W73" s="26" t="n"/>
      <c r="X73" s="26" t="n"/>
      <c r="Y73" s="25" t="n"/>
      <c r="Z73" s="26" t="n"/>
      <c r="AA73" s="28" t="n"/>
      <c r="AB73" s="28" t="n"/>
      <c r="AC73" s="30" t="n"/>
      <c r="AD73" s="24" t="n"/>
      <c r="AE73" s="31" t="inlineStr">
        <is>
          <t>Poisson-DC rates 1.84 (home) / 1.10 (away) from EWMA attack/defense strengths. Executable ask 0.4000 (atc-pdc-ser-ohi-2026-08-02-ser).</t>
        </is>
      </c>
      <c r="AF73" s="31" t="inlineStr">
        <is>
          <t>Research-only soccer score model; draw-aware, but not yet locked-holdout qualified.</t>
        </is>
      </c>
      <c r="AG73" s="24" t="inlineStr">
        <is>
          <t>not_applicable</t>
        </is>
      </c>
      <c r="AH73" s="24" t="n"/>
      <c r="AI73" s="31" t="n"/>
      <c r="AJ73" s="31" t="n"/>
      <c r="AK73" s="24" t="inlineStr">
        <is>
          <t>research_observation</t>
        </is>
      </c>
      <c r="AL73" s="26" t="n">
        <v>3</v>
      </c>
      <c r="AM73" s="24" t="inlineStr">
        <is>
          <t>RESEARCH_OBSERVATION</t>
        </is>
      </c>
      <c r="AN73" s="24" t="inlineStr">
        <is>
          <t>NO_CALL</t>
        </is>
      </c>
      <c r="AO73" s="24" t="inlineStr">
        <is>
          <t>NO_CALL_MODEL_UNVALIDATED</t>
        </is>
      </c>
      <c r="AP73" s="24" t="inlineStr">
        <is>
          <t>O'Higgins</t>
        </is>
      </c>
      <c r="AQ73" s="24" t="inlineStr">
        <is>
          <t>O'Higgins</t>
        </is>
      </c>
      <c r="AR73" s="24" t="inlineStr">
        <is>
          <t>O'Higgins</t>
        </is>
      </c>
      <c r="AS73" s="24" t="inlineStr">
        <is>
          <t>La Serena</t>
        </is>
      </c>
      <c r="AT73" s="24" t="inlineStr">
        <is>
          <t>La Serena</t>
        </is>
      </c>
      <c r="AU73" s="24" t="inlineStr">
        <is>
          <t>La Serena</t>
        </is>
      </c>
      <c r="AV73" s="24" t="n"/>
      <c r="AW73" s="24" t="n"/>
      <c r="AX73" s="24" t="inlineStr">
        <is>
          <t>statistical_model</t>
        </is>
      </c>
      <c r="AY73" s="24" t="n"/>
      <c r="AZ73" s="24" t="inlineStr">
        <is>
          <t>research</t>
        </is>
      </c>
      <c r="BA73" s="24" t="inlineStr">
        <is>
          <t>34d1568aad0ff11b5db35f118324684f93281e1c21fa7b80be7a4a4e2cb4bb03</t>
        </is>
      </c>
      <c r="BB73" s="24" t="inlineStr">
        <is>
          <t>poisson_dixon_coles</t>
        </is>
      </c>
      <c r="BC73" s="24" t="inlineStr">
        <is>
          <t>soccer-poisson-dc-v1</t>
        </is>
      </c>
      <c r="BD73" s="24" t="inlineStr">
        <is>
          <t>34d1568aad0ff11b5db35f118324684f93281e1c21fa7b80be7a4a4e2cb4bb03</t>
        </is>
      </c>
      <c r="BE73" s="24" t="inlineStr">
        <is>
          <t>soccer-poisson-dc-v1</t>
        </is>
      </c>
      <c r="BF73" s="24" t="inlineStr">
        <is>
          <t>1</t>
        </is>
      </c>
      <c r="BG73" s="24" t="inlineStr">
        <is>
          <t>34d1568aad0ff11b5db35f118324684f93281e1c21fa7b80be7a4a4e2cb4bb03</t>
        </is>
      </c>
      <c r="BH73" s="24" t="inlineStr">
        <is>
          <t>2026-08-02T08:13:29.617042Z</t>
        </is>
      </c>
      <c r="BI73" s="24" t="inlineStr">
        <is>
          <t>["same_event","same_team_same_day","same_league_same_day"]</t>
        </is>
      </c>
      <c r="BJ73" s="25" t="n"/>
      <c r="BK73" s="26" t="n">
        <v>150</v>
      </c>
      <c r="BL73" s="27" t="n">
        <v>2.5</v>
      </c>
      <c r="BM73" s="28" t="n">
        <v>0.4</v>
      </c>
      <c r="BN73" s="28" t="n"/>
      <c r="BO73" s="28" t="n"/>
      <c r="BP73" s="25" t="n"/>
      <c r="BQ73" s="27" t="n"/>
      <c r="BR73" s="28" t="n"/>
      <c r="BS73" s="28" t="n"/>
      <c r="BT73" s="28" t="n"/>
      <c r="BU73" s="25" t="n"/>
      <c r="BV73" s="29" t="n"/>
      <c r="BW73" s="24" t="n"/>
      <c r="BX73" s="30" t="n"/>
      <c r="BY73" s="27" t="n"/>
      <c r="BZ73" s="24" t="n"/>
      <c r="CA73" s="31" t="n"/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24" t="n"/>
      <c r="CN73" s="24" t="n"/>
      <c r="CO73" s="24" t="n"/>
    </row>
    <row r="74" ht="36" customHeight="1">
      <c r="A74" s="24" t="inlineStr">
        <is>
          <t>c3143d1900784cca</t>
        </is>
      </c>
      <c r="B74" s="24" t="inlineStr">
        <is>
          <t>2026-08-02T08:16:59.190075Z</t>
        </is>
      </c>
      <c r="C74" s="24" t="inlineStr">
        <is>
          <t>2026-08-02T21:30Z</t>
        </is>
      </c>
      <c r="D74" s="24" t="inlineStr">
        <is>
          <t>401850607</t>
        </is>
      </c>
      <c r="E74" s="24" t="inlineStr">
        <is>
          <t>SOCCER</t>
        </is>
      </c>
      <c r="F74" s="24" t="inlineStr">
        <is>
          <t>Huachipato</t>
        </is>
      </c>
      <c r="G74" s="24" t="inlineStr">
        <is>
          <t>Universidad de Chile</t>
        </is>
      </c>
      <c r="H74" s="24" t="inlineStr">
        <is>
          <t>moneyline</t>
        </is>
      </c>
      <c r="I74" s="24" t="inlineStr">
        <is>
          <t>home</t>
        </is>
      </c>
      <c r="J74" s="25" t="n"/>
      <c r="K74" s="24" t="inlineStr">
        <is>
          <t>polymarket_us</t>
        </is>
      </c>
      <c r="L74" s="26" t="n">
        <v>-170</v>
      </c>
      <c r="M74" s="27" t="n">
        <v>1.588235</v>
      </c>
      <c r="N74" s="28" t="n">
        <v>0.62963</v>
      </c>
      <c r="O74" s="28" t="n">
        <v>0.414794</v>
      </c>
      <c r="P74" s="28" t="n">
        <v>0.19</v>
      </c>
      <c r="Q74" s="28" t="n">
        <v>-0.214836</v>
      </c>
      <c r="R74" s="26" t="n">
        <v>0</v>
      </c>
      <c r="S74" s="29" t="n">
        <v>1</v>
      </c>
      <c r="T74" s="24" t="inlineStr">
        <is>
          <t>soccer-poisson-dc-v1</t>
        </is>
      </c>
      <c r="U74" s="24" t="inlineStr">
        <is>
          <t>open</t>
        </is>
      </c>
      <c r="V74" s="24" t="n"/>
      <c r="W74" s="26" t="n"/>
      <c r="X74" s="26" t="n"/>
      <c r="Y74" s="25" t="n"/>
      <c r="Z74" s="26" t="n"/>
      <c r="AA74" s="28" t="n"/>
      <c r="AB74" s="28" t="n"/>
      <c r="AC74" s="30" t="n"/>
      <c r="AD74" s="24" t="n"/>
      <c r="AE74" s="31" t="inlineStr">
        <is>
          <t>Poisson-DC rates 1.41 (home) / 1.16 (away) from EWMA attack/defense strengths. Executable ask 0.6300 (atc-pdc-unc-hua-2026-08-02-unc).</t>
        </is>
      </c>
      <c r="AF74" s="31" t="inlineStr">
        <is>
          <t>Research-only soccer score model; draw-aware, but not yet locked-holdout qualified.</t>
        </is>
      </c>
      <c r="AG74" s="24" t="inlineStr">
        <is>
          <t>not_applicable</t>
        </is>
      </c>
      <c r="AH74" s="24" t="n"/>
      <c r="AI74" s="31" t="n"/>
      <c r="AJ74" s="31" t="n"/>
      <c r="AK74" s="24" t="inlineStr">
        <is>
          <t>research_observation</t>
        </is>
      </c>
      <c r="AL74" s="26" t="n">
        <v>3</v>
      </c>
      <c r="AM74" s="24" t="inlineStr">
        <is>
          <t>RESEARCH_OBSERVATION</t>
        </is>
      </c>
      <c r="AN74" s="24" t="inlineStr">
        <is>
          <t>NO_CALL</t>
        </is>
      </c>
      <c r="AO74" s="24" t="inlineStr">
        <is>
          <t>NO_CALL_MODEL_UNVALIDATED</t>
        </is>
      </c>
      <c r="AP74" s="24" t="inlineStr">
        <is>
          <t>Huachipato</t>
        </is>
      </c>
      <c r="AQ74" s="24" t="inlineStr">
        <is>
          <t>Huachipato</t>
        </is>
      </c>
      <c r="AR74" s="24" t="inlineStr">
        <is>
          <t>Huachipato</t>
        </is>
      </c>
      <c r="AS74" s="24" t="inlineStr">
        <is>
          <t>Universidad de Chile</t>
        </is>
      </c>
      <c r="AT74" s="24" t="inlineStr">
        <is>
          <t>Universidad de Chile</t>
        </is>
      </c>
      <c r="AU74" s="24" t="inlineStr">
        <is>
          <t>Universidad de Chile</t>
        </is>
      </c>
      <c r="AV74" s="24" t="n"/>
      <c r="AW74" s="24" t="n"/>
      <c r="AX74" s="24" t="inlineStr">
        <is>
          <t>statistical_model</t>
        </is>
      </c>
      <c r="AY74" s="24" t="n"/>
      <c r="AZ74" s="24" t="inlineStr">
        <is>
          <t>research</t>
        </is>
      </c>
      <c r="BA74" s="24" t="inlineStr">
        <is>
          <t>34d1568aad0ff11b5db35f118324684f93281e1c21fa7b80be7a4a4e2cb4bb03</t>
        </is>
      </c>
      <c r="BB74" s="24" t="inlineStr">
        <is>
          <t>poisson_dixon_coles</t>
        </is>
      </c>
      <c r="BC74" s="24" t="inlineStr">
        <is>
          <t>soccer-poisson-dc-v1</t>
        </is>
      </c>
      <c r="BD74" s="24" t="inlineStr">
        <is>
          <t>34d1568aad0ff11b5db35f118324684f93281e1c21fa7b80be7a4a4e2cb4bb03</t>
        </is>
      </c>
      <c r="BE74" s="24" t="inlineStr">
        <is>
          <t>soccer-poisson-dc-v1</t>
        </is>
      </c>
      <c r="BF74" s="24" t="inlineStr">
        <is>
          <t>1</t>
        </is>
      </c>
      <c r="BG74" s="24" t="inlineStr">
        <is>
          <t>34d1568aad0ff11b5db35f118324684f93281e1c21fa7b80be7a4a4e2cb4bb03</t>
        </is>
      </c>
      <c r="BH74" s="24" t="inlineStr">
        <is>
          <t>2026-08-02T08:13:29.597576Z</t>
        </is>
      </c>
      <c r="BI74" s="24" t="inlineStr">
        <is>
          <t>["same_event","same_team_same_day","same_league_same_day"]</t>
        </is>
      </c>
      <c r="BJ74" s="25" t="n"/>
      <c r="BK74" s="26" t="n">
        <v>-170</v>
      </c>
      <c r="BL74" s="27" t="n">
        <v>1.588235</v>
      </c>
      <c r="BM74" s="28" t="n">
        <v>0.62963</v>
      </c>
      <c r="BN74" s="28" t="n"/>
      <c r="BO74" s="28" t="n"/>
      <c r="BP74" s="25" t="n"/>
      <c r="BQ74" s="27" t="n"/>
      <c r="BR74" s="28" t="n"/>
      <c r="BS74" s="28" t="n"/>
      <c r="BT74" s="28" t="n"/>
      <c r="BU74" s="25" t="n"/>
      <c r="BV74" s="29" t="n"/>
      <c r="BW74" s="24" t="n"/>
      <c r="BX74" s="30" t="n"/>
      <c r="BY74" s="27" t="n"/>
      <c r="BZ74" s="24" t="n"/>
      <c r="CA74" s="31" t="n"/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  <c r="CL74" s="24" t="n"/>
      <c r="CM74" s="24" t="n"/>
      <c r="CN74" s="24" t="n"/>
      <c r="CO74" s="24" t="n"/>
    </row>
    <row r="75" ht="36" customHeight="1">
      <c r="A75" s="24" t="inlineStr">
        <is>
          <t>c958fb5136a7467f</t>
        </is>
      </c>
      <c r="B75" s="24" t="inlineStr">
        <is>
          <t>2026-08-02T08:16:59.190075Z</t>
        </is>
      </c>
      <c r="C75" s="24" t="inlineStr">
        <is>
          <t>2026-08-02T15:00Z</t>
        </is>
      </c>
      <c r="D75" s="24" t="inlineStr">
        <is>
          <t>401872734</t>
        </is>
      </c>
      <c r="E75" s="24" t="inlineStr">
        <is>
          <t>SOCCER</t>
        </is>
      </c>
      <c r="F75" s="24" t="inlineStr">
        <is>
          <t>Boston River</t>
        </is>
      </c>
      <c r="G75" s="24" t="inlineStr">
        <is>
          <t>Racing (Montevideo)</t>
        </is>
      </c>
      <c r="H75" s="24" t="inlineStr">
        <is>
          <t>moneyline</t>
        </is>
      </c>
      <c r="I75" s="24" t="inlineStr">
        <is>
          <t>home</t>
        </is>
      </c>
      <c r="J75" s="25" t="n"/>
      <c r="K75" s="24" t="inlineStr">
        <is>
          <t>polymarket_us</t>
        </is>
      </c>
      <c r="L75" s="26" t="n">
        <v>-127</v>
      </c>
      <c r="M75" s="27" t="n">
        <v>1.787402</v>
      </c>
      <c r="N75" s="28" t="n">
        <v>0.5594710000000001</v>
      </c>
      <c r="O75" s="28" t="n">
        <v>0.5359159999999999</v>
      </c>
      <c r="P75" s="28" t="n">
        <v>0.2</v>
      </c>
      <c r="Q75" s="28" t="n">
        <v>-0.023555</v>
      </c>
      <c r="R75" s="26" t="n">
        <v>0</v>
      </c>
      <c r="S75" s="29" t="n">
        <v>1</v>
      </c>
      <c r="T75" s="24" t="inlineStr">
        <is>
          <t>soccer-poisson-dc-v1</t>
        </is>
      </c>
      <c r="U75" s="24" t="inlineStr">
        <is>
          <t>open</t>
        </is>
      </c>
      <c r="V75" s="24" t="n"/>
      <c r="W75" s="26" t="n"/>
      <c r="X75" s="26" t="n"/>
      <c r="Y75" s="25" t="n"/>
      <c r="Z75" s="26" t="n"/>
      <c r="AA75" s="28" t="n"/>
      <c r="AB75" s="28" t="n"/>
      <c r="AC75" s="30" t="n"/>
      <c r="AD75" s="24" t="n"/>
      <c r="AE75" s="31" t="inlineStr">
        <is>
          <t>Poisson-DC rates 1.84 (home) / 1.10 (away) from EWMA attack/defense strengths. Executable ask 0.5600 (atc-uru1-rcm-bri-2026-08-02-rcm).</t>
        </is>
      </c>
      <c r="AF75" s="31" t="inlineStr">
        <is>
          <t>Research-only soccer score model; draw-aware, but not yet locked-holdout qualified.</t>
        </is>
      </c>
      <c r="AG75" s="24" t="inlineStr">
        <is>
          <t>not_applicable</t>
        </is>
      </c>
      <c r="AH75" s="24" t="n"/>
      <c r="AI75" s="31" t="n"/>
      <c r="AJ75" s="31" t="n"/>
      <c r="AK75" s="24" t="inlineStr">
        <is>
          <t>research_observation</t>
        </is>
      </c>
      <c r="AL75" s="26" t="n">
        <v>3</v>
      </c>
      <c r="AM75" s="24" t="inlineStr">
        <is>
          <t>RESEARCH_OBSERVATION</t>
        </is>
      </c>
      <c r="AN75" s="24" t="inlineStr">
        <is>
          <t>NO_CALL</t>
        </is>
      </c>
      <c r="AO75" s="24" t="inlineStr">
        <is>
          <t>NO_CALL_MODEL_UNVALIDATED</t>
        </is>
      </c>
      <c r="AP75" s="24" t="inlineStr">
        <is>
          <t>Boston River</t>
        </is>
      </c>
      <c r="AQ75" s="24" t="inlineStr">
        <is>
          <t>Boston River</t>
        </is>
      </c>
      <c r="AR75" s="24" t="inlineStr">
        <is>
          <t>Boston River</t>
        </is>
      </c>
      <c r="AS75" s="24" t="inlineStr">
        <is>
          <t>Racing (Montevideo)</t>
        </is>
      </c>
      <c r="AT75" s="24" t="inlineStr">
        <is>
          <t>Racing (Montevideo)</t>
        </is>
      </c>
      <c r="AU75" s="24" t="inlineStr">
        <is>
          <t>Racing (Montevideo)</t>
        </is>
      </c>
      <c r="AV75" s="24" t="n"/>
      <c r="AW75" s="24" t="n"/>
      <c r="AX75" s="24" t="inlineStr">
        <is>
          <t>statistical_model</t>
        </is>
      </c>
      <c r="AY75" s="24" t="n"/>
      <c r="AZ75" s="24" t="inlineStr">
        <is>
          <t>research</t>
        </is>
      </c>
      <c r="BA75" s="24" t="inlineStr">
        <is>
          <t>34d1568aad0ff11b5db35f118324684f93281e1c21fa7b80be7a4a4e2cb4bb03</t>
        </is>
      </c>
      <c r="BB75" s="24" t="inlineStr">
        <is>
          <t>poisson_dixon_coles</t>
        </is>
      </c>
      <c r="BC75" s="24" t="inlineStr">
        <is>
          <t>soccer-poisson-dc-v1</t>
        </is>
      </c>
      <c r="BD75" s="24" t="inlineStr">
        <is>
          <t>34d1568aad0ff11b5db35f118324684f93281e1c21fa7b80be7a4a4e2cb4bb03</t>
        </is>
      </c>
      <c r="BE75" s="24" t="inlineStr">
        <is>
          <t>soccer-poisson-dc-v1</t>
        </is>
      </c>
      <c r="BF75" s="24" t="inlineStr">
        <is>
          <t>1</t>
        </is>
      </c>
      <c r="BG75" s="24" t="inlineStr">
        <is>
          <t>34d1568aad0ff11b5db35f118324684f93281e1c21fa7b80be7a4a4e2cb4bb03</t>
        </is>
      </c>
      <c r="BH75" s="24" t="inlineStr">
        <is>
          <t>2026-08-02T08:13:30.643343Z</t>
        </is>
      </c>
      <c r="BI75" s="24" t="inlineStr">
        <is>
          <t>["same_event","same_team_same_day","same_league_same_day"]</t>
        </is>
      </c>
      <c r="BJ75" s="25" t="n"/>
      <c r="BK75" s="26" t="n">
        <v>-127</v>
      </c>
      <c r="BL75" s="27" t="n">
        <v>1.787402</v>
      </c>
      <c r="BM75" s="28" t="n">
        <v>0.5594710000000001</v>
      </c>
      <c r="BN75" s="28" t="n"/>
      <c r="BO75" s="28" t="n"/>
      <c r="BP75" s="25" t="n"/>
      <c r="BQ75" s="27" t="n"/>
      <c r="BR75" s="28" t="n"/>
      <c r="BS75" s="28" t="n"/>
      <c r="BT75" s="28" t="n"/>
      <c r="BU75" s="25" t="n"/>
      <c r="BV75" s="29" t="n"/>
      <c r="BW75" s="24" t="n"/>
      <c r="BX75" s="30" t="n"/>
      <c r="BY75" s="27" t="n"/>
      <c r="BZ75" s="24" t="n"/>
      <c r="CA75" s="31" t="n"/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  <c r="CL75" s="24" t="n"/>
      <c r="CM75" s="24" t="n"/>
      <c r="CN75" s="24" t="n"/>
      <c r="CO75" s="24" t="n"/>
    </row>
    <row r="76" ht="36" customHeight="1">
      <c r="A76" s="24" t="inlineStr">
        <is>
          <t>d2792e8a333f49ec</t>
        </is>
      </c>
      <c r="B76" s="24" t="inlineStr">
        <is>
          <t>2026-08-02T08:16:59.190075Z</t>
        </is>
      </c>
      <c r="C76" s="24" t="inlineStr">
        <is>
          <t>2026-08-02T20:30Z</t>
        </is>
      </c>
      <c r="D76" s="24" t="inlineStr">
        <is>
          <t>401859644</t>
        </is>
      </c>
      <c r="E76" s="24" t="inlineStr">
        <is>
          <t>SOCCER</t>
        </is>
      </c>
      <c r="F76" s="24" t="inlineStr">
        <is>
          <t>Guayaquil City FC</t>
        </is>
      </c>
      <c r="G76" s="24" t="inlineStr">
        <is>
          <t>Macará</t>
        </is>
      </c>
      <c r="H76" s="24" t="inlineStr">
        <is>
          <t>moneyline</t>
        </is>
      </c>
      <c r="I76" s="24" t="inlineStr">
        <is>
          <t>home</t>
        </is>
      </c>
      <c r="J76" s="25" t="n"/>
      <c r="K76" s="24" t="inlineStr">
        <is>
          <t>polymarket_us</t>
        </is>
      </c>
      <c r="L76" s="26" t="n">
        <v>-186</v>
      </c>
      <c r="M76" s="27" t="n">
        <v>1.537634</v>
      </c>
      <c r="N76" s="28" t="n">
        <v>0.65035</v>
      </c>
      <c r="O76" s="28" t="n">
        <v>0.456135</v>
      </c>
      <c r="P76" s="28" t="n">
        <v>0.2</v>
      </c>
      <c r="Q76" s="28" t="n">
        <v>-0.194215</v>
      </c>
      <c r="R76" s="26" t="n">
        <v>0</v>
      </c>
      <c r="S76" s="29" t="n">
        <v>1</v>
      </c>
      <c r="T76" s="24" t="inlineStr">
        <is>
          <t>soccer-poisson-dc-v1</t>
        </is>
      </c>
      <c r="U76" s="24" t="inlineStr">
        <is>
          <t>open</t>
        </is>
      </c>
      <c r="V76" s="24" t="n"/>
      <c r="W76" s="26" t="n"/>
      <c r="X76" s="26" t="n"/>
      <c r="Y76" s="25" t="n"/>
      <c r="Z76" s="26" t="n"/>
      <c r="AA76" s="28" t="n"/>
      <c r="AB76" s="28" t="n"/>
      <c r="AC76" s="30" t="n"/>
      <c r="AD76" s="24" t="n"/>
      <c r="AE76" s="31" t="inlineStr">
        <is>
          <t>Poisson-DC rates 1.64 (home) / 1.24 (away) from EWMA attack/defense strengths. Executable ask 0.6500 (atc-ecu1-mac-gua-2026-08-02-mac).</t>
        </is>
      </c>
      <c r="AF76" s="31" t="inlineStr">
        <is>
          <t>Research-only soccer score model; draw-aware, but not yet locked-holdout qualified.</t>
        </is>
      </c>
      <c r="AG76" s="24" t="inlineStr">
        <is>
          <t>not_applicable</t>
        </is>
      </c>
      <c r="AH76" s="24" t="n"/>
      <c r="AI76" s="31" t="n"/>
      <c r="AJ76" s="31" t="n"/>
      <c r="AK76" s="24" t="inlineStr">
        <is>
          <t>research_observation</t>
        </is>
      </c>
      <c r="AL76" s="26" t="n">
        <v>3</v>
      </c>
      <c r="AM76" s="24" t="inlineStr">
        <is>
          <t>RESEARCH_OBSERVATION</t>
        </is>
      </c>
      <c r="AN76" s="24" t="inlineStr">
        <is>
          <t>NO_CALL</t>
        </is>
      </c>
      <c r="AO76" s="24" t="inlineStr">
        <is>
          <t>NO_CALL_MODEL_UNVALIDATED</t>
        </is>
      </c>
      <c r="AP76" s="24" t="inlineStr">
        <is>
          <t>Guayaquil City FC</t>
        </is>
      </c>
      <c r="AQ76" s="24" t="inlineStr">
        <is>
          <t>Guayaquil City FC</t>
        </is>
      </c>
      <c r="AR76" s="24" t="inlineStr">
        <is>
          <t>Guayaquil City FC</t>
        </is>
      </c>
      <c r="AS76" s="24" t="inlineStr">
        <is>
          <t>Macará</t>
        </is>
      </c>
      <c r="AT76" s="24" t="inlineStr">
        <is>
          <t>Macará</t>
        </is>
      </c>
      <c r="AU76" s="24" t="inlineStr">
        <is>
          <t>Macará</t>
        </is>
      </c>
      <c r="AV76" s="24" t="n"/>
      <c r="AW76" s="24" t="n"/>
      <c r="AX76" s="24" t="inlineStr">
        <is>
          <t>statistical_model</t>
        </is>
      </c>
      <c r="AY76" s="24" t="n"/>
      <c r="AZ76" s="24" t="inlineStr">
        <is>
          <t>research</t>
        </is>
      </c>
      <c r="BA76" s="24" t="inlineStr">
        <is>
          <t>34d1568aad0ff11b5db35f118324684f93281e1c21fa7b80be7a4a4e2cb4bb03</t>
        </is>
      </c>
      <c r="BB76" s="24" t="inlineStr">
        <is>
          <t>poisson_dixon_coles</t>
        </is>
      </c>
      <c r="BC76" s="24" t="inlineStr">
        <is>
          <t>soccer-poisson-dc-v1</t>
        </is>
      </c>
      <c r="BD76" s="24" t="inlineStr">
        <is>
          <t>34d1568aad0ff11b5db35f118324684f93281e1c21fa7b80be7a4a4e2cb4bb03</t>
        </is>
      </c>
      <c r="BE76" s="24" t="inlineStr">
        <is>
          <t>soccer-poisson-dc-v1</t>
        </is>
      </c>
      <c r="BF76" s="24" t="inlineStr">
        <is>
          <t>1</t>
        </is>
      </c>
      <c r="BG76" s="24" t="inlineStr">
        <is>
          <t>34d1568aad0ff11b5db35f118324684f93281e1c21fa7b80be7a4a4e2cb4bb03</t>
        </is>
      </c>
      <c r="BH76" s="24" t="inlineStr">
        <is>
          <t>2026-08-02T08:13:31.136989Z</t>
        </is>
      </c>
      <c r="BI76" s="24" t="inlineStr">
        <is>
          <t>["same_event","same_team_same_day","same_league_same_day"]</t>
        </is>
      </c>
      <c r="BJ76" s="25" t="n"/>
      <c r="BK76" s="26" t="n">
        <v>-186</v>
      </c>
      <c r="BL76" s="27" t="n">
        <v>1.537634</v>
      </c>
      <c r="BM76" s="28" t="n">
        <v>0.65035</v>
      </c>
      <c r="BN76" s="28" t="n"/>
      <c r="BO76" s="28" t="n"/>
      <c r="BP76" s="25" t="n"/>
      <c r="BQ76" s="27" t="n"/>
      <c r="BR76" s="28" t="n"/>
      <c r="BS76" s="28" t="n"/>
      <c r="BT76" s="28" t="n"/>
      <c r="BU76" s="25" t="n"/>
      <c r="BV76" s="29" t="n"/>
      <c r="BW76" s="24" t="n"/>
      <c r="BX76" s="30" t="n"/>
      <c r="BY76" s="27" t="n"/>
      <c r="BZ76" s="24" t="n"/>
      <c r="CA76" s="31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</row>
    <row r="77" ht="36" customHeight="1">
      <c r="A77" s="24" t="inlineStr">
        <is>
          <t>b0810b50b6a443b6</t>
        </is>
      </c>
      <c r="B77" s="24" t="inlineStr">
        <is>
          <t>2026-08-02T08:16:59.190075Z</t>
        </is>
      </c>
      <c r="C77" s="24" t="inlineStr">
        <is>
          <t>2026-08-02T23:10Z</t>
        </is>
      </c>
      <c r="D77" s="24" t="inlineStr">
        <is>
          <t>401859718</t>
        </is>
      </c>
      <c r="E77" s="24" t="inlineStr">
        <is>
          <t>SOCCER</t>
        </is>
      </c>
      <c r="F77" s="24" t="inlineStr">
        <is>
          <t>Barcelona SC</t>
        </is>
      </c>
      <c r="G77" s="24" t="inlineStr">
        <is>
          <t>Leones</t>
        </is>
      </c>
      <c r="H77" s="24" t="inlineStr">
        <is>
          <t>moneyline</t>
        </is>
      </c>
      <c r="I77" s="24" t="inlineStr">
        <is>
          <t>away</t>
        </is>
      </c>
      <c r="J77" s="25" t="n"/>
      <c r="K77" s="24" t="inlineStr">
        <is>
          <t>polymarket_us</t>
        </is>
      </c>
      <c r="L77" s="26" t="n">
        <v>194</v>
      </c>
      <c r="M77" s="27" t="n">
        <v>2.94</v>
      </c>
      <c r="N77" s="28" t="n">
        <v>0.340136</v>
      </c>
      <c r="O77" s="28" t="n">
        <v>0.406677</v>
      </c>
      <c r="P77" s="28" t="n">
        <v>0.19</v>
      </c>
      <c r="Q77" s="28" t="n">
        <v>0.066541</v>
      </c>
      <c r="R77" s="26" t="n">
        <v>0</v>
      </c>
      <c r="S77" s="29" t="n">
        <v>1</v>
      </c>
      <c r="T77" s="24" t="inlineStr">
        <is>
          <t>soccer-poisson-dc-v1</t>
        </is>
      </c>
      <c r="U77" s="24" t="inlineStr">
        <is>
          <t>open</t>
        </is>
      </c>
      <c r="V77" s="24" t="n"/>
      <c r="W77" s="26" t="n"/>
      <c r="X77" s="26" t="n"/>
      <c r="Y77" s="25" t="n"/>
      <c r="Z77" s="26" t="n"/>
      <c r="AA77" s="28" t="n"/>
      <c r="AB77" s="28" t="n"/>
      <c r="AC77" s="30" t="n"/>
      <c r="AD77" s="24" t="n"/>
      <c r="AE77" s="31" t="inlineStr">
        <is>
          <t>Poisson-DC rates 1.38 (home) / 1.56 (away) from EWMA attack/defense strengths. Executable ask 0.3400 (atc-ecu1-leo-bsc-2026-08-02-bsc).</t>
        </is>
      </c>
      <c r="AF77" s="31" t="inlineStr">
        <is>
          <t>Research-only soccer score model; draw-aware, but not yet locked-holdout qualified.</t>
        </is>
      </c>
      <c r="AG77" s="24" t="inlineStr">
        <is>
          <t>not_applicable</t>
        </is>
      </c>
      <c r="AH77" s="24" t="n"/>
      <c r="AI77" s="31" t="n"/>
      <c r="AJ77" s="31" t="n"/>
      <c r="AK77" s="24" t="inlineStr">
        <is>
          <t>research_observation</t>
        </is>
      </c>
      <c r="AL77" s="26" t="n">
        <v>3</v>
      </c>
      <c r="AM77" s="24" t="inlineStr">
        <is>
          <t>RESEARCH_OBSERVATION</t>
        </is>
      </c>
      <c r="AN77" s="24" t="inlineStr">
        <is>
          <t>NO_CALL</t>
        </is>
      </c>
      <c r="AO77" s="24" t="inlineStr">
        <is>
          <t>NO_CALL_MODEL_UNVALIDATED</t>
        </is>
      </c>
      <c r="AP77" s="24" t="inlineStr">
        <is>
          <t>Barcelona SC</t>
        </is>
      </c>
      <c r="AQ77" s="24" t="inlineStr">
        <is>
          <t>Barcelona SC</t>
        </is>
      </c>
      <c r="AR77" s="24" t="inlineStr">
        <is>
          <t>Barcelona SC</t>
        </is>
      </c>
      <c r="AS77" s="24" t="inlineStr">
        <is>
          <t>Leones</t>
        </is>
      </c>
      <c r="AT77" s="24" t="inlineStr">
        <is>
          <t>Leones</t>
        </is>
      </c>
      <c r="AU77" s="24" t="inlineStr">
        <is>
          <t>Leones</t>
        </is>
      </c>
      <c r="AV77" s="24" t="n"/>
      <c r="AW77" s="24" t="n"/>
      <c r="AX77" s="24" t="inlineStr">
        <is>
          <t>statistical_model</t>
        </is>
      </c>
      <c r="AY77" s="24" t="n"/>
      <c r="AZ77" s="24" t="inlineStr">
        <is>
          <t>research</t>
        </is>
      </c>
      <c r="BA77" s="24" t="inlineStr">
        <is>
          <t>34d1568aad0ff11b5db35f118324684f93281e1c21fa7b80be7a4a4e2cb4bb03</t>
        </is>
      </c>
      <c r="BB77" s="24" t="inlineStr">
        <is>
          <t>poisson_dixon_coles</t>
        </is>
      </c>
      <c r="BC77" s="24" t="inlineStr">
        <is>
          <t>soccer-poisson-dc-v1</t>
        </is>
      </c>
      <c r="BD77" s="24" t="inlineStr">
        <is>
          <t>34d1568aad0ff11b5db35f118324684f93281e1c21fa7b80be7a4a4e2cb4bb03</t>
        </is>
      </c>
      <c r="BE77" s="24" t="inlineStr">
        <is>
          <t>soccer-poisson-dc-v1</t>
        </is>
      </c>
      <c r="BF77" s="24" t="inlineStr">
        <is>
          <t>1</t>
        </is>
      </c>
      <c r="BG77" s="24" t="inlineStr">
        <is>
          <t>34d1568aad0ff11b5db35f118324684f93281e1c21fa7b80be7a4a4e2cb4bb03</t>
        </is>
      </c>
      <c r="BH77" s="24" t="inlineStr">
        <is>
          <t>2026-08-02T08:13:31.689990Z</t>
        </is>
      </c>
      <c r="BI77" s="24" t="inlineStr">
        <is>
          <t>["same_event","same_team_same_day","same_league_same_day"]</t>
        </is>
      </c>
      <c r="BJ77" s="25" t="n"/>
      <c r="BK77" s="26" t="n">
        <v>194</v>
      </c>
      <c r="BL77" s="27" t="n">
        <v>2.94</v>
      </c>
      <c r="BM77" s="28" t="n">
        <v>0.340136</v>
      </c>
      <c r="BN77" s="28" t="n"/>
      <c r="BO77" s="28" t="n"/>
      <c r="BP77" s="25" t="n"/>
      <c r="BQ77" s="27" t="n"/>
      <c r="BR77" s="28" t="n"/>
      <c r="BS77" s="28" t="n"/>
      <c r="BT77" s="28" t="n"/>
      <c r="BU77" s="25" t="n"/>
      <c r="BV77" s="29" t="n"/>
      <c r="BW77" s="24" t="n"/>
      <c r="BX77" s="30" t="n"/>
      <c r="BY77" s="27" t="n"/>
      <c r="BZ77" s="24" t="n"/>
      <c r="CA77" s="31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  <c r="CN77" s="24" t="n"/>
      <c r="CO77" s="24" t="n"/>
    </row>
    <row r="78" ht="36" customHeight="1">
      <c r="A78" s="24" t="inlineStr">
        <is>
          <t>f9f5fabcb4d74d39</t>
        </is>
      </c>
      <c r="B78" s="24" t="inlineStr">
        <is>
          <t>2026-08-02T08:16:59.190075Z</t>
        </is>
      </c>
      <c r="C78" s="24" t="inlineStr">
        <is>
          <t>2026-08-02T12:30Z</t>
        </is>
      </c>
      <c r="D78" s="24" t="inlineStr">
        <is>
          <t>401886552</t>
        </is>
      </c>
      <c r="E78" s="24" t="inlineStr">
        <is>
          <t>SOCCER</t>
        </is>
      </c>
      <c r="F78" s="24" t="inlineStr">
        <is>
          <t>Ajax Amsterdam</t>
        </is>
      </c>
      <c r="G78" s="24" t="inlineStr">
        <is>
          <t>FC Volendam</t>
        </is>
      </c>
      <c r="H78" s="24" t="inlineStr">
        <is>
          <t>moneyline</t>
        </is>
      </c>
      <c r="I78" s="24" t="inlineStr">
        <is>
          <t>away</t>
        </is>
      </c>
      <c r="J78" s="25" t="n"/>
      <c r="K78" s="24" t="inlineStr">
        <is>
          <t>polymarket_us</t>
        </is>
      </c>
      <c r="L78" s="26" t="n">
        <v>-233</v>
      </c>
      <c r="M78" s="27" t="n">
        <v>1.429185</v>
      </c>
      <c r="N78" s="28" t="n">
        <v>0.6997</v>
      </c>
      <c r="O78" s="28" t="n">
        <v>0.515227</v>
      </c>
      <c r="P78" s="28" t="n">
        <v>0.04</v>
      </c>
      <c r="Q78" s="28" t="n">
        <v>-0.184473</v>
      </c>
      <c r="R78" s="26" t="n">
        <v>0</v>
      </c>
      <c r="S78" s="29" t="n">
        <v>1</v>
      </c>
      <c r="T78" s="24" t="inlineStr">
        <is>
          <t>soccer-poisson-dc-v1</t>
        </is>
      </c>
      <c r="U78" s="24" t="inlineStr">
        <is>
          <t>open</t>
        </is>
      </c>
      <c r="V78" s="24" t="n"/>
      <c r="W78" s="26" t="n"/>
      <c r="X78" s="26" t="n"/>
      <c r="Y78" s="25" t="n"/>
      <c r="Z78" s="26" t="n"/>
      <c r="AA78" s="28" t="n"/>
      <c r="AB78" s="28" t="n"/>
      <c r="AC78" s="30" t="n"/>
      <c r="AD78" s="24" t="n"/>
      <c r="AE78" s="31" t="inlineStr">
        <is>
          <t>Poisson-DC rates 0.88 (home) / 1.54 (away) from EWMA attack/defense strengths. Executable ask 0.7000 (atc-clbf-fvco-aja-2026-08-02-aja).</t>
        </is>
      </c>
      <c r="AF78" s="31" t="inlineStr">
        <is>
          <t>Research-only soccer score model; draw-aware, but not yet locked-holdout qualified.</t>
        </is>
      </c>
      <c r="AG78" s="24" t="inlineStr">
        <is>
          <t>not_applicable</t>
        </is>
      </c>
      <c r="AH78" s="24" t="n"/>
      <c r="AI78" s="31" t="n"/>
      <c r="AJ78" s="31" t="n"/>
      <c r="AK78" s="24" t="inlineStr">
        <is>
          <t>research_observation</t>
        </is>
      </c>
      <c r="AL78" s="26" t="n">
        <v>3</v>
      </c>
      <c r="AM78" s="24" t="inlineStr">
        <is>
          <t>RESEARCH_OBSERVATION</t>
        </is>
      </c>
      <c r="AN78" s="24" t="inlineStr">
        <is>
          <t>NO_CALL</t>
        </is>
      </c>
      <c r="AO78" s="24" t="inlineStr">
        <is>
          <t>NO_CALL_MODEL_UNVALIDATED</t>
        </is>
      </c>
      <c r="AP78" s="24" t="inlineStr">
        <is>
          <t>Ajax Amsterdam</t>
        </is>
      </c>
      <c r="AQ78" s="24" t="inlineStr">
        <is>
          <t>Ajax Amsterdam</t>
        </is>
      </c>
      <c r="AR78" s="24" t="inlineStr">
        <is>
          <t>Ajax Amsterdam</t>
        </is>
      </c>
      <c r="AS78" s="24" t="inlineStr">
        <is>
          <t>FC Volendam</t>
        </is>
      </c>
      <c r="AT78" s="24" t="inlineStr">
        <is>
          <t>FC Volendam</t>
        </is>
      </c>
      <c r="AU78" s="24" t="inlineStr">
        <is>
          <t>FC Volendam</t>
        </is>
      </c>
      <c r="AV78" s="24" t="n"/>
      <c r="AW78" s="24" t="n"/>
      <c r="AX78" s="24" t="inlineStr">
        <is>
          <t>statistical_model</t>
        </is>
      </c>
      <c r="AY78" s="24" t="n"/>
      <c r="AZ78" s="24" t="inlineStr">
        <is>
          <t>research</t>
        </is>
      </c>
      <c r="BA78" s="24" t="inlineStr">
        <is>
          <t>34d1568aad0ff11b5db35f118324684f93281e1c21fa7b80be7a4a4e2cb4bb03</t>
        </is>
      </c>
      <c r="BB78" s="24" t="inlineStr">
        <is>
          <t>poisson_dixon_coles</t>
        </is>
      </c>
      <c r="BC78" s="24" t="inlineStr">
        <is>
          <t>soccer-poisson-dc-v1</t>
        </is>
      </c>
      <c r="BD78" s="24" t="inlineStr">
        <is>
          <t>34d1568aad0ff11b5db35f118324684f93281e1c21fa7b80be7a4a4e2cb4bb03</t>
        </is>
      </c>
      <c r="BE78" s="24" t="inlineStr">
        <is>
          <t>soccer-poisson-dc-v1</t>
        </is>
      </c>
      <c r="BF78" s="24" t="inlineStr">
        <is>
          <t>1</t>
        </is>
      </c>
      <c r="BG78" s="24" t="inlineStr">
        <is>
          <t>34d1568aad0ff11b5db35f118324684f93281e1c21fa7b80be7a4a4e2cb4bb03</t>
        </is>
      </c>
      <c r="BH78" s="24" t="inlineStr">
        <is>
          <t>2026-08-02T08:13:33.477773Z</t>
        </is>
      </c>
      <c r="BI78" s="24" t="inlineStr">
        <is>
          <t>["same_event","same_team_same_day","same_league_same_day"]</t>
        </is>
      </c>
      <c r="BJ78" s="25" t="n"/>
      <c r="BK78" s="26" t="n">
        <v>-233</v>
      </c>
      <c r="BL78" s="27" t="n">
        <v>1.429185</v>
      </c>
      <c r="BM78" s="28" t="n">
        <v>0.6997</v>
      </c>
      <c r="BN78" s="28" t="n"/>
      <c r="BO78" s="28" t="n"/>
      <c r="BP78" s="25" t="n"/>
      <c r="BQ78" s="27" t="n"/>
      <c r="BR78" s="28" t="n"/>
      <c r="BS78" s="28" t="n"/>
      <c r="BT78" s="28" t="n"/>
      <c r="BU78" s="25" t="n"/>
      <c r="BV78" s="29" t="n"/>
      <c r="BW78" s="24" t="n"/>
      <c r="BX78" s="30" t="n"/>
      <c r="BY78" s="27" t="n"/>
      <c r="BZ78" s="24" t="n"/>
      <c r="CA78" s="31" t="n"/>
      <c r="CB78" s="24" t="n"/>
      <c r="CC78" s="24" t="n"/>
      <c r="CD78" s="24" t="n"/>
      <c r="CE78" s="24" t="n"/>
      <c r="CF78" s="24" t="n"/>
      <c r="CG78" s="24" t="n"/>
      <c r="CH78" s="24" t="n"/>
      <c r="CI78" s="24" t="n"/>
      <c r="CJ78" s="24" t="n"/>
      <c r="CK78" s="24" t="n"/>
      <c r="CL78" s="24" t="n"/>
      <c r="CM78" s="24" t="n"/>
      <c r="CN78" s="24" t="n"/>
      <c r="CO78" s="24" t="n"/>
    </row>
    <row r="79" ht="36" customHeight="1">
      <c r="A79" s="24" t="inlineStr">
        <is>
          <t>d6fcf7d09f564659</t>
        </is>
      </c>
      <c r="B79" s="24" t="inlineStr">
        <is>
          <t>2026-08-02T08:16:59.190075Z</t>
        </is>
      </c>
      <c r="C79" s="24" t="inlineStr">
        <is>
          <t>2026-08-02T13:00Z</t>
        </is>
      </c>
      <c r="D79" s="24" t="inlineStr">
        <is>
          <t>401886551</t>
        </is>
      </c>
      <c r="E79" s="24" t="inlineStr">
        <is>
          <t>SOCCER</t>
        </is>
      </c>
      <c r="F79" s="24" t="inlineStr">
        <is>
          <t>Atalanta</t>
        </is>
      </c>
      <c r="G79" s="24" t="inlineStr">
        <is>
          <t>Feyenoord Rotterdam</t>
        </is>
      </c>
      <c r="H79" s="24" t="inlineStr">
        <is>
          <t>moneyline</t>
        </is>
      </c>
      <c r="I79" s="24" t="inlineStr">
        <is>
          <t>home</t>
        </is>
      </c>
      <c r="J79" s="25" t="n"/>
      <c r="K79" s="24" t="inlineStr">
        <is>
          <t>polymarket_us</t>
        </is>
      </c>
      <c r="L79" s="26" t="n">
        <v>186</v>
      </c>
      <c r="M79" s="27" t="n">
        <v>2.86</v>
      </c>
      <c r="N79" s="28" t="n">
        <v>0.34965</v>
      </c>
      <c r="O79" s="28" t="n">
        <v>0.575359</v>
      </c>
      <c r="P79" s="28" t="n">
        <v>0.04</v>
      </c>
      <c r="Q79" s="28" t="n">
        <v>0.225709</v>
      </c>
      <c r="R79" s="26" t="n">
        <v>100</v>
      </c>
      <c r="S79" s="29" t="n">
        <v>1.25</v>
      </c>
      <c r="T79" s="24" t="inlineStr">
        <is>
          <t>soccer-poisson-dc-v1</t>
        </is>
      </c>
      <c r="U79" s="24" t="inlineStr">
        <is>
          <t>open</t>
        </is>
      </c>
      <c r="V79" s="24" t="n"/>
      <c r="W79" s="26" t="n"/>
      <c r="X79" s="26" t="n"/>
      <c r="Y79" s="25" t="n"/>
      <c r="Z79" s="26" t="n"/>
      <c r="AA79" s="28" t="n"/>
      <c r="AB79" s="28" t="n"/>
      <c r="AC79" s="30" t="n"/>
      <c r="AD79" s="24" t="n"/>
      <c r="AE79" s="31" t="inlineStr">
        <is>
          <t>Poisson-DC rates 1.92 (home) / 1.01 (away) from EWMA attack/defense strengths. Executable ask 0.3500 (atc-clbf-fey-ata-2026-08-02-fey).</t>
        </is>
      </c>
      <c r="AF79" s="31" t="inlineStr">
        <is>
          <t>Research-only soccer score model; draw-aware, but not yet locked-holdout qualified.</t>
        </is>
      </c>
      <c r="AG79" s="24" t="inlineStr">
        <is>
          <t>not_applicable</t>
        </is>
      </c>
      <c r="AH79" s="24" t="n"/>
      <c r="AI79" s="31" t="n"/>
      <c r="AJ79" s="31" t="n"/>
      <c r="AK79" s="24" t="inlineStr">
        <is>
          <t>research_observation</t>
        </is>
      </c>
      <c r="AL79" s="26" t="n">
        <v>3</v>
      </c>
      <c r="AM79" s="24" t="inlineStr">
        <is>
          <t>RESEARCH_OBSERVATION</t>
        </is>
      </c>
      <c r="AN79" s="24" t="inlineStr">
        <is>
          <t>NO_CALL</t>
        </is>
      </c>
      <c r="AO79" s="24" t="inlineStr">
        <is>
          <t>NO_CALL_MODEL_UNVALIDATED</t>
        </is>
      </c>
      <c r="AP79" s="24" t="inlineStr">
        <is>
          <t>Atalanta</t>
        </is>
      </c>
      <c r="AQ79" s="24" t="inlineStr">
        <is>
          <t>Atalanta</t>
        </is>
      </c>
      <c r="AR79" s="24" t="inlineStr">
        <is>
          <t>Atalanta</t>
        </is>
      </c>
      <c r="AS79" s="24" t="inlineStr">
        <is>
          <t>Feyenoord Rotterdam</t>
        </is>
      </c>
      <c r="AT79" s="24" t="inlineStr">
        <is>
          <t>Feyenoord Rotterdam</t>
        </is>
      </c>
      <c r="AU79" s="24" t="inlineStr">
        <is>
          <t>Feyenoord Rotterdam</t>
        </is>
      </c>
      <c r="AV79" s="24" t="n"/>
      <c r="AW79" s="24" t="n"/>
      <c r="AX79" s="24" t="inlineStr">
        <is>
          <t>statistical_model</t>
        </is>
      </c>
      <c r="AY79" s="24" t="n"/>
      <c r="AZ79" s="24" t="inlineStr">
        <is>
          <t>research</t>
        </is>
      </c>
      <c r="BA79" s="24" t="inlineStr">
        <is>
          <t>34d1568aad0ff11b5db35f118324684f93281e1c21fa7b80be7a4a4e2cb4bb03</t>
        </is>
      </c>
      <c r="BB79" s="24" t="inlineStr">
        <is>
          <t>poisson_dixon_coles</t>
        </is>
      </c>
      <c r="BC79" s="24" t="inlineStr">
        <is>
          <t>soccer-poisson-dc-v1</t>
        </is>
      </c>
      <c r="BD79" s="24" t="inlineStr">
        <is>
          <t>34d1568aad0ff11b5db35f118324684f93281e1c21fa7b80be7a4a4e2cb4bb03</t>
        </is>
      </c>
      <c r="BE79" s="24" t="inlineStr">
        <is>
          <t>soccer-poisson-dc-v1</t>
        </is>
      </c>
      <c r="BF79" s="24" t="inlineStr">
        <is>
          <t>1</t>
        </is>
      </c>
      <c r="BG79" s="24" t="inlineStr">
        <is>
          <t>34d1568aad0ff11b5db35f118324684f93281e1c21fa7b80be7a4a4e2cb4bb03</t>
        </is>
      </c>
      <c r="BH79" s="24" t="inlineStr">
        <is>
          <t>2026-08-02T08:13:33.464341Z</t>
        </is>
      </c>
      <c r="BI79" s="24" t="inlineStr">
        <is>
          <t>["same_event","same_team_same_day","same_league_same_day"]</t>
        </is>
      </c>
      <c r="BJ79" s="25" t="n"/>
      <c r="BK79" s="26" t="n">
        <v>186</v>
      </c>
      <c r="BL79" s="27" t="n">
        <v>2.86</v>
      </c>
      <c r="BM79" s="28" t="n">
        <v>0.34965</v>
      </c>
      <c r="BN79" s="28" t="n"/>
      <c r="BO79" s="28" t="n"/>
      <c r="BP79" s="25" t="n"/>
      <c r="BQ79" s="27" t="n"/>
      <c r="BR79" s="28" t="n"/>
      <c r="BS79" s="28" t="n"/>
      <c r="BT79" s="28" t="n"/>
      <c r="BU79" s="25" t="n"/>
      <c r="BV79" s="29" t="n"/>
      <c r="BW79" s="24" t="n"/>
      <c r="BX79" s="30" t="n"/>
      <c r="BY79" s="27" t="n"/>
      <c r="BZ79" s="24" t="n"/>
      <c r="CA79" s="31" t="n"/>
      <c r="CB79" s="24" t="n"/>
      <c r="CC79" s="24" t="n"/>
      <c r="CD79" s="24" t="n"/>
      <c r="CE79" s="24" t="n"/>
      <c r="CF79" s="24" t="n"/>
      <c r="CG79" s="24" t="n"/>
      <c r="CH79" s="24" t="n"/>
      <c r="CI79" s="24" t="n"/>
      <c r="CJ79" s="24" t="n"/>
      <c r="CK79" s="24" t="n"/>
      <c r="CL79" s="24" t="n"/>
      <c r="CM79" s="24" t="n"/>
      <c r="CN79" s="24" t="n"/>
      <c r="CO79" s="24" t="n"/>
    </row>
    <row r="80" ht="36" customHeight="1">
      <c r="A80" s="24" t="inlineStr">
        <is>
          <t>e6c66f97d0f141ee</t>
        </is>
      </c>
      <c r="B80" s="24" t="inlineStr">
        <is>
          <t>2026-08-02T08:16:59.190075Z</t>
        </is>
      </c>
      <c r="C80" s="24" t="inlineStr">
        <is>
          <t>2026-08-02T14:30Z</t>
        </is>
      </c>
      <c r="D80" s="24" t="inlineStr">
        <is>
          <t>401898711</t>
        </is>
      </c>
      <c r="E80" s="24" t="inlineStr">
        <is>
          <t>SOCCER</t>
        </is>
      </c>
      <c r="F80" s="24" t="inlineStr">
        <is>
          <t>Udinese</t>
        </is>
      </c>
      <c r="G80" s="24" t="inlineStr">
        <is>
          <t>Trabzonspor</t>
        </is>
      </c>
      <c r="H80" s="24" t="inlineStr">
        <is>
          <t>moneyline</t>
        </is>
      </c>
      <c r="I80" s="24" t="inlineStr">
        <is>
          <t>home</t>
        </is>
      </c>
      <c r="J80" s="25" t="n"/>
      <c r="K80" s="24" t="inlineStr">
        <is>
          <t>polymarket_us</t>
        </is>
      </c>
      <c r="L80" s="26" t="n">
        <v>144</v>
      </c>
      <c r="M80" s="27" t="n">
        <v>2.44</v>
      </c>
      <c r="N80" s="28" t="n">
        <v>0.409836</v>
      </c>
      <c r="O80" s="28" t="n">
        <v>0.395816</v>
      </c>
      <c r="P80" s="28" t="n">
        <v>0.2</v>
      </c>
      <c r="Q80" s="28" t="n">
        <v>-0.01402</v>
      </c>
      <c r="R80" s="26" t="n">
        <v>0</v>
      </c>
      <c r="S80" s="29" t="n">
        <v>1</v>
      </c>
      <c r="T80" s="24" t="inlineStr">
        <is>
          <t>soccer-poisson-dc-v1</t>
        </is>
      </c>
      <c r="U80" s="24" t="inlineStr">
        <is>
          <t>open</t>
        </is>
      </c>
      <c r="V80" s="24" t="n"/>
      <c r="W80" s="26" t="n"/>
      <c r="X80" s="26" t="n"/>
      <c r="Y80" s="25" t="n"/>
      <c r="Z80" s="26" t="n"/>
      <c r="AA80" s="28" t="n"/>
      <c r="AB80" s="28" t="n"/>
      <c r="AC80" s="30" t="n"/>
      <c r="AD80" s="24" t="n"/>
      <c r="AE80" s="31" t="inlineStr">
        <is>
          <t>Poisson-DC rates 1.26 (home) / 1.06 (away) from EWMA attack/defense strengths. Executable ask 0.4100 (atc-clbf-tra-udi-2026-08-02-tra).</t>
        </is>
      </c>
      <c r="AF80" s="31" t="inlineStr">
        <is>
          <t>Research-only soccer score model; draw-aware, but not yet locked-holdout qualified.</t>
        </is>
      </c>
      <c r="AG80" s="24" t="inlineStr">
        <is>
          <t>not_applicable</t>
        </is>
      </c>
      <c r="AH80" s="24" t="n"/>
      <c r="AI80" s="31" t="n"/>
      <c r="AJ80" s="31" t="n"/>
      <c r="AK80" s="24" t="inlineStr">
        <is>
          <t>research_observation</t>
        </is>
      </c>
      <c r="AL80" s="26" t="n">
        <v>3</v>
      </c>
      <c r="AM80" s="24" t="inlineStr">
        <is>
          <t>RESEARCH_OBSERVATION</t>
        </is>
      </c>
      <c r="AN80" s="24" t="inlineStr">
        <is>
          <t>NO_CALL</t>
        </is>
      </c>
      <c r="AO80" s="24" t="inlineStr">
        <is>
          <t>NO_CALL_MODEL_UNVALIDATED</t>
        </is>
      </c>
      <c r="AP80" s="24" t="inlineStr">
        <is>
          <t>Udinese</t>
        </is>
      </c>
      <c r="AQ80" s="24" t="inlineStr">
        <is>
          <t>Udinese</t>
        </is>
      </c>
      <c r="AR80" s="24" t="inlineStr">
        <is>
          <t>Udinese</t>
        </is>
      </c>
      <c r="AS80" s="24" t="inlineStr">
        <is>
          <t>Trabzonspor</t>
        </is>
      </c>
      <c r="AT80" s="24" t="inlineStr">
        <is>
          <t>Trabzonspor</t>
        </is>
      </c>
      <c r="AU80" s="24" t="inlineStr">
        <is>
          <t>Trabzonspor</t>
        </is>
      </c>
      <c r="AV80" s="24" t="n"/>
      <c r="AW80" s="24" t="n"/>
      <c r="AX80" s="24" t="inlineStr">
        <is>
          <t>statistical_model</t>
        </is>
      </c>
      <c r="AY80" s="24" t="n"/>
      <c r="AZ80" s="24" t="inlineStr">
        <is>
          <t>research</t>
        </is>
      </c>
      <c r="BA80" s="24" t="inlineStr">
        <is>
          <t>34d1568aad0ff11b5db35f118324684f93281e1c21fa7b80be7a4a4e2cb4bb03</t>
        </is>
      </c>
      <c r="BB80" s="24" t="inlineStr">
        <is>
          <t>poisson_dixon_coles</t>
        </is>
      </c>
      <c r="BC80" s="24" t="inlineStr">
        <is>
          <t>soccer-poisson-dc-v1</t>
        </is>
      </c>
      <c r="BD80" s="24" t="inlineStr">
        <is>
          <t>34d1568aad0ff11b5db35f118324684f93281e1c21fa7b80be7a4a4e2cb4bb03</t>
        </is>
      </c>
      <c r="BE80" s="24" t="inlineStr">
        <is>
          <t>soccer-poisson-dc-v1</t>
        </is>
      </c>
      <c r="BF80" s="24" t="inlineStr">
        <is>
          <t>1</t>
        </is>
      </c>
      <c r="BG80" s="24" t="inlineStr">
        <is>
          <t>34d1568aad0ff11b5db35f118324684f93281e1c21fa7b80be7a4a4e2cb4bb03</t>
        </is>
      </c>
      <c r="BH80" s="24" t="inlineStr">
        <is>
          <t>2026-08-02T08:13:33.982808Z</t>
        </is>
      </c>
      <c r="BI80" s="24" t="inlineStr">
        <is>
          <t>["same_event","same_team_same_day","same_league_same_day"]</t>
        </is>
      </c>
      <c r="BJ80" s="25" t="n"/>
      <c r="BK80" s="26" t="n">
        <v>144</v>
      </c>
      <c r="BL80" s="27" t="n">
        <v>2.44</v>
      </c>
      <c r="BM80" s="28" t="n">
        <v>0.409836</v>
      </c>
      <c r="BN80" s="28" t="n"/>
      <c r="BO80" s="28" t="n"/>
      <c r="BP80" s="25" t="n"/>
      <c r="BQ80" s="27" t="n"/>
      <c r="BR80" s="28" t="n"/>
      <c r="BS80" s="28" t="n"/>
      <c r="BT80" s="28" t="n"/>
      <c r="BU80" s="25" t="n"/>
      <c r="BV80" s="29" t="n"/>
      <c r="BW80" s="24" t="n"/>
      <c r="BX80" s="30" t="n"/>
      <c r="BY80" s="27" t="n"/>
      <c r="BZ80" s="24" t="n"/>
      <c r="CA80" s="31" t="n"/>
      <c r="CB80" s="24" t="n"/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4" t="n"/>
      <c r="CL80" s="24" t="n"/>
      <c r="CM80" s="24" t="n"/>
      <c r="CN80" s="24" t="n"/>
      <c r="CO80" s="24" t="n"/>
    </row>
    <row r="81" ht="36" customHeight="1">
      <c r="A81" s="24" t="inlineStr">
        <is>
          <t>0285ccf74ed94091</t>
        </is>
      </c>
      <c r="B81" s="24" t="inlineStr">
        <is>
          <t>2026-08-02T08:16:59.190075Z</t>
        </is>
      </c>
      <c r="C81" s="24" t="inlineStr">
        <is>
          <t>2026-08-02T16:00Z</t>
        </is>
      </c>
      <c r="D81" s="24" t="inlineStr">
        <is>
          <t>401897751</t>
        </is>
      </c>
      <c r="E81" s="24" t="inlineStr">
        <is>
          <t>SOCCER</t>
        </is>
      </c>
      <c r="F81" s="24" t="inlineStr">
        <is>
          <t>Wrexham</t>
        </is>
      </c>
      <c r="G81" s="24" t="inlineStr">
        <is>
          <t>Sunderland</t>
        </is>
      </c>
      <c r="H81" s="24" t="inlineStr">
        <is>
          <t>moneyline</t>
        </is>
      </c>
      <c r="I81" s="24" t="inlineStr">
        <is>
          <t>home</t>
        </is>
      </c>
      <c r="J81" s="25" t="n"/>
      <c r="K81" s="24" t="inlineStr">
        <is>
          <t>polymarket_us</t>
        </is>
      </c>
      <c r="L81" s="26" t="n">
        <v>113</v>
      </c>
      <c r="M81" s="27" t="n">
        <v>2.13</v>
      </c>
      <c r="N81" s="28" t="n">
        <v>0.469484</v>
      </c>
      <c r="O81" s="28" t="n">
        <v>0.395592</v>
      </c>
      <c r="P81" s="28" t="n">
        <v>0.04</v>
      </c>
      <c r="Q81" s="28" t="n">
        <v>-0.073892</v>
      </c>
      <c r="R81" s="26" t="n">
        <v>0</v>
      </c>
      <c r="S81" s="29" t="n">
        <v>1.5</v>
      </c>
      <c r="T81" s="24" t="inlineStr">
        <is>
          <t>soccer-poisson-dc-v1</t>
        </is>
      </c>
      <c r="U81" s="24" t="inlineStr">
        <is>
          <t>open</t>
        </is>
      </c>
      <c r="V81" s="24" t="n"/>
      <c r="W81" s="26" t="n"/>
      <c r="X81" s="26" t="n"/>
      <c r="Y81" s="25" t="n"/>
      <c r="Z81" s="26" t="n"/>
      <c r="AA81" s="28" t="n"/>
      <c r="AB81" s="28" t="n"/>
      <c r="AC81" s="30" t="n"/>
      <c r="AD81" s="24" t="n"/>
      <c r="AE81" s="31" t="inlineStr">
        <is>
          <t>Poisson-DC rates 1.40 (home) / 1.24 (away) from EWMA attack/defense strengths. Executable ask 0.4700 (atc-clbf-sun-wre-2026-08-02-sun).</t>
        </is>
      </c>
      <c r="AF81" s="31" t="inlineStr">
        <is>
          <t>Research-only soccer score model; draw-aware, but not yet locked-holdout qualified.</t>
        </is>
      </c>
      <c r="AG81" s="24" t="inlineStr">
        <is>
          <t>not_applicable</t>
        </is>
      </c>
      <c r="AH81" s="24" t="n"/>
      <c r="AI81" s="31" t="n"/>
      <c r="AJ81" s="31" t="n"/>
      <c r="AK81" s="24" t="inlineStr">
        <is>
          <t>research_observation</t>
        </is>
      </c>
      <c r="AL81" s="26" t="n">
        <v>3</v>
      </c>
      <c r="AM81" s="24" t="inlineStr">
        <is>
          <t>RESEARCH_OBSERVATION</t>
        </is>
      </c>
      <c r="AN81" s="24" t="inlineStr">
        <is>
          <t>NO_CALL</t>
        </is>
      </c>
      <c r="AO81" s="24" t="inlineStr">
        <is>
          <t>NO_CALL_MODEL_UNVALIDATED</t>
        </is>
      </c>
      <c r="AP81" s="24" t="inlineStr">
        <is>
          <t>Wrexham</t>
        </is>
      </c>
      <c r="AQ81" s="24" t="inlineStr">
        <is>
          <t>Wrexham</t>
        </is>
      </c>
      <c r="AR81" s="24" t="inlineStr">
        <is>
          <t>Wrexham</t>
        </is>
      </c>
      <c r="AS81" s="24" t="inlineStr">
        <is>
          <t>Sunderland</t>
        </is>
      </c>
      <c r="AT81" s="24" t="inlineStr">
        <is>
          <t>Sunderland</t>
        </is>
      </c>
      <c r="AU81" s="24" t="inlineStr">
        <is>
          <t>Sunderland</t>
        </is>
      </c>
      <c r="AV81" s="24" t="n"/>
      <c r="AW81" s="24" t="n"/>
      <c r="AX81" s="24" t="inlineStr">
        <is>
          <t>statistical_model</t>
        </is>
      </c>
      <c r="AY81" s="24" t="n"/>
      <c r="AZ81" s="24" t="inlineStr">
        <is>
          <t>research</t>
        </is>
      </c>
      <c r="BA81" s="24" t="inlineStr">
        <is>
          <t>34d1568aad0ff11b5db35f118324684f93281e1c21fa7b80be7a4a4e2cb4bb03</t>
        </is>
      </c>
      <c r="BB81" s="24" t="inlineStr">
        <is>
          <t>poisson_dixon_coles</t>
        </is>
      </c>
      <c r="BC81" s="24" t="inlineStr">
        <is>
          <t>soccer-poisson-dc-v1</t>
        </is>
      </c>
      <c r="BD81" s="24" t="inlineStr">
        <is>
          <t>34d1568aad0ff11b5db35f118324684f93281e1c21fa7b80be7a4a4e2cb4bb03</t>
        </is>
      </c>
      <c r="BE81" s="24" t="inlineStr">
        <is>
          <t>soccer-poisson-dc-v1</t>
        </is>
      </c>
      <c r="BF81" s="24" t="inlineStr">
        <is>
          <t>1</t>
        </is>
      </c>
      <c r="BG81" s="24" t="inlineStr">
        <is>
          <t>34d1568aad0ff11b5db35f118324684f93281e1c21fa7b80be7a4a4e2cb4bb03</t>
        </is>
      </c>
      <c r="BH81" s="24" t="inlineStr">
        <is>
          <t>2026-08-02T08:13:34.058807Z</t>
        </is>
      </c>
      <c r="BI81" s="24" t="inlineStr">
        <is>
          <t>["same_event","same_team_same_day","same_league_same_day"]</t>
        </is>
      </c>
      <c r="BJ81" s="25" t="n"/>
      <c r="BK81" s="26" t="n">
        <v>113</v>
      </c>
      <c r="BL81" s="27" t="n">
        <v>2.13</v>
      </c>
      <c r="BM81" s="28" t="n">
        <v>0.469484</v>
      </c>
      <c r="BN81" s="28" t="n"/>
      <c r="BO81" s="28" t="n"/>
      <c r="BP81" s="25" t="n"/>
      <c r="BQ81" s="27" t="n"/>
      <c r="BR81" s="28" t="n"/>
      <c r="BS81" s="28" t="n"/>
      <c r="BT81" s="28" t="n"/>
      <c r="BU81" s="25" t="n"/>
      <c r="BV81" s="29" t="n"/>
      <c r="BW81" s="24" t="n"/>
      <c r="BX81" s="30" t="n"/>
      <c r="BY81" s="27" t="n"/>
      <c r="BZ81" s="24" t="n"/>
      <c r="CA81" s="31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</row>
    <row r="82" ht="36" customHeight="1">
      <c r="A82" s="24" t="inlineStr">
        <is>
          <t>5a11720a728f4ecd</t>
        </is>
      </c>
      <c r="B82" s="24" t="inlineStr">
        <is>
          <t>2026-08-02T08:16:59.190075Z</t>
        </is>
      </c>
      <c r="C82" s="24" t="inlineStr">
        <is>
          <t>2026-08-02T20:00Z</t>
        </is>
      </c>
      <c r="D82" s="24" t="inlineStr">
        <is>
          <t>401863533</t>
        </is>
      </c>
      <c r="E82" s="24" t="inlineStr">
        <is>
          <t>SOCCER</t>
        </is>
      </c>
      <c r="F82" s="24" t="inlineStr">
        <is>
          <t>Leeds United</t>
        </is>
      </c>
      <c r="G82" s="24" t="inlineStr">
        <is>
          <t>Liverpool</t>
        </is>
      </c>
      <c r="H82" s="24" t="inlineStr">
        <is>
          <t>moneyline</t>
        </is>
      </c>
      <c r="I82" s="24" t="inlineStr">
        <is>
          <t>home</t>
        </is>
      </c>
      <c r="J82" s="25" t="n"/>
      <c r="K82" s="24" t="inlineStr">
        <is>
          <t>polymarket_us</t>
        </is>
      </c>
      <c r="L82" s="26" t="n">
        <v>-133</v>
      </c>
      <c r="M82" s="27" t="n">
        <v>1.75188</v>
      </c>
      <c r="N82" s="28" t="n">
        <v>0.570815</v>
      </c>
      <c r="O82" s="28" t="n">
        <v>0.482992</v>
      </c>
      <c r="P82" s="28" t="n">
        <v>0.04</v>
      </c>
      <c r="Q82" s="28" t="n">
        <v>-0.087823</v>
      </c>
      <c r="R82" s="26" t="n">
        <v>0</v>
      </c>
      <c r="S82" s="29" t="n">
        <v>1</v>
      </c>
      <c r="T82" s="24" t="inlineStr">
        <is>
          <t>soccer-poisson-dc-v1</t>
        </is>
      </c>
      <c r="U82" s="24" t="inlineStr">
        <is>
          <t>open</t>
        </is>
      </c>
      <c r="V82" s="24" t="n"/>
      <c r="W82" s="26" t="n"/>
      <c r="X82" s="26" t="n"/>
      <c r="Y82" s="25" t="n"/>
      <c r="Z82" s="26" t="n"/>
      <c r="AA82" s="28" t="n"/>
      <c r="AB82" s="28" t="n"/>
      <c r="AC82" s="30" t="n"/>
      <c r="AD82" s="24" t="n"/>
      <c r="AE82" s="31" t="inlineStr">
        <is>
          <t>Poisson-DC rates 1.69 (home) / 1.17 (away) from EWMA attack/defense strengths. Executable ask 0.5700 (atc-clbf-lfc-lee-2026-08-02-lfc).</t>
        </is>
      </c>
      <c r="AF82" s="31" t="inlineStr">
        <is>
          <t>Research-only soccer score model; draw-aware, but not yet locked-holdout qualified.</t>
        </is>
      </c>
      <c r="AG82" s="24" t="inlineStr">
        <is>
          <t>not_applicable</t>
        </is>
      </c>
      <c r="AH82" s="24" t="n"/>
      <c r="AI82" s="31" t="n"/>
      <c r="AJ82" s="31" t="n"/>
      <c r="AK82" s="24" t="inlineStr">
        <is>
          <t>research_observation</t>
        </is>
      </c>
      <c r="AL82" s="26" t="n">
        <v>3</v>
      </c>
      <c r="AM82" s="24" t="inlineStr">
        <is>
          <t>RESEARCH_OBSERVATION</t>
        </is>
      </c>
      <c r="AN82" s="24" t="inlineStr">
        <is>
          <t>NO_CALL</t>
        </is>
      </c>
      <c r="AO82" s="24" t="inlineStr">
        <is>
          <t>NO_CALL_MODEL_UNVALIDATED</t>
        </is>
      </c>
      <c r="AP82" s="24" t="inlineStr">
        <is>
          <t>Leeds United</t>
        </is>
      </c>
      <c r="AQ82" s="24" t="inlineStr">
        <is>
          <t>Leeds United</t>
        </is>
      </c>
      <c r="AR82" s="24" t="inlineStr">
        <is>
          <t>Leeds United</t>
        </is>
      </c>
      <c r="AS82" s="24" t="inlineStr">
        <is>
          <t>Liverpool</t>
        </is>
      </c>
      <c r="AT82" s="24" t="inlineStr">
        <is>
          <t>Liverpool</t>
        </is>
      </c>
      <c r="AU82" s="24" t="inlineStr">
        <is>
          <t>Liverpool</t>
        </is>
      </c>
      <c r="AV82" s="24" t="n"/>
      <c r="AW82" s="24" t="n"/>
      <c r="AX82" s="24" t="inlineStr">
        <is>
          <t>statistical_model</t>
        </is>
      </c>
      <c r="AY82" s="24" t="n"/>
      <c r="AZ82" s="24" t="inlineStr">
        <is>
          <t>research</t>
        </is>
      </c>
      <c r="BA82" s="24" t="inlineStr">
        <is>
          <t>34d1568aad0ff11b5db35f118324684f93281e1c21fa7b80be7a4a4e2cb4bb03</t>
        </is>
      </c>
      <c r="BB82" s="24" t="inlineStr">
        <is>
          <t>poisson_dixon_coles</t>
        </is>
      </c>
      <c r="BC82" s="24" t="inlineStr">
        <is>
          <t>soccer-poisson-dc-v1</t>
        </is>
      </c>
      <c r="BD82" s="24" t="inlineStr">
        <is>
          <t>34d1568aad0ff11b5db35f118324684f93281e1c21fa7b80be7a4a4e2cb4bb03</t>
        </is>
      </c>
      <c r="BE82" s="24" t="inlineStr">
        <is>
          <t>soccer-poisson-dc-v1</t>
        </is>
      </c>
      <c r="BF82" s="24" t="inlineStr">
        <is>
          <t>1</t>
        </is>
      </c>
      <c r="BG82" s="24" t="inlineStr">
        <is>
          <t>34d1568aad0ff11b5db35f118324684f93281e1c21fa7b80be7a4a4e2cb4bb03</t>
        </is>
      </c>
      <c r="BH82" s="24" t="inlineStr">
        <is>
          <t>2026-08-02T08:13:34.558949Z</t>
        </is>
      </c>
      <c r="BI82" s="24" t="inlineStr">
        <is>
          <t>["same_event","same_team_same_day","same_league_same_day"]</t>
        </is>
      </c>
      <c r="BJ82" s="25" t="n"/>
      <c r="BK82" s="26" t="n">
        <v>-133</v>
      </c>
      <c r="BL82" s="27" t="n">
        <v>1.75188</v>
      </c>
      <c r="BM82" s="28" t="n">
        <v>0.570815</v>
      </c>
      <c r="BN82" s="28" t="n"/>
      <c r="BO82" s="28" t="n"/>
      <c r="BP82" s="25" t="n"/>
      <c r="BQ82" s="27" t="n"/>
      <c r="BR82" s="28" t="n"/>
      <c r="BS82" s="28" t="n"/>
      <c r="BT82" s="28" t="n"/>
      <c r="BU82" s="25" t="n"/>
      <c r="BV82" s="29" t="n"/>
      <c r="BW82" s="24" t="n"/>
      <c r="BX82" s="30" t="n"/>
      <c r="BY82" s="27" t="n"/>
      <c r="BZ82" s="24" t="n"/>
      <c r="CA82" s="31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2026-08-02T08:17:26Z</dcterms:created>
  <dcterms:modified xsi:type="dcterms:W3CDTF">2026-08-02T08:17:27Z</dcterms:modified>
</cp:coreProperties>
</file>