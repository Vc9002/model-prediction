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3" headerRowCount="1">
  <autoFilter ref="A1:CO23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COUNTA('Picks'!$A$2:$A$23)</f>
        <v/>
      </c>
      <c r="C4" s="6">
        <f>COUNTIF('Picks'!$U$2:$U$23,"open")</f>
        <v/>
      </c>
      <c r="E4" s="6">
        <f>COUNTIF('Picks'!$U$2:$U$23,"settled")</f>
        <v/>
      </c>
      <c r="G4" s="6">
        <f>IF(COUNTIFS('Picks'!$U$2:$U$23,"settled",'Picks'!$V$2:$V$23,"win")+COUNTIFS('Picks'!$U$2:$U$23,"settled",'Picks'!$V$2:$V$23,"loss")&gt;=$L$2,"Ready","Insufficient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COUNTIF('Picks'!$BX$2:$BX$23,"&gt;0")</f>
        <v/>
      </c>
      <c r="C7" s="6">
        <f>COUNTIFS('Picks'!$BX$2:$BX$23,"&gt;0",'Picks'!$V$2:$V$23,"win")&amp;"-"&amp;COUNTIFS('Picks'!$BX$2:$BX$23,"&gt;0",'Picks'!$V$2:$V$23,"loss")</f>
        <v/>
      </c>
      <c r="E7" s="7">
        <f>IFERROR(COUNTIFS('Picks'!$BX$2:$BX$23,"&gt;0",'Picks'!$V$2:$V$23,"win")/(COUNTIFS('Picks'!$BX$2:$BX$23,"&gt;0",'Picks'!$V$2:$V$23,"win")+COUNTIFS('Picks'!$BX$2:$BX$23,"&gt;0",'Picks'!$V$2:$V$23,"loss")),0)</f>
        <v/>
      </c>
      <c r="G7" s="7">
        <f>IFERROR(SUM('Picks'!$BY$2:$BY$23)/SUM('Picks'!$BX$2:$BX$23),0)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SUM('Picks'!$BY$2:$BY$23)</f>
        <v/>
      </c>
      <c r="C10" s="9">
        <f>IFERROR(AVERAGEIF('Picks'!$AB$2:$AB$23,"&lt;&gt;",'Picks'!$AB$2:$AB$23),0)</f>
        <v/>
      </c>
      <c r="E10" s="6">
        <f>COUNTIFS('Picks'!$AM$2:$AM$23,"QUALIFIED_SHADOW_CALL",'Picks'!$U$2:$U$23,"settled")</f>
        <v/>
      </c>
      <c r="G10" s="8">
        <f>SUMIFS('Picks'!$AC$2:$AC$23,'Picks'!$AM$2:$AM$23,"QUALIFIED_SHADOW_CALL")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COUNTIFS('Picks'!$H$2:$H$23,$A14,'Picks'!$U$2:$U$23,"settled")</f>
        <v/>
      </c>
      <c r="C14" s="13">
        <f>COUNTIFS('Picks'!$H$2:$H$23,$A14,'Picks'!$U$2:$U$23,"settled",'Picks'!$V$2:$V$23,"win")</f>
        <v/>
      </c>
      <c r="D14" s="13">
        <f>COUNTIFS('Picks'!$H$2:$H$23,$A14,'Picks'!$U$2:$U$23,"settled",'Picks'!$V$2:$V$23,"loss")</f>
        <v/>
      </c>
      <c r="E14" s="14">
        <f>IFERROR(C14/(C14+D14),0)</f>
        <v/>
      </c>
      <c r="F14" s="15">
        <f>SUMIFS('Picks'!$BY$2:$BY$23,'Picks'!$H$2:$H$23,$A14)</f>
        <v/>
      </c>
      <c r="G14" s="16">
        <f>IFERROR(AVERAGEIFS('Picks'!$AB$2:$AB$23,'Picks'!$H$2:$H$23,$A14,'Picks'!$U$2:$U$23,"settled"),0)</f>
        <v/>
      </c>
    </row>
    <row r="15">
      <c r="A15" s="17" t="inlineStr">
        <is>
          <t>spread</t>
        </is>
      </c>
      <c r="B15" s="18">
        <f>COUNTIFS('Picks'!$H$2:$H$23,$A15,'Picks'!$U$2:$U$23,"settled")</f>
        <v/>
      </c>
      <c r="C15" s="18">
        <f>COUNTIFS('Picks'!$H$2:$H$23,$A15,'Picks'!$U$2:$U$23,"settled",'Picks'!$V$2:$V$23,"win")</f>
        <v/>
      </c>
      <c r="D15" s="18">
        <f>COUNTIFS('Picks'!$H$2:$H$23,$A15,'Picks'!$U$2:$U$23,"settled",'Picks'!$V$2:$V$23,"loss")</f>
        <v/>
      </c>
      <c r="E15" s="19">
        <f>IFERROR(C15/(C15+D15),0)</f>
        <v/>
      </c>
      <c r="F15" s="20">
        <f>SUMIFS('Picks'!$BY$2:$BY$23,'Picks'!$H$2:$H$23,$A15)</f>
        <v/>
      </c>
      <c r="G15" s="21">
        <f>IFERROR(AVERAGEIFS('Picks'!$AB$2:$AB$23,'Picks'!$H$2:$H$23,$A15,'Picks'!$U$2:$U$23,"settled"),0)</f>
        <v/>
      </c>
    </row>
    <row r="16">
      <c r="A16" s="12" t="inlineStr">
        <is>
          <t>total</t>
        </is>
      </c>
      <c r="B16" s="13">
        <f>COUNTIFS('Picks'!$H$2:$H$23,$A16,'Picks'!$U$2:$U$23,"settled")</f>
        <v/>
      </c>
      <c r="C16" s="13">
        <f>COUNTIFS('Picks'!$H$2:$H$23,$A16,'Picks'!$U$2:$U$23,"settled",'Picks'!$V$2:$V$23,"win")</f>
        <v/>
      </c>
      <c r="D16" s="13">
        <f>COUNTIFS('Picks'!$H$2:$H$23,$A16,'Picks'!$U$2:$U$23,"settled",'Picks'!$V$2:$V$23,"loss")</f>
        <v/>
      </c>
      <c r="E16" s="14">
        <f>IFERROR(C16/(C16+D16),0)</f>
        <v/>
      </c>
      <c r="F16" s="15">
        <f>SUMIFS('Picks'!$BY$2:$BY$23,'Picks'!$H$2:$H$23,$A16)</f>
        <v/>
      </c>
      <c r="G16" s="16">
        <f>IFERROR(AVERAGEIFS('Picks'!$AB$2:$AB$23,'Picks'!$H$2:$H$23,$A16,'Picks'!$U$2:$U$23,"settled"),0)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0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0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0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0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0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0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0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5dcf18c1bd674c37</t>
        </is>
      </c>
      <c r="B6" s="24" t="inlineStr">
        <is>
          <t>2026-07-28T20:34:14.874473Z</t>
        </is>
      </c>
      <c r="C6" s="24" t="inlineStr">
        <is>
          <t>2026-07-28T22:30Z</t>
        </is>
      </c>
      <c r="D6" s="24" t="inlineStr">
        <is>
          <t>401860254</t>
        </is>
      </c>
      <c r="E6" s="24" t="inlineStr">
        <is>
          <t>SOCCER</t>
        </is>
      </c>
      <c r="F6" s="24" t="inlineStr">
        <is>
          <t>Avaí</t>
        </is>
      </c>
      <c r="G6" s="24" t="inlineStr">
        <is>
          <t>Juventude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0.456199</v>
      </c>
      <c r="P6" s="28" t="n">
        <v>0.2</v>
      </c>
      <c r="Q6" s="28" t="n">
        <v>-0.103272</v>
      </c>
      <c r="R6" s="26" t="n">
        <v>0</v>
      </c>
      <c r="S6" s="29" t="n">
        <v>0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</v>
      </c>
      <c r="AD6" s="24" t="inlineStr">
        <is>
          <t>2026-07-29T02:41:46.905781Z</t>
        </is>
      </c>
      <c r="AE6" s="31" t="inlineStr">
        <is>
          <t>Poisson-DC rates 1.64 (home) / 1.24 (away) from EWMA attack/defense strengths. Executable ask 0.5600 (atc-brb-juv-ava-2026-07-28-juv).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Avaí</t>
        </is>
      </c>
      <c r="AQ6" s="24" t="inlineStr">
        <is>
          <t>Avaí</t>
        </is>
      </c>
      <c r="AR6" s="24" t="inlineStr">
        <is>
          <t>Avaí</t>
        </is>
      </c>
      <c r="AS6" s="24" t="inlineStr">
        <is>
          <t>Juventude</t>
        </is>
      </c>
      <c r="AT6" s="24" t="inlineStr">
        <is>
          <t>Juventude</t>
        </is>
      </c>
      <c r="AU6" s="24" t="inlineStr">
        <is>
          <t>Juventude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0361718a19f38c3d244b71cb6b1f2e7e14a86925e833d2186645250fc084b969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0361718a19f38c3d244b71cb6b1f2e7e14a86925e833d2186645250fc084b969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0361718a19f38c3d244b71cb6b1f2e7e14a86925e833d2186645250fc084b969</t>
        </is>
      </c>
      <c r="BH6" s="24" t="inlineStr">
        <is>
          <t>2026-07-28T20:32:26.107744Z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c1a2615685634f23</t>
        </is>
      </c>
      <c r="B7" s="24" t="inlineStr">
        <is>
          <t>2026-07-28T20:34:14.874473Z</t>
        </is>
      </c>
      <c r="C7" s="24" t="inlineStr">
        <is>
          <t>2026-07-28T22:30Z</t>
        </is>
      </c>
      <c r="D7" s="24" t="inlineStr">
        <is>
          <t>401860261</t>
        </is>
      </c>
      <c r="E7" s="24" t="inlineStr">
        <is>
          <t>SOCCER</t>
        </is>
      </c>
      <c r="F7" s="24" t="inlineStr">
        <is>
          <t>Athletic</t>
        </is>
      </c>
      <c r="G7" s="24" t="inlineStr">
        <is>
          <t>Ponte Preta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300</v>
      </c>
      <c r="M7" s="27" t="n">
        <v>4</v>
      </c>
      <c r="N7" s="28" t="n">
        <v>0.25</v>
      </c>
      <c r="O7" s="28" t="n">
        <v>0.456199</v>
      </c>
      <c r="P7" s="28" t="n">
        <v>0.2</v>
      </c>
      <c r="Q7" s="28" t="n">
        <v>0.206199</v>
      </c>
      <c r="R7" s="26" t="n">
        <v>33</v>
      </c>
      <c r="S7" s="29" t="n">
        <v>0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push</t>
        </is>
      </c>
      <c r="W7" s="26" t="n">
        <v>1</v>
      </c>
      <c r="X7" s="26" t="n">
        <v>1</v>
      </c>
      <c r="Y7" s="25" t="n"/>
      <c r="Z7" s="26" t="n"/>
      <c r="AA7" s="28" t="n"/>
      <c r="AB7" s="28" t="n"/>
      <c r="AC7" s="30" t="n">
        <v>0</v>
      </c>
      <c r="AD7" s="24" t="inlineStr">
        <is>
          <t>2026-07-29T02:41:46.978948Z</t>
        </is>
      </c>
      <c r="AE7" s="31" t="inlineStr">
        <is>
          <t>Poisson-DC rates 1.64 (home) / 1.24 (away) from EWMA attack/defense strengths. Executable ask 0.2500 (atc-brb-pop-ath-2026-07-28-pop).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Athletic</t>
        </is>
      </c>
      <c r="AQ7" s="24" t="inlineStr">
        <is>
          <t>Athletic</t>
        </is>
      </c>
      <c r="AR7" s="24" t="inlineStr">
        <is>
          <t>Athletic</t>
        </is>
      </c>
      <c r="AS7" s="24" t="inlineStr">
        <is>
          <t>Ponte Preta</t>
        </is>
      </c>
      <c r="AT7" s="24" t="inlineStr">
        <is>
          <t>Ponte Preta</t>
        </is>
      </c>
      <c r="AU7" s="24" t="inlineStr">
        <is>
          <t>Ponte Preta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0361718a19f38c3d244b71cb6b1f2e7e14a86925e833d2186645250fc084b969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0361718a19f38c3d244b71cb6b1f2e7e14a86925e833d2186645250fc084b969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0361718a19f38c3d244b71cb6b1f2e7e14a86925e833d2186645250fc084b969</t>
        </is>
      </c>
      <c r="BH7" s="24" t="inlineStr">
        <is>
          <t>2026-07-28T20:32:26.083099Z</t>
        </is>
      </c>
      <c r="BI7" s="24" t="inlineStr">
        <is>
          <t>["same_event","same_team_same_day","same_league_same_day"]</t>
        </is>
      </c>
      <c r="BJ7" s="25" t="n"/>
      <c r="BK7" s="26" t="n">
        <v>300</v>
      </c>
      <c r="BL7" s="27" t="n">
        <v>4</v>
      </c>
      <c r="BM7" s="28" t="n">
        <v>0.25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71dc8bd5d8eb498a</t>
        </is>
      </c>
      <c r="B8" s="24" t="inlineStr">
        <is>
          <t>2026-07-28T20:34:14.874473Z</t>
        </is>
      </c>
      <c r="C8" s="24" t="inlineStr">
        <is>
          <t>2026-07-28T22:00Z</t>
        </is>
      </c>
      <c r="D8" s="24" t="inlineStr">
        <is>
          <t>401841452</t>
        </is>
      </c>
      <c r="E8" s="24" t="inlineStr">
        <is>
          <t>SOCCER</t>
        </is>
      </c>
      <c r="F8" s="24" t="inlineStr">
        <is>
          <t>Gimnasia (Mendoza)</t>
        </is>
      </c>
      <c r="G8" s="24" t="inlineStr">
        <is>
          <t>San Lorenzo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100</v>
      </c>
      <c r="M8" s="27" t="n">
        <v>2</v>
      </c>
      <c r="N8" s="28" t="n">
        <v>0.5</v>
      </c>
      <c r="O8" s="28" t="n">
        <v>0.456199</v>
      </c>
      <c r="P8" s="28" t="n">
        <v>0.2</v>
      </c>
      <c r="Q8" s="28" t="n">
        <v>-0.043801</v>
      </c>
      <c r="R8" s="26" t="n">
        <v>0</v>
      </c>
      <c r="S8" s="29" t="n">
        <v>0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</v>
      </c>
      <c r="AD8" s="24" t="inlineStr">
        <is>
          <t>2026-07-29T02:41:47.313571Z</t>
        </is>
      </c>
      <c r="AE8" s="31" t="inlineStr">
        <is>
          <t>Poisson-DC rates 1.64 (home) / 1.24 (away) from EWMA attack/defense strengths. Executable ask 0.5000 (atc-lpa-slo-gye-2026-07-28-slo).</t>
        </is>
      </c>
      <c r="AF8" s="31" t="inlineStr">
        <is>
          <t>Research-only soccer score model; draw-aware, but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Gimnasia (Mendoza)</t>
        </is>
      </c>
      <c r="AQ8" s="24" t="inlineStr">
        <is>
          <t>Gimnasia (Mendoza)</t>
        </is>
      </c>
      <c r="AR8" s="24" t="inlineStr">
        <is>
          <t>Gimnasia (Mendoza)</t>
        </is>
      </c>
      <c r="AS8" s="24" t="inlineStr">
        <is>
          <t>San Lorenzo</t>
        </is>
      </c>
      <c r="AT8" s="24" t="inlineStr">
        <is>
          <t>San Lorenzo</t>
        </is>
      </c>
      <c r="AU8" s="24" t="inlineStr">
        <is>
          <t>San Lorenzo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0361718a19f38c3d244b71cb6b1f2e7e14a86925e833d2186645250fc084b969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0361718a19f38c3d244b71cb6b1f2e7e14a86925e833d2186645250fc084b969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0361718a19f38c3d244b71cb6b1f2e7e14a86925e833d2186645250fc084b969</t>
        </is>
      </c>
      <c r="BH8" s="24" t="inlineStr">
        <is>
          <t>2026-07-28T20:32:27.095637Z</t>
        </is>
      </c>
      <c r="BI8" s="24" t="inlineStr">
        <is>
          <t>["same_event","same_team_same_day","same_league_same_day"]</t>
        </is>
      </c>
      <c r="BJ8" s="25" t="n"/>
      <c r="BK8" s="26" t="n">
        <v>100</v>
      </c>
      <c r="BL8" s="27" t="n">
        <v>2</v>
      </c>
      <c r="BM8" s="28" t="n">
        <v>0.5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538e4eae98a44836</t>
        </is>
      </c>
      <c r="B9" s="24" t="inlineStr">
        <is>
          <t>2026-07-28T20:34:14.874473Z</t>
        </is>
      </c>
      <c r="C9" s="24" t="inlineStr">
        <is>
          <t>2026-07-28T22:00Z</t>
        </is>
      </c>
      <c r="D9" s="24" t="inlineStr">
        <is>
          <t>401874071</t>
        </is>
      </c>
      <c r="E9" s="24" t="inlineStr">
        <is>
          <t>SOCCER</t>
        </is>
      </c>
      <c r="F9" s="24" t="inlineStr">
        <is>
          <t>Nacional</t>
        </is>
      </c>
      <c r="G9" s="24" t="inlineStr">
        <is>
          <t>Tigre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122</v>
      </c>
      <c r="M9" s="27" t="n">
        <v>2.22</v>
      </c>
      <c r="N9" s="28" t="n">
        <v>0.45045</v>
      </c>
      <c r="O9" s="28" t="n">
        <v>0.456199</v>
      </c>
      <c r="P9" s="28" t="n">
        <v>0.2</v>
      </c>
      <c r="Q9" s="28" t="n">
        <v>0.005749</v>
      </c>
      <c r="R9" s="26" t="n">
        <v>0</v>
      </c>
      <c r="S9" s="29" t="n">
        <v>0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loss</t>
        </is>
      </c>
      <c r="W9" s="26" t="n">
        <v>2</v>
      </c>
      <c r="X9" s="26" t="n">
        <v>1</v>
      </c>
      <c r="Y9" s="25" t="n"/>
      <c r="Z9" s="26" t="n"/>
      <c r="AA9" s="28" t="n"/>
      <c r="AB9" s="28" t="n"/>
      <c r="AC9" s="30" t="n">
        <v>0</v>
      </c>
      <c r="AD9" s="24" t="inlineStr">
        <is>
          <t>2026-07-29T02:41:49.355103Z</t>
        </is>
      </c>
      <c r="AE9" s="31" t="inlineStr">
        <is>
          <t>Poisson-DC rates 1.64 (home) / 1.24 (away) from EWMA attack/defense strengths. Executable ask 0.4500 (atc-sud-tig-nac-2026-07-28-tig).</t>
        </is>
      </c>
      <c r="AF9" s="31" t="inlineStr">
        <is>
          <t>Research-only soccer score model; draw-aware, but not yet locked-holdout qualified.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Nacional</t>
        </is>
      </c>
      <c r="AQ9" s="24" t="inlineStr">
        <is>
          <t>Nacional</t>
        </is>
      </c>
      <c r="AR9" s="24" t="inlineStr">
        <is>
          <t>Nacional</t>
        </is>
      </c>
      <c r="AS9" s="24" t="inlineStr">
        <is>
          <t>Tigre</t>
        </is>
      </c>
      <c r="AT9" s="24" t="inlineStr">
        <is>
          <t>Tigre</t>
        </is>
      </c>
      <c r="AU9" s="24" t="inlineStr">
        <is>
          <t>Tigre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0361718a19f38c3d244b71cb6b1f2e7e14a86925e833d2186645250fc084b969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0361718a19f38c3d244b71cb6b1f2e7e14a86925e833d2186645250fc084b969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0361718a19f38c3d244b71cb6b1f2e7e14a86925e833d2186645250fc084b969</t>
        </is>
      </c>
      <c r="BH9" s="24" t="inlineStr">
        <is>
          <t>2026-07-28T20:32:28.187625Z</t>
        </is>
      </c>
      <c r="BI9" s="24" t="inlineStr">
        <is>
          <t>["same_event","same_team_same_day","same_league_same_day"]</t>
        </is>
      </c>
      <c r="BJ9" s="25" t="n"/>
      <c r="BK9" s="26" t="n">
        <v>122</v>
      </c>
      <c r="BL9" s="27" t="n">
        <v>2.22</v>
      </c>
      <c r="BM9" s="28" t="n">
        <v>0.45045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9d29b7c025c54f14</t>
        </is>
      </c>
      <c r="B10" s="24" t="inlineStr">
        <is>
          <t>2026-07-28T23:39:16.759753Z</t>
        </is>
      </c>
      <c r="C10" s="24" t="inlineStr">
        <is>
          <t>2026-07-29T00:35Z</t>
        </is>
      </c>
      <c r="D10" s="24" t="inlineStr">
        <is>
          <t>401860253</t>
        </is>
      </c>
      <c r="E10" s="24" t="inlineStr">
        <is>
          <t>SOCCER</t>
        </is>
      </c>
      <c r="F10" s="24" t="inlineStr">
        <is>
          <t>Botafogo-SP</t>
        </is>
      </c>
      <c r="G10" s="24" t="inlineStr">
        <is>
          <t>Fortaleza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-104</v>
      </c>
      <c r="M10" s="27" t="n">
        <v>1.961538</v>
      </c>
      <c r="N10" s="28" t="n">
        <v>0.509804</v>
      </c>
      <c r="O10" s="28" t="n">
        <v>0.456199</v>
      </c>
      <c r="P10" s="28" t="n">
        <v>0.2</v>
      </c>
      <c r="Q10" s="28" t="n">
        <v>-0.053605</v>
      </c>
      <c r="R10" s="26" t="n">
        <v>0</v>
      </c>
      <c r="S10" s="29" t="n">
        <v>0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2026-07-29T02:41:49.433624Z</t>
        </is>
      </c>
      <c r="AE10" s="31" t="inlineStr">
        <is>
          <t>Poisson-DC rates 1.64 (home) / 1.24 (away) from EWMA attack/defense strengths. Executable ask 0.5100 (atc-brb-fec-bot-2026-07-28-fec).</t>
        </is>
      </c>
      <c r="AF10" s="31" t="inlineStr">
        <is>
          <t>Research-only soccer score model; draw-aware, but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Botafogo-SP</t>
        </is>
      </c>
      <c r="AQ10" s="24" t="inlineStr">
        <is>
          <t>Botafogo-SP</t>
        </is>
      </c>
      <c r="AR10" s="24" t="inlineStr">
        <is>
          <t>Botafogo-SP</t>
        </is>
      </c>
      <c r="AS10" s="24" t="inlineStr">
        <is>
          <t>Fortaleza</t>
        </is>
      </c>
      <c r="AT10" s="24" t="inlineStr">
        <is>
          <t>Fortaleza</t>
        </is>
      </c>
      <c r="AU10" s="24" t="inlineStr">
        <is>
          <t>Fortaleza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0361718a19f38c3d244b71cb6b1f2e7e14a86925e833d2186645250fc084b969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0361718a19f38c3d244b71cb6b1f2e7e14a86925e833d2186645250fc084b969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0361718a19f38c3d244b71cb6b1f2e7e14a86925e833d2186645250fc084b969</t>
        </is>
      </c>
      <c r="BH10" s="24" t="inlineStr">
        <is>
          <t>2026-07-28T23:37:59.431647Z</t>
        </is>
      </c>
      <c r="BI10" s="24" t="inlineStr">
        <is>
          <t>["same_event","same_team_same_day","same_league_same_day"]</t>
        </is>
      </c>
      <c r="BJ10" s="25" t="n"/>
      <c r="BK10" s="26" t="n">
        <v>-104</v>
      </c>
      <c r="BL10" s="27" t="n">
        <v>1.961538</v>
      </c>
      <c r="BM10" s="28" t="n">
        <v>0.509804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b4c3bd27b9274dbf</t>
        </is>
      </c>
      <c r="B11" s="24" t="inlineStr">
        <is>
          <t>2026-07-28T23:39:16.759753Z</t>
        </is>
      </c>
      <c r="C11" s="24" t="inlineStr">
        <is>
          <t>2026-07-29T00:15Z</t>
        </is>
      </c>
      <c r="D11" s="24" t="inlineStr">
        <is>
          <t>401841453</t>
        </is>
      </c>
      <c r="E11" s="24" t="inlineStr">
        <is>
          <t>SOCCER</t>
        </is>
      </c>
      <c r="F11" s="24" t="inlineStr">
        <is>
          <t>Racing Club</t>
        </is>
      </c>
      <c r="G11" s="24" t="inlineStr">
        <is>
          <t>Rosario Central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108</v>
      </c>
      <c r="M11" s="27" t="n">
        <v>2.08</v>
      </c>
      <c r="N11" s="28" t="n">
        <v>0.480769</v>
      </c>
      <c r="O11" s="28" t="n">
        <v>0.456199</v>
      </c>
      <c r="P11" s="28" t="n">
        <v>0.2</v>
      </c>
      <c r="Q11" s="28" t="n">
        <v>-0.02457</v>
      </c>
      <c r="R11" s="26" t="n">
        <v>0</v>
      </c>
      <c r="S11" s="29" t="n">
        <v>0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push</t>
        </is>
      </c>
      <c r="W11" s="26" t="n">
        <v>0</v>
      </c>
      <c r="X11" s="26" t="n">
        <v>0</v>
      </c>
      <c r="Y11" s="25" t="n"/>
      <c r="Z11" s="26" t="n"/>
      <c r="AA11" s="28" t="n"/>
      <c r="AB11" s="28" t="n"/>
      <c r="AC11" s="30" t="n">
        <v>0</v>
      </c>
      <c r="AD11" s="24" t="inlineStr">
        <is>
          <t>2026-07-29T02:41:49.507236Z</t>
        </is>
      </c>
      <c r="AE11" s="31" t="inlineStr">
        <is>
          <t>Poisson-DC rates 1.64 (home) / 1.24 (away) from EWMA attack/defense strengths. Executable ask 0.4800 (atc-lpa-ros-rac-2026-07-28-ros).</t>
        </is>
      </c>
      <c r="AF11" s="31" t="inlineStr">
        <is>
          <t>Research-only soccer score model; draw-aware, but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Racing Club</t>
        </is>
      </c>
      <c r="AQ11" s="24" t="inlineStr">
        <is>
          <t>Racing Club</t>
        </is>
      </c>
      <c r="AR11" s="24" t="inlineStr">
        <is>
          <t>Racing Club</t>
        </is>
      </c>
      <c r="AS11" s="24" t="inlineStr">
        <is>
          <t>Rosario Central</t>
        </is>
      </c>
      <c r="AT11" s="24" t="inlineStr">
        <is>
          <t>Rosario Central</t>
        </is>
      </c>
      <c r="AU11" s="24" t="inlineStr">
        <is>
          <t>Rosario Central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0361718a19f38c3d244b71cb6b1f2e7e14a86925e833d2186645250fc084b969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0361718a19f38c3d244b71cb6b1f2e7e14a86925e833d2186645250fc084b969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0361718a19f38c3d244b71cb6b1f2e7e14a86925e833d2186645250fc084b969</t>
        </is>
      </c>
      <c r="BH11" s="24" t="inlineStr">
        <is>
          <t>2026-07-28T23:38:00.751821Z</t>
        </is>
      </c>
      <c r="BI11" s="24" t="inlineStr">
        <is>
          <t>["same_event","same_team_same_day","same_league_same_day"]</t>
        </is>
      </c>
      <c r="BJ11" s="25" t="n"/>
      <c r="BK11" s="26" t="n">
        <v>108</v>
      </c>
      <c r="BL11" s="27" t="n">
        <v>2.08</v>
      </c>
      <c r="BM11" s="28" t="n">
        <v>0.480769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5d005d5149204d49</t>
        </is>
      </c>
      <c r="B12" s="24" t="inlineStr">
        <is>
          <t>2026-07-29T08:55:19.773254Z</t>
        </is>
      </c>
      <c r="C12" s="24" t="inlineStr">
        <is>
          <t>2026-07-29T10:00Z</t>
        </is>
      </c>
      <c r="D12" s="24" t="inlineStr">
        <is>
          <t>401872736</t>
        </is>
      </c>
      <c r="E12" s="24" t="inlineStr">
        <is>
          <t>SOCCER</t>
        </is>
      </c>
      <c r="F12" s="24" t="inlineStr">
        <is>
          <t>Borussia Dortmund</t>
        </is>
      </c>
      <c r="G12" s="24" t="inlineStr">
        <is>
          <t>Cerezo Osaka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0.440542</v>
      </c>
      <c r="P12" s="28" t="n">
        <v>0.2</v>
      </c>
      <c r="Q12" s="28" t="n">
        <v>-0.199746</v>
      </c>
      <c r="R12" s="26" t="n">
        <v>0</v>
      </c>
      <c r="S12" s="29" t="n">
        <v>0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2026-07-29T15:04:55.440111Z</t>
        </is>
      </c>
      <c r="AE12" s="31" t="inlineStr">
        <is>
          <t>Poisson-DC rates 1.39 (home) / 1.71 (away) from EWMA attack/defense strengths. Executable ask 0.6400 (atc-clbf-cer-bvb-2026-07-29-bvb).</t>
        </is>
      </c>
      <c r="AF12" s="31" t="inlineStr">
        <is>
          <t>Research-only soccer score model; draw-aware, but not yet locked-holdout qualified.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Borussia Dortmund</t>
        </is>
      </c>
      <c r="AQ12" s="24" t="inlineStr">
        <is>
          <t>Borussia Dortmund</t>
        </is>
      </c>
      <c r="AR12" s="24" t="inlineStr">
        <is>
          <t>Borussia Dortmund</t>
        </is>
      </c>
      <c r="AS12" s="24" t="inlineStr">
        <is>
          <t>Cerezo Osaka</t>
        </is>
      </c>
      <c r="AT12" s="24" t="inlineStr">
        <is>
          <t>Cerezo Osaka</t>
        </is>
      </c>
      <c r="AU12" s="24" t="inlineStr">
        <is>
          <t>Cerezo Osaka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0361718a19f38c3d244b71cb6b1f2e7e14a86925e833d2186645250fc084b969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0361718a19f38c3d244b71cb6b1f2e7e14a86925e833d2186645250fc084b969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0361718a19f38c3d244b71cb6b1f2e7e14a86925e833d2186645250fc084b969</t>
        </is>
      </c>
      <c r="BH12" s="24" t="inlineStr">
        <is>
          <t>2026-07-29T08:52:45.504203Z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f8c013a541034830</t>
        </is>
      </c>
      <c r="B13" s="24" t="inlineStr">
        <is>
          <t>2026-07-29T15:07:40.379188Z</t>
        </is>
      </c>
      <c r="C13" s="24" t="inlineStr">
        <is>
          <t>2026-07-29T17:30Z</t>
        </is>
      </c>
      <c r="D13" s="24" t="inlineStr">
        <is>
          <t>401841461</t>
        </is>
      </c>
      <c r="E13" s="24" t="inlineStr">
        <is>
          <t>SOCCER</t>
        </is>
      </c>
      <c r="F13" s="24" t="inlineStr">
        <is>
          <t>Aldosivi</t>
        </is>
      </c>
      <c r="G13" s="24" t="inlineStr">
        <is>
          <t>Barracas Central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144</v>
      </c>
      <c r="M13" s="27" t="n">
        <v>2.44</v>
      </c>
      <c r="N13" s="28" t="n">
        <v>0.409836</v>
      </c>
      <c r="O13" s="28" t="n">
        <v>0.456199</v>
      </c>
      <c r="P13" s="28" t="n">
        <v>0.2</v>
      </c>
      <c r="Q13" s="28" t="n">
        <v>0.046363</v>
      </c>
      <c r="R13" s="26" t="n">
        <v>0</v>
      </c>
      <c r="S13" s="29" t="n">
        <v>0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0</v>
      </c>
      <c r="AD13" s="24" t="inlineStr">
        <is>
          <t>2026-07-30T04:12:52.147509Z</t>
        </is>
      </c>
      <c r="AE13" s="31" t="inlineStr">
        <is>
          <t>Poisson-DC rates 1.64 (home) / 1.24 (away) from EWMA attack/defense strengths. Executable ask 0.4100 (atc-lpa-bar-ald-2026-07-29-bar).</t>
        </is>
      </c>
      <c r="AF13" s="31" t="inlineStr">
        <is>
          <t>Research-only soccer score model; draw-aware, but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Aldosivi</t>
        </is>
      </c>
      <c r="AQ13" s="24" t="inlineStr">
        <is>
          <t>Aldosivi</t>
        </is>
      </c>
      <c r="AR13" s="24" t="inlineStr">
        <is>
          <t>Aldosivi</t>
        </is>
      </c>
      <c r="AS13" s="24" t="inlineStr">
        <is>
          <t>Barracas Central</t>
        </is>
      </c>
      <c r="AT13" s="24" t="inlineStr">
        <is>
          <t>Barracas Central</t>
        </is>
      </c>
      <c r="AU13" s="24" t="inlineStr">
        <is>
          <t>Barracas Central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0361718a19f38c3d244b71cb6b1f2e7e14a86925e833d2186645250fc084b969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0361718a19f38c3d244b71cb6b1f2e7e14a86925e833d2186645250fc084b969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0361718a19f38c3d244b71cb6b1f2e7e14a86925e833d2186645250fc084b969</t>
        </is>
      </c>
      <c r="BH13" s="24" t="inlineStr">
        <is>
          <t>2026-07-29T15:06:01.050931Z</t>
        </is>
      </c>
      <c r="BI13" s="24" t="inlineStr">
        <is>
          <t>["same_event","same_team_same_day","same_league_same_day"]</t>
        </is>
      </c>
      <c r="BJ13" s="25" t="n"/>
      <c r="BK13" s="26" t="n">
        <v>144</v>
      </c>
      <c r="BL13" s="27" t="n">
        <v>2.44</v>
      </c>
      <c r="BM13" s="28" t="n">
        <v>0.409836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2016ad82b8004b89</t>
        </is>
      </c>
      <c r="B14" s="24" t="inlineStr">
        <is>
          <t>2026-07-29T17:45:15.881226Z</t>
        </is>
      </c>
      <c r="C14" s="24" t="inlineStr">
        <is>
          <t>2026-07-29T22:30Z</t>
        </is>
      </c>
      <c r="D14" s="24" t="inlineStr">
        <is>
          <t>401841171</t>
        </is>
      </c>
      <c r="E14" s="24" t="inlineStr">
        <is>
          <t>SOCCER</t>
        </is>
      </c>
      <c r="F14" s="24" t="inlineStr">
        <is>
          <t>Flamengo</t>
        </is>
      </c>
      <c r="G14" s="24" t="inlineStr">
        <is>
          <t>Internacional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285</v>
      </c>
      <c r="M14" s="27" t="n">
        <v>3.85</v>
      </c>
      <c r="N14" s="28" t="n">
        <v>0.25974</v>
      </c>
      <c r="O14" s="28" t="n">
        <v>0.456199</v>
      </c>
      <c r="P14" s="28" t="n">
        <v>0.2</v>
      </c>
      <c r="Q14" s="28" t="n">
        <v>0.196459</v>
      </c>
      <c r="R14" s="26" t="n">
        <v>28</v>
      </c>
      <c r="S14" s="29" t="n">
        <v>0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push</t>
        </is>
      </c>
      <c r="W14" s="26" t="n">
        <v>1</v>
      </c>
      <c r="X14" s="26" t="n">
        <v>1</v>
      </c>
      <c r="Y14" s="25" t="n"/>
      <c r="Z14" s="26" t="n"/>
      <c r="AA14" s="28" t="n"/>
      <c r="AB14" s="28" t="n"/>
      <c r="AC14" s="30" t="n">
        <v>0</v>
      </c>
      <c r="AD14" s="24" t="inlineStr">
        <is>
          <t>2026-07-30T04:12:52.241515Z</t>
        </is>
      </c>
      <c r="AE14" s="31" t="inlineStr">
        <is>
          <t>Poisson-DC rates 1.64 (home) / 1.24 (away) from EWMA attack/defense strengths. Executable ask 0.2600 (atc-bra-int-fla-2026-07-29-int).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Flamengo</t>
        </is>
      </c>
      <c r="AQ14" s="24" t="inlineStr">
        <is>
          <t>Flamengo</t>
        </is>
      </c>
      <c r="AR14" s="24" t="inlineStr">
        <is>
          <t>Flamengo</t>
        </is>
      </c>
      <c r="AS14" s="24" t="inlineStr">
        <is>
          <t>Internacional</t>
        </is>
      </c>
      <c r="AT14" s="24" t="inlineStr">
        <is>
          <t>Internacional</t>
        </is>
      </c>
      <c r="AU14" s="24" t="inlineStr">
        <is>
          <t>Internacional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0361718a19f38c3d244b71cb6b1f2e7e14a86925e833d2186645250fc084b969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0361718a19f38c3d244b71cb6b1f2e7e14a86925e833d2186645250fc084b969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0361718a19f38c3d244b71cb6b1f2e7e14a86925e833d2186645250fc084b969</t>
        </is>
      </c>
      <c r="BH14" s="24" t="inlineStr">
        <is>
          <t>2026-07-29T17:43:19.651886Z</t>
        </is>
      </c>
      <c r="BI14" s="24" t="inlineStr">
        <is>
          <t>["same_event","same_team_same_day","same_league_same_day"]</t>
        </is>
      </c>
      <c r="BJ14" s="25" t="n"/>
      <c r="BK14" s="26" t="n">
        <v>285</v>
      </c>
      <c r="BL14" s="27" t="n">
        <v>3.85</v>
      </c>
      <c r="BM14" s="28" t="n">
        <v>0.25974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9eab45bc1b49434a</t>
        </is>
      </c>
      <c r="B15" s="24" t="inlineStr">
        <is>
          <t>2026-07-29T17:45:15.881226Z</t>
        </is>
      </c>
      <c r="C15" s="24" t="inlineStr">
        <is>
          <t>2026-07-29T22:30Z</t>
        </is>
      </c>
      <c r="D15" s="24" t="inlineStr">
        <is>
          <t>401841170</t>
        </is>
      </c>
      <c r="E15" s="24" t="inlineStr">
        <is>
          <t>SOCCER</t>
        </is>
      </c>
      <c r="F15" s="24" t="inlineStr">
        <is>
          <t>Remo</t>
        </is>
      </c>
      <c r="G15" s="24" t="inlineStr">
        <is>
          <t>Mirassol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-138</v>
      </c>
      <c r="M15" s="27" t="n">
        <v>1.724638</v>
      </c>
      <c r="N15" s="28" t="n">
        <v>0.579832</v>
      </c>
      <c r="O15" s="28" t="n">
        <v>0.456199</v>
      </c>
      <c r="P15" s="28" t="n">
        <v>0.2</v>
      </c>
      <c r="Q15" s="28" t="n">
        <v>-0.123633</v>
      </c>
      <c r="R15" s="26" t="n">
        <v>0</v>
      </c>
      <c r="S15" s="29" t="n">
        <v>0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2</v>
      </c>
      <c r="Y15" s="25" t="n"/>
      <c r="Z15" s="26" t="n"/>
      <c r="AA15" s="28" t="n"/>
      <c r="AB15" s="28" t="n"/>
      <c r="AC15" s="30" t="n">
        <v>0</v>
      </c>
      <c r="AD15" s="24" t="inlineStr">
        <is>
          <t>2026-07-30T04:12:52.337713Z</t>
        </is>
      </c>
      <c r="AE15" s="31" t="inlineStr">
        <is>
          <t>Poisson-DC rates 1.64 (home) / 1.24 (away) from EWMA attack/defense strengths. Executable ask 0.5800 (atc-bra-mir-cre-2026-07-29-mir).</t>
        </is>
      </c>
      <c r="AF15" s="31" t="inlineStr">
        <is>
          <t>Research-only soccer score model; draw-aware, but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Remo</t>
        </is>
      </c>
      <c r="AQ15" s="24" t="inlineStr">
        <is>
          <t>Remo</t>
        </is>
      </c>
      <c r="AR15" s="24" t="inlineStr">
        <is>
          <t>Remo</t>
        </is>
      </c>
      <c r="AS15" s="24" t="inlineStr">
        <is>
          <t>Mirassol</t>
        </is>
      </c>
      <c r="AT15" s="24" t="inlineStr">
        <is>
          <t>Mirassol</t>
        </is>
      </c>
      <c r="AU15" s="24" t="inlineStr">
        <is>
          <t>Mirassol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0361718a19f38c3d244b71cb6b1f2e7e14a86925e833d2186645250fc084b969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0361718a19f38c3d244b71cb6b1f2e7e14a86925e833d2186645250fc084b969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0361718a19f38c3d244b71cb6b1f2e7e14a86925e833d2186645250fc084b969</t>
        </is>
      </c>
      <c r="BH15" s="24" t="inlineStr">
        <is>
          <t>2026-07-29T17:43:19.742689Z</t>
        </is>
      </c>
      <c r="BI15" s="24" t="inlineStr">
        <is>
          <t>["same_event","same_team_same_day","same_league_same_day"]</t>
        </is>
      </c>
      <c r="BJ15" s="25" t="n"/>
      <c r="BK15" s="26" t="n">
        <v>-138</v>
      </c>
      <c r="BL15" s="27" t="n">
        <v>1.724638</v>
      </c>
      <c r="BM15" s="28" t="n">
        <v>0.579832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543936a84904488a</t>
        </is>
      </c>
      <c r="B16" s="24" t="inlineStr">
        <is>
          <t>2026-07-29T17:45:15.881226Z</t>
        </is>
      </c>
      <c r="C16" s="24" t="inlineStr">
        <is>
          <t>2026-07-30T00:30Z</t>
        </is>
      </c>
      <c r="D16" s="24" t="inlineStr">
        <is>
          <t>401841177</t>
        </is>
      </c>
      <c r="E16" s="24" t="inlineStr">
        <is>
          <t>SOCCER</t>
        </is>
      </c>
      <c r="F16" s="24" t="inlineStr">
        <is>
          <t>Bahia</t>
        </is>
      </c>
      <c r="G16" s="24" t="inlineStr">
        <is>
          <t>Fluminense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-133</v>
      </c>
      <c r="M16" s="27" t="n">
        <v>1.75188</v>
      </c>
      <c r="N16" s="28" t="n">
        <v>0.570815</v>
      </c>
      <c r="O16" s="28" t="n">
        <v>0.456199</v>
      </c>
      <c r="P16" s="28" t="n">
        <v>0.2</v>
      </c>
      <c r="Q16" s="28" t="n">
        <v>-0.114616</v>
      </c>
      <c r="R16" s="26" t="n">
        <v>0</v>
      </c>
      <c r="S16" s="29" t="n">
        <v>0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push</t>
        </is>
      </c>
      <c r="W16" s="26" t="n">
        <v>0</v>
      </c>
      <c r="X16" s="26" t="n">
        <v>0</v>
      </c>
      <c r="Y16" s="25" t="n"/>
      <c r="Z16" s="26" t="n"/>
      <c r="AA16" s="28" t="n"/>
      <c r="AB16" s="28" t="n"/>
      <c r="AC16" s="30" t="n">
        <v>0</v>
      </c>
      <c r="AD16" s="24" t="inlineStr">
        <is>
          <t>2026-07-30T04:12:52.435602Z</t>
        </is>
      </c>
      <c r="AE16" s="31" t="inlineStr">
        <is>
          <t>Poisson-DC rates 1.64 (home) / 1.24 (away) from EWMA attack/defense strengths. Executable ask 0.5700 (atc-bra-flu-bah-2026-07-29-flu).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Bahia</t>
        </is>
      </c>
      <c r="AQ16" s="24" t="inlineStr">
        <is>
          <t>Bahia</t>
        </is>
      </c>
      <c r="AR16" s="24" t="inlineStr">
        <is>
          <t>Bahia</t>
        </is>
      </c>
      <c r="AS16" s="24" t="inlineStr">
        <is>
          <t>Fluminense</t>
        </is>
      </c>
      <c r="AT16" s="24" t="inlineStr">
        <is>
          <t>Fluminense</t>
        </is>
      </c>
      <c r="AU16" s="24" t="inlineStr">
        <is>
          <t>Fluminense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0361718a19f38c3d244b71cb6b1f2e7e14a86925e833d2186645250fc084b969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0361718a19f38c3d244b71cb6b1f2e7e14a86925e833d2186645250fc084b969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0361718a19f38c3d244b71cb6b1f2e7e14a86925e833d2186645250fc084b969</t>
        </is>
      </c>
      <c r="BH16" s="24" t="inlineStr">
        <is>
          <t>2026-07-29T17:43:20.222742Z</t>
        </is>
      </c>
      <c r="BI16" s="24" t="inlineStr">
        <is>
          <t>["same_event","same_team_same_day","same_league_same_day"]</t>
        </is>
      </c>
      <c r="BJ16" s="25" t="n"/>
      <c r="BK16" s="26" t="n">
        <v>-133</v>
      </c>
      <c r="BL16" s="27" t="n">
        <v>1.75188</v>
      </c>
      <c r="BM16" s="28" t="n">
        <v>0.570815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e4ff84b7e06b4da7</t>
        </is>
      </c>
      <c r="B17" s="24" t="inlineStr">
        <is>
          <t>2026-07-29T17:45:15.881226Z</t>
        </is>
      </c>
      <c r="C17" s="24" t="inlineStr">
        <is>
          <t>2026-07-29T22:15Z</t>
        </is>
      </c>
      <c r="D17" s="24" t="inlineStr">
        <is>
          <t>401841457</t>
        </is>
      </c>
      <c r="E17" s="24" t="inlineStr">
        <is>
          <t>SOCCER</t>
        </is>
      </c>
      <c r="F17" s="24" t="inlineStr">
        <is>
          <t>River Plate</t>
        </is>
      </c>
      <c r="G17" s="24" t="inlineStr">
        <is>
          <t>Gimnasia La Plata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355</v>
      </c>
      <c r="M17" s="27" t="n">
        <v>4.55</v>
      </c>
      <c r="N17" s="28" t="n">
        <v>0.21978</v>
      </c>
      <c r="O17" s="28" t="n">
        <v>0.456199</v>
      </c>
      <c r="P17" s="28" t="n">
        <v>0.2</v>
      </c>
      <c r="Q17" s="28" t="n">
        <v>0.236419</v>
      </c>
      <c r="R17" s="26" t="n">
        <v>48</v>
      </c>
      <c r="S17" s="29" t="n">
        <v>0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</v>
      </c>
      <c r="AD17" s="24" t="inlineStr">
        <is>
          <t>2026-07-30T04:12:52.533511Z</t>
        </is>
      </c>
      <c r="AE17" s="31" t="inlineStr">
        <is>
          <t>Poisson-DC rates 1.64 (home) / 1.24 (away) from EWMA attack/defense strengths. Executable ask 0.2200 (atc-lpa-gim-riv-2026-07-29-gim).</t>
        </is>
      </c>
      <c r="AF17" s="31" t="inlineStr">
        <is>
          <t>Research-only soccer score model; draw-aware, but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River Plate</t>
        </is>
      </c>
      <c r="AQ17" s="24" t="inlineStr">
        <is>
          <t>River Plate</t>
        </is>
      </c>
      <c r="AR17" s="24" t="inlineStr">
        <is>
          <t>River Plate</t>
        </is>
      </c>
      <c r="AS17" s="24" t="inlineStr">
        <is>
          <t>Gimnasia La Plata</t>
        </is>
      </c>
      <c r="AT17" s="24" t="inlineStr">
        <is>
          <t>Gimnasia La Plata</t>
        </is>
      </c>
      <c r="AU17" s="24" t="inlineStr">
        <is>
          <t>Gimnasia La Plata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0361718a19f38c3d244b71cb6b1f2e7e14a86925e833d2186645250fc084b969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0361718a19f38c3d244b71cb6b1f2e7e14a86925e833d2186645250fc084b969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0361718a19f38c3d244b71cb6b1f2e7e14a86925e833d2186645250fc084b969</t>
        </is>
      </c>
      <c r="BH17" s="24" t="inlineStr">
        <is>
          <t>2026-07-29T17:43:20.814669Z</t>
        </is>
      </c>
      <c r="BI17" s="24" t="inlineStr">
        <is>
          <t>["same_event","same_team_same_day","same_league_same_day"]</t>
        </is>
      </c>
      <c r="BJ17" s="25" t="n"/>
      <c r="BK17" s="26" t="n">
        <v>355</v>
      </c>
      <c r="BL17" s="27" t="n">
        <v>4.55</v>
      </c>
      <c r="BM17" s="28" t="n">
        <v>0.21978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6fe762116e044f29</t>
        </is>
      </c>
      <c r="B18" s="24" t="inlineStr">
        <is>
          <t>2026-07-29T17:45:15.881226Z</t>
        </is>
      </c>
      <c r="C18" s="24" t="inlineStr">
        <is>
          <t>2026-07-29T23:30Z</t>
        </is>
      </c>
      <c r="D18" s="24" t="inlineStr">
        <is>
          <t>401863532</t>
        </is>
      </c>
      <c r="E18" s="24" t="inlineStr">
        <is>
          <t>SOCCER</t>
        </is>
      </c>
      <c r="F18" s="24" t="inlineStr">
        <is>
          <t>Wrexham</t>
        </is>
      </c>
      <c r="G18" s="24" t="inlineStr">
        <is>
          <t>Liverpool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-233</v>
      </c>
      <c r="M18" s="27" t="n">
        <v>1.429185</v>
      </c>
      <c r="N18" s="28" t="n">
        <v>0.6997</v>
      </c>
      <c r="O18" s="28" t="n">
        <v>0.5541700000000001</v>
      </c>
      <c r="P18" s="28" t="n">
        <v>0.04</v>
      </c>
      <c r="Q18" s="28" t="n">
        <v>-0.14553</v>
      </c>
      <c r="R18" s="26" t="n">
        <v>0</v>
      </c>
      <c r="S18" s="29" t="n">
        <v>0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</v>
      </c>
      <c r="AD18" s="24" t="inlineStr">
        <is>
          <t>2026-07-30T04:12:55.723807Z</t>
        </is>
      </c>
      <c r="AE18" s="31" t="inlineStr">
        <is>
          <t>Poisson-DC rates 2.12 (home) / 1.29 (away) from EWMA attack/defense strengths. Executable ask 0.7000 (atc-clbf-lfc-wre-2026-07-29-lfc).</t>
        </is>
      </c>
      <c r="AF18" s="31" t="inlineStr">
        <is>
          <t>Research-only soccer score model; draw-aware, but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Wrexham</t>
        </is>
      </c>
      <c r="AQ18" s="24" t="inlineStr">
        <is>
          <t>Wrexham</t>
        </is>
      </c>
      <c r="AR18" s="24" t="inlineStr">
        <is>
          <t>Wrexham</t>
        </is>
      </c>
      <c r="AS18" s="24" t="inlineStr">
        <is>
          <t>Liverpool</t>
        </is>
      </c>
      <c r="AT18" s="24" t="inlineStr">
        <is>
          <t>Liverpool</t>
        </is>
      </c>
      <c r="AU18" s="24" t="inlineStr">
        <is>
          <t>Liverpool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0361718a19f38c3d244b71cb6b1f2e7e14a86925e833d2186645250fc084b969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0361718a19f38c3d244b71cb6b1f2e7e14a86925e833d2186645250fc084b969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0361718a19f38c3d244b71cb6b1f2e7e14a86925e833d2186645250fc084b969</t>
        </is>
      </c>
      <c r="BH18" s="24" t="inlineStr">
        <is>
          <t>2026-07-29T17:43:24.705734Z</t>
        </is>
      </c>
      <c r="BI18" s="24" t="inlineStr">
        <is>
          <t>["same_event","same_team_same_day","same_league_same_day"]</t>
        </is>
      </c>
      <c r="BJ18" s="25" t="n"/>
      <c r="BK18" s="26" t="n">
        <v>-233</v>
      </c>
      <c r="BL18" s="27" t="n">
        <v>1.429185</v>
      </c>
      <c r="BM18" s="28" t="n">
        <v>0.6997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c10d04e520184502</t>
        </is>
      </c>
      <c r="B19" s="24" t="inlineStr">
        <is>
          <t>2026-07-30T17:37:41.381091Z</t>
        </is>
      </c>
      <c r="C19" s="24" t="inlineStr">
        <is>
          <t>2026-07-31T00:30Z</t>
        </is>
      </c>
      <c r="D19" s="24" t="inlineStr">
        <is>
          <t>401841173</t>
        </is>
      </c>
      <c r="E19" s="24" t="inlineStr">
        <is>
          <t>SOCCER</t>
        </is>
      </c>
      <c r="F19" s="24" t="inlineStr">
        <is>
          <t>Cruzeiro</t>
        </is>
      </c>
      <c r="G19" s="24" t="inlineStr">
        <is>
          <t>Coritiba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257</v>
      </c>
      <c r="M19" s="27" t="n">
        <v>3.57</v>
      </c>
      <c r="N19" s="28" t="n">
        <v>0.280112</v>
      </c>
      <c r="O19" s="28" t="n">
        <v>0.456135</v>
      </c>
      <c r="P19" s="28" t="n">
        <v>0.2</v>
      </c>
      <c r="Q19" s="28" t="n">
        <v>0.176023</v>
      </c>
      <c r="R19" s="26" t="n">
        <v>18</v>
      </c>
      <c r="S19" s="29" t="n">
        <v>0</v>
      </c>
      <c r="T19" s="24" t="inlineStr">
        <is>
          <t>soccer-poisson-dc-v1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Poisson-DC rates 1.64 (home) / 1.24 (away) from EWMA attack/defense strengths. Executable ask 0.2800 (atc-bra-cor-cru-2026-07-30-cor).</t>
        </is>
      </c>
      <c r="AF19" s="31" t="inlineStr">
        <is>
          <t>Research-only soccer score model; draw-aware, but not yet locked-holdout qualified.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Cruzeiro</t>
        </is>
      </c>
      <c r="AQ19" s="24" t="inlineStr">
        <is>
          <t>Cruzeiro</t>
        </is>
      </c>
      <c r="AR19" s="24" t="inlineStr">
        <is>
          <t>Cruzeiro</t>
        </is>
      </c>
      <c r="AS19" s="24" t="inlineStr">
        <is>
          <t>Coritiba</t>
        </is>
      </c>
      <c r="AT19" s="24" t="inlineStr">
        <is>
          <t>Coritiba</t>
        </is>
      </c>
      <c r="AU19" s="24" t="inlineStr">
        <is>
          <t>Coritiba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34d1568aad0ff11b5db35f118324684f93281e1c21fa7b80be7a4a4e2cb4bb03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34d1568aad0ff11b5db35f118324684f93281e1c21fa7b80be7a4a4e2cb4bb03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34d1568aad0ff11b5db35f118324684f93281e1c21fa7b80be7a4a4e2cb4bb03</t>
        </is>
      </c>
      <c r="BH19" s="24" t="inlineStr">
        <is>
          <t>2026-07-30T17:35:43.771762Z</t>
        </is>
      </c>
      <c r="BI19" s="24" t="inlineStr">
        <is>
          <t>["same_event","same_team_same_day","same_league_same_day"]</t>
        </is>
      </c>
      <c r="BJ19" s="25" t="n"/>
      <c r="BK19" s="26" t="n">
        <v>257</v>
      </c>
      <c r="BL19" s="27" t="n">
        <v>3.57</v>
      </c>
      <c r="BM19" s="28" t="n">
        <v>0.280112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c9452728cb6d4cac</t>
        </is>
      </c>
      <c r="B20" s="24" t="inlineStr">
        <is>
          <t>2026-07-30T17:37:41.381091Z</t>
        </is>
      </c>
      <c r="C20" s="24" t="inlineStr">
        <is>
          <t>2026-07-31T00:15Z</t>
        </is>
      </c>
      <c r="D20" s="24" t="inlineStr">
        <is>
          <t>401841456</t>
        </is>
      </c>
      <c r="E20" s="24" t="inlineStr">
        <is>
          <t>SOCCER</t>
        </is>
      </c>
      <c r="F20" s="24" t="inlineStr">
        <is>
          <t>Newell's Old Boys</t>
        </is>
      </c>
      <c r="G20" s="24" t="inlineStr">
        <is>
          <t>Independiente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-156</v>
      </c>
      <c r="M20" s="27" t="n">
        <v>1.641026</v>
      </c>
      <c r="N20" s="28" t="n">
        <v>0.609375</v>
      </c>
      <c r="O20" s="28" t="n">
        <v>0.456135</v>
      </c>
      <c r="P20" s="28" t="n">
        <v>0.2</v>
      </c>
      <c r="Q20" s="28" t="n">
        <v>-0.15324</v>
      </c>
      <c r="R20" s="26" t="n">
        <v>0</v>
      </c>
      <c r="S20" s="29" t="n">
        <v>0</v>
      </c>
      <c r="T20" s="24" t="inlineStr">
        <is>
          <t>soccer-poisson-dc-v1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Poisson-DC rates 1.64 (home) / 1.24 (away) from EWMA attack/defense strengths. Executable ask 0.6100 (atc-lpa-ind-new-2026-07-30-ind).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Newell's Old Boys</t>
        </is>
      </c>
      <c r="AQ20" s="24" t="inlineStr">
        <is>
          <t>Newell's Old Boys</t>
        </is>
      </c>
      <c r="AR20" s="24" t="inlineStr">
        <is>
          <t>Newell's Old Boys</t>
        </is>
      </c>
      <c r="AS20" s="24" t="inlineStr">
        <is>
          <t>Independiente</t>
        </is>
      </c>
      <c r="AT20" s="24" t="inlineStr">
        <is>
          <t>Independiente</t>
        </is>
      </c>
      <c r="AU20" s="24" t="inlineStr">
        <is>
          <t>Independiente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34d1568aad0ff11b5db35f118324684f93281e1c21fa7b80be7a4a4e2cb4bb03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34d1568aad0ff11b5db35f118324684f93281e1c21fa7b80be7a4a4e2cb4bb03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34d1568aad0ff11b5db35f118324684f93281e1c21fa7b80be7a4a4e2cb4bb03</t>
        </is>
      </c>
      <c r="BH20" s="24" t="inlineStr">
        <is>
          <t>2026-07-30T17:35:44.822306Z</t>
        </is>
      </c>
      <c r="BI20" s="24" t="inlineStr">
        <is>
          <t>["same_event","same_team_same_day","same_league_same_day"]</t>
        </is>
      </c>
      <c r="BJ20" s="25" t="n"/>
      <c r="BK20" s="26" t="n">
        <v>-156</v>
      </c>
      <c r="BL20" s="27" t="n">
        <v>1.641026</v>
      </c>
      <c r="BM20" s="28" t="n">
        <v>0.609375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20ae350213fb4de6</t>
        </is>
      </c>
      <c r="B21" s="24" t="inlineStr">
        <is>
          <t>2026-07-30T17:37:41.381091Z</t>
        </is>
      </c>
      <c r="C21" s="24" t="inlineStr">
        <is>
          <t>2026-07-31T00:30Z</t>
        </is>
      </c>
      <c r="D21" s="24" t="inlineStr">
        <is>
          <t>401874162</t>
        </is>
      </c>
      <c r="E21" s="24" t="inlineStr">
        <is>
          <t>SOCCER</t>
        </is>
      </c>
      <c r="F21" s="24" t="inlineStr">
        <is>
          <t>Independiente Santa Fe</t>
        </is>
      </c>
      <c r="G21" s="24" t="inlineStr">
        <is>
          <t>Caracas FC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223</v>
      </c>
      <c r="M21" s="27" t="n">
        <v>3.23</v>
      </c>
      <c r="N21" s="28" t="n">
        <v>0.309598</v>
      </c>
      <c r="O21" s="28" t="n">
        <v>0.456135</v>
      </c>
      <c r="P21" s="28" t="n">
        <v>0.2</v>
      </c>
      <c r="Q21" s="28" t="n">
        <v>0.146537</v>
      </c>
      <c r="R21" s="26" t="n">
        <v>3</v>
      </c>
      <c r="S21" s="29" t="n">
        <v>0</v>
      </c>
      <c r="T21" s="24" t="inlineStr">
        <is>
          <t>soccer-poisson-dc-v1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Poisson-DC rates 1.64 (home) / 1.24 (away) from EWMA attack/defense strengths. Executable ask 0.3100 (atc-sud-cfa-isf-2026-07-30-cfa).</t>
        </is>
      </c>
      <c r="AF21" s="31" t="inlineStr">
        <is>
          <t>Research-only soccer score model; draw-aware, but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Independiente Santa Fe</t>
        </is>
      </c>
      <c r="AQ21" s="24" t="inlineStr">
        <is>
          <t>Independiente Santa Fe</t>
        </is>
      </c>
      <c r="AR21" s="24" t="inlineStr">
        <is>
          <t>Independiente Santa Fe</t>
        </is>
      </c>
      <c r="AS21" s="24" t="inlineStr">
        <is>
          <t>Caracas FC</t>
        </is>
      </c>
      <c r="AT21" s="24" t="inlineStr">
        <is>
          <t>Caracas FC</t>
        </is>
      </c>
      <c r="AU21" s="24" t="inlineStr">
        <is>
          <t>Caracas FC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34d1568aad0ff11b5db35f118324684f93281e1c21fa7b80be7a4a4e2cb4bb03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34d1568aad0ff11b5db35f118324684f93281e1c21fa7b80be7a4a4e2cb4bb03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34d1568aad0ff11b5db35f118324684f93281e1c21fa7b80be7a4a4e2cb4bb03</t>
        </is>
      </c>
      <c r="BH21" s="24" t="inlineStr">
        <is>
          <t>2026-07-30T17:35:45.885777Z</t>
        </is>
      </c>
      <c r="BI21" s="24" t="inlineStr">
        <is>
          <t>["same_event","same_team_same_day","same_league_same_day"]</t>
        </is>
      </c>
      <c r="BJ21" s="25" t="n"/>
      <c r="BK21" s="26" t="n">
        <v>223</v>
      </c>
      <c r="BL21" s="27" t="n">
        <v>3.23</v>
      </c>
      <c r="BM21" s="28" t="n">
        <v>0.309598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d6bec6389dd2414b</t>
        </is>
      </c>
      <c r="B22" s="24" t="inlineStr">
        <is>
          <t>2026-07-30T17:37:41.381091Z</t>
        </is>
      </c>
      <c r="C22" s="24" t="inlineStr">
        <is>
          <t>2026-07-31T00:30Z</t>
        </is>
      </c>
      <c r="D22" s="24" t="inlineStr">
        <is>
          <t>401874164</t>
        </is>
      </c>
      <c r="E22" s="24" t="inlineStr">
        <is>
          <t>SOCCER</t>
        </is>
      </c>
      <c r="F22" s="24" t="inlineStr">
        <is>
          <t>Boca Juniors</t>
        </is>
      </c>
      <c r="G22" s="24" t="inlineStr">
        <is>
          <t>O'Higgins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-108</v>
      </c>
      <c r="M22" s="27" t="n">
        <v>1.925926</v>
      </c>
      <c r="N22" s="28" t="n">
        <v>0.519231</v>
      </c>
      <c r="O22" s="28" t="n">
        <v>0.396866</v>
      </c>
      <c r="P22" s="28" t="n">
        <v>0.19</v>
      </c>
      <c r="Q22" s="28" t="n">
        <v>-0.122365</v>
      </c>
      <c r="R22" s="26" t="n">
        <v>0</v>
      </c>
      <c r="S22" s="29" t="n">
        <v>0</v>
      </c>
      <c r="T22" s="24" t="inlineStr">
        <is>
          <t>soccer-poisson-dc-v1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Poisson-DC rates 1.30 (home) / 1.46 (away) from EWMA attack/defense strengths. Executable ask 0.5200 (atc-sud-ohi-boc-2026-07-30-boc).</t>
        </is>
      </c>
      <c r="AF22" s="31" t="inlineStr">
        <is>
          <t>Research-only soccer score model; draw-aware, but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Boca Juniors</t>
        </is>
      </c>
      <c r="AQ22" s="24" t="inlineStr">
        <is>
          <t>Boca Juniors</t>
        </is>
      </c>
      <c r="AR22" s="24" t="inlineStr">
        <is>
          <t>Boca Juniors</t>
        </is>
      </c>
      <c r="AS22" s="24" t="inlineStr">
        <is>
          <t>O'Higgins</t>
        </is>
      </c>
      <c r="AT22" s="24" t="inlineStr">
        <is>
          <t>O'Higgins</t>
        </is>
      </c>
      <c r="AU22" s="24" t="inlineStr">
        <is>
          <t>O'Higgins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34d1568aad0ff11b5db35f118324684f93281e1c21fa7b80be7a4a4e2cb4bb03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34d1568aad0ff11b5db35f118324684f93281e1c21fa7b80be7a4a4e2cb4bb03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34d1568aad0ff11b5db35f118324684f93281e1c21fa7b80be7a4a4e2cb4bb03</t>
        </is>
      </c>
      <c r="BH22" s="24" t="inlineStr">
        <is>
          <t>2026-07-30T17:35:46.319207Z</t>
        </is>
      </c>
      <c r="BI22" s="24" t="inlineStr">
        <is>
          <t>["same_event","same_team_same_day","same_league_same_day"]</t>
        </is>
      </c>
      <c r="BJ22" s="25" t="n"/>
      <c r="BK22" s="26" t="n">
        <v>-108</v>
      </c>
      <c r="BL22" s="27" t="n">
        <v>1.925926</v>
      </c>
      <c r="BM22" s="28" t="n">
        <v>0.519231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d63326cb28cf4f1b</t>
        </is>
      </c>
      <c r="B23" s="24" t="inlineStr">
        <is>
          <t>2026-07-30T17:37:41.381091Z</t>
        </is>
      </c>
      <c r="C23" s="24" t="inlineStr">
        <is>
          <t>2026-07-30T23:30Z</t>
        </is>
      </c>
      <c r="D23" s="24" t="inlineStr">
        <is>
          <t>401897750</t>
        </is>
      </c>
      <c r="E23" s="24" t="inlineStr">
        <is>
          <t>SOCCER</t>
        </is>
      </c>
      <c r="F23" s="24" t="inlineStr">
        <is>
          <t>Leeds United</t>
        </is>
      </c>
      <c r="G23" s="24" t="inlineStr">
        <is>
          <t>Sunderland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186</v>
      </c>
      <c r="M23" s="27" t="n">
        <v>2.86</v>
      </c>
      <c r="N23" s="28" t="n">
        <v>0.34965</v>
      </c>
      <c r="O23" s="28" t="n">
        <v>0.356905</v>
      </c>
      <c r="P23" s="28" t="n">
        <v>0.04</v>
      </c>
      <c r="Q23" s="28" t="n">
        <v>0.007255</v>
      </c>
      <c r="R23" s="26" t="n">
        <v>30</v>
      </c>
      <c r="S23" s="29" t="n">
        <v>0</v>
      </c>
      <c r="T23" s="24" t="inlineStr">
        <is>
          <t>soccer-poisson-dc-v1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Poisson-DC rates 1.19 (home) / 1.15 (away) from EWMA attack/defense strengths. Executable ask 0.3500 (atc-clbf-lee-sun-2026-07-30-sun).</t>
        </is>
      </c>
      <c r="AF23" s="31" t="inlineStr">
        <is>
          <t>Research-only soccer score model; draw-aware, but not yet locked-holdout qualified.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Leeds United</t>
        </is>
      </c>
      <c r="AQ23" s="24" t="inlineStr">
        <is>
          <t>Leeds United</t>
        </is>
      </c>
      <c r="AR23" s="24" t="inlineStr">
        <is>
          <t>Leeds United</t>
        </is>
      </c>
      <c r="AS23" s="24" t="inlineStr">
        <is>
          <t>Sunderland</t>
        </is>
      </c>
      <c r="AT23" s="24" t="inlineStr">
        <is>
          <t>Sunderland</t>
        </is>
      </c>
      <c r="AU23" s="24" t="inlineStr">
        <is>
          <t>Sunderland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34d1568aad0ff11b5db35f118324684f93281e1c21fa7b80be7a4a4e2cb4bb03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34d1568aad0ff11b5db35f118324684f93281e1c21fa7b80be7a4a4e2cb4bb03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34d1568aad0ff11b5db35f118324684f93281e1c21fa7b80be7a4a4e2cb4bb03</t>
        </is>
      </c>
      <c r="BH23" s="24" t="inlineStr">
        <is>
          <t>2026-07-30T17:35:47.233189Z</t>
        </is>
      </c>
      <c r="BI23" s="24" t="inlineStr">
        <is>
          <t>["same_event","same_team_same_day","same_league_same_day"]</t>
        </is>
      </c>
      <c r="BJ23" s="25" t="n"/>
      <c r="BK23" s="26" t="n">
        <v>186</v>
      </c>
      <c r="BL23" s="27" t="n">
        <v>2.86</v>
      </c>
      <c r="BM23" s="28" t="n">
        <v>0.34965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2026-07-30T17:37:42Z</dcterms:created>
  <dcterms:modified xsi:type="dcterms:W3CDTF">2026-07-30T17:37:42Z</dcterms:modified>
</cp:coreProperties>
</file>