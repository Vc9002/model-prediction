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7" headerRowCount="1">
  <autoFilter ref="A1:CO6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COUNTA('Picks'!$A$2:$A$67)</f>
        <v/>
      </c>
      <c r="C4" s="6">
        <f>COUNTIF('Picks'!$U$2:$U$67,"open")</f>
        <v/>
      </c>
      <c r="E4" s="6">
        <f>COUNTIF('Picks'!$U$2:$U$67,"settled")</f>
        <v/>
      </c>
      <c r="G4" s="6">
        <f>IF(COUNTIFS('Picks'!$U$2:$U$67,"settled",'Picks'!$V$2:$V$67,"win")+COUNTIFS('Picks'!$U$2:$U$67,"settled",'Picks'!$V$2:$V$67,"loss")&gt;=$L$2,"Ready","Insufficient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COUNTIF('Picks'!$BX$2:$BX$67,"&gt;0")</f>
        <v/>
      </c>
      <c r="C7" s="6">
        <f>COUNTIFS('Picks'!$BX$2:$BX$67,"&gt;0",'Picks'!$V$2:$V$67,"win")&amp;"-"&amp;COUNTIFS('Picks'!$BX$2:$BX$67,"&gt;0",'Picks'!$V$2:$V$67,"loss")</f>
        <v/>
      </c>
      <c r="E7" s="7">
        <f>IFERROR(COUNTIFS('Picks'!$BX$2:$BX$67,"&gt;0",'Picks'!$V$2:$V$67,"win")/(COUNTIFS('Picks'!$BX$2:$BX$67,"&gt;0",'Picks'!$V$2:$V$67,"win")+COUNTIFS('Picks'!$BX$2:$BX$67,"&gt;0",'Picks'!$V$2:$V$67,"loss")),0)</f>
        <v/>
      </c>
      <c r="G7" s="7">
        <f>IFERROR(SUM('Picks'!$BY$2:$BY$67)/SUM('Picks'!$BX$2:$BX$67),0)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SUM('Picks'!$BY$2:$BY$67)</f>
        <v/>
      </c>
      <c r="C10" s="9">
        <f>IFERROR(AVERAGEIF('Picks'!$AB$2:$AB$67,"&lt;&gt;",'Picks'!$AB$2:$AB$67),0)</f>
        <v/>
      </c>
      <c r="E10" s="6">
        <f>COUNTIFS('Picks'!$AM$2:$AM$67,"QUALIFIED_SHADOW_CALL",'Picks'!$U$2:$U$67,"settled")</f>
        <v/>
      </c>
      <c r="G10" s="8">
        <f>SUMIFS('Picks'!$AC$2:$AC$67,'Picks'!$AM$2:$AM$67,"QUALIFIED_SHADOW_CALL")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COUNTIFS('Picks'!$H$2:$H$67,$A14,'Picks'!$U$2:$U$67,"settled")</f>
        <v/>
      </c>
      <c r="C14" s="13">
        <f>COUNTIFS('Picks'!$H$2:$H$67,$A14,'Picks'!$U$2:$U$67,"settled",'Picks'!$V$2:$V$67,"win")</f>
        <v/>
      </c>
      <c r="D14" s="13">
        <f>COUNTIFS('Picks'!$H$2:$H$67,$A14,'Picks'!$U$2:$U$67,"settled",'Picks'!$V$2:$V$67,"loss")</f>
        <v/>
      </c>
      <c r="E14" s="14">
        <f>IFERROR(C14/(C14+D14),0)</f>
        <v/>
      </c>
      <c r="F14" s="15">
        <f>SUMIFS('Picks'!$BY$2:$BY$67,'Picks'!$H$2:$H$67,$A14)</f>
        <v/>
      </c>
      <c r="G14" s="16">
        <f>IFERROR(AVERAGEIFS('Picks'!$AB$2:$AB$67,'Picks'!$H$2:$H$67,$A14,'Picks'!$U$2:$U$67,"settled"),0)</f>
        <v/>
      </c>
    </row>
    <row r="15">
      <c r="A15" s="17" t="inlineStr">
        <is>
          <t>spread</t>
        </is>
      </c>
      <c r="B15" s="18">
        <f>COUNTIFS('Picks'!$H$2:$H$67,$A15,'Picks'!$U$2:$U$67,"settled")</f>
        <v/>
      </c>
      <c r="C15" s="18">
        <f>COUNTIFS('Picks'!$H$2:$H$67,$A15,'Picks'!$U$2:$U$67,"settled",'Picks'!$V$2:$V$67,"win")</f>
        <v/>
      </c>
      <c r="D15" s="18">
        <f>COUNTIFS('Picks'!$H$2:$H$67,$A15,'Picks'!$U$2:$U$67,"settled",'Picks'!$V$2:$V$67,"loss")</f>
        <v/>
      </c>
      <c r="E15" s="19">
        <f>IFERROR(C15/(C15+D15),0)</f>
        <v/>
      </c>
      <c r="F15" s="20">
        <f>SUMIFS('Picks'!$BY$2:$BY$67,'Picks'!$H$2:$H$67,$A15)</f>
        <v/>
      </c>
      <c r="G15" s="21">
        <f>IFERROR(AVERAGEIFS('Picks'!$AB$2:$AB$67,'Picks'!$H$2:$H$67,$A15,'Picks'!$U$2:$U$67,"settled"),0)</f>
        <v/>
      </c>
    </row>
    <row r="16">
      <c r="A16" s="12" t="inlineStr">
        <is>
          <t>total</t>
        </is>
      </c>
      <c r="B16" s="13">
        <f>COUNTIFS('Picks'!$H$2:$H$67,$A16,'Picks'!$U$2:$U$67,"settled")</f>
        <v/>
      </c>
      <c r="C16" s="13">
        <f>COUNTIFS('Picks'!$H$2:$H$67,$A16,'Picks'!$U$2:$U$67,"settled",'Picks'!$V$2:$V$67,"win")</f>
        <v/>
      </c>
      <c r="D16" s="13">
        <f>COUNTIFS('Picks'!$H$2:$H$67,$A16,'Picks'!$U$2:$U$67,"settled",'Picks'!$V$2:$V$67,"loss")</f>
        <v/>
      </c>
      <c r="E16" s="14">
        <f>IFERROR(C16/(C16+D16),0)</f>
        <v/>
      </c>
      <c r="F16" s="15">
        <f>SUMIFS('Picks'!$BY$2:$BY$67,'Picks'!$H$2:$H$67,$A16)</f>
        <v/>
      </c>
      <c r="G16" s="16">
        <f>IFERROR(AVERAGEIFS('Picks'!$AB$2:$AB$67,'Picks'!$H$2:$H$67,$A16,'Picks'!$U$2:$U$67,"settled"),0)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0.7246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3.55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0.4292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push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2026-07-31T21:03:36.213553Z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push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2026-08-01T18:35:32.929288Z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push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2026-08-01T18:35:34.883257Z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f8ad772a47164d5f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401844028</t>
        </is>
      </c>
      <c r="E31" s="24" t="inlineStr">
        <is>
          <t>SOCCER</t>
        </is>
      </c>
      <c r="F31" s="24" t="inlineStr">
        <is>
          <t>Midland</t>
        </is>
      </c>
      <c r="G31" s="24" t="inlineStr">
        <is>
          <t>Almagro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233</v>
      </c>
      <c r="M31" s="27" t="n">
        <v>3.33</v>
      </c>
      <c r="N31" s="28" t="n">
        <v>0.3003</v>
      </c>
      <c r="O31" s="28" t="n">
        <v>0.456135</v>
      </c>
      <c r="P31" s="28" t="n">
        <v>0.2</v>
      </c>
      <c r="Q31" s="28" t="n">
        <v>0.155835</v>
      </c>
      <c r="R31" s="26" t="n">
        <v>8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push</t>
        </is>
      </c>
      <c r="W31" s="26" t="n">
        <v>1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2026-08-01T20:34:14.764038Z</t>
        </is>
      </c>
      <c r="AE31" s="31" t="inlineStr">
        <is>
          <t>Poisson-DC rates 1.64 (home) / 1.24 (away) from EWMA attack/defense strengths. Executable ask 0.3000 (atc-arg2-alm-afm-2026-08-02-alm).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Midland</t>
        </is>
      </c>
      <c r="AQ31" s="24" t="inlineStr">
        <is>
          <t>Midland</t>
        </is>
      </c>
      <c r="AR31" s="24" t="inlineStr">
        <is>
          <t>Midland</t>
        </is>
      </c>
      <c r="AS31" s="24" t="inlineStr">
        <is>
          <t>Almagro</t>
        </is>
      </c>
      <c r="AT31" s="24" t="inlineStr">
        <is>
          <t>Almagro</t>
        </is>
      </c>
      <c r="AU31" s="24" t="inlineStr">
        <is>
          <t>Almagro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2026-08-01T16:49:30.902860Z</t>
        </is>
      </c>
      <c r="BI31" s="24" t="inlineStr">
        <is>
          <t>["same_event","same_team_same_day","same_league_same_day"]</t>
        </is>
      </c>
      <c r="BJ31" s="25" t="n"/>
      <c r="BK31" s="26" t="n">
        <v>233</v>
      </c>
      <c r="BL31" s="27" t="n">
        <v>3.33</v>
      </c>
      <c r="BM31" s="28" t="n">
        <v>0.3003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02eb8e6babd749a2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401844018</t>
        </is>
      </c>
      <c r="E32" s="24" t="inlineStr">
        <is>
          <t>SOCCER</t>
        </is>
      </c>
      <c r="F32" s="24" t="inlineStr">
        <is>
          <t>Gimnasia y Esgrima (Jujuy)</t>
        </is>
      </c>
      <c r="G32" s="24" t="inlineStr">
        <is>
          <t>Colegiales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133</v>
      </c>
      <c r="M32" s="27" t="n">
        <v>2.33</v>
      </c>
      <c r="N32" s="28" t="n">
        <v>0.429185</v>
      </c>
      <c r="O32" s="28" t="n">
        <v>0.456135</v>
      </c>
      <c r="P32" s="28" t="n">
        <v>0.2</v>
      </c>
      <c r="Q32" s="28" t="n">
        <v>0.02695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2</v>
      </c>
      <c r="Y32" s="25" t="n"/>
      <c r="Z32" s="26" t="n"/>
      <c r="AA32" s="28" t="n"/>
      <c r="AB32" s="28" t="n"/>
      <c r="AC32" s="30" t="n">
        <v>1.33</v>
      </c>
      <c r="AD32" s="24" t="inlineStr">
        <is>
          <t>2026-08-01T20:13:19.135597Z</t>
        </is>
      </c>
      <c r="AE32" s="31" t="inlineStr">
        <is>
          <t>Poisson-DC rates 1.64 (home) / 1.24 (away) from EWMA attack/defense strengths. Executable ask 0.4300 (atc-arg2-cac-ge-2026-08-01-cac).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Gimnasia y Esgrima (Jujuy)</t>
        </is>
      </c>
      <c r="AQ32" s="24" t="inlineStr">
        <is>
          <t>Gimnasia y Esgrima (Jujuy)</t>
        </is>
      </c>
      <c r="AR32" s="24" t="inlineStr">
        <is>
          <t>Gimnasia y Esgrima (Jujuy)</t>
        </is>
      </c>
      <c r="AS32" s="24" t="inlineStr">
        <is>
          <t>Colegiales</t>
        </is>
      </c>
      <c r="AT32" s="24" t="inlineStr">
        <is>
          <t>Colegiales</t>
        </is>
      </c>
      <c r="AU32" s="24" t="inlineStr">
        <is>
          <t>Colegiales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2026-08-01T16:49:30.893071Z</t>
        </is>
      </c>
      <c r="BI32" s="24" t="inlineStr">
        <is>
          <t>["same_event","same_team_same_day","same_league_same_day"]</t>
        </is>
      </c>
      <c r="BJ32" s="25" t="n"/>
      <c r="BK32" s="26" t="n">
        <v>133</v>
      </c>
      <c r="BL32" s="27" t="n">
        <v>2.33</v>
      </c>
      <c r="BM32" s="28" t="n">
        <v>0.429185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4b09a9d9374d46a7</t>
        </is>
      </c>
      <c r="B33" s="24" t="inlineStr">
        <is>
          <t>2026-08-01T16:52:27.367453Z</t>
        </is>
      </c>
      <c r="C33" s="24" t="inlineStr">
        <is>
          <t>2026-08-01T18:30Z</t>
        </is>
      </c>
      <c r="D33" s="24" t="inlineStr">
        <is>
          <t>401844021</t>
        </is>
      </c>
      <c r="E33" s="24" t="inlineStr">
        <is>
          <t>SOCCER</t>
        </is>
      </c>
      <c r="F33" s="24" t="inlineStr">
        <is>
          <t>Quilmes</t>
        </is>
      </c>
      <c r="G33" s="24" t="inlineStr">
        <is>
          <t>Patronato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0.440521</v>
      </c>
      <c r="P33" s="28" t="n">
        <v>0.2</v>
      </c>
      <c r="Q33" s="28" t="n">
        <v>0.030685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push</t>
        </is>
      </c>
      <c r="W33" s="26" t="n">
        <v>3</v>
      </c>
      <c r="X33" s="26" t="n">
        <v>3</v>
      </c>
      <c r="Y33" s="25" t="n"/>
      <c r="Z33" s="26" t="n"/>
      <c r="AA33" s="28" t="n"/>
      <c r="AB33" s="28" t="n"/>
      <c r="AC33" s="30" t="n">
        <v>0</v>
      </c>
      <c r="AD33" s="24" t="inlineStr">
        <is>
          <t>2026-08-01T21:25:27.602390Z</t>
        </is>
      </c>
      <c r="AE33" s="31" t="inlineStr">
        <is>
          <t>Poisson-DC rates 1.46 (home) / 1.10 (away) from EWMA attack/defense strengths. Executable ask 0.4100 (atc-arg2-cap-qui-2026-08-02-cap).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Quilmes</t>
        </is>
      </c>
      <c r="AQ33" s="24" t="inlineStr">
        <is>
          <t>Quilmes</t>
        </is>
      </c>
      <c r="AR33" s="24" t="inlineStr">
        <is>
          <t>Quilmes</t>
        </is>
      </c>
      <c r="AS33" s="24" t="inlineStr">
        <is>
          <t>Patronato</t>
        </is>
      </c>
      <c r="AT33" s="24" t="inlineStr">
        <is>
          <t>Patronato</t>
        </is>
      </c>
      <c r="AU33" s="24" t="inlineStr">
        <is>
          <t>Patronato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2026-08-01T16:49:31.486214Z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ce8bcb5176c94e2f</t>
        </is>
      </c>
      <c r="B34" s="24" t="inlineStr">
        <is>
          <t>2026-08-01T16:52:27.367453Z</t>
        </is>
      </c>
      <c r="C34" s="24" t="inlineStr">
        <is>
          <t>2026-08-01T18:00Z</t>
        </is>
      </c>
      <c r="D34" s="24" t="inlineStr">
        <is>
          <t>401872730</t>
        </is>
      </c>
      <c r="E34" s="24" t="inlineStr">
        <is>
          <t>SOCCER</t>
        </is>
      </c>
      <c r="F34" s="24" t="inlineStr">
        <is>
          <t>Juventud</t>
        </is>
      </c>
      <c r="G34" s="24" t="inlineStr">
        <is>
          <t>Deportivo Maldonado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0.418807</v>
      </c>
      <c r="P34" s="28" t="n">
        <v>0.2</v>
      </c>
      <c r="Q34" s="28" t="n">
        <v>-0.120364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push</t>
        </is>
      </c>
      <c r="W34" s="26" t="n">
        <v>0</v>
      </c>
      <c r="X34" s="26" t="n">
        <v>0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2026-08-01T20:13:20.615731Z</t>
        </is>
      </c>
      <c r="AE34" s="31" t="inlineStr">
        <is>
          <t>Poisson-DC rates 1.46 (home) / 1.20 (away) from EWMA attack/defense strengths. Executable ask 0.5400 (atc-uru1-mal-juv-2026-08-01-mal).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Juventud</t>
        </is>
      </c>
      <c r="AQ34" s="24" t="inlineStr">
        <is>
          <t>Juventud</t>
        </is>
      </c>
      <c r="AR34" s="24" t="inlineStr">
        <is>
          <t>Juventud</t>
        </is>
      </c>
      <c r="AS34" s="24" t="inlineStr">
        <is>
          <t>Deportivo Maldonado</t>
        </is>
      </c>
      <c r="AT34" s="24" t="inlineStr">
        <is>
          <t>Deportivo Maldonado</t>
        </is>
      </c>
      <c r="AU34" s="24" t="inlineStr">
        <is>
          <t>Deportivo Maldonado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2026-08-01T16:49:34.759598Z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3119afb8f63442b9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401886553</t>
        </is>
      </c>
      <c r="E35" s="24" t="inlineStr">
        <is>
          <t>SOCCER</t>
        </is>
      </c>
      <c r="F35" s="24" t="inlineStr">
        <is>
          <t>Arsenal</t>
        </is>
      </c>
      <c r="G35" s="24" t="inlineStr">
        <is>
          <t>Girona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-144</v>
      </c>
      <c r="M35" s="27" t="n">
        <v>1.694444</v>
      </c>
      <c r="N35" s="28" t="n">
        <v>0.590164</v>
      </c>
      <c r="O35" s="28" t="n">
        <v>0.51186</v>
      </c>
      <c r="P35" s="28" t="n">
        <v>0.04</v>
      </c>
      <c r="Q35" s="28" t="n">
        <v>-0.078304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/>
      <c r="Z35" s="26" t="n"/>
      <c r="AA35" s="28" t="n"/>
      <c r="AB35" s="28" t="n"/>
      <c r="AC35" s="30" t="n">
        <v>0.6944</v>
      </c>
      <c r="AD35" s="24" t="inlineStr">
        <is>
          <t>2026-08-01T20:13:22.602729Z</t>
        </is>
      </c>
      <c r="AE35" s="31" t="inlineStr">
        <is>
          <t>Poisson-DC rates 0.58 (home) / 1.23 (away) from EWMA attack/defense strengths. Executable ask 0.5900 (atc-clbf-gir-afr-2026-08-01-afr).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Arsenal</t>
        </is>
      </c>
      <c r="AQ35" s="24" t="inlineStr">
        <is>
          <t>Arsenal</t>
        </is>
      </c>
      <c r="AR35" s="24" t="inlineStr">
        <is>
          <t>Arsenal</t>
        </is>
      </c>
      <c r="AS35" s="24" t="inlineStr">
        <is>
          <t>Girona</t>
        </is>
      </c>
      <c r="AT35" s="24" t="inlineStr">
        <is>
          <t>Girona</t>
        </is>
      </c>
      <c r="AU35" s="24" t="inlineStr">
        <is>
          <t>Girona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2026-08-01T16:49:39.645100Z</t>
        </is>
      </c>
      <c r="BI35" s="24" t="inlineStr">
        <is>
          <t>["same_event","same_team_same_day","same_league_same_day"]</t>
        </is>
      </c>
      <c r="BJ35" s="25" t="n"/>
      <c r="BK35" s="26" t="n">
        <v>-144</v>
      </c>
      <c r="BL35" s="27" t="n">
        <v>1.694444</v>
      </c>
      <c r="BM35" s="28" t="n">
        <v>0.590164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95372c50a2ed4ced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761699</t>
        </is>
      </c>
      <c r="E42" s="24" t="inlineStr">
        <is>
          <t>SOCCER</t>
        </is>
      </c>
      <c r="F42" s="24" t="inlineStr">
        <is>
          <t>Nashville SC</t>
        </is>
      </c>
      <c r="G42" s="24" t="inlineStr">
        <is>
          <t>D.C. United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0.552914</v>
      </c>
      <c r="P42" s="28" t="n">
        <v>0.04</v>
      </c>
      <c r="Q42" s="28" t="n">
        <v>0.143078</v>
      </c>
      <c r="R42" s="26" t="n">
        <v>98</v>
      </c>
      <c r="S42" s="29" t="n">
        <v>1</v>
      </c>
      <c r="T42" s="24" t="inlineStr">
        <is>
          <t>soccer-poisson-dc-v1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Poisson-DC rates 1.27 (home) / 2.09 (away) from EWMA attack/defense strengths. Executable ask 0.4100 (atc-mls-dcu-nas-2026-08-01-nas).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Nashville SC</t>
        </is>
      </c>
      <c r="AQ42" s="24" t="inlineStr">
        <is>
          <t>Nashville SC</t>
        </is>
      </c>
      <c r="AR42" s="24" t="inlineStr">
        <is>
          <t>Nashville SC</t>
        </is>
      </c>
      <c r="AS42" s="24" t="inlineStr">
        <is>
          <t>D.C. United</t>
        </is>
      </c>
      <c r="AT42" s="24" t="inlineStr">
        <is>
          <t>D.C. United</t>
        </is>
      </c>
      <c r="AU42" s="24" t="inlineStr">
        <is>
          <t>D.C. United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2026-08-01T20:14:20.050683Z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ae6c537b76914b00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761700</t>
        </is>
      </c>
      <c r="E43" s="24" t="inlineStr">
        <is>
          <t>SOCCER</t>
        </is>
      </c>
      <c r="F43" s="24" t="inlineStr">
        <is>
          <t>San Jose Earthquakes</t>
        </is>
      </c>
      <c r="G43" s="24" t="inlineStr">
        <is>
          <t>FC Cincinnati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0.418282</v>
      </c>
      <c r="P43" s="28" t="n">
        <v>0.04</v>
      </c>
      <c r="Q43" s="28" t="n">
        <v>-0.100949</v>
      </c>
      <c r="R43" s="26" t="n">
        <v>0</v>
      </c>
      <c r="S43" s="29" t="n">
        <v>1.25</v>
      </c>
      <c r="T43" s="24" t="inlineStr">
        <is>
          <t>soccer-poisson-dc-v1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Poisson-DC rates 2.60 (home) / 2.52 (away) from EWMA attack/defense strengths. Executable ask 0.5200 (atc-mls-fcc-sje-2026-08-01-fcc).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San Jose Earthquakes</t>
        </is>
      </c>
      <c r="AQ43" s="24" t="inlineStr">
        <is>
          <t>San Jose Earthquakes</t>
        </is>
      </c>
      <c r="AR43" s="24" t="inlineStr">
        <is>
          <t>San Jose Earthquakes</t>
        </is>
      </c>
      <c r="AS43" s="24" t="inlineStr">
        <is>
          <t>FC Cincinnati</t>
        </is>
      </c>
      <c r="AT43" s="24" t="inlineStr">
        <is>
          <t>FC Cincinnati</t>
        </is>
      </c>
      <c r="AU43" s="24" t="inlineStr">
        <is>
          <t>FC Cincinnati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2026-08-01T20:14:21.554713Z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b586e7aa165f48df</t>
        </is>
      </c>
      <c r="B44" s="24" t="inlineStr">
        <is>
          <t>2026-08-01T20:17:05.741632Z</t>
        </is>
      </c>
      <c r="C44" s="24" t="inlineStr">
        <is>
          <t>2026-08-01T23:30Z</t>
        </is>
      </c>
      <c r="D44" s="24" t="inlineStr">
        <is>
          <t>761701</t>
        </is>
      </c>
      <c r="E44" s="24" t="inlineStr">
        <is>
          <t>SOCCER</t>
        </is>
      </c>
      <c r="F44" s="24" t="inlineStr">
        <is>
          <t>Columbus Crew</t>
        </is>
      </c>
      <c r="G44" s="24" t="inlineStr">
        <is>
          <t>Inter Miami CF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0.715665</v>
      </c>
      <c r="P44" s="28" t="n">
        <v>0.04</v>
      </c>
      <c r="Q44" s="28" t="n">
        <v>0.086035</v>
      </c>
      <c r="R44" s="26" t="n">
        <v>69</v>
      </c>
      <c r="S44" s="29" t="n">
        <v>2</v>
      </c>
      <c r="T44" s="24" t="inlineStr">
        <is>
          <t>soccer-poisson-dc-v1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Poisson-DC rates 3.37 (home) / 1.57 (away) from EWMA attack/defense strengths. Executable ask 0.6300 (atc-mls-mia-clb-2026-08-01-mia).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Columbus Crew</t>
        </is>
      </c>
      <c r="AQ44" s="24" t="inlineStr">
        <is>
          <t>Columbus Crew</t>
        </is>
      </c>
      <c r="AR44" s="24" t="inlineStr">
        <is>
          <t>Columbus Crew</t>
        </is>
      </c>
      <c r="AS44" s="24" t="inlineStr">
        <is>
          <t>Inter Miami CF</t>
        </is>
      </c>
      <c r="AT44" s="24" t="inlineStr">
        <is>
          <t>Inter Miami CF</t>
        </is>
      </c>
      <c r="AU44" s="24" t="inlineStr">
        <is>
          <t>Inter Miami CF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2026-08-01T20:14:23.116312Z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1e573e73d5d24ee5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761702</t>
        </is>
      </c>
      <c r="E45" s="24" t="inlineStr">
        <is>
          <t>SOCCER</t>
        </is>
      </c>
      <c r="F45" s="24" t="inlineStr">
        <is>
          <t>Atlanta United FC</t>
        </is>
      </c>
      <c r="G45" s="24" t="inlineStr">
        <is>
          <t>Philadelphia Union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0.5599229999999999</v>
      </c>
      <c r="P45" s="28" t="n">
        <v>0.04</v>
      </c>
      <c r="Q45" s="28" t="n">
        <v>-0.049452</v>
      </c>
      <c r="R45" s="26" t="n">
        <v>1</v>
      </c>
      <c r="S45" s="29" t="n">
        <v>1.25</v>
      </c>
      <c r="T45" s="24" t="inlineStr">
        <is>
          <t>soccer-poisson-dc-v1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Poisson-DC rates 1.93 (home) / 1.08 (away) from EWMA attack/defense strengths. Executable ask 0.6100 (atc-mls-phi-atl-2026-08-01-phi).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Atlanta United FC</t>
        </is>
      </c>
      <c r="AQ45" s="24" t="inlineStr">
        <is>
          <t>Atlanta United FC</t>
        </is>
      </c>
      <c r="AR45" s="24" t="inlineStr">
        <is>
          <t>Atlanta United FC</t>
        </is>
      </c>
      <c r="AS45" s="24" t="inlineStr">
        <is>
          <t>Philadelphia Union</t>
        </is>
      </c>
      <c r="AT45" s="24" t="inlineStr">
        <is>
          <t>Philadelphia Union</t>
        </is>
      </c>
      <c r="AU45" s="24" t="inlineStr">
        <is>
          <t>Philadelphia Union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2026-08-01T20:14:26.266239Z</t>
        </is>
      </c>
      <c r="BI45" s="24" t="inlineStr">
        <is>
          <t>["same_event","same_team_same_day","same_league_same_day"]</t>
        </is>
      </c>
      <c r="BJ45" s="25" t="n"/>
      <c r="BK45" s="26" t="n">
        <v>-156</v>
      </c>
      <c r="BL45" s="27" t="n">
        <v>1.641026</v>
      </c>
      <c r="BM45" s="28" t="n">
        <v>0.609375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40b54f606eb04e02</t>
        </is>
      </c>
      <c r="B46" s="24" t="inlineStr">
        <is>
          <t>2026-08-01T20:17:05.741632Z</t>
        </is>
      </c>
      <c r="C46" s="24" t="inlineStr">
        <is>
          <t>2026-08-01T21:00Z</t>
        </is>
      </c>
      <c r="D46" s="24" t="inlineStr">
        <is>
          <t>401841478</t>
        </is>
      </c>
      <c r="E46" s="24" t="inlineStr">
        <is>
          <t>SOCCER</t>
        </is>
      </c>
      <c r="F46" s="24" t="inlineStr">
        <is>
          <t>Defensa y Justicia</t>
        </is>
      </c>
      <c r="G46" s="24" t="inlineStr">
        <is>
          <t>Estudiantes de La Plata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-144</v>
      </c>
      <c r="M46" s="27" t="n">
        <v>1.694444</v>
      </c>
      <c r="N46" s="28" t="n">
        <v>0.590164</v>
      </c>
      <c r="O46" s="28" t="n">
        <v>0.451659</v>
      </c>
      <c r="P46" s="28" t="n">
        <v>0.2</v>
      </c>
      <c r="Q46" s="28" t="n">
        <v>-0.138505</v>
      </c>
      <c r="R46" s="26" t="n">
        <v>0</v>
      </c>
      <c r="S46" s="29" t="n">
        <v>1</v>
      </c>
      <c r="T46" s="24" t="inlineStr">
        <is>
          <t>soccer-poisson-dc-v1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Poisson-DC rates 1.59 (home) / 1.20 (away) from EWMA attack/defense strengths. Executable ask 0.5900 (atc-lpa-est-def-2026-08-01-est).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Defensa y Justicia</t>
        </is>
      </c>
      <c r="AQ46" s="24" t="inlineStr">
        <is>
          <t>Defensa y Justicia</t>
        </is>
      </c>
      <c r="AR46" s="24" t="inlineStr">
        <is>
          <t>Defensa y Justicia</t>
        </is>
      </c>
      <c r="AS46" s="24" t="inlineStr">
        <is>
          <t>Estudiantes de La Plata</t>
        </is>
      </c>
      <c r="AT46" s="24" t="inlineStr">
        <is>
          <t>Estudiantes de La Plata</t>
        </is>
      </c>
      <c r="AU46" s="24" t="inlineStr">
        <is>
          <t>Estudiantes de La Plata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2026-08-01T20:14:41.137983Z</t>
        </is>
      </c>
      <c r="BI46" s="24" t="inlineStr">
        <is>
          <t>["same_event","same_team_same_day","same_league_same_day"]</t>
        </is>
      </c>
      <c r="BJ46" s="25" t="n"/>
      <c r="BK46" s="26" t="n">
        <v>-144</v>
      </c>
      <c r="BL46" s="27" t="n">
        <v>1.694444</v>
      </c>
      <c r="BM46" s="28" t="n">
        <v>0.590164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0318e2143c9e4155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401841475</t>
        </is>
      </c>
      <c r="E47" s="24" t="inlineStr">
        <is>
          <t>SOCCER</t>
        </is>
      </c>
      <c r="F47" s="24" t="inlineStr">
        <is>
          <t>Tigre</t>
        </is>
      </c>
      <c r="G47" s="24" t="inlineStr">
        <is>
          <t>Racing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0.483295</v>
      </c>
      <c r="P47" s="28" t="n">
        <v>0.2</v>
      </c>
      <c r="Q47" s="28" t="n">
        <v>0.013811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Poisson-DC rates 1.72 (home) / 1.20 (away) from EWMA attack/defense strengths. Executable ask 0.4700 (atc-lpa-rac-tig-2026-08-01-rac).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Tigre</t>
        </is>
      </c>
      <c r="AQ47" s="24" t="inlineStr">
        <is>
          <t>Tigre</t>
        </is>
      </c>
      <c r="AR47" s="24" t="inlineStr">
        <is>
          <t>Tigre</t>
        </is>
      </c>
      <c r="AS47" s="24" t="inlineStr">
        <is>
          <t>Racing Club</t>
        </is>
      </c>
      <c r="AT47" s="24" t="inlineStr">
        <is>
          <t>Racing Club</t>
        </is>
      </c>
      <c r="AU47" s="24" t="inlineStr">
        <is>
          <t>Racing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2026-08-01T20:14:41.628532Z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711928eecb964b43</t>
        </is>
      </c>
      <c r="B48" s="24" t="inlineStr">
        <is>
          <t>2026-08-01T20:17:05.741632Z</t>
        </is>
      </c>
      <c r="C48" s="24" t="inlineStr">
        <is>
          <t>2026-08-01T21:30Z</t>
        </is>
      </c>
      <c r="D48" s="24" t="inlineStr">
        <is>
          <t>401850608</t>
        </is>
      </c>
      <c r="E48" s="24" t="inlineStr">
        <is>
          <t>SOCCER</t>
        </is>
      </c>
      <c r="F48" s="24" t="inlineStr">
        <is>
          <t>Coquimbo Unido</t>
        </is>
      </c>
      <c r="G48" s="24" t="inlineStr">
        <is>
          <t>Palestino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186</v>
      </c>
      <c r="M48" s="27" t="n">
        <v>2.86</v>
      </c>
      <c r="N48" s="28" t="n">
        <v>0.34965</v>
      </c>
      <c r="O48" s="28" t="n">
        <v>0.505507</v>
      </c>
      <c r="P48" s="28" t="n">
        <v>0.2</v>
      </c>
      <c r="Q48" s="28" t="n">
        <v>0.155857</v>
      </c>
      <c r="R48" s="26" t="n">
        <v>8</v>
      </c>
      <c r="S48" s="29" t="n">
        <v>1</v>
      </c>
      <c r="T48" s="24" t="inlineStr">
        <is>
          <t>soccer-poisson-dc-v1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Poisson-DC rates 1.72 (home) / 1.10 (away) from EWMA attack/defense strengths. Executable ask 0.3500 (atc-pdc-pal-coq-2026-08-01-pal).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Coquimbo Unido</t>
        </is>
      </c>
      <c r="AQ48" s="24" t="inlineStr">
        <is>
          <t>Coquimbo Unido</t>
        </is>
      </c>
      <c r="AR48" s="24" t="inlineStr">
        <is>
          <t>Coquimbo Unido</t>
        </is>
      </c>
      <c r="AS48" s="24" t="inlineStr">
        <is>
          <t>Palestino</t>
        </is>
      </c>
      <c r="AT48" s="24" t="inlineStr">
        <is>
          <t>Palestino</t>
        </is>
      </c>
      <c r="AU48" s="24" t="inlineStr">
        <is>
          <t>Palestino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2026-08-01T20:14:43.888722Z</t>
        </is>
      </c>
      <c r="BI48" s="24" t="inlineStr">
        <is>
          <t>["same_event","same_team_same_day","same_league_same_day"]</t>
        </is>
      </c>
      <c r="BJ48" s="25" t="n"/>
      <c r="BK48" s="26" t="n">
        <v>186</v>
      </c>
      <c r="BL48" s="27" t="n">
        <v>2.86</v>
      </c>
      <c r="BM48" s="28" t="n">
        <v>0.34965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810dacf83ae54176</t>
        </is>
      </c>
      <c r="B49" s="24" t="inlineStr">
        <is>
          <t>2026-08-01T20:31:04.263242Z</t>
        </is>
      </c>
      <c r="C49" s="24" t="inlineStr">
        <is>
          <t>2026-08-03T01:00Z</t>
        </is>
      </c>
      <c r="D49" s="24" t="inlineStr">
        <is>
          <t>401877966</t>
        </is>
      </c>
      <c r="E49" s="24" t="inlineStr">
        <is>
          <t>SOCCER</t>
        </is>
      </c>
      <c r="F49" s="24" t="inlineStr">
        <is>
          <t>Once Caldas</t>
        </is>
      </c>
      <c r="G49" s="24" t="inlineStr">
        <is>
          <t>Independiente Santa Fe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-317</v>
      </c>
      <c r="M49" s="27" t="n">
        <v>1.315457</v>
      </c>
      <c r="N49" s="28" t="n">
        <v>0.760192</v>
      </c>
      <c r="O49" s="28" t="n">
        <v>0.456135</v>
      </c>
      <c r="P49" s="28" t="n">
        <v>0.2</v>
      </c>
      <c r="Q49" s="28" t="n">
        <v>-0.304057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Poisson-DC rates 1.64 (home) / 1.24 (away) from EWMA attack/defense strengths. Executable ask 0.7600 (atc-lco-san-onc-2026-08-02-san).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Once Caldas</t>
        </is>
      </c>
      <c r="AQ49" s="24" t="inlineStr">
        <is>
          <t>Once Caldas</t>
        </is>
      </c>
      <c r="AR49" s="24" t="inlineStr">
        <is>
          <t>Once Caldas</t>
        </is>
      </c>
      <c r="AS49" s="24" t="inlineStr">
        <is>
          <t>Independiente Santa Fe</t>
        </is>
      </c>
      <c r="AT49" s="24" t="inlineStr">
        <is>
          <t>Independiente Santa Fe</t>
        </is>
      </c>
      <c r="AU49" s="24" t="inlineStr">
        <is>
          <t>Independiente Santa Fe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2026-08-01T20:28:06.703532Z</t>
        </is>
      </c>
      <c r="BI49" s="24" t="inlineStr">
        <is>
          <t>["same_event","same_team_same_day","same_league_same_day"]</t>
        </is>
      </c>
      <c r="BJ49" s="25" t="n"/>
      <c r="BK49" s="26" t="n">
        <v>-317</v>
      </c>
      <c r="BL49" s="27" t="n">
        <v>1.315457</v>
      </c>
      <c r="BM49" s="28" t="n">
        <v>0.760192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59a5cbb0c8ed4adc</t>
        </is>
      </c>
      <c r="B50" s="24" t="inlineStr">
        <is>
          <t>2026-08-01T21:22:40.310073Z</t>
        </is>
      </c>
      <c r="C50" s="24" t="inlineStr">
        <is>
          <t>2026-08-02T17:30Z</t>
        </is>
      </c>
      <c r="D50" s="24" t="inlineStr">
        <is>
          <t>401841470</t>
        </is>
      </c>
      <c r="E50" s="24" t="inlineStr">
        <is>
          <t>SOCCER</t>
        </is>
      </c>
      <c r="F50" s="24" t="inlineStr">
        <is>
          <t>Gimnasia La Plata</t>
        </is>
      </c>
      <c r="G50" s="24" t="inlineStr">
        <is>
          <t>Aldosivi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233</v>
      </c>
      <c r="M50" s="27" t="n">
        <v>3.33</v>
      </c>
      <c r="N50" s="28" t="n">
        <v>0.3003</v>
      </c>
      <c r="O50" s="28" t="n">
        <v>0.456135</v>
      </c>
      <c r="P50" s="28" t="n">
        <v>0.2</v>
      </c>
      <c r="Q50" s="28" t="n">
        <v>0.155835</v>
      </c>
      <c r="R50" s="26" t="n">
        <v>8</v>
      </c>
      <c r="S50" s="29" t="n">
        <v>1</v>
      </c>
      <c r="T50" s="24" t="inlineStr">
        <is>
          <t>soccer-poisson-dc-v1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Poisson-DC rates 1.64 (home) / 1.24 (away) from EWMA attack/defense strengths. Executable ask 0.3000 (atc-lpa-ald-gim-2026-08-02-ald).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Gimnasia La Plata</t>
        </is>
      </c>
      <c r="AQ50" s="24" t="inlineStr">
        <is>
          <t>Gimnasia La Plata</t>
        </is>
      </c>
      <c r="AR50" s="24" t="inlineStr">
        <is>
          <t>Gimnasia La Plata</t>
        </is>
      </c>
      <c r="AS50" s="24" t="inlineStr">
        <is>
          <t>Aldosivi</t>
        </is>
      </c>
      <c r="AT50" s="24" t="inlineStr">
        <is>
          <t>Aldosivi</t>
        </is>
      </c>
      <c r="AU50" s="24" t="inlineStr">
        <is>
          <t>Aldosivi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2026-08-01T21:19:24.896824Z</t>
        </is>
      </c>
      <c r="BI50" s="24" t="inlineStr">
        <is>
          <t>["same_event","same_team_same_day","same_league_same_day"]</t>
        </is>
      </c>
      <c r="BJ50" s="25" t="n"/>
      <c r="BK50" s="26" t="n">
        <v>233</v>
      </c>
      <c r="BL50" s="27" t="n">
        <v>3.33</v>
      </c>
      <c r="BM50" s="28" t="n">
        <v>0.3003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cbd273cc3aef4940</t>
        </is>
      </c>
      <c r="B51" s="24" t="inlineStr">
        <is>
          <t>2026-08-01T21:22:40.310073Z</t>
        </is>
      </c>
      <c r="C51" s="24" t="inlineStr">
        <is>
          <t>2026-08-02T20:00Z</t>
        </is>
      </c>
      <c r="D51" s="24" t="inlineStr">
        <is>
          <t>401841473</t>
        </is>
      </c>
      <c r="E51" s="24" t="inlineStr">
        <is>
          <t>SOCCER</t>
        </is>
      </c>
      <c r="F51" s="24" t="inlineStr">
        <is>
          <t>Boca Juniors</t>
        </is>
      </c>
      <c r="G51" s="24" t="inlineStr">
        <is>
          <t>Newell's Old Boys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300</v>
      </c>
      <c r="M51" s="27" t="n">
        <v>4</v>
      </c>
      <c r="N51" s="28" t="n">
        <v>0.25</v>
      </c>
      <c r="O51" s="28" t="n">
        <v>0.398039</v>
      </c>
      <c r="P51" s="28" t="n">
        <v>0.2</v>
      </c>
      <c r="Q51" s="28" t="n">
        <v>0.148039</v>
      </c>
      <c r="R51" s="26" t="n">
        <v>4</v>
      </c>
      <c r="S51" s="29" t="n">
        <v>1</v>
      </c>
      <c r="T51" s="24" t="inlineStr">
        <is>
          <t>soccer-poisson-dc-v1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Poisson-DC rates 1.46 (home) / 1.30 (away) from EWMA attack/defense strengths. Executable ask 0.2500 (atc-lpa-new-boc-2026-08-02-new).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Boca Juniors</t>
        </is>
      </c>
      <c r="AQ51" s="24" t="inlineStr">
        <is>
          <t>Boca Juniors</t>
        </is>
      </c>
      <c r="AR51" s="24" t="inlineStr">
        <is>
          <t>Boca Juniors</t>
        </is>
      </c>
      <c r="AS51" s="24" t="inlineStr">
        <is>
          <t>Newell's Old Boys</t>
        </is>
      </c>
      <c r="AT51" s="24" t="inlineStr">
        <is>
          <t>Newell's Old Boys</t>
        </is>
      </c>
      <c r="AU51" s="24" t="inlineStr">
        <is>
          <t>Newell's Old Boys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2026-08-01T21:19:24.896136Z</t>
        </is>
      </c>
      <c r="BI51" s="24" t="inlineStr">
        <is>
          <t>["same_event","same_team_same_day","same_league_same_day"]</t>
        </is>
      </c>
      <c r="BJ51" s="25" t="n"/>
      <c r="BK51" s="26" t="n">
        <v>300</v>
      </c>
      <c r="BL51" s="27" t="n">
        <v>4</v>
      </c>
      <c r="BM51" s="28" t="n">
        <v>0.25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fe06727d3c8b414f</t>
        </is>
      </c>
      <c r="B52" s="24" t="inlineStr">
        <is>
          <t>2026-08-01T21:22:40.310073Z</t>
        </is>
      </c>
      <c r="C52" s="24" t="inlineStr">
        <is>
          <t>2026-08-02T22:15Z</t>
        </is>
      </c>
      <c r="D52" s="24" t="inlineStr">
        <is>
          <t>401841476</t>
        </is>
      </c>
      <c r="E52" s="24" t="inlineStr">
        <is>
          <t>SOCCER</t>
        </is>
      </c>
      <c r="F52" s="24" t="inlineStr">
        <is>
          <t>Rosario Central</t>
        </is>
      </c>
      <c r="G52" s="24" t="inlineStr">
        <is>
          <t>River Plate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113</v>
      </c>
      <c r="M52" s="27" t="n">
        <v>2.13</v>
      </c>
      <c r="N52" s="28" t="n">
        <v>0.469484</v>
      </c>
      <c r="O52" s="28" t="n">
        <v>0.5359159999999999</v>
      </c>
      <c r="P52" s="28" t="n">
        <v>0.2</v>
      </c>
      <c r="Q52" s="28" t="n">
        <v>0.066432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Poisson-DC rates 1.84 (home) / 1.10 (away) from EWMA attack/defense strengths. Executable ask 0.4700 (atc-lpa-riv-ros-2026-08-02-riv).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Rosario Central</t>
        </is>
      </c>
      <c r="AQ52" s="24" t="inlineStr">
        <is>
          <t>Rosario Central</t>
        </is>
      </c>
      <c r="AR52" s="24" t="inlineStr">
        <is>
          <t>Rosario Central</t>
        </is>
      </c>
      <c r="AS52" s="24" t="inlineStr">
        <is>
          <t>River Plate</t>
        </is>
      </c>
      <c r="AT52" s="24" t="inlineStr">
        <is>
          <t>River Plate</t>
        </is>
      </c>
      <c r="AU52" s="24" t="inlineStr">
        <is>
          <t>River Plate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2026-08-01T21:19:25.343861Z</t>
        </is>
      </c>
      <c r="BI52" s="24" t="inlineStr">
        <is>
          <t>["same_event","same_team_same_day","same_league_same_day"]</t>
        </is>
      </c>
      <c r="BJ52" s="25" t="n"/>
      <c r="BK52" s="26" t="n">
        <v>113</v>
      </c>
      <c r="BL52" s="27" t="n">
        <v>2.13</v>
      </c>
      <c r="BM52" s="28" t="n">
        <v>0.469484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2e6e431825db47ab</t>
        </is>
      </c>
      <c r="B53" s="24" t="inlineStr">
        <is>
          <t>2026-08-01T21:22:40.310073Z</t>
        </is>
      </c>
      <c r="C53" s="24" t="inlineStr">
        <is>
          <t>2026-08-02T18:00Z</t>
        </is>
      </c>
      <c r="D53" s="24" t="inlineStr">
        <is>
          <t>401844015</t>
        </is>
      </c>
      <c r="E53" s="24" t="inlineStr">
        <is>
          <t>SOCCER</t>
        </is>
      </c>
      <c r="F53" s="24" t="inlineStr">
        <is>
          <t>Agropecuario</t>
        </is>
      </c>
      <c r="G53" s="24" t="inlineStr">
        <is>
          <t>Chacarita Juniors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0.456135</v>
      </c>
      <c r="P53" s="28" t="n">
        <v>0.2</v>
      </c>
      <c r="Q53" s="28" t="n">
        <v>-0.053669</v>
      </c>
      <c r="R53" s="26" t="n">
        <v>0</v>
      </c>
      <c r="S53" s="29" t="n">
        <v>1</v>
      </c>
      <c r="T53" s="24" t="inlineStr">
        <is>
          <t>soccer-poisson-dc-v1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Poisson-DC rates 1.64 (home) / 1.24 (away) from EWMA attack/defense strengths. Executable ask 0.5100 (atc-arg2-cjh-caa-2026-08-01-cjh).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Agropecuario</t>
        </is>
      </c>
      <c r="AQ53" s="24" t="inlineStr">
        <is>
          <t>Agropecuario</t>
        </is>
      </c>
      <c r="AR53" s="24" t="inlineStr">
        <is>
          <t>Agropecuario</t>
        </is>
      </c>
      <c r="AS53" s="24" t="inlineStr">
        <is>
          <t>Chacarita Juniors</t>
        </is>
      </c>
      <c r="AT53" s="24" t="inlineStr">
        <is>
          <t>Chacarita Juniors</t>
        </is>
      </c>
      <c r="AU53" s="24" t="inlineStr">
        <is>
          <t>Chacarita Juniors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2026-08-01T21:19:25.941968Z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45e1beeb6e42443f</t>
        </is>
      </c>
      <c r="B54" s="24" t="inlineStr">
        <is>
          <t>2026-08-01T21:22:40.310073Z</t>
        </is>
      </c>
      <c r="C54" s="24" t="inlineStr">
        <is>
          <t>2026-08-02T18:00Z</t>
        </is>
      </c>
      <c r="D54" s="24" t="inlineStr">
        <is>
          <t>401844019</t>
        </is>
      </c>
      <c r="E54" s="24" t="inlineStr">
        <is>
          <t>SOCCER</t>
        </is>
      </c>
      <c r="F54" s="24" t="inlineStr">
        <is>
          <t>San Miguel</t>
        </is>
      </c>
      <c r="G54" s="24" t="inlineStr">
        <is>
          <t>San Telmo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-1567</v>
      </c>
      <c r="M54" s="27" t="n">
        <v>1.063816</v>
      </c>
      <c r="N54" s="28" t="n">
        <v>0.940012</v>
      </c>
      <c r="O54" s="28" t="n">
        <v>0.456135</v>
      </c>
      <c r="P54" s="28" t="n">
        <v>0.2</v>
      </c>
      <c r="Q54" s="28" t="n">
        <v>-0.483877</v>
      </c>
      <c r="R54" s="26" t="n">
        <v>0</v>
      </c>
      <c r="S54" s="29" t="n">
        <v>1</v>
      </c>
      <c r="T54" s="24" t="inlineStr">
        <is>
          <t>soccer-poisson-dc-v1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Poisson-DC rates 1.64 (home) / 1.24 (away) from EWMA attack/defense strengths. Executable ask 0.9400 (atc-arg2-ste-casm-2026-08-02-ste).</t>
        </is>
      </c>
      <c r="AF54" s="31" t="inlineStr">
        <is>
          <t>Research-only soccer score model; draw-aware, but not yet locked-holdout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San Miguel</t>
        </is>
      </c>
      <c r="AQ54" s="24" t="inlineStr">
        <is>
          <t>San Miguel</t>
        </is>
      </c>
      <c r="AR54" s="24" t="inlineStr">
        <is>
          <t>San Miguel</t>
        </is>
      </c>
      <c r="AS54" s="24" t="inlineStr">
        <is>
          <t>San Telmo</t>
        </is>
      </c>
      <c r="AT54" s="24" t="inlineStr">
        <is>
          <t>San Telmo</t>
        </is>
      </c>
      <c r="AU54" s="24" t="inlineStr">
        <is>
          <t>San Telmo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2026-08-01T21:19:26.298294Z</t>
        </is>
      </c>
      <c r="BI54" s="24" t="inlineStr">
        <is>
          <t>["same_event","same_team_same_day","same_league_same_day"]</t>
        </is>
      </c>
      <c r="BJ54" s="25" t="n"/>
      <c r="BK54" s="26" t="n">
        <v>-1567</v>
      </c>
      <c r="BL54" s="27" t="n">
        <v>1.063816</v>
      </c>
      <c r="BM54" s="28" t="n">
        <v>0.940012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fcca556c7f944353</t>
        </is>
      </c>
      <c r="B55" s="24" t="inlineStr">
        <is>
          <t>2026-08-01T21:22:40.310073Z</t>
        </is>
      </c>
      <c r="C55" s="24" t="inlineStr">
        <is>
          <t>2026-08-02T18:30Z</t>
        </is>
      </c>
      <c r="D55" s="24" t="inlineStr">
        <is>
          <t>401844012</t>
        </is>
      </c>
      <c r="E55" s="24" t="inlineStr">
        <is>
          <t>SOCCER</t>
        </is>
      </c>
      <c r="F55" s="24" t="inlineStr">
        <is>
          <t>Gimnasia y Tiro (Salta)</t>
        </is>
      </c>
      <c r="G55" s="24" t="inlineStr">
        <is>
          <t>Temperley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0.456135</v>
      </c>
      <c r="P55" s="28" t="n">
        <v>0.2</v>
      </c>
      <c r="Q55" s="28" t="n">
        <v>-0.143865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Poisson-DC rates 1.64 (home) / 1.24 (away) from EWMA attack/defense strengths. Executable ask 0.6000 (atc-arg2-cat-gyt-2026-08-02-cat).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Gimnasia y Tiro (Salta)</t>
        </is>
      </c>
      <c r="AQ55" s="24" t="inlineStr">
        <is>
          <t>Gimnasia y Tiro (Salta)</t>
        </is>
      </c>
      <c r="AR55" s="24" t="inlineStr">
        <is>
          <t>Gimnasia y Tiro (Salta)</t>
        </is>
      </c>
      <c r="AS55" s="24" t="inlineStr">
        <is>
          <t>Temperley</t>
        </is>
      </c>
      <c r="AT55" s="24" t="inlineStr">
        <is>
          <t>Temperley</t>
        </is>
      </c>
      <c r="AU55" s="24" t="inlineStr">
        <is>
          <t>Temperley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2026-08-01T21:19:26.405115Z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db63c10389164e6f</t>
        </is>
      </c>
      <c r="B56" s="24" t="inlineStr">
        <is>
          <t>2026-08-01T21:22:40.310073Z</t>
        </is>
      </c>
      <c r="C56" s="24" t="inlineStr">
        <is>
          <t>2026-08-02T19:00Z</t>
        </is>
      </c>
      <c r="D56" s="24" t="inlineStr">
        <is>
          <t>401844026</t>
        </is>
      </c>
      <c r="E56" s="24" t="inlineStr">
        <is>
          <t>SOCCER</t>
        </is>
      </c>
      <c r="F56" s="24" t="inlineStr">
        <is>
          <t>All Boys</t>
        </is>
      </c>
      <c r="G56" s="24" t="inlineStr">
        <is>
          <t>Deportivo Madryn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0.456135</v>
      </c>
      <c r="P56" s="28" t="n">
        <v>0.2</v>
      </c>
      <c r="Q56" s="28" t="n">
        <v>-0.083036</v>
      </c>
      <c r="R56" s="26" t="n">
        <v>0</v>
      </c>
      <c r="S56" s="29" t="n">
        <v>1</v>
      </c>
      <c r="T56" s="24" t="inlineStr">
        <is>
          <t>soccer-poisson-dc-v1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Poisson-DC rates 1.64 (home) / 1.24 (away) from EWMA attack/defense strengths. Executable ask 0.5400 (atc-arg2-dma-abo-2026-08-02-dma).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All Boys</t>
        </is>
      </c>
      <c r="AQ56" s="24" t="inlineStr">
        <is>
          <t>All Boys</t>
        </is>
      </c>
      <c r="AR56" s="24" t="inlineStr">
        <is>
          <t>All Boys</t>
        </is>
      </c>
      <c r="AS56" s="24" t="inlineStr">
        <is>
          <t>Deportivo Madryn</t>
        </is>
      </c>
      <c r="AT56" s="24" t="inlineStr">
        <is>
          <t>Deportivo Madryn</t>
        </is>
      </c>
      <c r="AU56" s="24" t="inlineStr">
        <is>
          <t>Deportivo Madryn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2026-08-01T21:19:26.833829Z</t>
        </is>
      </c>
      <c r="BI56" s="24" t="inlineStr">
        <is>
          <t>["same_event","same_team_same_day","same_league_same_day"]</t>
        </is>
      </c>
      <c r="BJ56" s="25" t="n"/>
      <c r="BK56" s="26" t="n">
        <v>-117</v>
      </c>
      <c r="BL56" s="27" t="n">
        <v>1.854701</v>
      </c>
      <c r="BM56" s="28" t="n">
        <v>0.539171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1bef6a778fd041d0</t>
        </is>
      </c>
      <c r="B57" s="24" t="inlineStr">
        <is>
          <t>2026-08-01T21:22:40.310073Z</t>
        </is>
      </c>
      <c r="C57" s="24" t="inlineStr">
        <is>
          <t>2026-08-02T19:30Z</t>
        </is>
      </c>
      <c r="D57" s="24" t="inlineStr">
        <is>
          <t>401844014</t>
        </is>
      </c>
      <c r="E57" s="24" t="inlineStr">
        <is>
          <t>SOCCER</t>
        </is>
      </c>
      <c r="F57" s="24" t="inlineStr">
        <is>
          <t>Los Andes</t>
        </is>
      </c>
      <c r="G57" s="24" t="inlineStr">
        <is>
          <t>Central Norte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-1567</v>
      </c>
      <c r="M57" s="27" t="n">
        <v>1.063816</v>
      </c>
      <c r="N57" s="28" t="n">
        <v>0.940012</v>
      </c>
      <c r="O57" s="28" t="n">
        <v>0.456135</v>
      </c>
      <c r="P57" s="28" t="n">
        <v>0.2</v>
      </c>
      <c r="Q57" s="28" t="n">
        <v>-0.483877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Poisson-DC rates 1.64 (home) / 1.24 (away) from EWMA attack/defense strengths. Executable ask 0.9400 (atc-arg2-ccns-ala-2026-08-02-ccns).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Los Andes</t>
        </is>
      </c>
      <c r="AQ57" s="24" t="inlineStr">
        <is>
          <t>Los Andes</t>
        </is>
      </c>
      <c r="AR57" s="24" t="inlineStr">
        <is>
          <t>Los Andes</t>
        </is>
      </c>
      <c r="AS57" s="24" t="inlineStr">
        <is>
          <t>Central Norte</t>
        </is>
      </c>
      <c r="AT57" s="24" t="inlineStr">
        <is>
          <t>Central Norte</t>
        </is>
      </c>
      <c r="AU57" s="24" t="inlineStr">
        <is>
          <t>Central Norte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2026-08-01T21:19:27.323713Z</t>
        </is>
      </c>
      <c r="BI57" s="24" t="inlineStr">
        <is>
          <t>["same_event","same_team_same_day","same_league_same_day"]</t>
        </is>
      </c>
      <c r="BJ57" s="25" t="n"/>
      <c r="BK57" s="26" t="n">
        <v>-1567</v>
      </c>
      <c r="BL57" s="27" t="n">
        <v>1.063816</v>
      </c>
      <c r="BM57" s="28" t="n">
        <v>0.940012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24b7a9fa278a4abd</t>
        </is>
      </c>
      <c r="B58" s="24" t="inlineStr">
        <is>
          <t>2026-08-01T21:22:40.310073Z</t>
        </is>
      </c>
      <c r="C58" s="24" t="inlineStr">
        <is>
          <t>2026-08-02T19:00Z</t>
        </is>
      </c>
      <c r="D58" s="24" t="inlineStr">
        <is>
          <t>401850609</t>
        </is>
      </c>
      <c r="E58" s="24" t="inlineStr">
        <is>
          <t>SOCCER</t>
        </is>
      </c>
      <c r="F58" s="24" t="inlineStr">
        <is>
          <t>O'Higgins</t>
        </is>
      </c>
      <c r="G58" s="24" t="inlineStr">
        <is>
          <t>La Serena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150</v>
      </c>
      <c r="M58" s="27" t="n">
        <v>2.5</v>
      </c>
      <c r="N58" s="28" t="n">
        <v>0.4</v>
      </c>
      <c r="O58" s="28" t="n">
        <v>0.5359159999999999</v>
      </c>
      <c r="P58" s="28" t="n">
        <v>0.2</v>
      </c>
      <c r="Q58" s="28" t="n">
        <v>0.135916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Poisson-DC rates 1.84 (home) / 1.10 (away) from EWMA attack/defense strengths. Executable ask 0.4000 (atc-pdc-ser-ohi-2026-08-02-ser).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O'Higgins</t>
        </is>
      </c>
      <c r="AQ58" s="24" t="inlineStr">
        <is>
          <t>O'Higgins</t>
        </is>
      </c>
      <c r="AR58" s="24" t="inlineStr">
        <is>
          <t>O'Higgins</t>
        </is>
      </c>
      <c r="AS58" s="24" t="inlineStr">
        <is>
          <t>La Serena</t>
        </is>
      </c>
      <c r="AT58" s="24" t="inlineStr">
        <is>
          <t>La Serena</t>
        </is>
      </c>
      <c r="AU58" s="24" t="inlineStr">
        <is>
          <t>La Serena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2026-08-01T21:19:28.913495Z</t>
        </is>
      </c>
      <c r="BI58" s="24" t="inlineStr">
        <is>
          <t>["same_event","same_team_same_day","same_league_same_day"]</t>
        </is>
      </c>
      <c r="BJ58" s="25" t="n"/>
      <c r="BK58" s="26" t="n">
        <v>150</v>
      </c>
      <c r="BL58" s="27" t="n">
        <v>2.5</v>
      </c>
      <c r="BM58" s="28" t="n">
        <v>0.4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1e2e470844a24331</t>
        </is>
      </c>
      <c r="B59" s="24" t="inlineStr">
        <is>
          <t>2026-08-01T21:22:40.310073Z</t>
        </is>
      </c>
      <c r="C59" s="24" t="inlineStr">
        <is>
          <t>2026-08-02T21:30Z</t>
        </is>
      </c>
      <c r="D59" s="24" t="inlineStr">
        <is>
          <t>401850607</t>
        </is>
      </c>
      <c r="E59" s="24" t="inlineStr">
        <is>
          <t>SOCCER</t>
        </is>
      </c>
      <c r="F59" s="24" t="inlineStr">
        <is>
          <t>Huachipato</t>
        </is>
      </c>
      <c r="G59" s="24" t="inlineStr">
        <is>
          <t>Universidad de Chile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0.414794</v>
      </c>
      <c r="P59" s="28" t="n">
        <v>0.19</v>
      </c>
      <c r="Q59" s="28" t="n">
        <v>-0.194581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Poisson-DC rates 1.41 (home) / 1.16 (away) from EWMA attack/defense strengths. Executable ask 0.6100 (atc-pdc-unc-hua-2026-08-02-unc).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Huachipato</t>
        </is>
      </c>
      <c r="AQ59" s="24" t="inlineStr">
        <is>
          <t>Huachipato</t>
        </is>
      </c>
      <c r="AR59" s="24" t="inlineStr">
        <is>
          <t>Huachipato</t>
        </is>
      </c>
      <c r="AS59" s="24" t="inlineStr">
        <is>
          <t>Universidad de Chile</t>
        </is>
      </c>
      <c r="AT59" s="24" t="inlineStr">
        <is>
          <t>Universidad de Chile</t>
        </is>
      </c>
      <c r="AU59" s="24" t="inlineStr">
        <is>
          <t>Universidad de Chile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2026-08-01T21:19:28.912183Z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c0febd2e28b041e9</t>
        </is>
      </c>
      <c r="B60" s="24" t="inlineStr">
        <is>
          <t>2026-08-01T21:22:40.310073Z</t>
        </is>
      </c>
      <c r="C60" s="24" t="inlineStr">
        <is>
          <t>2026-08-02T15:00Z</t>
        </is>
      </c>
      <c r="D60" s="24" t="inlineStr">
        <is>
          <t>401872734</t>
        </is>
      </c>
      <c r="E60" s="24" t="inlineStr">
        <is>
          <t>SOCCER</t>
        </is>
      </c>
      <c r="F60" s="24" t="inlineStr">
        <is>
          <t>Boston River</t>
        </is>
      </c>
      <c r="G60" s="24" t="inlineStr">
        <is>
          <t>Racing (Montevideo)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-245</v>
      </c>
      <c r="M60" s="27" t="n">
        <v>1.408163</v>
      </c>
      <c r="N60" s="28" t="n">
        <v>0.710145</v>
      </c>
      <c r="O60" s="28" t="n">
        <v>0.5359159999999999</v>
      </c>
      <c r="P60" s="28" t="n">
        <v>0.2</v>
      </c>
      <c r="Q60" s="28" t="n">
        <v>-0.174229</v>
      </c>
      <c r="R60" s="26" t="n">
        <v>0</v>
      </c>
      <c r="S60" s="29" t="n">
        <v>1</v>
      </c>
      <c r="T60" s="24" t="inlineStr">
        <is>
          <t>soccer-poisson-dc-v1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Poisson-DC rates 1.84 (home) / 1.10 (away) from EWMA attack/defense strengths. Executable ask 0.7100 (atc-uru1-rcm-bri-2026-08-02-rcm).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Boston River</t>
        </is>
      </c>
      <c r="AQ60" s="24" t="inlineStr">
        <is>
          <t>Boston River</t>
        </is>
      </c>
      <c r="AR60" s="24" t="inlineStr">
        <is>
          <t>Boston River</t>
        </is>
      </c>
      <c r="AS60" s="24" t="inlineStr">
        <is>
          <t>Racing (Montevideo)</t>
        </is>
      </c>
      <c r="AT60" s="24" t="inlineStr">
        <is>
          <t>Racing (Montevideo)</t>
        </is>
      </c>
      <c r="AU60" s="24" t="inlineStr">
        <is>
          <t>Racing (Montevideo)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2026-08-01T21:19:29.944986Z</t>
        </is>
      </c>
      <c r="BI60" s="24" t="inlineStr">
        <is>
          <t>["same_event","same_team_same_day","same_league_same_day"]</t>
        </is>
      </c>
      <c r="BJ60" s="25" t="n"/>
      <c r="BK60" s="26" t="n">
        <v>-245</v>
      </c>
      <c r="BL60" s="27" t="n">
        <v>1.408163</v>
      </c>
      <c r="BM60" s="28" t="n">
        <v>0.710145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3a686996b93b4d7c</t>
        </is>
      </c>
      <c r="B61" s="24" t="inlineStr">
        <is>
          <t>2026-08-01T21:22:40.310073Z</t>
        </is>
      </c>
      <c r="C61" s="24" t="inlineStr">
        <is>
          <t>2026-08-02T20:30Z</t>
        </is>
      </c>
      <c r="D61" s="24" t="inlineStr">
        <is>
          <t>401859644</t>
        </is>
      </c>
      <c r="E61" s="24" t="inlineStr">
        <is>
          <t>SOCCER</t>
        </is>
      </c>
      <c r="F61" s="24" t="inlineStr">
        <is>
          <t>Guayaquil City FC</t>
        </is>
      </c>
      <c r="G61" s="24" t="inlineStr">
        <is>
          <t>Macará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-178</v>
      </c>
      <c r="M61" s="27" t="n">
        <v>1.561798</v>
      </c>
      <c r="N61" s="28" t="n">
        <v>0.640288</v>
      </c>
      <c r="O61" s="28" t="n">
        <v>0.456135</v>
      </c>
      <c r="P61" s="28" t="n">
        <v>0.2</v>
      </c>
      <c r="Q61" s="28" t="n">
        <v>-0.184153</v>
      </c>
      <c r="R61" s="26" t="n">
        <v>0</v>
      </c>
      <c r="S61" s="29" t="n">
        <v>1</v>
      </c>
      <c r="T61" s="24" t="inlineStr">
        <is>
          <t>soccer-poisson-dc-v1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Poisson-DC rates 1.64 (home) / 1.24 (away) from EWMA attack/defense strengths. Executable ask 0.6400 (atc-ecu1-mac-gua-2026-08-02-mac).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Guayaquil City FC</t>
        </is>
      </c>
      <c r="AQ61" s="24" t="inlineStr">
        <is>
          <t>Guayaquil City FC</t>
        </is>
      </c>
      <c r="AR61" s="24" t="inlineStr">
        <is>
          <t>Guayaquil City FC</t>
        </is>
      </c>
      <c r="AS61" s="24" t="inlineStr">
        <is>
          <t>Macará</t>
        </is>
      </c>
      <c r="AT61" s="24" t="inlineStr">
        <is>
          <t>Macará</t>
        </is>
      </c>
      <c r="AU61" s="24" t="inlineStr">
        <is>
          <t>Macará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2026-08-01T21:19:30.440065Z</t>
        </is>
      </c>
      <c r="BI61" s="24" t="inlineStr">
        <is>
          <t>["same_event","same_team_same_day","same_league_same_day"]</t>
        </is>
      </c>
      <c r="BJ61" s="25" t="n"/>
      <c r="BK61" s="26" t="n">
        <v>-178</v>
      </c>
      <c r="BL61" s="27" t="n">
        <v>1.561798</v>
      </c>
      <c r="BM61" s="28" t="n">
        <v>0.640288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1f5c27cff77f4a3b</t>
        </is>
      </c>
      <c r="B62" s="24" t="inlineStr">
        <is>
          <t>2026-08-01T21:22:40.310073Z</t>
        </is>
      </c>
      <c r="C62" s="24" t="inlineStr">
        <is>
          <t>2026-08-02T23:10Z</t>
        </is>
      </c>
      <c r="D62" s="24" t="inlineStr">
        <is>
          <t>401859718</t>
        </is>
      </c>
      <c r="E62" s="24" t="inlineStr">
        <is>
          <t>SOCCER</t>
        </is>
      </c>
      <c r="F62" s="24" t="inlineStr">
        <is>
          <t>Barcelona SC</t>
        </is>
      </c>
      <c r="G62" s="24" t="inlineStr">
        <is>
          <t>Leones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163</v>
      </c>
      <c r="M62" s="27" t="n">
        <v>2.63</v>
      </c>
      <c r="N62" s="28" t="n">
        <v>0.380228</v>
      </c>
      <c r="O62" s="28" t="n">
        <v>0.406677</v>
      </c>
      <c r="P62" s="28" t="n">
        <v>0.19</v>
      </c>
      <c r="Q62" s="28" t="n">
        <v>0.026449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Poisson-DC rates 1.38 (home) / 1.56 (away) from EWMA attack/defense strengths. Executable ask 0.3800 (atc-ecu1-leo-bsc-2026-08-02-bsc).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Barcelona SC</t>
        </is>
      </c>
      <c r="AQ62" s="24" t="inlineStr">
        <is>
          <t>Barcelona SC</t>
        </is>
      </c>
      <c r="AR62" s="24" t="inlineStr">
        <is>
          <t>Barcelona SC</t>
        </is>
      </c>
      <c r="AS62" s="24" t="inlineStr">
        <is>
          <t>Leones</t>
        </is>
      </c>
      <c r="AT62" s="24" t="inlineStr">
        <is>
          <t>Leones</t>
        </is>
      </c>
      <c r="AU62" s="24" t="inlineStr">
        <is>
          <t>Leones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2026-08-01T21:19:30.884357Z</t>
        </is>
      </c>
      <c r="BI62" s="24" t="inlineStr">
        <is>
          <t>["same_event","same_team_same_day","same_league_same_day"]</t>
        </is>
      </c>
      <c r="BJ62" s="25" t="n"/>
      <c r="BK62" s="26" t="n">
        <v>163</v>
      </c>
      <c r="BL62" s="27" t="n">
        <v>2.63</v>
      </c>
      <c r="BM62" s="28" t="n">
        <v>0.380228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d1bd56f6a3e54db6</t>
        </is>
      </c>
      <c r="B63" s="24" t="inlineStr">
        <is>
          <t>2026-08-01T21:22:40.310073Z</t>
        </is>
      </c>
      <c r="C63" s="24" t="inlineStr">
        <is>
          <t>2026-08-02T12:30Z</t>
        </is>
      </c>
      <c r="D63" s="24" t="inlineStr">
        <is>
          <t>401886552</t>
        </is>
      </c>
      <c r="E63" s="24" t="inlineStr">
        <is>
          <t>SOCCER</t>
        </is>
      </c>
      <c r="F63" s="24" t="inlineStr">
        <is>
          <t>Ajax Amsterdam</t>
        </is>
      </c>
      <c r="G63" s="24" t="inlineStr">
        <is>
          <t>FC Volendam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-2400</v>
      </c>
      <c r="M63" s="27" t="n">
        <v>1.041667</v>
      </c>
      <c r="N63" s="28" t="n">
        <v>0.96</v>
      </c>
      <c r="O63" s="28" t="n">
        <v>0.515227</v>
      </c>
      <c r="P63" s="28" t="n">
        <v>0.04</v>
      </c>
      <c r="Q63" s="28" t="n">
        <v>-0.444773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Poisson-DC rates 0.88 (home) / 1.54 (away) from EWMA attack/defense strengths. Executable ask 0.9600 (atc-clbf-fvco-aja-2026-08-02-aja).</t>
        </is>
      </c>
      <c r="AF63" s="31" t="inlineStr">
        <is>
          <t>Research-only soccer score model; draw-aware, but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Ajax Amsterdam</t>
        </is>
      </c>
      <c r="AQ63" s="24" t="inlineStr">
        <is>
          <t>Ajax Amsterdam</t>
        </is>
      </c>
      <c r="AR63" s="24" t="inlineStr">
        <is>
          <t>Ajax Amsterdam</t>
        </is>
      </c>
      <c r="AS63" s="24" t="inlineStr">
        <is>
          <t>FC Volendam</t>
        </is>
      </c>
      <c r="AT63" s="24" t="inlineStr">
        <is>
          <t>FC Volendam</t>
        </is>
      </c>
      <c r="AU63" s="24" t="inlineStr">
        <is>
          <t>FC Volendam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2026-08-01T21:19:32.406187Z</t>
        </is>
      </c>
      <c r="BI63" s="24" t="inlineStr">
        <is>
          <t>["same_event","same_team_same_day","same_league_same_day"]</t>
        </is>
      </c>
      <c r="BJ63" s="25" t="n"/>
      <c r="BK63" s="26" t="n">
        <v>-2400</v>
      </c>
      <c r="BL63" s="27" t="n">
        <v>1.041667</v>
      </c>
      <c r="BM63" s="28" t="n">
        <v>0.96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f919805677d44165</t>
        </is>
      </c>
      <c r="B64" s="24" t="inlineStr">
        <is>
          <t>2026-08-01T21:22:40.310073Z</t>
        </is>
      </c>
      <c r="C64" s="24" t="inlineStr">
        <is>
          <t>2026-08-02T13:00Z</t>
        </is>
      </c>
      <c r="D64" s="24" t="inlineStr">
        <is>
          <t>401886551</t>
        </is>
      </c>
      <c r="E64" s="24" t="inlineStr">
        <is>
          <t>SOCCER</t>
        </is>
      </c>
      <c r="F64" s="24" t="inlineStr">
        <is>
          <t>Atalanta</t>
        </is>
      </c>
      <c r="G64" s="24" t="inlineStr">
        <is>
          <t>Feyenoord Rotterdam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-2400</v>
      </c>
      <c r="M64" s="27" t="n">
        <v>1.041667</v>
      </c>
      <c r="N64" s="28" t="n">
        <v>0.96</v>
      </c>
      <c r="O64" s="28" t="n">
        <v>0.575359</v>
      </c>
      <c r="P64" s="28" t="n">
        <v>0.04</v>
      </c>
      <c r="Q64" s="28" t="n">
        <v>-0.384641</v>
      </c>
      <c r="R64" s="26" t="n">
        <v>0</v>
      </c>
      <c r="S64" s="29" t="n">
        <v>1.25</v>
      </c>
      <c r="T64" s="24" t="inlineStr">
        <is>
          <t>soccer-poisson-dc-v1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Poisson-DC rates 1.92 (home) / 1.01 (away) from EWMA attack/defense strengths. Executable ask 0.9600 (atc-clbf-fey-ata-2026-08-02-fey).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Atalanta</t>
        </is>
      </c>
      <c r="AQ64" s="24" t="inlineStr">
        <is>
          <t>Atalanta</t>
        </is>
      </c>
      <c r="AR64" s="24" t="inlineStr">
        <is>
          <t>Atalanta</t>
        </is>
      </c>
      <c r="AS64" s="24" t="inlineStr">
        <is>
          <t>Feyenoord Rotterdam</t>
        </is>
      </c>
      <c r="AT64" s="24" t="inlineStr">
        <is>
          <t>Feyenoord Rotterdam</t>
        </is>
      </c>
      <c r="AU64" s="24" t="inlineStr">
        <is>
          <t>Feyenoord Rotterdam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2026-08-01T21:19:32.414175Z</t>
        </is>
      </c>
      <c r="BI64" s="24" t="inlineStr">
        <is>
          <t>["same_event","same_team_same_day","same_league_same_day"]</t>
        </is>
      </c>
      <c r="BJ64" s="25" t="n"/>
      <c r="BK64" s="26" t="n">
        <v>-2400</v>
      </c>
      <c r="BL64" s="27" t="n">
        <v>1.041667</v>
      </c>
      <c r="BM64" s="28" t="n">
        <v>0.96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71a86745283e4e37</t>
        </is>
      </c>
      <c r="B65" s="24" t="inlineStr">
        <is>
          <t>2026-08-01T21:22:40.310073Z</t>
        </is>
      </c>
      <c r="C65" s="24" t="inlineStr">
        <is>
          <t>2026-08-02T14:30Z</t>
        </is>
      </c>
      <c r="D65" s="24" t="inlineStr">
        <is>
          <t>401898711</t>
        </is>
      </c>
      <c r="E65" s="24" t="inlineStr">
        <is>
          <t>SOCCER</t>
        </is>
      </c>
      <c r="F65" s="24" t="inlineStr">
        <is>
          <t>Udinese</t>
        </is>
      </c>
      <c r="G65" s="24" t="inlineStr">
        <is>
          <t>Trabzonspor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-2400</v>
      </c>
      <c r="M65" s="27" t="n">
        <v>1.041667</v>
      </c>
      <c r="N65" s="28" t="n">
        <v>0.96</v>
      </c>
      <c r="O65" s="28" t="n">
        <v>0.395816</v>
      </c>
      <c r="P65" s="28" t="n">
        <v>0.2</v>
      </c>
      <c r="Q65" s="28" t="n">
        <v>-0.564184</v>
      </c>
      <c r="R65" s="26" t="n">
        <v>0</v>
      </c>
      <c r="S65" s="29" t="n">
        <v>1</v>
      </c>
      <c r="T65" s="24" t="inlineStr">
        <is>
          <t>soccer-poisson-dc-v1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Poisson-DC rates 1.26 (home) / 1.06 (away) from EWMA attack/defense strengths. Executable ask 0.9600 (atc-clbf-tra-udi-2026-08-02-tra).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Udinese</t>
        </is>
      </c>
      <c r="AQ65" s="24" t="inlineStr">
        <is>
          <t>Udinese</t>
        </is>
      </c>
      <c r="AR65" s="24" t="inlineStr">
        <is>
          <t>Udinese</t>
        </is>
      </c>
      <c r="AS65" s="24" t="inlineStr">
        <is>
          <t>Trabzonspor</t>
        </is>
      </c>
      <c r="AT65" s="24" t="inlineStr">
        <is>
          <t>Trabzonspor</t>
        </is>
      </c>
      <c r="AU65" s="24" t="inlineStr">
        <is>
          <t>Trabzonspor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2026-08-01T21:19:32.918025Z</t>
        </is>
      </c>
      <c r="BI65" s="24" t="inlineStr">
        <is>
          <t>["same_event","same_team_same_day","same_league_same_day"]</t>
        </is>
      </c>
      <c r="BJ65" s="25" t="n"/>
      <c r="BK65" s="26" t="n">
        <v>-2400</v>
      </c>
      <c r="BL65" s="27" t="n">
        <v>1.041667</v>
      </c>
      <c r="BM65" s="28" t="n">
        <v>0.96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09af9e6bd1ef4002</t>
        </is>
      </c>
      <c r="B66" s="24" t="inlineStr">
        <is>
          <t>2026-08-01T21:22:40.310073Z</t>
        </is>
      </c>
      <c r="C66" s="24" t="inlineStr">
        <is>
          <t>2026-08-02T16:00Z</t>
        </is>
      </c>
      <c r="D66" s="24" t="inlineStr">
        <is>
          <t>401897751</t>
        </is>
      </c>
      <c r="E66" s="24" t="inlineStr">
        <is>
          <t>SOCCER</t>
        </is>
      </c>
      <c r="F66" s="24" t="inlineStr">
        <is>
          <t>Wrexham</t>
        </is>
      </c>
      <c r="G66" s="24" t="inlineStr">
        <is>
          <t>Sunderland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113</v>
      </c>
      <c r="M66" s="27" t="n">
        <v>2.13</v>
      </c>
      <c r="N66" s="28" t="n">
        <v>0.469484</v>
      </c>
      <c r="O66" s="28" t="n">
        <v>0.395592</v>
      </c>
      <c r="P66" s="28" t="n">
        <v>0.04</v>
      </c>
      <c r="Q66" s="28" t="n">
        <v>-0.073892</v>
      </c>
      <c r="R66" s="26" t="n">
        <v>0</v>
      </c>
      <c r="S66" s="29" t="n">
        <v>1.5</v>
      </c>
      <c r="T66" s="24" t="inlineStr">
        <is>
          <t>soccer-poisson-dc-v1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Poisson-DC rates 1.40 (home) / 1.24 (away) from EWMA attack/defense strengths. Executable ask 0.4700 (atc-clbf-sun-wre-2026-08-02-sun).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Wrexham</t>
        </is>
      </c>
      <c r="AQ66" s="24" t="inlineStr">
        <is>
          <t>Wrexham</t>
        </is>
      </c>
      <c r="AR66" s="24" t="inlineStr">
        <is>
          <t>Wrexham</t>
        </is>
      </c>
      <c r="AS66" s="24" t="inlineStr">
        <is>
          <t>Sunderland</t>
        </is>
      </c>
      <c r="AT66" s="24" t="inlineStr">
        <is>
          <t>Sunderland</t>
        </is>
      </c>
      <c r="AU66" s="24" t="inlineStr">
        <is>
          <t>Sunderland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2026-08-01T21:19:32.887246Z</t>
        </is>
      </c>
      <c r="BI66" s="24" t="inlineStr">
        <is>
          <t>["same_event","same_team_same_day","same_league_same_day"]</t>
        </is>
      </c>
      <c r="BJ66" s="25" t="n"/>
      <c r="BK66" s="26" t="n">
        <v>113</v>
      </c>
      <c r="BL66" s="27" t="n">
        <v>2.13</v>
      </c>
      <c r="BM66" s="28" t="n">
        <v>0.469484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2e6cb5ecea964b03</t>
        </is>
      </c>
      <c r="B67" s="24" t="inlineStr">
        <is>
          <t>2026-08-01T21:22:40.310073Z</t>
        </is>
      </c>
      <c r="C67" s="24" t="inlineStr">
        <is>
          <t>2026-08-02T20:00Z</t>
        </is>
      </c>
      <c r="D67" s="24" t="inlineStr">
        <is>
          <t>401863533</t>
        </is>
      </c>
      <c r="E67" s="24" t="inlineStr">
        <is>
          <t>SOCCER</t>
        </is>
      </c>
      <c r="F67" s="24" t="inlineStr">
        <is>
          <t>Leeds United</t>
        </is>
      </c>
      <c r="G67" s="24" t="inlineStr">
        <is>
          <t>Liverpool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-127</v>
      </c>
      <c r="M67" s="27" t="n">
        <v>1.787402</v>
      </c>
      <c r="N67" s="28" t="n">
        <v>0.5594710000000001</v>
      </c>
      <c r="O67" s="28" t="n">
        <v>0.482992</v>
      </c>
      <c r="P67" s="28" t="n">
        <v>0.04</v>
      </c>
      <c r="Q67" s="28" t="n">
        <v>-0.07647900000000001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Poisson-DC rates 1.69 (home) / 1.17 (away) from EWMA attack/defense strengths. Executable ask 0.5600 (atc-clbf-lfc-lee-2026-08-02-lfc).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Leeds United</t>
        </is>
      </c>
      <c r="AQ67" s="24" t="inlineStr">
        <is>
          <t>Leeds United</t>
        </is>
      </c>
      <c r="AR67" s="24" t="inlineStr">
        <is>
          <t>Leeds United</t>
        </is>
      </c>
      <c r="AS67" s="24" t="inlineStr">
        <is>
          <t>Liverpool</t>
        </is>
      </c>
      <c r="AT67" s="24" t="inlineStr">
        <is>
          <t>Liverpool</t>
        </is>
      </c>
      <c r="AU67" s="24" t="inlineStr">
        <is>
          <t>Liverpool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2026-08-01T21:19:33.390319Z</t>
        </is>
      </c>
      <c r="BI67" s="24" t="inlineStr">
        <is>
          <t>["same_event","same_team_same_day","same_league_same_day"]</t>
        </is>
      </c>
      <c r="BJ67" s="25" t="n"/>
      <c r="BK67" s="26" t="n">
        <v>-127</v>
      </c>
      <c r="BL67" s="27" t="n">
        <v>1.787402</v>
      </c>
      <c r="BM67" s="28" t="n">
        <v>0.5594710000000001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2026-08-01T21:40:58Z</dcterms:created>
  <dcterms:modified xsi:type="dcterms:W3CDTF">2026-08-01T21:40:58Z</dcterms:modified>
</cp:coreProperties>
</file>