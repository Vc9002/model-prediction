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8" headerRowCount="1">
  <autoFilter ref="A1:CS3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COUNTA('Picks'!$A$2:$A$38)</f>
        <v/>
      </c>
      <c r="C4" s="6">
        <f>COUNTIF('Picks'!$U$2:$U$38,"open")</f>
        <v/>
      </c>
      <c r="E4" s="6">
        <f>COUNTIF('Picks'!$U$2:$U$38,"settled")</f>
        <v/>
      </c>
      <c r="G4" s="6">
        <f>IF(COUNTIFS('Picks'!$U$2:$U$38,"settled",'Picks'!$V$2:$V$38,"win")+COUNTIFS('Picks'!$U$2:$U$38,"settled",'Picks'!$V$2:$V$38,"loss")&gt;=$L$2,"Ready","Insufficient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COUNTIF('Picks'!$BX$2:$BX$38,"&gt;0")</f>
        <v/>
      </c>
      <c r="C7" s="6">
        <f>COUNTIFS('Picks'!$BX$2:$BX$38,"&gt;0",'Picks'!$V$2:$V$38,"win")&amp;"-"&amp;COUNTIFS('Picks'!$BX$2:$BX$38,"&gt;0",'Picks'!$V$2:$V$38,"loss")</f>
        <v/>
      </c>
      <c r="E7" s="7">
        <f>IFERROR(COUNTIFS('Picks'!$BX$2:$BX$38,"&gt;0",'Picks'!$V$2:$V$38,"win")/(COUNTIFS('Picks'!$BX$2:$BX$38,"&gt;0",'Picks'!$V$2:$V$38,"win")+COUNTIFS('Picks'!$BX$2:$BX$38,"&gt;0",'Picks'!$V$2:$V$38,"loss")),0)</f>
        <v/>
      </c>
      <c r="G7" s="7">
        <f>IFERROR(SUM('Picks'!$BY$2:$BY$38)/SUM('Picks'!$BX$2:$BX$38),0)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SUM('Picks'!$BY$2:$BY$38)</f>
        <v/>
      </c>
      <c r="C10" s="9">
        <f>IFERROR(AVERAGEIF('Picks'!$AB$2:$AB$38,"&lt;&gt;",'Picks'!$AB$2:$AB$38),0)</f>
        <v/>
      </c>
      <c r="E10" s="6">
        <f>COUNTIFS('Picks'!$AM$2:$AM$38,"QUALIFIED_SHADOW_CALL",'Picks'!$U$2:$U$38,"settled")</f>
        <v/>
      </c>
      <c r="G10" s="8">
        <f>SUMIFS('Picks'!$AC$2:$AC$38,'Picks'!$AM$2:$AM$38,"QUALIFIED_SHADOW_CALL")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COUNTIFS('Picks'!$H$2:$H$38,$A14,'Picks'!$U$2:$U$38,"settled")</f>
        <v/>
      </c>
      <c r="C14" s="13">
        <f>COUNTIFS('Picks'!$H$2:$H$38,$A14,'Picks'!$U$2:$U$38,"settled",'Picks'!$V$2:$V$38,"win")</f>
        <v/>
      </c>
      <c r="D14" s="13">
        <f>COUNTIFS('Picks'!$H$2:$H$38,$A14,'Picks'!$U$2:$U$38,"settled",'Picks'!$V$2:$V$38,"loss")</f>
        <v/>
      </c>
      <c r="E14" s="14">
        <f>IFERROR(C14/(C14+D14),0)</f>
        <v/>
      </c>
      <c r="F14" s="15">
        <f>SUMIFS('Picks'!$BY$2:$BY$38,'Picks'!$H$2:$H$38,$A14)</f>
        <v/>
      </c>
      <c r="G14" s="16">
        <f>IFERROR(AVERAGEIFS('Picks'!$AB$2:$AB$38,'Picks'!$H$2:$H$38,$A14,'Picks'!$U$2:$U$38,"settled"),0)</f>
        <v/>
      </c>
    </row>
    <row r="15">
      <c r="A15" s="17" t="inlineStr">
        <is>
          <t>spread</t>
        </is>
      </c>
      <c r="B15" s="18">
        <f>COUNTIFS('Picks'!$H$2:$H$38,$A15,'Picks'!$U$2:$U$38,"settled")</f>
        <v/>
      </c>
      <c r="C15" s="18">
        <f>COUNTIFS('Picks'!$H$2:$H$38,$A15,'Picks'!$U$2:$U$38,"settled",'Picks'!$V$2:$V$38,"win")</f>
        <v/>
      </c>
      <c r="D15" s="18">
        <f>COUNTIFS('Picks'!$H$2:$H$38,$A15,'Picks'!$U$2:$U$38,"settled",'Picks'!$V$2:$V$38,"loss")</f>
        <v/>
      </c>
      <c r="E15" s="19">
        <f>IFERROR(C15/(C15+D15),0)</f>
        <v/>
      </c>
      <c r="F15" s="20">
        <f>SUMIFS('Picks'!$BY$2:$BY$38,'Picks'!$H$2:$H$38,$A15)</f>
        <v/>
      </c>
      <c r="G15" s="21">
        <f>IFERROR(AVERAGEIFS('Picks'!$AB$2:$AB$38,'Picks'!$H$2:$H$38,$A15,'Picks'!$U$2:$U$38,"settled"),0)</f>
        <v/>
      </c>
    </row>
    <row r="16">
      <c r="A16" s="12" t="inlineStr">
        <is>
          <t>total</t>
        </is>
      </c>
      <c r="B16" s="13">
        <f>COUNTIFS('Picks'!$H$2:$H$38,$A16,'Picks'!$U$2:$U$38,"settled")</f>
        <v/>
      </c>
      <c r="C16" s="13">
        <f>COUNTIFS('Picks'!$H$2:$H$38,$A16,'Picks'!$U$2:$U$38,"settled",'Picks'!$V$2:$V$38,"win")</f>
        <v/>
      </c>
      <c r="D16" s="13">
        <f>COUNTIFS('Picks'!$H$2:$H$38,$A16,'Picks'!$U$2:$U$38,"settled",'Picks'!$V$2:$V$38,"loss")</f>
        <v/>
      </c>
      <c r="E16" s="14">
        <f>IFERROR(C16/(C16+D16),0)</f>
        <v/>
      </c>
      <c r="F16" s="15">
        <f>SUMIFS('Picks'!$BY$2:$BY$38,'Picks'!$H$2:$H$38,$A16)</f>
        <v/>
      </c>
      <c r="G16" s="16">
        <f>IFERROR(AVERAGEIFS('Picks'!$AB$2:$AB$38,'Picks'!$H$2:$H$38,$A16,'Picks'!$U$2:$U$38,"settled"),0)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0.27</v>
      </c>
      <c r="AB11" s="28" t="n">
        <v>-0.00027</v>
      </c>
      <c r="AC11" s="30" t="n">
        <v>2.7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0.27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0.53</v>
      </c>
      <c r="AB15" s="28" t="n">
        <v>-0.000516</v>
      </c>
      <c r="AC15" s="30" t="n">
        <v>1.1062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ebdce4914c024acf</t>
        </is>
      </c>
      <c r="B20" s="24" t="inlineStr">
        <is>
          <t>2026-08-05T10:21:33.669433Z</t>
        </is>
      </c>
      <c r="C20" s="24" t="inlineStr">
        <is>
          <t>2026-08-05T10:30Z</t>
        </is>
      </c>
      <c r="D20" s="24" t="inlineStr">
        <is>
          <t>961-2026:182098</t>
        </is>
      </c>
      <c r="E20" s="24" t="inlineStr">
        <is>
          <t>TENNIS</t>
        </is>
      </c>
      <c r="F20" s="24" t="inlineStr">
        <is>
          <t>Mona Barthel</t>
        </is>
      </c>
      <c r="G20" s="24" t="inlineStr">
        <is>
          <t>Martyna Kubka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0.5849800000000001</v>
      </c>
      <c r="P20" s="28" t="n">
        <v>0.05</v>
      </c>
      <c r="Q20" s="28" t="n">
        <v>0.194355</v>
      </c>
      <c r="R20" s="26" t="n">
        <v>100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1.95</v>
      </c>
      <c r="AD20" s="24" t="inlineStr">
        <is>
          <t>2026-08-05T13:49:58.226429Z</t>
        </is>
      </c>
      <c r="AE20" s="31" t="inlineStr">
        <is>
          <t>Surface-blended Elo on Hard: Mona Barthel p=0.585 vs Martyna Kubka. Executable ask 0.3900 (aec-wta-markub-monbar-2026-08-05).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Mona Barthel</t>
        </is>
      </c>
      <c r="AQ20" s="24" t="inlineStr">
        <is>
          <t>Mona Barthel</t>
        </is>
      </c>
      <c r="AR20" s="24" t="inlineStr">
        <is>
          <t>Mona Barthel</t>
        </is>
      </c>
      <c r="AS20" s="24" t="inlineStr">
        <is>
          <t>Martyna Kubka</t>
        </is>
      </c>
      <c r="AT20" s="24" t="inlineStr">
        <is>
          <t>Martyna Kubka</t>
        </is>
      </c>
      <c r="AU20" s="24" t="inlineStr">
        <is>
          <t>Martyna Kubka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2026-08-05T10:19:06.246493Z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41f6571053964a9b</t>
        </is>
      </c>
      <c r="B21" s="24" t="inlineStr">
        <is>
          <t>2026-08-05T10:44:49.997481Z</t>
        </is>
      </c>
      <c r="C21" s="24" t="inlineStr">
        <is>
          <t>2026-08-05T12:00Z</t>
        </is>
      </c>
      <c r="D21" s="24" t="inlineStr">
        <is>
          <t>961-2026:182097</t>
        </is>
      </c>
      <c r="E21" s="24" t="inlineStr">
        <is>
          <t>TENNIS</t>
        </is>
      </c>
      <c r="F21" s="24" t="inlineStr">
        <is>
          <t>Veronika Podrez</t>
        </is>
      </c>
      <c r="G21" s="24" t="inlineStr">
        <is>
          <t>Susan Bandecchi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0.684504</v>
      </c>
      <c r="P21" s="28" t="n">
        <v>0.05</v>
      </c>
      <c r="Q21" s="28" t="n">
        <v>0.153988</v>
      </c>
      <c r="R21" s="26" t="n">
        <v>97</v>
      </c>
      <c r="S21" s="29" t="n">
        <v>2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-2</v>
      </c>
      <c r="AD21" s="24" t="inlineStr">
        <is>
          <t>2026-08-05T16:59:37.870671Z</t>
        </is>
      </c>
      <c r="AE21" s="31" t="inlineStr">
        <is>
          <t>Surface-blended Elo on Hard: Veronika Podrez p=0.685 vs Susan Bandecchi. Executable ask 0.5300 (aec-wta-susban-verpod-2026-08-05).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Veronika Podrez</t>
        </is>
      </c>
      <c r="AQ21" s="24" t="inlineStr">
        <is>
          <t>Veronika Podrez</t>
        </is>
      </c>
      <c r="AR21" s="24" t="inlineStr">
        <is>
          <t>Veronika Podrez</t>
        </is>
      </c>
      <c r="AS21" s="24" t="inlineStr">
        <is>
          <t>Susan Bandecchi</t>
        </is>
      </c>
      <c r="AT21" s="24" t="inlineStr">
        <is>
          <t>Susan Bandecchi</t>
        </is>
      </c>
      <c r="AU21" s="24" t="inlineStr">
        <is>
          <t>Susan Bandecchi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2026-08-05T10:42:35.161195Z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8d670cbce19e4458</t>
        </is>
      </c>
      <c r="B22" s="24" t="inlineStr">
        <is>
          <t>2026-08-05T13:54:48.712587Z</t>
        </is>
      </c>
      <c r="C22" s="24" t="inlineStr">
        <is>
          <t>2026-08-05T16:30Z</t>
        </is>
      </c>
      <c r="D22" s="24" t="inlineStr">
        <is>
          <t>421-2026:181752</t>
        </is>
      </c>
      <c r="E22" s="24" t="inlineStr">
        <is>
          <t>TENNIS</t>
        </is>
      </c>
      <c r="F22" s="24" t="inlineStr">
        <is>
          <t>Arthur Rinderknech</t>
        </is>
      </c>
      <c r="G22" s="24" t="inlineStr">
        <is>
          <t>Miomir Kecmanovic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0.5960220000000001</v>
      </c>
      <c r="P22" s="28" t="n">
        <v>0.05</v>
      </c>
      <c r="Q22" s="28" t="n">
        <v>0.105826</v>
      </c>
      <c r="R22" s="26" t="n">
        <v>73</v>
      </c>
      <c r="S22" s="29" t="n">
        <v>1.25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1.3</v>
      </c>
      <c r="AD22" s="24" t="inlineStr">
        <is>
          <t>2026-08-05T20:57:58.514616Z</t>
        </is>
      </c>
      <c r="AE22" s="31" t="inlineStr">
        <is>
          <t>Surface-blended Elo on Hard: Arthur Rinderknech p=0.596 vs Miomir Kecmanovic. Executable ask 0.4900 (aec-atp-miokec-artrin-2026-08-05).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Arthur Rinderknech</t>
        </is>
      </c>
      <c r="AQ22" s="24" t="inlineStr">
        <is>
          <t>Arthur Rinderknech</t>
        </is>
      </c>
      <c r="AR22" s="24" t="inlineStr">
        <is>
          <t>Arthur Rinderknech</t>
        </is>
      </c>
      <c r="AS22" s="24" t="inlineStr">
        <is>
          <t>Miomir Kecmanovic</t>
        </is>
      </c>
      <c r="AT22" s="24" t="inlineStr">
        <is>
          <t>Miomir Kecmanovic</t>
        </is>
      </c>
      <c r="AU22" s="24" t="inlineStr">
        <is>
          <t>Miomir Kecmanovic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2026-08-05T13:52:54.747914Z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a8318311332241c5</t>
        </is>
      </c>
      <c r="B23" s="24" t="inlineStr">
        <is>
          <t>2026-08-05T13:54:48.712587Z</t>
        </is>
      </c>
      <c r="C23" s="24" t="inlineStr">
        <is>
          <t>2026-08-05T16:30Z</t>
        </is>
      </c>
      <c r="D23" s="24" t="inlineStr">
        <is>
          <t>421-2026:181765</t>
        </is>
      </c>
      <c r="E23" s="24" t="inlineStr">
        <is>
          <t>TENNIS</t>
        </is>
      </c>
      <c r="F23" s="24" t="inlineStr">
        <is>
          <t>Ben Shelton</t>
        </is>
      </c>
      <c r="G23" s="24" t="inlineStr">
        <is>
          <t>Jenson Brooksby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-300</v>
      </c>
      <c r="M23" s="27" t="n">
        <v>1.333333</v>
      </c>
      <c r="N23" s="28" t="n">
        <v>0.75</v>
      </c>
      <c r="O23" s="28" t="n">
        <v>0.814392</v>
      </c>
      <c r="P23" s="28" t="n">
        <v>0.05</v>
      </c>
      <c r="Q23" s="28" t="n">
        <v>0.064392</v>
      </c>
      <c r="R23" s="26" t="n">
        <v>52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-300</v>
      </c>
      <c r="AA23" s="28" t="n">
        <v>0.75</v>
      </c>
      <c r="AB23" s="28" t="n">
        <v>0</v>
      </c>
      <c r="AC23" s="30" t="n">
        <v>0.6667</v>
      </c>
      <c r="AD23" s="24" t="inlineStr">
        <is>
          <t>2026-08-05T20:57:58.775278Z</t>
        </is>
      </c>
      <c r="AE23" s="31" t="inlineStr">
        <is>
          <t>Surface-blended Elo on Hard: Ben Shelton p=0.814 vs Jenson Brooksby. Executable ask 0.7500 (aec-atp-jenbro-benshe-2026-08-06).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Ben Shelton</t>
        </is>
      </c>
      <c r="AQ23" s="24" t="inlineStr">
        <is>
          <t>Ben Shelton</t>
        </is>
      </c>
      <c r="AR23" s="24" t="inlineStr">
        <is>
          <t>Ben Shelton</t>
        </is>
      </c>
      <c r="AS23" s="24" t="inlineStr">
        <is>
          <t>Jenson Brooksby</t>
        </is>
      </c>
      <c r="AT23" s="24" t="inlineStr">
        <is>
          <t>Jenson Brooksby</t>
        </is>
      </c>
      <c r="AU23" s="24" t="inlineStr">
        <is>
          <t>Jenson Brooksby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2026-08-05T13:52:57.128543Z</t>
        </is>
      </c>
      <c r="BI23" s="24" t="inlineStr">
        <is>
          <t>["same_event","same_team_same_day","same_league_same_day"]</t>
        </is>
      </c>
      <c r="BJ23" s="25" t="n"/>
      <c r="BK23" s="26" t="n">
        <v>-300</v>
      </c>
      <c r="BL23" s="27" t="n">
        <v>1.333333</v>
      </c>
      <c r="BM23" s="28" t="n">
        <v>0.75</v>
      </c>
      <c r="BN23" s="28" t="n"/>
      <c r="BO23" s="28" t="n"/>
      <c r="BP23" s="25" t="n"/>
      <c r="BQ23" s="27" t="n">
        <v>1.333333</v>
      </c>
      <c r="BR23" s="28" t="n">
        <v>0.75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90629adc75584dc7</t>
        </is>
      </c>
      <c r="B24" s="24" t="inlineStr">
        <is>
          <t>2026-08-05T17:03:22.897552Z</t>
        </is>
      </c>
      <c r="C24" s="24" t="inlineStr">
        <is>
          <t>2026-08-05T18:00Z</t>
        </is>
      </c>
      <c r="D24" s="24" t="inlineStr">
        <is>
          <t>421-2026:182208</t>
        </is>
      </c>
      <c r="E24" s="24" t="inlineStr">
        <is>
          <t>TENNIS</t>
        </is>
      </c>
      <c r="F24" s="24" t="inlineStr">
        <is>
          <t>Emma Navarro</t>
        </is>
      </c>
      <c r="G24" s="24" t="inlineStr">
        <is>
          <t>Alina Korneeva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0.646211</v>
      </c>
      <c r="P24" s="28" t="n">
        <v>0.05</v>
      </c>
      <c r="Q24" s="28" t="n">
        <v>0.115695</v>
      </c>
      <c r="R24" s="26" t="n">
        <v>78</v>
      </c>
      <c r="S24" s="29" t="n">
        <v>1.75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-1.75</v>
      </c>
      <c r="AD24" s="24" t="inlineStr">
        <is>
          <t>2026-08-05T20:57:58.996785Z</t>
        </is>
      </c>
      <c r="AE24" s="31" t="inlineStr">
        <is>
          <t>Surface-blended Elo on Hard: Emma Navarro p=0.646 vs Alina Korneeva. Executable ask 0.5300 (aec-wta-alikor-emmnav-2026-08-04).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Emma Navarro</t>
        </is>
      </c>
      <c r="AQ24" s="24" t="inlineStr">
        <is>
          <t>Emma Navarro</t>
        </is>
      </c>
      <c r="AR24" s="24" t="inlineStr">
        <is>
          <t>Emma Navarro</t>
        </is>
      </c>
      <c r="AS24" s="24" t="inlineStr">
        <is>
          <t>Alina Korneeva</t>
        </is>
      </c>
      <c r="AT24" s="24" t="inlineStr">
        <is>
          <t>Alina Korneeva</t>
        </is>
      </c>
      <c r="AU24" s="24" t="inlineStr">
        <is>
          <t>Alina Korneeva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2026-08-05T17:01:59.688625Z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09599bf5cbe04156</t>
        </is>
      </c>
      <c r="B25" s="24" t="inlineStr">
        <is>
          <t>2026-08-05T17:03:22.897552Z</t>
        </is>
      </c>
      <c r="C25" s="24" t="inlineStr">
        <is>
          <t>2026-08-05T21:00Z</t>
        </is>
      </c>
      <c r="D25" s="24" t="inlineStr">
        <is>
          <t>421-2026:182214</t>
        </is>
      </c>
      <c r="E25" s="24" t="inlineStr">
        <is>
          <t>TENNIS</t>
        </is>
      </c>
      <c r="F25" s="24" t="inlineStr">
        <is>
          <t>Barbora Krejcikova</t>
        </is>
      </c>
      <c r="G25" s="24" t="inlineStr">
        <is>
          <t>Liudmila Samsonova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0.733479</v>
      </c>
      <c r="P25" s="28" t="n">
        <v>0.05</v>
      </c>
      <c r="Q25" s="28" t="n">
        <v>0.143315</v>
      </c>
      <c r="R25" s="26" t="n">
        <v>92</v>
      </c>
      <c r="S25" s="29" t="n">
        <v>2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-144</v>
      </c>
      <c r="AA25" s="28" t="n">
        <v>0.59</v>
      </c>
      <c r="AB25" s="28" t="n">
        <v>-0.000164</v>
      </c>
      <c r="AC25" s="30" t="n">
        <v>-2</v>
      </c>
      <c r="AD25" s="24" t="inlineStr">
        <is>
          <t>2026-08-06T00:20:17.500696Z</t>
        </is>
      </c>
      <c r="AE25" s="31" t="inlineStr">
        <is>
          <t>Surface-blended Elo on Hard: Barbora Krejcikova p=0.733 vs Liudmila Samsonova. Executable ask 0.5900 (aec-wta-liusam-barkre-2026-08-06).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Barbora Krejcikova</t>
        </is>
      </c>
      <c r="AQ25" s="24" t="inlineStr">
        <is>
          <t>Barbora Krejcikova</t>
        </is>
      </c>
      <c r="AR25" s="24" t="inlineStr">
        <is>
          <t>Barbora Krejcikova</t>
        </is>
      </c>
      <c r="AS25" s="24" t="inlineStr">
        <is>
          <t>Liudmila Samsonova</t>
        </is>
      </c>
      <c r="AT25" s="24" t="inlineStr">
        <is>
          <t>Liudmila Samsonova</t>
        </is>
      </c>
      <c r="AU25" s="24" t="inlineStr">
        <is>
          <t>Liudmila Samsonova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2026-08-05T17:02:04.621209Z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>
        <v>1.694444</v>
      </c>
      <c r="BR25" s="28" t="n">
        <v>0.59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4eafd76864b640e2</t>
        </is>
      </c>
      <c r="B26" s="24" t="inlineStr">
        <is>
          <t>2026-08-05T17:03:22.897552Z</t>
        </is>
      </c>
      <c r="C26" s="24" t="inlineStr">
        <is>
          <t>2026-08-05T18:00Z</t>
        </is>
      </c>
      <c r="D26" s="24" t="inlineStr">
        <is>
          <t>421-2026:181743</t>
        </is>
      </c>
      <c r="E26" s="24" t="inlineStr">
        <is>
          <t>TENNIS</t>
        </is>
      </c>
      <c r="F26" s="24" t="inlineStr">
        <is>
          <t>Alejandro Tabilo</t>
        </is>
      </c>
      <c r="G26" s="24" t="inlineStr">
        <is>
          <t>Hubert Hurkacz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0.584869</v>
      </c>
      <c r="P26" s="28" t="n">
        <v>0.05</v>
      </c>
      <c r="Q26" s="28" t="n">
        <v>0.164701</v>
      </c>
      <c r="R26" s="26" t="n">
        <v>100</v>
      </c>
      <c r="S26" s="29" t="n">
        <v>1.25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-1.25</v>
      </c>
      <c r="AD26" s="24" t="inlineStr">
        <is>
          <t>2026-08-05T20:57:59.221074Z</t>
        </is>
      </c>
      <c r="AE26" s="31" t="inlineStr">
        <is>
          <t>Surface-blended Elo on Hard: Alejandro Tabilo p=0.585 vs Hubert Hurkacz. Executable ask 0.4200 (aec-atp-hubhur-aletab-2026-08-06).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Alejandro Tabilo</t>
        </is>
      </c>
      <c r="AQ26" s="24" t="inlineStr">
        <is>
          <t>Alejandro Tabilo</t>
        </is>
      </c>
      <c r="AR26" s="24" t="inlineStr">
        <is>
          <t>Alejandro Tabilo</t>
        </is>
      </c>
      <c r="AS26" s="24" t="inlineStr">
        <is>
          <t>Hubert Hurkacz</t>
        </is>
      </c>
      <c r="AT26" s="24" t="inlineStr">
        <is>
          <t>Hubert Hurkacz</t>
        </is>
      </c>
      <c r="AU26" s="24" t="inlineStr">
        <is>
          <t>Hubert Hurkacz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2026-08-05T17:02:15.869129Z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a32e4b4ca87943a1</t>
        </is>
      </c>
      <c r="B27" s="24" t="inlineStr">
        <is>
          <t>2026-08-05T17:03:22.897552Z</t>
        </is>
      </c>
      <c r="C27" s="24" t="inlineStr">
        <is>
          <t>2026-08-05T19:30Z</t>
        </is>
      </c>
      <c r="D27" s="24" t="inlineStr">
        <is>
          <t>421-2026:181753</t>
        </is>
      </c>
      <c r="E27" s="24" t="inlineStr">
        <is>
          <t>TENNIS</t>
        </is>
      </c>
      <c r="F27" s="24" t="inlineStr">
        <is>
          <t>Francisco Cerundolo</t>
        </is>
      </c>
      <c r="G27" s="24" t="inlineStr">
        <is>
          <t>Alex Michelsen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0.657899</v>
      </c>
      <c r="P27" s="28" t="n">
        <v>0.05</v>
      </c>
      <c r="Q27" s="28" t="n">
        <v>0.248063</v>
      </c>
      <c r="R27" s="26" t="n">
        <v>100</v>
      </c>
      <c r="S27" s="29" t="n">
        <v>1.75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144</v>
      </c>
      <c r="AA27" s="28" t="n">
        <v>0.41</v>
      </c>
      <c r="AB27" s="28" t="n">
        <v>0.000164</v>
      </c>
      <c r="AC27" s="30" t="n">
        <v>-1.75</v>
      </c>
      <c r="AD27" s="24" t="inlineStr">
        <is>
          <t>2026-08-06T00:20:17.768639Z</t>
        </is>
      </c>
      <c r="AE27" s="31" t="inlineStr">
        <is>
          <t>Surface-blended Elo on Hard: Francisco Cerundolo p=0.658 vs Alex Michelsen. Executable ask 0.4100 (aec-atp-alemic-fracer-2026-08-06).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Francisco Cerundolo</t>
        </is>
      </c>
      <c r="AQ27" s="24" t="inlineStr">
        <is>
          <t>Francisco Cerundolo</t>
        </is>
      </c>
      <c r="AR27" s="24" t="inlineStr">
        <is>
          <t>Francisco Cerundolo</t>
        </is>
      </c>
      <c r="AS27" s="24" t="inlineStr">
        <is>
          <t>Alex Michelsen</t>
        </is>
      </c>
      <c r="AT27" s="24" t="inlineStr">
        <is>
          <t>Alex Michelsen</t>
        </is>
      </c>
      <c r="AU27" s="24" t="inlineStr">
        <is>
          <t>Alex Michelsen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2026-08-05T17:02:18.609359Z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>
        <v>2.44</v>
      </c>
      <c r="BR27" s="28" t="n">
        <v>0.41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cbce5a7195d54c42</t>
        </is>
      </c>
      <c r="B28" s="24" t="inlineStr">
        <is>
          <t>2026-08-06T18:58:42.068094Z</t>
        </is>
      </c>
      <c r="C28" s="24" t="inlineStr">
        <is>
          <t>2026-08-06T21:00Z</t>
        </is>
      </c>
      <c r="D28" s="24" t="inlineStr">
        <is>
          <t>421-2026:182193</t>
        </is>
      </c>
      <c r="E28" s="24" t="inlineStr">
        <is>
          <t>TENNIS</t>
        </is>
      </c>
      <c r="F28" s="24" t="inlineStr">
        <is>
          <t>Amanda Anisimova</t>
        </is>
      </c>
      <c r="G28" s="24" t="inlineStr">
        <is>
          <t>Nikola Bartunkova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0.7591</v>
      </c>
      <c r="P28" s="28" t="n">
        <v>0.05</v>
      </c>
      <c r="Q28" s="28" t="n">
        <v>0.099236</v>
      </c>
      <c r="R28" s="26" t="n">
        <v>70</v>
      </c>
      <c r="S28" s="29" t="n">
        <v>2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1.0309</v>
      </c>
      <c r="AD28" s="24" t="inlineStr">
        <is>
          <t>2026-08-07T09:06:22.233516Z</t>
        </is>
      </c>
      <c r="AE28" s="31" t="inlineStr">
        <is>
          <t>Surface-blended Elo on Hard: Amanda Anisimova p=0.759 vs Nikola Bartunkova. Executable ask 0.6600 (aec-wta-nikbar-amaani-2026-08-06).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Amanda Anisimova</t>
        </is>
      </c>
      <c r="AQ28" s="24" t="inlineStr">
        <is>
          <t>Amanda Anisimova</t>
        </is>
      </c>
      <c r="AR28" s="24" t="inlineStr">
        <is>
          <t>Amanda Anisimova</t>
        </is>
      </c>
      <c r="AS28" s="24" t="inlineStr">
        <is>
          <t>Nikola Bartunkova</t>
        </is>
      </c>
      <c r="AT28" s="24" t="inlineStr">
        <is>
          <t>Nikola Bartunkova</t>
        </is>
      </c>
      <c r="AU28" s="24" t="inlineStr">
        <is>
          <t>Nikola Bartunkova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2026-08-06T18:58:03.210799Z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854a414968094de3</t>
        </is>
      </c>
      <c r="B29" s="24" t="inlineStr">
        <is>
          <t>2026-08-06T18:58:42.068094Z</t>
        </is>
      </c>
      <c r="C29" s="24" t="inlineStr">
        <is>
          <t>2026-08-06T23:00Z</t>
        </is>
      </c>
      <c r="D29" s="24" t="inlineStr">
        <is>
          <t>421-2026:181763</t>
        </is>
      </c>
      <c r="E29" s="24" t="inlineStr">
        <is>
          <t>TENNIS</t>
        </is>
      </c>
      <c r="F29" s="24" t="inlineStr">
        <is>
          <t>Lorenzo Musetti</t>
        </is>
      </c>
      <c r="G29" s="24" t="inlineStr">
        <is>
          <t>Rafael Jodar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0.544019</v>
      </c>
      <c r="P29" s="28" t="n">
        <v>0.05</v>
      </c>
      <c r="Q29" s="28" t="n">
        <v>0.10349</v>
      </c>
      <c r="R29" s="26" t="n">
        <v>72</v>
      </c>
      <c r="S29" s="29" t="n">
        <v>1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127</v>
      </c>
      <c r="AA29" s="28" t="n">
        <v>0.44</v>
      </c>
      <c r="AB29" s="28" t="n">
        <v>-0.000529</v>
      </c>
      <c r="AC29" s="30" t="n">
        <v>-1</v>
      </c>
      <c r="AD29" s="24" t="inlineStr">
        <is>
          <t>2026-08-07T09:06:22.512232Z</t>
        </is>
      </c>
      <c r="AE29" s="31" t="inlineStr">
        <is>
          <t>Surface-blended Elo on Hard: Lorenzo Musetti p=0.544 vs Rafael Jodar. Executable ask 0.4400 (aec-atp-rafjod-lormus-2026-08-06).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Lorenzo Musetti</t>
        </is>
      </c>
      <c r="AQ29" s="24" t="inlineStr">
        <is>
          <t>Lorenzo Musetti</t>
        </is>
      </c>
      <c r="AR29" s="24" t="inlineStr">
        <is>
          <t>Lorenzo Musetti</t>
        </is>
      </c>
      <c r="AS29" s="24" t="inlineStr">
        <is>
          <t>Rafael Jodar</t>
        </is>
      </c>
      <c r="AT29" s="24" t="inlineStr">
        <is>
          <t>Rafael Jodar</t>
        </is>
      </c>
      <c r="AU29" s="24" t="inlineStr">
        <is>
          <t>Rafael Jodar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2026-08-06T18:58:10.033097Z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>
        <v>2.27</v>
      </c>
      <c r="BR29" s="28" t="n">
        <v>0.44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56254b0ff65c48f8</t>
        </is>
      </c>
      <c r="B30" s="24" t="inlineStr">
        <is>
          <t>2026-08-07T09:10:09.393141Z</t>
        </is>
      </c>
      <c r="C30" s="24" t="inlineStr">
        <is>
          <t>2026-08-07T10:00Z</t>
        </is>
      </c>
      <c r="D30" s="24" t="inlineStr">
        <is>
          <t>961-2026:182110</t>
        </is>
      </c>
      <c r="E30" s="24" t="inlineStr">
        <is>
          <t>TENNIS</t>
        </is>
      </c>
      <c r="F30" s="24" t="inlineStr">
        <is>
          <t>Gabriela Knutson</t>
        </is>
      </c>
      <c r="G30" s="24" t="inlineStr">
        <is>
          <t>Elizara Yaneva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0.551853</v>
      </c>
      <c r="P30" s="28" t="n">
        <v>0.05</v>
      </c>
      <c r="Q30" s="28" t="n">
        <v>0.131685</v>
      </c>
      <c r="R30" s="26" t="n">
        <v>86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138</v>
      </c>
      <c r="AA30" s="28" t="n">
        <v>0.42</v>
      </c>
      <c r="AB30" s="28" t="n">
        <v>-0.000168</v>
      </c>
      <c r="AC30" s="30" t="n">
        <v>1.38</v>
      </c>
      <c r="AD30" s="24" t="inlineStr">
        <is>
          <t>2026-08-07T12:12:32.744915Z</t>
        </is>
      </c>
      <c r="AE30" s="31" t="inlineStr">
        <is>
          <t>Surface-blended Elo on Hard: Gabriela Knutson p=0.552 vs Elizara Yaneva. Executable ask 0.4200 (aec-wta-eliyan-gabknu-2026-08-07).</t>
        </is>
      </c>
      <c r="AF30" s="31" t="inlineStr">
        <is>
          <t>Surface-blended Elo model; singles only, WTA+ATP market coverage, not yet locked-holdout qualified -- promoted by explicit operator directive, not genuine walk-forward validation.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Gabriela Knutson</t>
        </is>
      </c>
      <c r="AQ30" s="24" t="inlineStr">
        <is>
          <t>Gabriela Knutson</t>
        </is>
      </c>
      <c r="AR30" s="24" t="inlineStr">
        <is>
          <t>Gabriela Knutson</t>
        </is>
      </c>
      <c r="AS30" s="24" t="inlineStr">
        <is>
          <t>Elizara Yaneva</t>
        </is>
      </c>
      <c r="AT30" s="24" t="inlineStr">
        <is>
          <t>Elizara Yaneva</t>
        </is>
      </c>
      <c r="AU30" s="24" t="inlineStr">
        <is>
          <t>Elizara Yaneva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3ab056fefe04713e3c294da76c8adb2866b0dc46556ed32322a0426dd344a0e4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3ab056fefe04713e3c294da76c8adb2866b0dc46556ed32322a0426dd344a0e4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3ab056fefe04713e3c294da76c8adb2866b0dc46556ed32322a0426dd344a0e4</t>
        </is>
      </c>
      <c r="BH30" s="24" t="inlineStr">
        <is>
          <t>2026-08-07T09:08:50.003635Z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>
        <v>2.38</v>
      </c>
      <c r="BR30" s="28" t="n">
        <v>0.42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4ae706cb87284e44</t>
        </is>
      </c>
      <c r="B31" s="24" t="inlineStr">
        <is>
          <t>2026-08-07T21:56:48.826537Z</t>
        </is>
      </c>
      <c r="C31" s="24" t="inlineStr">
        <is>
          <t>2026-08-07T23:30Z</t>
        </is>
      </c>
      <c r="D31" s="24" t="inlineStr">
        <is>
          <t>421-2026:181766</t>
        </is>
      </c>
      <c r="E31" s="24" t="inlineStr">
        <is>
          <t>TENNIS</t>
        </is>
      </c>
      <c r="F31" s="24" t="inlineStr">
        <is>
          <t>Thiago Agustin Tirante</t>
        </is>
      </c>
      <c r="G31" s="24" t="inlineStr">
        <is>
          <t>Alexei Popyrin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122</v>
      </c>
      <c r="M31" s="27" t="n">
        <v>2.22</v>
      </c>
      <c r="N31" s="28" t="n">
        <v>0.45045</v>
      </c>
      <c r="O31" s="28" t="n">
        <v>0.592411</v>
      </c>
      <c r="P31" s="28" t="n">
        <v>0.05</v>
      </c>
      <c r="Q31" s="28" t="n">
        <v>0.141961</v>
      </c>
      <c r="R31" s="26" t="n">
        <v>91</v>
      </c>
      <c r="S31" s="29" t="n">
        <v>1.25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122</v>
      </c>
      <c r="AA31" s="28" t="n">
        <v>0.45</v>
      </c>
      <c r="AB31" s="28" t="n">
        <v>-0.00045</v>
      </c>
      <c r="AC31" s="30" t="n">
        <v>1.525</v>
      </c>
      <c r="AD31" s="24" t="inlineStr">
        <is>
          <t>2026-08-08T04:03:11.057660Z</t>
        </is>
      </c>
      <c r="AE31" s="31" t="inlineStr">
        <is>
          <t>Surface-blended Elo on Hard: Thiago Agustin Tirante p=0.592 vs Alexei Popyrin. Executable ask 0.4500 (aec-atp-alepop-thitir-2026-08-06).</t>
        </is>
      </c>
      <c r="AF31" s="31" t="inlineStr">
        <is>
          <t>Surface-blended Elo model; singles only, WTA+ATP market coverage, not yet locked-holdout qualified -- promoted by explicit operator directive, not genuine walk-forward validation.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Thiago Agustin Tirante</t>
        </is>
      </c>
      <c r="AQ31" s="24" t="inlineStr">
        <is>
          <t>Thiago Agustin Tirante</t>
        </is>
      </c>
      <c r="AR31" s="24" t="inlineStr">
        <is>
          <t>Thiago Agustin Tirante</t>
        </is>
      </c>
      <c r="AS31" s="24" t="inlineStr">
        <is>
          <t>Alexei Popyrin</t>
        </is>
      </c>
      <c r="AT31" s="24" t="inlineStr">
        <is>
          <t>Alexei Popyrin</t>
        </is>
      </c>
      <c r="AU31" s="24" t="inlineStr">
        <is>
          <t>Alexei Popyrin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3ab056fefe04713e3c294da76c8adb2866b0dc46556ed32322a0426dd344a0e4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3ab056fefe04713e3c294da76c8adb2866b0dc46556ed32322a0426dd344a0e4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3ab056fefe04713e3c294da76c8adb2866b0dc46556ed32322a0426dd344a0e4</t>
        </is>
      </c>
      <c r="BH31" s="24" t="inlineStr">
        <is>
          <t>2026-08-07T21:56:07.767044Z</t>
        </is>
      </c>
      <c r="BI31" s="24" t="inlineStr">
        <is>
          <t>["same_event","same_team_same_day","same_league_same_day"]</t>
        </is>
      </c>
      <c r="BJ31" s="25" t="n"/>
      <c r="BK31" s="26" t="n">
        <v>122</v>
      </c>
      <c r="BL31" s="27" t="n">
        <v>2.22</v>
      </c>
      <c r="BM31" s="28" t="n">
        <v>0.45045</v>
      </c>
      <c r="BN31" s="28" t="n"/>
      <c r="BO31" s="28" t="n"/>
      <c r="BP31" s="25" t="n"/>
      <c r="BQ31" s="27" t="n">
        <v>2.22</v>
      </c>
      <c r="BR31" s="28" t="n">
        <v>0.45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a364612e1095454b</t>
        </is>
      </c>
      <c r="B32" s="24" t="inlineStr">
        <is>
          <t>2026-08-09T14:00:10.713543Z</t>
        </is>
      </c>
      <c r="C32" s="24" t="inlineStr">
        <is>
          <t>2026-08-09T16:30Z</t>
        </is>
      </c>
      <c r="D32" s="24" t="inlineStr">
        <is>
          <t>421-2026:182177</t>
        </is>
      </c>
      <c r="E32" s="24" t="inlineStr">
        <is>
          <t>TENNIS</t>
        </is>
      </c>
      <c r="F32" s="24" t="inlineStr">
        <is>
          <t>Elena Rybakina</t>
        </is>
      </c>
      <c r="G32" s="24" t="inlineStr">
        <is>
          <t>Liudmila Samsonova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-300</v>
      </c>
      <c r="M32" s="27" t="n">
        <v>1.333333</v>
      </c>
      <c r="N32" s="28" t="n">
        <v>0.75</v>
      </c>
      <c r="O32" s="28" t="n">
        <v>0.9112749999999999</v>
      </c>
      <c r="P32" s="28" t="n">
        <v>0.05</v>
      </c>
      <c r="Q32" s="28" t="n">
        <v>0.161275</v>
      </c>
      <c r="R32" s="26" t="n">
        <v>100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-300</v>
      </c>
      <c r="AA32" s="28" t="n">
        <v>0.75</v>
      </c>
      <c r="AB32" s="28" t="n">
        <v>0</v>
      </c>
      <c r="AC32" s="30" t="n">
        <v>0.6667</v>
      </c>
      <c r="AD32" s="24" t="inlineStr">
        <is>
          <t>2026-08-09T20:24:26.522023Z</t>
        </is>
      </c>
      <c r="AE32" s="31" t="inlineStr">
        <is>
          <t>Surface-blended Elo on Hard: Elena Rybakina p=0.911 vs Liudmila Samsonova. Executable ask 0.7500 (aec-wta-liusam-eleryb-2026-08-09).</t>
        </is>
      </c>
      <c r="AF32" s="31" t="inlineStr">
        <is>
          <t>Surface-blended Elo model; singles only, WTA+ATP market coverage, not yet locked-holdout qualified -- promoted by explicit operator directive, not genuine walk-forward validation.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Elena Rybakina</t>
        </is>
      </c>
      <c r="AQ32" s="24" t="inlineStr">
        <is>
          <t>Elena Rybakina</t>
        </is>
      </c>
      <c r="AR32" s="24" t="inlineStr">
        <is>
          <t>Elena Rybakina</t>
        </is>
      </c>
      <c r="AS32" s="24" t="inlineStr">
        <is>
          <t>Liudmila Samsonova</t>
        </is>
      </c>
      <c r="AT32" s="24" t="inlineStr">
        <is>
          <t>Liudmila Samsonova</t>
        </is>
      </c>
      <c r="AU32" s="24" t="inlineStr">
        <is>
          <t>Liudmila Samsonova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3ab056fefe04713e3c294da76c8adb2866b0dc46556ed32322a0426dd344a0e4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3ab056fefe04713e3c294da76c8adb2866b0dc46556ed32322a0426dd344a0e4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3ab056fefe04713e3c294da76c8adb2866b0dc46556ed32322a0426dd344a0e4</t>
        </is>
      </c>
      <c r="BH32" s="24" t="inlineStr">
        <is>
          <t>2026-08-09T13:58:22.617706Z</t>
        </is>
      </c>
      <c r="BI32" s="24" t="inlineStr">
        <is>
          <t>["same_event","same_team_same_day","same_league_same_day"]</t>
        </is>
      </c>
      <c r="BJ32" s="25" t="n"/>
      <c r="BK32" s="26" t="n">
        <v>-300</v>
      </c>
      <c r="BL32" s="27" t="n">
        <v>1.333333</v>
      </c>
      <c r="BM32" s="28" t="n">
        <v>0.75</v>
      </c>
      <c r="BN32" s="28" t="n"/>
      <c r="BO32" s="28" t="n"/>
      <c r="BP32" s="25" t="n"/>
      <c r="BQ32" s="27" t="n">
        <v>1.333333</v>
      </c>
      <c r="BR32" s="28" t="n">
        <v>0.75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8e56cc99125a4404</t>
        </is>
      </c>
      <c r="B33" s="24" t="inlineStr">
        <is>
          <t>2026-08-09T14:00:10.713543Z</t>
        </is>
      </c>
      <c r="C33" s="24" t="inlineStr">
        <is>
          <t>2026-08-09T16:30Z</t>
        </is>
      </c>
      <c r="D33" s="24" t="inlineStr">
        <is>
          <t>421-2026:181739</t>
        </is>
      </c>
      <c r="E33" s="24" t="inlineStr">
        <is>
          <t>TENNIS</t>
        </is>
      </c>
      <c r="F33" s="24" t="inlineStr">
        <is>
          <t>Daniel Merida</t>
        </is>
      </c>
      <c r="G33" s="24" t="inlineStr">
        <is>
          <t>Tallon Griekspoor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0.5573360000000001</v>
      </c>
      <c r="P33" s="28" t="n">
        <v>0.05</v>
      </c>
      <c r="Q33" s="28" t="n">
        <v>0.096507</v>
      </c>
      <c r="R33" s="26" t="n">
        <v>68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117</v>
      </c>
      <c r="AA33" s="28" t="n">
        <v>0.46</v>
      </c>
      <c r="AB33" s="28" t="n">
        <v>-0.000829</v>
      </c>
      <c r="AC33" s="30" t="n">
        <v>1.17</v>
      </c>
      <c r="AD33" s="24" t="inlineStr">
        <is>
          <t>2026-08-09T20:24:26.781078Z</t>
        </is>
      </c>
      <c r="AE33" s="31" t="inlineStr">
        <is>
          <t>Surface-blended Elo on Hard: Daniel Merida p=0.557 vs Tallon Griekspoor. Executable ask 0.4600 (aec-atp-talgri-danagu-2026-08-08).</t>
        </is>
      </c>
      <c r="AF33" s="31" t="inlineStr">
        <is>
          <t>Surface-blended Elo model; singles only, WTA+ATP market coverage, not yet locked-holdout qualified -- promoted by explicit operator directive, not genuine walk-forward validation.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Daniel Merida</t>
        </is>
      </c>
      <c r="AQ33" s="24" t="inlineStr">
        <is>
          <t>Daniel Merida</t>
        </is>
      </c>
      <c r="AR33" s="24" t="inlineStr">
        <is>
          <t>Daniel Merida</t>
        </is>
      </c>
      <c r="AS33" s="24" t="inlineStr">
        <is>
          <t>Tallon Griekspoor</t>
        </is>
      </c>
      <c r="AT33" s="24" t="inlineStr">
        <is>
          <t>Tallon Griekspoor</t>
        </is>
      </c>
      <c r="AU33" s="24" t="inlineStr">
        <is>
          <t>Tallon Griekspoor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3ab056fefe04713e3c294da76c8adb2866b0dc46556ed32322a0426dd344a0e4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3ab056fefe04713e3c294da76c8adb2866b0dc46556ed32322a0426dd344a0e4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3ab056fefe04713e3c294da76c8adb2866b0dc46556ed32322a0426dd344a0e4</t>
        </is>
      </c>
      <c r="BH33" s="24" t="inlineStr">
        <is>
          <t>2026-08-09T13:58:24.994988Z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/>
      <c r="BO33" s="28" t="n"/>
      <c r="BP33" s="25" t="n"/>
      <c r="BQ33" s="27" t="n">
        <v>2.17</v>
      </c>
      <c r="BR33" s="28" t="n">
        <v>0.46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fe273b8f60d24457</t>
        </is>
      </c>
      <c r="B34" s="24" t="inlineStr">
        <is>
          <t>2026-08-09T17:06:49.007603Z</t>
        </is>
      </c>
      <c r="C34" s="24" t="inlineStr">
        <is>
          <t>2026-08-09T18:00Z</t>
        </is>
      </c>
      <c r="D34" s="24" t="inlineStr">
        <is>
          <t>421-2026:182197</t>
        </is>
      </c>
      <c r="E34" s="24" t="inlineStr">
        <is>
          <t>TENNIS</t>
        </is>
      </c>
      <c r="F34" s="24" t="inlineStr">
        <is>
          <t>Coco Gauff</t>
        </is>
      </c>
      <c r="G34" s="24" t="inlineStr">
        <is>
          <t>Alina Korneeva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-317</v>
      </c>
      <c r="M34" s="27" t="n">
        <v>1.315457</v>
      </c>
      <c r="N34" s="28" t="n">
        <v>0.760192</v>
      </c>
      <c r="O34" s="28" t="n">
        <v>0.846981</v>
      </c>
      <c r="P34" s="28" t="n">
        <v>0.05</v>
      </c>
      <c r="Q34" s="28" t="n">
        <v>0.08678900000000001</v>
      </c>
      <c r="R34" s="26" t="n">
        <v>63</v>
      </c>
      <c r="S34" s="29" t="n">
        <v>2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-317</v>
      </c>
      <c r="AA34" s="28" t="n">
        <v>0.76</v>
      </c>
      <c r="AB34" s="28" t="n">
        <v>-0.000192</v>
      </c>
      <c r="AC34" s="30" t="n">
        <v>0.6309</v>
      </c>
      <c r="AD34" s="24" t="inlineStr">
        <is>
          <t>2026-08-09T23:28:59.274460Z</t>
        </is>
      </c>
      <c r="AE34" s="31" t="inlineStr">
        <is>
          <t>Surface-blended Elo on Hard: Coco Gauff p=0.847 vs Alina Korneeva. Executable ask 0.7600 (aec-wta-alikor-cocgau-2026-08-09).</t>
        </is>
      </c>
      <c r="AF34" s="31" t="inlineStr">
        <is>
          <t>Surface-blended Elo model; singles only, WTA+ATP market coverage, not yet locked-holdout qualified -- promoted by explicit operator directive, not genuine walk-forward validation.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Coco Gauff</t>
        </is>
      </c>
      <c r="AQ34" s="24" t="inlineStr">
        <is>
          <t>Coco Gauff</t>
        </is>
      </c>
      <c r="AR34" s="24" t="inlineStr">
        <is>
          <t>Coco Gauff</t>
        </is>
      </c>
      <c r="AS34" s="24" t="inlineStr">
        <is>
          <t>Alina Korneeva</t>
        </is>
      </c>
      <c r="AT34" s="24" t="inlineStr">
        <is>
          <t>Alina Korneeva</t>
        </is>
      </c>
      <c r="AU34" s="24" t="inlineStr">
        <is>
          <t>Alina Korneeva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3ab056fefe04713e3c294da76c8adb2866b0dc46556ed32322a0426dd344a0e4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3ab056fefe04713e3c294da76c8adb2866b0dc46556ed32322a0426dd344a0e4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3ab056fefe04713e3c294da76c8adb2866b0dc46556ed32322a0426dd344a0e4</t>
        </is>
      </c>
      <c r="BH34" s="24" t="inlineStr">
        <is>
          <t>2026-08-09T17:05:49.061688Z</t>
        </is>
      </c>
      <c r="BI34" s="24" t="inlineStr">
        <is>
          <t>["same_event","same_team_same_day","same_league_same_day"]</t>
        </is>
      </c>
      <c r="BJ34" s="25" t="n"/>
      <c r="BK34" s="26" t="n">
        <v>-317</v>
      </c>
      <c r="BL34" s="27" t="n">
        <v>1.315457</v>
      </c>
      <c r="BM34" s="28" t="n">
        <v>0.760192</v>
      </c>
      <c r="BN34" s="28" t="n"/>
      <c r="BO34" s="28" t="n"/>
      <c r="BP34" s="25" t="n"/>
      <c r="BQ34" s="27" t="n">
        <v>1.315457</v>
      </c>
      <c r="BR34" s="28" t="n">
        <v>0.76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2e228163a3ae43db</t>
        </is>
      </c>
      <c r="B35" s="24" t="inlineStr">
        <is>
          <t>2026-08-09T20:27:13.230036Z</t>
        </is>
      </c>
      <c r="C35" s="24" t="inlineStr">
        <is>
          <t>2026-08-09T22:00Z</t>
        </is>
      </c>
      <c r="D35" s="24" t="inlineStr">
        <is>
          <t>421-2026:181772</t>
        </is>
      </c>
      <c r="E35" s="24" t="inlineStr">
        <is>
          <t>TENNIS</t>
        </is>
      </c>
      <c r="F35" s="24" t="inlineStr">
        <is>
          <t>Ben Shelton</t>
        </is>
      </c>
      <c r="G35" s="24" t="inlineStr">
        <is>
          <t>Joao Fonseca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-127</v>
      </c>
      <c r="M35" s="27" t="n">
        <v>1.787402</v>
      </c>
      <c r="N35" s="28" t="n">
        <v>0.5594710000000001</v>
      </c>
      <c r="O35" s="28" t="n">
        <v>0.620733</v>
      </c>
      <c r="P35" s="28" t="n">
        <v>0.05</v>
      </c>
      <c r="Q35" s="28" t="n">
        <v>0.061262</v>
      </c>
      <c r="R35" s="26" t="n">
        <v>51</v>
      </c>
      <c r="S35" s="29" t="n">
        <v>1.5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-127</v>
      </c>
      <c r="AA35" s="28" t="n">
        <v>0.5600000000000001</v>
      </c>
      <c r="AB35" s="28" t="n">
        <v>0.000529</v>
      </c>
      <c r="AC35" s="30" t="n">
        <v>1.1811</v>
      </c>
      <c r="AD35" s="24" t="inlineStr">
        <is>
          <t>2026-08-10T02:33:54.286304Z</t>
        </is>
      </c>
      <c r="AE35" s="31" t="inlineStr">
        <is>
          <t>Surface-blended Elo on Hard: Ben Shelton p=0.621 vs Joao Fonseca. Executable ask 0.5600 (aec-atp-joafon-benshe-2026-08-10).</t>
        </is>
      </c>
      <c r="AF35" s="31" t="inlineStr">
        <is>
          <t>Surface-blended Elo model; singles only, WTA+ATP market coverage, not yet locked-holdout qualified -- promoted by explicit operator directive, not genuine walk-forward validation.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Ben Shelton</t>
        </is>
      </c>
      <c r="AQ35" s="24" t="inlineStr">
        <is>
          <t>Ben Shelton</t>
        </is>
      </c>
      <c r="AR35" s="24" t="inlineStr">
        <is>
          <t>Ben Shelton</t>
        </is>
      </c>
      <c r="AS35" s="24" t="inlineStr">
        <is>
          <t>Joao Fonseca</t>
        </is>
      </c>
      <c r="AT35" s="24" t="inlineStr">
        <is>
          <t>Joao Fonseca</t>
        </is>
      </c>
      <c r="AU35" s="24" t="inlineStr">
        <is>
          <t>Joao Fonseca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3ab056fefe04713e3c294da76c8adb2866b0dc46556ed32322a0426dd344a0e4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3ab056fefe04713e3c294da76c8adb2866b0dc46556ed32322a0426dd344a0e4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3ab056fefe04713e3c294da76c8adb2866b0dc46556ed32322a0426dd344a0e4</t>
        </is>
      </c>
      <c r="BH35" s="24" t="inlineStr">
        <is>
          <t>2026-08-09T20:26:49.889205Z</t>
        </is>
      </c>
      <c r="BI35" s="24" t="inlineStr">
        <is>
          <t>["same_event","same_team_same_day","same_league_same_day"]</t>
        </is>
      </c>
      <c r="BJ35" s="25" t="n"/>
      <c r="BK35" s="26" t="n">
        <v>-127</v>
      </c>
      <c r="BL35" s="27" t="n">
        <v>1.787402</v>
      </c>
      <c r="BM35" s="28" t="n">
        <v>0.5594710000000001</v>
      </c>
      <c r="BN35" s="28" t="n"/>
      <c r="BO35" s="28" t="n"/>
      <c r="BP35" s="25" t="n"/>
      <c r="BQ35" s="27" t="n">
        <v>1.787402</v>
      </c>
      <c r="BR35" s="28" t="n">
        <v>0.5600000000000001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6725e3e0f7d2467e</t>
        </is>
      </c>
      <c r="B36" s="24" t="inlineStr">
        <is>
          <t>2026-08-09T23:32:17.957013Z</t>
        </is>
      </c>
      <c r="C36" s="24" t="inlineStr">
        <is>
          <t>2026-08-10T00:30Z</t>
        </is>
      </c>
      <c r="D36" s="24" t="inlineStr">
        <is>
          <t>421-2026:182189</t>
        </is>
      </c>
      <c r="E36" s="24" t="inlineStr">
        <is>
          <t>TENNIS</t>
        </is>
      </c>
      <c r="F36" s="24" t="inlineStr">
        <is>
          <t>Belinda Bencic</t>
        </is>
      </c>
      <c r="G36" s="24" t="inlineStr">
        <is>
          <t>Alexandra Eala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-117</v>
      </c>
      <c r="M36" s="27" t="n">
        <v>1.854701</v>
      </c>
      <c r="N36" s="28" t="n">
        <v>0.539171</v>
      </c>
      <c r="O36" s="28" t="n">
        <v>0.646782</v>
      </c>
      <c r="P36" s="28" t="n">
        <v>0.05</v>
      </c>
      <c r="Q36" s="28" t="n">
        <v>0.107611</v>
      </c>
      <c r="R36" s="26" t="n">
        <v>74</v>
      </c>
      <c r="S36" s="29" t="n">
        <v>1.75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-117</v>
      </c>
      <c r="AA36" s="28" t="n">
        <v>0.54</v>
      </c>
      <c r="AB36" s="28" t="n">
        <v>0.000829</v>
      </c>
      <c r="AC36" s="30" t="n">
        <v>1.4957</v>
      </c>
      <c r="AD36" s="24" t="inlineStr">
        <is>
          <t>2026-08-10T02:33:54.881626Z</t>
        </is>
      </c>
      <c r="AE36" s="31" t="inlineStr">
        <is>
          <t>Surface-blended Elo on Hard: Belinda Bencic p=0.647 vs Alexandra Eala. Executable ask 0.5400 (aec-wta-aleeal-belben-2026-08-09).</t>
        </is>
      </c>
      <c r="AF36" s="31" t="inlineStr">
        <is>
          <t>Surface-blended Elo model; singles only, WTA+ATP market coverage, not yet locked-holdout qualified -- promoted by explicit operator directive, not genuine walk-forward validation.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Belinda Bencic</t>
        </is>
      </c>
      <c r="AQ36" s="24" t="inlineStr">
        <is>
          <t>Belinda Bencic</t>
        </is>
      </c>
      <c r="AR36" s="24" t="inlineStr">
        <is>
          <t>Belinda Bencic</t>
        </is>
      </c>
      <c r="AS36" s="24" t="inlineStr">
        <is>
          <t>Alexandra Eala</t>
        </is>
      </c>
      <c r="AT36" s="24" t="inlineStr">
        <is>
          <t>Alexandra Eala</t>
        </is>
      </c>
      <c r="AU36" s="24" t="inlineStr">
        <is>
          <t>Alexandra Eala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3ab056fefe04713e3c294da76c8adb2866b0dc46556ed32322a0426dd344a0e4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3ab056fefe04713e3c294da76c8adb2866b0dc46556ed32322a0426dd344a0e4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3ab056fefe04713e3c294da76c8adb2866b0dc46556ed32322a0426dd344a0e4</t>
        </is>
      </c>
      <c r="BH36" s="24" t="inlineStr">
        <is>
          <t>2026-08-09T23:31:36.249636Z</t>
        </is>
      </c>
      <c r="BI36" s="24" t="inlineStr">
        <is>
          <t>["same_event","same_team_same_day","same_league_same_day"]</t>
        </is>
      </c>
      <c r="BJ36" s="25" t="n"/>
      <c r="BK36" s="26" t="n">
        <v>-117</v>
      </c>
      <c r="BL36" s="27" t="n">
        <v>1.854701</v>
      </c>
      <c r="BM36" s="28" t="n">
        <v>0.539171</v>
      </c>
      <c r="BN36" s="28" t="n"/>
      <c r="BO36" s="28" t="n"/>
      <c r="BP36" s="25" t="n"/>
      <c r="BQ36" s="27" t="n">
        <v>1.854701</v>
      </c>
      <c r="BR36" s="28" t="n">
        <v>0.54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190d2b81db0c41d2</t>
        </is>
      </c>
      <c r="B37" s="24" t="inlineStr">
        <is>
          <t>2026-08-10T16:35:12.075143Z</t>
        </is>
      </c>
      <c r="C37" s="24" t="inlineStr">
        <is>
          <t>2026-08-11T00:30Z</t>
        </is>
      </c>
      <c r="D37" s="24" t="inlineStr">
        <is>
          <t>421-2026:182217</t>
        </is>
      </c>
      <c r="E37" s="24" t="inlineStr">
        <is>
          <t>TENNIS</t>
        </is>
      </c>
      <c r="F37" s="24" t="inlineStr">
        <is>
          <t>Elina Svitolina</t>
        </is>
      </c>
      <c r="G37" s="24" t="inlineStr">
        <is>
          <t>Ekaterina Alexandrova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-245</v>
      </c>
      <c r="M37" s="27" t="n">
        <v>1.408163</v>
      </c>
      <c r="N37" s="28" t="n">
        <v>0.710145</v>
      </c>
      <c r="O37" s="28" t="n">
        <v>0.765165</v>
      </c>
      <c r="P37" s="28" t="n">
        <v>0.05</v>
      </c>
      <c r="Q37" s="28" t="n">
        <v>0.05502</v>
      </c>
      <c r="R37" s="26" t="n">
        <v>48</v>
      </c>
      <c r="S37" s="29" t="n">
        <v>2</v>
      </c>
      <c r="T37" s="24" t="inlineStr">
        <is>
          <t>tennis-surface-elo-v1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Surface-blended Elo on Hard: Elina Svitolina p=0.765 vs Ekaterina Alexandrova. Executable ask 0.7100 (aec-wta-ekaale-elisvi-2026-08-11).</t>
        </is>
      </c>
      <c r="AF37" s="31" t="inlineStr">
        <is>
          <t>Surface-blended Elo model; singles only, WTA+ATP market coverage, not yet locked-holdout qualified -- promoted by explicit operator directive, not genuine walk-forward validation.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Elina Svitolina</t>
        </is>
      </c>
      <c r="AQ37" s="24" t="inlineStr">
        <is>
          <t>Elina Svitolina</t>
        </is>
      </c>
      <c r="AR37" s="24" t="inlineStr">
        <is>
          <t>Elina Svitolina</t>
        </is>
      </c>
      <c r="AS37" s="24" t="inlineStr">
        <is>
          <t>Ekaterina Alexandrova</t>
        </is>
      </c>
      <c r="AT37" s="24" t="inlineStr">
        <is>
          <t>Ekaterina Alexandrova</t>
        </is>
      </c>
      <c r="AU37" s="24" t="inlineStr">
        <is>
          <t>Ekaterina Alexandrova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3ab056fefe04713e3c294da76c8adb2866b0dc46556ed32322a0426dd344a0e4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3ab056fefe04713e3c294da76c8adb2866b0dc46556ed32322a0426dd344a0e4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3ab056fefe04713e3c294da76c8adb2866b0dc46556ed32322a0426dd344a0e4</t>
        </is>
      </c>
      <c r="BH37" s="24" t="inlineStr">
        <is>
          <t>2026-08-10T16:34:18.936432Z</t>
        </is>
      </c>
      <c r="BI37" s="24" t="inlineStr">
        <is>
          <t>["same_event","same_team_same_day","same_league_same_day"]</t>
        </is>
      </c>
      <c r="BJ37" s="25" t="n"/>
      <c r="BK37" s="26" t="n">
        <v>-245</v>
      </c>
      <c r="BL37" s="27" t="n">
        <v>1.408163</v>
      </c>
      <c r="BM37" s="28" t="n">
        <v>0.710145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bcfef55f34a1481a</t>
        </is>
      </c>
      <c r="B38" s="24" t="inlineStr">
        <is>
          <t>2026-08-10T16:35:12.075143Z</t>
        </is>
      </c>
      <c r="C38" s="24" t="inlineStr">
        <is>
          <t>2026-08-10T22:00Z</t>
        </is>
      </c>
      <c r="D38" s="24" t="inlineStr">
        <is>
          <t>421-2026:181722</t>
        </is>
      </c>
      <c r="E38" s="24" t="inlineStr">
        <is>
          <t>TENNIS</t>
        </is>
      </c>
      <c r="F38" s="24" t="inlineStr">
        <is>
          <t>Arthur Fils</t>
        </is>
      </c>
      <c r="G38" s="24" t="inlineStr">
        <is>
          <t>Rafael Jodar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117</v>
      </c>
      <c r="M38" s="27" t="n">
        <v>2.17</v>
      </c>
      <c r="N38" s="28" t="n">
        <v>0.460829</v>
      </c>
      <c r="O38" s="28" t="n">
        <v>0.609065</v>
      </c>
      <c r="P38" s="28" t="n">
        <v>0.05</v>
      </c>
      <c r="Q38" s="28" t="n">
        <v>0.148236</v>
      </c>
      <c r="R38" s="26" t="n">
        <v>94</v>
      </c>
      <c r="S38" s="29" t="n">
        <v>1.5</v>
      </c>
      <c r="T38" s="24" t="inlineStr">
        <is>
          <t>tennis-surface-elo-v1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Surface-blended Elo on Hard: Arthur Fils p=0.609 vs Rafael Jodar. Executable ask 0.4600 (aec-atp-rafjod-artfil-2026-08-11).</t>
        </is>
      </c>
      <c r="AF38" s="31" t="inlineStr">
        <is>
          <t>Surface-blended Elo model; singles only, WTA+ATP market coverage, not yet locked-holdout qualified -- promoted by explicit operator directive, not genuine walk-forward validation.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Arthur Fils</t>
        </is>
      </c>
      <c r="AQ38" s="24" t="inlineStr">
        <is>
          <t>Arthur Fils</t>
        </is>
      </c>
      <c r="AR38" s="24" t="inlineStr">
        <is>
          <t>Arthur Fils</t>
        </is>
      </c>
      <c r="AS38" s="24" t="inlineStr">
        <is>
          <t>Rafael Jodar</t>
        </is>
      </c>
      <c r="AT38" s="24" t="inlineStr">
        <is>
          <t>Rafael Jodar</t>
        </is>
      </c>
      <c r="AU38" s="24" t="inlineStr">
        <is>
          <t>Rafael Jodar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3ab056fefe04713e3c294da76c8adb2866b0dc46556ed32322a0426dd344a0e4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3ab056fefe04713e3c294da76c8adb2866b0dc46556ed32322a0426dd344a0e4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3ab056fefe04713e3c294da76c8adb2866b0dc46556ed32322a0426dd344a0e4</t>
        </is>
      </c>
      <c r="BH38" s="24" t="inlineStr">
        <is>
          <t>2026-08-10T16:34:20.296833Z</t>
        </is>
      </c>
      <c r="BI38" s="24" t="inlineStr">
        <is>
          <t>["same_event","same_team_same_day","same_league_same_day"]</t>
        </is>
      </c>
      <c r="BJ38" s="25" t="n"/>
      <c r="BK38" s="26" t="n">
        <v>117</v>
      </c>
      <c r="BL38" s="27" t="n">
        <v>2.17</v>
      </c>
      <c r="BM38" s="28" t="n">
        <v>0.460829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2026-08-10T16:35:16Z</dcterms:created>
  <dcterms:modified xmlns:dcterms="http://purl.org/dc/terms/" xmlns:xsi="http://www.w3.org/2001/XMLSchema-instance" xsi:type="dcterms:W3CDTF">2026-08-10T16:35:16Z</dcterms:modified>
</cp:coreProperties>
</file>