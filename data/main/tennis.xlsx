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1" headerRowCount="1">
  <autoFilter ref="A1:CS3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COUNTA('Picks'!$A$2:$A$31)</f>
        <v/>
      </c>
      <c r="C4" s="6">
        <f>COUNTIF('Picks'!$U$2:$U$31,"open")</f>
        <v/>
      </c>
      <c r="E4" s="6">
        <f>COUNTIF('Picks'!$U$2:$U$31,"settled")</f>
        <v/>
      </c>
      <c r="G4" s="6">
        <f>IF(COUNTIFS('Picks'!$U$2:$U$31,"settled",'Picks'!$V$2:$V$31,"win")+COUNTIFS('Picks'!$U$2:$U$31,"settled",'Picks'!$V$2:$V$31,"loss")&gt;=$L$2,"Ready","Insufficient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COUNTIF('Picks'!$BX$2:$BX$31,"&gt;0")</f>
        <v/>
      </c>
      <c r="C7" s="6">
        <f>COUNTIFS('Picks'!$BX$2:$BX$31,"&gt;0",'Picks'!$V$2:$V$31,"win")&amp;"-"&amp;COUNTIFS('Picks'!$BX$2:$BX$31,"&gt;0",'Picks'!$V$2:$V$31,"loss")</f>
        <v/>
      </c>
      <c r="E7" s="7">
        <f>IFERROR(COUNTIFS('Picks'!$BX$2:$BX$31,"&gt;0",'Picks'!$V$2:$V$31,"win")/(COUNTIFS('Picks'!$BX$2:$BX$31,"&gt;0",'Picks'!$V$2:$V$31,"win")+COUNTIFS('Picks'!$BX$2:$BX$31,"&gt;0",'Picks'!$V$2:$V$31,"loss")),0)</f>
        <v/>
      </c>
      <c r="G7" s="7">
        <f>IFERROR(SUM('Picks'!$BY$2:$BY$31)/SUM('Picks'!$BX$2:$BX$31),0)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SUM('Picks'!$BY$2:$BY$31)</f>
        <v/>
      </c>
      <c r="C10" s="9">
        <f>IFERROR(AVERAGEIF('Picks'!$AB$2:$AB$31,"&lt;&gt;",'Picks'!$AB$2:$AB$31),0)</f>
        <v/>
      </c>
      <c r="E10" s="6">
        <f>COUNTIFS('Picks'!$AM$2:$AM$31,"QUALIFIED_SHADOW_CALL",'Picks'!$U$2:$U$31,"settled")</f>
        <v/>
      </c>
      <c r="G10" s="8">
        <f>SUMIFS('Picks'!$AC$2:$AC$31,'Picks'!$AM$2:$AM$31,"QUALIFIED_SHADOW_CALL")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COUNTIFS('Picks'!$H$2:$H$31,$A14,'Picks'!$U$2:$U$31,"settled")</f>
        <v/>
      </c>
      <c r="C14" s="13">
        <f>COUNTIFS('Picks'!$H$2:$H$31,$A14,'Picks'!$U$2:$U$31,"settled",'Picks'!$V$2:$V$31,"win")</f>
        <v/>
      </c>
      <c r="D14" s="13">
        <f>COUNTIFS('Picks'!$H$2:$H$31,$A14,'Picks'!$U$2:$U$31,"settled",'Picks'!$V$2:$V$31,"loss")</f>
        <v/>
      </c>
      <c r="E14" s="14">
        <f>IFERROR(C14/(C14+D14),0)</f>
        <v/>
      </c>
      <c r="F14" s="15">
        <f>SUMIFS('Picks'!$BY$2:$BY$31,'Picks'!$H$2:$H$31,$A14)</f>
        <v/>
      </c>
      <c r="G14" s="16">
        <f>IFERROR(AVERAGEIFS('Picks'!$AB$2:$AB$31,'Picks'!$H$2:$H$31,$A14,'Picks'!$U$2:$U$31,"settled"),0)</f>
        <v/>
      </c>
    </row>
    <row r="15">
      <c r="A15" s="17" t="inlineStr">
        <is>
          <t>spread</t>
        </is>
      </c>
      <c r="B15" s="18">
        <f>COUNTIFS('Picks'!$H$2:$H$31,$A15,'Picks'!$U$2:$U$31,"settled")</f>
        <v/>
      </c>
      <c r="C15" s="18">
        <f>COUNTIFS('Picks'!$H$2:$H$31,$A15,'Picks'!$U$2:$U$31,"settled",'Picks'!$V$2:$V$31,"win")</f>
        <v/>
      </c>
      <c r="D15" s="18">
        <f>COUNTIFS('Picks'!$H$2:$H$31,$A15,'Picks'!$U$2:$U$31,"settled",'Picks'!$V$2:$V$31,"loss")</f>
        <v/>
      </c>
      <c r="E15" s="19">
        <f>IFERROR(C15/(C15+D15),0)</f>
        <v/>
      </c>
      <c r="F15" s="20">
        <f>SUMIFS('Picks'!$BY$2:$BY$31,'Picks'!$H$2:$H$31,$A15)</f>
        <v/>
      </c>
      <c r="G15" s="21">
        <f>IFERROR(AVERAGEIFS('Picks'!$AB$2:$AB$31,'Picks'!$H$2:$H$31,$A15,'Picks'!$U$2:$U$31,"settled"),0)</f>
        <v/>
      </c>
    </row>
    <row r="16">
      <c r="A16" s="12" t="inlineStr">
        <is>
          <t>total</t>
        </is>
      </c>
      <c r="B16" s="13">
        <f>COUNTIFS('Picks'!$H$2:$H$31,$A16,'Picks'!$U$2:$U$31,"settled")</f>
        <v/>
      </c>
      <c r="C16" s="13">
        <f>COUNTIFS('Picks'!$H$2:$H$31,$A16,'Picks'!$U$2:$U$31,"settled",'Picks'!$V$2:$V$31,"win")</f>
        <v/>
      </c>
      <c r="D16" s="13">
        <f>COUNTIFS('Picks'!$H$2:$H$31,$A16,'Picks'!$U$2:$U$31,"settled",'Picks'!$V$2:$V$31,"loss")</f>
        <v/>
      </c>
      <c r="E16" s="14">
        <f>IFERROR(C16/(C16+D16),0)</f>
        <v/>
      </c>
      <c r="F16" s="15">
        <f>SUMIFS('Picks'!$BY$2:$BY$31,'Picks'!$H$2:$H$31,$A16)</f>
        <v/>
      </c>
      <c r="G16" s="16">
        <f>IFERROR(AVERAGEIFS('Picks'!$AB$2:$AB$31,'Picks'!$H$2:$H$31,$A16,'Picks'!$U$2:$U$31,"settled"),0)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0.27</v>
      </c>
      <c r="AB11" s="28" t="n">
        <v>-0.00027</v>
      </c>
      <c r="AC11" s="30" t="n">
        <v>2.7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0.27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0.53</v>
      </c>
      <c r="AB15" s="28" t="n">
        <v>-0.000516</v>
      </c>
      <c r="AC15" s="30" t="n">
        <v>1.1062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-2</v>
      </c>
      <c r="AD21" s="24" t="inlineStr">
        <is>
          <t>2026-08-05T16:59:37.870671Z</t>
        </is>
      </c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8d670cbce19e4458</t>
        </is>
      </c>
      <c r="B22" s="24" t="inlineStr">
        <is>
          <t>2026-08-05T13:54:48.712587Z</t>
        </is>
      </c>
      <c r="C22" s="24" t="inlineStr">
        <is>
          <t>2026-08-05T16:30Z</t>
        </is>
      </c>
      <c r="D22" s="24" t="inlineStr">
        <is>
          <t>421-2026:181752</t>
        </is>
      </c>
      <c r="E22" s="24" t="inlineStr">
        <is>
          <t>TENNIS</t>
        </is>
      </c>
      <c r="F22" s="24" t="inlineStr">
        <is>
          <t>Arthur Rinderknech</t>
        </is>
      </c>
      <c r="G22" s="24" t="inlineStr">
        <is>
          <t>Miomir Kecmanovic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0.5960220000000001</v>
      </c>
      <c r="P22" s="28" t="n">
        <v>0.05</v>
      </c>
      <c r="Q22" s="28" t="n">
        <v>0.105826</v>
      </c>
      <c r="R22" s="26" t="n">
        <v>73</v>
      </c>
      <c r="S22" s="29" t="n">
        <v>1.25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1.3</v>
      </c>
      <c r="AD22" s="24" t="inlineStr">
        <is>
          <t>2026-08-05T20:57:58.514616Z</t>
        </is>
      </c>
      <c r="AE22" s="31" t="inlineStr">
        <is>
          <t>Surface-blended Elo on Hard: Arthur Rinderknech p=0.596 vs Miomir Kecmanovic. Executable ask 0.4900 (aec-atp-miokec-artrin-2026-08-05).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Arthur Rinderknech</t>
        </is>
      </c>
      <c r="AQ22" s="24" t="inlineStr">
        <is>
          <t>Arthur Rinderknech</t>
        </is>
      </c>
      <c r="AR22" s="24" t="inlineStr">
        <is>
          <t>Arthur Rinderknech</t>
        </is>
      </c>
      <c r="AS22" s="24" t="inlineStr">
        <is>
          <t>Miomir Kecmanovic</t>
        </is>
      </c>
      <c r="AT22" s="24" t="inlineStr">
        <is>
          <t>Miomir Kecmanovic</t>
        </is>
      </c>
      <c r="AU22" s="24" t="inlineStr">
        <is>
          <t>Miomir Kecmanovic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2026-08-05T13:52:54.747914Z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a8318311332241c5</t>
        </is>
      </c>
      <c r="B23" s="24" t="inlineStr">
        <is>
          <t>2026-08-05T13:54:48.712587Z</t>
        </is>
      </c>
      <c r="C23" s="24" t="inlineStr">
        <is>
          <t>2026-08-05T16:30Z</t>
        </is>
      </c>
      <c r="D23" s="24" t="inlineStr">
        <is>
          <t>421-2026:181765</t>
        </is>
      </c>
      <c r="E23" s="24" t="inlineStr">
        <is>
          <t>TENNIS</t>
        </is>
      </c>
      <c r="F23" s="24" t="inlineStr">
        <is>
          <t>Ben Shelton</t>
        </is>
      </c>
      <c r="G23" s="24" t="inlineStr">
        <is>
          <t>Jenson Brooksby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-300</v>
      </c>
      <c r="M23" s="27" t="n">
        <v>1.333333</v>
      </c>
      <c r="N23" s="28" t="n">
        <v>0.75</v>
      </c>
      <c r="O23" s="28" t="n">
        <v>0.814392</v>
      </c>
      <c r="P23" s="28" t="n">
        <v>0.05</v>
      </c>
      <c r="Q23" s="28" t="n">
        <v>0.064392</v>
      </c>
      <c r="R23" s="26" t="n">
        <v>52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-300</v>
      </c>
      <c r="AA23" s="28" t="n">
        <v>0.75</v>
      </c>
      <c r="AB23" s="28" t="n">
        <v>0</v>
      </c>
      <c r="AC23" s="30" t="n">
        <v>0.6667</v>
      </c>
      <c r="AD23" s="24" t="inlineStr">
        <is>
          <t>2026-08-05T20:57:58.775278Z</t>
        </is>
      </c>
      <c r="AE23" s="31" t="inlineStr">
        <is>
          <t>Surface-blended Elo on Hard: Ben Shelton p=0.814 vs Jenson Brooksby. Executable ask 0.7500 (aec-atp-jenbro-benshe-2026-08-06).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Ben Shelton</t>
        </is>
      </c>
      <c r="AQ23" s="24" t="inlineStr">
        <is>
          <t>Ben Shelton</t>
        </is>
      </c>
      <c r="AR23" s="24" t="inlineStr">
        <is>
          <t>Ben Shelton</t>
        </is>
      </c>
      <c r="AS23" s="24" t="inlineStr">
        <is>
          <t>Jenson Brooksby</t>
        </is>
      </c>
      <c r="AT23" s="24" t="inlineStr">
        <is>
          <t>Jenson Brooksby</t>
        </is>
      </c>
      <c r="AU23" s="24" t="inlineStr">
        <is>
          <t>Jenson Brooksby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2026-08-05T13:52:57.128543Z</t>
        </is>
      </c>
      <c r="BI23" s="24" t="inlineStr">
        <is>
          <t>["same_event","same_team_same_day","same_league_same_day"]</t>
        </is>
      </c>
      <c r="BJ23" s="25" t="n"/>
      <c r="BK23" s="26" t="n">
        <v>-300</v>
      </c>
      <c r="BL23" s="27" t="n">
        <v>1.333333</v>
      </c>
      <c r="BM23" s="28" t="n">
        <v>0.75</v>
      </c>
      <c r="BN23" s="28" t="n"/>
      <c r="BO23" s="28" t="n"/>
      <c r="BP23" s="25" t="n"/>
      <c r="BQ23" s="27" t="n">
        <v>1.333333</v>
      </c>
      <c r="BR23" s="28" t="n">
        <v>0.75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90629adc75584dc7</t>
        </is>
      </c>
      <c r="B24" s="24" t="inlineStr">
        <is>
          <t>2026-08-05T17:03:22.897552Z</t>
        </is>
      </c>
      <c r="C24" s="24" t="inlineStr">
        <is>
          <t>2026-08-05T18:00Z</t>
        </is>
      </c>
      <c r="D24" s="24" t="inlineStr">
        <is>
          <t>421-2026:182208</t>
        </is>
      </c>
      <c r="E24" s="24" t="inlineStr">
        <is>
          <t>TENNIS</t>
        </is>
      </c>
      <c r="F24" s="24" t="inlineStr">
        <is>
          <t>Emma Navarro</t>
        </is>
      </c>
      <c r="G24" s="24" t="inlineStr">
        <is>
          <t>Alina Korneeva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0.646211</v>
      </c>
      <c r="P24" s="28" t="n">
        <v>0.05</v>
      </c>
      <c r="Q24" s="28" t="n">
        <v>0.115695</v>
      </c>
      <c r="R24" s="26" t="n">
        <v>78</v>
      </c>
      <c r="S24" s="29" t="n">
        <v>1.75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-1.75</v>
      </c>
      <c r="AD24" s="24" t="inlineStr">
        <is>
          <t>2026-08-05T20:57:58.996785Z</t>
        </is>
      </c>
      <c r="AE24" s="31" t="inlineStr">
        <is>
          <t>Surface-blended Elo on Hard: Emma Navarro p=0.646 vs Alina Korneeva. Executable ask 0.5300 (aec-wta-alikor-emmnav-2026-08-04).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Emma Navarro</t>
        </is>
      </c>
      <c r="AQ24" s="24" t="inlineStr">
        <is>
          <t>Emma Navarro</t>
        </is>
      </c>
      <c r="AR24" s="24" t="inlineStr">
        <is>
          <t>Emma Navarro</t>
        </is>
      </c>
      <c r="AS24" s="24" t="inlineStr">
        <is>
          <t>Alina Korneeva</t>
        </is>
      </c>
      <c r="AT24" s="24" t="inlineStr">
        <is>
          <t>Alina Korneeva</t>
        </is>
      </c>
      <c r="AU24" s="24" t="inlineStr">
        <is>
          <t>Alina Korneeva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2026-08-05T17:01:59.688625Z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09599bf5cbe04156</t>
        </is>
      </c>
      <c r="B25" s="24" t="inlineStr">
        <is>
          <t>2026-08-05T17:03:22.897552Z</t>
        </is>
      </c>
      <c r="C25" s="24" t="inlineStr">
        <is>
          <t>2026-08-05T21:00Z</t>
        </is>
      </c>
      <c r="D25" s="24" t="inlineStr">
        <is>
          <t>421-2026:182214</t>
        </is>
      </c>
      <c r="E25" s="24" t="inlineStr">
        <is>
          <t>TENNIS</t>
        </is>
      </c>
      <c r="F25" s="24" t="inlineStr">
        <is>
          <t>Barbora Krejcikova</t>
        </is>
      </c>
      <c r="G25" s="24" t="inlineStr">
        <is>
          <t>Liudmila Samsonova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0.733479</v>
      </c>
      <c r="P25" s="28" t="n">
        <v>0.05</v>
      </c>
      <c r="Q25" s="28" t="n">
        <v>0.143315</v>
      </c>
      <c r="R25" s="26" t="n">
        <v>92</v>
      </c>
      <c r="S25" s="29" t="n">
        <v>2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-144</v>
      </c>
      <c r="AA25" s="28" t="n">
        <v>0.59</v>
      </c>
      <c r="AB25" s="28" t="n">
        <v>-0.000164</v>
      </c>
      <c r="AC25" s="30" t="n">
        <v>-2</v>
      </c>
      <c r="AD25" s="24" t="inlineStr">
        <is>
          <t>2026-08-06T00:20:17.500696Z</t>
        </is>
      </c>
      <c r="AE25" s="31" t="inlineStr">
        <is>
          <t>Surface-blended Elo on Hard: Barbora Krejcikova p=0.733 vs Liudmila Samsonova. Executable ask 0.5900 (aec-wta-liusam-barkre-2026-08-06).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Barbora Krejcikova</t>
        </is>
      </c>
      <c r="AQ25" s="24" t="inlineStr">
        <is>
          <t>Barbora Krejcikova</t>
        </is>
      </c>
      <c r="AR25" s="24" t="inlineStr">
        <is>
          <t>Barbora Krejcikova</t>
        </is>
      </c>
      <c r="AS25" s="24" t="inlineStr">
        <is>
          <t>Liudmila Samsonova</t>
        </is>
      </c>
      <c r="AT25" s="24" t="inlineStr">
        <is>
          <t>Liudmila Samsonova</t>
        </is>
      </c>
      <c r="AU25" s="24" t="inlineStr">
        <is>
          <t>Liudmila Samsonova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2026-08-05T17:02:04.621209Z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>
        <v>1.694444</v>
      </c>
      <c r="BR25" s="28" t="n">
        <v>0.59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4eafd76864b640e2</t>
        </is>
      </c>
      <c r="B26" s="24" t="inlineStr">
        <is>
          <t>2026-08-05T17:03:22.897552Z</t>
        </is>
      </c>
      <c r="C26" s="24" t="inlineStr">
        <is>
          <t>2026-08-05T18:00Z</t>
        </is>
      </c>
      <c r="D26" s="24" t="inlineStr">
        <is>
          <t>421-2026:181743</t>
        </is>
      </c>
      <c r="E26" s="24" t="inlineStr">
        <is>
          <t>TENNIS</t>
        </is>
      </c>
      <c r="F26" s="24" t="inlineStr">
        <is>
          <t>Alejandro Tabilo</t>
        </is>
      </c>
      <c r="G26" s="24" t="inlineStr">
        <is>
          <t>Hubert Hurkacz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0.584869</v>
      </c>
      <c r="P26" s="28" t="n">
        <v>0.05</v>
      </c>
      <c r="Q26" s="28" t="n">
        <v>0.164701</v>
      </c>
      <c r="R26" s="26" t="n">
        <v>100</v>
      </c>
      <c r="S26" s="29" t="n">
        <v>1.25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-1.25</v>
      </c>
      <c r="AD26" s="24" t="inlineStr">
        <is>
          <t>2026-08-05T20:57:59.221074Z</t>
        </is>
      </c>
      <c r="AE26" s="31" t="inlineStr">
        <is>
          <t>Surface-blended Elo on Hard: Alejandro Tabilo p=0.585 vs Hubert Hurkacz. Executable ask 0.4200 (aec-atp-hubhur-aletab-2026-08-06).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Alejandro Tabilo</t>
        </is>
      </c>
      <c r="AQ26" s="24" t="inlineStr">
        <is>
          <t>Alejandro Tabilo</t>
        </is>
      </c>
      <c r="AR26" s="24" t="inlineStr">
        <is>
          <t>Alejandro Tabilo</t>
        </is>
      </c>
      <c r="AS26" s="24" t="inlineStr">
        <is>
          <t>Hubert Hurkacz</t>
        </is>
      </c>
      <c r="AT26" s="24" t="inlineStr">
        <is>
          <t>Hubert Hurkacz</t>
        </is>
      </c>
      <c r="AU26" s="24" t="inlineStr">
        <is>
          <t>Hubert Hurkacz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2026-08-05T17:02:15.869129Z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a32e4b4ca87943a1</t>
        </is>
      </c>
      <c r="B27" s="24" t="inlineStr">
        <is>
          <t>2026-08-05T17:03:22.897552Z</t>
        </is>
      </c>
      <c r="C27" s="24" t="inlineStr">
        <is>
          <t>2026-08-05T19:30Z</t>
        </is>
      </c>
      <c r="D27" s="24" t="inlineStr">
        <is>
          <t>421-2026:181753</t>
        </is>
      </c>
      <c r="E27" s="24" t="inlineStr">
        <is>
          <t>TENNIS</t>
        </is>
      </c>
      <c r="F27" s="24" t="inlineStr">
        <is>
          <t>Francisco Cerundolo</t>
        </is>
      </c>
      <c r="G27" s="24" t="inlineStr">
        <is>
          <t>Alex Michelsen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0.657899</v>
      </c>
      <c r="P27" s="28" t="n">
        <v>0.05</v>
      </c>
      <c r="Q27" s="28" t="n">
        <v>0.248063</v>
      </c>
      <c r="R27" s="26" t="n">
        <v>100</v>
      </c>
      <c r="S27" s="29" t="n">
        <v>1.75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144</v>
      </c>
      <c r="AA27" s="28" t="n">
        <v>0.41</v>
      </c>
      <c r="AB27" s="28" t="n">
        <v>0.000164</v>
      </c>
      <c r="AC27" s="30" t="n">
        <v>-1.75</v>
      </c>
      <c r="AD27" s="24" t="inlineStr">
        <is>
          <t>2026-08-06T00:20:17.768639Z</t>
        </is>
      </c>
      <c r="AE27" s="31" t="inlineStr">
        <is>
          <t>Surface-blended Elo on Hard: Francisco Cerundolo p=0.658 vs Alex Michelsen. Executable ask 0.4100 (aec-atp-alemic-fracer-2026-08-06).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Francisco Cerundolo</t>
        </is>
      </c>
      <c r="AQ27" s="24" t="inlineStr">
        <is>
          <t>Francisco Cerundolo</t>
        </is>
      </c>
      <c r="AR27" s="24" t="inlineStr">
        <is>
          <t>Francisco Cerundolo</t>
        </is>
      </c>
      <c r="AS27" s="24" t="inlineStr">
        <is>
          <t>Alex Michelsen</t>
        </is>
      </c>
      <c r="AT27" s="24" t="inlineStr">
        <is>
          <t>Alex Michelsen</t>
        </is>
      </c>
      <c r="AU27" s="24" t="inlineStr">
        <is>
          <t>Alex Michelsen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2026-08-05T17:02:18.609359Z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>
        <v>2.44</v>
      </c>
      <c r="BR27" s="28" t="n">
        <v>0.41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cbce5a7195d54c42</t>
        </is>
      </c>
      <c r="B28" s="24" t="inlineStr">
        <is>
          <t>2026-08-06T18:58:42.068094Z</t>
        </is>
      </c>
      <c r="C28" s="24" t="inlineStr">
        <is>
          <t>2026-08-06T21:00Z</t>
        </is>
      </c>
      <c r="D28" s="24" t="inlineStr">
        <is>
          <t>421-2026:182193</t>
        </is>
      </c>
      <c r="E28" s="24" t="inlineStr">
        <is>
          <t>TENNIS</t>
        </is>
      </c>
      <c r="F28" s="24" t="inlineStr">
        <is>
          <t>Amanda Anisimova</t>
        </is>
      </c>
      <c r="G28" s="24" t="inlineStr">
        <is>
          <t>Nikola Bartunkova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0.7591</v>
      </c>
      <c r="P28" s="28" t="n">
        <v>0.05</v>
      </c>
      <c r="Q28" s="28" t="n">
        <v>0.099236</v>
      </c>
      <c r="R28" s="26" t="n">
        <v>70</v>
      </c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1.0309</v>
      </c>
      <c r="AD28" s="24" t="inlineStr">
        <is>
          <t>2026-08-07T09:06:22.233516Z</t>
        </is>
      </c>
      <c r="AE28" s="31" t="inlineStr">
        <is>
          <t>Surface-blended Elo on Hard: Amanda Anisimova p=0.759 vs Nikola Bartunkova. Executable ask 0.6600 (aec-wta-nikbar-amaani-2026-08-06).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Amanda Anisimova</t>
        </is>
      </c>
      <c r="AQ28" s="24" t="inlineStr">
        <is>
          <t>Amanda Anisimova</t>
        </is>
      </c>
      <c r="AR28" s="24" t="inlineStr">
        <is>
          <t>Amanda Anisimova</t>
        </is>
      </c>
      <c r="AS28" s="24" t="inlineStr">
        <is>
          <t>Nikola Bartunkova</t>
        </is>
      </c>
      <c r="AT28" s="24" t="inlineStr">
        <is>
          <t>Nikola Bartunkova</t>
        </is>
      </c>
      <c r="AU28" s="24" t="inlineStr">
        <is>
          <t>Nikola Bartunkova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2026-08-06T18:58:03.210799Z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854a414968094de3</t>
        </is>
      </c>
      <c r="B29" s="24" t="inlineStr">
        <is>
          <t>2026-08-06T18:58:42.068094Z</t>
        </is>
      </c>
      <c r="C29" s="24" t="inlineStr">
        <is>
          <t>2026-08-06T23:00Z</t>
        </is>
      </c>
      <c r="D29" s="24" t="inlineStr">
        <is>
          <t>421-2026:181763</t>
        </is>
      </c>
      <c r="E29" s="24" t="inlineStr">
        <is>
          <t>TENNIS</t>
        </is>
      </c>
      <c r="F29" s="24" t="inlineStr">
        <is>
          <t>Lorenzo Musetti</t>
        </is>
      </c>
      <c r="G29" s="24" t="inlineStr">
        <is>
          <t>Rafael Jodar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0.544019</v>
      </c>
      <c r="P29" s="28" t="n">
        <v>0.05</v>
      </c>
      <c r="Q29" s="28" t="n">
        <v>0.10349</v>
      </c>
      <c r="R29" s="26" t="n">
        <v>72</v>
      </c>
      <c r="S29" s="29" t="n">
        <v>1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127</v>
      </c>
      <c r="AA29" s="28" t="n">
        <v>0.44</v>
      </c>
      <c r="AB29" s="28" t="n">
        <v>-0.000529</v>
      </c>
      <c r="AC29" s="30" t="n">
        <v>-1</v>
      </c>
      <c r="AD29" s="24" t="inlineStr">
        <is>
          <t>2026-08-07T09:06:22.512232Z</t>
        </is>
      </c>
      <c r="AE29" s="31" t="inlineStr">
        <is>
          <t>Surface-blended Elo on Hard: Lorenzo Musetti p=0.544 vs Rafael Jodar. Executable ask 0.4400 (aec-atp-rafjod-lormus-2026-08-06).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Lorenzo Musetti</t>
        </is>
      </c>
      <c r="AQ29" s="24" t="inlineStr">
        <is>
          <t>Lorenzo Musetti</t>
        </is>
      </c>
      <c r="AR29" s="24" t="inlineStr">
        <is>
          <t>Lorenzo Musetti</t>
        </is>
      </c>
      <c r="AS29" s="24" t="inlineStr">
        <is>
          <t>Rafael Jodar</t>
        </is>
      </c>
      <c r="AT29" s="24" t="inlineStr">
        <is>
          <t>Rafael Jodar</t>
        </is>
      </c>
      <c r="AU29" s="24" t="inlineStr">
        <is>
          <t>Rafael Jodar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2026-08-06T18:58:10.033097Z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>
        <v>2.27</v>
      </c>
      <c r="BR29" s="28" t="n">
        <v>0.44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56254b0ff65c48f8</t>
        </is>
      </c>
      <c r="B30" s="24" t="inlineStr">
        <is>
          <t>2026-08-07T09:10:09.393141Z</t>
        </is>
      </c>
      <c r="C30" s="24" t="inlineStr">
        <is>
          <t>2026-08-07T10:00Z</t>
        </is>
      </c>
      <c r="D30" s="24" t="inlineStr">
        <is>
          <t>961-2026:182110</t>
        </is>
      </c>
      <c r="E30" s="24" t="inlineStr">
        <is>
          <t>TENNIS</t>
        </is>
      </c>
      <c r="F30" s="24" t="inlineStr">
        <is>
          <t>Gabriela Knutson</t>
        </is>
      </c>
      <c r="G30" s="24" t="inlineStr">
        <is>
          <t>Elizara Yaneva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0.551853</v>
      </c>
      <c r="P30" s="28" t="n">
        <v>0.05</v>
      </c>
      <c r="Q30" s="28" t="n">
        <v>0.131685</v>
      </c>
      <c r="R30" s="26" t="n">
        <v>86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138</v>
      </c>
      <c r="AA30" s="28" t="n">
        <v>0.42</v>
      </c>
      <c r="AB30" s="28" t="n">
        <v>-0.000168</v>
      </c>
      <c r="AC30" s="30" t="n">
        <v>1.38</v>
      </c>
      <c r="AD30" s="24" t="inlineStr">
        <is>
          <t>2026-08-07T12:12:32.744915Z</t>
        </is>
      </c>
      <c r="AE30" s="31" t="inlineStr">
        <is>
          <t>Surface-blended Elo on Hard: Gabriela Knutson p=0.552 vs Elizara Yaneva. Executable ask 0.4200 (aec-wta-eliyan-gabknu-2026-08-07).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Gabriela Knutson</t>
        </is>
      </c>
      <c r="AQ30" s="24" t="inlineStr">
        <is>
          <t>Gabriela Knutson</t>
        </is>
      </c>
      <c r="AR30" s="24" t="inlineStr">
        <is>
          <t>Gabriela Knutson</t>
        </is>
      </c>
      <c r="AS30" s="24" t="inlineStr">
        <is>
          <t>Elizara Yaneva</t>
        </is>
      </c>
      <c r="AT30" s="24" t="inlineStr">
        <is>
          <t>Elizara Yaneva</t>
        </is>
      </c>
      <c r="AU30" s="24" t="inlineStr">
        <is>
          <t>Elizara Yaneva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2026-08-07T09:08:50.003635Z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>
        <v>2.38</v>
      </c>
      <c r="BR30" s="28" t="n">
        <v>0.42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12c791275d1d4803</t>
        </is>
      </c>
      <c r="B31" s="24" t="inlineStr">
        <is>
          <t>2026-08-07T18:29:30.567007Z</t>
        </is>
      </c>
      <c r="C31" s="24" t="inlineStr">
        <is>
          <t>2026-08-07T23:30Z</t>
        </is>
      </c>
      <c r="D31" s="24" t="inlineStr">
        <is>
          <t>421-2026:181766</t>
        </is>
      </c>
      <c r="E31" s="24" t="inlineStr">
        <is>
          <t>TENNIS</t>
        </is>
      </c>
      <c r="F31" s="24" t="inlineStr">
        <is>
          <t>Thiago Agustin Tirante</t>
        </is>
      </c>
      <c r="G31" s="24" t="inlineStr">
        <is>
          <t>Alexei Popyrin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117</v>
      </c>
      <c r="M31" s="27" t="n">
        <v>2.17</v>
      </c>
      <c r="N31" s="28" t="n">
        <v>0.460829</v>
      </c>
      <c r="O31" s="28" t="n">
        <v>0.592411</v>
      </c>
      <c r="P31" s="28" t="n">
        <v>0.05</v>
      </c>
      <c r="Q31" s="28" t="n">
        <v>0.131582</v>
      </c>
      <c r="R31" s="26" t="n">
        <v>86</v>
      </c>
      <c r="S31" s="29" t="n">
        <v>1.25</v>
      </c>
      <c r="T31" s="24" t="inlineStr">
        <is>
          <t>tennis-surface-elo-v1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Surface-blended Elo on Hard: Thiago Agustin Tirante p=0.592 vs Alexei Popyrin. Executable ask 0.4600 (aec-atp-alepop-thitir-2026-08-06).</t>
        </is>
      </c>
      <c r="AF31" s="31" t="inlineStr">
        <is>
          <t>Surface-blended Elo model; singles only, WTA+ATP market coverage, not yet locked-holdout qualified -- promoted by explicit operator directive, not genuine walk-forward validation.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Thiago Agustin Tirante</t>
        </is>
      </c>
      <c r="AQ31" s="24" t="inlineStr">
        <is>
          <t>Thiago Agustin Tirante</t>
        </is>
      </c>
      <c r="AR31" s="24" t="inlineStr">
        <is>
          <t>Thiago Agustin Tirante</t>
        </is>
      </c>
      <c r="AS31" s="24" t="inlineStr">
        <is>
          <t>Alexei Popyrin</t>
        </is>
      </c>
      <c r="AT31" s="24" t="inlineStr">
        <is>
          <t>Alexei Popyrin</t>
        </is>
      </c>
      <c r="AU31" s="24" t="inlineStr">
        <is>
          <t>Alexei Popyrin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3ab056fefe04713e3c294da76c8adb2866b0dc46556ed32322a0426dd344a0e4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3ab056fefe04713e3c294da76c8adb2866b0dc46556ed32322a0426dd344a0e4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3ab056fefe04713e3c294da76c8adb2866b0dc46556ed32322a0426dd344a0e4</t>
        </is>
      </c>
      <c r="BH31" s="24" t="inlineStr">
        <is>
          <t>2026-08-07T18:28:15.652471Z</t>
        </is>
      </c>
      <c r="BI31" s="24" t="inlineStr">
        <is>
          <t>["same_event","same_team_same_day","same_league_same_day"]</t>
        </is>
      </c>
      <c r="BJ31" s="25" t="n"/>
      <c r="BK31" s="26" t="n">
        <v>117</v>
      </c>
      <c r="BL31" s="27" t="n">
        <v>2.17</v>
      </c>
      <c r="BM31" s="28" t="n">
        <v>0.460829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2026-08-07T18:30:28Z</dcterms:created>
  <dcterms:modified xmlns:dcterms="http://purl.org/dc/terms/" xmlns:xsi="http://www.w3.org/2001/XMLSchema-instance" xsi:type="dcterms:W3CDTF">2026-08-07T18:30:28Z</dcterms:modified>
</cp:coreProperties>
</file>