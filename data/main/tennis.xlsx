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29" headerRowCount="1">
  <autoFilter ref="A1:CS29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COUNTA('Picks'!$A$2:$A$29)</f>
        <v/>
      </c>
      <c r="C4" s="6">
        <f>COUNTIF('Picks'!$U$2:$U$29,"open")</f>
        <v/>
      </c>
      <c r="E4" s="6">
        <f>COUNTIF('Picks'!$U$2:$U$29,"settled")</f>
        <v/>
      </c>
      <c r="G4" s="6">
        <f>IF(COUNTIFS('Picks'!$U$2:$U$29,"settled",'Picks'!$V$2:$V$29,"win")+COUNTIFS('Picks'!$U$2:$U$29,"settled",'Picks'!$V$2:$V$29,"loss")&gt;=$L$2,"Ready","Insufficient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COUNTIF('Picks'!$BX$2:$BX$29,"&gt;0")</f>
        <v/>
      </c>
      <c r="C7" s="6">
        <f>COUNTIFS('Picks'!$BX$2:$BX$29,"&gt;0",'Picks'!$V$2:$V$29,"win")&amp;"-"&amp;COUNTIFS('Picks'!$BX$2:$BX$29,"&gt;0",'Picks'!$V$2:$V$29,"loss")</f>
        <v/>
      </c>
      <c r="E7" s="7">
        <f>IFERROR(COUNTIFS('Picks'!$BX$2:$BX$29,"&gt;0",'Picks'!$V$2:$V$29,"win")/(COUNTIFS('Picks'!$BX$2:$BX$29,"&gt;0",'Picks'!$V$2:$V$29,"win")+COUNTIFS('Picks'!$BX$2:$BX$29,"&gt;0",'Picks'!$V$2:$V$29,"loss")),0)</f>
        <v/>
      </c>
      <c r="G7" s="7">
        <f>IFERROR(SUM('Picks'!$BY$2:$BY$29)/SUM('Picks'!$BX$2:$BX$29),0)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SUM('Picks'!$BY$2:$BY$29)</f>
        <v/>
      </c>
      <c r="C10" s="9">
        <f>IFERROR(AVERAGEIF('Picks'!$AB$2:$AB$29,"&lt;&gt;",'Picks'!$AB$2:$AB$29),0)</f>
        <v/>
      </c>
      <c r="E10" s="6">
        <f>COUNTIFS('Picks'!$AM$2:$AM$29,"QUALIFIED_SHADOW_CALL",'Picks'!$U$2:$U$29,"settled")</f>
        <v/>
      </c>
      <c r="G10" s="8">
        <f>SUMIFS('Picks'!$AC$2:$AC$29,'Picks'!$AM$2:$AM$29,"QUALIFIED_SHADOW_CALL")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COUNTIFS('Picks'!$H$2:$H$29,$A14,'Picks'!$U$2:$U$29,"settled")</f>
        <v/>
      </c>
      <c r="C14" s="13">
        <f>COUNTIFS('Picks'!$H$2:$H$29,$A14,'Picks'!$U$2:$U$29,"settled",'Picks'!$V$2:$V$29,"win")</f>
        <v/>
      </c>
      <c r="D14" s="13">
        <f>COUNTIFS('Picks'!$H$2:$H$29,$A14,'Picks'!$U$2:$U$29,"settled",'Picks'!$V$2:$V$29,"loss")</f>
        <v/>
      </c>
      <c r="E14" s="14">
        <f>IFERROR(C14/(C14+D14),0)</f>
        <v/>
      </c>
      <c r="F14" s="15">
        <f>SUMIFS('Picks'!$BY$2:$BY$29,'Picks'!$H$2:$H$29,$A14)</f>
        <v/>
      </c>
      <c r="G14" s="16">
        <f>IFERROR(AVERAGEIFS('Picks'!$AB$2:$AB$29,'Picks'!$H$2:$H$29,$A14,'Picks'!$U$2:$U$29,"settled"),0)</f>
        <v/>
      </c>
    </row>
    <row r="15">
      <c r="A15" s="17" t="inlineStr">
        <is>
          <t>spread</t>
        </is>
      </c>
      <c r="B15" s="18">
        <f>COUNTIFS('Picks'!$H$2:$H$29,$A15,'Picks'!$U$2:$U$29,"settled")</f>
        <v/>
      </c>
      <c r="C15" s="18">
        <f>COUNTIFS('Picks'!$H$2:$H$29,$A15,'Picks'!$U$2:$U$29,"settled",'Picks'!$V$2:$V$29,"win")</f>
        <v/>
      </c>
      <c r="D15" s="18">
        <f>COUNTIFS('Picks'!$H$2:$H$29,$A15,'Picks'!$U$2:$U$29,"settled",'Picks'!$V$2:$V$29,"loss")</f>
        <v/>
      </c>
      <c r="E15" s="19">
        <f>IFERROR(C15/(C15+D15),0)</f>
        <v/>
      </c>
      <c r="F15" s="20">
        <f>SUMIFS('Picks'!$BY$2:$BY$29,'Picks'!$H$2:$H$29,$A15)</f>
        <v/>
      </c>
      <c r="G15" s="21">
        <f>IFERROR(AVERAGEIFS('Picks'!$AB$2:$AB$29,'Picks'!$H$2:$H$29,$A15,'Picks'!$U$2:$U$29,"settled"),0)</f>
        <v/>
      </c>
    </row>
    <row r="16">
      <c r="A16" s="12" t="inlineStr">
        <is>
          <t>total</t>
        </is>
      </c>
      <c r="B16" s="13">
        <f>COUNTIFS('Picks'!$H$2:$H$29,$A16,'Picks'!$U$2:$U$29,"settled")</f>
        <v/>
      </c>
      <c r="C16" s="13">
        <f>COUNTIFS('Picks'!$H$2:$H$29,$A16,'Picks'!$U$2:$U$29,"settled",'Picks'!$V$2:$V$29,"win")</f>
        <v/>
      </c>
      <c r="D16" s="13">
        <f>COUNTIFS('Picks'!$H$2:$H$29,$A16,'Picks'!$U$2:$U$29,"settled",'Picks'!$V$2:$V$29,"loss")</f>
        <v/>
      </c>
      <c r="E16" s="14">
        <f>IFERROR(C16/(C16+D16),0)</f>
        <v/>
      </c>
      <c r="F16" s="15">
        <f>SUMIFS('Picks'!$BY$2:$BY$29,'Picks'!$H$2:$H$29,$A16)</f>
        <v/>
      </c>
      <c r="G16" s="16">
        <f>IFERROR(AVERAGEIFS('Picks'!$AB$2:$AB$29,'Picks'!$H$2:$H$29,$A16,'Picks'!$U$2:$U$29,"settled"),0)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2ccf46ab0ab040ed</t>
        </is>
      </c>
      <c r="B2" s="24" t="inlineStr">
        <is>
          <t>2026-08-02T15:50:00.179683Z</t>
        </is>
      </c>
      <c r="C2" s="24" t="inlineStr">
        <is>
          <t>2026-08-02T16:00Z</t>
        </is>
      </c>
      <c r="D2" s="24" t="inlineStr">
        <is>
          <t>888-2026:179014</t>
        </is>
      </c>
      <c r="E2" s="24" t="inlineStr">
        <is>
          <t>TENNIS</t>
        </is>
      </c>
      <c r="F2" s="24" t="inlineStr">
        <is>
          <t>Alexandra Eala</t>
        </is>
      </c>
      <c r="G2" s="24" t="inlineStr">
        <is>
          <t>Jessica Pegula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-144</v>
      </c>
      <c r="M2" s="27" t="n">
        <v>1.694444</v>
      </c>
      <c r="N2" s="28" t="n">
        <v>0.590164</v>
      </c>
      <c r="O2" s="28" t="n">
        <v>0.821797</v>
      </c>
      <c r="P2" s="28" t="n">
        <v>0.05</v>
      </c>
      <c r="Q2" s="28" t="n">
        <v>0.231633</v>
      </c>
      <c r="R2" s="26" t="n">
        <v>100</v>
      </c>
      <c r="S2" s="29" t="n">
        <v>2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-144</v>
      </c>
      <c r="AA2" s="28" t="n">
        <v>0.59</v>
      </c>
      <c r="AB2" s="28" t="n">
        <v>-0.000164</v>
      </c>
      <c r="AC2" s="30" t="n">
        <v>-2</v>
      </c>
      <c r="AD2" s="24" t="inlineStr">
        <is>
          <t>2026-08-03T17:05:40.282107Z</t>
        </is>
      </c>
      <c r="AE2" s="31" t="inlineStr">
        <is>
          <t>Surface-blended Elo on Hard: Alexandra Eala p=0.178 vs Jessica Pegula. Executable ask 0.5900 (aec-wta-jespeg-aleeal-2026-08-02).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Alexandra Eala</t>
        </is>
      </c>
      <c r="AQ2" s="24" t="inlineStr">
        <is>
          <t>Alexandra Eala</t>
        </is>
      </c>
      <c r="AR2" s="24" t="inlineStr">
        <is>
          <t>Alexandra Eala</t>
        </is>
      </c>
      <c r="AS2" s="24" t="inlineStr">
        <is>
          <t>Jessica Pegula</t>
        </is>
      </c>
      <c r="AT2" s="24" t="inlineStr">
        <is>
          <t>Jessica Pegula</t>
        </is>
      </c>
      <c r="AU2" s="24" t="inlineStr">
        <is>
          <t>Jessica Pegula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999faa03e2fa83bdf40e3760cb8645b4c314e4cc37c2050b8320d6582c4d8167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999faa03e2fa83bdf40e3760cb8645b4c314e4cc37c2050b8320d6582c4d8167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999faa03e2fa83bdf40e3760cb8645b4c314e4cc37c2050b8320d6582c4d8167</t>
        </is>
      </c>
      <c r="BH2" s="24" t="inlineStr">
        <is>
          <t>2026-08-02T15:46:52.794231Z</t>
        </is>
      </c>
      <c r="BI2" s="24" t="inlineStr">
        <is>
          <t>["same_event","same_team_same_day","same_league_same_day"]</t>
        </is>
      </c>
      <c r="BJ2" s="25" t="n"/>
      <c r="BK2" s="26" t="n">
        <v>-144</v>
      </c>
      <c r="BL2" s="27" t="n">
        <v>1.694444</v>
      </c>
      <c r="BM2" s="28" t="n">
        <v>0.590164</v>
      </c>
      <c r="BN2" s="28" t="n"/>
      <c r="BO2" s="28" t="n"/>
      <c r="BP2" s="25" t="n"/>
      <c r="BQ2" s="27" t="n">
        <v>1.694444</v>
      </c>
      <c r="BR2" s="28" t="n">
        <v>0.59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1</t>
        </is>
      </c>
    </row>
    <row r="3" ht="36" customHeight="1">
      <c r="A3" s="24" t="inlineStr">
        <is>
          <t>4df3a8f2a57f4248</t>
        </is>
      </c>
      <c r="B3" s="24" t="inlineStr">
        <is>
          <t>2026-08-02T19:29:54.752777Z</t>
        </is>
      </c>
      <c r="C3" s="24" t="inlineStr">
        <is>
          <t>2026-08-02T22:00Z</t>
        </is>
      </c>
      <c r="D3" s="24" t="inlineStr">
        <is>
          <t>421-2026:182273</t>
        </is>
      </c>
      <c r="E3" s="24" t="inlineStr">
        <is>
          <t>TENNIS</t>
        </is>
      </c>
      <c r="F3" s="24" t="inlineStr">
        <is>
          <t>Lanlana Tararudee</t>
        </is>
      </c>
      <c r="G3" s="24" t="inlineStr">
        <is>
          <t>Emerson Jones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0.756798</v>
      </c>
      <c r="P3" s="28" t="n">
        <v>0.05</v>
      </c>
      <c r="Q3" s="28" t="n">
        <v>0.08683100000000001</v>
      </c>
      <c r="R3" s="26" t="n">
        <v>63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0.9852</v>
      </c>
      <c r="AD3" s="24" t="inlineStr">
        <is>
          <t>2026-08-03T22:55:13.950140Z</t>
        </is>
      </c>
      <c r="AE3" s="31" t="inlineStr">
        <is>
          <t>Surface-blended Elo on Hard: Lanlana Tararudee p=0.757 vs Emerson Jones. Executable ask 0.6700 (aec-wta-emejon-lantar-2026-08-02).</t>
        </is>
      </c>
      <c r="AF3" s="31" t="inlineStr">
        <is>
          <t>Surface-blended Elo model; singles only, WTA+ATP market coverage, not yet locked-holdout qualified -- promoted by explicit operator directive, not genuine walk-forward validation.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Lanlana Tararudee</t>
        </is>
      </c>
      <c r="AQ3" s="24" t="inlineStr">
        <is>
          <t>Lanlana Tararudee</t>
        </is>
      </c>
      <c r="AR3" s="24" t="inlineStr">
        <is>
          <t>Lanlana Tararudee</t>
        </is>
      </c>
      <c r="AS3" s="24" t="inlineStr">
        <is>
          <t>Emerson Jones</t>
        </is>
      </c>
      <c r="AT3" s="24" t="inlineStr">
        <is>
          <t>Emerson Jones</t>
        </is>
      </c>
      <c r="AU3" s="24" t="inlineStr">
        <is>
          <t>Emerson Jones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1c05a3c4f76bde5de709ff6bb1937b3c4c67149c2ea621b7c90ca07898e048e8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1c05a3c4f76bde5de709ff6bb1937b3c4c67149c2ea621b7c90ca07898e048e8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1c05a3c4f76bde5de709ff6bb1937b3c4c67149c2ea621b7c90ca07898e048e8</t>
        </is>
      </c>
      <c r="BH3" s="24" t="inlineStr">
        <is>
          <t>2026-08-02T19:28:08.485925Z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9b78d4baf93d407a</t>
        </is>
      </c>
      <c r="B4" s="24" t="inlineStr">
        <is>
          <t>2026-08-03T10:58:25.846671Z</t>
        </is>
      </c>
      <c r="C4" s="24" t="inlineStr">
        <is>
          <t>2026-08-03T12:00Z</t>
        </is>
      </c>
      <c r="D4" s="24" t="inlineStr">
        <is>
          <t>961-2026:182086</t>
        </is>
      </c>
      <c r="E4" s="24" t="inlineStr">
        <is>
          <t>TENNIS</t>
        </is>
      </c>
      <c r="F4" s="24" t="inlineStr">
        <is>
          <t>Linda Fruhvirtova</t>
        </is>
      </c>
      <c r="G4" s="24" t="inlineStr">
        <is>
          <t>Katarzyna Kawa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138</v>
      </c>
      <c r="M4" s="27" t="n">
        <v>2.38</v>
      </c>
      <c r="N4" s="28" t="n">
        <v>0.420168</v>
      </c>
      <c r="O4" s="28" t="n">
        <v>0.696908</v>
      </c>
      <c r="P4" s="28" t="n">
        <v>0.05</v>
      </c>
      <c r="Q4" s="28" t="n">
        <v>0.27674</v>
      </c>
      <c r="R4" s="26" t="n">
        <v>100</v>
      </c>
      <c r="S4" s="29" t="n">
        <v>2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138</v>
      </c>
      <c r="AA4" s="28" t="n">
        <v>0.42</v>
      </c>
      <c r="AB4" s="28" t="n">
        <v>-0.000168</v>
      </c>
      <c r="AC4" s="30" t="n">
        <v>2.76</v>
      </c>
      <c r="AD4" s="24" t="inlineStr">
        <is>
          <t>2026-08-03T15:52:06.009775Z</t>
        </is>
      </c>
      <c r="AE4" s="31" t="inlineStr">
        <is>
          <t>Surface-blended Elo on Hard: Linda Fruhvirtova p=0.303 vs Katarzyna Kawa. Executable ask 0.4200 (aec-wta-katkaw-linfru-2026-08-03).</t>
        </is>
      </c>
      <c r="AF4" s="31" t="inlineStr">
        <is>
          <t>Surface-blended Elo model; singles only, WTA+ATP market coverage, not yet locked-holdout qualified -- promoted by explicit operator directive, not genuine walk-forward validation.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Linda Fruhvirtova</t>
        </is>
      </c>
      <c r="AQ4" s="24" t="inlineStr">
        <is>
          <t>Linda Fruhvirtova</t>
        </is>
      </c>
      <c r="AR4" s="24" t="inlineStr">
        <is>
          <t>Linda Fruhvirtova</t>
        </is>
      </c>
      <c r="AS4" s="24" t="inlineStr">
        <is>
          <t>Katarzyna Kawa</t>
        </is>
      </c>
      <c r="AT4" s="24" t="inlineStr">
        <is>
          <t>Katarzyna Kawa</t>
        </is>
      </c>
      <c r="AU4" s="24" t="inlineStr">
        <is>
          <t>Katarzyna Kawa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1c05a3c4f76bde5de709ff6bb1937b3c4c67149c2ea621b7c90ca07898e048e8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1c05a3c4f76bde5de709ff6bb1937b3c4c67149c2ea621b7c90ca07898e048e8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1c05a3c4f76bde5de709ff6bb1937b3c4c67149c2ea621b7c90ca07898e048e8</t>
        </is>
      </c>
      <c r="BH4" s="24" t="inlineStr">
        <is>
          <t>2026-08-03T10:56:35.022679Z</t>
        </is>
      </c>
      <c r="BI4" s="24" t="inlineStr">
        <is>
          <t>["same_event","same_team_same_day","same_league_same_day"]</t>
        </is>
      </c>
      <c r="BJ4" s="25" t="n"/>
      <c r="BK4" s="26" t="n">
        <v>138</v>
      </c>
      <c r="BL4" s="27" t="n">
        <v>2.38</v>
      </c>
      <c r="BM4" s="28" t="n">
        <v>0.420168</v>
      </c>
      <c r="BN4" s="28" t="n"/>
      <c r="BO4" s="28" t="n"/>
      <c r="BP4" s="25" t="n"/>
      <c r="BQ4" s="27" t="n">
        <v>2.38</v>
      </c>
      <c r="BR4" s="28" t="n">
        <v>0.42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</row>
    <row r="5" ht="36" customHeight="1">
      <c r="A5" s="24" t="inlineStr">
        <is>
          <t>73828a386f4c4127</t>
        </is>
      </c>
      <c r="B5" s="24" t="inlineStr">
        <is>
          <t>2026-08-03T13:29:16.279005Z</t>
        </is>
      </c>
      <c r="C5" s="24" t="inlineStr">
        <is>
          <t>2026-08-03T15:00Z</t>
        </is>
      </c>
      <c r="D5" s="24" t="inlineStr">
        <is>
          <t>421-2026:182232</t>
        </is>
      </c>
      <c r="E5" s="24" t="inlineStr">
        <is>
          <t>TENNIS</t>
        </is>
      </c>
      <c r="F5" s="24" t="inlineStr">
        <is>
          <t>Polina Kudermetova</t>
        </is>
      </c>
      <c r="G5" s="24" t="inlineStr">
        <is>
          <t>Alina Korneeva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186</v>
      </c>
      <c r="M5" s="27" t="n">
        <v>2.86</v>
      </c>
      <c r="N5" s="28" t="n">
        <v>0.34965</v>
      </c>
      <c r="O5" s="28" t="n">
        <v>0.551272</v>
      </c>
      <c r="P5" s="28" t="n">
        <v>0.05</v>
      </c>
      <c r="Q5" s="28" t="n">
        <v>0.201622</v>
      </c>
      <c r="R5" s="26" t="n">
        <v>100</v>
      </c>
      <c r="S5" s="29" t="n">
        <v>1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186</v>
      </c>
      <c r="AA5" s="28" t="n">
        <v>0.35</v>
      </c>
      <c r="AB5" s="28" t="n">
        <v>0.00035</v>
      </c>
      <c r="AC5" s="30" t="n">
        <v>-1</v>
      </c>
      <c r="AD5" s="24" t="inlineStr">
        <is>
          <t>2026-08-03T15:52:06.315947Z</t>
        </is>
      </c>
      <c r="AE5" s="31" t="inlineStr">
        <is>
          <t>Surface-blended Elo on Hard: Polina Kudermetova p=0.551 vs Alina Korneeva. Executable ask 0.3500 (aec-wta-alikor-polkud-2026-08-03).</t>
        </is>
      </c>
      <c r="AF5" s="31" t="inlineStr">
        <is>
          <t>Surface-blended Elo model; singles only, WTA+ATP market coverage, not yet locked-holdout qualified -- promoted by explicit operator directive, not genuine walk-forward validation.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Polina Kudermetova</t>
        </is>
      </c>
      <c r="AQ5" s="24" t="inlineStr">
        <is>
          <t>Polina Kudermetova</t>
        </is>
      </c>
      <c r="AR5" s="24" t="inlineStr">
        <is>
          <t>Polina Kudermetova</t>
        </is>
      </c>
      <c r="AS5" s="24" t="inlineStr">
        <is>
          <t>Alina Korneeva</t>
        </is>
      </c>
      <c r="AT5" s="24" t="inlineStr">
        <is>
          <t>Alina Korneeva</t>
        </is>
      </c>
      <c r="AU5" s="24" t="inlineStr">
        <is>
          <t>Alina Korneeva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1c05a3c4f76bde5de709ff6bb1937b3c4c67149c2ea621b7c90ca07898e048e8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1c05a3c4f76bde5de709ff6bb1937b3c4c67149c2ea621b7c90ca07898e048e8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1c05a3c4f76bde5de709ff6bb1937b3c4c67149c2ea621b7c90ca07898e048e8</t>
        </is>
      </c>
      <c r="BH5" s="24" t="inlineStr">
        <is>
          <t>2026-08-03T13:27:56.449177Z</t>
        </is>
      </c>
      <c r="BI5" s="24" t="inlineStr">
        <is>
          <t>["same_event","same_team_same_day","same_league_same_day"]</t>
        </is>
      </c>
      <c r="BJ5" s="25" t="n"/>
      <c r="BK5" s="26" t="n">
        <v>186</v>
      </c>
      <c r="BL5" s="27" t="n">
        <v>2.86</v>
      </c>
      <c r="BM5" s="28" t="n">
        <v>0.34965</v>
      </c>
      <c r="BN5" s="28" t="n"/>
      <c r="BO5" s="28" t="n"/>
      <c r="BP5" s="25" t="n"/>
      <c r="BQ5" s="27" t="n">
        <v>2.86</v>
      </c>
      <c r="BR5" s="28" t="n">
        <v>0.35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</row>
    <row r="6" ht="36" customHeight="1">
      <c r="A6" s="24" t="inlineStr">
        <is>
          <t>b2b12c2223304c91</t>
        </is>
      </c>
      <c r="B6" s="24" t="inlineStr">
        <is>
          <t>2026-08-03T13:29:16.279005Z</t>
        </is>
      </c>
      <c r="C6" s="24" t="inlineStr">
        <is>
          <t>2026-08-03T15:00Z</t>
        </is>
      </c>
      <c r="D6" s="24" t="inlineStr">
        <is>
          <t>421-2026:182253</t>
        </is>
      </c>
      <c r="E6" s="24" t="inlineStr">
        <is>
          <t>TENNIS</t>
        </is>
      </c>
      <c r="F6" s="24" t="inlineStr">
        <is>
          <t>Kayla Day</t>
        </is>
      </c>
      <c r="G6" s="24" t="inlineStr">
        <is>
          <t>Diane Parry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138</v>
      </c>
      <c r="M6" s="27" t="n">
        <v>2.38</v>
      </c>
      <c r="N6" s="28" t="n">
        <v>0.420168</v>
      </c>
      <c r="O6" s="28" t="n">
        <v>0.6722669999999999</v>
      </c>
      <c r="P6" s="28" t="n">
        <v>0.05</v>
      </c>
      <c r="Q6" s="28" t="n">
        <v>0.252099</v>
      </c>
      <c r="R6" s="26" t="n">
        <v>100</v>
      </c>
      <c r="S6" s="29" t="n">
        <v>1.75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138</v>
      </c>
      <c r="AA6" s="28" t="n">
        <v>0.42</v>
      </c>
      <c r="AB6" s="28" t="n">
        <v>-0.000168</v>
      </c>
      <c r="AC6" s="30" t="n">
        <v>-1.75</v>
      </c>
      <c r="AD6" s="24" t="inlineStr">
        <is>
          <t>2026-08-03T19:51:43.791149Z</t>
        </is>
      </c>
      <c r="AE6" s="31" t="inlineStr">
        <is>
          <t>Surface-blended Elo on Hard: Kayla Day p=0.328 vs Diane Parry. Executable ask 0.4200 (aec-wta-diapar-kayday-2026-08-03).</t>
        </is>
      </c>
      <c r="AF6" s="31" t="inlineStr">
        <is>
          <t>Surface-blended Elo model; singles only, WTA+ATP market coverage, not yet locked-holdout qualified -- promoted by explicit operator directive, not genuine walk-forward validation.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Kayla Day</t>
        </is>
      </c>
      <c r="AQ6" s="24" t="inlineStr">
        <is>
          <t>Kayla Day</t>
        </is>
      </c>
      <c r="AR6" s="24" t="inlineStr">
        <is>
          <t>Kayla Day</t>
        </is>
      </c>
      <c r="AS6" s="24" t="inlineStr">
        <is>
          <t>Diane Parry</t>
        </is>
      </c>
      <c r="AT6" s="24" t="inlineStr">
        <is>
          <t>Diane Parry</t>
        </is>
      </c>
      <c r="AU6" s="24" t="inlineStr">
        <is>
          <t>Diane Parry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1c05a3c4f76bde5de709ff6bb1937b3c4c67149c2ea621b7c90ca07898e048e8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1c05a3c4f76bde5de709ff6bb1937b3c4c67149c2ea621b7c90ca07898e048e8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1c05a3c4f76bde5de709ff6bb1937b3c4c67149c2ea621b7c90ca07898e048e8</t>
        </is>
      </c>
      <c r="BH6" s="24" t="inlineStr">
        <is>
          <t>2026-08-03T13:27:57.284803Z</t>
        </is>
      </c>
      <c r="BI6" s="24" t="inlineStr">
        <is>
          <t>["same_event","same_team_same_day","same_league_same_day"]</t>
        </is>
      </c>
      <c r="BJ6" s="25" t="n"/>
      <c r="BK6" s="26" t="n">
        <v>138</v>
      </c>
      <c r="BL6" s="27" t="n">
        <v>2.38</v>
      </c>
      <c r="BM6" s="28" t="n">
        <v>0.420168</v>
      </c>
      <c r="BN6" s="28" t="n"/>
      <c r="BO6" s="28" t="n"/>
      <c r="BP6" s="25" t="n"/>
      <c r="BQ6" s="27" t="n">
        <v>2.38</v>
      </c>
      <c r="BR6" s="28" t="n">
        <v>0.42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cc563f95e6194674</t>
        </is>
      </c>
      <c r="B7" s="24" t="inlineStr">
        <is>
          <t>2026-08-03T13:29:16.279005Z</t>
        </is>
      </c>
      <c r="C7" s="24" t="inlineStr">
        <is>
          <t>2026-08-03T13:50Z</t>
        </is>
      </c>
      <c r="D7" s="24" t="inlineStr">
        <is>
          <t>961-2026:182081</t>
        </is>
      </c>
      <c r="E7" s="24" t="inlineStr">
        <is>
          <t>TENNIS</t>
        </is>
      </c>
      <c r="F7" s="24" t="inlineStr">
        <is>
          <t>Martyna Kubka</t>
        </is>
      </c>
      <c r="G7" s="24" t="inlineStr">
        <is>
          <t>Teodora Kostovic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0.615699</v>
      </c>
      <c r="P7" s="28" t="n">
        <v>0.05</v>
      </c>
      <c r="Q7" s="28" t="n">
        <v>0.056228</v>
      </c>
      <c r="R7" s="26" t="n">
        <v>48</v>
      </c>
      <c r="S7" s="29" t="n">
        <v>1.5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-127</v>
      </c>
      <c r="AA7" s="28" t="n">
        <v>0.5600000000000001</v>
      </c>
      <c r="AB7" s="28" t="n">
        <v>0.000529</v>
      </c>
      <c r="AC7" s="30" t="n">
        <v>-1.5</v>
      </c>
      <c r="AD7" s="24" t="inlineStr">
        <is>
          <t>2026-08-03T19:51:44.007970Z</t>
        </is>
      </c>
      <c r="AE7" s="31" t="inlineStr">
        <is>
          <t>Surface-blended Elo on Hard: Martyna Kubka p=0.384 vs Teodora Kostovic. Executable ask 0.5600 (aec-wta-teokos-markub-2026-08-03).</t>
        </is>
      </c>
      <c r="AF7" s="31" t="inlineStr">
        <is>
          <t>Surface-blended Elo model; singles only, WTA+ATP market coverage, not yet locked-holdout qualified -- promoted by explicit operator directive, not genuine walk-forward validation.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Martyna Kubka</t>
        </is>
      </c>
      <c r="AQ7" s="24" t="inlineStr">
        <is>
          <t>Martyna Kubka</t>
        </is>
      </c>
      <c r="AR7" s="24" t="inlineStr">
        <is>
          <t>Martyna Kubka</t>
        </is>
      </c>
      <c r="AS7" s="24" t="inlineStr">
        <is>
          <t>Teodora Kostovic</t>
        </is>
      </c>
      <c r="AT7" s="24" t="inlineStr">
        <is>
          <t>Teodora Kostovic</t>
        </is>
      </c>
      <c r="AU7" s="24" t="inlineStr">
        <is>
          <t>Teodora Kostovic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1c05a3c4f76bde5de709ff6bb1937b3c4c67149c2ea621b7c90ca07898e048e8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1c05a3c4f76bde5de709ff6bb1937b3c4c67149c2ea621b7c90ca07898e048e8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1c05a3c4f76bde5de709ff6bb1937b3c4c67149c2ea621b7c90ca07898e048e8</t>
        </is>
      </c>
      <c r="BH7" s="24" t="inlineStr">
        <is>
          <t>2026-08-03T13:27:55.032374Z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>
        <v>1.787402</v>
      </c>
      <c r="BR7" s="28" t="n">
        <v>0.5600000000000001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a34a509bdff943ac</t>
        </is>
      </c>
      <c r="B8" s="24" t="inlineStr">
        <is>
          <t>2026-08-03T13:29:16.279005Z</t>
        </is>
      </c>
      <c r="C8" s="24" t="inlineStr">
        <is>
          <t>2026-08-03T15:00Z</t>
        </is>
      </c>
      <c r="D8" s="24" t="inlineStr">
        <is>
          <t>421-2026:181785</t>
        </is>
      </c>
      <c r="E8" s="24" t="inlineStr">
        <is>
          <t>TENNIS</t>
        </is>
      </c>
      <c r="F8" s="24" t="inlineStr">
        <is>
          <t>Titouan Droguet</t>
        </is>
      </c>
      <c r="G8" s="24" t="inlineStr">
        <is>
          <t>Luca Van Assche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0.561017</v>
      </c>
      <c r="P8" s="28" t="n">
        <v>0.05</v>
      </c>
      <c r="Q8" s="28" t="n">
        <v>0.080248</v>
      </c>
      <c r="R8" s="26" t="n">
        <v>60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108</v>
      </c>
      <c r="AA8" s="28" t="n">
        <v>0.48</v>
      </c>
      <c r="AB8" s="28" t="n">
        <v>-0.000769</v>
      </c>
      <c r="AC8" s="30" t="n">
        <v>1.08</v>
      </c>
      <c r="AD8" s="24" t="inlineStr">
        <is>
          <t>2026-08-04T01:58:20.950570Z</t>
        </is>
      </c>
      <c r="AE8" s="31" t="inlineStr">
        <is>
          <t>Surface-blended Elo on Hard: Titouan Droguet p=0.561 vs Luca Van Assche. Executable ask 0.4800 (aec-atp-lucass-titdro-2026-08-02).</t>
        </is>
      </c>
      <c r="AF8" s="31" t="inlineStr">
        <is>
          <t>Surface-blended Elo model; singles only, WTA+ATP market coverage, not yet locked-holdout qualified -- promoted by explicit operator directive, not genuine walk-forward validation.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Titouan Droguet</t>
        </is>
      </c>
      <c r="AQ8" s="24" t="inlineStr">
        <is>
          <t>Titouan Droguet</t>
        </is>
      </c>
      <c r="AR8" s="24" t="inlineStr">
        <is>
          <t>Titouan Droguet</t>
        </is>
      </c>
      <c r="AS8" s="24" t="inlineStr">
        <is>
          <t>Luca Van Assche</t>
        </is>
      </c>
      <c r="AT8" s="24" t="inlineStr">
        <is>
          <t>Luca Van Assche</t>
        </is>
      </c>
      <c r="AU8" s="24" t="inlineStr">
        <is>
          <t>Luca Van Assche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1c05a3c4f76bde5de709ff6bb1937b3c4c67149c2ea621b7c90ca07898e048e8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1c05a3c4f76bde5de709ff6bb1937b3c4c67149c2ea621b7c90ca07898e048e8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1c05a3c4f76bde5de709ff6bb1937b3c4c67149c2ea621b7c90ca07898e048e8</t>
        </is>
      </c>
      <c r="BH8" s="24" t="inlineStr">
        <is>
          <t>2026-08-03T13:28:16.478602Z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>
        <v>2.08</v>
      </c>
      <c r="BR8" s="28" t="n">
        <v>0.48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2deba450ed924bbe</t>
        </is>
      </c>
      <c r="B9" s="24" t="inlineStr">
        <is>
          <t>2026-08-03T13:29:16.279005Z</t>
        </is>
      </c>
      <c r="C9" s="24" t="inlineStr">
        <is>
          <t>2026-08-03T15:00Z</t>
        </is>
      </c>
      <c r="D9" s="24" t="inlineStr">
        <is>
          <t>421-2026:181839</t>
        </is>
      </c>
      <c r="E9" s="24" t="inlineStr">
        <is>
          <t>TENNIS</t>
        </is>
      </c>
      <c r="F9" s="24" t="inlineStr">
        <is>
          <t>Vit Kopriva</t>
        </is>
      </c>
      <c r="G9" s="24" t="inlineStr">
        <is>
          <t>Alexis Galarneau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108</v>
      </c>
      <c r="M9" s="27" t="n">
        <v>2.08</v>
      </c>
      <c r="N9" s="28" t="n">
        <v>0.480769</v>
      </c>
      <c r="O9" s="28" t="n">
        <v>0.57909</v>
      </c>
      <c r="P9" s="28" t="n">
        <v>0.05</v>
      </c>
      <c r="Q9" s="28" t="n">
        <v>0.09832100000000001</v>
      </c>
      <c r="R9" s="26" t="n">
        <v>69</v>
      </c>
      <c r="S9" s="29" t="n">
        <v>1.25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108</v>
      </c>
      <c r="AA9" s="28" t="n">
        <v>0.48</v>
      </c>
      <c r="AB9" s="28" t="n">
        <v>-0.000769</v>
      </c>
      <c r="AC9" s="30" t="n">
        <v>1.35</v>
      </c>
      <c r="AD9" s="24" t="inlineStr">
        <is>
          <t>2026-08-03T22:55:14.577013Z</t>
        </is>
      </c>
      <c r="AE9" s="31" t="inlineStr">
        <is>
          <t>Surface-blended Elo on Hard: Vit Kopriva p=0.579 vs Alexis Galarneau. Executable ask 0.4800 (aec-atp-alegal-vitkop-2026-08-03).</t>
        </is>
      </c>
      <c r="AF9" s="31" t="inlineStr">
        <is>
          <t>Surface-blended Elo model; singles only, WTA+ATP market coverage, not yet locked-holdout qualified -- promoted by explicit operator directive, not genuine walk-forward validation.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Vit Kopriva</t>
        </is>
      </c>
      <c r="AQ9" s="24" t="inlineStr">
        <is>
          <t>Vit Kopriva</t>
        </is>
      </c>
      <c r="AR9" s="24" t="inlineStr">
        <is>
          <t>Vit Kopriva</t>
        </is>
      </c>
      <c r="AS9" s="24" t="inlineStr">
        <is>
          <t>Alexis Galarneau</t>
        </is>
      </c>
      <c r="AT9" s="24" t="inlineStr">
        <is>
          <t>Alexis Galarneau</t>
        </is>
      </c>
      <c r="AU9" s="24" t="inlineStr">
        <is>
          <t>Alexis Galarneau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1c05a3c4f76bde5de709ff6bb1937b3c4c67149c2ea621b7c90ca07898e048e8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1c05a3c4f76bde5de709ff6bb1937b3c4c67149c2ea621b7c90ca07898e048e8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1c05a3c4f76bde5de709ff6bb1937b3c4c67149c2ea621b7c90ca07898e048e8</t>
        </is>
      </c>
      <c r="BH9" s="24" t="inlineStr">
        <is>
          <t>2026-08-03T13:28:14.309797Z</t>
        </is>
      </c>
      <c r="BI9" s="24" t="inlineStr">
        <is>
          <t>["same_event","same_team_same_day","same_league_same_day"]</t>
        </is>
      </c>
      <c r="BJ9" s="25" t="n"/>
      <c r="BK9" s="26" t="n">
        <v>108</v>
      </c>
      <c r="BL9" s="27" t="n">
        <v>2.08</v>
      </c>
      <c r="BM9" s="28" t="n">
        <v>0.480769</v>
      </c>
      <c r="BN9" s="28" t="n"/>
      <c r="BO9" s="28" t="n"/>
      <c r="BP9" s="25" t="n"/>
      <c r="BQ9" s="27" t="n">
        <v>2.08</v>
      </c>
      <c r="BR9" s="28" t="n">
        <v>0.48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ff22c9aff4d3400c</t>
        </is>
      </c>
      <c r="B10" s="24" t="inlineStr">
        <is>
          <t>2026-08-03T16:29:20.960477Z</t>
        </is>
      </c>
      <c r="C10" s="24" t="inlineStr">
        <is>
          <t>2026-08-03T16:30Z</t>
        </is>
      </c>
      <c r="D10" s="24" t="inlineStr">
        <is>
          <t>421-2026:182266</t>
        </is>
      </c>
      <c r="E10" s="24" t="inlineStr">
        <is>
          <t>TENNIS</t>
        </is>
      </c>
      <c r="F10" s="24" t="inlineStr">
        <is>
          <t>Kayla Cross</t>
        </is>
      </c>
      <c r="G10" s="24" t="inlineStr">
        <is>
          <t>Katie Boulter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-285</v>
      </c>
      <c r="M10" s="27" t="n">
        <v>1.350877</v>
      </c>
      <c r="N10" s="28" t="n">
        <v>0.74026</v>
      </c>
      <c r="O10" s="28" t="n">
        <v>0.830003</v>
      </c>
      <c r="P10" s="28" t="n">
        <v>0.05</v>
      </c>
      <c r="Q10" s="28" t="n">
        <v>0.089743</v>
      </c>
      <c r="R10" s="26" t="n">
        <v>65</v>
      </c>
      <c r="S10" s="29" t="n">
        <v>2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-285</v>
      </c>
      <c r="AA10" s="28" t="n">
        <v>0.74</v>
      </c>
      <c r="AB10" s="28" t="n">
        <v>-0.00026</v>
      </c>
      <c r="AC10" s="30" t="n">
        <v>-2</v>
      </c>
      <c r="AD10" s="24" t="inlineStr">
        <is>
          <t>2026-08-03T19:51:44.172128Z</t>
        </is>
      </c>
      <c r="AE10" s="31" t="inlineStr">
        <is>
          <t>Surface-blended Elo on Hard: Kayla Cross p=0.170 vs Katie Boulter. Executable ask 0.7400 (aec-wta-katbou-kaycro-2026-08-02).</t>
        </is>
      </c>
      <c r="AF10" s="31" t="inlineStr">
        <is>
          <t>Surface-blended Elo model; singles only, WTA+ATP market coverage, not yet locked-holdout qualified -- promoted by explicit operator directive, not genuine walk-forward validation.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Kayla Cross</t>
        </is>
      </c>
      <c r="AQ10" s="24" t="inlineStr">
        <is>
          <t>Kayla Cross</t>
        </is>
      </c>
      <c r="AR10" s="24" t="inlineStr">
        <is>
          <t>Kayla Cross</t>
        </is>
      </c>
      <c r="AS10" s="24" t="inlineStr">
        <is>
          <t>Katie Boulter</t>
        </is>
      </c>
      <c r="AT10" s="24" t="inlineStr">
        <is>
          <t>Katie Boulter</t>
        </is>
      </c>
      <c r="AU10" s="24" t="inlineStr">
        <is>
          <t>Katie Boulter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60749ecfb3f1405f12fbceda11b7e64f2473d40dd327256f9da20b2146b6ae03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60749ecfb3f1405f12fbceda11b7e64f2473d40dd327256f9da20b2146b6ae03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60749ecfb3f1405f12fbceda11b7e64f2473d40dd327256f9da20b2146b6ae03</t>
        </is>
      </c>
      <c r="BH10" s="24" t="inlineStr">
        <is>
          <t>2026-08-03T16:28:14.928463Z</t>
        </is>
      </c>
      <c r="BI10" s="24" t="inlineStr">
        <is>
          <t>["same_event","same_team_same_day","same_league_same_day"]</t>
        </is>
      </c>
      <c r="BJ10" s="25" t="n"/>
      <c r="BK10" s="26" t="n">
        <v>-285</v>
      </c>
      <c r="BL10" s="27" t="n">
        <v>1.350877</v>
      </c>
      <c r="BM10" s="28" t="n">
        <v>0.74026</v>
      </c>
      <c r="BN10" s="28" t="n"/>
      <c r="BO10" s="28" t="n"/>
      <c r="BP10" s="25" t="n"/>
      <c r="BQ10" s="27" t="n">
        <v>1.350877</v>
      </c>
      <c r="BR10" s="28" t="n">
        <v>0.74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2e4ae118e5d048b7</t>
        </is>
      </c>
      <c r="B11" s="24" t="inlineStr">
        <is>
          <t>2026-08-03T17:07:25.337475Z</t>
        </is>
      </c>
      <c r="C11" s="24" t="inlineStr">
        <is>
          <t>2026-08-03T18:00Z</t>
        </is>
      </c>
      <c r="D11" s="24" t="inlineStr">
        <is>
          <t>421-2026:182257</t>
        </is>
      </c>
      <c r="E11" s="24" t="inlineStr">
        <is>
          <t>TENNIS</t>
        </is>
      </c>
      <c r="F11" s="24" t="inlineStr">
        <is>
          <t>Antonia Ruzic</t>
        </is>
      </c>
      <c r="G11" s="24" t="inlineStr">
        <is>
          <t>Lois Boisson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270</v>
      </c>
      <c r="M11" s="27" t="n">
        <v>3.7</v>
      </c>
      <c r="N11" s="28" t="n">
        <v>0.27027</v>
      </c>
      <c r="O11" s="28" t="n">
        <v>0.549832</v>
      </c>
      <c r="P11" s="28" t="n">
        <v>0.05</v>
      </c>
      <c r="Q11" s="28" t="n">
        <v>0.279562</v>
      </c>
      <c r="R11" s="26" t="n">
        <v>100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270</v>
      </c>
      <c r="AA11" s="28" t="n">
        <v>0.27</v>
      </c>
      <c r="AB11" s="28" t="n">
        <v>-0.00027</v>
      </c>
      <c r="AC11" s="30" t="n">
        <v>2.7</v>
      </c>
      <c r="AD11" s="24" t="inlineStr">
        <is>
          <t>2026-08-03T22:55:14.739089Z</t>
        </is>
      </c>
      <c r="AE11" s="31" t="inlineStr">
        <is>
          <t>Surface-blended Elo on Hard: Antonia Ruzic p=0.550 vs Lois Boisson. Executable ask 0.2700 (aec-wta-loiboi-antruz-2026-08-02).</t>
        </is>
      </c>
      <c r="AF11" s="31" t="inlineStr">
        <is>
          <t>Surface-blended Elo model; singles only, WTA+ATP market coverage, not yet locked-holdout qualified -- promoted by explicit operator directive, not genuine walk-forward validation.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Antonia Ruzic</t>
        </is>
      </c>
      <c r="AQ11" s="24" t="inlineStr">
        <is>
          <t>Antonia Ruzic</t>
        </is>
      </c>
      <c r="AR11" s="24" t="inlineStr">
        <is>
          <t>Antonia Ruzic</t>
        </is>
      </c>
      <c r="AS11" s="24" t="inlineStr">
        <is>
          <t>Lois Boisson</t>
        </is>
      </c>
      <c r="AT11" s="24" t="inlineStr">
        <is>
          <t>Lois Boisson</t>
        </is>
      </c>
      <c r="AU11" s="24" t="inlineStr">
        <is>
          <t>Lois Boisson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60749ecfb3f1405f12fbceda11b7e64f2473d40dd327256f9da20b2146b6ae03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60749ecfb3f1405f12fbceda11b7e64f2473d40dd327256f9da20b2146b6ae03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60749ecfb3f1405f12fbceda11b7e64f2473d40dd327256f9da20b2146b6ae03</t>
        </is>
      </c>
      <c r="BH11" s="24" t="inlineStr">
        <is>
          <t>2026-08-03T17:06:32.134987Z</t>
        </is>
      </c>
      <c r="BI11" s="24" t="inlineStr">
        <is>
          <t>["same_event","same_team_same_day","same_league_same_day"]</t>
        </is>
      </c>
      <c r="BJ11" s="25" t="n"/>
      <c r="BK11" s="26" t="n">
        <v>270</v>
      </c>
      <c r="BL11" s="27" t="n">
        <v>3.7</v>
      </c>
      <c r="BM11" s="28" t="n">
        <v>0.27027</v>
      </c>
      <c r="BN11" s="28" t="n"/>
      <c r="BO11" s="28" t="n"/>
      <c r="BP11" s="25" t="n"/>
      <c r="BQ11" s="27" t="n">
        <v>3.7</v>
      </c>
      <c r="BR11" s="28" t="n">
        <v>0.27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299a2ac6fbcd4fe4</t>
        </is>
      </c>
      <c r="B12" s="24" t="inlineStr">
        <is>
          <t>2026-08-03T17:07:25.337475Z</t>
        </is>
      </c>
      <c r="C12" s="24" t="inlineStr">
        <is>
          <t>2026-08-03T19:30Z</t>
        </is>
      </c>
      <c r="D12" s="24" t="inlineStr">
        <is>
          <t>421-2026:181828</t>
        </is>
      </c>
      <c r="E12" s="24" t="inlineStr">
        <is>
          <t>TENNIS</t>
        </is>
      </c>
      <c r="F12" s="24" t="inlineStr">
        <is>
          <t>Adrian Mannarino</t>
        </is>
      </c>
      <c r="G12" s="24" t="inlineStr">
        <is>
          <t>Jacob Fearnley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150</v>
      </c>
      <c r="M12" s="27" t="n">
        <v>2.5</v>
      </c>
      <c r="N12" s="28" t="n">
        <v>0.4</v>
      </c>
      <c r="O12" s="28" t="n">
        <v>0.564895</v>
      </c>
      <c r="P12" s="28" t="n">
        <v>0.05</v>
      </c>
      <c r="Q12" s="28" t="n">
        <v>0.164895</v>
      </c>
      <c r="R12" s="26" t="n">
        <v>100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150</v>
      </c>
      <c r="AA12" s="28" t="n">
        <v>0.4</v>
      </c>
      <c r="AB12" s="28" t="n">
        <v>0</v>
      </c>
      <c r="AC12" s="30" t="n">
        <v>-1</v>
      </c>
      <c r="AD12" s="24" t="inlineStr">
        <is>
          <t>2026-08-04T21:58:39.165848Z</t>
        </is>
      </c>
      <c r="AE12" s="31" t="inlineStr">
        <is>
          <t>Surface-blended Elo on Hard: Adrian Mannarino p=0.565 vs Jacob Fearnley. Executable ask 0.4000 (aec-atp-jacfea-adrman-2026-08-03).</t>
        </is>
      </c>
      <c r="AF12" s="31" t="inlineStr">
        <is>
          <t>Surface-blended Elo model; singles only, WTA+ATP market coverage, not yet locked-holdout qualified -- promoted by explicit operator directive, not genuine walk-forward validation.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Adrian Mannarino</t>
        </is>
      </c>
      <c r="AQ12" s="24" t="inlineStr">
        <is>
          <t>Adrian Mannarino</t>
        </is>
      </c>
      <c r="AR12" s="24" t="inlineStr">
        <is>
          <t>Adrian Mannarino</t>
        </is>
      </c>
      <c r="AS12" s="24" t="inlineStr">
        <is>
          <t>Jacob Fearnley</t>
        </is>
      </c>
      <c r="AT12" s="24" t="inlineStr">
        <is>
          <t>Jacob Fearnley</t>
        </is>
      </c>
      <c r="AU12" s="24" t="inlineStr">
        <is>
          <t>Jacob Fearnley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60749ecfb3f1405f12fbceda11b7e64f2473d40dd327256f9da20b2146b6ae03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60749ecfb3f1405f12fbceda11b7e64f2473d40dd327256f9da20b2146b6ae03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60749ecfb3f1405f12fbceda11b7e64f2473d40dd327256f9da20b2146b6ae03</t>
        </is>
      </c>
      <c r="BH12" s="24" t="inlineStr">
        <is>
          <t>2026-08-03T17:06:52.299848Z</t>
        </is>
      </c>
      <c r="BI12" s="24" t="inlineStr">
        <is>
          <t>["same_event","same_team_same_day","same_league_same_day"]</t>
        </is>
      </c>
      <c r="BJ12" s="25" t="n"/>
      <c r="BK12" s="26" t="n">
        <v>150</v>
      </c>
      <c r="BL12" s="27" t="n">
        <v>2.5</v>
      </c>
      <c r="BM12" s="28" t="n">
        <v>0.4</v>
      </c>
      <c r="BN12" s="28" t="n"/>
      <c r="BO12" s="28" t="n"/>
      <c r="BP12" s="25" t="n"/>
      <c r="BQ12" s="27" t="n">
        <v>2.5</v>
      </c>
      <c r="BR12" s="28" t="n">
        <v>0.4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52b48039394a4842</t>
        </is>
      </c>
      <c r="B13" s="24" t="inlineStr">
        <is>
          <t>2026-08-03T19:53:29.938738Z</t>
        </is>
      </c>
      <c r="C13" s="24" t="inlineStr">
        <is>
          <t>2026-08-03T21:00Z</t>
        </is>
      </c>
      <c r="D13" s="24" t="inlineStr">
        <is>
          <t>421-2026:182244</t>
        </is>
      </c>
      <c r="E13" s="24" t="inlineStr">
        <is>
          <t>TENNIS</t>
        </is>
      </c>
      <c r="F13" s="24" t="inlineStr">
        <is>
          <t>Tamara Korpatsch</t>
        </is>
      </c>
      <c r="G13" s="24" t="inlineStr">
        <is>
          <t>Renata Zarazua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138</v>
      </c>
      <c r="M13" s="27" t="n">
        <v>2.38</v>
      </c>
      <c r="N13" s="28" t="n">
        <v>0.420168</v>
      </c>
      <c r="O13" s="28" t="n">
        <v>0.643669</v>
      </c>
      <c r="P13" s="28" t="n">
        <v>0.05</v>
      </c>
      <c r="Q13" s="28" t="n">
        <v>0.223501</v>
      </c>
      <c r="R13" s="26" t="n">
        <v>100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>
        <v>138</v>
      </c>
      <c r="AA13" s="28" t="n">
        <v>0.42</v>
      </c>
      <c r="AB13" s="28" t="n">
        <v>-0.000168</v>
      </c>
      <c r="AC13" s="30" t="n">
        <v>-1.5</v>
      </c>
      <c r="AD13" s="24" t="inlineStr">
        <is>
          <t>2026-08-04T01:58:21.955546Z</t>
        </is>
      </c>
      <c r="AE13" s="31" t="inlineStr">
        <is>
          <t>Surface-blended Elo on Hard: Tamara Korpatsch p=0.644 vs Renata Zarazua. Executable ask 0.4200 (aec-wta-renzar-tamkor-2026-08-02).</t>
        </is>
      </c>
      <c r="AF13" s="31" t="inlineStr">
        <is>
          <t>Surface-blended Elo model; singles only, WTA+ATP market coverage, not yet locked-holdout qualified -- promoted by explicit operator directive, not genuine walk-forward validation.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Tamara Korpatsch</t>
        </is>
      </c>
      <c r="AQ13" s="24" t="inlineStr">
        <is>
          <t>Tamara Korpatsch</t>
        </is>
      </c>
      <c r="AR13" s="24" t="inlineStr">
        <is>
          <t>Tamara Korpatsch</t>
        </is>
      </c>
      <c r="AS13" s="24" t="inlineStr">
        <is>
          <t>Renata Zarazua</t>
        </is>
      </c>
      <c r="AT13" s="24" t="inlineStr">
        <is>
          <t>Renata Zarazua</t>
        </is>
      </c>
      <c r="AU13" s="24" t="inlineStr">
        <is>
          <t>Renata Zarazua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60749ecfb3f1405f12fbceda11b7e64f2473d40dd327256f9da20b2146b6ae03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60749ecfb3f1405f12fbceda11b7e64f2473d40dd327256f9da20b2146b6ae03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60749ecfb3f1405f12fbceda11b7e64f2473d40dd327256f9da20b2146b6ae03</t>
        </is>
      </c>
      <c r="BH13" s="24" t="inlineStr">
        <is>
          <t>2026-08-03T19:52:43.186533Z</t>
        </is>
      </c>
      <c r="BI13" s="24" t="inlineStr">
        <is>
          <t>["same_event","same_team_same_day","same_league_same_day"]</t>
        </is>
      </c>
      <c r="BJ13" s="25" t="n"/>
      <c r="BK13" s="26" t="n">
        <v>138</v>
      </c>
      <c r="BL13" s="27" t="n">
        <v>2.38</v>
      </c>
      <c r="BM13" s="28" t="n">
        <v>0.420168</v>
      </c>
      <c r="BN13" s="28" t="n"/>
      <c r="BO13" s="28" t="n"/>
      <c r="BP13" s="25" t="n"/>
      <c r="BQ13" s="27" t="n">
        <v>2.38</v>
      </c>
      <c r="BR13" s="28" t="n">
        <v>0.42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012c40b64c1a4a8b</t>
        </is>
      </c>
      <c r="B14" s="24" t="inlineStr">
        <is>
          <t>2026-08-03T19:53:29.938738Z</t>
        </is>
      </c>
      <c r="C14" s="24" t="inlineStr">
        <is>
          <t>2026-08-03T22:30Z</t>
        </is>
      </c>
      <c r="D14" s="24" t="inlineStr">
        <is>
          <t>421-2026:182243</t>
        </is>
      </c>
      <c r="E14" s="24" t="inlineStr">
        <is>
          <t>TENNIS</t>
        </is>
      </c>
      <c r="F14" s="24" t="inlineStr">
        <is>
          <t>Sloane Stephens</t>
        </is>
      </c>
      <c r="G14" s="24" t="inlineStr">
        <is>
          <t>Solana Sierra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0.701639</v>
      </c>
      <c r="P14" s="28" t="n">
        <v>0.05</v>
      </c>
      <c r="Q14" s="28" t="n">
        <v>0.162468</v>
      </c>
      <c r="R14" s="26" t="n">
        <v>100</v>
      </c>
      <c r="S14" s="29" t="n">
        <v>2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-117</v>
      </c>
      <c r="AA14" s="28" t="n">
        <v>0.54</v>
      </c>
      <c r="AB14" s="28" t="n">
        <v>0.000829</v>
      </c>
      <c r="AC14" s="30" t="n">
        <v>-2</v>
      </c>
      <c r="AD14" s="24" t="inlineStr">
        <is>
          <t>2026-08-04T03:57:43.095322Z</t>
        </is>
      </c>
      <c r="AE14" s="31" t="inlineStr">
        <is>
          <t>Surface-blended Elo on Hard: Sloane Stephens p=0.298 vs Solana Sierra. Executable ask 0.5400 (aec-wta-solsie-sloste-2026-08-03).</t>
        </is>
      </c>
      <c r="AF14" s="31" t="inlineStr">
        <is>
          <t>Surface-blended Elo model; singles only, WTA+ATP market coverage, not yet locked-holdout qualified -- promoted by explicit operator directive, not genuine walk-forward validation.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Sloane Stephens</t>
        </is>
      </c>
      <c r="AQ14" s="24" t="inlineStr">
        <is>
          <t>Sloane Stephens</t>
        </is>
      </c>
      <c r="AR14" s="24" t="inlineStr">
        <is>
          <t>Sloane Stephens</t>
        </is>
      </c>
      <c r="AS14" s="24" t="inlineStr">
        <is>
          <t>Solana Sierra</t>
        </is>
      </c>
      <c r="AT14" s="24" t="inlineStr">
        <is>
          <t>Solana Sierra</t>
        </is>
      </c>
      <c r="AU14" s="24" t="inlineStr">
        <is>
          <t>Solana Sierra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60749ecfb3f1405f12fbceda11b7e64f2473d40dd327256f9da20b2146b6ae03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60749ecfb3f1405f12fbceda11b7e64f2473d40dd327256f9da20b2146b6ae03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60749ecfb3f1405f12fbceda11b7e64f2473d40dd327256f9da20b2146b6ae03</t>
        </is>
      </c>
      <c r="BH14" s="24" t="inlineStr">
        <is>
          <t>2026-08-03T19:52:44.196885Z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/>
      <c r="BO14" s="28" t="n"/>
      <c r="BP14" s="25" t="n"/>
      <c r="BQ14" s="27" t="n">
        <v>1.854701</v>
      </c>
      <c r="BR14" s="28" t="n">
        <v>0.54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82ae2208aae34e4d</t>
        </is>
      </c>
      <c r="B15" s="24" t="inlineStr">
        <is>
          <t>2026-08-03T22:56:40.367668Z</t>
        </is>
      </c>
      <c r="C15" s="24" t="inlineStr">
        <is>
          <t>2026-08-03T23:30Z</t>
        </is>
      </c>
      <c r="D15" s="24" t="inlineStr">
        <is>
          <t>421-2026:181801</t>
        </is>
      </c>
      <c r="E15" s="24" t="inlineStr">
        <is>
          <t>TENNIS</t>
        </is>
      </c>
      <c r="F15" s="24" t="inlineStr">
        <is>
          <t>Kyrian Jacquet</t>
        </is>
      </c>
      <c r="G15" s="24" t="inlineStr">
        <is>
          <t>Gabriel Diallo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-113</v>
      </c>
      <c r="M15" s="27" t="n">
        <v>1.884956</v>
      </c>
      <c r="N15" s="28" t="n">
        <v>0.530516</v>
      </c>
      <c r="O15" s="28" t="n">
        <v>0.5845590000000001</v>
      </c>
      <c r="P15" s="28" t="n">
        <v>0.05</v>
      </c>
      <c r="Q15" s="28" t="n">
        <v>0.054043</v>
      </c>
      <c r="R15" s="26" t="n">
        <v>47</v>
      </c>
      <c r="S15" s="29" t="n">
        <v>1.25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-113</v>
      </c>
      <c r="AA15" s="28" t="n">
        <v>0.53</v>
      </c>
      <c r="AB15" s="28" t="n">
        <v>-0.000516</v>
      </c>
      <c r="AC15" s="30" t="n">
        <v>1.1062</v>
      </c>
      <c r="AD15" s="24" t="inlineStr">
        <is>
          <t>2026-08-04T01:58:22.780816Z</t>
        </is>
      </c>
      <c r="AE15" s="31" t="inlineStr">
        <is>
          <t>Surface-blended Elo on Hard: Kyrian Jacquet p=0.415 vs Gabriel Diallo. Executable ask 0.5300 (aec-atp-gabdia-kyrjac-2026-08-02).</t>
        </is>
      </c>
      <c r="AF15" s="31" t="inlineStr">
        <is>
          <t>Surface-blended Elo model; singles only, WTA+ATP market coverage, not yet locked-holdout qualified -- promoted by explicit operator directive, not genuine walk-forward validation.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Kyrian Jacquet</t>
        </is>
      </c>
      <c r="AQ15" s="24" t="inlineStr">
        <is>
          <t>Kyrian Jacquet</t>
        </is>
      </c>
      <c r="AR15" s="24" t="inlineStr">
        <is>
          <t>Kyrian Jacquet</t>
        </is>
      </c>
      <c r="AS15" s="24" t="inlineStr">
        <is>
          <t>Gabriel Diallo</t>
        </is>
      </c>
      <c r="AT15" s="24" t="inlineStr">
        <is>
          <t>Gabriel Diallo</t>
        </is>
      </c>
      <c r="AU15" s="24" t="inlineStr">
        <is>
          <t>Gabriel Diallo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60749ecfb3f1405f12fbceda11b7e64f2473d40dd327256f9da20b2146b6ae03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60749ecfb3f1405f12fbceda11b7e64f2473d40dd327256f9da20b2146b6ae03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60749ecfb3f1405f12fbceda11b7e64f2473d40dd327256f9da20b2146b6ae03</t>
        </is>
      </c>
      <c r="BH15" s="24" t="inlineStr">
        <is>
          <t>2026-08-03T22:56:18.028840Z</t>
        </is>
      </c>
      <c r="BI15" s="24" t="inlineStr">
        <is>
          <t>["same_event","same_team_same_day","same_league_same_day"]</t>
        </is>
      </c>
      <c r="BJ15" s="25" t="n"/>
      <c r="BK15" s="26" t="n">
        <v>-113</v>
      </c>
      <c r="BL15" s="27" t="n">
        <v>1.884956</v>
      </c>
      <c r="BM15" s="28" t="n">
        <v>0.530516</v>
      </c>
      <c r="BN15" s="28" t="n"/>
      <c r="BO15" s="28" t="n"/>
      <c r="BP15" s="25" t="n"/>
      <c r="BQ15" s="27" t="n">
        <v>1.884956</v>
      </c>
      <c r="BR15" s="28" t="n">
        <v>0.53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d661fb2c61054b14</t>
        </is>
      </c>
      <c r="B16" s="24" t="inlineStr">
        <is>
          <t>2026-08-04T08:54:59.561456Z</t>
        </is>
      </c>
      <c r="C16" s="24" t="inlineStr">
        <is>
          <t>2026-08-04T10:30Z</t>
        </is>
      </c>
      <c r="D16" s="24" t="inlineStr">
        <is>
          <t>961-2026:182088</t>
        </is>
      </c>
      <c r="E16" s="24" t="inlineStr">
        <is>
          <t>TENNIS</t>
        </is>
      </c>
      <c r="F16" s="24" t="inlineStr">
        <is>
          <t>Elizara Yaneva</t>
        </is>
      </c>
      <c r="G16" s="24" t="inlineStr">
        <is>
          <t>Linda Klimovicova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-104</v>
      </c>
      <c r="M16" s="27" t="n">
        <v>1.961538</v>
      </c>
      <c r="N16" s="28" t="n">
        <v>0.509804</v>
      </c>
      <c r="O16" s="28" t="n">
        <v>0.578623</v>
      </c>
      <c r="P16" s="28" t="n">
        <v>0.05</v>
      </c>
      <c r="Q16" s="28" t="n">
        <v>0.06881900000000001</v>
      </c>
      <c r="R16" s="26" t="n">
        <v>54</v>
      </c>
      <c r="S16" s="29" t="n">
        <v>1.25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-104</v>
      </c>
      <c r="AA16" s="28" t="n">
        <v>0.51</v>
      </c>
      <c r="AB16" s="28" t="n">
        <v>0.000196</v>
      </c>
      <c r="AC16" s="30" t="n">
        <v>-1.25</v>
      </c>
      <c r="AD16" s="24" t="inlineStr">
        <is>
          <t>2026-08-04T14:02:55.340280Z</t>
        </is>
      </c>
      <c r="AE16" s="31" t="inlineStr">
        <is>
          <t>Surface-blended Elo on Hard: Elizara Yaneva p=0.421 vs Linda Klimovicova. Executable ask 0.5100 (aec-wta-linkli-eliyan-2026-08-03).</t>
        </is>
      </c>
      <c r="AF16" s="31" t="inlineStr">
        <is>
          <t>Surface-blended Elo model; singles only, WTA+ATP market coverage, not yet locked-holdout qualified -- promoted by explicit operator directive, not genuine walk-forward validation.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Elizara Yaneva</t>
        </is>
      </c>
      <c r="AQ16" s="24" t="inlineStr">
        <is>
          <t>Elizara Yaneva</t>
        </is>
      </c>
      <c r="AR16" s="24" t="inlineStr">
        <is>
          <t>Elizara Yaneva</t>
        </is>
      </c>
      <c r="AS16" s="24" t="inlineStr">
        <is>
          <t>Linda Klimovicova</t>
        </is>
      </c>
      <c r="AT16" s="24" t="inlineStr">
        <is>
          <t>Linda Klimovicova</t>
        </is>
      </c>
      <c r="AU16" s="24" t="inlineStr">
        <is>
          <t>Linda Klimovicova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60749ecfb3f1405f12fbceda11b7e64f2473d40dd327256f9da20b2146b6ae03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60749ecfb3f1405f12fbceda11b7e64f2473d40dd327256f9da20b2146b6ae03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60749ecfb3f1405f12fbceda11b7e64f2473d40dd327256f9da20b2146b6ae03</t>
        </is>
      </c>
      <c r="BH16" s="24" t="inlineStr">
        <is>
          <t>2026-08-04T08:53:31.464146Z</t>
        </is>
      </c>
      <c r="BI16" s="24" t="inlineStr">
        <is>
          <t>["same_event","same_team_same_day","same_league_same_day"]</t>
        </is>
      </c>
      <c r="BJ16" s="25" t="n"/>
      <c r="BK16" s="26" t="n">
        <v>-104</v>
      </c>
      <c r="BL16" s="27" t="n">
        <v>1.961538</v>
      </c>
      <c r="BM16" s="28" t="n">
        <v>0.509804</v>
      </c>
      <c r="BN16" s="28" t="n"/>
      <c r="BO16" s="28" t="n"/>
      <c r="BP16" s="25" t="n"/>
      <c r="BQ16" s="27" t="n">
        <v>1.961538</v>
      </c>
      <c r="BR16" s="28" t="n">
        <v>0.51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15d8ba8c18cb4af9</t>
        </is>
      </c>
      <c r="B17" s="24" t="inlineStr">
        <is>
          <t>2026-08-04T15:02:48.664333Z</t>
        </is>
      </c>
      <c r="C17" s="24" t="inlineStr">
        <is>
          <t>2026-08-04T16:30Z</t>
        </is>
      </c>
      <c r="D17" s="24" t="inlineStr">
        <is>
          <t>421-2026:181813</t>
        </is>
      </c>
      <c r="E17" s="24" t="inlineStr">
        <is>
          <t>TENNIS</t>
        </is>
      </c>
      <c r="F17" s="24" t="inlineStr">
        <is>
          <t>Liam Draxl</t>
        </is>
      </c>
      <c r="G17" s="24" t="inlineStr">
        <is>
          <t>Daniel Merida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-144</v>
      </c>
      <c r="M17" s="27" t="n">
        <v>1.694444</v>
      </c>
      <c r="N17" s="28" t="n">
        <v>0.590164</v>
      </c>
      <c r="O17" s="28" t="n">
        <v>0.69073</v>
      </c>
      <c r="P17" s="28" t="n">
        <v>0.05</v>
      </c>
      <c r="Q17" s="28" t="n">
        <v>0.100566</v>
      </c>
      <c r="R17" s="26" t="n">
        <v>70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-144</v>
      </c>
      <c r="AA17" s="28" t="n">
        <v>0.59</v>
      </c>
      <c r="AB17" s="28" t="n">
        <v>-0.000164</v>
      </c>
      <c r="AC17" s="30" t="n">
        <v>1.3889</v>
      </c>
      <c r="AD17" s="24" t="inlineStr">
        <is>
          <t>2026-08-04T21:58:40.052341Z</t>
        </is>
      </c>
      <c r="AE17" s="31" t="inlineStr">
        <is>
          <t>Surface-blended Elo on Hard: Liam Draxl p=0.309 vs Daniel Merida. Executable ask 0.5900 (aec-atp-danagu-liadra-2026-08-03).</t>
        </is>
      </c>
      <c r="AF17" s="31" t="inlineStr">
        <is>
          <t>Surface-blended Elo model; singles only, WTA+ATP market coverage, not yet locked-holdout qualified -- promoted by explicit operator directive, not genuine walk-forward validation.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Liam Draxl</t>
        </is>
      </c>
      <c r="AQ17" s="24" t="inlineStr">
        <is>
          <t>Liam Draxl</t>
        </is>
      </c>
      <c r="AR17" s="24" t="inlineStr">
        <is>
          <t>Liam Draxl</t>
        </is>
      </c>
      <c r="AS17" s="24" t="inlineStr">
        <is>
          <t>Daniel Merida</t>
        </is>
      </c>
      <c r="AT17" s="24" t="inlineStr">
        <is>
          <t>Daniel Merida</t>
        </is>
      </c>
      <c r="AU17" s="24" t="inlineStr">
        <is>
          <t>Daniel Merida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60749ecfb3f1405f12fbceda11b7e64f2473d40dd327256f9da20b2146b6ae03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60749ecfb3f1405f12fbceda11b7e64f2473d40dd327256f9da20b2146b6ae03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60749ecfb3f1405f12fbceda11b7e64f2473d40dd327256f9da20b2146b6ae03</t>
        </is>
      </c>
      <c r="BH17" s="24" t="inlineStr">
        <is>
          <t>2026-08-04T15:01:10.821337Z</t>
        </is>
      </c>
      <c r="BI17" s="24" t="inlineStr">
        <is>
          <t>["same_event","same_team_same_day","same_league_same_day"]</t>
        </is>
      </c>
      <c r="BJ17" s="25" t="n"/>
      <c r="BK17" s="26" t="n">
        <v>-144</v>
      </c>
      <c r="BL17" s="27" t="n">
        <v>1.694444</v>
      </c>
      <c r="BM17" s="28" t="n">
        <v>0.590164</v>
      </c>
      <c r="BN17" s="28" t="n"/>
      <c r="BO17" s="28" t="n"/>
      <c r="BP17" s="25" t="n"/>
      <c r="BQ17" s="27" t="n">
        <v>1.694444</v>
      </c>
      <c r="BR17" s="28" t="n">
        <v>0.59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0932626ebe0641d3</t>
        </is>
      </c>
      <c r="B18" s="24" t="inlineStr">
        <is>
          <t>2026-08-04T16:52:13.548572Z</t>
        </is>
      </c>
      <c r="C18" s="24" t="inlineStr">
        <is>
          <t>2026-08-04T18:00Z</t>
        </is>
      </c>
      <c r="D18" s="24" t="inlineStr">
        <is>
          <t>421-2026:182202</t>
        </is>
      </c>
      <c r="E18" s="24" t="inlineStr">
        <is>
          <t>TENNIS</t>
        </is>
      </c>
      <c r="F18" s="24" t="inlineStr">
        <is>
          <t>Talia Gibson</t>
        </is>
      </c>
      <c r="G18" s="24" t="inlineStr">
        <is>
          <t>Maja Chwalinska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0.623502</v>
      </c>
      <c r="P18" s="28" t="n">
        <v>0.05</v>
      </c>
      <c r="Q18" s="28" t="n">
        <v>0.173052</v>
      </c>
      <c r="R18" s="26" t="n">
        <v>100</v>
      </c>
      <c r="S18" s="29" t="n">
        <v>1.5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122</v>
      </c>
      <c r="AA18" s="28" t="n">
        <v>0.45</v>
      </c>
      <c r="AB18" s="28" t="n">
        <v>-0.00045</v>
      </c>
      <c r="AC18" s="30" t="n">
        <v>-1.5</v>
      </c>
      <c r="AD18" s="24" t="inlineStr">
        <is>
          <t>2026-08-04T21:58:40.245109Z</t>
        </is>
      </c>
      <c r="AE18" s="31" t="inlineStr">
        <is>
          <t>Surface-blended Elo on Hard: Talia Gibson p=0.376 vs Maja Chwalinska. Executable ask 0.4500 (aec-wta-majchw-talgib-2026-08-04).</t>
        </is>
      </c>
      <c r="AF18" s="31" t="inlineStr">
        <is>
          <t>Surface-blended Elo model; singles only, WTA+ATP market coverage, not yet locked-holdout qualified -- promoted by explicit operator directive, not genuine walk-forward validation.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Talia Gibson</t>
        </is>
      </c>
      <c r="AQ18" s="24" t="inlineStr">
        <is>
          <t>Talia Gibson</t>
        </is>
      </c>
      <c r="AR18" s="24" t="inlineStr">
        <is>
          <t>Talia Gibson</t>
        </is>
      </c>
      <c r="AS18" s="24" t="inlineStr">
        <is>
          <t>Maja Chwalinska</t>
        </is>
      </c>
      <c r="AT18" s="24" t="inlineStr">
        <is>
          <t>Maja Chwalinska</t>
        </is>
      </c>
      <c r="AU18" s="24" t="inlineStr">
        <is>
          <t>Maja Chwalinska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60749ecfb3f1405f12fbceda11b7e64f2473d40dd327256f9da20b2146b6ae03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60749ecfb3f1405f12fbceda11b7e64f2473d40dd327256f9da20b2146b6ae03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60749ecfb3f1405f12fbceda11b7e64f2473d40dd327256f9da20b2146b6ae03</t>
        </is>
      </c>
      <c r="BH18" s="24" t="inlineStr">
        <is>
          <t>2026-08-04T16:50:30.241150Z</t>
        </is>
      </c>
      <c r="BI18" s="24" t="inlineStr">
        <is>
          <t>["same_event","same_team_same_day","same_league_same_day"]</t>
        </is>
      </c>
      <c r="BJ18" s="25" t="n"/>
      <c r="BK18" s="26" t="n">
        <v>122</v>
      </c>
      <c r="BL18" s="27" t="n">
        <v>2.22</v>
      </c>
      <c r="BM18" s="28" t="n">
        <v>0.45045</v>
      </c>
      <c r="BN18" s="28" t="n"/>
      <c r="BO18" s="28" t="n"/>
      <c r="BP18" s="25" t="n"/>
      <c r="BQ18" s="27" t="n">
        <v>2.22</v>
      </c>
      <c r="BR18" s="28" t="n">
        <v>0.45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59c5fd2e82144477</t>
        </is>
      </c>
      <c r="B19" s="24" t="inlineStr">
        <is>
          <t>2026-08-04T16:52:13.548572Z</t>
        </is>
      </c>
      <c r="C19" s="24" t="inlineStr">
        <is>
          <t>2026-08-04T18:00Z</t>
        </is>
      </c>
      <c r="D19" s="24" t="inlineStr">
        <is>
          <t>421-2026:181810</t>
        </is>
      </c>
      <c r="E19" s="24" t="inlineStr">
        <is>
          <t>TENNIS</t>
        </is>
      </c>
      <c r="F19" s="24" t="inlineStr">
        <is>
          <t>Jack Draper</t>
        </is>
      </c>
      <c r="G19" s="24" t="inlineStr">
        <is>
          <t>Terence Atmane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-203</v>
      </c>
      <c r="M19" s="27" t="n">
        <v>1.492611</v>
      </c>
      <c r="N19" s="28" t="n">
        <v>0.669967</v>
      </c>
      <c r="O19" s="28" t="n">
        <v>0.781578</v>
      </c>
      <c r="P19" s="28" t="n">
        <v>0.05</v>
      </c>
      <c r="Q19" s="28" t="n">
        <v>0.111611</v>
      </c>
      <c r="R19" s="26" t="n">
        <v>76</v>
      </c>
      <c r="S19" s="29" t="n">
        <v>2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0</v>
      </c>
      <c r="X19" s="26" t="n">
        <v>1</v>
      </c>
      <c r="Y19" s="25" t="n"/>
      <c r="Z19" s="26" t="n">
        <v>-203</v>
      </c>
      <c r="AA19" s="28" t="n">
        <v>0.67</v>
      </c>
      <c r="AB19" s="28" t="n">
        <v>3.3e-05</v>
      </c>
      <c r="AC19" s="30" t="n">
        <v>-2</v>
      </c>
      <c r="AD19" s="24" t="inlineStr">
        <is>
          <t>2026-08-04T21:58:40.439256Z</t>
        </is>
      </c>
      <c r="AE19" s="31" t="inlineStr">
        <is>
          <t>Surface-blended Elo on Hard: Jack Draper p=0.782 vs Terence Atmane. Executable ask 0.6700 (aec-atp-teratm-jacdra-2026-08-03).</t>
        </is>
      </c>
      <c r="AF19" s="31" t="inlineStr">
        <is>
          <t>Surface-blended Elo model; singles only, WTA+ATP market coverage, not yet locked-holdout qualified -- promoted by explicit operator directive, not genuine walk-forward validation.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Jack Draper</t>
        </is>
      </c>
      <c r="AQ19" s="24" t="inlineStr">
        <is>
          <t>Jack Draper</t>
        </is>
      </c>
      <c r="AR19" s="24" t="inlineStr">
        <is>
          <t>Jack Draper</t>
        </is>
      </c>
      <c r="AS19" s="24" t="inlineStr">
        <is>
          <t>Terence Atmane</t>
        </is>
      </c>
      <c r="AT19" s="24" t="inlineStr">
        <is>
          <t>Terence Atmane</t>
        </is>
      </c>
      <c r="AU19" s="24" t="inlineStr">
        <is>
          <t>Terence Atmane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60749ecfb3f1405f12fbceda11b7e64f2473d40dd327256f9da20b2146b6ae03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60749ecfb3f1405f12fbceda11b7e64f2473d40dd327256f9da20b2146b6ae03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60749ecfb3f1405f12fbceda11b7e64f2473d40dd327256f9da20b2146b6ae03</t>
        </is>
      </c>
      <c r="BH19" s="24" t="inlineStr">
        <is>
          <t>2026-08-04T16:50:46.373890Z</t>
        </is>
      </c>
      <c r="BI19" s="24" t="inlineStr">
        <is>
          <t>["same_event","same_team_same_day","same_league_same_day"]</t>
        </is>
      </c>
      <c r="BJ19" s="25" t="n"/>
      <c r="BK19" s="26" t="n">
        <v>-203</v>
      </c>
      <c r="BL19" s="27" t="n">
        <v>1.492611</v>
      </c>
      <c r="BM19" s="28" t="n">
        <v>0.669967</v>
      </c>
      <c r="BN19" s="28" t="n"/>
      <c r="BO19" s="28" t="n"/>
      <c r="BP19" s="25" t="n"/>
      <c r="BQ19" s="27" t="n">
        <v>1.492611</v>
      </c>
      <c r="BR19" s="28" t="n">
        <v>0.67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fa4f77bf385443e6</t>
        </is>
      </c>
      <c r="B20" s="24" t="inlineStr">
        <is>
          <t>2026-08-05T04:36:19.625619Z</t>
        </is>
      </c>
      <c r="C20" s="24" t="inlineStr">
        <is>
          <t>2026-08-05T15:00Z</t>
        </is>
      </c>
      <c r="D20" s="24" t="inlineStr">
        <is>
          <t>421-2026:182220</t>
        </is>
      </c>
      <c r="E20" s="24" t="inlineStr">
        <is>
          <t>TENNIS</t>
        </is>
      </c>
      <c r="F20" s="24" t="inlineStr">
        <is>
          <t>Kayla Cross</t>
        </is>
      </c>
      <c r="G20" s="24" t="inlineStr">
        <is>
          <t>Ann Li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-285</v>
      </c>
      <c r="M20" s="27" t="n">
        <v>1.350877</v>
      </c>
      <c r="N20" s="28" t="n">
        <v>0.74026</v>
      </c>
      <c r="O20" s="28" t="n">
        <v>0.795002</v>
      </c>
      <c r="P20" s="28" t="n">
        <v>0.05</v>
      </c>
      <c r="Q20" s="28" t="n">
        <v>0.054742</v>
      </c>
      <c r="R20" s="26" t="n">
        <v>47</v>
      </c>
      <c r="S20" s="29" t="n">
        <v>2</v>
      </c>
      <c r="T20" s="24" t="inlineStr">
        <is>
          <t>tennis-surface-elo-v1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Surface-blended Elo on Hard: Kayla Cross p=0.205 vs Ann Li. Executable ask 0.7400 (aec-wta-annli-kaycro-2026-08-04).</t>
        </is>
      </c>
      <c r="AF20" s="31" t="inlineStr">
        <is>
          <t>Surface-blended Elo model; singles only, WTA+ATP market coverage, not yet locked-holdout qualified -- promoted by explicit operator directive, not genuine walk-forward validation.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Kayla Cross</t>
        </is>
      </c>
      <c r="AQ20" s="24" t="inlineStr">
        <is>
          <t>Kayla Cross</t>
        </is>
      </c>
      <c r="AR20" s="24" t="inlineStr">
        <is>
          <t>Kayla Cross</t>
        </is>
      </c>
      <c r="AS20" s="24" t="inlineStr">
        <is>
          <t>Ann Li</t>
        </is>
      </c>
      <c r="AT20" s="24" t="inlineStr">
        <is>
          <t>Ann Li</t>
        </is>
      </c>
      <c r="AU20" s="24" t="inlineStr">
        <is>
          <t>Ann Li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3ab056fefe04713e3c294da76c8adb2866b0dc46556ed32322a0426dd344a0e4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3ab056fefe04713e3c294da76c8adb2866b0dc46556ed32322a0426dd344a0e4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3ab056fefe04713e3c294da76c8adb2866b0dc46556ed32322a0426dd344a0e4</t>
        </is>
      </c>
      <c r="BH20" s="24" t="inlineStr">
        <is>
          <t>2026-08-05T04:34:10.491214Z</t>
        </is>
      </c>
      <c r="BI20" s="24" t="inlineStr">
        <is>
          <t>["same_event","same_team_same_day","same_league_same_day"]</t>
        </is>
      </c>
      <c r="BJ20" s="25" t="n"/>
      <c r="BK20" s="26" t="n">
        <v>-285</v>
      </c>
      <c r="BL20" s="27" t="n">
        <v>1.350877</v>
      </c>
      <c r="BM20" s="28" t="n">
        <v>0.74026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f5c109203b344abd</t>
        </is>
      </c>
      <c r="B21" s="24" t="inlineStr">
        <is>
          <t>2026-08-05T04:36:19.625619Z</t>
        </is>
      </c>
      <c r="C21" s="24" t="inlineStr">
        <is>
          <t>2026-08-05T18:00Z</t>
        </is>
      </c>
      <c r="D21" s="24" t="inlineStr">
        <is>
          <t>421-2026:182208</t>
        </is>
      </c>
      <c r="E21" s="24" t="inlineStr">
        <is>
          <t>TENNIS</t>
        </is>
      </c>
      <c r="F21" s="24" t="inlineStr">
        <is>
          <t>Emma Navarro</t>
        </is>
      </c>
      <c r="G21" s="24" t="inlineStr">
        <is>
          <t>Alina Korneeva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-122</v>
      </c>
      <c r="M21" s="27" t="n">
        <v>1.819672</v>
      </c>
      <c r="N21" s="28" t="n">
        <v>0.54955</v>
      </c>
      <c r="O21" s="28" t="n">
        <v>0.646211</v>
      </c>
      <c r="P21" s="28" t="n">
        <v>0.05</v>
      </c>
      <c r="Q21" s="28" t="n">
        <v>0.096661</v>
      </c>
      <c r="R21" s="26" t="n">
        <v>68</v>
      </c>
      <c r="S21" s="29" t="n">
        <v>1.75</v>
      </c>
      <c r="T21" s="24" t="inlineStr">
        <is>
          <t>tennis-surface-elo-v1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Surface-blended Elo on Hard: Emma Navarro p=0.646 vs Alina Korneeva. Executable ask 0.5500 (aec-wta-alikor-emmnav-2026-08-04).</t>
        </is>
      </c>
      <c r="AF21" s="31" t="inlineStr">
        <is>
          <t>Surface-blended Elo model; singles only, WTA+ATP market coverage, not yet locked-holdout qualified -- promoted by explicit operator directive, not genuine walk-forward validation.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Emma Navarro</t>
        </is>
      </c>
      <c r="AQ21" s="24" t="inlineStr">
        <is>
          <t>Emma Navarro</t>
        </is>
      </c>
      <c r="AR21" s="24" t="inlineStr">
        <is>
          <t>Emma Navarro</t>
        </is>
      </c>
      <c r="AS21" s="24" t="inlineStr">
        <is>
          <t>Alina Korneeva</t>
        </is>
      </c>
      <c r="AT21" s="24" t="inlineStr">
        <is>
          <t>Alina Korneeva</t>
        </is>
      </c>
      <c r="AU21" s="24" t="inlineStr">
        <is>
          <t>Alina Korneeva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3ab056fefe04713e3c294da76c8adb2866b0dc46556ed32322a0426dd344a0e4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3ab056fefe04713e3c294da76c8adb2866b0dc46556ed32322a0426dd344a0e4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3ab056fefe04713e3c294da76c8adb2866b0dc46556ed32322a0426dd344a0e4</t>
        </is>
      </c>
      <c r="BH21" s="24" t="inlineStr">
        <is>
          <t>2026-08-05T04:34:15.073339Z</t>
        </is>
      </c>
      <c r="BI21" s="24" t="inlineStr">
        <is>
          <t>["same_event","same_team_same_day","same_league_same_day"]</t>
        </is>
      </c>
      <c r="BJ21" s="25" t="n"/>
      <c r="BK21" s="26" t="n">
        <v>-122</v>
      </c>
      <c r="BL21" s="27" t="n">
        <v>1.819672</v>
      </c>
      <c r="BM21" s="28" t="n">
        <v>0.54955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aac54ca3098f486d</t>
        </is>
      </c>
      <c r="B22" s="24" t="inlineStr">
        <is>
          <t>2026-08-05T04:36:19.625619Z</t>
        </is>
      </c>
      <c r="C22" s="24" t="inlineStr">
        <is>
          <t>2026-08-05T21:00Z</t>
        </is>
      </c>
      <c r="D22" s="24" t="inlineStr">
        <is>
          <t>421-2026:182214</t>
        </is>
      </c>
      <c r="E22" s="24" t="inlineStr">
        <is>
          <t>TENNIS</t>
        </is>
      </c>
      <c r="F22" s="24" t="inlineStr">
        <is>
          <t>Barbora Krejcikova</t>
        </is>
      </c>
      <c r="G22" s="24" t="inlineStr">
        <is>
          <t>Liudmila Samsonova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-178</v>
      </c>
      <c r="M22" s="27" t="n">
        <v>1.561798</v>
      </c>
      <c r="N22" s="28" t="n">
        <v>0.640288</v>
      </c>
      <c r="O22" s="28" t="n">
        <v>0.733479</v>
      </c>
      <c r="P22" s="28" t="n">
        <v>0.05</v>
      </c>
      <c r="Q22" s="28" t="n">
        <v>0.093191</v>
      </c>
      <c r="R22" s="26" t="n">
        <v>67</v>
      </c>
      <c r="S22" s="29" t="n">
        <v>2</v>
      </c>
      <c r="T22" s="24" t="inlineStr">
        <is>
          <t>tennis-surface-elo-v1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Surface-blended Elo on Hard: Barbora Krejcikova p=0.733 vs Liudmila Samsonova. Executable ask 0.6400 (aec-wta-liusam-barkre-2026-08-06).</t>
        </is>
      </c>
      <c r="AF22" s="31" t="inlineStr">
        <is>
          <t>Surface-blended Elo model; singles only, WTA+ATP market coverage, not yet locked-holdout qualified -- promoted by explicit operator directive, not genuine walk-forward validation.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Barbora Krejcikova</t>
        </is>
      </c>
      <c r="AQ22" s="24" t="inlineStr">
        <is>
          <t>Barbora Krejcikova</t>
        </is>
      </c>
      <c r="AR22" s="24" t="inlineStr">
        <is>
          <t>Barbora Krejcikova</t>
        </is>
      </c>
      <c r="AS22" s="24" t="inlineStr">
        <is>
          <t>Liudmila Samsonova</t>
        </is>
      </c>
      <c r="AT22" s="24" t="inlineStr">
        <is>
          <t>Liudmila Samsonova</t>
        </is>
      </c>
      <c r="AU22" s="24" t="inlineStr">
        <is>
          <t>Liudmila Samsonova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3ab056fefe04713e3c294da76c8adb2866b0dc46556ed32322a0426dd344a0e4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3ab056fefe04713e3c294da76c8adb2866b0dc46556ed32322a0426dd344a0e4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3ab056fefe04713e3c294da76c8adb2866b0dc46556ed32322a0426dd344a0e4</t>
        </is>
      </c>
      <c r="BH22" s="24" t="inlineStr">
        <is>
          <t>2026-08-05T04:34:19.786889Z</t>
        </is>
      </c>
      <c r="BI22" s="24" t="inlineStr">
        <is>
          <t>["same_event","same_team_same_day","same_league_same_day"]</t>
        </is>
      </c>
      <c r="BJ22" s="25" t="n"/>
      <c r="BK22" s="26" t="n">
        <v>-178</v>
      </c>
      <c r="BL22" s="27" t="n">
        <v>1.561798</v>
      </c>
      <c r="BM22" s="28" t="n">
        <v>0.640288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44bcccd381124b6e</t>
        </is>
      </c>
      <c r="B23" s="24" t="inlineStr">
        <is>
          <t>2026-08-05T04:36:19.625619Z</t>
        </is>
      </c>
      <c r="C23" s="24" t="inlineStr">
        <is>
          <t>2026-08-05T10:30Z</t>
        </is>
      </c>
      <c r="D23" s="24" t="inlineStr">
        <is>
          <t>961-2026:182098</t>
        </is>
      </c>
      <c r="E23" s="24" t="inlineStr">
        <is>
          <t>TENNIS</t>
        </is>
      </c>
      <c r="F23" s="24" t="inlineStr">
        <is>
          <t>Mona Barthel</t>
        </is>
      </c>
      <c r="G23" s="24" t="inlineStr">
        <is>
          <t>Martyna Kubka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156</v>
      </c>
      <c r="M23" s="27" t="n">
        <v>2.56</v>
      </c>
      <c r="N23" s="28" t="n">
        <v>0.390625</v>
      </c>
      <c r="O23" s="28" t="n">
        <v>0.5849800000000001</v>
      </c>
      <c r="P23" s="28" t="n">
        <v>0.05</v>
      </c>
      <c r="Q23" s="28" t="n">
        <v>0.194355</v>
      </c>
      <c r="R23" s="26" t="n">
        <v>100</v>
      </c>
      <c r="S23" s="29" t="n">
        <v>1.25</v>
      </c>
      <c r="T23" s="24" t="inlineStr">
        <is>
          <t>tennis-surface-elo-v1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Surface-blended Elo on Hard: Mona Barthel p=0.585 vs Martyna Kubka. Executable ask 0.3900 (aec-wta-markub-monbar-2026-08-05).</t>
        </is>
      </c>
      <c r="AF23" s="31" t="inlineStr">
        <is>
          <t>Surface-blended Elo model; singles only, WTA+ATP market coverage, not yet locked-holdout qualified -- promoted by explicit operator directive, not genuine walk-forward validation.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Mona Barthel</t>
        </is>
      </c>
      <c r="AQ23" s="24" t="inlineStr">
        <is>
          <t>Mona Barthel</t>
        </is>
      </c>
      <c r="AR23" s="24" t="inlineStr">
        <is>
          <t>Mona Barthel</t>
        </is>
      </c>
      <c r="AS23" s="24" t="inlineStr">
        <is>
          <t>Martyna Kubka</t>
        </is>
      </c>
      <c r="AT23" s="24" t="inlineStr">
        <is>
          <t>Martyna Kubka</t>
        </is>
      </c>
      <c r="AU23" s="24" t="inlineStr">
        <is>
          <t>Martyna Kubka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3ab056fefe04713e3c294da76c8adb2866b0dc46556ed32322a0426dd344a0e4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3ab056fefe04713e3c294da76c8adb2866b0dc46556ed32322a0426dd344a0e4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3ab056fefe04713e3c294da76c8adb2866b0dc46556ed32322a0426dd344a0e4</t>
        </is>
      </c>
      <c r="BH23" s="24" t="inlineStr">
        <is>
          <t>2026-08-05T04:34:10.279442Z</t>
        </is>
      </c>
      <c r="BI23" s="24" t="inlineStr">
        <is>
          <t>["same_event","same_team_same_day","same_league_same_day"]</t>
        </is>
      </c>
      <c r="BJ23" s="25" t="n"/>
      <c r="BK23" s="26" t="n">
        <v>156</v>
      </c>
      <c r="BL23" s="27" t="n">
        <v>2.56</v>
      </c>
      <c r="BM23" s="28" t="n">
        <v>0.390625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e020edf7cfeb46ad</t>
        </is>
      </c>
      <c r="B24" s="24" t="inlineStr">
        <is>
          <t>2026-08-05T04:36:19.625619Z</t>
        </is>
      </c>
      <c r="C24" s="24" t="inlineStr">
        <is>
          <t>2026-08-05T12:00Z</t>
        </is>
      </c>
      <c r="D24" s="24" t="inlineStr">
        <is>
          <t>961-2026:182097</t>
        </is>
      </c>
      <c r="E24" s="24" t="inlineStr">
        <is>
          <t>TENNIS</t>
        </is>
      </c>
      <c r="F24" s="24" t="inlineStr">
        <is>
          <t>Veronika Podrez</t>
        </is>
      </c>
      <c r="G24" s="24" t="inlineStr">
        <is>
          <t>Susan Bandecchi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-108</v>
      </c>
      <c r="M24" s="27" t="n">
        <v>1.925926</v>
      </c>
      <c r="N24" s="28" t="n">
        <v>0.519231</v>
      </c>
      <c r="O24" s="28" t="n">
        <v>0.684504</v>
      </c>
      <c r="P24" s="28" t="n">
        <v>0.05</v>
      </c>
      <c r="Q24" s="28" t="n">
        <v>0.165273</v>
      </c>
      <c r="R24" s="26" t="n">
        <v>100</v>
      </c>
      <c r="S24" s="29" t="n">
        <v>2</v>
      </c>
      <c r="T24" s="24" t="inlineStr">
        <is>
          <t>tennis-surface-elo-v1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Surface-blended Elo on Hard: Veronika Podrez p=0.685 vs Susan Bandecchi. Executable ask 0.5200 (aec-wta-susban-verpod-2026-08-05).</t>
        </is>
      </c>
      <c r="AF24" s="31" t="inlineStr">
        <is>
          <t>Surface-blended Elo model; singles only, WTA+ATP market coverage, not yet locked-holdout qualified -- promoted by explicit operator directive, not genuine walk-forward validation.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Veronika Podrez</t>
        </is>
      </c>
      <c r="AQ24" s="24" t="inlineStr">
        <is>
          <t>Veronika Podrez</t>
        </is>
      </c>
      <c r="AR24" s="24" t="inlineStr">
        <is>
          <t>Veronika Podrez</t>
        </is>
      </c>
      <c r="AS24" s="24" t="inlineStr">
        <is>
          <t>Susan Bandecchi</t>
        </is>
      </c>
      <c r="AT24" s="24" t="inlineStr">
        <is>
          <t>Susan Bandecchi</t>
        </is>
      </c>
      <c r="AU24" s="24" t="inlineStr">
        <is>
          <t>Susan Bandecchi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3ab056fefe04713e3c294da76c8adb2866b0dc46556ed32322a0426dd344a0e4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3ab056fefe04713e3c294da76c8adb2866b0dc46556ed32322a0426dd344a0e4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3ab056fefe04713e3c294da76c8adb2866b0dc46556ed32322a0426dd344a0e4</t>
        </is>
      </c>
      <c r="BH24" s="24" t="inlineStr">
        <is>
          <t>2026-08-05T04:34:10.339946Z</t>
        </is>
      </c>
      <c r="BI24" s="24" t="inlineStr">
        <is>
          <t>["same_event","same_team_same_day","same_league_same_day"]</t>
        </is>
      </c>
      <c r="BJ24" s="25" t="n"/>
      <c r="BK24" s="26" t="n">
        <v>-108</v>
      </c>
      <c r="BL24" s="27" t="n">
        <v>1.925926</v>
      </c>
      <c r="BM24" s="28" t="n">
        <v>0.519231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8e9660411beb46fe</t>
        </is>
      </c>
      <c r="B25" s="24" t="inlineStr">
        <is>
          <t>2026-08-05T04:36:19.625619Z</t>
        </is>
      </c>
      <c r="C25" s="24" t="inlineStr">
        <is>
          <t>2026-08-05T15:00Z</t>
        </is>
      </c>
      <c r="D25" s="24" t="inlineStr">
        <is>
          <t>421-2026:181727</t>
        </is>
      </c>
      <c r="E25" s="24" t="inlineStr">
        <is>
          <t>TENNIS</t>
        </is>
      </c>
      <c r="F25" s="24" t="inlineStr">
        <is>
          <t>Joao Fonseca</t>
        </is>
      </c>
      <c r="G25" s="24" t="inlineStr">
        <is>
          <t>Stefanos Tsitsipas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0.629315</v>
      </c>
      <c r="P25" s="28" t="n">
        <v>0.05</v>
      </c>
      <c r="Q25" s="28" t="n">
        <v>0.0585</v>
      </c>
      <c r="R25" s="26" t="n">
        <v>49</v>
      </c>
      <c r="S25" s="29" t="n">
        <v>1.5</v>
      </c>
      <c r="T25" s="24" t="inlineStr">
        <is>
          <t>tennis-surface-elo-v1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Surface-blended Elo on Hard: Joao Fonseca p=0.629 vs Stefanos Tsitsipas. Executable ask 0.5700 (aec-atp-stetsi-joafon-2026-08-05).</t>
        </is>
      </c>
      <c r="AF25" s="31" t="inlineStr">
        <is>
          <t>Surface-blended Elo model; singles only, WTA+ATP market coverage, not yet locked-holdout qualified -- promoted by explicit operator directive, not genuine walk-forward validation.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Joao Fonseca</t>
        </is>
      </c>
      <c r="AQ25" s="24" t="inlineStr">
        <is>
          <t>Joao Fonseca</t>
        </is>
      </c>
      <c r="AR25" s="24" t="inlineStr">
        <is>
          <t>Joao Fonseca</t>
        </is>
      </c>
      <c r="AS25" s="24" t="inlineStr">
        <is>
          <t>Stefanos Tsitsipas</t>
        </is>
      </c>
      <c r="AT25" s="24" t="inlineStr">
        <is>
          <t>Stefanos Tsitsipas</t>
        </is>
      </c>
      <c r="AU25" s="24" t="inlineStr">
        <is>
          <t>Stefanos Tsitsipas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3ab056fefe04713e3c294da76c8adb2866b0dc46556ed32322a0426dd344a0e4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3ab056fefe04713e3c294da76c8adb2866b0dc46556ed32322a0426dd344a0e4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3ab056fefe04713e3c294da76c8adb2866b0dc46556ed32322a0426dd344a0e4</t>
        </is>
      </c>
      <c r="BH25" s="24" t="inlineStr">
        <is>
          <t>2026-08-05T04:34:29.605345Z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d2ae439197534b67</t>
        </is>
      </c>
      <c r="B26" s="24" t="inlineStr">
        <is>
          <t>2026-08-05T04:36:19.625619Z</t>
        </is>
      </c>
      <c r="C26" s="24" t="inlineStr">
        <is>
          <t>2026-08-05T16:30Z</t>
        </is>
      </c>
      <c r="D26" s="24" t="inlineStr">
        <is>
          <t>421-2026:181752</t>
        </is>
      </c>
      <c r="E26" s="24" t="inlineStr">
        <is>
          <t>TENNIS</t>
        </is>
      </c>
      <c r="F26" s="24" t="inlineStr">
        <is>
          <t>Arthur Rinderknech</t>
        </is>
      </c>
      <c r="G26" s="24" t="inlineStr">
        <is>
          <t>Miomir Kecmanovic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100</v>
      </c>
      <c r="M26" s="27" t="n">
        <v>2</v>
      </c>
      <c r="N26" s="28" t="n">
        <v>0.5</v>
      </c>
      <c r="O26" s="28" t="n">
        <v>0.5960220000000001</v>
      </c>
      <c r="P26" s="28" t="n">
        <v>0.05</v>
      </c>
      <c r="Q26" s="28" t="n">
        <v>0.096022</v>
      </c>
      <c r="R26" s="26" t="n">
        <v>68</v>
      </c>
      <c r="S26" s="29" t="n">
        <v>1.25</v>
      </c>
      <c r="T26" s="24" t="inlineStr">
        <is>
          <t>tennis-surface-elo-v1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Surface-blended Elo on Hard: Arthur Rinderknech p=0.596 vs Miomir Kecmanovic. Executable ask 0.5000 (aec-atp-miokec-artrin-2026-08-05).</t>
        </is>
      </c>
      <c r="AF26" s="31" t="inlineStr">
        <is>
          <t>Surface-blended Elo model; singles only, WTA+ATP market coverage, not yet locked-holdout qualified -- promoted by explicit operator directive, not genuine walk-forward validation.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Arthur Rinderknech</t>
        </is>
      </c>
      <c r="AQ26" s="24" t="inlineStr">
        <is>
          <t>Arthur Rinderknech</t>
        </is>
      </c>
      <c r="AR26" s="24" t="inlineStr">
        <is>
          <t>Arthur Rinderknech</t>
        </is>
      </c>
      <c r="AS26" s="24" t="inlineStr">
        <is>
          <t>Miomir Kecmanovic</t>
        </is>
      </c>
      <c r="AT26" s="24" t="inlineStr">
        <is>
          <t>Miomir Kecmanovic</t>
        </is>
      </c>
      <c r="AU26" s="24" t="inlineStr">
        <is>
          <t>Miomir Kecmanovic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3ab056fefe04713e3c294da76c8adb2866b0dc46556ed32322a0426dd344a0e4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3ab056fefe04713e3c294da76c8adb2866b0dc46556ed32322a0426dd344a0e4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3ab056fefe04713e3c294da76c8adb2866b0dc46556ed32322a0426dd344a0e4</t>
        </is>
      </c>
      <c r="BH26" s="24" t="inlineStr">
        <is>
          <t>2026-08-05T04:34:30.228623Z</t>
        </is>
      </c>
      <c r="BI26" s="24" t="inlineStr">
        <is>
          <t>["same_event","same_team_same_day","same_league_same_day"]</t>
        </is>
      </c>
      <c r="BJ26" s="25" t="n"/>
      <c r="BK26" s="26" t="n">
        <v>100</v>
      </c>
      <c r="BL26" s="27" t="n">
        <v>2</v>
      </c>
      <c r="BM26" s="28" t="n">
        <v>0.5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f276d6d0260c4f9f</t>
        </is>
      </c>
      <c r="B27" s="24" t="inlineStr">
        <is>
          <t>2026-08-05T04:36:19.625619Z</t>
        </is>
      </c>
      <c r="C27" s="24" t="inlineStr">
        <is>
          <t>2026-08-05T18:00Z</t>
        </is>
      </c>
      <c r="D27" s="24" t="inlineStr">
        <is>
          <t>421-2026:181743</t>
        </is>
      </c>
      <c r="E27" s="24" t="inlineStr">
        <is>
          <t>TENNIS</t>
        </is>
      </c>
      <c r="F27" s="24" t="inlineStr">
        <is>
          <t>Alejandro Tabilo</t>
        </is>
      </c>
      <c r="G27" s="24" t="inlineStr">
        <is>
          <t>Hubert Hurkacz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150</v>
      </c>
      <c r="M27" s="27" t="n">
        <v>2.5</v>
      </c>
      <c r="N27" s="28" t="n">
        <v>0.4</v>
      </c>
      <c r="O27" s="28" t="n">
        <v>0.584869</v>
      </c>
      <c r="P27" s="28" t="n">
        <v>0.05</v>
      </c>
      <c r="Q27" s="28" t="n">
        <v>0.184869</v>
      </c>
      <c r="R27" s="26" t="n">
        <v>100</v>
      </c>
      <c r="S27" s="29" t="n">
        <v>1.25</v>
      </c>
      <c r="T27" s="24" t="inlineStr">
        <is>
          <t>tennis-surface-elo-v1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Surface-blended Elo on Hard: Alejandro Tabilo p=0.585 vs Hubert Hurkacz. Executable ask 0.4000 (aec-atp-hubhur-aletab-2026-08-06).</t>
        </is>
      </c>
      <c r="AF27" s="31" t="inlineStr">
        <is>
          <t>Surface-blended Elo model; singles only, WTA+ATP market coverage, not yet locked-holdout qualified -- promoted by explicit operator directive, not genuine walk-forward validation.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Alejandro Tabilo</t>
        </is>
      </c>
      <c r="AQ27" s="24" t="inlineStr">
        <is>
          <t>Alejandro Tabilo</t>
        </is>
      </c>
      <c r="AR27" s="24" t="inlineStr">
        <is>
          <t>Alejandro Tabilo</t>
        </is>
      </c>
      <c r="AS27" s="24" t="inlineStr">
        <is>
          <t>Hubert Hurkacz</t>
        </is>
      </c>
      <c r="AT27" s="24" t="inlineStr">
        <is>
          <t>Hubert Hurkacz</t>
        </is>
      </c>
      <c r="AU27" s="24" t="inlineStr">
        <is>
          <t>Hubert Hurkacz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3ab056fefe04713e3c294da76c8adb2866b0dc46556ed32322a0426dd344a0e4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3ab056fefe04713e3c294da76c8adb2866b0dc46556ed32322a0426dd344a0e4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3ab056fefe04713e3c294da76c8adb2866b0dc46556ed32322a0426dd344a0e4</t>
        </is>
      </c>
      <c r="BH27" s="24" t="inlineStr">
        <is>
          <t>2026-08-05T04:34:34.393571Z</t>
        </is>
      </c>
      <c r="BI27" s="24" t="inlineStr">
        <is>
          <t>["same_event","same_team_same_day","same_league_same_day"]</t>
        </is>
      </c>
      <c r="BJ27" s="25" t="n"/>
      <c r="BK27" s="26" t="n">
        <v>150</v>
      </c>
      <c r="BL27" s="27" t="n">
        <v>2.5</v>
      </c>
      <c r="BM27" s="28" t="n">
        <v>0.4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21b78587ba4444b3</t>
        </is>
      </c>
      <c r="B28" s="24" t="inlineStr">
        <is>
          <t>2026-08-05T04:36:19.625619Z</t>
        </is>
      </c>
      <c r="C28" s="24" t="inlineStr">
        <is>
          <t>2026-08-05T19:30Z</t>
        </is>
      </c>
      <c r="D28" s="24" t="inlineStr">
        <is>
          <t>421-2026:181753</t>
        </is>
      </c>
      <c r="E28" s="24" t="inlineStr">
        <is>
          <t>TENNIS</t>
        </is>
      </c>
      <c r="F28" s="24" t="inlineStr">
        <is>
          <t>Francisco Cerundolo</t>
        </is>
      </c>
      <c r="G28" s="24" t="inlineStr">
        <is>
          <t>Alex Michelsen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150</v>
      </c>
      <c r="M28" s="27" t="n">
        <v>2.5</v>
      </c>
      <c r="N28" s="28" t="n">
        <v>0.4</v>
      </c>
      <c r="O28" s="28" t="n">
        <v>0.657899</v>
      </c>
      <c r="P28" s="28" t="n">
        <v>0.05</v>
      </c>
      <c r="Q28" s="28" t="n">
        <v>0.257899</v>
      </c>
      <c r="R28" s="26" t="n">
        <v>100</v>
      </c>
      <c r="S28" s="29" t="n">
        <v>1.75</v>
      </c>
      <c r="T28" s="24" t="inlineStr">
        <is>
          <t>tennis-surface-elo-v1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Surface-blended Elo on Hard: Francisco Cerundolo p=0.658 vs Alex Michelsen. Executable ask 0.4000 (aec-atp-alemic-fracer-2026-08-06).</t>
        </is>
      </c>
      <c r="AF28" s="31" t="inlineStr">
        <is>
          <t>Surface-blended Elo model; singles only, WTA+ATP market coverage, not yet locked-holdout qualified -- promoted by explicit operator directive, not genuine walk-forward validation.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Francisco Cerundolo</t>
        </is>
      </c>
      <c r="AQ28" s="24" t="inlineStr">
        <is>
          <t>Francisco Cerundolo</t>
        </is>
      </c>
      <c r="AR28" s="24" t="inlineStr">
        <is>
          <t>Francisco Cerundolo</t>
        </is>
      </c>
      <c r="AS28" s="24" t="inlineStr">
        <is>
          <t>Alex Michelsen</t>
        </is>
      </c>
      <c r="AT28" s="24" t="inlineStr">
        <is>
          <t>Alex Michelsen</t>
        </is>
      </c>
      <c r="AU28" s="24" t="inlineStr">
        <is>
          <t>Alex Michelsen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3ab056fefe04713e3c294da76c8adb2866b0dc46556ed32322a0426dd344a0e4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3ab056fefe04713e3c294da76c8adb2866b0dc46556ed32322a0426dd344a0e4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3ab056fefe04713e3c294da76c8adb2866b0dc46556ed32322a0426dd344a0e4</t>
        </is>
      </c>
      <c r="BH28" s="24" t="inlineStr">
        <is>
          <t>2026-08-05T04:34:39.206890Z</t>
        </is>
      </c>
      <c r="BI28" s="24" t="inlineStr">
        <is>
          <t>["same_event","same_team_same_day","same_league_same_day"]</t>
        </is>
      </c>
      <c r="BJ28" s="25" t="n"/>
      <c r="BK28" s="26" t="n">
        <v>150</v>
      </c>
      <c r="BL28" s="27" t="n">
        <v>2.5</v>
      </c>
      <c r="BM28" s="28" t="n">
        <v>0.4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8c4a1a66a49943db</t>
        </is>
      </c>
      <c r="B29" s="24" t="inlineStr">
        <is>
          <t>2026-08-05T04:36:19.625619Z</t>
        </is>
      </c>
      <c r="C29" s="24" t="inlineStr">
        <is>
          <t>2026-08-05T22:00Z</t>
        </is>
      </c>
      <c r="D29" s="24" t="inlineStr">
        <is>
          <t>421-2026:181733</t>
        </is>
      </c>
      <c r="E29" s="24" t="inlineStr">
        <is>
          <t>TENNIS</t>
        </is>
      </c>
      <c r="F29" s="24" t="inlineStr">
        <is>
          <t>Botic Van De Zandschulp</t>
        </is>
      </c>
      <c r="G29" s="24" t="inlineStr">
        <is>
          <t>Daniil Medvedev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-270</v>
      </c>
      <c r="M29" s="27" t="n">
        <v>1.37037</v>
      </c>
      <c r="N29" s="28" t="n">
        <v>0.72973</v>
      </c>
      <c r="O29" s="28" t="n">
        <v>0.8122509999999999</v>
      </c>
      <c r="P29" s="28" t="n">
        <v>0.05</v>
      </c>
      <c r="Q29" s="28" t="n">
        <v>0.082521</v>
      </c>
      <c r="R29" s="26" t="n">
        <v>61</v>
      </c>
      <c r="S29" s="29" t="n">
        <v>2</v>
      </c>
      <c r="T29" s="24" t="inlineStr">
        <is>
          <t>tennis-surface-elo-v1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Surface-blended Elo on Hard: Botic Van De Zandschulp p=0.188 vs Daniil Medvedev. Executable ask 0.7300 (aec-atp-danmed-botzan-2026-08-06).</t>
        </is>
      </c>
      <c r="AF29" s="31" t="inlineStr">
        <is>
          <t>Surface-blended Elo model; singles only, WTA+ATP market coverage, not yet locked-holdout qualified -- promoted by explicit operator directive, not genuine walk-forward validation.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Botic Van De Zandschulp</t>
        </is>
      </c>
      <c r="AQ29" s="24" t="inlineStr">
        <is>
          <t>Botic Van De Zandschulp</t>
        </is>
      </c>
      <c r="AR29" s="24" t="inlineStr">
        <is>
          <t>Botic Van De Zandschulp</t>
        </is>
      </c>
      <c r="AS29" s="24" t="inlineStr">
        <is>
          <t>Daniil Medvedev</t>
        </is>
      </c>
      <c r="AT29" s="24" t="inlineStr">
        <is>
          <t>Daniil Medvedev</t>
        </is>
      </c>
      <c r="AU29" s="24" t="inlineStr">
        <is>
          <t>Daniil Medvedev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3ab056fefe04713e3c294da76c8adb2866b0dc46556ed32322a0426dd344a0e4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3ab056fefe04713e3c294da76c8adb2866b0dc46556ed32322a0426dd344a0e4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3ab056fefe04713e3c294da76c8adb2866b0dc46556ed32322a0426dd344a0e4</t>
        </is>
      </c>
      <c r="BH29" s="24" t="inlineStr">
        <is>
          <t>2026-08-05T04:34:42.085885Z</t>
        </is>
      </c>
      <c r="BI29" s="24" t="inlineStr">
        <is>
          <t>["same_event","same_team_same_day","same_league_same_day"]</t>
        </is>
      </c>
      <c r="BJ29" s="25" t="n"/>
      <c r="BK29" s="26" t="n">
        <v>-270</v>
      </c>
      <c r="BL29" s="27" t="n">
        <v>1.37037</v>
      </c>
      <c r="BM29" s="28" t="n">
        <v>0.72973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2026-08-05T04:37:23Z</dcterms:created>
  <dcterms:modified xsi:type="dcterms:W3CDTF">2026-08-05T04:37:23Z</dcterms:modified>
</cp:coreProperties>
</file>