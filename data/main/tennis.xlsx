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0" headerRowCount="1">
  <autoFilter ref="A1:CS3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COUNTA('Picks'!$A$2:$A$30)</f>
        <v/>
      </c>
      <c r="C4" s="6">
        <f>COUNTIF('Picks'!$U$2:$U$30,"open")</f>
        <v/>
      </c>
      <c r="E4" s="6">
        <f>COUNTIF('Picks'!$U$2:$U$30,"settled")</f>
        <v/>
      </c>
      <c r="G4" s="6">
        <f>IF(COUNTIFS('Picks'!$U$2:$U$30,"settled",'Picks'!$V$2:$V$30,"win")+COUNTIFS('Picks'!$U$2:$U$30,"settled",'Picks'!$V$2:$V$30,"loss")&gt;=$L$2,"Ready","Insufficient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COUNTIF('Picks'!$BX$2:$BX$30,"&gt;0")</f>
        <v/>
      </c>
      <c r="C7" s="6">
        <f>COUNTIFS('Picks'!$BX$2:$BX$30,"&gt;0",'Picks'!$V$2:$V$30,"win")&amp;"-"&amp;COUNTIFS('Picks'!$BX$2:$BX$30,"&gt;0",'Picks'!$V$2:$V$30,"loss")</f>
        <v/>
      </c>
      <c r="E7" s="7">
        <f>IFERROR(COUNTIFS('Picks'!$BX$2:$BX$30,"&gt;0",'Picks'!$V$2:$V$30,"win")/(COUNTIFS('Picks'!$BX$2:$BX$30,"&gt;0",'Picks'!$V$2:$V$30,"win")+COUNTIFS('Picks'!$BX$2:$BX$30,"&gt;0",'Picks'!$V$2:$V$30,"loss")),0)</f>
        <v/>
      </c>
      <c r="G7" s="7">
        <f>IFERROR(SUM('Picks'!$BY$2:$BY$30)/SUM('Picks'!$BX$2:$BX$30),0)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SUM('Picks'!$BY$2:$BY$30)</f>
        <v/>
      </c>
      <c r="C10" s="9">
        <f>IFERROR(AVERAGEIF('Picks'!$AB$2:$AB$30,"&lt;&gt;",'Picks'!$AB$2:$AB$30),0)</f>
        <v/>
      </c>
      <c r="E10" s="6">
        <f>COUNTIFS('Picks'!$AM$2:$AM$30,"QUALIFIED_SHADOW_CALL",'Picks'!$U$2:$U$30,"settled")</f>
        <v/>
      </c>
      <c r="G10" s="8">
        <f>SUMIFS('Picks'!$AC$2:$AC$30,'Picks'!$AM$2:$AM$30,"QUALIFIED_SHADOW_CALL")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COUNTIFS('Picks'!$H$2:$H$30,$A14,'Picks'!$U$2:$U$30,"settled")</f>
        <v/>
      </c>
      <c r="C14" s="13">
        <f>COUNTIFS('Picks'!$H$2:$H$30,$A14,'Picks'!$U$2:$U$30,"settled",'Picks'!$V$2:$V$30,"win")</f>
        <v/>
      </c>
      <c r="D14" s="13">
        <f>COUNTIFS('Picks'!$H$2:$H$30,$A14,'Picks'!$U$2:$U$30,"settled",'Picks'!$V$2:$V$30,"loss")</f>
        <v/>
      </c>
      <c r="E14" s="14">
        <f>IFERROR(C14/(C14+D14),0)</f>
        <v/>
      </c>
      <c r="F14" s="15">
        <f>SUMIFS('Picks'!$BY$2:$BY$30,'Picks'!$H$2:$H$30,$A14)</f>
        <v/>
      </c>
      <c r="G14" s="16">
        <f>IFERROR(AVERAGEIFS('Picks'!$AB$2:$AB$30,'Picks'!$H$2:$H$30,$A14,'Picks'!$U$2:$U$30,"settled"),0)</f>
        <v/>
      </c>
    </row>
    <row r="15">
      <c r="A15" s="17" t="inlineStr">
        <is>
          <t>spread</t>
        </is>
      </c>
      <c r="B15" s="18">
        <f>COUNTIFS('Picks'!$H$2:$H$30,$A15,'Picks'!$U$2:$U$30,"settled")</f>
        <v/>
      </c>
      <c r="C15" s="18">
        <f>COUNTIFS('Picks'!$H$2:$H$30,$A15,'Picks'!$U$2:$U$30,"settled",'Picks'!$V$2:$V$30,"win")</f>
        <v/>
      </c>
      <c r="D15" s="18">
        <f>COUNTIFS('Picks'!$H$2:$H$30,$A15,'Picks'!$U$2:$U$30,"settled",'Picks'!$V$2:$V$30,"loss")</f>
        <v/>
      </c>
      <c r="E15" s="19">
        <f>IFERROR(C15/(C15+D15),0)</f>
        <v/>
      </c>
      <c r="F15" s="20">
        <f>SUMIFS('Picks'!$BY$2:$BY$30,'Picks'!$H$2:$H$30,$A15)</f>
        <v/>
      </c>
      <c r="G15" s="21">
        <f>IFERROR(AVERAGEIFS('Picks'!$AB$2:$AB$30,'Picks'!$H$2:$H$30,$A15,'Picks'!$U$2:$U$30,"settled"),0)</f>
        <v/>
      </c>
    </row>
    <row r="16">
      <c r="A16" s="12" t="inlineStr">
        <is>
          <t>total</t>
        </is>
      </c>
      <c r="B16" s="13">
        <f>COUNTIFS('Picks'!$H$2:$H$30,$A16,'Picks'!$U$2:$U$30,"settled")</f>
        <v/>
      </c>
      <c r="C16" s="13">
        <f>COUNTIFS('Picks'!$H$2:$H$30,$A16,'Picks'!$U$2:$U$30,"settled",'Picks'!$V$2:$V$30,"win")</f>
        <v/>
      </c>
      <c r="D16" s="13">
        <f>COUNTIFS('Picks'!$H$2:$H$30,$A16,'Picks'!$U$2:$U$30,"settled",'Picks'!$V$2:$V$30,"loss")</f>
        <v/>
      </c>
      <c r="E16" s="14">
        <f>IFERROR(C16/(C16+D16),0)</f>
        <v/>
      </c>
      <c r="F16" s="15">
        <f>SUMIFS('Picks'!$BY$2:$BY$30,'Picks'!$H$2:$H$30,$A16)</f>
        <v/>
      </c>
      <c r="G16" s="16">
        <f>IFERROR(AVERAGEIFS('Picks'!$AB$2:$AB$30,'Picks'!$H$2:$H$30,$A16,'Picks'!$U$2:$U$30,"settled"),0)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0.27</v>
      </c>
      <c r="AB11" s="28" t="n">
        <v>-0.00027</v>
      </c>
      <c r="AC11" s="30" t="n">
        <v>2.7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0.27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0.53</v>
      </c>
      <c r="AB15" s="28" t="n">
        <v>-0.000516</v>
      </c>
      <c r="AC15" s="30" t="n">
        <v>1.1062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36f2b4a83bab424a</t>
        </is>
      </c>
      <c r="B22" s="24" t="inlineStr">
        <is>
          <t>2026-08-05T13:54:48.712587Z</t>
        </is>
      </c>
      <c r="C22" s="24" t="inlineStr">
        <is>
          <t>2026-08-05T18:00Z</t>
        </is>
      </c>
      <c r="D22" s="24" t="inlineStr">
        <is>
          <t>421-2026:182208</t>
        </is>
      </c>
      <c r="E22" s="24" t="inlineStr">
        <is>
          <t>TENNIS</t>
        </is>
      </c>
      <c r="F22" s="24" t="inlineStr">
        <is>
          <t>Emma Navarro</t>
        </is>
      </c>
      <c r="G22" s="24" t="inlineStr">
        <is>
          <t>Alina Korneeva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0.646211</v>
      </c>
      <c r="P22" s="28" t="n">
        <v>0.05</v>
      </c>
      <c r="Q22" s="28" t="n">
        <v>0.10704</v>
      </c>
      <c r="R22" s="26" t="n">
        <v>74</v>
      </c>
      <c r="S22" s="29" t="n">
        <v>1.75</v>
      </c>
      <c r="T22" s="24" t="inlineStr">
        <is>
          <t>tennis-surface-elo-v1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Surface-blended Elo on Hard: Emma Navarro p=0.646 vs Alina Korneeva. Executable ask 0.5400 (aec-wta-alikor-emmnav-2026-08-04).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Emma Navarro</t>
        </is>
      </c>
      <c r="AQ22" s="24" t="inlineStr">
        <is>
          <t>Emma Navarro</t>
        </is>
      </c>
      <c r="AR22" s="24" t="inlineStr">
        <is>
          <t>Emma Navarro</t>
        </is>
      </c>
      <c r="AS22" s="24" t="inlineStr">
        <is>
          <t>Alina Korneeva</t>
        </is>
      </c>
      <c r="AT22" s="24" t="inlineStr">
        <is>
          <t>Alina Korneeva</t>
        </is>
      </c>
      <c r="AU22" s="24" t="inlineStr">
        <is>
          <t>Alina Korneeva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2026-08-05T13:52:42.200980Z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2b711e12bdab4d1d</t>
        </is>
      </c>
      <c r="B23" s="24" t="inlineStr">
        <is>
          <t>2026-08-05T13:54:48.712587Z</t>
        </is>
      </c>
      <c r="C23" s="24" t="inlineStr">
        <is>
          <t>2026-08-05T21:00Z</t>
        </is>
      </c>
      <c r="D23" s="24" t="inlineStr">
        <is>
          <t>421-2026:182179</t>
        </is>
      </c>
      <c r="E23" s="24" t="inlineStr">
        <is>
          <t>TENNIS</t>
        </is>
      </c>
      <c r="F23" s="24" t="inlineStr">
        <is>
          <t>Maya Joint</t>
        </is>
      </c>
      <c r="G23" s="24" t="inlineStr">
        <is>
          <t>Sorana Cirstea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-270</v>
      </c>
      <c r="M23" s="27" t="n">
        <v>1.37037</v>
      </c>
      <c r="N23" s="28" t="n">
        <v>0.72973</v>
      </c>
      <c r="O23" s="28" t="n">
        <v>0.797746</v>
      </c>
      <c r="P23" s="28" t="n">
        <v>0.05</v>
      </c>
      <c r="Q23" s="28" t="n">
        <v>0.06801599999999999</v>
      </c>
      <c r="R23" s="26" t="n">
        <v>54</v>
      </c>
      <c r="S23" s="29" t="n">
        <v>2</v>
      </c>
      <c r="T23" s="24" t="inlineStr">
        <is>
          <t>tennis-surface-elo-v1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Surface-blended Elo on Hard: Maya Joint p=0.202 vs Sorana Cirstea. Executable ask 0.7300 (aec-wta-sorcir-mayjoi-2026-08-04).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Maya Joint</t>
        </is>
      </c>
      <c r="AQ23" s="24" t="inlineStr">
        <is>
          <t>Maya Joint</t>
        </is>
      </c>
      <c r="AR23" s="24" t="inlineStr">
        <is>
          <t>Maya Joint</t>
        </is>
      </c>
      <c r="AS23" s="24" t="inlineStr">
        <is>
          <t>Sorana Cirstea</t>
        </is>
      </c>
      <c r="AT23" s="24" t="inlineStr">
        <is>
          <t>Sorana Cirstea</t>
        </is>
      </c>
      <c r="AU23" s="24" t="inlineStr">
        <is>
          <t>Sorana Cirstea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2026-08-05T13:52:46.461127Z</t>
        </is>
      </c>
      <c r="BI23" s="24" t="inlineStr">
        <is>
          <t>["same_event","same_team_same_day","same_league_same_day"]</t>
        </is>
      </c>
      <c r="BJ23" s="25" t="n"/>
      <c r="BK23" s="26" t="n">
        <v>-270</v>
      </c>
      <c r="BL23" s="27" t="n">
        <v>1.37037</v>
      </c>
      <c r="BM23" s="28" t="n">
        <v>0.72973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e3446e50fda04f75</t>
        </is>
      </c>
      <c r="B24" s="24" t="inlineStr">
        <is>
          <t>2026-08-05T13:54:48.712587Z</t>
        </is>
      </c>
      <c r="C24" s="24" t="inlineStr">
        <is>
          <t>2026-08-05T21:00Z</t>
        </is>
      </c>
      <c r="D24" s="24" t="inlineStr">
        <is>
          <t>421-2026:182214</t>
        </is>
      </c>
      <c r="E24" s="24" t="inlineStr">
        <is>
          <t>TENNIS</t>
        </is>
      </c>
      <c r="F24" s="24" t="inlineStr">
        <is>
          <t>Barbora Krejcikova</t>
        </is>
      </c>
      <c r="G24" s="24" t="inlineStr">
        <is>
          <t>Liudmila Samsonova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-144</v>
      </c>
      <c r="M24" s="27" t="n">
        <v>1.694444</v>
      </c>
      <c r="N24" s="28" t="n">
        <v>0.590164</v>
      </c>
      <c r="O24" s="28" t="n">
        <v>0.733479</v>
      </c>
      <c r="P24" s="28" t="n">
        <v>0.05</v>
      </c>
      <c r="Q24" s="28" t="n">
        <v>0.143315</v>
      </c>
      <c r="R24" s="26" t="n">
        <v>92</v>
      </c>
      <c r="S24" s="29" t="n">
        <v>2</v>
      </c>
      <c r="T24" s="24" t="inlineStr">
        <is>
          <t>tennis-surface-elo-v1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Surface-blended Elo on Hard: Barbora Krejcikova p=0.733 vs Liudmila Samsonova. Executable ask 0.5900 (aec-wta-liusam-barkre-2026-08-06).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Barbora Krejcikova</t>
        </is>
      </c>
      <c r="AQ24" s="24" t="inlineStr">
        <is>
          <t>Barbora Krejcikova</t>
        </is>
      </c>
      <c r="AR24" s="24" t="inlineStr">
        <is>
          <t>Barbora Krejcikova</t>
        </is>
      </c>
      <c r="AS24" s="24" t="inlineStr">
        <is>
          <t>Liudmila Samsonova</t>
        </is>
      </c>
      <c r="AT24" s="24" t="inlineStr">
        <is>
          <t>Liudmila Samsonova</t>
        </is>
      </c>
      <c r="AU24" s="24" t="inlineStr">
        <is>
          <t>Liudmila Samsonova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2026-08-05T13:52:45.892436Z</t>
        </is>
      </c>
      <c r="BI24" s="24" t="inlineStr">
        <is>
          <t>["same_event","same_team_same_day","same_league_same_day"]</t>
        </is>
      </c>
      <c r="BJ24" s="25" t="n"/>
      <c r="BK24" s="26" t="n">
        <v>-144</v>
      </c>
      <c r="BL24" s="27" t="n">
        <v>1.694444</v>
      </c>
      <c r="BM24" s="28" t="n">
        <v>0.590164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8d670cbce19e4458</t>
        </is>
      </c>
      <c r="B25" s="24" t="inlineStr">
        <is>
          <t>2026-08-05T13:54:48.712587Z</t>
        </is>
      </c>
      <c r="C25" s="24" t="inlineStr">
        <is>
          <t>2026-08-05T16:30Z</t>
        </is>
      </c>
      <c r="D25" s="24" t="inlineStr">
        <is>
          <t>421-2026:181752</t>
        </is>
      </c>
      <c r="E25" s="24" t="inlineStr">
        <is>
          <t>TENNIS</t>
        </is>
      </c>
      <c r="F25" s="24" t="inlineStr">
        <is>
          <t>Arthur Rinderknech</t>
        </is>
      </c>
      <c r="G25" s="24" t="inlineStr">
        <is>
          <t>Miomir Kecmanovic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104</v>
      </c>
      <c r="M25" s="27" t="n">
        <v>2.04</v>
      </c>
      <c r="N25" s="28" t="n">
        <v>0.490196</v>
      </c>
      <c r="O25" s="28" t="n">
        <v>0.5960220000000001</v>
      </c>
      <c r="P25" s="28" t="n">
        <v>0.05</v>
      </c>
      <c r="Q25" s="28" t="n">
        <v>0.105826</v>
      </c>
      <c r="R25" s="26" t="n">
        <v>73</v>
      </c>
      <c r="S25" s="29" t="n">
        <v>1.25</v>
      </c>
      <c r="T25" s="24" t="inlineStr">
        <is>
          <t>tennis-surface-elo-v1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Surface-blended Elo on Hard: Arthur Rinderknech p=0.596 vs Miomir Kecmanovic. Executable ask 0.4900 (aec-atp-miokec-artrin-2026-08-05).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Arthur Rinderknech</t>
        </is>
      </c>
      <c r="AQ25" s="24" t="inlineStr">
        <is>
          <t>Arthur Rinderknech</t>
        </is>
      </c>
      <c r="AR25" s="24" t="inlineStr">
        <is>
          <t>Arthur Rinderknech</t>
        </is>
      </c>
      <c r="AS25" s="24" t="inlineStr">
        <is>
          <t>Miomir Kecmanovic</t>
        </is>
      </c>
      <c r="AT25" s="24" t="inlineStr">
        <is>
          <t>Miomir Kecmanovic</t>
        </is>
      </c>
      <c r="AU25" s="24" t="inlineStr">
        <is>
          <t>Miomir Kecmanovic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2026-08-05T13:52:54.747914Z</t>
        </is>
      </c>
      <c r="BI25" s="24" t="inlineStr">
        <is>
          <t>["same_event","same_team_same_day","same_league_same_day"]</t>
        </is>
      </c>
      <c r="BJ25" s="25" t="n"/>
      <c r="BK25" s="26" t="n">
        <v>104</v>
      </c>
      <c r="BL25" s="27" t="n">
        <v>2.04</v>
      </c>
      <c r="BM25" s="28" t="n">
        <v>0.490196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a8318311332241c5</t>
        </is>
      </c>
      <c r="B26" s="24" t="inlineStr">
        <is>
          <t>2026-08-05T13:54:48.712587Z</t>
        </is>
      </c>
      <c r="C26" s="24" t="inlineStr">
        <is>
          <t>2026-08-05T16:30Z</t>
        </is>
      </c>
      <c r="D26" s="24" t="inlineStr">
        <is>
          <t>421-2026:181765</t>
        </is>
      </c>
      <c r="E26" s="24" t="inlineStr">
        <is>
          <t>TENNIS</t>
        </is>
      </c>
      <c r="F26" s="24" t="inlineStr">
        <is>
          <t>Ben Shelton</t>
        </is>
      </c>
      <c r="G26" s="24" t="inlineStr">
        <is>
          <t>Jenson Brooksby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-300</v>
      </c>
      <c r="M26" s="27" t="n">
        <v>1.333333</v>
      </c>
      <c r="N26" s="28" t="n">
        <v>0.75</v>
      </c>
      <c r="O26" s="28" t="n">
        <v>0.814392</v>
      </c>
      <c r="P26" s="28" t="n">
        <v>0.05</v>
      </c>
      <c r="Q26" s="28" t="n">
        <v>0.064392</v>
      </c>
      <c r="R26" s="26" t="n">
        <v>52</v>
      </c>
      <c r="S26" s="29" t="n">
        <v>2</v>
      </c>
      <c r="T26" s="24" t="inlineStr">
        <is>
          <t>tennis-surface-elo-v1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Surface-blended Elo on Hard: Ben Shelton p=0.814 vs Jenson Brooksby. Executable ask 0.7500 (aec-atp-jenbro-benshe-2026-08-06).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Ben Shelton</t>
        </is>
      </c>
      <c r="AQ26" s="24" t="inlineStr">
        <is>
          <t>Ben Shelton</t>
        </is>
      </c>
      <c r="AR26" s="24" t="inlineStr">
        <is>
          <t>Ben Shelton</t>
        </is>
      </c>
      <c r="AS26" s="24" t="inlineStr">
        <is>
          <t>Jenson Brooksby</t>
        </is>
      </c>
      <c r="AT26" s="24" t="inlineStr">
        <is>
          <t>Jenson Brooksby</t>
        </is>
      </c>
      <c r="AU26" s="24" t="inlineStr">
        <is>
          <t>Jenson Brooksby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2026-08-05T13:52:57.128543Z</t>
        </is>
      </c>
      <c r="BI26" s="24" t="inlineStr">
        <is>
          <t>["same_event","same_team_same_day","same_league_same_day"]</t>
        </is>
      </c>
      <c r="BJ26" s="25" t="n"/>
      <c r="BK26" s="26" t="n">
        <v>-300</v>
      </c>
      <c r="BL26" s="27" t="n">
        <v>1.333333</v>
      </c>
      <c r="BM26" s="28" t="n">
        <v>0.75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e5b6f93ebaa24dbe</t>
        </is>
      </c>
      <c r="B27" s="24" t="inlineStr">
        <is>
          <t>2026-08-05T13:54:48.712587Z</t>
        </is>
      </c>
      <c r="C27" s="24" t="inlineStr">
        <is>
          <t>2026-08-05T18:00Z</t>
        </is>
      </c>
      <c r="D27" s="24" t="inlineStr">
        <is>
          <t>421-2026:181743</t>
        </is>
      </c>
      <c r="E27" s="24" t="inlineStr">
        <is>
          <t>TENNIS</t>
        </is>
      </c>
      <c r="F27" s="24" t="inlineStr">
        <is>
          <t>Alejandro Tabilo</t>
        </is>
      </c>
      <c r="G27" s="24" t="inlineStr">
        <is>
          <t>Hubert Hurkacz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138</v>
      </c>
      <c r="M27" s="27" t="n">
        <v>2.38</v>
      </c>
      <c r="N27" s="28" t="n">
        <v>0.420168</v>
      </c>
      <c r="O27" s="28" t="n">
        <v>0.584869</v>
      </c>
      <c r="P27" s="28" t="n">
        <v>0.05</v>
      </c>
      <c r="Q27" s="28" t="n">
        <v>0.164701</v>
      </c>
      <c r="R27" s="26" t="n">
        <v>100</v>
      </c>
      <c r="S27" s="29" t="n">
        <v>1.25</v>
      </c>
      <c r="T27" s="24" t="inlineStr">
        <is>
          <t>tennis-surface-elo-v1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Surface-blended Elo on Hard: Alejandro Tabilo p=0.585 vs Hubert Hurkacz. Executable ask 0.4200 (aec-atp-hubhur-aletab-2026-08-06).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Alejandro Tabilo</t>
        </is>
      </c>
      <c r="AQ27" s="24" t="inlineStr">
        <is>
          <t>Alejandro Tabilo</t>
        </is>
      </c>
      <c r="AR27" s="24" t="inlineStr">
        <is>
          <t>Alejandro Tabilo</t>
        </is>
      </c>
      <c r="AS27" s="24" t="inlineStr">
        <is>
          <t>Hubert Hurkacz</t>
        </is>
      </c>
      <c r="AT27" s="24" t="inlineStr">
        <is>
          <t>Hubert Hurkacz</t>
        </is>
      </c>
      <c r="AU27" s="24" t="inlineStr">
        <is>
          <t>Hubert Hurkacz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2026-08-05T13:53:00.150232Z</t>
        </is>
      </c>
      <c r="BI27" s="24" t="inlineStr">
        <is>
          <t>["same_event","same_team_same_day","same_league_same_day"]</t>
        </is>
      </c>
      <c r="BJ27" s="25" t="n"/>
      <c r="BK27" s="26" t="n">
        <v>138</v>
      </c>
      <c r="BL27" s="27" t="n">
        <v>2.38</v>
      </c>
      <c r="BM27" s="28" t="n">
        <v>0.420168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e000b90e638e45ff</t>
        </is>
      </c>
      <c r="B28" s="24" t="inlineStr">
        <is>
          <t>2026-08-05T13:54:48.712587Z</t>
        </is>
      </c>
      <c r="C28" s="24" t="inlineStr">
        <is>
          <t>2026-08-05T19:30Z</t>
        </is>
      </c>
      <c r="D28" s="24" t="inlineStr">
        <is>
          <t>421-2026:181753</t>
        </is>
      </c>
      <c r="E28" s="24" t="inlineStr">
        <is>
          <t>TENNIS</t>
        </is>
      </c>
      <c r="F28" s="24" t="inlineStr">
        <is>
          <t>Francisco Cerundolo</t>
        </is>
      </c>
      <c r="G28" s="24" t="inlineStr">
        <is>
          <t>Alex Michelsen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150</v>
      </c>
      <c r="M28" s="27" t="n">
        <v>2.5</v>
      </c>
      <c r="N28" s="28" t="n">
        <v>0.4</v>
      </c>
      <c r="O28" s="28" t="n">
        <v>0.657899</v>
      </c>
      <c r="P28" s="28" t="n">
        <v>0.05</v>
      </c>
      <c r="Q28" s="28" t="n">
        <v>0.257899</v>
      </c>
      <c r="R28" s="26" t="n">
        <v>100</v>
      </c>
      <c r="S28" s="29" t="n">
        <v>1.75</v>
      </c>
      <c r="T28" s="24" t="inlineStr">
        <is>
          <t>tennis-surface-elo-v1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Surface-blended Elo on Hard: Francisco Cerundolo p=0.658 vs Alex Michelsen. Executable ask 0.4000 (aec-atp-alemic-fracer-2026-08-06).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Francisco Cerundolo</t>
        </is>
      </c>
      <c r="AQ28" s="24" t="inlineStr">
        <is>
          <t>Francisco Cerundolo</t>
        </is>
      </c>
      <c r="AR28" s="24" t="inlineStr">
        <is>
          <t>Francisco Cerundolo</t>
        </is>
      </c>
      <c r="AS28" s="24" t="inlineStr">
        <is>
          <t>Alex Michelsen</t>
        </is>
      </c>
      <c r="AT28" s="24" t="inlineStr">
        <is>
          <t>Alex Michelsen</t>
        </is>
      </c>
      <c r="AU28" s="24" t="inlineStr">
        <is>
          <t>Alex Michelsen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2026-08-05T13:53:01.869933Z</t>
        </is>
      </c>
      <c r="BI28" s="24" t="inlineStr">
        <is>
          <t>["same_event","same_team_same_day","same_league_same_day"]</t>
        </is>
      </c>
      <c r="BJ28" s="25" t="n"/>
      <c r="BK28" s="26" t="n">
        <v>150</v>
      </c>
      <c r="BL28" s="27" t="n">
        <v>2.5</v>
      </c>
      <c r="BM28" s="28" t="n">
        <v>0.4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b6f2766f15c84a45</t>
        </is>
      </c>
      <c r="B29" s="24" t="inlineStr">
        <is>
          <t>2026-08-05T13:54:48.712587Z</t>
        </is>
      </c>
      <c r="C29" s="24" t="inlineStr">
        <is>
          <t>2026-08-05T21:00Z</t>
        </is>
      </c>
      <c r="D29" s="24" t="inlineStr">
        <is>
          <t>421-2026:181719</t>
        </is>
      </c>
      <c r="E29" s="24" t="inlineStr">
        <is>
          <t>TENNIS</t>
        </is>
      </c>
      <c r="F29" s="24" t="inlineStr">
        <is>
          <t>Jakub Mensik</t>
        </is>
      </c>
      <c r="G29" s="24" t="inlineStr">
        <is>
          <t>Jacob Fearnley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-223</v>
      </c>
      <c r="M29" s="27" t="n">
        <v>1.44843</v>
      </c>
      <c r="N29" s="28" t="n">
        <v>0.690402</v>
      </c>
      <c r="O29" s="28" t="n">
        <v>0.742792</v>
      </c>
      <c r="P29" s="28" t="n">
        <v>0.05</v>
      </c>
      <c r="Q29" s="28" t="n">
        <v>0.05239</v>
      </c>
      <c r="R29" s="26" t="n">
        <v>46</v>
      </c>
      <c r="S29" s="29" t="n">
        <v>2</v>
      </c>
      <c r="T29" s="24" t="inlineStr">
        <is>
          <t>tennis-surface-elo-v1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Surface-blended Elo on Hard: Jakub Mensik p=0.743 vs Jacob Fearnley. Executable ask 0.6900 (aec-atp-jacfea-jakmen-2026-08-05).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Jakub Mensik</t>
        </is>
      </c>
      <c r="AQ29" s="24" t="inlineStr">
        <is>
          <t>Jakub Mensik</t>
        </is>
      </c>
      <c r="AR29" s="24" t="inlineStr">
        <is>
          <t>Jakub Mensik</t>
        </is>
      </c>
      <c r="AS29" s="24" t="inlineStr">
        <is>
          <t>Jacob Fearnley</t>
        </is>
      </c>
      <c r="AT29" s="24" t="inlineStr">
        <is>
          <t>Jacob Fearnley</t>
        </is>
      </c>
      <c r="AU29" s="24" t="inlineStr">
        <is>
          <t>Jacob Fearnley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2026-08-05T13:53:03.385419Z</t>
        </is>
      </c>
      <c r="BI29" s="24" t="inlineStr">
        <is>
          <t>["same_event","same_team_same_day","same_league_same_day"]</t>
        </is>
      </c>
      <c r="BJ29" s="25" t="n"/>
      <c r="BK29" s="26" t="n">
        <v>-223</v>
      </c>
      <c r="BL29" s="27" t="n">
        <v>1.44843</v>
      </c>
      <c r="BM29" s="28" t="n">
        <v>0.690402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c2eb15dc90434e89</t>
        </is>
      </c>
      <c r="B30" s="24" t="inlineStr">
        <is>
          <t>2026-08-05T13:54:48.712587Z</t>
        </is>
      </c>
      <c r="C30" s="24" t="inlineStr">
        <is>
          <t>2026-08-05T22:00Z</t>
        </is>
      </c>
      <c r="D30" s="24" t="inlineStr">
        <is>
          <t>421-2026:181733</t>
        </is>
      </c>
      <c r="E30" s="24" t="inlineStr">
        <is>
          <t>TENNIS</t>
        </is>
      </c>
      <c r="F30" s="24" t="inlineStr">
        <is>
          <t>Botic Van De Zandschulp</t>
        </is>
      </c>
      <c r="G30" s="24" t="inlineStr">
        <is>
          <t>Daniil Medvedev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-300</v>
      </c>
      <c r="M30" s="27" t="n">
        <v>1.333333</v>
      </c>
      <c r="N30" s="28" t="n">
        <v>0.75</v>
      </c>
      <c r="O30" s="28" t="n">
        <v>0.8122509999999999</v>
      </c>
      <c r="P30" s="28" t="n">
        <v>0.05</v>
      </c>
      <c r="Q30" s="28" t="n">
        <v>0.062251</v>
      </c>
      <c r="R30" s="26" t="n">
        <v>51</v>
      </c>
      <c r="S30" s="29" t="n">
        <v>2</v>
      </c>
      <c r="T30" s="24" t="inlineStr">
        <is>
          <t>tennis-surface-elo-v1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Surface-blended Elo on Hard: Botic Van De Zandschulp p=0.188 vs Daniil Medvedev. Executable ask 0.7500 (aec-atp-danmed-botzan-2026-08-06).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Botic Van De Zandschulp</t>
        </is>
      </c>
      <c r="AQ30" s="24" t="inlineStr">
        <is>
          <t>Botic Van De Zandschulp</t>
        </is>
      </c>
      <c r="AR30" s="24" t="inlineStr">
        <is>
          <t>Botic Van De Zandschulp</t>
        </is>
      </c>
      <c r="AS30" s="24" t="inlineStr">
        <is>
          <t>Daniil Medvedev</t>
        </is>
      </c>
      <c r="AT30" s="24" t="inlineStr">
        <is>
          <t>Daniil Medvedev</t>
        </is>
      </c>
      <c r="AU30" s="24" t="inlineStr">
        <is>
          <t>Daniil Medvedev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2026-08-05T13:53:04.877388Z</t>
        </is>
      </c>
      <c r="BI30" s="24" t="inlineStr">
        <is>
          <t>["same_event","same_team_same_day","same_league_same_day"]</t>
        </is>
      </c>
      <c r="BJ30" s="25" t="n"/>
      <c r="BK30" s="26" t="n">
        <v>-300</v>
      </c>
      <c r="BL30" s="27" t="n">
        <v>1.333333</v>
      </c>
      <c r="BM30" s="28" t="n">
        <v>0.75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2026-08-05T13:57:40Z</dcterms:created>
  <dcterms:modified xmlns:dcterms="http://purl.org/dc/terms/" xmlns:xsi="http://www.w3.org/2001/XMLSchema-instance" xsi:type="dcterms:W3CDTF">2026-08-05T13:57:41Z</dcterms:modified>
</cp:coreProperties>
</file>