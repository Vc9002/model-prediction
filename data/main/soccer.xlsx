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CS2" headerRowCount="1">
  <autoFilter ref="A1:CS2"/>
  <tableColumns count="97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COUNTA('Picks'!$A$2:$A$2)</f>
        <v/>
      </c>
      <c r="C4" s="6">
        <f>COUNTIF('Picks'!$U$2:$U$2,"open")</f>
        <v/>
      </c>
      <c r="E4" s="6">
        <f>COUNTIF('Picks'!$U$2:$U$2,"settled")</f>
        <v/>
      </c>
      <c r="G4" s="6">
        <f>IF(COUNTIFS('Picks'!$U$2:$U$2,"settled",'Picks'!$V$2:$V$2,"win")+COUNTIFS('Picks'!$U$2:$U$2,"settled",'Picks'!$V$2:$V$2,"loss")&gt;=$L$2,"Ready","Insufficient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COUNTIF('Picks'!$BX$2:$BX$2,"&gt;0")</f>
        <v/>
      </c>
      <c r="C7" s="6">
        <f>COUNTIFS('Picks'!$BX$2:$BX$2,"&gt;0",'Picks'!$V$2:$V$2,"win")&amp;"-"&amp;COUNTIFS('Picks'!$BX$2:$BX$2,"&gt;0",'Picks'!$V$2:$V$2,"loss")</f>
        <v/>
      </c>
      <c r="E7" s="7">
        <f>IFERROR(COUNTIFS('Picks'!$BX$2:$BX$2,"&gt;0",'Picks'!$V$2:$V$2,"win")/(COUNTIFS('Picks'!$BX$2:$BX$2,"&gt;0",'Picks'!$V$2:$V$2,"win")+COUNTIFS('Picks'!$BX$2:$BX$2,"&gt;0",'Picks'!$V$2:$V$2,"loss")),0)</f>
        <v/>
      </c>
      <c r="G7" s="7">
        <f>IFERROR(SUM('Picks'!$BY$2:$BY$2)/SUM('Picks'!$BX$2:$BX$2),0)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SUM('Picks'!$BY$2:$BY$2)</f>
        <v/>
      </c>
      <c r="C10" s="9">
        <f>IFERROR(AVERAGEIF('Picks'!$AB$2:$AB$2,"&lt;&gt;",'Picks'!$AB$2:$AB$2),0)</f>
        <v/>
      </c>
      <c r="E10" s="6">
        <f>COUNTIFS('Picks'!$AM$2:$AM$2,"QUALIFIED_SHADOW_CALL",'Picks'!$U$2:$U$2,"settled")</f>
        <v/>
      </c>
      <c r="G10" s="8">
        <f>SUMIFS('Picks'!$AC$2:$AC$2,'Picks'!$AM$2:$AM$2,"QUALIFIED_SHADOW_CALL")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COUNTIFS('Picks'!$H$2:$H$2,$A14,'Picks'!$U$2:$U$2,"settled")</f>
        <v/>
      </c>
      <c r="C14" s="13">
        <f>COUNTIFS('Picks'!$H$2:$H$2,$A14,'Picks'!$U$2:$U$2,"settled",'Picks'!$V$2:$V$2,"win")</f>
        <v/>
      </c>
      <c r="D14" s="13">
        <f>COUNTIFS('Picks'!$H$2:$H$2,$A14,'Picks'!$U$2:$U$2,"settled",'Picks'!$V$2:$V$2,"loss")</f>
        <v/>
      </c>
      <c r="E14" s="14">
        <f>IFERROR(C14/(C14+D14),0)</f>
        <v/>
      </c>
      <c r="F14" s="15">
        <f>SUMIFS('Picks'!$BY$2:$BY$2,'Picks'!$H$2:$H$2,$A14)</f>
        <v/>
      </c>
      <c r="G14" s="16">
        <f>IFERROR(AVERAGEIFS('Picks'!$AB$2:$AB$2,'Picks'!$H$2:$H$2,$A14,'Picks'!$U$2:$U$2,"settled"),0)</f>
        <v/>
      </c>
    </row>
    <row r="15">
      <c r="A15" s="17" t="inlineStr">
        <is>
          <t>spread</t>
        </is>
      </c>
      <c r="B15" s="18">
        <f>COUNTIFS('Picks'!$H$2:$H$2,$A15,'Picks'!$U$2:$U$2,"settled")</f>
        <v/>
      </c>
      <c r="C15" s="18">
        <f>COUNTIFS('Picks'!$H$2:$H$2,$A15,'Picks'!$U$2:$U$2,"settled",'Picks'!$V$2:$V$2,"win")</f>
        <v/>
      </c>
      <c r="D15" s="18">
        <f>COUNTIFS('Picks'!$H$2:$H$2,$A15,'Picks'!$U$2:$U$2,"settled",'Picks'!$V$2:$V$2,"loss")</f>
        <v/>
      </c>
      <c r="E15" s="19">
        <f>IFERROR(C15/(C15+D15),0)</f>
        <v/>
      </c>
      <c r="F15" s="20">
        <f>SUMIFS('Picks'!$BY$2:$BY$2,'Picks'!$H$2:$H$2,$A15)</f>
        <v/>
      </c>
      <c r="G15" s="21">
        <f>IFERROR(AVERAGEIFS('Picks'!$AB$2:$AB$2,'Picks'!$H$2:$H$2,$A15,'Picks'!$U$2:$U$2,"settled"),0)</f>
        <v/>
      </c>
    </row>
    <row r="16">
      <c r="A16" s="12" t="inlineStr">
        <is>
          <t>total</t>
        </is>
      </c>
      <c r="B16" s="13">
        <f>COUNTIFS('Picks'!$H$2:$H$2,$A16,'Picks'!$U$2:$U$2,"settled")</f>
        <v/>
      </c>
      <c r="C16" s="13">
        <f>COUNTIFS('Picks'!$H$2:$H$2,$A16,'Picks'!$U$2:$U$2,"settled",'Picks'!$V$2:$V$2,"win")</f>
        <v/>
      </c>
      <c r="D16" s="13">
        <f>COUNTIFS('Picks'!$H$2:$H$2,$A16,'Picks'!$U$2:$U$2,"settled",'Picks'!$V$2:$V$2,"loss")</f>
        <v/>
      </c>
      <c r="E16" s="14">
        <f>IFERROR(C16/(C16+D16),0)</f>
        <v/>
      </c>
      <c r="F16" s="15">
        <f>SUMIFS('Picks'!$BY$2:$BY$2,'Picks'!$H$2:$H$2,$A16)</f>
        <v/>
      </c>
      <c r="G16" s="16">
        <f>IFERROR(AVERAGEIFS('Picks'!$AB$2:$AB$2,'Picks'!$H$2:$H$2,$A16,'Picks'!$U$2:$U$2,"settled"),0)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S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</row>
    <row r="2" ht="36" customHeight="1">
      <c r="A2" s="24" t="inlineStr">
        <is>
          <t>d3014a8ecca44f09</t>
        </is>
      </c>
      <c r="B2" s="24" t="inlineStr">
        <is>
          <t>2026-08-07T09:10:39.169965Z</t>
        </is>
      </c>
      <c r="C2" s="24" t="inlineStr">
        <is>
          <t>2026-08-07T12:00Z</t>
        </is>
      </c>
      <c r="D2" s="24" t="inlineStr">
        <is>
          <t>401867952</t>
        </is>
      </c>
      <c r="E2" s="24" t="inlineStr">
        <is>
          <t>SOCCER</t>
        </is>
      </c>
      <c r="F2" s="24" t="inlineStr">
        <is>
          <t>Aston Villa</t>
        </is>
      </c>
      <c r="G2" s="24" t="inlineStr">
        <is>
          <t>Bayern Munich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-108</v>
      </c>
      <c r="M2" s="27" t="n">
        <v>1.925926</v>
      </c>
      <c r="N2" s="28" t="n">
        <v>0.519231</v>
      </c>
      <c r="O2" s="28" t="n">
        <v>0.784326</v>
      </c>
      <c r="P2" s="28" t="n">
        <v>0.04</v>
      </c>
      <c r="Q2" s="28" t="n">
        <v>0.265095</v>
      </c>
      <c r="R2" s="26" t="n">
        <v>100</v>
      </c>
      <c r="S2" s="29" t="n">
        <v>2</v>
      </c>
      <c r="T2" s="24" t="inlineStr">
        <is>
          <t>soccer-poisson-dc-v1</t>
        </is>
      </c>
      <c r="U2" s="24" t="inlineStr">
        <is>
          <t>settled</t>
        </is>
      </c>
      <c r="V2" s="24" t="inlineStr">
        <is>
          <t>win</t>
        </is>
      </c>
      <c r="W2" s="26" t="n">
        <v>1</v>
      </c>
      <c r="X2" s="26" t="n">
        <v>2</v>
      </c>
      <c r="Y2" s="25" t="n"/>
      <c r="Z2" s="26" t="n"/>
      <c r="AA2" s="28" t="n"/>
      <c r="AB2" s="28" t="n"/>
      <c r="AC2" s="30" t="n">
        <v>1.8519</v>
      </c>
      <c r="AD2" s="24" t="inlineStr">
        <is>
          <t>2026-08-07T15:18:14.967996Z</t>
        </is>
      </c>
      <c r="AE2" s="31" t="inlineStr">
        <is>
          <t>Poisson-DC rates 3.72 (home) / 1.43 (away) from EWMA attack/defense strengths. Executable ask 0.5200 (atc-clbf-bmu-avl-2026-08-07-bmu).</t>
        </is>
      </c>
      <c r="AF2" s="31" t="inlineStr">
        <is>
          <t>Research-only soccer score model; draw-aware, but not yet locked-holdout qualified.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Aston Villa</t>
        </is>
      </c>
      <c r="AQ2" s="24" t="inlineStr">
        <is>
          <t>Aston Villa</t>
        </is>
      </c>
      <c r="AR2" s="24" t="inlineStr">
        <is>
          <t>Aston Villa</t>
        </is>
      </c>
      <c r="AS2" s="24" t="inlineStr">
        <is>
          <t>Bayern Munich</t>
        </is>
      </c>
      <c r="AT2" s="24" t="inlineStr">
        <is>
          <t>Bayern Munich</t>
        </is>
      </c>
      <c r="AU2" s="24" t="inlineStr">
        <is>
          <t>Bayern Munich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c95ec2023134439ab985cb4cdcc58243749b9deb564fca7a2d587c15c9875427</t>
        </is>
      </c>
      <c r="BB2" s="24" t="inlineStr">
        <is>
          <t>poisson_dixon_coles</t>
        </is>
      </c>
      <c r="BC2" s="24" t="inlineStr">
        <is>
          <t>soccer-poisson-dc-v1</t>
        </is>
      </c>
      <c r="BD2" s="24" t="inlineStr">
        <is>
          <t>c95ec2023134439ab985cb4cdcc58243749b9deb564fca7a2d587c15c9875427</t>
        </is>
      </c>
      <c r="BE2" s="24" t="inlineStr">
        <is>
          <t>soccer-poisson-dc-v1</t>
        </is>
      </c>
      <c r="BF2" s="24" t="inlineStr">
        <is>
          <t>1</t>
        </is>
      </c>
      <c r="BG2" s="24" t="inlineStr">
        <is>
          <t>c95ec2023134439ab985cb4cdcc58243749b9deb564fca7a2d587c15c9875427</t>
        </is>
      </c>
      <c r="BH2" s="24" t="inlineStr">
        <is>
          <t>2026-08-07T09:08:46.980092Z</t>
        </is>
      </c>
      <c r="BI2" s="24" t="inlineStr">
        <is>
          <t>["same_event","same_team_same_day","same_league_same_day"]</t>
        </is>
      </c>
      <c r="BJ2" s="25" t="n"/>
      <c r="BK2" s="26" t="n">
        <v>-108</v>
      </c>
      <c r="BL2" s="27" t="n">
        <v>1.925926</v>
      </c>
      <c r="BM2" s="28" t="n">
        <v>0.519231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2026-08-07T15:18:15Z</dcterms:created>
  <dcterms:modified xmlns:dcterms="http://purl.org/dc/terms/" xmlns:xsi="http://www.w3.org/2001/XMLSchema-instance" xsi:type="dcterms:W3CDTF">2026-08-07T15:18:15Z</dcterms:modified>
</cp:coreProperties>
</file>