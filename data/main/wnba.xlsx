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0" headerRowCount="1">
  <autoFilter ref="A1:CS2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COUNTA('Picks'!$A$2:$A$20)</f>
        <v/>
      </c>
      <c r="C4" s="6">
        <f>COUNTIF('Picks'!$U$2:$U$20,"open")</f>
        <v/>
      </c>
      <c r="E4" s="6">
        <f>COUNTIF('Picks'!$U$2:$U$20,"settled")</f>
        <v/>
      </c>
      <c r="G4" s="6">
        <f>IF(COUNTIFS('Picks'!$U$2:$U$20,"settled",'Picks'!$V$2:$V$20,"win")+COUNTIFS('Picks'!$U$2:$U$20,"settled",'Picks'!$V$2:$V$20,"loss")&gt;=$L$2,"Ready","Insufficient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COUNTIF('Picks'!$BX$2:$BX$20,"&gt;0")</f>
        <v/>
      </c>
      <c r="C7" s="6">
        <f>COUNTIFS('Picks'!$BX$2:$BX$20,"&gt;0",'Picks'!$V$2:$V$20,"win")&amp;"-"&amp;COUNTIFS('Picks'!$BX$2:$BX$20,"&gt;0",'Picks'!$V$2:$V$20,"loss")</f>
        <v/>
      </c>
      <c r="E7" s="7">
        <f>IFERROR(COUNTIFS('Picks'!$BX$2:$BX$20,"&gt;0",'Picks'!$V$2:$V$20,"win")/(COUNTIFS('Picks'!$BX$2:$BX$20,"&gt;0",'Picks'!$V$2:$V$20,"win")+COUNTIFS('Picks'!$BX$2:$BX$20,"&gt;0",'Picks'!$V$2:$V$20,"loss")),0)</f>
        <v/>
      </c>
      <c r="G7" s="7">
        <f>IFERROR(SUM('Picks'!$BY$2:$BY$20)/SUM('Picks'!$BX$2:$BX$20),0)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SUM('Picks'!$BY$2:$BY$20)</f>
        <v/>
      </c>
      <c r="C10" s="9">
        <f>IFERROR(AVERAGEIF('Picks'!$AB$2:$AB$20,"&lt;&gt;",'Picks'!$AB$2:$AB$20),0)</f>
        <v/>
      </c>
      <c r="E10" s="6">
        <f>COUNTIFS('Picks'!$AM$2:$AM$20,"QUALIFIED_SHADOW_CALL",'Picks'!$U$2:$U$20,"settled")</f>
        <v/>
      </c>
      <c r="G10" s="8">
        <f>SUMIFS('Picks'!$AC$2:$AC$20,'Picks'!$AM$2:$AM$20,"QUALIFIED_SHADOW_CALL")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COUNTIFS('Picks'!$H$2:$H$20,$A14,'Picks'!$U$2:$U$20,"settled")</f>
        <v/>
      </c>
      <c r="C14" s="13">
        <f>COUNTIFS('Picks'!$H$2:$H$20,$A14,'Picks'!$U$2:$U$20,"settled",'Picks'!$V$2:$V$20,"win")</f>
        <v/>
      </c>
      <c r="D14" s="13">
        <f>COUNTIFS('Picks'!$H$2:$H$20,$A14,'Picks'!$U$2:$U$20,"settled",'Picks'!$V$2:$V$20,"loss")</f>
        <v/>
      </c>
      <c r="E14" s="14">
        <f>IFERROR(C14/(C14+D14),0)</f>
        <v/>
      </c>
      <c r="F14" s="15">
        <f>SUMIFS('Picks'!$BY$2:$BY$20,'Picks'!$H$2:$H$20,$A14)</f>
        <v/>
      </c>
      <c r="G14" s="16">
        <f>IFERROR(AVERAGEIFS('Picks'!$AB$2:$AB$20,'Picks'!$H$2:$H$20,$A14,'Picks'!$U$2:$U$20,"settled"),0)</f>
        <v/>
      </c>
    </row>
    <row r="15">
      <c r="A15" s="17" t="inlineStr">
        <is>
          <t>spread</t>
        </is>
      </c>
      <c r="B15" s="18">
        <f>COUNTIFS('Picks'!$H$2:$H$20,$A15,'Picks'!$U$2:$U$20,"settled")</f>
        <v/>
      </c>
      <c r="C15" s="18">
        <f>COUNTIFS('Picks'!$H$2:$H$20,$A15,'Picks'!$U$2:$U$20,"settled",'Picks'!$V$2:$V$20,"win")</f>
        <v/>
      </c>
      <c r="D15" s="18">
        <f>COUNTIFS('Picks'!$H$2:$H$20,$A15,'Picks'!$U$2:$U$20,"settled",'Picks'!$V$2:$V$20,"loss")</f>
        <v/>
      </c>
      <c r="E15" s="19">
        <f>IFERROR(C15/(C15+D15),0)</f>
        <v/>
      </c>
      <c r="F15" s="20">
        <f>SUMIFS('Picks'!$BY$2:$BY$20,'Picks'!$H$2:$H$20,$A15)</f>
        <v/>
      </c>
      <c r="G15" s="21">
        <f>IFERROR(AVERAGEIFS('Picks'!$AB$2:$AB$20,'Picks'!$H$2:$H$20,$A15,'Picks'!$U$2:$U$20,"settled"),0)</f>
        <v/>
      </c>
    </row>
    <row r="16">
      <c r="A16" s="12" t="inlineStr">
        <is>
          <t>total</t>
        </is>
      </c>
      <c r="B16" s="13">
        <f>COUNTIFS('Picks'!$H$2:$H$20,$A16,'Picks'!$U$2:$U$20,"settled")</f>
        <v/>
      </c>
      <c r="C16" s="13">
        <f>COUNTIFS('Picks'!$H$2:$H$20,$A16,'Picks'!$U$2:$U$20,"settled",'Picks'!$V$2:$V$20,"win")</f>
        <v/>
      </c>
      <c r="D16" s="13">
        <f>COUNTIFS('Picks'!$H$2:$H$20,$A16,'Picks'!$U$2:$U$20,"settled",'Picks'!$V$2:$V$20,"loss")</f>
        <v/>
      </c>
      <c r="E16" s="14">
        <f>IFERROR(C16/(C16+D16),0)</f>
        <v/>
      </c>
      <c r="F16" s="15">
        <f>SUMIFS('Picks'!$BY$2:$BY$20,'Picks'!$H$2:$H$20,$A16)</f>
        <v/>
      </c>
      <c r="G16" s="16">
        <f>IFERROR(AVERAGEIFS('Picks'!$AB$2:$AB$20,'Picks'!$H$2:$H$20,$A16,'Picks'!$U$2:$U$20,"settled"),0)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  <row r="20" ht="36" customHeight="1">
      <c r="A20" s="24" t="inlineStr">
        <is>
          <t>495d3d321ad04714</t>
        </is>
      </c>
      <c r="B20" s="24" t="inlineStr">
        <is>
          <t>2026-08-07T18:28:49.432084Z</t>
        </is>
      </c>
      <c r="C20" s="24" t="inlineStr">
        <is>
          <t>2026-08-07T19:30:00-0400</t>
        </is>
      </c>
      <c r="D20" s="24" t="inlineStr">
        <is>
          <t>401857123</t>
        </is>
      </c>
      <c r="E20" s="24" t="inlineStr">
        <is>
          <t>WNBA</t>
        </is>
      </c>
      <c r="F20" s="24" t="inlineStr">
        <is>
          <t>Atlanta Dream</t>
        </is>
      </c>
      <c r="G20" s="24" t="inlineStr">
        <is>
          <t>Washington Mystics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194</v>
      </c>
      <c r="M20" s="27" t="n">
        <v>2.94</v>
      </c>
      <c r="N20" s="28" t="n">
        <v>0.340136</v>
      </c>
      <c r="O20" s="28" t="n">
        <v>0.561972</v>
      </c>
      <c r="P20" s="28" t="n"/>
      <c r="Q20" s="28" t="n">
        <v>0.221836</v>
      </c>
      <c r="R20" s="26" t="n">
        <v>100</v>
      </c>
      <c r="S20" s="29" t="n">
        <v>1</v>
      </c>
      <c r="T20" s="24" t="inlineStr">
        <is>
          <t>wnba-elo-trend-lr-v4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0.5001; executable ask 0.3400 (aec-wnba-atl-wsh-2026-08-07); model edge vs ask +0.2220.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wnba-atl</t>
        </is>
      </c>
      <c r="AQ20" s="24" t="inlineStr">
        <is>
          <t>Atlanta Dream</t>
        </is>
      </c>
      <c r="AR20" s="24" t="inlineStr">
        <is>
          <t>Atlanta Dream</t>
        </is>
      </c>
      <c r="AS20" s="24" t="inlineStr">
        <is>
          <t>wnba-was</t>
        </is>
      </c>
      <c r="AT20" s="24" t="inlineStr">
        <is>
          <t>Washington Mystics</t>
        </is>
      </c>
      <c r="AU20" s="24" t="inlineStr">
        <is>
          <t>Washington Mystics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7527e38cbf3d298e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2026-08-07T18:28:03.051036Z</t>
        </is>
      </c>
      <c r="BI20" s="24" t="inlineStr">
        <is>
          <t>["same_event","same_team_same_day","same_league_same_day"]</t>
        </is>
      </c>
      <c r="BJ20" s="25" t="n"/>
      <c r="BK20" s="26" t="n">
        <v>194</v>
      </c>
      <c r="BL20" s="27" t="n">
        <v>2.94</v>
      </c>
      <c r="BM20" s="28" t="n">
        <v>0.340136</v>
      </c>
      <c r="BN20" s="28" t="n">
        <v>0.336634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0.5839932663</t>
        </is>
      </c>
      <c r="CD20" s="24" t="inlineStr">
        <is>
          <t>-1.592597</t>
        </is>
      </c>
      <c r="CE20" s="24" t="n"/>
      <c r="CF20" s="24" t="n"/>
      <c r="CG20" s="24" t="n"/>
      <c r="CH20" s="24" t="n"/>
      <c r="CI20" s="24" t="n"/>
      <c r="CJ20" s="24" t="inlineStr">
        <is>
          <t>6.900454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0.561972</t>
        </is>
      </c>
      <c r="CS2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2026-08-07T18:28:58Z</dcterms:created>
  <dcterms:modified xmlns:dcterms="http://purl.org/dc/terms/" xmlns:xsi="http://www.w3.org/2001/XMLSchema-instance" xsi:type="dcterms:W3CDTF">2026-08-07T18:28:58Z</dcterms:modified>
</cp:coreProperties>
</file>