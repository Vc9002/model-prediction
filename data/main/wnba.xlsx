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6" headerRowCount="1">
  <autoFilter ref="A1:CS2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COUNTA('Picks'!$A$2:$A$26)</f>
        <v/>
      </c>
      <c r="C4" s="6">
        <f>COUNTIF('Picks'!$U$2:$U$26,"open")</f>
        <v/>
      </c>
      <c r="E4" s="6">
        <f>COUNTIF('Picks'!$U$2:$U$26,"settled")</f>
        <v/>
      </c>
      <c r="G4" s="6">
        <f>IF(COUNTIFS('Picks'!$U$2:$U$26,"settled",'Picks'!$V$2:$V$26,"win")+COUNTIFS('Picks'!$U$2:$U$26,"settled",'Picks'!$V$2:$V$26,"loss")&gt;=$L$2,"Ready","Insufficient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COUNTIF('Picks'!$BX$2:$BX$26,"&gt;0")</f>
        <v/>
      </c>
      <c r="C7" s="6">
        <f>COUNTIFS('Picks'!$BX$2:$BX$26,"&gt;0",'Picks'!$V$2:$V$26,"win")&amp;"-"&amp;COUNTIFS('Picks'!$BX$2:$BX$26,"&gt;0",'Picks'!$V$2:$V$26,"loss")</f>
        <v/>
      </c>
      <c r="E7" s="7">
        <f>IFERROR(COUNTIFS('Picks'!$BX$2:$BX$26,"&gt;0",'Picks'!$V$2:$V$26,"win")/(COUNTIFS('Picks'!$BX$2:$BX$26,"&gt;0",'Picks'!$V$2:$V$26,"win")+COUNTIFS('Picks'!$BX$2:$BX$26,"&gt;0",'Picks'!$V$2:$V$26,"loss")),0)</f>
        <v/>
      </c>
      <c r="G7" s="7">
        <f>IFERROR(SUM('Picks'!$BY$2:$BY$26)/SUM('Picks'!$BX$2:$BX$26),0)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SUM('Picks'!$BY$2:$BY$26)</f>
        <v/>
      </c>
      <c r="C10" s="9">
        <f>IFERROR(AVERAGEIF('Picks'!$AB$2:$AB$26,"&lt;&gt;",'Picks'!$AB$2:$AB$26),0)</f>
        <v/>
      </c>
      <c r="E10" s="6">
        <f>COUNTIFS('Picks'!$AM$2:$AM$26,"QUALIFIED_SHADOW_CALL",'Picks'!$U$2:$U$26,"settled")</f>
        <v/>
      </c>
      <c r="G10" s="8">
        <f>SUMIFS('Picks'!$AC$2:$AC$26,'Picks'!$AM$2:$AM$26,"QUALIFIED_SHADOW_CALL")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COUNTIFS('Picks'!$H$2:$H$26,$A14,'Picks'!$U$2:$U$26,"settled")</f>
        <v/>
      </c>
      <c r="C14" s="13">
        <f>COUNTIFS('Picks'!$H$2:$H$26,$A14,'Picks'!$U$2:$U$26,"settled",'Picks'!$V$2:$V$26,"win")</f>
        <v/>
      </c>
      <c r="D14" s="13">
        <f>COUNTIFS('Picks'!$H$2:$H$26,$A14,'Picks'!$U$2:$U$26,"settled",'Picks'!$V$2:$V$26,"loss")</f>
        <v/>
      </c>
      <c r="E14" s="14">
        <f>IFERROR(C14/(C14+D14),0)</f>
        <v/>
      </c>
      <c r="F14" s="15">
        <f>SUMIFS('Picks'!$BY$2:$BY$26,'Picks'!$H$2:$H$26,$A14)</f>
        <v/>
      </c>
      <c r="G14" s="16">
        <f>IFERROR(AVERAGEIFS('Picks'!$AB$2:$AB$26,'Picks'!$H$2:$H$26,$A14,'Picks'!$U$2:$U$26,"settled"),0)</f>
        <v/>
      </c>
    </row>
    <row r="15">
      <c r="A15" s="17" t="inlineStr">
        <is>
          <t>spread</t>
        </is>
      </c>
      <c r="B15" s="18">
        <f>COUNTIFS('Picks'!$H$2:$H$26,$A15,'Picks'!$U$2:$U$26,"settled")</f>
        <v/>
      </c>
      <c r="C15" s="18">
        <f>COUNTIFS('Picks'!$H$2:$H$26,$A15,'Picks'!$U$2:$U$26,"settled",'Picks'!$V$2:$V$26,"win")</f>
        <v/>
      </c>
      <c r="D15" s="18">
        <f>COUNTIFS('Picks'!$H$2:$H$26,$A15,'Picks'!$U$2:$U$26,"settled",'Picks'!$V$2:$V$26,"loss")</f>
        <v/>
      </c>
      <c r="E15" s="19">
        <f>IFERROR(C15/(C15+D15),0)</f>
        <v/>
      </c>
      <c r="F15" s="20">
        <f>SUMIFS('Picks'!$BY$2:$BY$26,'Picks'!$H$2:$H$26,$A15)</f>
        <v/>
      </c>
      <c r="G15" s="21">
        <f>IFERROR(AVERAGEIFS('Picks'!$AB$2:$AB$26,'Picks'!$H$2:$H$26,$A15,'Picks'!$U$2:$U$26,"settled"),0)</f>
        <v/>
      </c>
    </row>
    <row r="16">
      <c r="A16" s="12" t="inlineStr">
        <is>
          <t>total</t>
        </is>
      </c>
      <c r="B16" s="13">
        <f>COUNTIFS('Picks'!$H$2:$H$26,$A16,'Picks'!$U$2:$U$26,"settled")</f>
        <v/>
      </c>
      <c r="C16" s="13">
        <f>COUNTIFS('Picks'!$H$2:$H$26,$A16,'Picks'!$U$2:$U$26,"settled",'Picks'!$V$2:$V$26,"win")</f>
        <v/>
      </c>
      <c r="D16" s="13">
        <f>COUNTIFS('Picks'!$H$2:$H$26,$A16,'Picks'!$U$2:$U$26,"settled",'Picks'!$V$2:$V$26,"loss")</f>
        <v/>
      </c>
      <c r="E16" s="14">
        <f>IFERROR(C16/(C16+D16),0)</f>
        <v/>
      </c>
      <c r="F16" s="15">
        <f>SUMIFS('Picks'!$BY$2:$BY$26,'Picks'!$H$2:$H$26,$A16)</f>
        <v/>
      </c>
      <c r="G16" s="16">
        <f>IFERROR(AVERAGEIFS('Picks'!$AB$2:$AB$26,'Picks'!$H$2:$H$26,$A16,'Picks'!$U$2:$U$26,"settled"),0)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0.643489</t>
        </is>
      </c>
      <c r="CS12" s="24" t="inlineStr">
        <is>
          <t>0</t>
        </is>
      </c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0.57112</t>
        </is>
      </c>
      <c r="CS13" s="24" t="inlineStr">
        <is>
          <t>True</t>
        </is>
      </c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0.758559</t>
        </is>
      </c>
      <c r="CS14" s="24" t="inlineStr">
        <is>
          <t>False</t>
        </is>
      </c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0.772803</t>
        </is>
      </c>
      <c r="CS15" s="24" t="inlineStr">
        <is>
          <t>False</t>
        </is>
      </c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0.51407</t>
        </is>
      </c>
      <c r="CS16" s="24" t="inlineStr">
        <is>
          <t>False</t>
        </is>
      </c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0.668225</t>
        </is>
      </c>
      <c r="CS17" s="24" t="inlineStr">
        <is>
          <t>False</t>
        </is>
      </c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0.580877</t>
        </is>
      </c>
      <c r="CS18" s="24" t="inlineStr">
        <is>
          <t>True</t>
        </is>
      </c>
    </row>
    <row r="19" ht="36" customHeight="1">
      <c r="A19" s="24" t="inlineStr">
        <is>
          <t>b168d7d686c645e1</t>
        </is>
      </c>
      <c r="B19" s="24" t="inlineStr">
        <is>
          <t>2026-08-05T01:07:48.070985Z</t>
        </is>
      </c>
      <c r="C19" s="24" t="inlineStr">
        <is>
          <t>2026-08-04T22:00:00-0400</t>
        </is>
      </c>
      <c r="D19" s="24" t="inlineStr">
        <is>
          <t>401857114</t>
        </is>
      </c>
      <c r="E19" s="24" t="inlineStr">
        <is>
          <t>WNBA</t>
        </is>
      </c>
      <c r="F19" s="24" t="inlineStr">
        <is>
          <t>Toronto Tempo</t>
        </is>
      </c>
      <c r="G19" s="24" t="inlineStr">
        <is>
          <t>Golden State Valkyries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-614</v>
      </c>
      <c r="M19" s="27" t="n">
        <v>1.162866</v>
      </c>
      <c r="N19" s="28" t="n">
        <v>0.859944</v>
      </c>
      <c r="O19" s="28" t="n">
        <v>0.774468</v>
      </c>
      <c r="P19" s="28" t="n"/>
      <c r="Q19" s="28" t="n">
        <v>-0.085476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82</v>
      </c>
      <c r="X19" s="26" t="n">
        <v>92</v>
      </c>
      <c r="Y19" s="25" t="n"/>
      <c r="Z19" s="26" t="n"/>
      <c r="AA19" s="28" t="n"/>
      <c r="AB19" s="28" t="n"/>
      <c r="AC19" s="30" t="n">
        <v>0.3257</v>
      </c>
      <c r="AD19" s="24" t="inlineStr">
        <is>
          <t>2026-08-05T04:21:25.381491Z</t>
        </is>
      </c>
      <c r="AE19" s="31" t="inlineStr">
        <is>
          <t>Learned LR call at threshold 0.5001; executable ask 0.8600 (aec-wnba-tor-gsv-2026-08-04); model edge vs ask -0.0855.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wnba-tor</t>
        </is>
      </c>
      <c r="AQ19" s="24" t="inlineStr">
        <is>
          <t>Toronto Tempo</t>
        </is>
      </c>
      <c r="AR19" s="24" t="inlineStr">
        <is>
          <t>Toronto Tempo</t>
        </is>
      </c>
      <c r="AS19" s="24" t="inlineStr">
        <is>
          <t>wnba-gsv</t>
        </is>
      </c>
      <c r="AT19" s="24" t="inlineStr">
        <is>
          <t>Golden State Valkyries</t>
        </is>
      </c>
      <c r="AU19" s="24" t="inlineStr">
        <is>
          <t>Golden State Valkyries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fb46ae94639bf9af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2026-08-05T01:07:13.594446Z</t>
        </is>
      </c>
      <c r="BI19" s="24" t="inlineStr">
        <is>
          <t>["same_event","same_team_same_day","same_league_same_day"]</t>
        </is>
      </c>
      <c r="BJ19" s="25" t="n"/>
      <c r="BK19" s="26" t="n">
        <v>-614</v>
      </c>
      <c r="BL19" s="27" t="n">
        <v>1.162866</v>
      </c>
      <c r="BM19" s="28" t="n">
        <v>0.859944</v>
      </c>
      <c r="BN19" s="28" t="n">
        <v>0.851485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0.9026326565</t>
        </is>
      </c>
      <c r="CD19" s="24" t="inlineStr">
        <is>
          <t>2.972439</t>
        </is>
      </c>
      <c r="CE19" s="24" t="n"/>
      <c r="CF19" s="24" t="n"/>
      <c r="CG19" s="24" t="n"/>
      <c r="CH19" s="24" t="n"/>
      <c r="CI19" s="24" t="n"/>
      <c r="CJ19" s="24" t="inlineStr">
        <is>
          <t>1.230079</t>
        </is>
      </c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0.774468</t>
        </is>
      </c>
      <c r="CS19" s="24" t="inlineStr">
        <is>
          <t>False</t>
        </is>
      </c>
    </row>
    <row r="20" ht="36" customHeight="1">
      <c r="A20" s="24" t="inlineStr">
        <is>
          <t>bde24094fcd540e4</t>
        </is>
      </c>
      <c r="B20" s="24" t="inlineStr">
        <is>
          <t>2026-08-07T21:56:24.360448Z</t>
        </is>
      </c>
      <c r="C20" s="24" t="inlineStr">
        <is>
          <t>2026-08-07T19:30:00-0400</t>
        </is>
      </c>
      <c r="D20" s="24" t="inlineStr">
        <is>
          <t>401857123</t>
        </is>
      </c>
      <c r="E20" s="24" t="inlineStr">
        <is>
          <t>WNBA</t>
        </is>
      </c>
      <c r="F20" s="24" t="inlineStr">
        <is>
          <t>Atlanta Dream</t>
        </is>
      </c>
      <c r="G20" s="24" t="inlineStr">
        <is>
          <t>Washington Mystics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194</v>
      </c>
      <c r="M20" s="27" t="n">
        <v>2.94</v>
      </c>
      <c r="N20" s="28" t="n">
        <v>0.340136</v>
      </c>
      <c r="O20" s="28" t="n">
        <v>0.561972</v>
      </c>
      <c r="P20" s="28" t="n"/>
      <c r="Q20" s="28" t="n">
        <v>0.221836</v>
      </c>
      <c r="R20" s="26" t="n">
        <v>100</v>
      </c>
      <c r="S20" s="29" t="n">
        <v>1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74</v>
      </c>
      <c r="X20" s="26" t="n">
        <v>79</v>
      </c>
      <c r="Y20" s="25" t="n"/>
      <c r="Z20" s="26" t="n"/>
      <c r="AA20" s="28" t="n"/>
      <c r="AB20" s="28" t="n"/>
      <c r="AC20" s="30" t="n">
        <v>1.94</v>
      </c>
      <c r="AD20" s="24" t="inlineStr">
        <is>
          <t>2026-08-08T04:03:09.389849Z</t>
        </is>
      </c>
      <c r="AE20" s="31" t="inlineStr">
        <is>
          <t>Learned LR call at threshold 0.5001; executable ask 0.3400 (aec-wnba-atl-wsh-2026-08-07); model edge vs ask +0.2220.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wnba-atl</t>
        </is>
      </c>
      <c r="AQ20" s="24" t="inlineStr">
        <is>
          <t>Atlanta Dream</t>
        </is>
      </c>
      <c r="AR20" s="24" t="inlineStr">
        <is>
          <t>Atlanta Dream</t>
        </is>
      </c>
      <c r="AS20" s="24" t="inlineStr">
        <is>
          <t>wnba-was</t>
        </is>
      </c>
      <c r="AT20" s="24" t="inlineStr">
        <is>
          <t>Washington Mystics</t>
        </is>
      </c>
      <c r="AU20" s="24" t="inlineStr">
        <is>
          <t>Washington Mystics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7527e38cbf3d298e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2026-08-07T21:56:00.000131Z</t>
        </is>
      </c>
      <c r="BI20" s="24" t="inlineStr">
        <is>
          <t>["same_event","same_team_same_day","same_league_same_day"]</t>
        </is>
      </c>
      <c r="BJ20" s="25" t="n"/>
      <c r="BK20" s="26" t="n">
        <v>194</v>
      </c>
      <c r="BL20" s="27" t="n">
        <v>2.94</v>
      </c>
      <c r="BM20" s="28" t="n">
        <v>0.340136</v>
      </c>
      <c r="BN20" s="28" t="n">
        <v>0.336634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0.5839932663</t>
        </is>
      </c>
      <c r="CD20" s="24" t="inlineStr">
        <is>
          <t>-1.592597</t>
        </is>
      </c>
      <c r="CE20" s="24" t="n"/>
      <c r="CF20" s="24" t="n"/>
      <c r="CG20" s="24" t="n"/>
      <c r="CH20" s="24" t="n"/>
      <c r="CI20" s="24" t="n"/>
      <c r="CJ20" s="24" t="inlineStr">
        <is>
          <t>6.900454</t>
        </is>
      </c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0.561972</t>
        </is>
      </c>
      <c r="CS20" s="24" t="inlineStr">
        <is>
          <t>True</t>
        </is>
      </c>
    </row>
    <row r="21" ht="36" customHeight="1">
      <c r="A21" s="24" t="inlineStr">
        <is>
          <t>6abb4415c15d45fe</t>
        </is>
      </c>
      <c r="B21" s="24" t="inlineStr">
        <is>
          <t>2026-08-08T18:35:59.410253Z</t>
        </is>
      </c>
      <c r="C21" s="24" t="inlineStr">
        <is>
          <t>2026-08-08T20:30:00-0400</t>
        </is>
      </c>
      <c r="D21" s="24" t="inlineStr">
        <is>
          <t>401857127</t>
        </is>
      </c>
      <c r="E21" s="24" t="inlineStr">
        <is>
          <t>WNBA</t>
        </is>
      </c>
      <c r="F21" s="24" t="inlineStr">
        <is>
          <t>Seattle Storm</t>
        </is>
      </c>
      <c r="G21" s="24" t="inlineStr">
        <is>
          <t>Portland Fire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100</v>
      </c>
      <c r="M21" s="27" t="n">
        <v>2</v>
      </c>
      <c r="N21" s="28" t="n">
        <v>0.5</v>
      </c>
      <c r="O21" s="28" t="n">
        <v>0.636385</v>
      </c>
      <c r="P21" s="28" t="n"/>
      <c r="Q21" s="28" t="n">
        <v>0.136385</v>
      </c>
      <c r="R21" s="26" t="n">
        <v>91</v>
      </c>
      <c r="S21" s="29" t="n">
        <v>1.5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93</v>
      </c>
      <c r="X21" s="26" t="n">
        <v>100</v>
      </c>
      <c r="Y21" s="25" t="n"/>
      <c r="Z21" s="26" t="n"/>
      <c r="AA21" s="28" t="n"/>
      <c r="AB21" s="28" t="n"/>
      <c r="AC21" s="30" t="n">
        <v>1.5</v>
      </c>
      <c r="AD21" s="24" t="inlineStr">
        <is>
          <t>2026-08-09T05:12:03.525470Z</t>
        </is>
      </c>
      <c r="AE21" s="31" t="inlineStr">
        <is>
          <t>Learned LR call at threshold 0.5001; executable ask 0.5000 (aec-wnba-sea-por-2026-08-08); model edge vs ask +0.1364. NOTE: NO_CALL_AVAILABILITY_SOURCE_CONFLICT unavailable for this game — defaulted to neutral, other features used normally.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wnba-sea</t>
        </is>
      </c>
      <c r="AQ21" s="24" t="inlineStr">
        <is>
          <t>Seattle Storm</t>
        </is>
      </c>
      <c r="AR21" s="24" t="inlineStr">
        <is>
          <t>Seattle Storm</t>
        </is>
      </c>
      <c r="AS21" s="24" t="inlineStr">
        <is>
          <t>wnba-por</t>
        </is>
      </c>
      <c r="AT21" s="24" t="inlineStr">
        <is>
          <t>Portland Fire</t>
        </is>
      </c>
      <c r="AU21" s="24" t="inlineStr">
        <is>
          <t>Portland Fire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c4f4370995132da0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2026-08-08T18:35:41.814320Z</t>
        </is>
      </c>
      <c r="BI21" s="24" t="inlineStr">
        <is>
          <t>["same_event","same_team_same_day","same_league_same_day"]</t>
        </is>
      </c>
      <c r="BJ21" s="25" t="n"/>
      <c r="BK21" s="26" t="n">
        <v>100</v>
      </c>
      <c r="BL21" s="27" t="n">
        <v>2</v>
      </c>
      <c r="BM21" s="28" t="n">
        <v>0.5</v>
      </c>
      <c r="BN21" s="28" t="n">
        <v>0.49505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0.6792726129</t>
        </is>
      </c>
      <c r="CD21" s="24" t="inlineStr">
        <is>
          <t>-3.251216</t>
        </is>
      </c>
      <c r="CE21" s="24" t="n"/>
      <c r="CF21" s="24" t="n"/>
      <c r="CG21" s="24" t="n"/>
      <c r="CH21" s="24" t="n"/>
      <c r="CI21" s="24" t="inlineStr">
        <is>
          <t>NO_CALL_AVAILABILITY_SOURCE_CONFLICT</t>
        </is>
      </c>
      <c r="CJ21" s="24" t="inlineStr">
        <is>
          <t>6.663423</t>
        </is>
      </c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0.636385</t>
        </is>
      </c>
      <c r="CS21" s="24" t="inlineStr">
        <is>
          <t>True</t>
        </is>
      </c>
    </row>
    <row r="22" ht="36" customHeight="1">
      <c r="A22" s="24" t="inlineStr">
        <is>
          <t>21ce05a60e8d4051</t>
        </is>
      </c>
      <c r="B22" s="24" t="inlineStr">
        <is>
          <t>2026-08-09T13:59:23.763456Z</t>
        </is>
      </c>
      <c r="C22" s="24" t="inlineStr">
        <is>
          <t>2026-08-09T12:30:00-0400</t>
        </is>
      </c>
      <c r="D22" s="24" t="inlineStr">
        <is>
          <t>401857128</t>
        </is>
      </c>
      <c r="E22" s="24" t="inlineStr">
        <is>
          <t>WNBA</t>
        </is>
      </c>
      <c r="F22" s="24" t="inlineStr">
        <is>
          <t>Las Vegas Aces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300</v>
      </c>
      <c r="M22" s="27" t="n">
        <v>4</v>
      </c>
      <c r="N22" s="28" t="n">
        <v>0.25</v>
      </c>
      <c r="O22" s="28" t="n">
        <v>0.513331</v>
      </c>
      <c r="P22" s="28" t="n"/>
      <c r="Q22" s="28" t="n">
        <v>0.263331</v>
      </c>
      <c r="R22" s="26" t="n">
        <v>100</v>
      </c>
      <c r="S22" s="29" t="n">
        <v>1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loss</t>
        </is>
      </c>
      <c r="W22" s="26" t="n">
        <v>71</v>
      </c>
      <c r="X22" s="26" t="n">
        <v>111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2026-08-09T20:24:25.527598Z</t>
        </is>
      </c>
      <c r="AE22" s="31" t="inlineStr">
        <is>
          <t>Learned LR call at threshold 0.5001; executable ask 0.2500 (aec-wnba-lv-ny-2026-08-09); model edge vs ask +0.2633. NOTE: NO_CALL_AVAILABILITY_SOURCE_CONFLICT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wnba-lva</t>
        </is>
      </c>
      <c r="AQ22" s="24" t="inlineStr">
        <is>
          <t>Las Vegas Aces</t>
        </is>
      </c>
      <c r="AR22" s="24" t="inlineStr">
        <is>
          <t>Las Vegas Aces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326af12f4add44d3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2026-08-09T13:58:13.130881Z</t>
        </is>
      </c>
      <c r="BI22" s="24" t="inlineStr">
        <is>
          <t>["same_event","same_team_same_day","same_league_same_day"]</t>
        </is>
      </c>
      <c r="BJ22" s="25" t="n"/>
      <c r="BK22" s="26" t="n">
        <v>300</v>
      </c>
      <c r="BL22" s="27" t="n">
        <v>4</v>
      </c>
      <c r="BM22" s="28" t="n">
        <v>0.25</v>
      </c>
      <c r="BN22" s="28" t="n">
        <v>0.247525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0.4879470816</t>
        </is>
      </c>
      <c r="CD22" s="24" t="inlineStr">
        <is>
          <t>3.090342</t>
        </is>
      </c>
      <c r="CE22" s="24" t="n"/>
      <c r="CF22" s="24" t="n"/>
      <c r="CG22" s="24" t="n"/>
      <c r="CH22" s="24" t="n"/>
      <c r="CI22" s="24" t="inlineStr">
        <is>
          <t>NO_CALL_AVAILABILITY_SOURCE_CONFLICT</t>
        </is>
      </c>
      <c r="CJ22" s="24" t="inlineStr">
        <is>
          <t>-3.371641</t>
        </is>
      </c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0.513331</t>
        </is>
      </c>
      <c r="CS22" s="24" t="inlineStr">
        <is>
          <t>True</t>
        </is>
      </c>
    </row>
    <row r="23" ht="36" customHeight="1">
      <c r="A23" s="24" t="inlineStr">
        <is>
          <t>9bb87c61647d4403</t>
        </is>
      </c>
      <c r="B23" s="24" t="inlineStr">
        <is>
          <t>2026-08-09T17:06:21.079905Z</t>
        </is>
      </c>
      <c r="C23" s="24" t="inlineStr">
        <is>
          <t>2026-08-09T15:00:00-0400</t>
        </is>
      </c>
      <c r="D23" s="24" t="inlineStr">
        <is>
          <t>401857129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Washington Mystics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0.695232</v>
      </c>
      <c r="P23" s="28" t="n"/>
      <c r="Q23" s="28" t="n">
        <v>0.164716</v>
      </c>
      <c r="R23" s="26" t="n">
        <v>100</v>
      </c>
      <c r="S23" s="29" t="n">
        <v>2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75</v>
      </c>
      <c r="X23" s="26" t="n">
        <v>95</v>
      </c>
      <c r="Y23" s="25" t="n"/>
      <c r="Z23" s="26" t="n"/>
      <c r="AA23" s="28" t="n"/>
      <c r="AB23" s="28" t="n"/>
      <c r="AC23" s="30" t="n">
        <v>1.7699</v>
      </c>
      <c r="AD23" s="24" t="inlineStr">
        <is>
          <t>2026-08-09T23:28:57.101159Z</t>
        </is>
      </c>
      <c r="AE23" s="31" t="inlineStr">
        <is>
          <t>Learned LR call at threshold 0.5001; executable ask 0.5300 (aec-wnba-phx-wsh-2026-08-09); model edge vs ask +0.1652. NOTE: NO_CALL_AVAILABILITY_SOURCE_CONFLICT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wnba-was</t>
        </is>
      </c>
      <c r="AT23" s="24" t="inlineStr">
        <is>
          <t>Washington Mystics</t>
        </is>
      </c>
      <c r="AU23" s="24" t="inlineStr">
        <is>
          <t>Washington Mystics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28057b4491fbc31b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2026-08-09T17:05:41.727182Z</t>
        </is>
      </c>
      <c r="BI23" s="24" t="inlineStr">
        <is>
          <t>["same_event","same_team_same_day","same_league_same_day"]</t>
        </is>
      </c>
      <c r="BJ23" s="25" t="n"/>
      <c r="BK23" s="26" t="n">
        <v>-113</v>
      </c>
      <c r="BL23" s="27" t="n">
        <v>1.884956</v>
      </c>
      <c r="BM23" s="28" t="n">
        <v>0.530516</v>
      </c>
      <c r="BN23" s="28" t="n">
        <v>0.524752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0.7723991943</t>
        </is>
      </c>
      <c r="CD23" s="24" t="inlineStr">
        <is>
          <t>0.96982</t>
        </is>
      </c>
      <c r="CE23" s="24" t="n"/>
      <c r="CF23" s="24" t="n"/>
      <c r="CG23" s="24" t="n"/>
      <c r="CH23" s="24" t="n"/>
      <c r="CI23" s="24" t="inlineStr">
        <is>
          <t>NO_CALL_AVAILABILITY_SOURCE_CONFLICT</t>
        </is>
      </c>
      <c r="CJ23" s="24" t="inlineStr">
        <is>
          <t>6.116575</t>
        </is>
      </c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0.695232</t>
        </is>
      </c>
      <c r="CS23" s="24" t="inlineStr">
        <is>
          <t>True</t>
        </is>
      </c>
    </row>
    <row r="24" ht="36" customHeight="1">
      <c r="A24" s="24" t="inlineStr">
        <is>
          <t>cb2c0aa7c6c446e9</t>
        </is>
      </c>
      <c r="B24" s="24" t="inlineStr">
        <is>
          <t>2026-08-09T20:27:02.435009Z</t>
        </is>
      </c>
      <c r="C24" s="24" t="inlineStr">
        <is>
          <t>2026-08-09T19:00:00-0400</t>
        </is>
      </c>
      <c r="D24" s="24" t="inlineStr">
        <is>
          <t>401857131</t>
        </is>
      </c>
      <c r="E24" s="24" t="inlineStr">
        <is>
          <t>WNBA</t>
        </is>
      </c>
      <c r="F24" s="24" t="inlineStr">
        <is>
          <t>Golden State Valkyries</t>
        </is>
      </c>
      <c r="G24" s="24" t="inlineStr">
        <is>
          <t>Los Angeles Sparks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0.68049</v>
      </c>
      <c r="P24" s="28" t="n"/>
      <c r="Q24" s="28" t="n">
        <v>-0.01921</v>
      </c>
      <c r="R24" s="26" t="n">
        <v>14</v>
      </c>
      <c r="S24" s="29" t="n">
        <v>1.75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84</v>
      </c>
      <c r="X24" s="26" t="n">
        <v>78</v>
      </c>
      <c r="Y24" s="25" t="n"/>
      <c r="Z24" s="26" t="n"/>
      <c r="AA24" s="28" t="n"/>
      <c r="AB24" s="28" t="n"/>
      <c r="AC24" s="30" t="n">
        <v>0.7511</v>
      </c>
      <c r="AD24" s="24" t="inlineStr">
        <is>
          <t>2026-08-10T02:33:53.277745Z</t>
        </is>
      </c>
      <c r="AE24" s="31" t="inlineStr">
        <is>
          <t>Learned LR call at threshold 0.5001; executable ask 0.7000 (aec-wnba-gsv-la-2026-08-09); model edge vs ask -0.0195. NOTE: NO_CALL_AVAILABILITY_SOURCE_CONFLICT unavailable for this game — defaulted to neutral, other features used normally.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wnba-gsv</t>
        </is>
      </c>
      <c r="AQ24" s="24" t="inlineStr">
        <is>
          <t>Golden State Valkyries</t>
        </is>
      </c>
      <c r="AR24" s="24" t="inlineStr">
        <is>
          <t>Golden State Valkyries</t>
        </is>
      </c>
      <c r="AS24" s="24" t="inlineStr">
        <is>
          <t>wnba-las</t>
        </is>
      </c>
      <c r="AT24" s="24" t="inlineStr">
        <is>
          <t>Los Angeles Sparks</t>
        </is>
      </c>
      <c r="AU24" s="24" t="inlineStr">
        <is>
          <t>Los Angeles Sparks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3f8776ef716da556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2026-08-09T20:26:42.890552Z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>
        <v>0.693069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0.2620546512</t>
        </is>
      </c>
      <c r="CD24" s="24" t="inlineStr">
        <is>
          <t>1.491968</t>
        </is>
      </c>
      <c r="CE24" s="24" t="n"/>
      <c r="CF24" s="24" t="n"/>
      <c r="CG24" s="24" t="n"/>
      <c r="CH24" s="24" t="n"/>
      <c r="CI24" s="24" t="inlineStr">
        <is>
          <t>NO_CALL_AVAILABILITY_SOURCE_CONFLICT</t>
        </is>
      </c>
      <c r="CJ24" s="24" t="inlineStr">
        <is>
          <t>-1.513705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0.68049</t>
        </is>
      </c>
      <c r="CS24" s="24" t="inlineStr">
        <is>
          <t>False</t>
        </is>
      </c>
    </row>
    <row r="25" ht="36" customHeight="1">
      <c r="A25" s="24" t="inlineStr">
        <is>
          <t>84e168c081034099</t>
        </is>
      </c>
      <c r="B25" s="24" t="inlineStr">
        <is>
          <t>2026-08-10T16:34:47.251195Z</t>
        </is>
      </c>
      <c r="C25" s="24" t="inlineStr">
        <is>
          <t>2026-08-10T20:00:00-0400</t>
        </is>
      </c>
      <c r="D25" s="24" t="inlineStr">
        <is>
          <t>401857132</t>
        </is>
      </c>
      <c r="E25" s="24" t="inlineStr">
        <is>
          <t>WNBA</t>
        </is>
      </c>
      <c r="F25" s="24" t="inlineStr">
        <is>
          <t>Toronto Tempo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-733</v>
      </c>
      <c r="M25" s="27" t="n">
        <v>1.136426</v>
      </c>
      <c r="N25" s="28" t="n">
        <v>0.879952</v>
      </c>
      <c r="O25" s="28" t="n">
        <v>0.737133</v>
      </c>
      <c r="P25" s="28" t="n"/>
      <c r="Q25" s="28" t="n">
        <v>-0.142819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Learned LR call at threshold 0.5001; executable ask 0.8800 (aec-wnba-tor-atl-2026-08-10); model edge vs ask -0.1429. NOTE: NO_CALL_AVAILABILITY_SOURCE_CONFLICT unavailable for this game — defaulted to neutral, other features used normally.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wnba-tor</t>
        </is>
      </c>
      <c r="AQ25" s="24" t="inlineStr">
        <is>
          <t>Toronto Tempo</t>
        </is>
      </c>
      <c r="AR25" s="24" t="inlineStr">
        <is>
          <t>Toronto Tempo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cc3e04aa2e66419b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2026-08-10T16:34:14.661341Z</t>
        </is>
      </c>
      <c r="BI25" s="24" t="inlineStr">
        <is>
          <t>["same_event","same_team_same_day","same_league_same_day"]</t>
        </is>
      </c>
      <c r="BJ25" s="25" t="n"/>
      <c r="BK25" s="26" t="n">
        <v>-733</v>
      </c>
      <c r="BL25" s="27" t="n">
        <v>1.136426</v>
      </c>
      <c r="BM25" s="28" t="n">
        <v>0.879952</v>
      </c>
      <c r="BN25" s="28" t="n">
        <v>0.871287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0.8354799774</t>
        </is>
      </c>
      <c r="CD25" s="24" t="inlineStr">
        <is>
          <t>3.773711</t>
        </is>
      </c>
      <c r="CE25" s="24" t="n"/>
      <c r="CF25" s="24" t="n"/>
      <c r="CG25" s="24" t="n"/>
      <c r="CH25" s="24" t="n"/>
      <c r="CI25" s="24" t="inlineStr">
        <is>
          <t>NO_CALL_AVAILABILITY_SOURCE_CONFLICT</t>
        </is>
      </c>
      <c r="CJ25" s="24" t="inlineStr">
        <is>
          <t>-3.297793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0.737133</t>
        </is>
      </c>
      <c r="CS25" s="24" t="inlineStr">
        <is>
          <t>False</t>
        </is>
      </c>
    </row>
    <row r="26" ht="36" customHeight="1">
      <c r="A26" s="24" t="inlineStr">
        <is>
          <t>a01d4ac1e5f74584</t>
        </is>
      </c>
      <c r="B26" s="24" t="inlineStr">
        <is>
          <t>2026-08-10T16:34:47.251195Z</t>
        </is>
      </c>
      <c r="C26" s="24" t="inlineStr">
        <is>
          <t>2026-08-10T22:00:00-0400</t>
        </is>
      </c>
      <c r="D26" s="24" t="inlineStr">
        <is>
          <t>401857133</t>
        </is>
      </c>
      <c r="E26" s="24" t="inlineStr">
        <is>
          <t>WNBA</t>
        </is>
      </c>
      <c r="F26" s="24" t="inlineStr">
        <is>
          <t>Chicago Sky</t>
        </is>
      </c>
      <c r="G26" s="24" t="inlineStr">
        <is>
          <t>Seattle Storm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-113</v>
      </c>
      <c r="M26" s="27" t="n">
        <v>1.884956</v>
      </c>
      <c r="N26" s="28" t="n">
        <v>0.530516</v>
      </c>
      <c r="O26" s="28" t="n">
        <v>0.543228</v>
      </c>
      <c r="P26" s="28" t="n"/>
      <c r="Q26" s="28" t="n">
        <v>0.012712</v>
      </c>
      <c r="R26" s="26" t="n">
        <v>29</v>
      </c>
      <c r="S26" s="29" t="n">
        <v>1</v>
      </c>
      <c r="T26" s="24" t="inlineStr">
        <is>
          <t>wnba-elo-trend-lr-v4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Learned LR call at threshold 0.5001; executable ask 0.5300 (aec-wnba-chi-sea-2026-08-10); model edge vs ask +0.0132.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wnba-chi</t>
        </is>
      </c>
      <c r="AQ26" s="24" t="inlineStr">
        <is>
          <t>Chicago Sky</t>
        </is>
      </c>
      <c r="AR26" s="24" t="inlineStr">
        <is>
          <t>Chicago Sky</t>
        </is>
      </c>
      <c r="AS26" s="24" t="inlineStr">
        <is>
          <t>wnba-sea</t>
        </is>
      </c>
      <c r="AT26" s="24" t="inlineStr">
        <is>
          <t>Seattle Storm</t>
        </is>
      </c>
      <c r="AU26" s="24" t="inlineStr">
        <is>
          <t>Seattle Storm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0f4dad8fd6dfb442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2026-08-10T16:34:14.903004Z</t>
        </is>
      </c>
      <c r="BI26" s="24" t="inlineStr">
        <is>
          <t>["same_event","same_team_same_day","same_league_same_day"]</t>
        </is>
      </c>
      <c r="BJ26" s="25" t="n"/>
      <c r="BK26" s="26" t="n">
        <v>-113</v>
      </c>
      <c r="BL26" s="27" t="n">
        <v>1.884956</v>
      </c>
      <c r="BM26" s="28" t="n">
        <v>0.530516</v>
      </c>
      <c r="BN26" s="28" t="n">
        <v>0.524752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0.4387952332</t>
        </is>
      </c>
      <c r="CD26" s="24" t="inlineStr">
        <is>
          <t>-0.915897</t>
        </is>
      </c>
      <c r="CE26" s="24" t="n"/>
      <c r="CF26" s="24" t="n"/>
      <c r="CG26" s="24" t="n"/>
      <c r="CH26" s="24" t="n"/>
      <c r="CI26" s="24" t="n"/>
      <c r="CJ26" s="24" t="inlineStr">
        <is>
          <t>-5.749741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0.543228</t>
        </is>
      </c>
      <c r="CS2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2026-08-10T16:34:53Z</dcterms:created>
  <dcterms:modified xmlns:dcterms="http://purl.org/dc/terms/" xmlns:xsi="http://www.w3.org/2001/XMLSchema-instance" xsi:type="dcterms:W3CDTF">2026-08-10T16:34:53Z</dcterms:modified>
</cp:coreProperties>
</file>