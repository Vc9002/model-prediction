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8" headerRowCount="1">
  <autoFilter ref="A1:CQ18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COUNTA('Picks'!$A$2:$A$18)</f>
        <v/>
      </c>
      <c r="C4" s="6">
        <f>COUNTIF('Picks'!$U$2:$U$18,"open")</f>
        <v/>
      </c>
      <c r="E4" s="6">
        <f>COUNTIF('Picks'!$U$2:$U$18,"settled")</f>
        <v/>
      </c>
      <c r="G4" s="6">
        <f>IF(COUNTIFS('Picks'!$U$2:$U$18,"settled",'Picks'!$V$2:$V$18,"win")+COUNTIFS('Picks'!$U$2:$U$18,"settled",'Picks'!$V$2:$V$18,"loss")&gt;=$L$2,"Ready","Insufficient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COUNTIF('Picks'!$BX$2:$BX$18,"&gt;0")</f>
        <v/>
      </c>
      <c r="C7" s="6">
        <f>COUNTIFS('Picks'!$BX$2:$BX$18,"&gt;0",'Picks'!$V$2:$V$18,"win")&amp;"-"&amp;COUNTIFS('Picks'!$BX$2:$BX$18,"&gt;0",'Picks'!$V$2:$V$18,"loss")</f>
        <v/>
      </c>
      <c r="E7" s="7">
        <f>IFERROR(COUNTIFS('Picks'!$BX$2:$BX$18,"&gt;0",'Picks'!$V$2:$V$18,"win")/(COUNTIFS('Picks'!$BX$2:$BX$18,"&gt;0",'Picks'!$V$2:$V$18,"win")+COUNTIFS('Picks'!$BX$2:$BX$18,"&gt;0",'Picks'!$V$2:$V$18,"loss")),0)</f>
        <v/>
      </c>
      <c r="G7" s="7">
        <f>IFERROR(SUM('Picks'!$BY$2:$BY$18)/SUM('Picks'!$BX$2:$BX$18),0)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SUM('Picks'!$BY$2:$BY$18)</f>
        <v/>
      </c>
      <c r="C10" s="9">
        <f>IFERROR(AVERAGEIF('Picks'!$AB$2:$AB$18,"&lt;&gt;",'Picks'!$AB$2:$AB$18),0)</f>
        <v/>
      </c>
      <c r="E10" s="6">
        <f>COUNTIFS('Picks'!$AM$2:$AM$18,"QUALIFIED_SHADOW_CALL",'Picks'!$U$2:$U$18,"settled")</f>
        <v/>
      </c>
      <c r="G10" s="8">
        <f>SUMIFS('Picks'!$AC$2:$AC$18,'Picks'!$AM$2:$AM$18,"QUALIFIED_SHADOW_CALL")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COUNTIFS('Picks'!$H$2:$H$18,$A14,'Picks'!$U$2:$U$18,"settled")</f>
        <v/>
      </c>
      <c r="C14" s="13">
        <f>COUNTIFS('Picks'!$H$2:$H$18,$A14,'Picks'!$U$2:$U$18,"settled",'Picks'!$V$2:$V$18,"win")</f>
        <v/>
      </c>
      <c r="D14" s="13">
        <f>COUNTIFS('Picks'!$H$2:$H$18,$A14,'Picks'!$U$2:$U$18,"settled",'Picks'!$V$2:$V$18,"loss")</f>
        <v/>
      </c>
      <c r="E14" s="14">
        <f>IFERROR(C14/(C14+D14),0)</f>
        <v/>
      </c>
      <c r="F14" s="15">
        <f>SUMIFS('Picks'!$BY$2:$BY$18,'Picks'!$H$2:$H$18,$A14)</f>
        <v/>
      </c>
      <c r="G14" s="16">
        <f>IFERROR(AVERAGEIFS('Picks'!$AB$2:$AB$18,'Picks'!$H$2:$H$18,$A14,'Picks'!$U$2:$U$18,"settled"),0)</f>
        <v/>
      </c>
    </row>
    <row r="15">
      <c r="A15" s="17" t="inlineStr">
        <is>
          <t>spread</t>
        </is>
      </c>
      <c r="B15" s="18">
        <f>COUNTIFS('Picks'!$H$2:$H$18,$A15,'Picks'!$U$2:$U$18,"settled")</f>
        <v/>
      </c>
      <c r="C15" s="18">
        <f>COUNTIFS('Picks'!$H$2:$H$18,$A15,'Picks'!$U$2:$U$18,"settled",'Picks'!$V$2:$V$18,"win")</f>
        <v/>
      </c>
      <c r="D15" s="18">
        <f>COUNTIFS('Picks'!$H$2:$H$18,$A15,'Picks'!$U$2:$U$18,"settled",'Picks'!$V$2:$V$18,"loss")</f>
        <v/>
      </c>
      <c r="E15" s="19">
        <f>IFERROR(C15/(C15+D15),0)</f>
        <v/>
      </c>
      <c r="F15" s="20">
        <f>SUMIFS('Picks'!$BY$2:$BY$18,'Picks'!$H$2:$H$18,$A15)</f>
        <v/>
      </c>
      <c r="G15" s="21">
        <f>IFERROR(AVERAGEIFS('Picks'!$AB$2:$AB$18,'Picks'!$H$2:$H$18,$A15,'Picks'!$U$2:$U$18,"settled"),0)</f>
        <v/>
      </c>
    </row>
    <row r="16">
      <c r="A16" s="12" t="inlineStr">
        <is>
          <t>total</t>
        </is>
      </c>
      <c r="B16" s="13">
        <f>COUNTIFS('Picks'!$H$2:$H$18,$A16,'Picks'!$U$2:$U$18,"settled")</f>
        <v/>
      </c>
      <c r="C16" s="13">
        <f>COUNTIFS('Picks'!$H$2:$H$18,$A16,'Picks'!$U$2:$U$18,"settled",'Picks'!$V$2:$V$18,"win")</f>
        <v/>
      </c>
      <c r="D16" s="13">
        <f>COUNTIFS('Picks'!$H$2:$H$18,$A16,'Picks'!$U$2:$U$18,"settled",'Picks'!$V$2:$V$18,"loss")</f>
        <v/>
      </c>
      <c r="E16" s="14">
        <f>IFERROR(C16/(C16+D16),0)</f>
        <v/>
      </c>
      <c r="F16" s="15">
        <f>SUMIFS('Picks'!$BY$2:$BY$18,'Picks'!$H$2:$H$18,$A16)</f>
        <v/>
      </c>
      <c r="G16" s="16">
        <f>IFERROR(AVERAGEIFS('Picks'!$AB$2:$AB$18,'Picks'!$H$2:$H$18,$A16,'Picks'!$U$2:$U$18,"settled"),0)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744b52ceb7314514</t>
        </is>
      </c>
      <c r="B4" s="24" t="inlineStr">
        <is>
          <t>2026-07-30T21:07:38.996144Z</t>
        </is>
      </c>
      <c r="C4" s="24" t="inlineStr">
        <is>
          <t>2026-07-30T20:00:00-0400</t>
        </is>
      </c>
      <c r="D4" s="24" t="inlineStr">
        <is>
          <t>401857099</t>
        </is>
      </c>
      <c r="E4" s="24" t="inlineStr">
        <is>
          <t>WNBA</t>
        </is>
      </c>
      <c r="F4" s="24" t="inlineStr">
        <is>
          <t>Minnesota Lynx</t>
        </is>
      </c>
      <c r="G4" s="24" t="inlineStr">
        <is>
          <t>Toronto Tempo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-614</v>
      </c>
      <c r="M4" s="27" t="n">
        <v>1.162866</v>
      </c>
      <c r="N4" s="28" t="n">
        <v>0.859944</v>
      </c>
      <c r="O4" s="28" t="n">
        <v>0.750119</v>
      </c>
      <c r="P4" s="28" t="n"/>
      <c r="Q4" s="28" t="n">
        <v>-0.109825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104</v>
      </c>
      <c r="X4" s="26" t="n">
        <v>72</v>
      </c>
      <c r="Y4" s="25" t="n"/>
      <c r="Z4" s="26" t="n"/>
      <c r="AA4" s="28" t="n"/>
      <c r="AB4" s="28" t="n"/>
      <c r="AC4" s="30" t="n">
        <v>0.3257</v>
      </c>
      <c r="AD4" s="24" t="inlineStr">
        <is>
          <t>2026-07-31T04:29:17.777628Z</t>
        </is>
      </c>
      <c r="AE4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wnba-min</t>
        </is>
      </c>
      <c r="AQ4" s="24" t="inlineStr">
        <is>
          <t>Minnesota Lynx</t>
        </is>
      </c>
      <c r="AR4" s="24" t="inlineStr">
        <is>
          <t>Minnesota Lynx</t>
        </is>
      </c>
      <c r="AS4" s="24" t="inlineStr">
        <is>
          <t>wnba-tor</t>
        </is>
      </c>
      <c r="AT4" s="24" t="inlineStr">
        <is>
          <t>Toronto Tempo</t>
        </is>
      </c>
      <c r="AU4" s="24" t="inlineStr">
        <is>
          <t>Toronto Tempo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a8d16f9be486f04d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2026-07-30T21:07:16.651071Z</t>
        </is>
      </c>
      <c r="BI4" s="24" t="inlineStr">
        <is>
          <t>["same_event","same_team_same_day","same_league_same_day"]</t>
        </is>
      </c>
      <c r="BJ4" s="25" t="n"/>
      <c r="BK4" s="26" t="n">
        <v>-614</v>
      </c>
      <c r="BL4" s="27" t="n">
        <v>1.162866</v>
      </c>
      <c r="BM4" s="28" t="n">
        <v>0.859944</v>
      </c>
      <c r="BN4" s="28" t="n">
        <v>0.851485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0.1447442732</t>
        </is>
      </c>
      <c r="CD4" s="24" t="inlineStr">
        <is>
          <t>-5.213719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a4fd557587d84dcb</t>
        </is>
      </c>
      <c r="B5" s="24" t="inlineStr">
        <is>
          <t>2026-07-30T21:07:38.996144Z</t>
        </is>
      </c>
      <c r="C5" s="24" t="inlineStr">
        <is>
          <t>2026-07-30T20:00:00-0400</t>
        </is>
      </c>
      <c r="D5" s="24" t="inlineStr">
        <is>
          <t>401857100</t>
        </is>
      </c>
      <c r="E5" s="24" t="inlineStr">
        <is>
          <t>WNBA</t>
        </is>
      </c>
      <c r="F5" s="24" t="inlineStr">
        <is>
          <t>Connecticut Sun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0.670401</v>
      </c>
      <c r="P5" s="28" t="n"/>
      <c r="Q5" s="28" t="n">
        <v>0.010537</v>
      </c>
      <c r="R5" s="26" t="n">
        <v>28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88</v>
      </c>
      <c r="X5" s="26" t="n">
        <v>94</v>
      </c>
      <c r="Y5" s="25" t="n"/>
      <c r="Z5" s="26" t="n"/>
      <c r="AA5" s="28" t="n"/>
      <c r="AB5" s="28" t="n"/>
      <c r="AC5" s="30" t="n">
        <v>1.0309</v>
      </c>
      <c r="AD5" s="24" t="inlineStr">
        <is>
          <t>2026-07-31T04:29:17.882357Z</t>
        </is>
      </c>
      <c r="AE5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wnba-con</t>
        </is>
      </c>
      <c r="AQ5" s="24" t="inlineStr">
        <is>
          <t>Connecticut Sun</t>
        </is>
      </c>
      <c r="AR5" s="24" t="inlineStr">
        <is>
          <t>Connecticut Sun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de1d675da66b275e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2026-07-30T21:07:18.309580Z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>
        <v>0.653465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0.6616868073</t>
        </is>
      </c>
      <c r="CD5" s="24" t="inlineStr">
        <is>
          <t>5.467445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429571844f70423e</t>
        </is>
      </c>
      <c r="B6" s="24" t="inlineStr">
        <is>
          <t>2026-07-31T00:56:17.350684Z</t>
        </is>
      </c>
      <c r="C6" s="24" t="inlineStr">
        <is>
          <t>2026-07-30T22:00:00-0400</t>
        </is>
      </c>
      <c r="D6" s="24" t="inlineStr">
        <is>
          <t>401857101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Las Vegas Aces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0.615328</v>
      </c>
      <c r="P6" s="28" t="n"/>
      <c r="Q6" s="28" t="n">
        <v>-0.02496</v>
      </c>
      <c r="R6" s="26" t="n">
        <v>11</v>
      </c>
      <c r="S6" s="29" t="n">
        <v>1.75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99</v>
      </c>
      <c r="X6" s="26" t="n">
        <v>104</v>
      </c>
      <c r="Y6" s="25" t="n"/>
      <c r="Z6" s="26" t="n"/>
      <c r="AA6" s="28" t="n"/>
      <c r="AB6" s="28" t="n"/>
      <c r="AC6" s="30" t="n">
        <v>0.9831</v>
      </c>
      <c r="AD6" s="24" t="inlineStr">
        <is>
          <t>2026-07-31T04:29:18.625735Z</t>
        </is>
      </c>
      <c r="AE6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wnba-lva</t>
        </is>
      </c>
      <c r="AT6" s="24" t="inlineStr">
        <is>
          <t>Las Vegas Aces</t>
        </is>
      </c>
      <c r="AU6" s="24" t="inlineStr">
        <is>
          <t>Las Vegas Aces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181554924d3d25f6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2026-07-31T00:56:07.048062Z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0.6511069872</t>
        </is>
      </c>
      <c r="CD6" s="24" t="inlineStr">
        <is>
          <t>-4.276653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18e5ba2aaf884ddf</t>
        </is>
      </c>
      <c r="B7" s="24" t="inlineStr">
        <is>
          <t>2026-07-31T23:29:42.171549Z</t>
        </is>
      </c>
      <c r="C7" s="24" t="inlineStr">
        <is>
          <t>2026-07-31T19:30:00-0400</t>
        </is>
      </c>
      <c r="D7" s="24" t="inlineStr">
        <is>
          <t>401857102</t>
        </is>
      </c>
      <c r="E7" s="24" t="inlineStr">
        <is>
          <t>WNBA</t>
        </is>
      </c>
      <c r="F7" s="24" t="inlineStr">
        <is>
          <t>Seattle Storm</t>
        </is>
      </c>
      <c r="G7" s="24" t="inlineStr">
        <is>
          <t>Atlanta Dream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-525</v>
      </c>
      <c r="M7" s="27" t="n">
        <v>1.190476</v>
      </c>
      <c r="N7" s="28" t="n">
        <v>0.84</v>
      </c>
      <c r="O7" s="28" t="n">
        <v>0.737046</v>
      </c>
      <c r="P7" s="28" t="n"/>
      <c r="Q7" s="28" t="n">
        <v>-0.102954</v>
      </c>
      <c r="R7" s="26" t="n">
        <v>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win</t>
        </is>
      </c>
      <c r="W7" s="26" t="n">
        <v>89</v>
      </c>
      <c r="X7" s="26" t="n">
        <v>98</v>
      </c>
      <c r="Y7" s="25" t="n"/>
      <c r="Z7" s="26" t="n"/>
      <c r="AA7" s="28" t="n"/>
      <c r="AB7" s="28" t="n"/>
      <c r="AC7" s="30" t="n">
        <v>0.381</v>
      </c>
      <c r="AD7" s="24" t="inlineStr">
        <is>
          <t>2026-08-01T02:59:57.929008Z</t>
        </is>
      </c>
      <c r="AE7" s="31" t="inlineStr">
        <is>
          <t>Learned LR call at threshold 0.5001; executable ask 0.8400 (aec-wnba-sea-atl-2026-07-31); model edge vs ask -0.1030.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wnba-sea</t>
        </is>
      </c>
      <c r="AQ7" s="24" t="inlineStr">
        <is>
          <t>Seattle Storm</t>
        </is>
      </c>
      <c r="AR7" s="24" t="inlineStr">
        <is>
          <t>Seattle Storm</t>
        </is>
      </c>
      <c r="AS7" s="24" t="inlineStr">
        <is>
          <t>wnba-atl</t>
        </is>
      </c>
      <c r="AT7" s="24" t="inlineStr">
        <is>
          <t>Atlanta Dream</t>
        </is>
      </c>
      <c r="AU7" s="24" t="inlineStr">
        <is>
          <t>Atlanta Dream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8fdca19bc32f576a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2026-07-31T23:29:25.425390Z</t>
        </is>
      </c>
      <c r="BI7" s="24" t="inlineStr">
        <is>
          <t>["same_event","same_team_same_day","same_league_same_day"]</t>
        </is>
      </c>
      <c r="BJ7" s="25" t="n"/>
      <c r="BK7" s="26" t="n">
        <v>-525</v>
      </c>
      <c r="BL7" s="27" t="n">
        <v>1.190476</v>
      </c>
      <c r="BM7" s="28" t="n">
        <v>0.84</v>
      </c>
      <c r="BN7" s="28" t="n">
        <v>0.831683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0.821319619</t>
        </is>
      </c>
      <c r="CD7" s="24" t="inlineStr">
        <is>
          <t>-5.618671</t>
        </is>
      </c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06a3a214f14c43bf</t>
        </is>
      </c>
      <c r="B8" s="24" t="inlineStr">
        <is>
          <t>2026-07-31T23:29:42.171549Z</t>
        </is>
      </c>
      <c r="C8" s="24" t="inlineStr">
        <is>
          <t>2026-07-31T19:30:00-0400</t>
        </is>
      </c>
      <c r="D8" s="24" t="inlineStr">
        <is>
          <t>401857103</t>
        </is>
      </c>
      <c r="E8" s="24" t="inlineStr">
        <is>
          <t>WNBA</t>
        </is>
      </c>
      <c r="F8" s="24" t="inlineStr">
        <is>
          <t>Dallas Wings</t>
        </is>
      </c>
      <c r="G8" s="24" t="inlineStr">
        <is>
          <t>Washington Mystics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0.575648</v>
      </c>
      <c r="P8" s="28" t="n"/>
      <c r="Q8" s="28" t="n">
        <v>-0.024352</v>
      </c>
      <c r="R8" s="26" t="n">
        <v>11</v>
      </c>
      <c r="S8" s="29" t="n">
        <v>1.25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75</v>
      </c>
      <c r="X8" s="26" t="n">
        <v>81</v>
      </c>
      <c r="Y8" s="25" t="n"/>
      <c r="Z8" s="26" t="n"/>
      <c r="AA8" s="28" t="n"/>
      <c r="AB8" s="28" t="n"/>
      <c r="AC8" s="30" t="n">
        <v>-1.25</v>
      </c>
      <c r="AD8" s="24" t="inlineStr">
        <is>
          <t>2026-08-01T02:59:58.085221Z</t>
        </is>
      </c>
      <c r="AE8" s="31" t="inlineStr">
        <is>
          <t>Learned LR call at threshold 0.5001; executable ask 0.6000 (aec-wnba-dal-wsh-2026-07-31); model edge vs ask -0.0244.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wnba-dal</t>
        </is>
      </c>
      <c r="AQ8" s="24" t="inlineStr">
        <is>
          <t>Dallas Wings</t>
        </is>
      </c>
      <c r="AR8" s="24" t="inlineStr">
        <is>
          <t>Dallas Wings</t>
        </is>
      </c>
      <c r="AS8" s="24" t="inlineStr">
        <is>
          <t>wnba-was</t>
        </is>
      </c>
      <c r="AT8" s="24" t="inlineStr">
        <is>
          <t>Washington Mystics</t>
        </is>
      </c>
      <c r="AU8" s="24" t="inlineStr">
        <is>
          <t>Washington Mystics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0f848d940ea26816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2026-07-31T23:29:26.294036Z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>
        <v>0.594059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0.4036949453</t>
        </is>
      </c>
      <c r="CD8" s="24" t="inlineStr">
        <is>
          <t>-0.615194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0bea4ee624e94da7</t>
        </is>
      </c>
      <c r="B9" s="24" t="inlineStr">
        <is>
          <t>2026-07-31T23:29:42.171549Z</t>
        </is>
      </c>
      <c r="C9" s="24" t="inlineStr">
        <is>
          <t>2026-07-31T22:00:00-0400</t>
        </is>
      </c>
      <c r="D9" s="24" t="inlineStr">
        <is>
          <t>401857104</t>
        </is>
      </c>
      <c r="E9" s="24" t="inlineStr">
        <is>
          <t>WNBA</t>
        </is>
      </c>
      <c r="F9" s="24" t="inlineStr">
        <is>
          <t>Indiana Fever</t>
        </is>
      </c>
      <c r="G9" s="24" t="inlineStr">
        <is>
          <t>Portland Fire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-300</v>
      </c>
      <c r="M9" s="27" t="n">
        <v>1.333333</v>
      </c>
      <c r="N9" s="28" t="n">
        <v>0.75</v>
      </c>
      <c r="O9" s="28" t="n">
        <v>0.650826</v>
      </c>
      <c r="P9" s="28" t="n"/>
      <c r="Q9" s="28" t="n">
        <v>-0.099174</v>
      </c>
      <c r="R9" s="26" t="n">
        <v>0</v>
      </c>
      <c r="S9" s="29" t="n">
        <v>1.75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112</v>
      </c>
      <c r="X9" s="26" t="n">
        <v>98</v>
      </c>
      <c r="Y9" s="25" t="n"/>
      <c r="Z9" s="26" t="n"/>
      <c r="AA9" s="28" t="n"/>
      <c r="AB9" s="28" t="n"/>
      <c r="AC9" s="30" t="n">
        <v>0.5833</v>
      </c>
      <c r="AD9" s="24" t="inlineStr">
        <is>
          <t>2026-08-01T05:33:36.879084Z</t>
        </is>
      </c>
      <c r="AE9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wnba-ind</t>
        </is>
      </c>
      <c r="AQ9" s="24" t="inlineStr">
        <is>
          <t>Indiana Fever</t>
        </is>
      </c>
      <c r="AR9" s="24" t="inlineStr">
        <is>
          <t>Indiana Fever</t>
        </is>
      </c>
      <c r="AS9" s="24" t="inlineStr">
        <is>
          <t>wnba-por</t>
        </is>
      </c>
      <c r="AT9" s="24" t="inlineStr">
        <is>
          <t>Portland Fire</t>
        </is>
      </c>
      <c r="AU9" s="24" t="inlineStr">
        <is>
          <t>Portland Fire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bcb9c02760c21728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2026-07-31T23:29:27.325378Z</t>
        </is>
      </c>
      <c r="BI9" s="24" t="inlineStr">
        <is>
          <t>["same_event","same_team_same_day","same_league_same_day"]</t>
        </is>
      </c>
      <c r="BJ9" s="25" t="n"/>
      <c r="BK9" s="26" t="n">
        <v>-300</v>
      </c>
      <c r="BL9" s="27" t="n">
        <v>1.333333</v>
      </c>
      <c r="BM9" s="28" t="n">
        <v>0.75</v>
      </c>
      <c r="BN9" s="28" t="n">
        <v>0.742574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0.2910587699</t>
        </is>
      </c>
      <c r="CD9" s="24" t="inlineStr">
        <is>
          <t>-7.416658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2c06cda7ea4b4a18</t>
        </is>
      </c>
      <c r="B10" s="24" t="inlineStr">
        <is>
          <t>2026-08-01T16:50:21.394933Z</t>
        </is>
      </c>
      <c r="C10" s="24" t="inlineStr">
        <is>
          <t>2026-08-01T13:00:00-0400</t>
        </is>
      </c>
      <c r="D10" s="24" t="inlineStr">
        <is>
          <t>401857105</t>
        </is>
      </c>
      <c r="E10" s="24" t="inlineStr">
        <is>
          <t>WNBA</t>
        </is>
      </c>
      <c r="F10" s="24" t="inlineStr">
        <is>
          <t>Las Vegas Aces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-245</v>
      </c>
      <c r="M10" s="27" t="n">
        <v>1.408163</v>
      </c>
      <c r="N10" s="28" t="n">
        <v>0.710145</v>
      </c>
      <c r="O10" s="28" t="n">
        <v>0.646163</v>
      </c>
      <c r="P10" s="28" t="n"/>
      <c r="Q10" s="28" t="n">
        <v>-0.063982</v>
      </c>
      <c r="R10" s="26" t="n">
        <v>0</v>
      </c>
      <c r="S10" s="29" t="n">
        <v>1.75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loss</t>
        </is>
      </c>
      <c r="W10" s="26" t="n">
        <v>83</v>
      </c>
      <c r="X10" s="26" t="n">
        <v>84</v>
      </c>
      <c r="Y10" s="25" t="n"/>
      <c r="Z10" s="26" t="n"/>
      <c r="AA10" s="28" t="n"/>
      <c r="AB10" s="28" t="n"/>
      <c r="AC10" s="30" t="n">
        <v>-1.75</v>
      </c>
      <c r="AD10" s="24" t="inlineStr">
        <is>
          <t>2026-08-01T20:13:03.864714Z</t>
        </is>
      </c>
      <c r="AE10" s="31" t="inlineStr">
        <is>
          <t>Learned LR call at threshold 0.5001; executable ask 0.7100 (aec-wnba-lv-chi-2026-08-01); model edge vs ask -0.0638.</t>
        </is>
      </c>
      <c r="AF10" s="31" t="inlineStr">
        <is>
          <t>Learned model; shadow-qualified via operator override.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wnba-lva</t>
        </is>
      </c>
      <c r="AQ10" s="24" t="inlineStr">
        <is>
          <t>Las Vegas Aces</t>
        </is>
      </c>
      <c r="AR10" s="24" t="inlineStr">
        <is>
          <t>Las Vegas Aces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51a2c72f2e141b8b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2026-08-01T16:49:04.221920Z</t>
        </is>
      </c>
      <c r="BI10" s="24" t="inlineStr">
        <is>
          <t>["same_event","same_team_same_day","same_league_same_day"]</t>
        </is>
      </c>
      <c r="BJ10" s="25" t="n"/>
      <c r="BK10" s="26" t="n">
        <v>-245</v>
      </c>
      <c r="BL10" s="27" t="n">
        <v>1.408163</v>
      </c>
      <c r="BM10" s="28" t="n">
        <v>0.710145</v>
      </c>
      <c r="BN10" s="28" t="n">
        <v>0.70297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0.317202935</t>
        </is>
      </c>
      <c r="CD10" s="24" t="inlineStr">
        <is>
          <t>4.001837</t>
        </is>
      </c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b5171488f8674c06</t>
        </is>
      </c>
      <c r="B11" s="24" t="inlineStr">
        <is>
          <t>2026-08-01T18:37:44.379324Z</t>
        </is>
      </c>
      <c r="C11" s="24" t="inlineStr">
        <is>
          <t>2026-08-01T15:00:00-0400</t>
        </is>
      </c>
      <c r="D11" s="24" t="inlineStr">
        <is>
          <t>401857106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Phoenix Mercury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0.568764</v>
      </c>
      <c r="P11" s="28" t="n"/>
      <c r="Q11" s="28" t="n">
        <v>-0.0214</v>
      </c>
      <c r="R11" s="26" t="n">
        <v>12</v>
      </c>
      <c r="S11" s="29" t="n">
        <v>1.25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94</v>
      </c>
      <c r="X11" s="26" t="n">
        <v>92</v>
      </c>
      <c r="Y11" s="25" t="n"/>
      <c r="Z11" s="26" t="n"/>
      <c r="AA11" s="28" t="n"/>
      <c r="AB11" s="28" t="n"/>
      <c r="AC11" s="30" t="n">
        <v>0.8681</v>
      </c>
      <c r="AD11" s="24" t="inlineStr">
        <is>
          <t>2026-08-01T21:25:16.611294Z</t>
        </is>
      </c>
      <c r="AE11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wnba-phx</t>
        </is>
      </c>
      <c r="AT11" s="24" t="inlineStr">
        <is>
          <t>Phoenix Mercury</t>
        </is>
      </c>
      <c r="AU11" s="24" t="inlineStr">
        <is>
          <t>Phoenix Mercury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bbef9e1b90cf700b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2026-08-01T18:36:36.294824Z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>
        <v>0.584158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0.4080094464</t>
        </is>
      </c>
      <c r="CD11" s="24" t="inlineStr">
        <is>
          <t>-5.162465</t>
        </is>
      </c>
      <c r="CE11" s="24" t="n"/>
      <c r="CF11" s="24" t="n"/>
      <c r="CG11" s="24" t="n"/>
      <c r="CH11" s="24" t="n"/>
      <c r="CI11" s="24" t="inlineStr">
        <is>
          <t>NO_CALL_AVAILABILITY_PLAYER_UNMAPPED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f34743eccf0143a3</t>
        </is>
      </c>
      <c r="B12" s="24" t="inlineStr">
        <is>
          <t>2026-08-02T16:48:43.908788Z</t>
        </is>
      </c>
      <c r="C12" s="24" t="inlineStr">
        <is>
          <t>2026-08-02T13:00:00-0400</t>
        </is>
      </c>
      <c r="D12" s="24" t="inlineStr">
        <is>
          <t>401857107</t>
        </is>
      </c>
      <c r="E12" s="24" t="inlineStr">
        <is>
          <t>WNBA</t>
        </is>
      </c>
      <c r="F12" s="24" t="inlineStr">
        <is>
          <t>Indiana Fever</t>
        </is>
      </c>
      <c r="G12" s="24" t="inlineStr">
        <is>
          <t>Minnesota Lynx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0.643489</v>
      </c>
      <c r="P12" s="28" t="n"/>
      <c r="Q12" s="28" t="n">
        <v>-0.006861</v>
      </c>
      <c r="R12" s="26" t="n">
        <v>20</v>
      </c>
      <c r="S12" s="29" t="n">
        <v>1.5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100</v>
      </c>
      <c r="X12" s="26" t="n">
        <v>108</v>
      </c>
      <c r="Y12" s="25" t="n"/>
      <c r="Z12" s="26" t="n"/>
      <c r="AA12" s="28" t="n"/>
      <c r="AB12" s="28" t="n"/>
      <c r="AC12" s="30" t="n">
        <v>0.8065</v>
      </c>
      <c r="AD12" s="24" t="inlineStr">
        <is>
          <t>2026-08-02T19:26:21.579065Z</t>
        </is>
      </c>
      <c r="AE12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wnba-ind</t>
        </is>
      </c>
      <c r="AQ12" s="24" t="inlineStr">
        <is>
          <t>Indiana Fever</t>
        </is>
      </c>
      <c r="AR12" s="24" t="inlineStr">
        <is>
          <t>Indiana Fever</t>
        </is>
      </c>
      <c r="AS12" s="24" t="inlineStr">
        <is>
          <t>wnba-min</t>
        </is>
      </c>
      <c r="AT12" s="24" t="inlineStr">
        <is>
          <t>Minnesota Lynx</t>
        </is>
      </c>
      <c r="AU12" s="24" t="inlineStr">
        <is>
          <t>Minnesota Lynx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cb6d856341c7efe7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2026-08-02T16:47:30.539614Z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>
        <v>0.643564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0.6810434571</t>
        </is>
      </c>
      <c r="CD12" s="24" t="inlineStr">
        <is>
          <t>-4.330577</t>
        </is>
      </c>
      <c r="CE12" s="24" t="n"/>
      <c r="CF12" s="24" t="n"/>
      <c r="CG12" s="24" t="n"/>
      <c r="CH12" s="24" t="n"/>
      <c r="CI12" s="24" t="inlineStr">
        <is>
          <t>NO_CALL_AVAILABILITY_PLAYER_UNMAPPED</t>
        </is>
      </c>
      <c r="CJ12" s="24" t="n"/>
      <c r="CK12" s="24" t="n"/>
      <c r="CL12" s="24" t="n"/>
      <c r="CM12" s="24" t="n"/>
      <c r="CN12" s="24" t="n"/>
      <c r="CO12" s="24" t="n"/>
      <c r="CP12" s="24" t="inlineStr">
        <is>
          <t>0.643489</t>
        </is>
      </c>
      <c r="CQ12" s="24" t="inlineStr">
        <is>
          <t>0</t>
        </is>
      </c>
    </row>
    <row r="13" ht="36" customHeight="1">
      <c r="A13" s="24" t="inlineStr">
        <is>
          <t>ba9a9375ccd94ae2</t>
        </is>
      </c>
      <c r="B13" s="24" t="inlineStr">
        <is>
          <t>2026-08-02T19:28:41.982598Z</t>
        </is>
      </c>
      <c r="C13" s="24" t="inlineStr">
        <is>
          <t>2026-08-02T15:30:00-0400</t>
        </is>
      </c>
      <c r="D13" s="24" t="inlineStr">
        <is>
          <t>401857108</t>
        </is>
      </c>
      <c r="E13" s="24" t="inlineStr">
        <is>
          <t>WNBA</t>
        </is>
      </c>
      <c r="F13" s="24" t="inlineStr">
        <is>
          <t>Los Angeles Sparks</t>
        </is>
      </c>
      <c r="G13" s="24" t="inlineStr">
        <is>
          <t>Portland Fire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0.490196</v>
      </c>
      <c r="O13" s="28" t="n">
        <v>0.57112</v>
      </c>
      <c r="P13" s="28" t="n"/>
      <c r="Q13" s="28" t="n">
        <v>0.080924</v>
      </c>
      <c r="R13" s="26" t="n">
        <v>63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106</v>
      </c>
      <c r="X13" s="26" t="n">
        <v>101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2026-08-02T23:11:53.720458Z</t>
        </is>
      </c>
      <c r="AE13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wnba-las</t>
        </is>
      </c>
      <c r="AQ13" s="24" t="inlineStr">
        <is>
          <t>Los Angeles Sparks</t>
        </is>
      </c>
      <c r="AR13" s="24" t="inlineStr">
        <is>
          <t>Los Angeles Sparks</t>
        </is>
      </c>
      <c r="AS13" s="24" t="inlineStr">
        <is>
          <t>wnba-por</t>
        </is>
      </c>
      <c r="AT13" s="24" t="inlineStr">
        <is>
          <t>Portland Fire</t>
        </is>
      </c>
      <c r="AU13" s="24" t="inlineStr">
        <is>
          <t>Portland Fire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58d7c01d51192db8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2026-08-02T19:27:38.881123Z</t>
        </is>
      </c>
      <c r="BI13" s="24" t="inlineStr">
        <is>
          <t>["same_event","same_team_same_day","same_league_same_day"]</t>
        </is>
      </c>
      <c r="BJ13" s="25" t="n"/>
      <c r="BK13" s="26" t="n">
        <v>104</v>
      </c>
      <c r="BL13" s="27" t="n">
        <v>2.04</v>
      </c>
      <c r="BM13" s="28" t="n">
        <v>0.490196</v>
      </c>
      <c r="BN13" s="28" t="n">
        <v>0.485149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0.5937045717</t>
        </is>
      </c>
      <c r="CD13" s="24" t="inlineStr">
        <is>
          <t>-1.420483</t>
        </is>
      </c>
      <c r="CE13" s="24" t="n"/>
      <c r="CF13" s="24" t="n"/>
      <c r="CG13" s="24" t="n"/>
      <c r="CH13" s="24" t="n"/>
      <c r="CI13" s="24" t="inlineStr">
        <is>
          <t>NO_CALL_AVAILABILITY_PLAYER_UNMAPPED</t>
        </is>
      </c>
      <c r="CJ13" s="24" t="n"/>
      <c r="CK13" s="24" t="n"/>
      <c r="CL13" s="24" t="n"/>
      <c r="CM13" s="24" t="n"/>
      <c r="CN13" s="24" t="n"/>
      <c r="CO13" s="24" t="n"/>
      <c r="CP13" s="24" t="inlineStr">
        <is>
          <t>0.57112</t>
        </is>
      </c>
      <c r="CQ13" s="24" t="inlineStr">
        <is>
          <t>True</t>
        </is>
      </c>
    </row>
    <row r="14" ht="36" customHeight="1">
      <c r="A14" s="24" t="inlineStr">
        <is>
          <t>2f3026f2ebce4ef9</t>
        </is>
      </c>
      <c r="B14" s="24" t="inlineStr">
        <is>
          <t>2026-08-02T19:28:41.982598Z</t>
        </is>
      </c>
      <c r="C14" s="24" t="inlineStr">
        <is>
          <t>2026-08-02T19:00:00-0400</t>
        </is>
      </c>
      <c r="D14" s="24" t="inlineStr">
        <is>
          <t>401857109</t>
        </is>
      </c>
      <c r="E14" s="24" t="inlineStr">
        <is>
          <t>WNBA</t>
        </is>
      </c>
      <c r="F14" s="24" t="inlineStr">
        <is>
          <t>Connecticut Sun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-488</v>
      </c>
      <c r="M14" s="27" t="n">
        <v>1.204918</v>
      </c>
      <c r="N14" s="28" t="n">
        <v>0.829932</v>
      </c>
      <c r="O14" s="28" t="n">
        <v>0.758559</v>
      </c>
      <c r="P14" s="28" t="n"/>
      <c r="Q14" s="28" t="n">
        <v>-0.07137300000000001</v>
      </c>
      <c r="R14" s="26" t="n">
        <v>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63</v>
      </c>
      <c r="X14" s="26" t="n">
        <v>83</v>
      </c>
      <c r="Y14" s="25" t="n"/>
      <c r="Z14" s="26" t="n"/>
      <c r="AA14" s="28" t="n"/>
      <c r="AB14" s="28" t="n"/>
      <c r="AC14" s="30" t="n">
        <v>0.4098</v>
      </c>
      <c r="AD14" s="24" t="inlineStr">
        <is>
          <t>2026-08-03T02:33:58.703211Z</t>
        </is>
      </c>
      <c r="AE14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wnba-con</t>
        </is>
      </c>
      <c r="AQ14" s="24" t="inlineStr">
        <is>
          <t>Connecticut Sun</t>
        </is>
      </c>
      <c r="AR14" s="24" t="inlineStr">
        <is>
          <t>Connecticut Sun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9c0c7cfe02317de7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2026-08-02T19:27:40.019420Z</t>
        </is>
      </c>
      <c r="BI14" s="24" t="inlineStr">
        <is>
          <t>["same_event","same_team_same_day","same_league_same_day"]</t>
        </is>
      </c>
      <c r="BJ14" s="25" t="n"/>
      <c r="BK14" s="26" t="n">
        <v>-488</v>
      </c>
      <c r="BL14" s="27" t="n">
        <v>1.204918</v>
      </c>
      <c r="BM14" s="28" t="n">
        <v>0.829932</v>
      </c>
      <c r="BN14" s="28" t="n">
        <v>0.821782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0.8648169599</t>
        </is>
      </c>
      <c r="CD14" s="24" t="inlineStr">
        <is>
          <t>-2.14749</t>
        </is>
      </c>
      <c r="CE14" s="24" t="n"/>
      <c r="CF14" s="24" t="n"/>
      <c r="CG14" s="24" t="n"/>
      <c r="CH14" s="24" t="n"/>
      <c r="CI14" s="24" t="inlineStr">
        <is>
          <t>NO_CALL_AVAILABILITY_PLAYER_UNMAPPED</t>
        </is>
      </c>
      <c r="CJ14" s="24" t="n"/>
      <c r="CK14" s="24" t="n"/>
      <c r="CL14" s="24" t="n"/>
      <c r="CM14" s="24" t="n"/>
      <c r="CN14" s="24" t="n"/>
      <c r="CO14" s="24" t="n"/>
      <c r="CP14" s="24" t="inlineStr">
        <is>
          <t>0.758559</t>
        </is>
      </c>
      <c r="CQ14" s="24" t="inlineStr">
        <is>
          <t>False</t>
        </is>
      </c>
    </row>
    <row r="15" ht="36" customHeight="1">
      <c r="A15" s="24" t="inlineStr">
        <is>
          <t>4672b91740b0470e</t>
        </is>
      </c>
      <c r="B15" s="24" t="inlineStr">
        <is>
          <t>2026-08-02T23:14:34.350495Z</t>
        </is>
      </c>
      <c r="C15" s="24" t="inlineStr">
        <is>
          <t>2026-08-02T20:30:00-0400</t>
        </is>
      </c>
      <c r="D15" s="24" t="inlineStr">
        <is>
          <t>401857110</t>
        </is>
      </c>
      <c r="E15" s="24" t="inlineStr">
        <is>
          <t>WNBA</t>
        </is>
      </c>
      <c r="F15" s="24" t="inlineStr">
        <is>
          <t>Toronto Tempo</t>
        </is>
      </c>
      <c r="G15" s="24" t="inlineStr">
        <is>
          <t>Golden State Valkyries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-733</v>
      </c>
      <c r="M15" s="27" t="n">
        <v>1.136426</v>
      </c>
      <c r="N15" s="28" t="n">
        <v>0.879952</v>
      </c>
      <c r="O15" s="28" t="n">
        <v>0.772803</v>
      </c>
      <c r="P15" s="28" t="n"/>
      <c r="Q15" s="28" t="n">
        <v>-0.107149</v>
      </c>
      <c r="R15" s="26" t="n">
        <v>0</v>
      </c>
      <c r="S15" s="29" t="n">
        <v>2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79</v>
      </c>
      <c r="X15" s="26" t="n">
        <v>96</v>
      </c>
      <c r="Y15" s="25" t="n"/>
      <c r="Z15" s="26" t="n"/>
      <c r="AA15" s="28" t="n"/>
      <c r="AB15" s="28" t="n"/>
      <c r="AC15" s="30" t="n">
        <v>0.2729</v>
      </c>
      <c r="AD15" s="24" t="inlineStr">
        <is>
          <t>2026-08-03T02:34:06.515070Z</t>
        </is>
      </c>
      <c r="AE15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wnba-tor</t>
        </is>
      </c>
      <c r="AQ15" s="24" t="inlineStr">
        <is>
          <t>Toronto Tempo</t>
        </is>
      </c>
      <c r="AR15" s="24" t="inlineStr">
        <is>
          <t>Toronto Tempo</t>
        </is>
      </c>
      <c r="AS15" s="24" t="inlineStr">
        <is>
          <t>wnba-gsv</t>
        </is>
      </c>
      <c r="AT15" s="24" t="inlineStr">
        <is>
          <t>Golden State Valkyries</t>
        </is>
      </c>
      <c r="AU15" s="24" t="inlineStr">
        <is>
          <t>Golden State Valkyries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c1ef9fc1d2a3714a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2026-08-02T23:13:58.588337Z</t>
        </is>
      </c>
      <c r="BI15" s="24" t="inlineStr">
        <is>
          <t>["same_event","same_team_same_day","same_league_same_day"]</t>
        </is>
      </c>
      <c r="BJ15" s="25" t="n"/>
      <c r="BK15" s="26" t="n">
        <v>-733</v>
      </c>
      <c r="BL15" s="27" t="n">
        <v>1.136426</v>
      </c>
      <c r="BM15" s="28" t="n">
        <v>0.879952</v>
      </c>
      <c r="BN15" s="28" t="n">
        <v>0.871287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0.8973864278</t>
        </is>
      </c>
      <c r="CD15" s="24" t="inlineStr">
        <is>
          <t>2.248193</t>
        </is>
      </c>
      <c r="CE15" s="24" t="n"/>
      <c r="CF15" s="24" t="n"/>
      <c r="CG15" s="24" t="n"/>
      <c r="CH15" s="24" t="n"/>
      <c r="CI15" s="24" t="inlineStr">
        <is>
          <t>NO_CALL_AVAILABILITY_PLAYER_UNMAPPED</t>
        </is>
      </c>
      <c r="CJ15" s="24" t="n"/>
      <c r="CK15" s="24" t="n"/>
      <c r="CL15" s="24" t="n"/>
      <c r="CM15" s="24" t="n"/>
      <c r="CN15" s="24" t="n"/>
      <c r="CO15" s="24" t="n"/>
      <c r="CP15" s="24" t="inlineStr">
        <is>
          <t>0.772803</t>
        </is>
      </c>
      <c r="CQ15" s="24" t="inlineStr">
        <is>
          <t>False</t>
        </is>
      </c>
    </row>
    <row r="16" ht="36" customHeight="1">
      <c r="A16" s="24" t="inlineStr">
        <is>
          <t>f4b42db9be7540a3</t>
        </is>
      </c>
      <c r="B16" s="24" t="inlineStr">
        <is>
          <t>2026-08-03T22:56:28.208831Z</t>
        </is>
      </c>
      <c r="C16" s="24" t="inlineStr">
        <is>
          <t>2026-08-03T19:00:00-0400</t>
        </is>
      </c>
      <c r="D16" s="24" t="inlineStr">
        <is>
          <t>401857111</t>
        </is>
      </c>
      <c r="E16" s="24" t="inlineStr">
        <is>
          <t>WNBA</t>
        </is>
      </c>
      <c r="F16" s="24" t="inlineStr">
        <is>
          <t>Las Vegas Aces</t>
        </is>
      </c>
      <c r="G16" s="24" t="inlineStr">
        <is>
          <t>Atlanta Dream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0.51407</v>
      </c>
      <c r="P16" s="28" t="n"/>
      <c r="Q16" s="28" t="n">
        <v>-0.045401</v>
      </c>
      <c r="R16" s="26" t="n">
        <v>0</v>
      </c>
      <c r="S16" s="29" t="n">
        <v>1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109</v>
      </c>
      <c r="X16" s="26" t="n">
        <v>87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2026-08-04T01:58:22.418529Z</t>
        </is>
      </c>
      <c r="AE16" s="31" t="inlineStr">
        <is>
          <t>Learned LR call at threshold 0.5001; executable ask 0.5600 (aec-wnba-lv-atl-2026-08-03); model edge vs ask -0.0459.</t>
        </is>
      </c>
      <c r="AF16" s="31" t="inlineStr">
        <is>
          <t>Learned model; shadow-qualified via operator override.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wnba-lva</t>
        </is>
      </c>
      <c r="AQ16" s="24" t="inlineStr">
        <is>
          <t>Las Vegas Aces</t>
        </is>
      </c>
      <c r="AR16" s="24" t="inlineStr">
        <is>
          <t>Las Vegas Aces</t>
        </is>
      </c>
      <c r="AS16" s="24" t="inlineStr">
        <is>
          <t>wnba-atl</t>
        </is>
      </c>
      <c r="AT16" s="24" t="inlineStr">
        <is>
          <t>Atlanta Dream</t>
        </is>
      </c>
      <c r="AU16" s="24" t="inlineStr">
        <is>
          <t>Atlanta Dream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b2ef49b6e91b5973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2026-08-03T22:56:02.794073Z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>
        <v>0.554455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0.5210843216</t>
        </is>
      </c>
      <c r="CD16" s="24" t="inlineStr">
        <is>
          <t>2.457049</t>
        </is>
      </c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inlineStr">
        <is>
          <t>0.51407</t>
        </is>
      </c>
      <c r="CQ16" s="24" t="inlineStr">
        <is>
          <t>False</t>
        </is>
      </c>
    </row>
    <row r="17" ht="36" customHeight="1">
      <c r="A17" s="24" t="inlineStr">
        <is>
          <t>7e78f51d0c3f49f8</t>
        </is>
      </c>
      <c r="B17" s="24" t="inlineStr">
        <is>
          <t>2026-08-03T22:56:28.208831Z</t>
        </is>
      </c>
      <c r="C17" s="24" t="inlineStr">
        <is>
          <t>2026-08-03T19:00:00-0400</t>
        </is>
      </c>
      <c r="D17" s="24" t="inlineStr">
        <is>
          <t>401857112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New York Liberty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-300</v>
      </c>
      <c r="M17" s="27" t="n">
        <v>1.333333</v>
      </c>
      <c r="N17" s="28" t="n">
        <v>0.75</v>
      </c>
      <c r="O17" s="28" t="n">
        <v>0.668225</v>
      </c>
      <c r="P17" s="28" t="n"/>
      <c r="Q17" s="28" t="n">
        <v>-0.081775</v>
      </c>
      <c r="R17" s="26" t="n">
        <v>0</v>
      </c>
      <c r="S17" s="29" t="n">
        <v>1.75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83</v>
      </c>
      <c r="X17" s="26" t="n">
        <v>95</v>
      </c>
      <c r="Y17" s="25" t="n"/>
      <c r="Z17" s="26" t="n"/>
      <c r="AA17" s="28" t="n"/>
      <c r="AB17" s="28" t="n"/>
      <c r="AC17" s="30" t="n">
        <v>0.5833</v>
      </c>
      <c r="AD17" s="24" t="inlineStr">
        <is>
          <t>2026-08-04T01:58:22.599025Z</t>
        </is>
      </c>
      <c r="AE17" s="31" t="inlineStr">
        <is>
          <t>Learned LR call at threshold 0.5001; executable ask 0.7500 (aec-wnba-sea-ny-2026-08-03); model edge vs ask -0.0818.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wnba-sea</t>
        </is>
      </c>
      <c r="AQ17" s="24" t="inlineStr">
        <is>
          <t>Seattle Storm</t>
        </is>
      </c>
      <c r="AR17" s="24" t="inlineStr">
        <is>
          <t>Seattle Storm</t>
        </is>
      </c>
      <c r="AS17" s="24" t="inlineStr">
        <is>
          <t>wnba-nyl</t>
        </is>
      </c>
      <c r="AT17" s="24" t="inlineStr">
        <is>
          <t>New York Liberty</t>
        </is>
      </c>
      <c r="AU17" s="24" t="inlineStr">
        <is>
          <t>New York Liberty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a7a2cf055acd172e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2026-08-03T22:56:03.448712Z</t>
        </is>
      </c>
      <c r="BI17" s="24" t="inlineStr">
        <is>
          <t>["same_event","same_team_same_day","same_league_same_day"]</t>
        </is>
      </c>
      <c r="BJ17" s="25" t="n"/>
      <c r="BK17" s="26" t="n">
        <v>-300</v>
      </c>
      <c r="BL17" s="27" t="n">
        <v>1.333333</v>
      </c>
      <c r="BM17" s="28" t="n">
        <v>0.75</v>
      </c>
      <c r="BN17" s="28" t="n">
        <v>0.742574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0.826825309</t>
        </is>
      </c>
      <c r="CD17" s="24" t="inlineStr">
        <is>
          <t>-1.349631</t>
        </is>
      </c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inlineStr">
        <is>
          <t>0.668225</t>
        </is>
      </c>
      <c r="CQ17" s="24" t="inlineStr">
        <is>
          <t>False</t>
        </is>
      </c>
    </row>
    <row r="18" ht="36" customHeight="1">
      <c r="A18" s="24" t="inlineStr">
        <is>
          <t>eb5ee14f5b6c46f6</t>
        </is>
      </c>
      <c r="B18" s="24" t="inlineStr">
        <is>
          <t>2026-08-03T22:56:28.208831Z</t>
        </is>
      </c>
      <c r="C18" s="24" t="inlineStr">
        <is>
          <t>2026-08-03T21:00:00-0400</t>
        </is>
      </c>
      <c r="D18" s="24" t="inlineStr">
        <is>
          <t>401857113</t>
        </is>
      </c>
      <c r="E18" s="24" t="inlineStr">
        <is>
          <t>WNBA</t>
        </is>
      </c>
      <c r="F18" s="24" t="inlineStr">
        <is>
          <t>Phoenix Mercury</t>
        </is>
      </c>
      <c r="G18" s="24" t="inlineStr">
        <is>
          <t>Chicago Sky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0.580877</v>
      </c>
      <c r="P18" s="28" t="n"/>
      <c r="Q18" s="28" t="n">
        <v>0.120048</v>
      </c>
      <c r="R18" s="26" t="n">
        <v>83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2026-08-04T03:57:44.109194Z</t>
        </is>
      </c>
      <c r="AE18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wnba-phx</t>
        </is>
      </c>
      <c r="AQ18" s="24" t="inlineStr">
        <is>
          <t>Phoenix Mercury</t>
        </is>
      </c>
      <c r="AR18" s="24" t="inlineStr">
        <is>
          <t>Phoenix Mercury</t>
        </is>
      </c>
      <c r="AS18" s="24" t="inlineStr">
        <is>
          <t>wnba-chi</t>
        </is>
      </c>
      <c r="AT18" s="24" t="inlineStr">
        <is>
          <t>Chicago Sky</t>
        </is>
      </c>
      <c r="AU18" s="24" t="inlineStr">
        <is>
          <t>Chicago Sky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7a2885907d6a5230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2026-08-03T22:56:03.908601Z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>
        <v>0.455446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0.6165118128</t>
        </is>
      </c>
      <c r="CD18" s="24" t="inlineStr">
        <is>
          <t>3.666063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inlineStr">
        <is>
          <t>0.580877</t>
        </is>
      </c>
      <c r="CQ1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2026-08-04T03:57:44Z</dcterms:created>
  <dcterms:modified xsi:type="dcterms:W3CDTF">2026-08-04T03:57:44Z</dcterms:modified>
</cp:coreProperties>
</file>