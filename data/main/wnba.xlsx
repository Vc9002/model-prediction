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23" headerRowCount="1">
  <autoFilter ref="A1:CS23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COUNTA('Picks'!$A$2:$A$23)</f>
        <v/>
      </c>
      <c r="C4" s="6">
        <f>COUNTIF('Picks'!$U$2:$U$23,"open")</f>
        <v/>
      </c>
      <c r="E4" s="6">
        <f>COUNTIF('Picks'!$U$2:$U$23,"settled")</f>
        <v/>
      </c>
      <c r="G4" s="6">
        <f>IF(COUNTIFS('Picks'!$U$2:$U$23,"settled",'Picks'!$V$2:$V$23,"win")+COUNTIFS('Picks'!$U$2:$U$23,"settled",'Picks'!$V$2:$V$23,"loss")&gt;=$L$2,"Ready","Insufficient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COUNTIF('Picks'!$BX$2:$BX$23,"&gt;0")</f>
        <v/>
      </c>
      <c r="C7" s="6">
        <f>COUNTIFS('Picks'!$BX$2:$BX$23,"&gt;0",'Picks'!$V$2:$V$23,"win")&amp;"-"&amp;COUNTIFS('Picks'!$BX$2:$BX$23,"&gt;0",'Picks'!$V$2:$V$23,"loss")</f>
        <v/>
      </c>
      <c r="E7" s="7">
        <f>IFERROR(COUNTIFS('Picks'!$BX$2:$BX$23,"&gt;0",'Picks'!$V$2:$V$23,"win")/(COUNTIFS('Picks'!$BX$2:$BX$23,"&gt;0",'Picks'!$V$2:$V$23,"win")+COUNTIFS('Picks'!$BX$2:$BX$23,"&gt;0",'Picks'!$V$2:$V$23,"loss")),0)</f>
        <v/>
      </c>
      <c r="G7" s="7">
        <f>IFERROR(SUM('Picks'!$BY$2:$BY$23)/SUM('Picks'!$BX$2:$BX$23),0)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SUM('Picks'!$BY$2:$BY$23)</f>
        <v/>
      </c>
      <c r="C10" s="9">
        <f>IFERROR(AVERAGEIF('Picks'!$AB$2:$AB$23,"&lt;&gt;",'Picks'!$AB$2:$AB$23),0)</f>
        <v/>
      </c>
      <c r="E10" s="6">
        <f>COUNTIFS('Picks'!$AM$2:$AM$23,"QUALIFIED_SHADOW_CALL",'Picks'!$U$2:$U$23,"settled")</f>
        <v/>
      </c>
      <c r="G10" s="8">
        <f>SUMIFS('Picks'!$AC$2:$AC$23,'Picks'!$AM$2:$AM$23,"QUALIFIED_SHADOW_CALL")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COUNTIFS('Picks'!$H$2:$H$23,$A14,'Picks'!$U$2:$U$23,"settled")</f>
        <v/>
      </c>
      <c r="C14" s="13">
        <f>COUNTIFS('Picks'!$H$2:$H$23,$A14,'Picks'!$U$2:$U$23,"settled",'Picks'!$V$2:$V$23,"win")</f>
        <v/>
      </c>
      <c r="D14" s="13">
        <f>COUNTIFS('Picks'!$H$2:$H$23,$A14,'Picks'!$U$2:$U$23,"settled",'Picks'!$V$2:$V$23,"loss")</f>
        <v/>
      </c>
      <c r="E14" s="14">
        <f>IFERROR(C14/(C14+D14),0)</f>
        <v/>
      </c>
      <c r="F14" s="15">
        <f>SUMIFS('Picks'!$BY$2:$BY$23,'Picks'!$H$2:$H$23,$A14)</f>
        <v/>
      </c>
      <c r="G14" s="16">
        <f>IFERROR(AVERAGEIFS('Picks'!$AB$2:$AB$23,'Picks'!$H$2:$H$23,$A14,'Picks'!$U$2:$U$23,"settled"),0)</f>
        <v/>
      </c>
    </row>
    <row r="15">
      <c r="A15" s="17" t="inlineStr">
        <is>
          <t>spread</t>
        </is>
      </c>
      <c r="B15" s="18">
        <f>COUNTIFS('Picks'!$H$2:$H$23,$A15,'Picks'!$U$2:$U$23,"settled")</f>
        <v/>
      </c>
      <c r="C15" s="18">
        <f>COUNTIFS('Picks'!$H$2:$H$23,$A15,'Picks'!$U$2:$U$23,"settled",'Picks'!$V$2:$V$23,"win")</f>
        <v/>
      </c>
      <c r="D15" s="18">
        <f>COUNTIFS('Picks'!$H$2:$H$23,$A15,'Picks'!$U$2:$U$23,"settled",'Picks'!$V$2:$V$23,"loss")</f>
        <v/>
      </c>
      <c r="E15" s="19">
        <f>IFERROR(C15/(C15+D15),0)</f>
        <v/>
      </c>
      <c r="F15" s="20">
        <f>SUMIFS('Picks'!$BY$2:$BY$23,'Picks'!$H$2:$H$23,$A15)</f>
        <v/>
      </c>
      <c r="G15" s="21">
        <f>IFERROR(AVERAGEIFS('Picks'!$AB$2:$AB$23,'Picks'!$H$2:$H$23,$A15,'Picks'!$U$2:$U$23,"settled"),0)</f>
        <v/>
      </c>
    </row>
    <row r="16">
      <c r="A16" s="12" t="inlineStr">
        <is>
          <t>total</t>
        </is>
      </c>
      <c r="B16" s="13">
        <f>COUNTIFS('Picks'!$H$2:$H$23,$A16,'Picks'!$U$2:$U$23,"settled")</f>
        <v/>
      </c>
      <c r="C16" s="13">
        <f>COUNTIFS('Picks'!$H$2:$H$23,$A16,'Picks'!$U$2:$U$23,"settled",'Picks'!$V$2:$V$23,"win")</f>
        <v/>
      </c>
      <c r="D16" s="13">
        <f>COUNTIFS('Picks'!$H$2:$H$23,$A16,'Picks'!$U$2:$U$23,"settled",'Picks'!$V$2:$V$23,"loss")</f>
        <v/>
      </c>
      <c r="E16" s="14">
        <f>IFERROR(C16/(C16+D16),0)</f>
        <v/>
      </c>
      <c r="F16" s="15">
        <f>SUMIFS('Picks'!$BY$2:$BY$23,'Picks'!$H$2:$H$23,$A16)</f>
        <v/>
      </c>
      <c r="G16" s="16">
        <f>IFERROR(AVERAGEIFS('Picks'!$AB$2:$AB$23,'Picks'!$H$2:$H$23,$A16,'Picks'!$U$2:$U$23,"settled"),0)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4afbde32316849b6</t>
        </is>
      </c>
      <c r="B2" s="24" t="inlineStr">
        <is>
          <t>2026-07-29T17:43:50.913671Z</t>
        </is>
      </c>
      <c r="C2" s="24" t="inlineStr">
        <is>
          <t>2026-07-29T20:00:00-0400</t>
        </is>
      </c>
      <c r="D2" s="24" t="inlineStr">
        <is>
          <t>401857097</t>
        </is>
      </c>
      <c r="E2" s="24" t="inlineStr">
        <is>
          <t>WNBA</t>
        </is>
      </c>
      <c r="F2" s="24" t="inlineStr">
        <is>
          <t>Atlanta Dream</t>
        </is>
      </c>
      <c r="G2" s="24" t="inlineStr">
        <is>
          <t>Dallas Wings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0.66476</v>
      </c>
      <c r="P2" s="28" t="n"/>
      <c r="Q2" s="28" t="n">
        <v>0.183991</v>
      </c>
      <c r="R2" s="26" t="n">
        <v>100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loss</t>
        </is>
      </c>
      <c r="W2" s="26" t="n">
        <v>82</v>
      </c>
      <c r="X2" s="26" t="n">
        <v>81</v>
      </c>
      <c r="Y2" s="25" t="n"/>
      <c r="Z2" s="26" t="n"/>
      <c r="AA2" s="28" t="n"/>
      <c r="AB2" s="28" t="n"/>
      <c r="AC2" s="30" t="n">
        <v>-2</v>
      </c>
      <c r="AD2" s="24" t="inlineStr">
        <is>
          <t>2026-07-30T04:11:46.750577Z</t>
        </is>
      </c>
      <c r="AE2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wnba-atl</t>
        </is>
      </c>
      <c r="AQ2" s="24" t="inlineStr">
        <is>
          <t>Atlanta Dream</t>
        </is>
      </c>
      <c r="AR2" s="24" t="inlineStr">
        <is>
          <t>Atlanta Dream</t>
        </is>
      </c>
      <c r="AS2" s="24" t="inlineStr">
        <is>
          <t>wnba-dal</t>
        </is>
      </c>
      <c r="AT2" s="24" t="inlineStr">
        <is>
          <t>Dallas Wings</t>
        </is>
      </c>
      <c r="AU2" s="24" t="inlineStr">
        <is>
          <t>Dallas Wings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f25936b561e6d355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2026-07-29T17:43:12.551208Z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>
        <v>0.475248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0.7229749194</t>
        </is>
      </c>
      <c r="CD2" s="24" t="inlineStr">
        <is>
          <t>-2.425932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n"/>
    </row>
    <row r="3" ht="36" customHeight="1">
      <c r="A3" s="24" t="inlineStr">
        <is>
          <t>0591969d590f4c4c</t>
        </is>
      </c>
      <c r="B3" s="24" t="inlineStr">
        <is>
          <t>2026-07-29T17:43:50.913671Z</t>
        </is>
      </c>
      <c r="C3" s="24" t="inlineStr">
        <is>
          <t>2026-07-29T22:00:00-0400</t>
        </is>
      </c>
      <c r="D3" s="24" t="inlineStr">
        <is>
          <t>401857098</t>
        </is>
      </c>
      <c r="E3" s="24" t="inlineStr">
        <is>
          <t>WNBA</t>
        </is>
      </c>
      <c r="F3" s="24" t="inlineStr">
        <is>
          <t>Golden State Valkyries</t>
        </is>
      </c>
      <c r="G3" s="24" t="inlineStr">
        <is>
          <t>Phoenix Mercury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0.7219989999999999</v>
      </c>
      <c r="P3" s="28" t="n"/>
      <c r="Q3" s="28" t="n">
        <v>0.112624</v>
      </c>
      <c r="R3" s="26" t="n">
        <v>79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loss</t>
        </is>
      </c>
      <c r="W3" s="26" t="n">
        <v>89</v>
      </c>
      <c r="X3" s="26" t="n">
        <v>91</v>
      </c>
      <c r="Y3" s="25" t="n"/>
      <c r="Z3" s="26" t="n"/>
      <c r="AA3" s="28" t="n"/>
      <c r="AB3" s="28" t="n"/>
      <c r="AC3" s="30" t="n">
        <v>-2</v>
      </c>
      <c r="AD3" s="24" t="inlineStr">
        <is>
          <t>2026-07-30T05:40:55.703565Z</t>
        </is>
      </c>
      <c r="AE3" s="31" t="inlineStr">
        <is>
          <t>Learned LR call at threshold 0.5001; executable ask 0.6100 (aec-wnba-gsv-phx-2026-07-29).</t>
        </is>
      </c>
      <c r="AF3" s="31" t="inlineStr">
        <is>
          <t>Learned model; shadow-qualified via operator override.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wnba-gsv</t>
        </is>
      </c>
      <c r="AQ3" s="24" t="inlineStr">
        <is>
          <t>Golden State Valkyries</t>
        </is>
      </c>
      <c r="AR3" s="24" t="inlineStr">
        <is>
          <t>Golden State Valkyries</t>
        </is>
      </c>
      <c r="AS3" s="24" t="inlineStr">
        <is>
          <t>wnba-phx</t>
        </is>
      </c>
      <c r="AT3" s="24" t="inlineStr">
        <is>
          <t>Phoenix Mercury</t>
        </is>
      </c>
      <c r="AU3" s="24" t="inlineStr">
        <is>
          <t>Phoenix Mercury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5ba5847b783e4237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2026-07-29T17:43:13.575889Z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>
        <v>0.6039600000000001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0.1902656067</t>
        </is>
      </c>
      <c r="CD3" s="24" t="inlineStr">
        <is>
          <t>-0.399848</t>
        </is>
      </c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</row>
    <row r="4" ht="36" customHeight="1">
      <c r="A4" s="24" t="inlineStr">
        <is>
          <t>744b52ceb7314514</t>
        </is>
      </c>
      <c r="B4" s="24" t="inlineStr">
        <is>
          <t>2026-07-30T21:07:38.996144Z</t>
        </is>
      </c>
      <c r="C4" s="24" t="inlineStr">
        <is>
          <t>2026-07-30T20:00:00-0400</t>
        </is>
      </c>
      <c r="D4" s="24" t="inlineStr">
        <is>
          <t>401857099</t>
        </is>
      </c>
      <c r="E4" s="24" t="inlineStr">
        <is>
          <t>WNBA</t>
        </is>
      </c>
      <c r="F4" s="24" t="inlineStr">
        <is>
          <t>Minnesota Lynx</t>
        </is>
      </c>
      <c r="G4" s="24" t="inlineStr">
        <is>
          <t>Toronto Tempo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-614</v>
      </c>
      <c r="M4" s="27" t="n">
        <v>1.162866</v>
      </c>
      <c r="N4" s="28" t="n">
        <v>0.859944</v>
      </c>
      <c r="O4" s="28" t="n">
        <v>0.750119</v>
      </c>
      <c r="P4" s="28" t="n"/>
      <c r="Q4" s="28" t="n">
        <v>-0.109825</v>
      </c>
      <c r="R4" s="26" t="n">
        <v>0</v>
      </c>
      <c r="S4" s="29" t="n">
        <v>2</v>
      </c>
      <c r="T4" s="24" t="inlineStr">
        <is>
          <t>wnba-elo-trend-lr-v4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104</v>
      </c>
      <c r="X4" s="26" t="n">
        <v>72</v>
      </c>
      <c r="Y4" s="25" t="n"/>
      <c r="Z4" s="26" t="n"/>
      <c r="AA4" s="28" t="n"/>
      <c r="AB4" s="28" t="n"/>
      <c r="AC4" s="30" t="n">
        <v>0.3257</v>
      </c>
      <c r="AD4" s="24" t="inlineStr">
        <is>
          <t>2026-07-31T04:29:17.777628Z</t>
        </is>
      </c>
      <c r="AE4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wnba-min</t>
        </is>
      </c>
      <c r="AQ4" s="24" t="inlineStr">
        <is>
          <t>Minnesota Lynx</t>
        </is>
      </c>
      <c r="AR4" s="24" t="inlineStr">
        <is>
          <t>Minnesota Lynx</t>
        </is>
      </c>
      <c r="AS4" s="24" t="inlineStr">
        <is>
          <t>wnba-tor</t>
        </is>
      </c>
      <c r="AT4" s="24" t="inlineStr">
        <is>
          <t>Toronto Tempo</t>
        </is>
      </c>
      <c r="AU4" s="24" t="inlineStr">
        <is>
          <t>Toronto Tempo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7afd5274214b58b7efd7f7febc7be3ab33b92351cda5cc6403c0a39faea0cc8c</t>
        </is>
      </c>
      <c r="BB4" s="24" t="inlineStr">
        <is>
          <t>learned_lr</t>
        </is>
      </c>
      <c r="BC4" s="24" t="inlineStr">
        <is>
          <t>wnba-elo-trend-lr-v4</t>
        </is>
      </c>
      <c r="BD4" s="24" t="inlineStr">
        <is>
          <t>7afd5274214b58b7efd7f7febc7be3ab33b92351cda5cc6403c0a39faea0cc8c</t>
        </is>
      </c>
      <c r="BE4" s="24" t="inlineStr">
        <is>
          <t>a8d16f9be486f04d</t>
        </is>
      </c>
      <c r="BF4" s="24" t="inlineStr">
        <is>
          <t>1</t>
        </is>
      </c>
      <c r="BG4" s="24" t="inlineStr">
        <is>
          <t>wnba-elo-trend-lr-v4</t>
        </is>
      </c>
      <c r="BH4" s="24" t="inlineStr">
        <is>
          <t>2026-07-30T21:07:16.651071Z</t>
        </is>
      </c>
      <c r="BI4" s="24" t="inlineStr">
        <is>
          <t>["same_event","same_team_same_day","same_league_same_day"]</t>
        </is>
      </c>
      <c r="BJ4" s="25" t="n"/>
      <c r="BK4" s="26" t="n">
        <v>-614</v>
      </c>
      <c r="BL4" s="27" t="n">
        <v>1.162866</v>
      </c>
      <c r="BM4" s="28" t="n">
        <v>0.859944</v>
      </c>
      <c r="BN4" s="28" t="n">
        <v>0.851485</v>
      </c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0.1447442732</t>
        </is>
      </c>
      <c r="CD4" s="24" t="inlineStr">
        <is>
          <t>-5.213719</t>
        </is>
      </c>
      <c r="CE4" s="24" t="n"/>
      <c r="CF4" s="24" t="n"/>
      <c r="CG4" s="24" t="n"/>
      <c r="CH4" s="24" t="n"/>
      <c r="CI4" s="24" t="inlineStr">
        <is>
          <t>wnba_availability_source_conflict</t>
        </is>
      </c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</row>
    <row r="5" ht="36" customHeight="1">
      <c r="A5" s="24" t="inlineStr">
        <is>
          <t>a4fd557587d84dcb</t>
        </is>
      </c>
      <c r="B5" s="24" t="inlineStr">
        <is>
          <t>2026-07-30T21:07:38.996144Z</t>
        </is>
      </c>
      <c r="C5" s="24" t="inlineStr">
        <is>
          <t>2026-07-30T20:00:00-0400</t>
        </is>
      </c>
      <c r="D5" s="24" t="inlineStr">
        <is>
          <t>401857100</t>
        </is>
      </c>
      <c r="E5" s="24" t="inlineStr">
        <is>
          <t>WNBA</t>
        </is>
      </c>
      <c r="F5" s="24" t="inlineStr">
        <is>
          <t>Connecticut Sun</t>
        </is>
      </c>
      <c r="G5" s="24" t="inlineStr">
        <is>
          <t>Chicago Sky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-194</v>
      </c>
      <c r="M5" s="27" t="n">
        <v>1.515464</v>
      </c>
      <c r="N5" s="28" t="n">
        <v>0.659864</v>
      </c>
      <c r="O5" s="28" t="n">
        <v>0.670401</v>
      </c>
      <c r="P5" s="28" t="n"/>
      <c r="Q5" s="28" t="n">
        <v>0.010537</v>
      </c>
      <c r="R5" s="26" t="n">
        <v>28</v>
      </c>
      <c r="S5" s="29" t="n">
        <v>2</v>
      </c>
      <c r="T5" s="24" t="inlineStr">
        <is>
          <t>wnba-elo-trend-lr-v4</t>
        </is>
      </c>
      <c r="U5" s="24" t="inlineStr">
        <is>
          <t>settled</t>
        </is>
      </c>
      <c r="V5" s="24" t="inlineStr">
        <is>
          <t>win</t>
        </is>
      </c>
      <c r="W5" s="26" t="n">
        <v>88</v>
      </c>
      <c r="X5" s="26" t="n">
        <v>94</v>
      </c>
      <c r="Y5" s="25" t="n"/>
      <c r="Z5" s="26" t="n"/>
      <c r="AA5" s="28" t="n"/>
      <c r="AB5" s="28" t="n"/>
      <c r="AC5" s="30" t="n">
        <v>1.0309</v>
      </c>
      <c r="AD5" s="24" t="inlineStr">
        <is>
          <t>2026-07-31T04:29:17.882357Z</t>
        </is>
      </c>
      <c r="AE5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wnba-con</t>
        </is>
      </c>
      <c r="AQ5" s="24" t="inlineStr">
        <is>
          <t>Connecticut Sun</t>
        </is>
      </c>
      <c r="AR5" s="24" t="inlineStr">
        <is>
          <t>Connecticut Sun</t>
        </is>
      </c>
      <c r="AS5" s="24" t="inlineStr">
        <is>
          <t>wnba-chi</t>
        </is>
      </c>
      <c r="AT5" s="24" t="inlineStr">
        <is>
          <t>Chicago Sky</t>
        </is>
      </c>
      <c r="AU5" s="24" t="inlineStr">
        <is>
          <t>Chicago Sky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7afd5274214b58b7efd7f7febc7be3ab33b92351cda5cc6403c0a39faea0cc8c</t>
        </is>
      </c>
      <c r="BB5" s="24" t="inlineStr">
        <is>
          <t>learned_lr</t>
        </is>
      </c>
      <c r="BC5" s="24" t="inlineStr">
        <is>
          <t>wnba-elo-trend-lr-v4</t>
        </is>
      </c>
      <c r="BD5" s="24" t="inlineStr">
        <is>
          <t>7afd5274214b58b7efd7f7febc7be3ab33b92351cda5cc6403c0a39faea0cc8c</t>
        </is>
      </c>
      <c r="BE5" s="24" t="inlineStr">
        <is>
          <t>de1d675da66b275e</t>
        </is>
      </c>
      <c r="BF5" s="24" t="inlineStr">
        <is>
          <t>1</t>
        </is>
      </c>
      <c r="BG5" s="24" t="inlineStr">
        <is>
          <t>wnba-elo-trend-lr-v4</t>
        </is>
      </c>
      <c r="BH5" s="24" t="inlineStr">
        <is>
          <t>2026-07-30T21:07:18.309580Z</t>
        </is>
      </c>
      <c r="BI5" s="24" t="inlineStr">
        <is>
          <t>["same_event","same_team_same_day","same_league_same_day"]</t>
        </is>
      </c>
      <c r="BJ5" s="25" t="n"/>
      <c r="BK5" s="26" t="n">
        <v>-194</v>
      </c>
      <c r="BL5" s="27" t="n">
        <v>1.515464</v>
      </c>
      <c r="BM5" s="28" t="n">
        <v>0.659864</v>
      </c>
      <c r="BN5" s="28" t="n">
        <v>0.653465</v>
      </c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0.6616868073</t>
        </is>
      </c>
      <c r="CD5" s="24" t="inlineStr">
        <is>
          <t>5.467445</t>
        </is>
      </c>
      <c r="CE5" s="24" t="n"/>
      <c r="CF5" s="24" t="n"/>
      <c r="CG5" s="24" t="n"/>
      <c r="CH5" s="24" t="n"/>
      <c r="CI5" s="24" t="inlineStr">
        <is>
          <t>wnba_availability_source_conflict</t>
        </is>
      </c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n"/>
    </row>
    <row r="6" ht="36" customHeight="1">
      <c r="A6" s="24" t="inlineStr">
        <is>
          <t>429571844f70423e</t>
        </is>
      </c>
      <c r="B6" s="24" t="inlineStr">
        <is>
          <t>2026-07-31T00:56:17.350684Z</t>
        </is>
      </c>
      <c r="C6" s="24" t="inlineStr">
        <is>
          <t>2026-07-30T22:00:00-0400</t>
        </is>
      </c>
      <c r="D6" s="24" t="inlineStr">
        <is>
          <t>401857101</t>
        </is>
      </c>
      <c r="E6" s="24" t="inlineStr">
        <is>
          <t>WNBA</t>
        </is>
      </c>
      <c r="F6" s="24" t="inlineStr">
        <is>
          <t>New York Liberty</t>
        </is>
      </c>
      <c r="G6" s="24" t="inlineStr">
        <is>
          <t>Las Vegas Aces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0.615328</v>
      </c>
      <c r="P6" s="28" t="n"/>
      <c r="Q6" s="28" t="n">
        <v>-0.02496</v>
      </c>
      <c r="R6" s="26" t="n">
        <v>11</v>
      </c>
      <c r="S6" s="29" t="n">
        <v>1.75</v>
      </c>
      <c r="T6" s="24" t="inlineStr">
        <is>
          <t>wnba-elo-trend-lr-v4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99</v>
      </c>
      <c r="X6" s="26" t="n">
        <v>104</v>
      </c>
      <c r="Y6" s="25" t="n"/>
      <c r="Z6" s="26" t="n"/>
      <c r="AA6" s="28" t="n"/>
      <c r="AB6" s="28" t="n"/>
      <c r="AC6" s="30" t="n">
        <v>0.9831</v>
      </c>
      <c r="AD6" s="24" t="inlineStr">
        <is>
          <t>2026-07-31T04:29:18.625735Z</t>
        </is>
      </c>
      <c r="AE6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wnba-nyl</t>
        </is>
      </c>
      <c r="AQ6" s="24" t="inlineStr">
        <is>
          <t>New York Liberty</t>
        </is>
      </c>
      <c r="AR6" s="24" t="inlineStr">
        <is>
          <t>New York Liberty</t>
        </is>
      </c>
      <c r="AS6" s="24" t="inlineStr">
        <is>
          <t>wnba-lva</t>
        </is>
      </c>
      <c r="AT6" s="24" t="inlineStr">
        <is>
          <t>Las Vegas Aces</t>
        </is>
      </c>
      <c r="AU6" s="24" t="inlineStr">
        <is>
          <t>Las Vegas Aces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7afd5274214b58b7efd7f7febc7be3ab33b92351cda5cc6403c0a39faea0cc8c</t>
        </is>
      </c>
      <c r="BB6" s="24" t="inlineStr">
        <is>
          <t>learned_lr</t>
        </is>
      </c>
      <c r="BC6" s="24" t="inlineStr">
        <is>
          <t>wnba-elo-trend-lr-v4</t>
        </is>
      </c>
      <c r="BD6" s="24" t="inlineStr">
        <is>
          <t>7afd5274214b58b7efd7f7febc7be3ab33b92351cda5cc6403c0a39faea0cc8c</t>
        </is>
      </c>
      <c r="BE6" s="24" t="inlineStr">
        <is>
          <t>181554924d3d25f6</t>
        </is>
      </c>
      <c r="BF6" s="24" t="inlineStr">
        <is>
          <t>1</t>
        </is>
      </c>
      <c r="BG6" s="24" t="inlineStr">
        <is>
          <t>wnba-elo-trend-lr-v4</t>
        </is>
      </c>
      <c r="BH6" s="24" t="inlineStr">
        <is>
          <t>2026-07-31T00:56:07.048062Z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>
        <v>0.633663</v>
      </c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0.6511069872</t>
        </is>
      </c>
      <c r="CD6" s="24" t="inlineStr">
        <is>
          <t>-4.276653</t>
        </is>
      </c>
      <c r="CE6" s="24" t="n"/>
      <c r="CF6" s="24" t="n"/>
      <c r="CG6" s="24" t="n"/>
      <c r="CH6" s="24" t="n"/>
      <c r="CI6" s="24" t="inlineStr">
        <is>
          <t>wnba_availability_source_conflict</t>
        </is>
      </c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</row>
    <row r="7" ht="36" customHeight="1">
      <c r="A7" s="24" t="inlineStr">
        <is>
          <t>18e5ba2aaf884ddf</t>
        </is>
      </c>
      <c r="B7" s="24" t="inlineStr">
        <is>
          <t>2026-07-31T23:29:42.171549Z</t>
        </is>
      </c>
      <c r="C7" s="24" t="inlineStr">
        <is>
          <t>2026-07-31T19:30:00-0400</t>
        </is>
      </c>
      <c r="D7" s="24" t="inlineStr">
        <is>
          <t>401857102</t>
        </is>
      </c>
      <c r="E7" s="24" t="inlineStr">
        <is>
          <t>WNBA</t>
        </is>
      </c>
      <c r="F7" s="24" t="inlineStr">
        <is>
          <t>Seattle Storm</t>
        </is>
      </c>
      <c r="G7" s="24" t="inlineStr">
        <is>
          <t>Atlanta Dream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-525</v>
      </c>
      <c r="M7" s="27" t="n">
        <v>1.190476</v>
      </c>
      <c r="N7" s="28" t="n">
        <v>0.84</v>
      </c>
      <c r="O7" s="28" t="n">
        <v>0.737046</v>
      </c>
      <c r="P7" s="28" t="n"/>
      <c r="Q7" s="28" t="n">
        <v>-0.102954</v>
      </c>
      <c r="R7" s="26" t="n">
        <v>0</v>
      </c>
      <c r="S7" s="29" t="n">
        <v>2</v>
      </c>
      <c r="T7" s="24" t="inlineStr">
        <is>
          <t>wnba-elo-trend-lr-v4</t>
        </is>
      </c>
      <c r="U7" s="24" t="inlineStr">
        <is>
          <t>settled</t>
        </is>
      </c>
      <c r="V7" s="24" t="inlineStr">
        <is>
          <t>win</t>
        </is>
      </c>
      <c r="W7" s="26" t="n">
        <v>89</v>
      </c>
      <c r="X7" s="26" t="n">
        <v>98</v>
      </c>
      <c r="Y7" s="25" t="n"/>
      <c r="Z7" s="26" t="n"/>
      <c r="AA7" s="28" t="n"/>
      <c r="AB7" s="28" t="n"/>
      <c r="AC7" s="30" t="n">
        <v>0.381</v>
      </c>
      <c r="AD7" s="24" t="inlineStr">
        <is>
          <t>2026-08-01T02:59:57.929008Z</t>
        </is>
      </c>
      <c r="AE7" s="31" t="inlineStr">
        <is>
          <t>Learned LR call at threshold 0.5001; executable ask 0.8400 (aec-wnba-sea-atl-2026-07-31); model edge vs ask -0.1030.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wnba-sea</t>
        </is>
      </c>
      <c r="AQ7" s="24" t="inlineStr">
        <is>
          <t>Seattle Storm</t>
        </is>
      </c>
      <c r="AR7" s="24" t="inlineStr">
        <is>
          <t>Seattle Storm</t>
        </is>
      </c>
      <c r="AS7" s="24" t="inlineStr">
        <is>
          <t>wnba-atl</t>
        </is>
      </c>
      <c r="AT7" s="24" t="inlineStr">
        <is>
          <t>Atlanta Dream</t>
        </is>
      </c>
      <c r="AU7" s="24" t="inlineStr">
        <is>
          <t>Atlanta Dream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7afd5274214b58b7efd7f7febc7be3ab33b92351cda5cc6403c0a39faea0cc8c</t>
        </is>
      </c>
      <c r="BB7" s="24" t="inlineStr">
        <is>
          <t>learned_lr</t>
        </is>
      </c>
      <c r="BC7" s="24" t="inlineStr">
        <is>
          <t>wnba-elo-trend-lr-v4</t>
        </is>
      </c>
      <c r="BD7" s="24" t="inlineStr">
        <is>
          <t>7afd5274214b58b7efd7f7febc7be3ab33b92351cda5cc6403c0a39faea0cc8c</t>
        </is>
      </c>
      <c r="BE7" s="24" t="inlineStr">
        <is>
          <t>8fdca19bc32f576a</t>
        </is>
      </c>
      <c r="BF7" s="24" t="inlineStr">
        <is>
          <t>1</t>
        </is>
      </c>
      <c r="BG7" s="24" t="inlineStr">
        <is>
          <t>wnba-elo-trend-lr-v4</t>
        </is>
      </c>
      <c r="BH7" s="24" t="inlineStr">
        <is>
          <t>2026-07-31T23:29:25.425390Z</t>
        </is>
      </c>
      <c r="BI7" s="24" t="inlineStr">
        <is>
          <t>["same_event","same_team_same_day","same_league_same_day"]</t>
        </is>
      </c>
      <c r="BJ7" s="25" t="n"/>
      <c r="BK7" s="26" t="n">
        <v>-525</v>
      </c>
      <c r="BL7" s="27" t="n">
        <v>1.190476</v>
      </c>
      <c r="BM7" s="28" t="n">
        <v>0.84</v>
      </c>
      <c r="BN7" s="28" t="n">
        <v>0.831683</v>
      </c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0.821319619</t>
        </is>
      </c>
      <c r="CD7" s="24" t="inlineStr">
        <is>
          <t>-5.618671</t>
        </is>
      </c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</row>
    <row r="8" ht="36" customHeight="1">
      <c r="A8" s="24" t="inlineStr">
        <is>
          <t>06a3a214f14c43bf</t>
        </is>
      </c>
      <c r="B8" s="24" t="inlineStr">
        <is>
          <t>2026-07-31T23:29:42.171549Z</t>
        </is>
      </c>
      <c r="C8" s="24" t="inlineStr">
        <is>
          <t>2026-07-31T19:30:00-0400</t>
        </is>
      </c>
      <c r="D8" s="24" t="inlineStr">
        <is>
          <t>401857103</t>
        </is>
      </c>
      <c r="E8" s="24" t="inlineStr">
        <is>
          <t>WNBA</t>
        </is>
      </c>
      <c r="F8" s="24" t="inlineStr">
        <is>
          <t>Dallas Wings</t>
        </is>
      </c>
      <c r="G8" s="24" t="inlineStr">
        <is>
          <t>Washington Mystics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-150</v>
      </c>
      <c r="M8" s="27" t="n">
        <v>1.666667</v>
      </c>
      <c r="N8" s="28" t="n">
        <v>0.6</v>
      </c>
      <c r="O8" s="28" t="n">
        <v>0.575648</v>
      </c>
      <c r="P8" s="28" t="n"/>
      <c r="Q8" s="28" t="n">
        <v>-0.024352</v>
      </c>
      <c r="R8" s="26" t="n">
        <v>11</v>
      </c>
      <c r="S8" s="29" t="n">
        <v>1.25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loss</t>
        </is>
      </c>
      <c r="W8" s="26" t="n">
        <v>75</v>
      </c>
      <c r="X8" s="26" t="n">
        <v>81</v>
      </c>
      <c r="Y8" s="25" t="n"/>
      <c r="Z8" s="26" t="n"/>
      <c r="AA8" s="28" t="n"/>
      <c r="AB8" s="28" t="n"/>
      <c r="AC8" s="30" t="n">
        <v>-1.25</v>
      </c>
      <c r="AD8" s="24" t="inlineStr">
        <is>
          <t>2026-08-01T02:59:58.085221Z</t>
        </is>
      </c>
      <c r="AE8" s="31" t="inlineStr">
        <is>
          <t>Learned LR call at threshold 0.5001; executable ask 0.6000 (aec-wnba-dal-wsh-2026-07-31); model edge vs ask -0.0244.</t>
        </is>
      </c>
      <c r="AF8" s="31" t="inlineStr">
        <is>
          <t>Learned model; shadow-qualified via operator override.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wnba-dal</t>
        </is>
      </c>
      <c r="AQ8" s="24" t="inlineStr">
        <is>
          <t>Dallas Wings</t>
        </is>
      </c>
      <c r="AR8" s="24" t="inlineStr">
        <is>
          <t>Dallas Wings</t>
        </is>
      </c>
      <c r="AS8" s="24" t="inlineStr">
        <is>
          <t>wnba-was</t>
        </is>
      </c>
      <c r="AT8" s="24" t="inlineStr">
        <is>
          <t>Washington Mystics</t>
        </is>
      </c>
      <c r="AU8" s="24" t="inlineStr">
        <is>
          <t>Washington Mystics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0f848d940ea26816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2026-07-31T23:29:26.294036Z</t>
        </is>
      </c>
      <c r="BI8" s="24" t="inlineStr">
        <is>
          <t>["same_event","same_team_same_day","same_league_same_day"]</t>
        </is>
      </c>
      <c r="BJ8" s="25" t="n"/>
      <c r="BK8" s="26" t="n">
        <v>-150</v>
      </c>
      <c r="BL8" s="27" t="n">
        <v>1.666667</v>
      </c>
      <c r="BM8" s="28" t="n">
        <v>0.6</v>
      </c>
      <c r="BN8" s="28" t="n">
        <v>0.594059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0.4036949453</t>
        </is>
      </c>
      <c r="CD8" s="24" t="inlineStr">
        <is>
          <t>-0.615194</t>
        </is>
      </c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n"/>
    </row>
    <row r="9" ht="36" customHeight="1">
      <c r="A9" s="24" t="inlineStr">
        <is>
          <t>0bea4ee624e94da7</t>
        </is>
      </c>
      <c r="B9" s="24" t="inlineStr">
        <is>
          <t>2026-07-31T23:29:42.171549Z</t>
        </is>
      </c>
      <c r="C9" s="24" t="inlineStr">
        <is>
          <t>2026-07-31T22:00:00-0400</t>
        </is>
      </c>
      <c r="D9" s="24" t="inlineStr">
        <is>
          <t>401857104</t>
        </is>
      </c>
      <c r="E9" s="24" t="inlineStr">
        <is>
          <t>WNBA</t>
        </is>
      </c>
      <c r="F9" s="24" t="inlineStr">
        <is>
          <t>Indiana Fever</t>
        </is>
      </c>
      <c r="G9" s="24" t="inlineStr">
        <is>
          <t>Portland Fire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-300</v>
      </c>
      <c r="M9" s="27" t="n">
        <v>1.333333</v>
      </c>
      <c r="N9" s="28" t="n">
        <v>0.75</v>
      </c>
      <c r="O9" s="28" t="n">
        <v>0.650826</v>
      </c>
      <c r="P9" s="28" t="n"/>
      <c r="Q9" s="28" t="n">
        <v>-0.099174</v>
      </c>
      <c r="R9" s="26" t="n">
        <v>0</v>
      </c>
      <c r="S9" s="29" t="n">
        <v>1.75</v>
      </c>
      <c r="T9" s="24" t="inlineStr">
        <is>
          <t>wnba-elo-trend-lr-v4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112</v>
      </c>
      <c r="X9" s="26" t="n">
        <v>98</v>
      </c>
      <c r="Y9" s="25" t="n"/>
      <c r="Z9" s="26" t="n"/>
      <c r="AA9" s="28" t="n"/>
      <c r="AB9" s="28" t="n"/>
      <c r="AC9" s="30" t="n">
        <v>0.5833</v>
      </c>
      <c r="AD9" s="24" t="inlineStr">
        <is>
          <t>2026-08-01T05:33:36.879084Z</t>
        </is>
      </c>
      <c r="AE9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wnba-ind</t>
        </is>
      </c>
      <c r="AQ9" s="24" t="inlineStr">
        <is>
          <t>Indiana Fever</t>
        </is>
      </c>
      <c r="AR9" s="24" t="inlineStr">
        <is>
          <t>Indiana Fever</t>
        </is>
      </c>
      <c r="AS9" s="24" t="inlineStr">
        <is>
          <t>wnba-por</t>
        </is>
      </c>
      <c r="AT9" s="24" t="inlineStr">
        <is>
          <t>Portland Fire</t>
        </is>
      </c>
      <c r="AU9" s="24" t="inlineStr">
        <is>
          <t>Portland Fire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7afd5274214b58b7efd7f7febc7be3ab33b92351cda5cc6403c0a39faea0cc8c</t>
        </is>
      </c>
      <c r="BB9" s="24" t="inlineStr">
        <is>
          <t>learned_lr</t>
        </is>
      </c>
      <c r="BC9" s="24" t="inlineStr">
        <is>
          <t>wnba-elo-trend-lr-v4</t>
        </is>
      </c>
      <c r="BD9" s="24" t="inlineStr">
        <is>
          <t>7afd5274214b58b7efd7f7febc7be3ab33b92351cda5cc6403c0a39faea0cc8c</t>
        </is>
      </c>
      <c r="BE9" s="24" t="inlineStr">
        <is>
          <t>bcb9c02760c21728</t>
        </is>
      </c>
      <c r="BF9" s="24" t="inlineStr">
        <is>
          <t>1</t>
        </is>
      </c>
      <c r="BG9" s="24" t="inlineStr">
        <is>
          <t>wnba-elo-trend-lr-v4</t>
        </is>
      </c>
      <c r="BH9" s="24" t="inlineStr">
        <is>
          <t>2026-07-31T23:29:27.325378Z</t>
        </is>
      </c>
      <c r="BI9" s="24" t="inlineStr">
        <is>
          <t>["same_event","same_team_same_day","same_league_same_day"]</t>
        </is>
      </c>
      <c r="BJ9" s="25" t="n"/>
      <c r="BK9" s="26" t="n">
        <v>-300</v>
      </c>
      <c r="BL9" s="27" t="n">
        <v>1.333333</v>
      </c>
      <c r="BM9" s="28" t="n">
        <v>0.75</v>
      </c>
      <c r="BN9" s="28" t="n">
        <v>0.742574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0.2910587699</t>
        </is>
      </c>
      <c r="CD9" s="24" t="inlineStr">
        <is>
          <t>-7.416658</t>
        </is>
      </c>
      <c r="CE9" s="24" t="n"/>
      <c r="CF9" s="24" t="n"/>
      <c r="CG9" s="24" t="n"/>
      <c r="CH9" s="24" t="n"/>
      <c r="CI9" s="24" t="inlineStr">
        <is>
          <t>wnba_availability_source_conflict</t>
        </is>
      </c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n"/>
    </row>
    <row r="10" ht="36" customHeight="1">
      <c r="A10" s="24" t="inlineStr">
        <is>
          <t>2c06cda7ea4b4a18</t>
        </is>
      </c>
      <c r="B10" s="24" t="inlineStr">
        <is>
          <t>2026-08-01T16:50:21.394933Z</t>
        </is>
      </c>
      <c r="C10" s="24" t="inlineStr">
        <is>
          <t>2026-08-01T13:00:00-0400</t>
        </is>
      </c>
      <c r="D10" s="24" t="inlineStr">
        <is>
          <t>401857105</t>
        </is>
      </c>
      <c r="E10" s="24" t="inlineStr">
        <is>
          <t>WNBA</t>
        </is>
      </c>
      <c r="F10" s="24" t="inlineStr">
        <is>
          <t>Las Vegas Aces</t>
        </is>
      </c>
      <c r="G10" s="24" t="inlineStr">
        <is>
          <t>Chicago Sky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-245</v>
      </c>
      <c r="M10" s="27" t="n">
        <v>1.408163</v>
      </c>
      <c r="N10" s="28" t="n">
        <v>0.710145</v>
      </c>
      <c r="O10" s="28" t="n">
        <v>0.646163</v>
      </c>
      <c r="P10" s="28" t="n"/>
      <c r="Q10" s="28" t="n">
        <v>-0.063982</v>
      </c>
      <c r="R10" s="26" t="n">
        <v>0</v>
      </c>
      <c r="S10" s="29" t="n">
        <v>1.75</v>
      </c>
      <c r="T10" s="24" t="inlineStr">
        <is>
          <t>wnba-elo-trend-lr-v4</t>
        </is>
      </c>
      <c r="U10" s="24" t="inlineStr">
        <is>
          <t>settled</t>
        </is>
      </c>
      <c r="V10" s="24" t="inlineStr">
        <is>
          <t>loss</t>
        </is>
      </c>
      <c r="W10" s="26" t="n">
        <v>83</v>
      </c>
      <c r="X10" s="26" t="n">
        <v>84</v>
      </c>
      <c r="Y10" s="25" t="n"/>
      <c r="Z10" s="26" t="n"/>
      <c r="AA10" s="28" t="n"/>
      <c r="AB10" s="28" t="n"/>
      <c r="AC10" s="30" t="n">
        <v>-1.75</v>
      </c>
      <c r="AD10" s="24" t="inlineStr">
        <is>
          <t>2026-08-01T20:13:03.864714Z</t>
        </is>
      </c>
      <c r="AE10" s="31" t="inlineStr">
        <is>
          <t>Learned LR call at threshold 0.5001; executable ask 0.7100 (aec-wnba-lv-chi-2026-08-01); model edge vs ask -0.0638.</t>
        </is>
      </c>
      <c r="AF10" s="31" t="inlineStr">
        <is>
          <t>Learned model; shadow-qualified via operator override.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wnba-lva</t>
        </is>
      </c>
      <c r="AQ10" s="24" t="inlineStr">
        <is>
          <t>Las Vegas Aces</t>
        </is>
      </c>
      <c r="AR10" s="24" t="inlineStr">
        <is>
          <t>Las Vegas Aces</t>
        </is>
      </c>
      <c r="AS10" s="24" t="inlineStr">
        <is>
          <t>wnba-chi</t>
        </is>
      </c>
      <c r="AT10" s="24" t="inlineStr">
        <is>
          <t>Chicago Sky</t>
        </is>
      </c>
      <c r="AU10" s="24" t="inlineStr">
        <is>
          <t>Chicago Sky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7afd5274214b58b7efd7f7febc7be3ab33b92351cda5cc6403c0a39faea0cc8c</t>
        </is>
      </c>
      <c r="BB10" s="24" t="inlineStr">
        <is>
          <t>learned_lr</t>
        </is>
      </c>
      <c r="BC10" s="24" t="inlineStr">
        <is>
          <t>wnba-elo-trend-lr-v4</t>
        </is>
      </c>
      <c r="BD10" s="24" t="inlineStr">
        <is>
          <t>7afd5274214b58b7efd7f7febc7be3ab33b92351cda5cc6403c0a39faea0cc8c</t>
        </is>
      </c>
      <c r="BE10" s="24" t="inlineStr">
        <is>
          <t>51a2c72f2e141b8b</t>
        </is>
      </c>
      <c r="BF10" s="24" t="inlineStr">
        <is>
          <t>1</t>
        </is>
      </c>
      <c r="BG10" s="24" t="inlineStr">
        <is>
          <t>wnba-elo-trend-lr-v4</t>
        </is>
      </c>
      <c r="BH10" s="24" t="inlineStr">
        <is>
          <t>2026-08-01T16:49:04.221920Z</t>
        </is>
      </c>
      <c r="BI10" s="24" t="inlineStr">
        <is>
          <t>["same_event","same_team_same_day","same_league_same_day"]</t>
        </is>
      </c>
      <c r="BJ10" s="25" t="n"/>
      <c r="BK10" s="26" t="n">
        <v>-245</v>
      </c>
      <c r="BL10" s="27" t="n">
        <v>1.408163</v>
      </c>
      <c r="BM10" s="28" t="n">
        <v>0.710145</v>
      </c>
      <c r="BN10" s="28" t="n">
        <v>0.70297</v>
      </c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0.317202935</t>
        </is>
      </c>
      <c r="CD10" s="24" t="inlineStr">
        <is>
          <t>4.001837</t>
        </is>
      </c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</row>
    <row r="11" ht="36" customHeight="1">
      <c r="A11" s="24" t="inlineStr">
        <is>
          <t>b5171488f8674c06</t>
        </is>
      </c>
      <c r="B11" s="24" t="inlineStr">
        <is>
          <t>2026-08-01T18:37:44.379324Z</t>
        </is>
      </c>
      <c r="C11" s="24" t="inlineStr">
        <is>
          <t>2026-08-01T15:00:00-0400</t>
        </is>
      </c>
      <c r="D11" s="24" t="inlineStr">
        <is>
          <t>401857106</t>
        </is>
      </c>
      <c r="E11" s="24" t="inlineStr">
        <is>
          <t>WNBA</t>
        </is>
      </c>
      <c r="F11" s="24" t="inlineStr">
        <is>
          <t>New York Liberty</t>
        </is>
      </c>
      <c r="G11" s="24" t="inlineStr">
        <is>
          <t>Phoenix Mercury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-144</v>
      </c>
      <c r="M11" s="27" t="n">
        <v>1.694444</v>
      </c>
      <c r="N11" s="28" t="n">
        <v>0.590164</v>
      </c>
      <c r="O11" s="28" t="n">
        <v>0.568764</v>
      </c>
      <c r="P11" s="28" t="n"/>
      <c r="Q11" s="28" t="n">
        <v>-0.0214</v>
      </c>
      <c r="R11" s="26" t="n">
        <v>12</v>
      </c>
      <c r="S11" s="29" t="n">
        <v>1.25</v>
      </c>
      <c r="T11" s="24" t="inlineStr">
        <is>
          <t>wnba-elo-trend-lr-v4</t>
        </is>
      </c>
      <c r="U11" s="24" t="inlineStr">
        <is>
          <t>settled</t>
        </is>
      </c>
      <c r="V11" s="24" t="inlineStr">
        <is>
          <t>win</t>
        </is>
      </c>
      <c r="W11" s="26" t="n">
        <v>94</v>
      </c>
      <c r="X11" s="26" t="n">
        <v>92</v>
      </c>
      <c r="Y11" s="25" t="n"/>
      <c r="Z11" s="26" t="n"/>
      <c r="AA11" s="28" t="n"/>
      <c r="AB11" s="28" t="n"/>
      <c r="AC11" s="30" t="n">
        <v>0.8681</v>
      </c>
      <c r="AD11" s="24" t="inlineStr">
        <is>
          <t>2026-08-01T21:25:16.611294Z</t>
        </is>
      </c>
      <c r="AE11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wnba-nyl</t>
        </is>
      </c>
      <c r="AQ11" s="24" t="inlineStr">
        <is>
          <t>New York Liberty</t>
        </is>
      </c>
      <c r="AR11" s="24" t="inlineStr">
        <is>
          <t>New York Liberty</t>
        </is>
      </c>
      <c r="AS11" s="24" t="inlineStr">
        <is>
          <t>wnba-phx</t>
        </is>
      </c>
      <c r="AT11" s="24" t="inlineStr">
        <is>
          <t>Phoenix Mercury</t>
        </is>
      </c>
      <c r="AU11" s="24" t="inlineStr">
        <is>
          <t>Phoenix Mercury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7afd5274214b58b7efd7f7febc7be3ab33b92351cda5cc6403c0a39faea0cc8c</t>
        </is>
      </c>
      <c r="BB11" s="24" t="inlineStr">
        <is>
          <t>learned_lr</t>
        </is>
      </c>
      <c r="BC11" s="24" t="inlineStr">
        <is>
          <t>wnba-elo-trend-lr-v4</t>
        </is>
      </c>
      <c r="BD11" s="24" t="inlineStr">
        <is>
          <t>7afd5274214b58b7efd7f7febc7be3ab33b92351cda5cc6403c0a39faea0cc8c</t>
        </is>
      </c>
      <c r="BE11" s="24" t="inlineStr">
        <is>
          <t>bbef9e1b90cf700b</t>
        </is>
      </c>
      <c r="BF11" s="24" t="inlineStr">
        <is>
          <t>1</t>
        </is>
      </c>
      <c r="BG11" s="24" t="inlineStr">
        <is>
          <t>wnba-elo-trend-lr-v4</t>
        </is>
      </c>
      <c r="BH11" s="24" t="inlineStr">
        <is>
          <t>2026-08-01T18:36:36.294824Z</t>
        </is>
      </c>
      <c r="BI11" s="24" t="inlineStr">
        <is>
          <t>["same_event","same_team_same_day","same_league_same_day"]</t>
        </is>
      </c>
      <c r="BJ11" s="25" t="n"/>
      <c r="BK11" s="26" t="n">
        <v>-144</v>
      </c>
      <c r="BL11" s="27" t="n">
        <v>1.694444</v>
      </c>
      <c r="BM11" s="28" t="n">
        <v>0.590164</v>
      </c>
      <c r="BN11" s="28" t="n">
        <v>0.584158</v>
      </c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0.4080094464</t>
        </is>
      </c>
      <c r="CD11" s="24" t="inlineStr">
        <is>
          <t>-5.162465</t>
        </is>
      </c>
      <c r="CE11" s="24" t="n"/>
      <c r="CF11" s="24" t="n"/>
      <c r="CG11" s="24" t="n"/>
      <c r="CH11" s="24" t="n"/>
      <c r="CI11" s="24" t="inlineStr">
        <is>
          <t>NO_CALL_AVAILABILITY_PLAYER_UNMAPPED</t>
        </is>
      </c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</row>
    <row r="12" ht="36" customHeight="1">
      <c r="A12" s="24" t="inlineStr">
        <is>
          <t>f34743eccf0143a3</t>
        </is>
      </c>
      <c r="B12" s="24" t="inlineStr">
        <is>
          <t>2026-08-02T16:48:43.908788Z</t>
        </is>
      </c>
      <c r="C12" s="24" t="inlineStr">
        <is>
          <t>2026-08-02T13:00:00-0400</t>
        </is>
      </c>
      <c r="D12" s="24" t="inlineStr">
        <is>
          <t>401857107</t>
        </is>
      </c>
      <c r="E12" s="24" t="inlineStr">
        <is>
          <t>WNBA</t>
        </is>
      </c>
      <c r="F12" s="24" t="inlineStr">
        <is>
          <t>Indiana Fever</t>
        </is>
      </c>
      <c r="G12" s="24" t="inlineStr">
        <is>
          <t>Minnesota Lynx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-186</v>
      </c>
      <c r="M12" s="27" t="n">
        <v>1.537634</v>
      </c>
      <c r="N12" s="28" t="n">
        <v>0.65035</v>
      </c>
      <c r="O12" s="28" t="n">
        <v>0.643489</v>
      </c>
      <c r="P12" s="28" t="n"/>
      <c r="Q12" s="28" t="n">
        <v>-0.006861</v>
      </c>
      <c r="R12" s="26" t="n">
        <v>20</v>
      </c>
      <c r="S12" s="29" t="n">
        <v>1.5</v>
      </c>
      <c r="T12" s="24" t="inlineStr">
        <is>
          <t>wnba-elo-trend-lr-v4</t>
        </is>
      </c>
      <c r="U12" s="24" t="inlineStr">
        <is>
          <t>settled</t>
        </is>
      </c>
      <c r="V12" s="24" t="inlineStr">
        <is>
          <t>win</t>
        </is>
      </c>
      <c r="W12" s="26" t="n">
        <v>100</v>
      </c>
      <c r="X12" s="26" t="n">
        <v>108</v>
      </c>
      <c r="Y12" s="25" t="n"/>
      <c r="Z12" s="26" t="n"/>
      <c r="AA12" s="28" t="n"/>
      <c r="AB12" s="28" t="n"/>
      <c r="AC12" s="30" t="n">
        <v>0.8065</v>
      </c>
      <c r="AD12" s="24" t="inlineStr">
        <is>
          <t>2026-08-02T19:26:21.579065Z</t>
        </is>
      </c>
      <c r="AE12" s="31" t="inlineStr">
        <is>
          <t>Learned LR call at threshold 0.5001; executable ask 0.6500 (aec-wnba-ind-min-2026-08-02); model edge vs ask -0.0065. NOTE: NO_CALL_AVAILABILITY_PLAYER_UNMAPPED unavailable for this game — defaulted to neutral, other features used normally.</t>
        </is>
      </c>
      <c r="AF12" s="31" t="inlineStr">
        <is>
          <t>Learned model; shadow-qualified via operator override.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wnba-ind</t>
        </is>
      </c>
      <c r="AQ12" s="24" t="inlineStr">
        <is>
          <t>Indiana Fever</t>
        </is>
      </c>
      <c r="AR12" s="24" t="inlineStr">
        <is>
          <t>Indiana Fever</t>
        </is>
      </c>
      <c r="AS12" s="24" t="inlineStr">
        <is>
          <t>wnba-min</t>
        </is>
      </c>
      <c r="AT12" s="24" t="inlineStr">
        <is>
          <t>Minnesota Lynx</t>
        </is>
      </c>
      <c r="AU12" s="24" t="inlineStr">
        <is>
          <t>Minnesota Lynx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7afd5274214b58b7efd7f7febc7be3ab33b92351cda5cc6403c0a39faea0cc8c</t>
        </is>
      </c>
      <c r="BB12" s="24" t="inlineStr">
        <is>
          <t>learned_lr</t>
        </is>
      </c>
      <c r="BC12" s="24" t="inlineStr">
        <is>
          <t>wnba-elo-trend-lr-v4</t>
        </is>
      </c>
      <c r="BD12" s="24" t="inlineStr">
        <is>
          <t>7afd5274214b58b7efd7f7febc7be3ab33b92351cda5cc6403c0a39faea0cc8c</t>
        </is>
      </c>
      <c r="BE12" s="24" t="inlineStr">
        <is>
          <t>cb6d856341c7efe7</t>
        </is>
      </c>
      <c r="BF12" s="24" t="inlineStr">
        <is>
          <t>1</t>
        </is>
      </c>
      <c r="BG12" s="24" t="inlineStr">
        <is>
          <t>wnba-elo-trend-lr-v4</t>
        </is>
      </c>
      <c r="BH12" s="24" t="inlineStr">
        <is>
          <t>2026-08-02T16:47:30.539614Z</t>
        </is>
      </c>
      <c r="BI12" s="24" t="inlineStr">
        <is>
          <t>["same_event","same_team_same_day","same_league_same_day"]</t>
        </is>
      </c>
      <c r="BJ12" s="25" t="n"/>
      <c r="BK12" s="26" t="n">
        <v>-186</v>
      </c>
      <c r="BL12" s="27" t="n">
        <v>1.537634</v>
      </c>
      <c r="BM12" s="28" t="n">
        <v>0.65035</v>
      </c>
      <c r="BN12" s="28" t="n">
        <v>0.643564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0.6810434571</t>
        </is>
      </c>
      <c r="CD12" s="24" t="inlineStr">
        <is>
          <t>-4.330577</t>
        </is>
      </c>
      <c r="CE12" s="24" t="n"/>
      <c r="CF12" s="24" t="n"/>
      <c r="CG12" s="24" t="n"/>
      <c r="CH12" s="24" t="n"/>
      <c r="CI12" s="24" t="inlineStr">
        <is>
          <t>NO_CALL_AVAILABILITY_PLAYER_UNMAPPED</t>
        </is>
      </c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inlineStr">
        <is>
          <t>0.643489</t>
        </is>
      </c>
      <c r="CS12" s="24" t="inlineStr">
        <is>
          <t>0</t>
        </is>
      </c>
    </row>
    <row r="13" ht="36" customHeight="1">
      <c r="A13" s="24" t="inlineStr">
        <is>
          <t>ba9a9375ccd94ae2</t>
        </is>
      </c>
      <c r="B13" s="24" t="inlineStr">
        <is>
          <t>2026-08-02T19:28:41.982598Z</t>
        </is>
      </c>
      <c r="C13" s="24" t="inlineStr">
        <is>
          <t>2026-08-02T15:30:00-0400</t>
        </is>
      </c>
      <c r="D13" s="24" t="inlineStr">
        <is>
          <t>401857108</t>
        </is>
      </c>
      <c r="E13" s="24" t="inlineStr">
        <is>
          <t>WNBA</t>
        </is>
      </c>
      <c r="F13" s="24" t="inlineStr">
        <is>
          <t>Los Angeles Sparks</t>
        </is>
      </c>
      <c r="G13" s="24" t="inlineStr">
        <is>
          <t>Portland Fire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104</v>
      </c>
      <c r="M13" s="27" t="n">
        <v>2.04</v>
      </c>
      <c r="N13" s="28" t="n">
        <v>0.490196</v>
      </c>
      <c r="O13" s="28" t="n">
        <v>0.57112</v>
      </c>
      <c r="P13" s="28" t="n"/>
      <c r="Q13" s="28" t="n">
        <v>0.080924</v>
      </c>
      <c r="R13" s="26" t="n">
        <v>63</v>
      </c>
      <c r="S13" s="29" t="n">
        <v>1.25</v>
      </c>
      <c r="T13" s="24" t="inlineStr">
        <is>
          <t>wnba-elo-trend-lr-v4</t>
        </is>
      </c>
      <c r="U13" s="24" t="inlineStr">
        <is>
          <t>settled</t>
        </is>
      </c>
      <c r="V13" s="24" t="inlineStr">
        <is>
          <t>loss</t>
        </is>
      </c>
      <c r="W13" s="26" t="n">
        <v>106</v>
      </c>
      <c r="X13" s="26" t="n">
        <v>101</v>
      </c>
      <c r="Y13" s="25" t="n"/>
      <c r="Z13" s="26" t="n"/>
      <c r="AA13" s="28" t="n"/>
      <c r="AB13" s="28" t="n"/>
      <c r="AC13" s="30" t="n">
        <v>-1.25</v>
      </c>
      <c r="AD13" s="24" t="inlineStr">
        <is>
          <t>2026-08-02T23:11:53.720458Z</t>
        </is>
      </c>
      <c r="AE13" s="31" t="inlineStr">
        <is>
          <t>Learned LR call at threshold 0.5001; executable ask 0.4900 (aec-wnba-la-por-2026-08-02); model edge vs ask +0.0811. NOTE: NO_CALL_AVAILABILITY_PLAYER_UNMAPPED unavailable for this game — defaulted to neutral, other features used normally.</t>
        </is>
      </c>
      <c r="AF13" s="31" t="inlineStr">
        <is>
          <t>Learned model; shadow-qualified via operator override.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wnba-las</t>
        </is>
      </c>
      <c r="AQ13" s="24" t="inlineStr">
        <is>
          <t>Los Angeles Sparks</t>
        </is>
      </c>
      <c r="AR13" s="24" t="inlineStr">
        <is>
          <t>Los Angeles Sparks</t>
        </is>
      </c>
      <c r="AS13" s="24" t="inlineStr">
        <is>
          <t>wnba-por</t>
        </is>
      </c>
      <c r="AT13" s="24" t="inlineStr">
        <is>
          <t>Portland Fire</t>
        </is>
      </c>
      <c r="AU13" s="24" t="inlineStr">
        <is>
          <t>Portland Fire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7afd5274214b58b7efd7f7febc7be3ab33b92351cda5cc6403c0a39faea0cc8c</t>
        </is>
      </c>
      <c r="BB13" s="24" t="inlineStr">
        <is>
          <t>learned_lr</t>
        </is>
      </c>
      <c r="BC13" s="24" t="inlineStr">
        <is>
          <t>wnba-elo-trend-lr-v4</t>
        </is>
      </c>
      <c r="BD13" s="24" t="inlineStr">
        <is>
          <t>7afd5274214b58b7efd7f7febc7be3ab33b92351cda5cc6403c0a39faea0cc8c</t>
        </is>
      </c>
      <c r="BE13" s="24" t="inlineStr">
        <is>
          <t>58d7c01d51192db8</t>
        </is>
      </c>
      <c r="BF13" s="24" t="inlineStr">
        <is>
          <t>1</t>
        </is>
      </c>
      <c r="BG13" s="24" t="inlineStr">
        <is>
          <t>wnba-elo-trend-lr-v4</t>
        </is>
      </c>
      <c r="BH13" s="24" t="inlineStr">
        <is>
          <t>2026-08-02T19:27:38.881123Z</t>
        </is>
      </c>
      <c r="BI13" s="24" t="inlineStr">
        <is>
          <t>["same_event","same_team_same_day","same_league_same_day"]</t>
        </is>
      </c>
      <c r="BJ13" s="25" t="n"/>
      <c r="BK13" s="26" t="n">
        <v>104</v>
      </c>
      <c r="BL13" s="27" t="n">
        <v>2.04</v>
      </c>
      <c r="BM13" s="28" t="n">
        <v>0.490196</v>
      </c>
      <c r="BN13" s="28" t="n">
        <v>0.485149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0.5937045717</t>
        </is>
      </c>
      <c r="CD13" s="24" t="inlineStr">
        <is>
          <t>-1.420483</t>
        </is>
      </c>
      <c r="CE13" s="24" t="n"/>
      <c r="CF13" s="24" t="n"/>
      <c r="CG13" s="24" t="n"/>
      <c r="CH13" s="24" t="n"/>
      <c r="CI13" s="24" t="inlineStr">
        <is>
          <t>NO_CALL_AVAILABILITY_PLAYER_UNMAPPED</t>
        </is>
      </c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inlineStr">
        <is>
          <t>0.57112</t>
        </is>
      </c>
      <c r="CS13" s="24" t="inlineStr">
        <is>
          <t>True</t>
        </is>
      </c>
    </row>
    <row r="14" ht="36" customHeight="1">
      <c r="A14" s="24" t="inlineStr">
        <is>
          <t>2f3026f2ebce4ef9</t>
        </is>
      </c>
      <c r="B14" s="24" t="inlineStr">
        <is>
          <t>2026-08-02T19:28:41.982598Z</t>
        </is>
      </c>
      <c r="C14" s="24" t="inlineStr">
        <is>
          <t>2026-08-02T19:00:00-0400</t>
        </is>
      </c>
      <c r="D14" s="24" t="inlineStr">
        <is>
          <t>401857109</t>
        </is>
      </c>
      <c r="E14" s="24" t="inlineStr">
        <is>
          <t>WNBA</t>
        </is>
      </c>
      <c r="F14" s="24" t="inlineStr">
        <is>
          <t>Connecticut Sun</t>
        </is>
      </c>
      <c r="G14" s="24" t="inlineStr">
        <is>
          <t>Dallas Wings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-488</v>
      </c>
      <c r="M14" s="27" t="n">
        <v>1.204918</v>
      </c>
      <c r="N14" s="28" t="n">
        <v>0.829932</v>
      </c>
      <c r="O14" s="28" t="n">
        <v>0.758559</v>
      </c>
      <c r="P14" s="28" t="n"/>
      <c r="Q14" s="28" t="n">
        <v>-0.07137300000000001</v>
      </c>
      <c r="R14" s="26" t="n">
        <v>0</v>
      </c>
      <c r="S14" s="29" t="n">
        <v>2</v>
      </c>
      <c r="T14" s="24" t="inlineStr">
        <is>
          <t>wnba-elo-trend-lr-v4</t>
        </is>
      </c>
      <c r="U14" s="24" t="inlineStr">
        <is>
          <t>settled</t>
        </is>
      </c>
      <c r="V14" s="24" t="inlineStr">
        <is>
          <t>win</t>
        </is>
      </c>
      <c r="W14" s="26" t="n">
        <v>63</v>
      </c>
      <c r="X14" s="26" t="n">
        <v>83</v>
      </c>
      <c r="Y14" s="25" t="n"/>
      <c r="Z14" s="26" t="n"/>
      <c r="AA14" s="28" t="n"/>
      <c r="AB14" s="28" t="n"/>
      <c r="AC14" s="30" t="n">
        <v>0.4098</v>
      </c>
      <c r="AD14" s="24" t="inlineStr">
        <is>
          <t>2026-08-03T02:33:58.703211Z</t>
        </is>
      </c>
      <c r="AE14" s="31" t="inlineStr">
        <is>
          <t>Learned LR call at threshold 0.5001; executable ask 0.8300 (aec-wnba-conn-dal-2026-08-02); model edge vs ask -0.0714. NOTE: NO_CALL_AVAILABILITY_PLAYER_UNMAPPED unavailable for this game — defaulted to neutral, other features used normally.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wnba-con</t>
        </is>
      </c>
      <c r="AQ14" s="24" t="inlineStr">
        <is>
          <t>Connecticut Sun</t>
        </is>
      </c>
      <c r="AR14" s="24" t="inlineStr">
        <is>
          <t>Connecticut Sun</t>
        </is>
      </c>
      <c r="AS14" s="24" t="inlineStr">
        <is>
          <t>wnba-dal</t>
        </is>
      </c>
      <c r="AT14" s="24" t="inlineStr">
        <is>
          <t>Dallas Wings</t>
        </is>
      </c>
      <c r="AU14" s="24" t="inlineStr">
        <is>
          <t>Dallas Wings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7afd5274214b58b7efd7f7febc7be3ab33b92351cda5cc6403c0a39faea0cc8c</t>
        </is>
      </c>
      <c r="BB14" s="24" t="inlineStr">
        <is>
          <t>learned_lr</t>
        </is>
      </c>
      <c r="BC14" s="24" t="inlineStr">
        <is>
          <t>wnba-elo-trend-lr-v4</t>
        </is>
      </c>
      <c r="BD14" s="24" t="inlineStr">
        <is>
          <t>7afd5274214b58b7efd7f7febc7be3ab33b92351cda5cc6403c0a39faea0cc8c</t>
        </is>
      </c>
      <c r="BE14" s="24" t="inlineStr">
        <is>
          <t>9c0c7cfe02317de7</t>
        </is>
      </c>
      <c r="BF14" s="24" t="inlineStr">
        <is>
          <t>1</t>
        </is>
      </c>
      <c r="BG14" s="24" t="inlineStr">
        <is>
          <t>wnba-elo-trend-lr-v4</t>
        </is>
      </c>
      <c r="BH14" s="24" t="inlineStr">
        <is>
          <t>2026-08-02T19:27:40.019420Z</t>
        </is>
      </c>
      <c r="BI14" s="24" t="inlineStr">
        <is>
          <t>["same_event","same_team_same_day","same_league_same_day"]</t>
        </is>
      </c>
      <c r="BJ14" s="25" t="n"/>
      <c r="BK14" s="26" t="n">
        <v>-488</v>
      </c>
      <c r="BL14" s="27" t="n">
        <v>1.204918</v>
      </c>
      <c r="BM14" s="28" t="n">
        <v>0.829932</v>
      </c>
      <c r="BN14" s="28" t="n">
        <v>0.821782</v>
      </c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0.8648169599</t>
        </is>
      </c>
      <c r="CD14" s="24" t="inlineStr">
        <is>
          <t>-2.14749</t>
        </is>
      </c>
      <c r="CE14" s="24" t="n"/>
      <c r="CF14" s="24" t="n"/>
      <c r="CG14" s="24" t="n"/>
      <c r="CH14" s="24" t="n"/>
      <c r="CI14" s="24" t="inlineStr">
        <is>
          <t>NO_CALL_AVAILABILITY_PLAYER_UNMAPPED</t>
        </is>
      </c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inlineStr">
        <is>
          <t>0.758559</t>
        </is>
      </c>
      <c r="CS14" s="24" t="inlineStr">
        <is>
          <t>False</t>
        </is>
      </c>
    </row>
    <row r="15" ht="36" customHeight="1">
      <c r="A15" s="24" t="inlineStr">
        <is>
          <t>4672b91740b0470e</t>
        </is>
      </c>
      <c r="B15" s="24" t="inlineStr">
        <is>
          <t>2026-08-02T23:14:34.350495Z</t>
        </is>
      </c>
      <c r="C15" s="24" t="inlineStr">
        <is>
          <t>2026-08-02T20:30:00-0400</t>
        </is>
      </c>
      <c r="D15" s="24" t="inlineStr">
        <is>
          <t>401857110</t>
        </is>
      </c>
      <c r="E15" s="24" t="inlineStr">
        <is>
          <t>WNBA</t>
        </is>
      </c>
      <c r="F15" s="24" t="inlineStr">
        <is>
          <t>Toronto Tempo</t>
        </is>
      </c>
      <c r="G15" s="24" t="inlineStr">
        <is>
          <t>Golden State Valkyries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-733</v>
      </c>
      <c r="M15" s="27" t="n">
        <v>1.136426</v>
      </c>
      <c r="N15" s="28" t="n">
        <v>0.879952</v>
      </c>
      <c r="O15" s="28" t="n">
        <v>0.772803</v>
      </c>
      <c r="P15" s="28" t="n"/>
      <c r="Q15" s="28" t="n">
        <v>-0.107149</v>
      </c>
      <c r="R15" s="26" t="n">
        <v>0</v>
      </c>
      <c r="S15" s="29" t="n">
        <v>2</v>
      </c>
      <c r="T15" s="24" t="inlineStr">
        <is>
          <t>wnba-elo-trend-lr-v4</t>
        </is>
      </c>
      <c r="U15" s="24" t="inlineStr">
        <is>
          <t>settled</t>
        </is>
      </c>
      <c r="V15" s="24" t="inlineStr">
        <is>
          <t>win</t>
        </is>
      </c>
      <c r="W15" s="26" t="n">
        <v>79</v>
      </c>
      <c r="X15" s="26" t="n">
        <v>96</v>
      </c>
      <c r="Y15" s="25" t="n"/>
      <c r="Z15" s="26" t="n"/>
      <c r="AA15" s="28" t="n"/>
      <c r="AB15" s="28" t="n"/>
      <c r="AC15" s="30" t="n">
        <v>0.2729</v>
      </c>
      <c r="AD15" s="24" t="inlineStr">
        <is>
          <t>2026-08-03T02:34:06.515070Z</t>
        </is>
      </c>
      <c r="AE15" s="31" t="inlineStr">
        <is>
          <t>Learned LR call at threshold 0.5001; executable ask 0.8800 (aec-wnba-tor-gsv-2026-08-02); model edge vs ask -0.1072. NOTE: NO_CALL_AVAILABILITY_PLAYER_UNMAPPED unavailable for this game — defaulted to neutral, other features used normally.</t>
        </is>
      </c>
      <c r="AF15" s="31" t="inlineStr">
        <is>
          <t>Learned model; shadow-qualified via operator override.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wnba-tor</t>
        </is>
      </c>
      <c r="AQ15" s="24" t="inlineStr">
        <is>
          <t>Toronto Tempo</t>
        </is>
      </c>
      <c r="AR15" s="24" t="inlineStr">
        <is>
          <t>Toronto Tempo</t>
        </is>
      </c>
      <c r="AS15" s="24" t="inlineStr">
        <is>
          <t>wnba-gsv</t>
        </is>
      </c>
      <c r="AT15" s="24" t="inlineStr">
        <is>
          <t>Golden State Valkyries</t>
        </is>
      </c>
      <c r="AU15" s="24" t="inlineStr">
        <is>
          <t>Golden State Valkyries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7afd5274214b58b7efd7f7febc7be3ab33b92351cda5cc6403c0a39faea0cc8c</t>
        </is>
      </c>
      <c r="BB15" s="24" t="inlineStr">
        <is>
          <t>learned_lr</t>
        </is>
      </c>
      <c r="BC15" s="24" t="inlineStr">
        <is>
          <t>wnba-elo-trend-lr-v4</t>
        </is>
      </c>
      <c r="BD15" s="24" t="inlineStr">
        <is>
          <t>7afd5274214b58b7efd7f7febc7be3ab33b92351cda5cc6403c0a39faea0cc8c</t>
        </is>
      </c>
      <c r="BE15" s="24" t="inlineStr">
        <is>
          <t>c1ef9fc1d2a3714a</t>
        </is>
      </c>
      <c r="BF15" s="24" t="inlineStr">
        <is>
          <t>1</t>
        </is>
      </c>
      <c r="BG15" s="24" t="inlineStr">
        <is>
          <t>wnba-elo-trend-lr-v4</t>
        </is>
      </c>
      <c r="BH15" s="24" t="inlineStr">
        <is>
          <t>2026-08-02T23:13:58.588337Z</t>
        </is>
      </c>
      <c r="BI15" s="24" t="inlineStr">
        <is>
          <t>["same_event","same_team_same_day","same_league_same_day"]</t>
        </is>
      </c>
      <c r="BJ15" s="25" t="n"/>
      <c r="BK15" s="26" t="n">
        <v>-733</v>
      </c>
      <c r="BL15" s="27" t="n">
        <v>1.136426</v>
      </c>
      <c r="BM15" s="28" t="n">
        <v>0.879952</v>
      </c>
      <c r="BN15" s="28" t="n">
        <v>0.871287</v>
      </c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0.8973864278</t>
        </is>
      </c>
      <c r="CD15" s="24" t="inlineStr">
        <is>
          <t>2.248193</t>
        </is>
      </c>
      <c r="CE15" s="24" t="n"/>
      <c r="CF15" s="24" t="n"/>
      <c r="CG15" s="24" t="n"/>
      <c r="CH15" s="24" t="n"/>
      <c r="CI15" s="24" t="inlineStr">
        <is>
          <t>NO_CALL_AVAILABILITY_PLAYER_UNMAPPED</t>
        </is>
      </c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inlineStr">
        <is>
          <t>0.772803</t>
        </is>
      </c>
      <c r="CS15" s="24" t="inlineStr">
        <is>
          <t>False</t>
        </is>
      </c>
    </row>
    <row r="16" ht="36" customHeight="1">
      <c r="A16" s="24" t="inlineStr">
        <is>
          <t>f4b42db9be7540a3</t>
        </is>
      </c>
      <c r="B16" s="24" t="inlineStr">
        <is>
          <t>2026-08-03T22:56:28.208831Z</t>
        </is>
      </c>
      <c r="C16" s="24" t="inlineStr">
        <is>
          <t>2026-08-03T19:00:00-0400</t>
        </is>
      </c>
      <c r="D16" s="24" t="inlineStr">
        <is>
          <t>401857111</t>
        </is>
      </c>
      <c r="E16" s="24" t="inlineStr">
        <is>
          <t>WNBA</t>
        </is>
      </c>
      <c r="F16" s="24" t="inlineStr">
        <is>
          <t>Las Vegas Aces</t>
        </is>
      </c>
      <c r="G16" s="24" t="inlineStr">
        <is>
          <t>Atlanta Dream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0.51407</v>
      </c>
      <c r="P16" s="28" t="n"/>
      <c r="Q16" s="28" t="n">
        <v>-0.045401</v>
      </c>
      <c r="R16" s="26" t="n">
        <v>0</v>
      </c>
      <c r="S16" s="29" t="n">
        <v>1</v>
      </c>
      <c r="T16" s="24" t="inlineStr">
        <is>
          <t>wnba-elo-trend-lr-v4</t>
        </is>
      </c>
      <c r="U16" s="24" t="inlineStr">
        <is>
          <t>settled</t>
        </is>
      </c>
      <c r="V16" s="24" t="inlineStr">
        <is>
          <t>loss</t>
        </is>
      </c>
      <c r="W16" s="26" t="n">
        <v>109</v>
      </c>
      <c r="X16" s="26" t="n">
        <v>87</v>
      </c>
      <c r="Y16" s="25" t="n"/>
      <c r="Z16" s="26" t="n"/>
      <c r="AA16" s="28" t="n"/>
      <c r="AB16" s="28" t="n"/>
      <c r="AC16" s="30" t="n">
        <v>-1</v>
      </c>
      <c r="AD16" s="24" t="inlineStr">
        <is>
          <t>2026-08-04T01:58:22.418529Z</t>
        </is>
      </c>
      <c r="AE16" s="31" t="inlineStr">
        <is>
          <t>Learned LR call at threshold 0.5001; executable ask 0.5600 (aec-wnba-lv-atl-2026-08-03); model edge vs ask -0.0459.</t>
        </is>
      </c>
      <c r="AF16" s="31" t="inlineStr">
        <is>
          <t>Learned model; shadow-qualified via operator override.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wnba-lva</t>
        </is>
      </c>
      <c r="AQ16" s="24" t="inlineStr">
        <is>
          <t>Las Vegas Aces</t>
        </is>
      </c>
      <c r="AR16" s="24" t="inlineStr">
        <is>
          <t>Las Vegas Aces</t>
        </is>
      </c>
      <c r="AS16" s="24" t="inlineStr">
        <is>
          <t>wnba-atl</t>
        </is>
      </c>
      <c r="AT16" s="24" t="inlineStr">
        <is>
          <t>Atlanta Dream</t>
        </is>
      </c>
      <c r="AU16" s="24" t="inlineStr">
        <is>
          <t>Atlanta Dream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7afd5274214b58b7efd7f7febc7be3ab33b92351cda5cc6403c0a39faea0cc8c</t>
        </is>
      </c>
      <c r="BB16" s="24" t="inlineStr">
        <is>
          <t>learned_lr</t>
        </is>
      </c>
      <c r="BC16" s="24" t="inlineStr">
        <is>
          <t>wnba-elo-trend-lr-v4</t>
        </is>
      </c>
      <c r="BD16" s="24" t="inlineStr">
        <is>
          <t>7afd5274214b58b7efd7f7febc7be3ab33b92351cda5cc6403c0a39faea0cc8c</t>
        </is>
      </c>
      <c r="BE16" s="24" t="inlineStr">
        <is>
          <t>b2ef49b6e91b5973</t>
        </is>
      </c>
      <c r="BF16" s="24" t="inlineStr">
        <is>
          <t>1</t>
        </is>
      </c>
      <c r="BG16" s="24" t="inlineStr">
        <is>
          <t>wnba-elo-trend-lr-v4</t>
        </is>
      </c>
      <c r="BH16" s="24" t="inlineStr">
        <is>
          <t>2026-08-03T22:56:02.794073Z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>
        <v>0.554455</v>
      </c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0.5210843216</t>
        </is>
      </c>
      <c r="CD16" s="24" t="inlineStr">
        <is>
          <t>2.457049</t>
        </is>
      </c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0.51407</t>
        </is>
      </c>
      <c r="CS16" s="24" t="inlineStr">
        <is>
          <t>False</t>
        </is>
      </c>
    </row>
    <row r="17" ht="36" customHeight="1">
      <c r="A17" s="24" t="inlineStr">
        <is>
          <t>7e78f51d0c3f49f8</t>
        </is>
      </c>
      <c r="B17" s="24" t="inlineStr">
        <is>
          <t>2026-08-03T22:56:28.208831Z</t>
        </is>
      </c>
      <c r="C17" s="24" t="inlineStr">
        <is>
          <t>2026-08-03T19:00:00-0400</t>
        </is>
      </c>
      <c r="D17" s="24" t="inlineStr">
        <is>
          <t>401857112</t>
        </is>
      </c>
      <c r="E17" s="24" t="inlineStr">
        <is>
          <t>WNBA</t>
        </is>
      </c>
      <c r="F17" s="24" t="inlineStr">
        <is>
          <t>Seattle Storm</t>
        </is>
      </c>
      <c r="G17" s="24" t="inlineStr">
        <is>
          <t>New York Liberty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-300</v>
      </c>
      <c r="M17" s="27" t="n">
        <v>1.333333</v>
      </c>
      <c r="N17" s="28" t="n">
        <v>0.75</v>
      </c>
      <c r="O17" s="28" t="n">
        <v>0.668225</v>
      </c>
      <c r="P17" s="28" t="n"/>
      <c r="Q17" s="28" t="n">
        <v>-0.081775</v>
      </c>
      <c r="R17" s="26" t="n">
        <v>0</v>
      </c>
      <c r="S17" s="29" t="n">
        <v>1.75</v>
      </c>
      <c r="T17" s="24" t="inlineStr">
        <is>
          <t>wnba-elo-trend-lr-v4</t>
        </is>
      </c>
      <c r="U17" s="24" t="inlineStr">
        <is>
          <t>settled</t>
        </is>
      </c>
      <c r="V17" s="24" t="inlineStr">
        <is>
          <t>win</t>
        </is>
      </c>
      <c r="W17" s="26" t="n">
        <v>83</v>
      </c>
      <c r="X17" s="26" t="n">
        <v>95</v>
      </c>
      <c r="Y17" s="25" t="n"/>
      <c r="Z17" s="26" t="n"/>
      <c r="AA17" s="28" t="n"/>
      <c r="AB17" s="28" t="n"/>
      <c r="AC17" s="30" t="n">
        <v>0.5833</v>
      </c>
      <c r="AD17" s="24" t="inlineStr">
        <is>
          <t>2026-08-04T01:58:22.599025Z</t>
        </is>
      </c>
      <c r="AE17" s="31" t="inlineStr">
        <is>
          <t>Learned LR call at threshold 0.5001; executable ask 0.7500 (aec-wnba-sea-ny-2026-08-03); model edge vs ask -0.0818.</t>
        </is>
      </c>
      <c r="AF17" s="31" t="inlineStr">
        <is>
          <t>Learned model; shadow-qualified via operator override.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wnba-sea</t>
        </is>
      </c>
      <c r="AQ17" s="24" t="inlineStr">
        <is>
          <t>Seattle Storm</t>
        </is>
      </c>
      <c r="AR17" s="24" t="inlineStr">
        <is>
          <t>Seattle Storm</t>
        </is>
      </c>
      <c r="AS17" s="24" t="inlineStr">
        <is>
          <t>wnba-nyl</t>
        </is>
      </c>
      <c r="AT17" s="24" t="inlineStr">
        <is>
          <t>New York Liberty</t>
        </is>
      </c>
      <c r="AU17" s="24" t="inlineStr">
        <is>
          <t>New York Liberty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7afd5274214b58b7efd7f7febc7be3ab33b92351cda5cc6403c0a39faea0cc8c</t>
        </is>
      </c>
      <c r="BB17" s="24" t="inlineStr">
        <is>
          <t>learned_lr</t>
        </is>
      </c>
      <c r="BC17" s="24" t="inlineStr">
        <is>
          <t>wnba-elo-trend-lr-v4</t>
        </is>
      </c>
      <c r="BD17" s="24" t="inlineStr">
        <is>
          <t>7afd5274214b58b7efd7f7febc7be3ab33b92351cda5cc6403c0a39faea0cc8c</t>
        </is>
      </c>
      <c r="BE17" s="24" t="inlineStr">
        <is>
          <t>a7a2cf055acd172e</t>
        </is>
      </c>
      <c r="BF17" s="24" t="inlineStr">
        <is>
          <t>1</t>
        </is>
      </c>
      <c r="BG17" s="24" t="inlineStr">
        <is>
          <t>wnba-elo-trend-lr-v4</t>
        </is>
      </c>
      <c r="BH17" s="24" t="inlineStr">
        <is>
          <t>2026-08-03T22:56:03.448712Z</t>
        </is>
      </c>
      <c r="BI17" s="24" t="inlineStr">
        <is>
          <t>["same_event","same_team_same_day","same_league_same_day"]</t>
        </is>
      </c>
      <c r="BJ17" s="25" t="n"/>
      <c r="BK17" s="26" t="n">
        <v>-300</v>
      </c>
      <c r="BL17" s="27" t="n">
        <v>1.333333</v>
      </c>
      <c r="BM17" s="28" t="n">
        <v>0.75</v>
      </c>
      <c r="BN17" s="28" t="n">
        <v>0.742574</v>
      </c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0.826825309</t>
        </is>
      </c>
      <c r="CD17" s="24" t="inlineStr">
        <is>
          <t>-1.349631</t>
        </is>
      </c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0.668225</t>
        </is>
      </c>
      <c r="CS17" s="24" t="inlineStr">
        <is>
          <t>False</t>
        </is>
      </c>
    </row>
    <row r="18" ht="36" customHeight="1">
      <c r="A18" s="24" t="inlineStr">
        <is>
          <t>eb5ee14f5b6c46f6</t>
        </is>
      </c>
      <c r="B18" s="24" t="inlineStr">
        <is>
          <t>2026-08-03T22:56:28.208831Z</t>
        </is>
      </c>
      <c r="C18" s="24" t="inlineStr">
        <is>
          <t>2026-08-03T21:00:00-0400</t>
        </is>
      </c>
      <c r="D18" s="24" t="inlineStr">
        <is>
          <t>401857113</t>
        </is>
      </c>
      <c r="E18" s="24" t="inlineStr">
        <is>
          <t>WNBA</t>
        </is>
      </c>
      <c r="F18" s="24" t="inlineStr">
        <is>
          <t>Phoenix Mercury</t>
        </is>
      </c>
      <c r="G18" s="24" t="inlineStr">
        <is>
          <t>Chicago Sky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117</v>
      </c>
      <c r="M18" s="27" t="n">
        <v>2.17</v>
      </c>
      <c r="N18" s="28" t="n">
        <v>0.460829</v>
      </c>
      <c r="O18" s="28" t="n">
        <v>0.580877</v>
      </c>
      <c r="P18" s="28" t="n"/>
      <c r="Q18" s="28" t="n">
        <v>0.120048</v>
      </c>
      <c r="R18" s="26" t="n">
        <v>83</v>
      </c>
      <c r="S18" s="29" t="n">
        <v>1.25</v>
      </c>
      <c r="T18" s="24" t="inlineStr">
        <is>
          <t>wnba-elo-trend-lr-v4</t>
        </is>
      </c>
      <c r="U18" s="24" t="inlineStr">
        <is>
          <t>settled</t>
        </is>
      </c>
      <c r="V18" s="24" t="inlineStr">
        <is>
          <t>loss</t>
        </is>
      </c>
      <c r="W18" s="26" t="n">
        <v>106</v>
      </c>
      <c r="X18" s="26" t="n">
        <v>101</v>
      </c>
      <c r="Y18" s="25" t="n"/>
      <c r="Z18" s="26" t="n"/>
      <c r="AA18" s="28" t="n"/>
      <c r="AB18" s="28" t="n"/>
      <c r="AC18" s="30" t="n">
        <v>-1.25</v>
      </c>
      <c r="AD18" s="24" t="inlineStr">
        <is>
          <t>2026-08-04T03:57:44.109194Z</t>
        </is>
      </c>
      <c r="AE18" s="31" t="inlineStr">
        <is>
          <t>Learned LR call at threshold 0.5001; executable ask 0.4600 (aec-wnba-phx-chi-2026-08-03); model edge vs ask +0.1209. NOTE: NO_CALL_AVAILABILITY_PLAYER_UNMAPPED unavailable for this game — defaulted to neutral, other features used normally.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wnba-phx</t>
        </is>
      </c>
      <c r="AQ18" s="24" t="inlineStr">
        <is>
          <t>Phoenix Mercury</t>
        </is>
      </c>
      <c r="AR18" s="24" t="inlineStr">
        <is>
          <t>Phoenix Mercury</t>
        </is>
      </c>
      <c r="AS18" s="24" t="inlineStr">
        <is>
          <t>wnba-chi</t>
        </is>
      </c>
      <c r="AT18" s="24" t="inlineStr">
        <is>
          <t>Chicago Sky</t>
        </is>
      </c>
      <c r="AU18" s="24" t="inlineStr">
        <is>
          <t>Chicago Sky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7afd5274214b58b7efd7f7febc7be3ab33b92351cda5cc6403c0a39faea0cc8c</t>
        </is>
      </c>
      <c r="BB18" s="24" t="inlineStr">
        <is>
          <t>learned_lr</t>
        </is>
      </c>
      <c r="BC18" s="24" t="inlineStr">
        <is>
          <t>wnba-elo-trend-lr-v4</t>
        </is>
      </c>
      <c r="BD18" s="24" t="inlineStr">
        <is>
          <t>7afd5274214b58b7efd7f7febc7be3ab33b92351cda5cc6403c0a39faea0cc8c</t>
        </is>
      </c>
      <c r="BE18" s="24" t="inlineStr">
        <is>
          <t>7a2885907d6a5230</t>
        </is>
      </c>
      <c r="BF18" s="24" t="inlineStr">
        <is>
          <t>1</t>
        </is>
      </c>
      <c r="BG18" s="24" t="inlineStr">
        <is>
          <t>wnba-elo-trend-lr-v4</t>
        </is>
      </c>
      <c r="BH18" s="24" t="inlineStr">
        <is>
          <t>2026-08-03T22:56:03.908601Z</t>
        </is>
      </c>
      <c r="BI18" s="24" t="inlineStr">
        <is>
          <t>["same_event","same_team_same_day","same_league_same_day"]</t>
        </is>
      </c>
      <c r="BJ18" s="25" t="n"/>
      <c r="BK18" s="26" t="n">
        <v>117</v>
      </c>
      <c r="BL18" s="27" t="n">
        <v>2.17</v>
      </c>
      <c r="BM18" s="28" t="n">
        <v>0.460829</v>
      </c>
      <c r="BN18" s="28" t="n">
        <v>0.455446</v>
      </c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0.6165118128</t>
        </is>
      </c>
      <c r="CD18" s="24" t="inlineStr">
        <is>
          <t>3.666063</t>
        </is>
      </c>
      <c r="CE18" s="24" t="n"/>
      <c r="CF18" s="24" t="n"/>
      <c r="CG18" s="24" t="n"/>
      <c r="CH18" s="24" t="n"/>
      <c r="CI18" s="24" t="inlineStr">
        <is>
          <t>NO_CALL_AVAILABILITY_PLAYER_UNMAPPED</t>
        </is>
      </c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0.580877</t>
        </is>
      </c>
      <c r="CS18" s="24" t="inlineStr">
        <is>
          <t>True</t>
        </is>
      </c>
    </row>
    <row r="19" ht="36" customHeight="1">
      <c r="A19" s="24" t="inlineStr">
        <is>
          <t>b168d7d686c645e1</t>
        </is>
      </c>
      <c r="B19" s="24" t="inlineStr">
        <is>
          <t>2026-08-05T01:07:48.070985Z</t>
        </is>
      </c>
      <c r="C19" s="24" t="inlineStr">
        <is>
          <t>2026-08-04T22:00:00-0400</t>
        </is>
      </c>
      <c r="D19" s="24" t="inlineStr">
        <is>
          <t>401857114</t>
        </is>
      </c>
      <c r="E19" s="24" t="inlineStr">
        <is>
          <t>WNBA</t>
        </is>
      </c>
      <c r="F19" s="24" t="inlineStr">
        <is>
          <t>Toronto Tempo</t>
        </is>
      </c>
      <c r="G19" s="24" t="inlineStr">
        <is>
          <t>Golden State Valkyries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-614</v>
      </c>
      <c r="M19" s="27" t="n">
        <v>1.162866</v>
      </c>
      <c r="N19" s="28" t="n">
        <v>0.859944</v>
      </c>
      <c r="O19" s="28" t="n">
        <v>0.774468</v>
      </c>
      <c r="P19" s="28" t="n"/>
      <c r="Q19" s="28" t="n">
        <v>-0.085476</v>
      </c>
      <c r="R19" s="26" t="n">
        <v>0</v>
      </c>
      <c r="S19" s="29" t="n">
        <v>2</v>
      </c>
      <c r="T19" s="24" t="inlineStr">
        <is>
          <t>wnba-elo-trend-lr-v4</t>
        </is>
      </c>
      <c r="U19" s="24" t="inlineStr">
        <is>
          <t>settled</t>
        </is>
      </c>
      <c r="V19" s="24" t="inlineStr">
        <is>
          <t>win</t>
        </is>
      </c>
      <c r="W19" s="26" t="n">
        <v>82</v>
      </c>
      <c r="X19" s="26" t="n">
        <v>92</v>
      </c>
      <c r="Y19" s="25" t="n"/>
      <c r="Z19" s="26" t="n"/>
      <c r="AA19" s="28" t="n"/>
      <c r="AB19" s="28" t="n"/>
      <c r="AC19" s="30" t="n">
        <v>0.3257</v>
      </c>
      <c r="AD19" s="24" t="inlineStr">
        <is>
          <t>2026-08-05T04:21:25.381491Z</t>
        </is>
      </c>
      <c r="AE19" s="31" t="inlineStr">
        <is>
          <t>Learned LR call at threshold 0.5001; executable ask 0.8600 (aec-wnba-tor-gsv-2026-08-04); model edge vs ask -0.0855.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wnba-tor</t>
        </is>
      </c>
      <c r="AQ19" s="24" t="inlineStr">
        <is>
          <t>Toronto Tempo</t>
        </is>
      </c>
      <c r="AR19" s="24" t="inlineStr">
        <is>
          <t>Toronto Tempo</t>
        </is>
      </c>
      <c r="AS19" s="24" t="inlineStr">
        <is>
          <t>wnba-gsv</t>
        </is>
      </c>
      <c r="AT19" s="24" t="inlineStr">
        <is>
          <t>Golden State Valkyries</t>
        </is>
      </c>
      <c r="AU19" s="24" t="inlineStr">
        <is>
          <t>Golden State Valkyries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7afd5274214b58b7efd7f7febc7be3ab33b92351cda5cc6403c0a39faea0cc8c</t>
        </is>
      </c>
      <c r="BB19" s="24" t="inlineStr">
        <is>
          <t>learned_lr</t>
        </is>
      </c>
      <c r="BC19" s="24" t="inlineStr">
        <is>
          <t>wnba-elo-trend-lr-v4</t>
        </is>
      </c>
      <c r="BD19" s="24" t="inlineStr">
        <is>
          <t>7afd5274214b58b7efd7f7febc7be3ab33b92351cda5cc6403c0a39faea0cc8c</t>
        </is>
      </c>
      <c r="BE19" s="24" t="inlineStr">
        <is>
          <t>fb46ae94639bf9af</t>
        </is>
      </c>
      <c r="BF19" s="24" t="inlineStr">
        <is>
          <t>1</t>
        </is>
      </c>
      <c r="BG19" s="24" t="inlineStr">
        <is>
          <t>wnba-elo-trend-lr-v4</t>
        </is>
      </c>
      <c r="BH19" s="24" t="inlineStr">
        <is>
          <t>2026-08-05T01:07:13.594446Z</t>
        </is>
      </c>
      <c r="BI19" s="24" t="inlineStr">
        <is>
          <t>["same_event","same_team_same_day","same_league_same_day"]</t>
        </is>
      </c>
      <c r="BJ19" s="25" t="n"/>
      <c r="BK19" s="26" t="n">
        <v>-614</v>
      </c>
      <c r="BL19" s="27" t="n">
        <v>1.162866</v>
      </c>
      <c r="BM19" s="28" t="n">
        <v>0.859944</v>
      </c>
      <c r="BN19" s="28" t="n">
        <v>0.851485</v>
      </c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0.9026326565</t>
        </is>
      </c>
      <c r="CD19" s="24" t="inlineStr">
        <is>
          <t>2.972439</t>
        </is>
      </c>
      <c r="CE19" s="24" t="n"/>
      <c r="CF19" s="24" t="n"/>
      <c r="CG19" s="24" t="n"/>
      <c r="CH19" s="24" t="n"/>
      <c r="CI19" s="24" t="n"/>
      <c r="CJ19" s="24" t="inlineStr">
        <is>
          <t>1.230079</t>
        </is>
      </c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0.774468</t>
        </is>
      </c>
      <c r="CS19" s="24" t="inlineStr">
        <is>
          <t>False</t>
        </is>
      </c>
    </row>
    <row r="20" ht="36" customHeight="1">
      <c r="A20" s="24" t="inlineStr">
        <is>
          <t>864e1560b09146af</t>
        </is>
      </c>
      <c r="B20" s="24" t="inlineStr">
        <is>
          <t>2026-08-05T04:35:50.664769Z</t>
        </is>
      </c>
      <c r="C20" s="24" t="inlineStr">
        <is>
          <t>2026-08-05T19:00:00-0400</t>
        </is>
      </c>
      <c r="D20" s="24" t="inlineStr">
        <is>
          <t>401857115</t>
        </is>
      </c>
      <c r="E20" s="24" t="inlineStr">
        <is>
          <t>WNBA</t>
        </is>
      </c>
      <c r="F20" s="24" t="inlineStr">
        <is>
          <t>Phoenix Mercury</t>
        </is>
      </c>
      <c r="G20" s="24" t="inlineStr">
        <is>
          <t>Atlanta Dream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-194</v>
      </c>
      <c r="M20" s="27" t="n">
        <v>1.515464</v>
      </c>
      <c r="N20" s="28" t="n">
        <v>0.659864</v>
      </c>
      <c r="O20" s="28" t="n">
        <v>0.660664</v>
      </c>
      <c r="P20" s="28" t="n"/>
      <c r="Q20" s="28" t="n">
        <v>0.0008</v>
      </c>
      <c r="R20" s="26" t="n">
        <v>24</v>
      </c>
      <c r="S20" s="29" t="n">
        <v>1.75</v>
      </c>
      <c r="T20" s="24" t="inlineStr">
        <is>
          <t>wnba-elo-trend-lr-v4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Learned LR call at threshold 0.5001; executable ask 0.6600 (aec-wnba-phx-atl-2026-08-05); model edge vs ask +0.0007.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wnba-phx</t>
        </is>
      </c>
      <c r="AQ20" s="24" t="inlineStr">
        <is>
          <t>Phoenix Mercury</t>
        </is>
      </c>
      <c r="AR20" s="24" t="inlineStr">
        <is>
          <t>Phoenix Mercury</t>
        </is>
      </c>
      <c r="AS20" s="24" t="inlineStr">
        <is>
          <t>wnba-atl</t>
        </is>
      </c>
      <c r="AT20" s="24" t="inlineStr">
        <is>
          <t>Atlanta Dream</t>
        </is>
      </c>
      <c r="AU20" s="24" t="inlineStr">
        <is>
          <t>Atlanta Dream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7afd5274214b58b7efd7f7febc7be3ab33b92351cda5cc6403c0a39faea0cc8c</t>
        </is>
      </c>
      <c r="BB20" s="24" t="inlineStr">
        <is>
          <t>learned_lr</t>
        </is>
      </c>
      <c r="BC20" s="24" t="inlineStr">
        <is>
          <t>wnba-elo-trend-lr-v4</t>
        </is>
      </c>
      <c r="BD20" s="24" t="inlineStr">
        <is>
          <t>7afd5274214b58b7efd7f7febc7be3ab33b92351cda5cc6403c0a39faea0cc8c</t>
        </is>
      </c>
      <c r="BE20" s="24" t="inlineStr">
        <is>
          <t>db4cf2e6209fa446</t>
        </is>
      </c>
      <c r="BF20" s="24" t="inlineStr">
        <is>
          <t>1</t>
        </is>
      </c>
      <c r="BG20" s="24" t="inlineStr">
        <is>
          <t>wnba-elo-trend-lr-v4</t>
        </is>
      </c>
      <c r="BH20" s="24" t="inlineStr">
        <is>
          <t>2026-08-05T04:34:03.119408Z</t>
        </is>
      </c>
      <c r="BI20" s="24" t="inlineStr">
        <is>
          <t>["same_event","same_team_same_day","same_league_same_day"]</t>
        </is>
      </c>
      <c r="BJ20" s="25" t="n"/>
      <c r="BK20" s="26" t="n">
        <v>-194</v>
      </c>
      <c r="BL20" s="27" t="n">
        <v>1.515464</v>
      </c>
      <c r="BM20" s="28" t="n">
        <v>0.659864</v>
      </c>
      <c r="BN20" s="28" t="n">
        <v>0.653465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0.708542691</t>
        </is>
      </c>
      <c r="CD20" s="24" t="inlineStr">
        <is>
          <t>-1.788883</t>
        </is>
      </c>
      <c r="CE20" s="24" t="n"/>
      <c r="CF20" s="24" t="n"/>
      <c r="CG20" s="24" t="n"/>
      <c r="CH20" s="24" t="n"/>
      <c r="CI20" s="24" t="n"/>
      <c r="CJ20" s="24" t="inlineStr">
        <is>
          <t>-1.7391</t>
        </is>
      </c>
      <c r="CK20" s="24" t="n"/>
      <c r="CL20" s="24" t="n"/>
      <c r="CM20" s="24" t="n"/>
      <c r="CN20" s="24" t="n"/>
      <c r="CO20" s="24" t="n"/>
      <c r="CP20" s="24" t="n"/>
      <c r="CQ20" s="24" t="n"/>
      <c r="CR20" s="24" t="inlineStr">
        <is>
          <t>0.660664</t>
        </is>
      </c>
      <c r="CS20" s="24" t="inlineStr">
        <is>
          <t>True</t>
        </is>
      </c>
    </row>
    <row r="21" ht="36" customHeight="1">
      <c r="A21" s="24" t="inlineStr">
        <is>
          <t>0567d22e81a84780</t>
        </is>
      </c>
      <c r="B21" s="24" t="inlineStr">
        <is>
          <t>2026-08-05T04:35:50.664769Z</t>
        </is>
      </c>
      <c r="C21" s="24" t="inlineStr">
        <is>
          <t>2026-08-05T19:00:00-0400</t>
        </is>
      </c>
      <c r="D21" s="24" t="inlineStr">
        <is>
          <t>401857116</t>
        </is>
      </c>
      <c r="E21" s="24" t="inlineStr">
        <is>
          <t>WNBA</t>
        </is>
      </c>
      <c r="F21" s="24" t="inlineStr">
        <is>
          <t>Seattle Storm</t>
        </is>
      </c>
      <c r="G21" s="24" t="inlineStr">
        <is>
          <t>New York Liberty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-376</v>
      </c>
      <c r="M21" s="27" t="n">
        <v>1.265957</v>
      </c>
      <c r="N21" s="28" t="n">
        <v>0.789916</v>
      </c>
      <c r="O21" s="28" t="n">
        <v>0.741322</v>
      </c>
      <c r="P21" s="28" t="n"/>
      <c r="Q21" s="28" t="n">
        <v>-0.048594</v>
      </c>
      <c r="R21" s="26" t="n">
        <v>0</v>
      </c>
      <c r="S21" s="29" t="n">
        <v>2</v>
      </c>
      <c r="T21" s="24" t="inlineStr">
        <is>
          <t>wnba-elo-trend-lr-v4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Learned LR call at threshold 0.5001; executable ask 0.7900 (aec-wnba-sea-ny-2026-08-05); model edge vs ask -0.0487.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wnba-sea</t>
        </is>
      </c>
      <c r="AQ21" s="24" t="inlineStr">
        <is>
          <t>Seattle Storm</t>
        </is>
      </c>
      <c r="AR21" s="24" t="inlineStr">
        <is>
          <t>Seattle Storm</t>
        </is>
      </c>
      <c r="AS21" s="24" t="inlineStr">
        <is>
          <t>wnba-nyl</t>
        </is>
      </c>
      <c r="AT21" s="24" t="inlineStr">
        <is>
          <t>New York Liberty</t>
        </is>
      </c>
      <c r="AU21" s="24" t="inlineStr">
        <is>
          <t>New York Liberty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7afd5274214b58b7efd7f7febc7be3ab33b92351cda5cc6403c0a39faea0cc8c</t>
        </is>
      </c>
      <c r="BB21" s="24" t="inlineStr">
        <is>
          <t>learned_lr</t>
        </is>
      </c>
      <c r="BC21" s="24" t="inlineStr">
        <is>
          <t>wnba-elo-trend-lr-v4</t>
        </is>
      </c>
      <c r="BD21" s="24" t="inlineStr">
        <is>
          <t>7afd5274214b58b7efd7f7febc7be3ab33b92351cda5cc6403c0a39faea0cc8c</t>
        </is>
      </c>
      <c r="BE21" s="24" t="inlineStr">
        <is>
          <t>cbc087f3d2f12e27</t>
        </is>
      </c>
      <c r="BF21" s="24" t="inlineStr">
        <is>
          <t>1</t>
        </is>
      </c>
      <c r="BG21" s="24" t="inlineStr">
        <is>
          <t>wnba-elo-trend-lr-v4</t>
        </is>
      </c>
      <c r="BH21" s="24" t="inlineStr">
        <is>
          <t>2026-08-05T04:34:04.100169Z</t>
        </is>
      </c>
      <c r="BI21" s="24" t="inlineStr">
        <is>
          <t>["same_event","same_team_same_day","same_league_same_day"]</t>
        </is>
      </c>
      <c r="BJ21" s="25" t="n"/>
      <c r="BK21" s="26" t="n">
        <v>-376</v>
      </c>
      <c r="BL21" s="27" t="n">
        <v>1.265957</v>
      </c>
      <c r="BM21" s="28" t="n">
        <v>0.789916</v>
      </c>
      <c r="BN21" s="28" t="n">
        <v>0.782178</v>
      </c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0.8394756417</t>
        </is>
      </c>
      <c r="CD21" s="24" t="inlineStr">
        <is>
          <t>0.315883</t>
        </is>
      </c>
      <c r="CE21" s="24" t="n"/>
      <c r="CF21" s="24" t="n"/>
      <c r="CG21" s="24" t="n"/>
      <c r="CH21" s="24" t="n"/>
      <c r="CI21" s="24" t="n"/>
      <c r="CJ21" s="24" t="inlineStr">
        <is>
          <t>1.520421</t>
        </is>
      </c>
      <c r="CK21" s="24" t="n"/>
      <c r="CL21" s="24" t="n"/>
      <c r="CM21" s="24" t="n"/>
      <c r="CN21" s="24" t="n"/>
      <c r="CO21" s="24" t="n"/>
      <c r="CP21" s="24" t="n"/>
      <c r="CQ21" s="24" t="n"/>
      <c r="CR21" s="24" t="inlineStr">
        <is>
          <t>0.741322</t>
        </is>
      </c>
      <c r="CS21" s="24" t="inlineStr">
        <is>
          <t>False</t>
        </is>
      </c>
    </row>
    <row r="22" ht="36" customHeight="1">
      <c r="A22" s="24" t="inlineStr">
        <is>
          <t>e1dad84c760945eb</t>
        </is>
      </c>
      <c r="B22" s="24" t="inlineStr">
        <is>
          <t>2026-08-05T04:35:50.664769Z</t>
        </is>
      </c>
      <c r="C22" s="24" t="inlineStr">
        <is>
          <t>2026-08-05T19:30:00-0400</t>
        </is>
      </c>
      <c r="D22" s="24" t="inlineStr">
        <is>
          <t>401857117</t>
        </is>
      </c>
      <c r="E22" s="24" t="inlineStr">
        <is>
          <t>WNBA</t>
        </is>
      </c>
      <c r="F22" s="24" t="inlineStr">
        <is>
          <t>Dallas Wings</t>
        </is>
      </c>
      <c r="G22" s="24" t="inlineStr">
        <is>
          <t>Washington Mystics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-144</v>
      </c>
      <c r="M22" s="27" t="n">
        <v>1.694444</v>
      </c>
      <c r="N22" s="28" t="n">
        <v>0.590164</v>
      </c>
      <c r="O22" s="28" t="n">
        <v>0.532764</v>
      </c>
      <c r="P22" s="28" t="n"/>
      <c r="Q22" s="28" t="n">
        <v>-0.0574</v>
      </c>
      <c r="R22" s="26" t="n">
        <v>0</v>
      </c>
      <c r="S22" s="29" t="n">
        <v>1</v>
      </c>
      <c r="T22" s="24" t="inlineStr">
        <is>
          <t>wnba-elo-trend-lr-v4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Learned LR call at threshold 0.5001; executable ask 0.5900 (aec-wnba-dal-wsh-2026-08-05); model edge vs ask -0.0572. NOTE: NO_CALL_AVAILABILITY_REPORT_INCOMPLETE unavailable for this game — defaulted to neutral, other features used normally.</t>
        </is>
      </c>
      <c r="AF22" s="31" t="inlineStr">
        <is>
          <t>Learned model; shadow-qualified via operator override.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wnba-dal</t>
        </is>
      </c>
      <c r="AQ22" s="24" t="inlineStr">
        <is>
          <t>Dallas Wings</t>
        </is>
      </c>
      <c r="AR22" s="24" t="inlineStr">
        <is>
          <t>Dallas Wings</t>
        </is>
      </c>
      <c r="AS22" s="24" t="inlineStr">
        <is>
          <t>wnba-was</t>
        </is>
      </c>
      <c r="AT22" s="24" t="inlineStr">
        <is>
          <t>Washington Mystics</t>
        </is>
      </c>
      <c r="AU22" s="24" t="inlineStr">
        <is>
          <t>Washington Mystics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7afd5274214b58b7efd7f7febc7be3ab33b92351cda5cc6403c0a39faea0cc8c</t>
        </is>
      </c>
      <c r="BB22" s="24" t="inlineStr">
        <is>
          <t>learned_lr</t>
        </is>
      </c>
      <c r="BC22" s="24" t="inlineStr">
        <is>
          <t>wnba-elo-trend-lr-v4</t>
        </is>
      </c>
      <c r="BD22" s="24" t="inlineStr">
        <is>
          <t>7afd5274214b58b7efd7f7febc7be3ab33b92351cda5cc6403c0a39faea0cc8c</t>
        </is>
      </c>
      <c r="BE22" s="24" t="inlineStr">
        <is>
          <t>72f5694b0619f905</t>
        </is>
      </c>
      <c r="BF22" s="24" t="inlineStr">
        <is>
          <t>1</t>
        </is>
      </c>
      <c r="BG22" s="24" t="inlineStr">
        <is>
          <t>wnba-elo-trend-lr-v4</t>
        </is>
      </c>
      <c r="BH22" s="24" t="inlineStr">
        <is>
          <t>2026-08-05T04:34:04.826877Z</t>
        </is>
      </c>
      <c r="BI22" s="24" t="inlineStr">
        <is>
          <t>["same_event","same_team_same_day","same_league_same_day"]</t>
        </is>
      </c>
      <c r="BJ22" s="25" t="n"/>
      <c r="BK22" s="26" t="n">
        <v>-144</v>
      </c>
      <c r="BL22" s="27" t="n">
        <v>1.694444</v>
      </c>
      <c r="BM22" s="28" t="n">
        <v>0.590164</v>
      </c>
      <c r="BN22" s="28" t="n">
        <v>0.584158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0.4611418469</t>
        </is>
      </c>
      <c r="CD22" s="24" t="inlineStr">
        <is>
          <t>1.287558</t>
        </is>
      </c>
      <c r="CE22" s="24" t="n"/>
      <c r="CF22" s="24" t="n"/>
      <c r="CG22" s="24" t="n"/>
      <c r="CH22" s="24" t="n"/>
      <c r="CI22" s="24" t="inlineStr">
        <is>
          <t>NO_CALL_AVAILABILITY_REPORT_INCOMPLETE</t>
        </is>
      </c>
      <c r="CJ22" s="24" t="inlineStr">
        <is>
          <t>-1.305803</t>
        </is>
      </c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0.532764</t>
        </is>
      </c>
      <c r="CS22" s="24" t="inlineStr">
        <is>
          <t>False</t>
        </is>
      </c>
    </row>
    <row r="23" ht="36" customHeight="1">
      <c r="A23" s="24" t="inlineStr">
        <is>
          <t>36a1fc4448e649ce</t>
        </is>
      </c>
      <c r="B23" s="24" t="inlineStr">
        <is>
          <t>2026-08-05T04:35:50.664769Z</t>
        </is>
      </c>
      <c r="C23" s="24" t="inlineStr">
        <is>
          <t>2026-08-05T21:00:00-0400</t>
        </is>
      </c>
      <c r="D23" s="24" t="inlineStr">
        <is>
          <t>401857118</t>
        </is>
      </c>
      <c r="E23" s="24" t="inlineStr">
        <is>
          <t>WNBA</t>
        </is>
      </c>
      <c r="F23" s="24" t="inlineStr">
        <is>
          <t>Los Angeles Sparks</t>
        </is>
      </c>
      <c r="G23" s="24" t="inlineStr">
        <is>
          <t>Chicago Sky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-127</v>
      </c>
      <c r="M23" s="27" t="n">
        <v>1.787402</v>
      </c>
      <c r="N23" s="28" t="n">
        <v>0.5594710000000001</v>
      </c>
      <c r="O23" s="28" t="n">
        <v>0.549529</v>
      </c>
      <c r="P23" s="28" t="n"/>
      <c r="Q23" s="28" t="n">
        <v>-0.009941999999999999</v>
      </c>
      <c r="R23" s="26" t="n">
        <v>18</v>
      </c>
      <c r="S23" s="29" t="n">
        <v>1</v>
      </c>
      <c r="T23" s="24" t="inlineStr">
        <is>
          <t>wnba-elo-trend-lr-v4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Learned LR call at threshold 0.5001; executable ask 0.5600 (aec-wnba-la-chi-2026-08-05); model edge vs ask -0.0105. NOTE: NO_CALL_AVAILABILITY_REPORT_INCOMPLETE unavailable for this game — defaulted to neutral, other features used normally.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wnba-las</t>
        </is>
      </c>
      <c r="AQ23" s="24" t="inlineStr">
        <is>
          <t>Los Angeles Sparks</t>
        </is>
      </c>
      <c r="AR23" s="24" t="inlineStr">
        <is>
          <t>Los Angeles Sparks</t>
        </is>
      </c>
      <c r="AS23" s="24" t="inlineStr">
        <is>
          <t>wnba-chi</t>
        </is>
      </c>
      <c r="AT23" s="24" t="inlineStr">
        <is>
          <t>Chicago Sky</t>
        </is>
      </c>
      <c r="AU23" s="24" t="inlineStr">
        <is>
          <t>Chicago Sky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7afd5274214b58b7efd7f7febc7be3ab33b92351cda5cc6403c0a39faea0cc8c</t>
        </is>
      </c>
      <c r="BB23" s="24" t="inlineStr">
        <is>
          <t>learned_lr</t>
        </is>
      </c>
      <c r="BC23" s="24" t="inlineStr">
        <is>
          <t>wnba-elo-trend-lr-v4</t>
        </is>
      </c>
      <c r="BD23" s="24" t="inlineStr">
        <is>
          <t>7afd5274214b58b7efd7f7febc7be3ab33b92351cda5cc6403c0a39faea0cc8c</t>
        </is>
      </c>
      <c r="BE23" s="24" t="inlineStr">
        <is>
          <t>5cc21b269728431d</t>
        </is>
      </c>
      <c r="BF23" s="24" t="inlineStr">
        <is>
          <t>1</t>
        </is>
      </c>
      <c r="BG23" s="24" t="inlineStr">
        <is>
          <t>wnba-elo-trend-lr-v4</t>
        </is>
      </c>
      <c r="BH23" s="24" t="inlineStr">
        <is>
          <t>2026-08-05T04:34:05.642651Z</t>
        </is>
      </c>
      <c r="BI23" s="24" t="inlineStr">
        <is>
          <t>["same_event","same_team_same_day","same_league_same_day"]</t>
        </is>
      </c>
      <c r="BJ23" s="25" t="n"/>
      <c r="BK23" s="26" t="n">
        <v>-127</v>
      </c>
      <c r="BL23" s="27" t="n">
        <v>1.787402</v>
      </c>
      <c r="BM23" s="28" t="n">
        <v>0.5594710000000001</v>
      </c>
      <c r="BN23" s="28" t="n">
        <v>0.554455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0.573492291</t>
        </is>
      </c>
      <c r="CD23" s="24" t="inlineStr">
        <is>
          <t>3.024749</t>
        </is>
      </c>
      <c r="CE23" s="24" t="n"/>
      <c r="CF23" s="24" t="n"/>
      <c r="CG23" s="24" t="n"/>
      <c r="CH23" s="24" t="n"/>
      <c r="CI23" s="24" t="inlineStr">
        <is>
          <t>NO_CALL_AVAILABILITY_REPORT_INCOMPLETE</t>
        </is>
      </c>
      <c r="CJ23" s="24" t="inlineStr">
        <is>
          <t>2.235061</t>
        </is>
      </c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0.549529</t>
        </is>
      </c>
      <c r="CS23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2026-08-05T04:35:56Z</dcterms:created>
  <dcterms:modified xsi:type="dcterms:W3CDTF">2026-08-05T04:35:56Z</dcterms:modified>
</cp:coreProperties>
</file>