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9" headerRowCount="1">
  <autoFilter ref="A1:CS29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COUNTA('Picks'!$A$2:$A$29)</f>
        <v/>
      </c>
      <c r="C4" s="6">
        <f>COUNTIF('Picks'!$U$2:$U$29,"open")</f>
        <v/>
      </c>
      <c r="E4" s="6">
        <f>COUNTIF('Picks'!$U$2:$U$29,"settled")</f>
        <v/>
      </c>
      <c r="G4" s="6">
        <f>IF(COUNTIFS('Picks'!$U$2:$U$29,"settled",'Picks'!$V$2:$V$29,"win")+COUNTIFS('Picks'!$U$2:$U$29,"settled",'Picks'!$V$2:$V$29,"loss")&gt;=$L$2,"Ready","Insufficient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COUNTIF('Picks'!$BX$2:$BX$29,"&gt;0")</f>
        <v/>
      </c>
      <c r="C7" s="6">
        <f>COUNTIFS('Picks'!$BX$2:$BX$29,"&gt;0",'Picks'!$V$2:$V$29,"win")&amp;"-"&amp;COUNTIFS('Picks'!$BX$2:$BX$29,"&gt;0",'Picks'!$V$2:$V$29,"loss")</f>
        <v/>
      </c>
      <c r="E7" s="7">
        <f>IFERROR(COUNTIFS('Picks'!$BX$2:$BX$29,"&gt;0",'Picks'!$V$2:$V$29,"win")/(COUNTIFS('Picks'!$BX$2:$BX$29,"&gt;0",'Picks'!$V$2:$V$29,"win")+COUNTIFS('Picks'!$BX$2:$BX$29,"&gt;0",'Picks'!$V$2:$V$29,"loss")),0)</f>
        <v/>
      </c>
      <c r="G7" s="7">
        <f>IFERROR(SUM('Picks'!$BY$2:$BY$29)/SUM('Picks'!$BX$2:$BX$29),0)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SUM('Picks'!$BY$2:$BY$29)</f>
        <v/>
      </c>
      <c r="C10" s="9">
        <f>IFERROR(AVERAGEIF('Picks'!$AB$2:$AB$29,"&lt;&gt;",'Picks'!$AB$2:$AB$29),0)</f>
        <v/>
      </c>
      <c r="E10" s="6">
        <f>COUNTIFS('Picks'!$AM$2:$AM$29,"QUALIFIED_SHADOW_CALL",'Picks'!$U$2:$U$29,"settled")</f>
        <v/>
      </c>
      <c r="G10" s="8">
        <f>SUMIFS('Picks'!$AC$2:$AC$29,'Picks'!$AM$2:$AM$29,"QUALIFIED_SHADOW_CALL")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COUNTIFS('Picks'!$H$2:$H$29,$A14,'Picks'!$U$2:$U$29,"settled")</f>
        <v/>
      </c>
      <c r="C14" s="13">
        <f>COUNTIFS('Picks'!$H$2:$H$29,$A14,'Picks'!$U$2:$U$29,"settled",'Picks'!$V$2:$V$29,"win")</f>
        <v/>
      </c>
      <c r="D14" s="13">
        <f>COUNTIFS('Picks'!$H$2:$H$29,$A14,'Picks'!$U$2:$U$29,"settled",'Picks'!$V$2:$V$29,"loss")</f>
        <v/>
      </c>
      <c r="E14" s="14">
        <f>IFERROR(C14/(C14+D14),0)</f>
        <v/>
      </c>
      <c r="F14" s="15">
        <f>SUMIFS('Picks'!$BY$2:$BY$29,'Picks'!$H$2:$H$29,$A14)</f>
        <v/>
      </c>
      <c r="G14" s="16">
        <f>IFERROR(AVERAGEIFS('Picks'!$AB$2:$AB$29,'Picks'!$H$2:$H$29,$A14,'Picks'!$U$2:$U$29,"settled"),0)</f>
        <v/>
      </c>
    </row>
    <row r="15">
      <c r="A15" s="17" t="inlineStr">
        <is>
          <t>spread</t>
        </is>
      </c>
      <c r="B15" s="18">
        <f>COUNTIFS('Picks'!$H$2:$H$29,$A15,'Picks'!$U$2:$U$29,"settled")</f>
        <v/>
      </c>
      <c r="C15" s="18">
        <f>COUNTIFS('Picks'!$H$2:$H$29,$A15,'Picks'!$U$2:$U$29,"settled",'Picks'!$V$2:$V$29,"win")</f>
        <v/>
      </c>
      <c r="D15" s="18">
        <f>COUNTIFS('Picks'!$H$2:$H$29,$A15,'Picks'!$U$2:$U$29,"settled",'Picks'!$V$2:$V$29,"loss")</f>
        <v/>
      </c>
      <c r="E15" s="19">
        <f>IFERROR(C15/(C15+D15),0)</f>
        <v/>
      </c>
      <c r="F15" s="20">
        <f>SUMIFS('Picks'!$BY$2:$BY$29,'Picks'!$H$2:$H$29,$A15)</f>
        <v/>
      </c>
      <c r="G15" s="21">
        <f>IFERROR(AVERAGEIFS('Picks'!$AB$2:$AB$29,'Picks'!$H$2:$H$29,$A15,'Picks'!$U$2:$U$29,"settled"),0)</f>
        <v/>
      </c>
    </row>
    <row r="16">
      <c r="A16" s="12" t="inlineStr">
        <is>
          <t>total</t>
        </is>
      </c>
      <c r="B16" s="13">
        <f>COUNTIFS('Picks'!$H$2:$H$29,$A16,'Picks'!$U$2:$U$29,"settled")</f>
        <v/>
      </c>
      <c r="C16" s="13">
        <f>COUNTIFS('Picks'!$H$2:$H$29,$A16,'Picks'!$U$2:$U$29,"settled",'Picks'!$V$2:$V$29,"win")</f>
        <v/>
      </c>
      <c r="D16" s="13">
        <f>COUNTIFS('Picks'!$H$2:$H$29,$A16,'Picks'!$U$2:$U$29,"settled",'Picks'!$V$2:$V$29,"loss")</f>
        <v/>
      </c>
      <c r="E16" s="14">
        <f>IFERROR(C16/(C16+D16),0)</f>
        <v/>
      </c>
      <c r="F16" s="15">
        <f>SUMIFS('Picks'!$BY$2:$BY$29,'Picks'!$H$2:$H$29,$A16)</f>
        <v/>
      </c>
      <c r="G16" s="16">
        <f>IFERROR(AVERAGEIFS('Picks'!$AB$2:$AB$29,'Picks'!$H$2:$H$29,$A16,'Picks'!$U$2:$U$29,"settled"),0)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744b52ceb7314514</t>
        </is>
      </c>
      <c r="B4" s="24" t="inlineStr">
        <is>
          <t>2026-07-30T21:07:38.996144Z</t>
        </is>
      </c>
      <c r="C4" s="24" t="inlineStr">
        <is>
          <t>2026-07-30T20:00:00-0400</t>
        </is>
      </c>
      <c r="D4" s="24" t="inlineStr">
        <is>
          <t>401857099</t>
        </is>
      </c>
      <c r="E4" s="24" t="inlineStr">
        <is>
          <t>WNBA</t>
        </is>
      </c>
      <c r="F4" s="24" t="inlineStr">
        <is>
          <t>Minnesota Lynx</t>
        </is>
      </c>
      <c r="G4" s="24" t="inlineStr">
        <is>
          <t>Toronto Tempo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-614</v>
      </c>
      <c r="M4" s="27" t="n">
        <v>1.162866</v>
      </c>
      <c r="N4" s="28" t="n">
        <v>0.859944</v>
      </c>
      <c r="O4" s="28" t="n">
        <v>0.750119</v>
      </c>
      <c r="P4" s="28" t="n"/>
      <c r="Q4" s="28" t="n">
        <v>-0.109825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104</v>
      </c>
      <c r="X4" s="26" t="n">
        <v>72</v>
      </c>
      <c r="Y4" s="25" t="n"/>
      <c r="Z4" s="26" t="n"/>
      <c r="AA4" s="28" t="n"/>
      <c r="AB4" s="28" t="n"/>
      <c r="AC4" s="30" t="n">
        <v>0.3257</v>
      </c>
      <c r="AD4" s="24" t="inlineStr">
        <is>
          <t>2026-07-31T04:29:17.777628Z</t>
        </is>
      </c>
      <c r="AE4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wnba-min</t>
        </is>
      </c>
      <c r="AQ4" s="24" t="inlineStr">
        <is>
          <t>Minnesota Lynx</t>
        </is>
      </c>
      <c r="AR4" s="24" t="inlineStr">
        <is>
          <t>Minnesota Lynx</t>
        </is>
      </c>
      <c r="AS4" s="24" t="inlineStr">
        <is>
          <t>wnba-tor</t>
        </is>
      </c>
      <c r="AT4" s="24" t="inlineStr">
        <is>
          <t>Toronto Tempo</t>
        </is>
      </c>
      <c r="AU4" s="24" t="inlineStr">
        <is>
          <t>Toronto Tempo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a8d16f9be486f04d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2026-07-30T21:07:16.651071Z</t>
        </is>
      </c>
      <c r="BI4" s="24" t="inlineStr">
        <is>
          <t>["same_event","same_team_same_day","same_league_same_day"]</t>
        </is>
      </c>
      <c r="BJ4" s="25" t="n"/>
      <c r="BK4" s="26" t="n">
        <v>-614</v>
      </c>
      <c r="BL4" s="27" t="n">
        <v>1.162866</v>
      </c>
      <c r="BM4" s="28" t="n">
        <v>0.859944</v>
      </c>
      <c r="BN4" s="28" t="n">
        <v>0.851485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0.1447442732</t>
        </is>
      </c>
      <c r="CD4" s="24" t="inlineStr">
        <is>
          <t>-5.213719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a4fd557587d84dcb</t>
        </is>
      </c>
      <c r="B5" s="24" t="inlineStr">
        <is>
          <t>2026-07-30T21:07:38.996144Z</t>
        </is>
      </c>
      <c r="C5" s="24" t="inlineStr">
        <is>
          <t>2026-07-30T20:00:00-0400</t>
        </is>
      </c>
      <c r="D5" s="24" t="inlineStr">
        <is>
          <t>401857100</t>
        </is>
      </c>
      <c r="E5" s="24" t="inlineStr">
        <is>
          <t>WNBA</t>
        </is>
      </c>
      <c r="F5" s="24" t="inlineStr">
        <is>
          <t>Connecticut Sun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0.670401</v>
      </c>
      <c r="P5" s="28" t="n"/>
      <c r="Q5" s="28" t="n">
        <v>0.010537</v>
      </c>
      <c r="R5" s="26" t="n">
        <v>28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88</v>
      </c>
      <c r="X5" s="26" t="n">
        <v>94</v>
      </c>
      <c r="Y5" s="25" t="n"/>
      <c r="Z5" s="26" t="n"/>
      <c r="AA5" s="28" t="n"/>
      <c r="AB5" s="28" t="n"/>
      <c r="AC5" s="30" t="n">
        <v>1.0309</v>
      </c>
      <c r="AD5" s="24" t="inlineStr">
        <is>
          <t>2026-07-31T04:29:17.882357Z</t>
        </is>
      </c>
      <c r="AE5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wnba-con</t>
        </is>
      </c>
      <c r="AQ5" s="24" t="inlineStr">
        <is>
          <t>Connecticut Sun</t>
        </is>
      </c>
      <c r="AR5" s="24" t="inlineStr">
        <is>
          <t>Connecticut Sun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de1d675da66b275e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2026-07-30T21:07:18.309580Z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>
        <v>0.653465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0.6616868073</t>
        </is>
      </c>
      <c r="CD5" s="24" t="inlineStr">
        <is>
          <t>5.467445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429571844f70423e</t>
        </is>
      </c>
      <c r="B6" s="24" t="inlineStr">
        <is>
          <t>2026-07-31T00:56:17.350684Z</t>
        </is>
      </c>
      <c r="C6" s="24" t="inlineStr">
        <is>
          <t>2026-07-30T22:00:00-0400</t>
        </is>
      </c>
      <c r="D6" s="24" t="inlineStr">
        <is>
          <t>401857101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Las Vegas Aces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0.615328</v>
      </c>
      <c r="P6" s="28" t="n"/>
      <c r="Q6" s="28" t="n">
        <v>-0.02496</v>
      </c>
      <c r="R6" s="26" t="n">
        <v>11</v>
      </c>
      <c r="S6" s="29" t="n">
        <v>1.75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99</v>
      </c>
      <c r="X6" s="26" t="n">
        <v>104</v>
      </c>
      <c r="Y6" s="25" t="n"/>
      <c r="Z6" s="26" t="n"/>
      <c r="AA6" s="28" t="n"/>
      <c r="AB6" s="28" t="n"/>
      <c r="AC6" s="30" t="n">
        <v>0.9831</v>
      </c>
      <c r="AD6" s="24" t="inlineStr">
        <is>
          <t>2026-07-31T04:29:18.625735Z</t>
        </is>
      </c>
      <c r="AE6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wnba-lva</t>
        </is>
      </c>
      <c r="AT6" s="24" t="inlineStr">
        <is>
          <t>Las Vegas Aces</t>
        </is>
      </c>
      <c r="AU6" s="24" t="inlineStr">
        <is>
          <t>Las Vegas Aces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181554924d3d25f6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2026-07-31T00:56:07.048062Z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0.6511069872</t>
        </is>
      </c>
      <c r="CD6" s="24" t="inlineStr">
        <is>
          <t>-4.276653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18e5ba2aaf884ddf</t>
        </is>
      </c>
      <c r="B7" s="24" t="inlineStr">
        <is>
          <t>2026-07-31T23:29:42.171549Z</t>
        </is>
      </c>
      <c r="C7" s="24" t="inlineStr">
        <is>
          <t>2026-07-31T19:30:00-0400</t>
        </is>
      </c>
      <c r="D7" s="24" t="inlineStr">
        <is>
          <t>401857102</t>
        </is>
      </c>
      <c r="E7" s="24" t="inlineStr">
        <is>
          <t>WNBA</t>
        </is>
      </c>
      <c r="F7" s="24" t="inlineStr">
        <is>
          <t>Seattle Storm</t>
        </is>
      </c>
      <c r="G7" s="24" t="inlineStr">
        <is>
          <t>Atlanta Dream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-525</v>
      </c>
      <c r="M7" s="27" t="n">
        <v>1.190476</v>
      </c>
      <c r="N7" s="28" t="n">
        <v>0.84</v>
      </c>
      <c r="O7" s="28" t="n">
        <v>0.737046</v>
      </c>
      <c r="P7" s="28" t="n"/>
      <c r="Q7" s="28" t="n">
        <v>-0.102954</v>
      </c>
      <c r="R7" s="26" t="n">
        <v>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win</t>
        </is>
      </c>
      <c r="W7" s="26" t="n">
        <v>89</v>
      </c>
      <c r="X7" s="26" t="n">
        <v>98</v>
      </c>
      <c r="Y7" s="25" t="n"/>
      <c r="Z7" s="26" t="n"/>
      <c r="AA7" s="28" t="n"/>
      <c r="AB7" s="28" t="n"/>
      <c r="AC7" s="30" t="n">
        <v>0.381</v>
      </c>
      <c r="AD7" s="24" t="inlineStr">
        <is>
          <t>2026-08-01T02:59:57.929008Z</t>
        </is>
      </c>
      <c r="AE7" s="31" t="inlineStr">
        <is>
          <t>Learned LR call at threshold 0.5001; executable ask 0.8400 (aec-wnba-sea-atl-2026-07-31); model edge vs ask -0.1030.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wnba-sea</t>
        </is>
      </c>
      <c r="AQ7" s="24" t="inlineStr">
        <is>
          <t>Seattle Storm</t>
        </is>
      </c>
      <c r="AR7" s="24" t="inlineStr">
        <is>
          <t>Seattle Storm</t>
        </is>
      </c>
      <c r="AS7" s="24" t="inlineStr">
        <is>
          <t>wnba-atl</t>
        </is>
      </c>
      <c r="AT7" s="24" t="inlineStr">
        <is>
          <t>Atlanta Dream</t>
        </is>
      </c>
      <c r="AU7" s="24" t="inlineStr">
        <is>
          <t>Atlanta Dream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8fdca19bc32f576a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2026-07-31T23:29:25.425390Z</t>
        </is>
      </c>
      <c r="BI7" s="24" t="inlineStr">
        <is>
          <t>["same_event","same_team_same_day","same_league_same_day"]</t>
        </is>
      </c>
      <c r="BJ7" s="25" t="n"/>
      <c r="BK7" s="26" t="n">
        <v>-525</v>
      </c>
      <c r="BL7" s="27" t="n">
        <v>1.190476</v>
      </c>
      <c r="BM7" s="28" t="n">
        <v>0.84</v>
      </c>
      <c r="BN7" s="28" t="n">
        <v>0.831683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0.821319619</t>
        </is>
      </c>
      <c r="CD7" s="24" t="inlineStr">
        <is>
          <t>-5.618671</t>
        </is>
      </c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06a3a214f14c43bf</t>
        </is>
      </c>
      <c r="B8" s="24" t="inlineStr">
        <is>
          <t>2026-07-31T23:29:42.171549Z</t>
        </is>
      </c>
      <c r="C8" s="24" t="inlineStr">
        <is>
          <t>2026-07-31T19:30:00-0400</t>
        </is>
      </c>
      <c r="D8" s="24" t="inlineStr">
        <is>
          <t>401857103</t>
        </is>
      </c>
      <c r="E8" s="24" t="inlineStr">
        <is>
          <t>WNBA</t>
        </is>
      </c>
      <c r="F8" s="24" t="inlineStr">
        <is>
          <t>Dallas Wings</t>
        </is>
      </c>
      <c r="G8" s="24" t="inlineStr">
        <is>
          <t>Washington Mystics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0.575648</v>
      </c>
      <c r="P8" s="28" t="n"/>
      <c r="Q8" s="28" t="n">
        <v>-0.024352</v>
      </c>
      <c r="R8" s="26" t="n">
        <v>11</v>
      </c>
      <c r="S8" s="29" t="n">
        <v>1.25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75</v>
      </c>
      <c r="X8" s="26" t="n">
        <v>81</v>
      </c>
      <c r="Y8" s="25" t="n"/>
      <c r="Z8" s="26" t="n"/>
      <c r="AA8" s="28" t="n"/>
      <c r="AB8" s="28" t="n"/>
      <c r="AC8" s="30" t="n">
        <v>-1.25</v>
      </c>
      <c r="AD8" s="24" t="inlineStr">
        <is>
          <t>2026-08-01T02:59:58.085221Z</t>
        </is>
      </c>
      <c r="AE8" s="31" t="inlineStr">
        <is>
          <t>Learned LR call at threshold 0.5001; executable ask 0.6000 (aec-wnba-dal-wsh-2026-07-31); model edge vs ask -0.0244.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wnba-dal</t>
        </is>
      </c>
      <c r="AQ8" s="24" t="inlineStr">
        <is>
          <t>Dallas Wings</t>
        </is>
      </c>
      <c r="AR8" s="24" t="inlineStr">
        <is>
          <t>Dallas Wings</t>
        </is>
      </c>
      <c r="AS8" s="24" t="inlineStr">
        <is>
          <t>wnba-was</t>
        </is>
      </c>
      <c r="AT8" s="24" t="inlineStr">
        <is>
          <t>Washington Mystics</t>
        </is>
      </c>
      <c r="AU8" s="24" t="inlineStr">
        <is>
          <t>Washington Mystics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0f848d940ea26816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2026-07-31T23:29:26.294036Z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>
        <v>0.594059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0.4036949453</t>
        </is>
      </c>
      <c r="CD8" s="24" t="inlineStr">
        <is>
          <t>-0.615194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0bea4ee624e94da7</t>
        </is>
      </c>
      <c r="B9" s="24" t="inlineStr">
        <is>
          <t>2026-07-31T23:29:42.171549Z</t>
        </is>
      </c>
      <c r="C9" s="24" t="inlineStr">
        <is>
          <t>2026-07-31T22:00:00-0400</t>
        </is>
      </c>
      <c r="D9" s="24" t="inlineStr">
        <is>
          <t>401857104</t>
        </is>
      </c>
      <c r="E9" s="24" t="inlineStr">
        <is>
          <t>WNBA</t>
        </is>
      </c>
      <c r="F9" s="24" t="inlineStr">
        <is>
          <t>Indiana Fever</t>
        </is>
      </c>
      <c r="G9" s="24" t="inlineStr">
        <is>
          <t>Portland Fire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-300</v>
      </c>
      <c r="M9" s="27" t="n">
        <v>1.333333</v>
      </c>
      <c r="N9" s="28" t="n">
        <v>0.75</v>
      </c>
      <c r="O9" s="28" t="n">
        <v>0.650826</v>
      </c>
      <c r="P9" s="28" t="n"/>
      <c r="Q9" s="28" t="n">
        <v>-0.099174</v>
      </c>
      <c r="R9" s="26" t="n">
        <v>0</v>
      </c>
      <c r="S9" s="29" t="n">
        <v>1.75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112</v>
      </c>
      <c r="X9" s="26" t="n">
        <v>98</v>
      </c>
      <c r="Y9" s="25" t="n"/>
      <c r="Z9" s="26" t="n"/>
      <c r="AA9" s="28" t="n"/>
      <c r="AB9" s="28" t="n"/>
      <c r="AC9" s="30" t="n">
        <v>0.5833</v>
      </c>
      <c r="AD9" s="24" t="inlineStr">
        <is>
          <t>2026-08-01T05:33:36.879084Z</t>
        </is>
      </c>
      <c r="AE9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wnba-ind</t>
        </is>
      </c>
      <c r="AQ9" s="24" t="inlineStr">
        <is>
          <t>Indiana Fever</t>
        </is>
      </c>
      <c r="AR9" s="24" t="inlineStr">
        <is>
          <t>Indiana Fever</t>
        </is>
      </c>
      <c r="AS9" s="24" t="inlineStr">
        <is>
          <t>wnba-por</t>
        </is>
      </c>
      <c r="AT9" s="24" t="inlineStr">
        <is>
          <t>Portland Fire</t>
        </is>
      </c>
      <c r="AU9" s="24" t="inlineStr">
        <is>
          <t>Portland Fire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bcb9c02760c21728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2026-07-31T23:29:27.325378Z</t>
        </is>
      </c>
      <c r="BI9" s="24" t="inlineStr">
        <is>
          <t>["same_event","same_team_same_day","same_league_same_day"]</t>
        </is>
      </c>
      <c r="BJ9" s="25" t="n"/>
      <c r="BK9" s="26" t="n">
        <v>-300</v>
      </c>
      <c r="BL9" s="27" t="n">
        <v>1.333333</v>
      </c>
      <c r="BM9" s="28" t="n">
        <v>0.75</v>
      </c>
      <c r="BN9" s="28" t="n">
        <v>0.742574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0.2910587699</t>
        </is>
      </c>
      <c r="CD9" s="24" t="inlineStr">
        <is>
          <t>-7.416658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2c06cda7ea4b4a18</t>
        </is>
      </c>
      <c r="B10" s="24" t="inlineStr">
        <is>
          <t>2026-08-01T16:50:21.394933Z</t>
        </is>
      </c>
      <c r="C10" s="24" t="inlineStr">
        <is>
          <t>2026-08-01T13:00:00-0400</t>
        </is>
      </c>
      <c r="D10" s="24" t="inlineStr">
        <is>
          <t>401857105</t>
        </is>
      </c>
      <c r="E10" s="24" t="inlineStr">
        <is>
          <t>WNBA</t>
        </is>
      </c>
      <c r="F10" s="24" t="inlineStr">
        <is>
          <t>Las Vegas Aces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-245</v>
      </c>
      <c r="M10" s="27" t="n">
        <v>1.408163</v>
      </c>
      <c r="N10" s="28" t="n">
        <v>0.710145</v>
      </c>
      <c r="O10" s="28" t="n">
        <v>0.646163</v>
      </c>
      <c r="P10" s="28" t="n"/>
      <c r="Q10" s="28" t="n">
        <v>-0.063982</v>
      </c>
      <c r="R10" s="26" t="n">
        <v>0</v>
      </c>
      <c r="S10" s="29" t="n">
        <v>1.75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loss</t>
        </is>
      </c>
      <c r="W10" s="26" t="n">
        <v>83</v>
      </c>
      <c r="X10" s="26" t="n">
        <v>84</v>
      </c>
      <c r="Y10" s="25" t="n"/>
      <c r="Z10" s="26" t="n"/>
      <c r="AA10" s="28" t="n"/>
      <c r="AB10" s="28" t="n"/>
      <c r="AC10" s="30" t="n">
        <v>-1.75</v>
      </c>
      <c r="AD10" s="24" t="inlineStr">
        <is>
          <t>2026-08-01T20:13:03.864714Z</t>
        </is>
      </c>
      <c r="AE10" s="31" t="inlineStr">
        <is>
          <t>Learned LR call at threshold 0.5001; executable ask 0.7100 (aec-wnba-lv-chi-2026-08-01); model edge vs ask -0.0638.</t>
        </is>
      </c>
      <c r="AF10" s="31" t="inlineStr">
        <is>
          <t>Learned model; shadow-qualified via operator override.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wnba-lva</t>
        </is>
      </c>
      <c r="AQ10" s="24" t="inlineStr">
        <is>
          <t>Las Vegas Aces</t>
        </is>
      </c>
      <c r="AR10" s="24" t="inlineStr">
        <is>
          <t>Las Vegas Aces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51a2c72f2e141b8b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2026-08-01T16:49:04.221920Z</t>
        </is>
      </c>
      <c r="BI10" s="24" t="inlineStr">
        <is>
          <t>["same_event","same_team_same_day","same_league_same_day"]</t>
        </is>
      </c>
      <c r="BJ10" s="25" t="n"/>
      <c r="BK10" s="26" t="n">
        <v>-245</v>
      </c>
      <c r="BL10" s="27" t="n">
        <v>1.408163</v>
      </c>
      <c r="BM10" s="28" t="n">
        <v>0.710145</v>
      </c>
      <c r="BN10" s="28" t="n">
        <v>0.70297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0.317202935</t>
        </is>
      </c>
      <c r="CD10" s="24" t="inlineStr">
        <is>
          <t>4.001837</t>
        </is>
      </c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b5171488f8674c06</t>
        </is>
      </c>
      <c r="B11" s="24" t="inlineStr">
        <is>
          <t>2026-08-01T18:37:44.379324Z</t>
        </is>
      </c>
      <c r="C11" s="24" t="inlineStr">
        <is>
          <t>2026-08-01T15:00:00-0400</t>
        </is>
      </c>
      <c r="D11" s="24" t="inlineStr">
        <is>
          <t>401857106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Phoenix Mercury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0.568764</v>
      </c>
      <c r="P11" s="28" t="n"/>
      <c r="Q11" s="28" t="n">
        <v>-0.0214</v>
      </c>
      <c r="R11" s="26" t="n">
        <v>12</v>
      </c>
      <c r="S11" s="29" t="n">
        <v>1.25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94</v>
      </c>
      <c r="X11" s="26" t="n">
        <v>92</v>
      </c>
      <c r="Y11" s="25" t="n"/>
      <c r="Z11" s="26" t="n"/>
      <c r="AA11" s="28" t="n"/>
      <c r="AB11" s="28" t="n"/>
      <c r="AC11" s="30" t="n">
        <v>0.8681</v>
      </c>
      <c r="AD11" s="24" t="inlineStr">
        <is>
          <t>2026-08-01T21:25:16.611294Z</t>
        </is>
      </c>
      <c r="AE11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wnba-phx</t>
        </is>
      </c>
      <c r="AT11" s="24" t="inlineStr">
        <is>
          <t>Phoenix Mercury</t>
        </is>
      </c>
      <c r="AU11" s="24" t="inlineStr">
        <is>
          <t>Phoenix Mercury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bbef9e1b90cf700b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2026-08-01T18:36:36.294824Z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>
        <v>0.584158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0.4080094464</t>
        </is>
      </c>
      <c r="CD11" s="24" t="inlineStr">
        <is>
          <t>-5.162465</t>
        </is>
      </c>
      <c r="CE11" s="24" t="n"/>
      <c r="CF11" s="24" t="n"/>
      <c r="CG11" s="24" t="n"/>
      <c r="CH11" s="24" t="n"/>
      <c r="CI11" s="24" t="inlineStr">
        <is>
          <t>NO_CALL_AVAILABILITY_PLAYER_UNMAPPED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f34743eccf0143a3</t>
        </is>
      </c>
      <c r="B12" s="24" t="inlineStr">
        <is>
          <t>2026-08-02T16:48:43.908788Z</t>
        </is>
      </c>
      <c r="C12" s="24" t="inlineStr">
        <is>
          <t>2026-08-02T13:00:00-0400</t>
        </is>
      </c>
      <c r="D12" s="24" t="inlineStr">
        <is>
          <t>401857107</t>
        </is>
      </c>
      <c r="E12" s="24" t="inlineStr">
        <is>
          <t>WNBA</t>
        </is>
      </c>
      <c r="F12" s="24" t="inlineStr">
        <is>
          <t>Indiana Fever</t>
        </is>
      </c>
      <c r="G12" s="24" t="inlineStr">
        <is>
          <t>Minnesota Lynx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-186</v>
      </c>
      <c r="M12" s="27" t="n">
        <v>1.537634</v>
      </c>
      <c r="N12" s="28" t="n">
        <v>0.65035</v>
      </c>
      <c r="O12" s="28" t="n">
        <v>0.643489</v>
      </c>
      <c r="P12" s="28" t="n"/>
      <c r="Q12" s="28" t="n">
        <v>-0.006861</v>
      </c>
      <c r="R12" s="26" t="n">
        <v>20</v>
      </c>
      <c r="S12" s="29" t="n">
        <v>1.5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100</v>
      </c>
      <c r="X12" s="26" t="n">
        <v>108</v>
      </c>
      <c r="Y12" s="25" t="n"/>
      <c r="Z12" s="26" t="n"/>
      <c r="AA12" s="28" t="n"/>
      <c r="AB12" s="28" t="n"/>
      <c r="AC12" s="30" t="n">
        <v>0.8065</v>
      </c>
      <c r="AD12" s="24" t="inlineStr">
        <is>
          <t>2026-08-02T19:26:21.579065Z</t>
        </is>
      </c>
      <c r="AE12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wnba-ind</t>
        </is>
      </c>
      <c r="AQ12" s="24" t="inlineStr">
        <is>
          <t>Indiana Fever</t>
        </is>
      </c>
      <c r="AR12" s="24" t="inlineStr">
        <is>
          <t>Indiana Fever</t>
        </is>
      </c>
      <c r="AS12" s="24" t="inlineStr">
        <is>
          <t>wnba-min</t>
        </is>
      </c>
      <c r="AT12" s="24" t="inlineStr">
        <is>
          <t>Minnesota Lynx</t>
        </is>
      </c>
      <c r="AU12" s="24" t="inlineStr">
        <is>
          <t>Minnesota Lynx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cb6d856341c7efe7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2026-08-02T16:47:30.539614Z</t>
        </is>
      </c>
      <c r="BI12" s="24" t="inlineStr">
        <is>
          <t>["same_event","same_team_same_day","same_league_same_day"]</t>
        </is>
      </c>
      <c r="BJ12" s="25" t="n"/>
      <c r="BK12" s="26" t="n">
        <v>-186</v>
      </c>
      <c r="BL12" s="27" t="n">
        <v>1.537634</v>
      </c>
      <c r="BM12" s="28" t="n">
        <v>0.65035</v>
      </c>
      <c r="BN12" s="28" t="n">
        <v>0.643564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0.6810434571</t>
        </is>
      </c>
      <c r="CD12" s="24" t="inlineStr">
        <is>
          <t>-4.330577</t>
        </is>
      </c>
      <c r="CE12" s="24" t="n"/>
      <c r="CF12" s="24" t="n"/>
      <c r="CG12" s="24" t="n"/>
      <c r="CH12" s="24" t="n"/>
      <c r="CI12" s="24" t="inlineStr">
        <is>
          <t>NO_CALL_AVAILABILITY_PLAYER_UNMAPPED</t>
        </is>
      </c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0.643489</t>
        </is>
      </c>
      <c r="CS12" s="24" t="inlineStr">
        <is>
          <t>0</t>
        </is>
      </c>
    </row>
    <row r="13" ht="36" customHeight="1">
      <c r="A13" s="24" t="inlineStr">
        <is>
          <t>ba9a9375ccd94ae2</t>
        </is>
      </c>
      <c r="B13" s="24" t="inlineStr">
        <is>
          <t>2026-08-02T19:28:41.982598Z</t>
        </is>
      </c>
      <c r="C13" s="24" t="inlineStr">
        <is>
          <t>2026-08-02T15:30:00-0400</t>
        </is>
      </c>
      <c r="D13" s="24" t="inlineStr">
        <is>
          <t>401857108</t>
        </is>
      </c>
      <c r="E13" s="24" t="inlineStr">
        <is>
          <t>WNBA</t>
        </is>
      </c>
      <c r="F13" s="24" t="inlineStr">
        <is>
          <t>Los Angeles Sparks</t>
        </is>
      </c>
      <c r="G13" s="24" t="inlineStr">
        <is>
          <t>Portland Fire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0.490196</v>
      </c>
      <c r="O13" s="28" t="n">
        <v>0.57112</v>
      </c>
      <c r="P13" s="28" t="n"/>
      <c r="Q13" s="28" t="n">
        <v>0.080924</v>
      </c>
      <c r="R13" s="26" t="n">
        <v>63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106</v>
      </c>
      <c r="X13" s="26" t="n">
        <v>101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2026-08-02T23:11:53.720458Z</t>
        </is>
      </c>
      <c r="AE13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wnba-las</t>
        </is>
      </c>
      <c r="AQ13" s="24" t="inlineStr">
        <is>
          <t>Los Angeles Sparks</t>
        </is>
      </c>
      <c r="AR13" s="24" t="inlineStr">
        <is>
          <t>Los Angeles Sparks</t>
        </is>
      </c>
      <c r="AS13" s="24" t="inlineStr">
        <is>
          <t>wnba-por</t>
        </is>
      </c>
      <c r="AT13" s="24" t="inlineStr">
        <is>
          <t>Portland Fire</t>
        </is>
      </c>
      <c r="AU13" s="24" t="inlineStr">
        <is>
          <t>Portland Fire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58d7c01d51192db8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2026-08-02T19:27:38.881123Z</t>
        </is>
      </c>
      <c r="BI13" s="24" t="inlineStr">
        <is>
          <t>["same_event","same_team_same_day","same_league_same_day"]</t>
        </is>
      </c>
      <c r="BJ13" s="25" t="n"/>
      <c r="BK13" s="26" t="n">
        <v>104</v>
      </c>
      <c r="BL13" s="27" t="n">
        <v>2.04</v>
      </c>
      <c r="BM13" s="28" t="n">
        <v>0.490196</v>
      </c>
      <c r="BN13" s="28" t="n">
        <v>0.485149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0.5937045717</t>
        </is>
      </c>
      <c r="CD13" s="24" t="inlineStr">
        <is>
          <t>-1.420483</t>
        </is>
      </c>
      <c r="CE13" s="24" t="n"/>
      <c r="CF13" s="24" t="n"/>
      <c r="CG13" s="24" t="n"/>
      <c r="CH13" s="24" t="n"/>
      <c r="CI13" s="24" t="inlineStr">
        <is>
          <t>NO_CALL_AVAILABILITY_PLAYER_UNMAPPED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inlineStr">
        <is>
          <t>0.57112</t>
        </is>
      </c>
      <c r="CS13" s="24" t="inlineStr">
        <is>
          <t>True</t>
        </is>
      </c>
    </row>
    <row r="14" ht="36" customHeight="1">
      <c r="A14" s="24" t="inlineStr">
        <is>
          <t>2f3026f2ebce4ef9</t>
        </is>
      </c>
      <c r="B14" s="24" t="inlineStr">
        <is>
          <t>2026-08-02T19:28:41.982598Z</t>
        </is>
      </c>
      <c r="C14" s="24" t="inlineStr">
        <is>
          <t>2026-08-02T19:00:00-0400</t>
        </is>
      </c>
      <c r="D14" s="24" t="inlineStr">
        <is>
          <t>401857109</t>
        </is>
      </c>
      <c r="E14" s="24" t="inlineStr">
        <is>
          <t>WNBA</t>
        </is>
      </c>
      <c r="F14" s="24" t="inlineStr">
        <is>
          <t>Connecticut Sun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-488</v>
      </c>
      <c r="M14" s="27" t="n">
        <v>1.204918</v>
      </c>
      <c r="N14" s="28" t="n">
        <v>0.829932</v>
      </c>
      <c r="O14" s="28" t="n">
        <v>0.758559</v>
      </c>
      <c r="P14" s="28" t="n"/>
      <c r="Q14" s="28" t="n">
        <v>-0.07137300000000001</v>
      </c>
      <c r="R14" s="26" t="n">
        <v>0</v>
      </c>
      <c r="S14" s="29" t="n">
        <v>2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63</v>
      </c>
      <c r="X14" s="26" t="n">
        <v>83</v>
      </c>
      <c r="Y14" s="25" t="n"/>
      <c r="Z14" s="26" t="n"/>
      <c r="AA14" s="28" t="n"/>
      <c r="AB14" s="28" t="n"/>
      <c r="AC14" s="30" t="n">
        <v>0.4098</v>
      </c>
      <c r="AD14" s="24" t="inlineStr">
        <is>
          <t>2026-08-03T02:33:58.703211Z</t>
        </is>
      </c>
      <c r="AE14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wnba-con</t>
        </is>
      </c>
      <c r="AQ14" s="24" t="inlineStr">
        <is>
          <t>Connecticut Sun</t>
        </is>
      </c>
      <c r="AR14" s="24" t="inlineStr">
        <is>
          <t>Connecticut Sun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9c0c7cfe02317de7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2026-08-02T19:27:40.019420Z</t>
        </is>
      </c>
      <c r="BI14" s="24" t="inlineStr">
        <is>
          <t>["same_event","same_team_same_day","same_league_same_day"]</t>
        </is>
      </c>
      <c r="BJ14" s="25" t="n"/>
      <c r="BK14" s="26" t="n">
        <v>-488</v>
      </c>
      <c r="BL14" s="27" t="n">
        <v>1.204918</v>
      </c>
      <c r="BM14" s="28" t="n">
        <v>0.829932</v>
      </c>
      <c r="BN14" s="28" t="n">
        <v>0.821782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0.8648169599</t>
        </is>
      </c>
      <c r="CD14" s="24" t="inlineStr">
        <is>
          <t>-2.14749</t>
        </is>
      </c>
      <c r="CE14" s="24" t="n"/>
      <c r="CF14" s="24" t="n"/>
      <c r="CG14" s="24" t="n"/>
      <c r="CH14" s="24" t="n"/>
      <c r="CI14" s="24" t="inlineStr">
        <is>
          <t>NO_CALL_AVAILABILITY_PLAYER_UNMAPPED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inlineStr">
        <is>
          <t>0.758559</t>
        </is>
      </c>
      <c r="CS14" s="24" t="inlineStr">
        <is>
          <t>False</t>
        </is>
      </c>
    </row>
    <row r="15" ht="36" customHeight="1">
      <c r="A15" s="24" t="inlineStr">
        <is>
          <t>4672b91740b0470e</t>
        </is>
      </c>
      <c r="B15" s="24" t="inlineStr">
        <is>
          <t>2026-08-02T23:14:34.350495Z</t>
        </is>
      </c>
      <c r="C15" s="24" t="inlineStr">
        <is>
          <t>2026-08-02T20:30:00-0400</t>
        </is>
      </c>
      <c r="D15" s="24" t="inlineStr">
        <is>
          <t>401857110</t>
        </is>
      </c>
      <c r="E15" s="24" t="inlineStr">
        <is>
          <t>WNBA</t>
        </is>
      </c>
      <c r="F15" s="24" t="inlineStr">
        <is>
          <t>Toronto Tempo</t>
        </is>
      </c>
      <c r="G15" s="24" t="inlineStr">
        <is>
          <t>Golden State Valkyries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-733</v>
      </c>
      <c r="M15" s="27" t="n">
        <v>1.136426</v>
      </c>
      <c r="N15" s="28" t="n">
        <v>0.879952</v>
      </c>
      <c r="O15" s="28" t="n">
        <v>0.772803</v>
      </c>
      <c r="P15" s="28" t="n"/>
      <c r="Q15" s="28" t="n">
        <v>-0.107149</v>
      </c>
      <c r="R15" s="26" t="n">
        <v>0</v>
      </c>
      <c r="S15" s="29" t="n">
        <v>2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79</v>
      </c>
      <c r="X15" s="26" t="n">
        <v>96</v>
      </c>
      <c r="Y15" s="25" t="n"/>
      <c r="Z15" s="26" t="n"/>
      <c r="AA15" s="28" t="n"/>
      <c r="AB15" s="28" t="n"/>
      <c r="AC15" s="30" t="n">
        <v>0.2729</v>
      </c>
      <c r="AD15" s="24" t="inlineStr">
        <is>
          <t>2026-08-03T02:34:06.515070Z</t>
        </is>
      </c>
      <c r="AE15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wnba-tor</t>
        </is>
      </c>
      <c r="AQ15" s="24" t="inlineStr">
        <is>
          <t>Toronto Tempo</t>
        </is>
      </c>
      <c r="AR15" s="24" t="inlineStr">
        <is>
          <t>Toronto Tempo</t>
        </is>
      </c>
      <c r="AS15" s="24" t="inlineStr">
        <is>
          <t>wnba-gsv</t>
        </is>
      </c>
      <c r="AT15" s="24" t="inlineStr">
        <is>
          <t>Golden State Valkyries</t>
        </is>
      </c>
      <c r="AU15" s="24" t="inlineStr">
        <is>
          <t>Golden State Valkyries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c1ef9fc1d2a3714a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2026-08-02T23:13:58.588337Z</t>
        </is>
      </c>
      <c r="BI15" s="24" t="inlineStr">
        <is>
          <t>["same_event","same_team_same_day","same_league_same_day"]</t>
        </is>
      </c>
      <c r="BJ15" s="25" t="n"/>
      <c r="BK15" s="26" t="n">
        <v>-733</v>
      </c>
      <c r="BL15" s="27" t="n">
        <v>1.136426</v>
      </c>
      <c r="BM15" s="28" t="n">
        <v>0.879952</v>
      </c>
      <c r="BN15" s="28" t="n">
        <v>0.871287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0.8973864278</t>
        </is>
      </c>
      <c r="CD15" s="24" t="inlineStr">
        <is>
          <t>2.248193</t>
        </is>
      </c>
      <c r="CE15" s="24" t="n"/>
      <c r="CF15" s="24" t="n"/>
      <c r="CG15" s="24" t="n"/>
      <c r="CH15" s="24" t="n"/>
      <c r="CI15" s="24" t="inlineStr">
        <is>
          <t>NO_CALL_AVAILABILITY_PLAYER_UNMAPPED</t>
        </is>
      </c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inlineStr">
        <is>
          <t>0.772803</t>
        </is>
      </c>
      <c r="CS15" s="24" t="inlineStr">
        <is>
          <t>False</t>
        </is>
      </c>
    </row>
    <row r="16" ht="36" customHeight="1">
      <c r="A16" s="24" t="inlineStr">
        <is>
          <t>f4b42db9be7540a3</t>
        </is>
      </c>
      <c r="B16" s="24" t="inlineStr">
        <is>
          <t>2026-08-03T22:56:28.208831Z</t>
        </is>
      </c>
      <c r="C16" s="24" t="inlineStr">
        <is>
          <t>2026-08-03T19:00:00-0400</t>
        </is>
      </c>
      <c r="D16" s="24" t="inlineStr">
        <is>
          <t>401857111</t>
        </is>
      </c>
      <c r="E16" s="24" t="inlineStr">
        <is>
          <t>WNBA</t>
        </is>
      </c>
      <c r="F16" s="24" t="inlineStr">
        <is>
          <t>Las Vegas Aces</t>
        </is>
      </c>
      <c r="G16" s="24" t="inlineStr">
        <is>
          <t>Atlanta Dream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0.51407</v>
      </c>
      <c r="P16" s="28" t="n"/>
      <c r="Q16" s="28" t="n">
        <v>-0.045401</v>
      </c>
      <c r="R16" s="26" t="n">
        <v>0</v>
      </c>
      <c r="S16" s="29" t="n">
        <v>1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109</v>
      </c>
      <c r="X16" s="26" t="n">
        <v>87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2026-08-04T01:58:22.418529Z</t>
        </is>
      </c>
      <c r="AE16" s="31" t="inlineStr">
        <is>
          <t>Learned LR call at threshold 0.5001; executable ask 0.5600 (aec-wnba-lv-atl-2026-08-03); model edge vs ask -0.0459.</t>
        </is>
      </c>
      <c r="AF16" s="31" t="inlineStr">
        <is>
          <t>Learned model; shadow-qualified via operator override.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wnba-lva</t>
        </is>
      </c>
      <c r="AQ16" s="24" t="inlineStr">
        <is>
          <t>Las Vegas Aces</t>
        </is>
      </c>
      <c r="AR16" s="24" t="inlineStr">
        <is>
          <t>Las Vegas Aces</t>
        </is>
      </c>
      <c r="AS16" s="24" t="inlineStr">
        <is>
          <t>wnba-atl</t>
        </is>
      </c>
      <c r="AT16" s="24" t="inlineStr">
        <is>
          <t>Atlanta Dream</t>
        </is>
      </c>
      <c r="AU16" s="24" t="inlineStr">
        <is>
          <t>Atlanta Dream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b2ef49b6e91b5973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2026-08-03T22:56:02.794073Z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>
        <v>0.554455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0.5210843216</t>
        </is>
      </c>
      <c r="CD16" s="24" t="inlineStr">
        <is>
          <t>2.457049</t>
        </is>
      </c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inlineStr">
        <is>
          <t>0.51407</t>
        </is>
      </c>
      <c r="CS16" s="24" t="inlineStr">
        <is>
          <t>False</t>
        </is>
      </c>
    </row>
    <row r="17" ht="36" customHeight="1">
      <c r="A17" s="24" t="inlineStr">
        <is>
          <t>7e78f51d0c3f49f8</t>
        </is>
      </c>
      <c r="B17" s="24" t="inlineStr">
        <is>
          <t>2026-08-03T22:56:28.208831Z</t>
        </is>
      </c>
      <c r="C17" s="24" t="inlineStr">
        <is>
          <t>2026-08-03T19:00:00-0400</t>
        </is>
      </c>
      <c r="D17" s="24" t="inlineStr">
        <is>
          <t>401857112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New York Liberty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-300</v>
      </c>
      <c r="M17" s="27" t="n">
        <v>1.333333</v>
      </c>
      <c r="N17" s="28" t="n">
        <v>0.75</v>
      </c>
      <c r="O17" s="28" t="n">
        <v>0.668225</v>
      </c>
      <c r="P17" s="28" t="n"/>
      <c r="Q17" s="28" t="n">
        <v>-0.081775</v>
      </c>
      <c r="R17" s="26" t="n">
        <v>0</v>
      </c>
      <c r="S17" s="29" t="n">
        <v>1.75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83</v>
      </c>
      <c r="X17" s="26" t="n">
        <v>95</v>
      </c>
      <c r="Y17" s="25" t="n"/>
      <c r="Z17" s="26" t="n"/>
      <c r="AA17" s="28" t="n"/>
      <c r="AB17" s="28" t="n"/>
      <c r="AC17" s="30" t="n">
        <v>0.5833</v>
      </c>
      <c r="AD17" s="24" t="inlineStr">
        <is>
          <t>2026-08-04T01:58:22.599025Z</t>
        </is>
      </c>
      <c r="AE17" s="31" t="inlineStr">
        <is>
          <t>Learned LR call at threshold 0.5001; executable ask 0.7500 (aec-wnba-sea-ny-2026-08-03); model edge vs ask -0.0818.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wnba-sea</t>
        </is>
      </c>
      <c r="AQ17" s="24" t="inlineStr">
        <is>
          <t>Seattle Storm</t>
        </is>
      </c>
      <c r="AR17" s="24" t="inlineStr">
        <is>
          <t>Seattle Storm</t>
        </is>
      </c>
      <c r="AS17" s="24" t="inlineStr">
        <is>
          <t>wnba-nyl</t>
        </is>
      </c>
      <c r="AT17" s="24" t="inlineStr">
        <is>
          <t>New York Liberty</t>
        </is>
      </c>
      <c r="AU17" s="24" t="inlineStr">
        <is>
          <t>New York Liberty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a7a2cf055acd172e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2026-08-03T22:56:03.448712Z</t>
        </is>
      </c>
      <c r="BI17" s="24" t="inlineStr">
        <is>
          <t>["same_event","same_team_same_day","same_league_same_day"]</t>
        </is>
      </c>
      <c r="BJ17" s="25" t="n"/>
      <c r="BK17" s="26" t="n">
        <v>-300</v>
      </c>
      <c r="BL17" s="27" t="n">
        <v>1.333333</v>
      </c>
      <c r="BM17" s="28" t="n">
        <v>0.75</v>
      </c>
      <c r="BN17" s="28" t="n">
        <v>0.742574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0.826825309</t>
        </is>
      </c>
      <c r="CD17" s="24" t="inlineStr">
        <is>
          <t>-1.349631</t>
        </is>
      </c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0.668225</t>
        </is>
      </c>
      <c r="CS17" s="24" t="inlineStr">
        <is>
          <t>False</t>
        </is>
      </c>
    </row>
    <row r="18" ht="36" customHeight="1">
      <c r="A18" s="24" t="inlineStr">
        <is>
          <t>eb5ee14f5b6c46f6</t>
        </is>
      </c>
      <c r="B18" s="24" t="inlineStr">
        <is>
          <t>2026-08-03T22:56:28.208831Z</t>
        </is>
      </c>
      <c r="C18" s="24" t="inlineStr">
        <is>
          <t>2026-08-03T21:00:00-0400</t>
        </is>
      </c>
      <c r="D18" s="24" t="inlineStr">
        <is>
          <t>401857113</t>
        </is>
      </c>
      <c r="E18" s="24" t="inlineStr">
        <is>
          <t>WNBA</t>
        </is>
      </c>
      <c r="F18" s="24" t="inlineStr">
        <is>
          <t>Phoenix Mercury</t>
        </is>
      </c>
      <c r="G18" s="24" t="inlineStr">
        <is>
          <t>Chicago Sky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0.580877</v>
      </c>
      <c r="P18" s="28" t="n"/>
      <c r="Q18" s="28" t="n">
        <v>0.120048</v>
      </c>
      <c r="R18" s="26" t="n">
        <v>83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2026-08-04T03:57:44.109194Z</t>
        </is>
      </c>
      <c r="AE18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wnba-phx</t>
        </is>
      </c>
      <c r="AQ18" s="24" t="inlineStr">
        <is>
          <t>Phoenix Mercury</t>
        </is>
      </c>
      <c r="AR18" s="24" t="inlineStr">
        <is>
          <t>Phoenix Mercury</t>
        </is>
      </c>
      <c r="AS18" s="24" t="inlineStr">
        <is>
          <t>wnba-chi</t>
        </is>
      </c>
      <c r="AT18" s="24" t="inlineStr">
        <is>
          <t>Chicago Sky</t>
        </is>
      </c>
      <c r="AU18" s="24" t="inlineStr">
        <is>
          <t>Chicago Sky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7a2885907d6a5230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2026-08-03T22:56:03.908601Z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>
        <v>0.455446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0.6165118128</t>
        </is>
      </c>
      <c r="CD18" s="24" t="inlineStr">
        <is>
          <t>3.666063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0.580877</t>
        </is>
      </c>
      <c r="CS18" s="24" t="inlineStr">
        <is>
          <t>True</t>
        </is>
      </c>
    </row>
    <row r="19" ht="36" customHeight="1">
      <c r="A19" s="24" t="inlineStr">
        <is>
          <t>b168d7d686c645e1</t>
        </is>
      </c>
      <c r="B19" s="24" t="inlineStr">
        <is>
          <t>2026-08-05T01:07:48.070985Z</t>
        </is>
      </c>
      <c r="C19" s="24" t="inlineStr">
        <is>
          <t>2026-08-04T22:00:00-0400</t>
        </is>
      </c>
      <c r="D19" s="24" t="inlineStr">
        <is>
          <t>401857114</t>
        </is>
      </c>
      <c r="E19" s="24" t="inlineStr">
        <is>
          <t>WNBA</t>
        </is>
      </c>
      <c r="F19" s="24" t="inlineStr">
        <is>
          <t>Toronto Tempo</t>
        </is>
      </c>
      <c r="G19" s="24" t="inlineStr">
        <is>
          <t>Golden State Valkyries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-614</v>
      </c>
      <c r="M19" s="27" t="n">
        <v>1.162866</v>
      </c>
      <c r="N19" s="28" t="n">
        <v>0.859944</v>
      </c>
      <c r="O19" s="28" t="n">
        <v>0.774468</v>
      </c>
      <c r="P19" s="28" t="n"/>
      <c r="Q19" s="28" t="n">
        <v>-0.085476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82</v>
      </c>
      <c r="X19" s="26" t="n">
        <v>92</v>
      </c>
      <c r="Y19" s="25" t="n"/>
      <c r="Z19" s="26" t="n"/>
      <c r="AA19" s="28" t="n"/>
      <c r="AB19" s="28" t="n"/>
      <c r="AC19" s="30" t="n">
        <v>0.3257</v>
      </c>
      <c r="AD19" s="24" t="inlineStr">
        <is>
          <t>2026-08-05T04:21:25.381491Z</t>
        </is>
      </c>
      <c r="AE19" s="31" t="inlineStr">
        <is>
          <t>Learned LR call at threshold 0.5001; executable ask 0.8600 (aec-wnba-tor-gsv-2026-08-04); model edge vs ask -0.0855.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wnba-tor</t>
        </is>
      </c>
      <c r="AQ19" s="24" t="inlineStr">
        <is>
          <t>Toronto Tempo</t>
        </is>
      </c>
      <c r="AR19" s="24" t="inlineStr">
        <is>
          <t>Toronto Tempo</t>
        </is>
      </c>
      <c r="AS19" s="24" t="inlineStr">
        <is>
          <t>wnba-gsv</t>
        </is>
      </c>
      <c r="AT19" s="24" t="inlineStr">
        <is>
          <t>Golden State Valkyries</t>
        </is>
      </c>
      <c r="AU19" s="24" t="inlineStr">
        <is>
          <t>Golden State Valkyries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fb46ae94639bf9af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2026-08-05T01:07:13.594446Z</t>
        </is>
      </c>
      <c r="BI19" s="24" t="inlineStr">
        <is>
          <t>["same_event","same_team_same_day","same_league_same_day"]</t>
        </is>
      </c>
      <c r="BJ19" s="25" t="n"/>
      <c r="BK19" s="26" t="n">
        <v>-614</v>
      </c>
      <c r="BL19" s="27" t="n">
        <v>1.162866</v>
      </c>
      <c r="BM19" s="28" t="n">
        <v>0.859944</v>
      </c>
      <c r="BN19" s="28" t="n">
        <v>0.851485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0.9026326565</t>
        </is>
      </c>
      <c r="CD19" s="24" t="inlineStr">
        <is>
          <t>2.972439</t>
        </is>
      </c>
      <c r="CE19" s="24" t="n"/>
      <c r="CF19" s="24" t="n"/>
      <c r="CG19" s="24" t="n"/>
      <c r="CH19" s="24" t="n"/>
      <c r="CI19" s="24" t="n"/>
      <c r="CJ19" s="24" t="inlineStr">
        <is>
          <t>1.230079</t>
        </is>
      </c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0.774468</t>
        </is>
      </c>
      <c r="CS19" s="24" t="inlineStr">
        <is>
          <t>False</t>
        </is>
      </c>
    </row>
    <row r="20" ht="36" customHeight="1">
      <c r="A20" s="24" t="inlineStr">
        <is>
          <t>bde24094fcd540e4</t>
        </is>
      </c>
      <c r="B20" s="24" t="inlineStr">
        <is>
          <t>2026-08-07T21:56:24.360448Z</t>
        </is>
      </c>
      <c r="C20" s="24" t="inlineStr">
        <is>
          <t>2026-08-07T19:30:00-0400</t>
        </is>
      </c>
      <c r="D20" s="24" t="inlineStr">
        <is>
          <t>401857123</t>
        </is>
      </c>
      <c r="E20" s="24" t="inlineStr">
        <is>
          <t>WNBA</t>
        </is>
      </c>
      <c r="F20" s="24" t="inlineStr">
        <is>
          <t>Atlanta Dream</t>
        </is>
      </c>
      <c r="G20" s="24" t="inlineStr">
        <is>
          <t>Washington Mystics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194</v>
      </c>
      <c r="M20" s="27" t="n">
        <v>2.94</v>
      </c>
      <c r="N20" s="28" t="n">
        <v>0.340136</v>
      </c>
      <c r="O20" s="28" t="n">
        <v>0.561972</v>
      </c>
      <c r="P20" s="28" t="n"/>
      <c r="Q20" s="28" t="n">
        <v>0.221836</v>
      </c>
      <c r="R20" s="26" t="n">
        <v>100</v>
      </c>
      <c r="S20" s="29" t="n">
        <v>1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74</v>
      </c>
      <c r="X20" s="26" t="n">
        <v>79</v>
      </c>
      <c r="Y20" s="25" t="n"/>
      <c r="Z20" s="26" t="n"/>
      <c r="AA20" s="28" t="n"/>
      <c r="AB20" s="28" t="n"/>
      <c r="AC20" s="30" t="n">
        <v>1.94</v>
      </c>
      <c r="AD20" s="24" t="inlineStr">
        <is>
          <t>2026-08-08T04:03:09.389849Z</t>
        </is>
      </c>
      <c r="AE20" s="31" t="inlineStr">
        <is>
          <t>Learned LR call at threshold 0.5001; executable ask 0.3400 (aec-wnba-atl-wsh-2026-08-07); model edge vs ask +0.2220.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wnba-atl</t>
        </is>
      </c>
      <c r="AQ20" s="24" t="inlineStr">
        <is>
          <t>Atlanta Dream</t>
        </is>
      </c>
      <c r="AR20" s="24" t="inlineStr">
        <is>
          <t>Atlanta Dream</t>
        </is>
      </c>
      <c r="AS20" s="24" t="inlineStr">
        <is>
          <t>wnba-was</t>
        </is>
      </c>
      <c r="AT20" s="24" t="inlineStr">
        <is>
          <t>Washington Mystics</t>
        </is>
      </c>
      <c r="AU20" s="24" t="inlineStr">
        <is>
          <t>Washington Mystics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7527e38cbf3d298e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2026-08-07T21:56:00.000131Z</t>
        </is>
      </c>
      <c r="BI20" s="24" t="inlineStr">
        <is>
          <t>["same_event","same_team_same_day","same_league_same_day"]</t>
        </is>
      </c>
      <c r="BJ20" s="25" t="n"/>
      <c r="BK20" s="26" t="n">
        <v>194</v>
      </c>
      <c r="BL20" s="27" t="n">
        <v>2.94</v>
      </c>
      <c r="BM20" s="28" t="n">
        <v>0.340136</v>
      </c>
      <c r="BN20" s="28" t="n">
        <v>0.336634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0.5839932663</t>
        </is>
      </c>
      <c r="CD20" s="24" t="inlineStr">
        <is>
          <t>-1.592597</t>
        </is>
      </c>
      <c r="CE20" s="24" t="n"/>
      <c r="CF20" s="24" t="n"/>
      <c r="CG20" s="24" t="n"/>
      <c r="CH20" s="24" t="n"/>
      <c r="CI20" s="24" t="n"/>
      <c r="CJ20" s="24" t="inlineStr">
        <is>
          <t>6.900454</t>
        </is>
      </c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0.561972</t>
        </is>
      </c>
      <c r="CS20" s="24" t="inlineStr">
        <is>
          <t>True</t>
        </is>
      </c>
    </row>
    <row r="21" ht="36" customHeight="1">
      <c r="A21" s="24" t="inlineStr">
        <is>
          <t>6abb4415c15d45fe</t>
        </is>
      </c>
      <c r="B21" s="24" t="inlineStr">
        <is>
          <t>2026-08-08T18:35:59.410253Z</t>
        </is>
      </c>
      <c r="C21" s="24" t="inlineStr">
        <is>
          <t>2026-08-08T20:30:00-0400</t>
        </is>
      </c>
      <c r="D21" s="24" t="inlineStr">
        <is>
          <t>401857127</t>
        </is>
      </c>
      <c r="E21" s="24" t="inlineStr">
        <is>
          <t>WNBA</t>
        </is>
      </c>
      <c r="F21" s="24" t="inlineStr">
        <is>
          <t>Seattle Storm</t>
        </is>
      </c>
      <c r="G21" s="24" t="inlineStr">
        <is>
          <t>Portland Fire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100</v>
      </c>
      <c r="M21" s="27" t="n">
        <v>2</v>
      </c>
      <c r="N21" s="28" t="n">
        <v>0.5</v>
      </c>
      <c r="O21" s="28" t="n">
        <v>0.636385</v>
      </c>
      <c r="P21" s="28" t="n"/>
      <c r="Q21" s="28" t="n">
        <v>0.136385</v>
      </c>
      <c r="R21" s="26" t="n">
        <v>91</v>
      </c>
      <c r="S21" s="29" t="n">
        <v>1.5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93</v>
      </c>
      <c r="X21" s="26" t="n">
        <v>100</v>
      </c>
      <c r="Y21" s="25" t="n"/>
      <c r="Z21" s="26" t="n"/>
      <c r="AA21" s="28" t="n"/>
      <c r="AB21" s="28" t="n"/>
      <c r="AC21" s="30" t="n">
        <v>1.5</v>
      </c>
      <c r="AD21" s="24" t="inlineStr">
        <is>
          <t>2026-08-09T05:12:03.525470Z</t>
        </is>
      </c>
      <c r="AE21" s="31" t="inlineStr">
        <is>
          <t>Learned LR call at threshold 0.5001; executable ask 0.5000 (aec-wnba-sea-por-2026-08-08); model edge vs ask +0.1364. NOTE: NO_CALL_AVAILABILITY_SOURCE_CONFLICT unavailable for this game — defaulted to neutral, other features used normally.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wnba-sea</t>
        </is>
      </c>
      <c r="AQ21" s="24" t="inlineStr">
        <is>
          <t>Seattle Storm</t>
        </is>
      </c>
      <c r="AR21" s="24" t="inlineStr">
        <is>
          <t>Seattle Storm</t>
        </is>
      </c>
      <c r="AS21" s="24" t="inlineStr">
        <is>
          <t>wnba-por</t>
        </is>
      </c>
      <c r="AT21" s="24" t="inlineStr">
        <is>
          <t>Portland Fire</t>
        </is>
      </c>
      <c r="AU21" s="24" t="inlineStr">
        <is>
          <t>Portland Fire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c4f4370995132da0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2026-08-08T18:35:41.814320Z</t>
        </is>
      </c>
      <c r="BI21" s="24" t="inlineStr">
        <is>
          <t>["same_event","same_team_same_day","same_league_same_day"]</t>
        </is>
      </c>
      <c r="BJ21" s="25" t="n"/>
      <c r="BK21" s="26" t="n">
        <v>100</v>
      </c>
      <c r="BL21" s="27" t="n">
        <v>2</v>
      </c>
      <c r="BM21" s="28" t="n">
        <v>0.5</v>
      </c>
      <c r="BN21" s="28" t="n">
        <v>0.49505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0.6792726129</t>
        </is>
      </c>
      <c r="CD21" s="24" t="inlineStr">
        <is>
          <t>-3.251216</t>
        </is>
      </c>
      <c r="CE21" s="24" t="n"/>
      <c r="CF21" s="24" t="n"/>
      <c r="CG21" s="24" t="n"/>
      <c r="CH21" s="24" t="n"/>
      <c r="CI21" s="24" t="inlineStr">
        <is>
          <t>NO_CALL_AVAILABILITY_SOURCE_CONFLICT</t>
        </is>
      </c>
      <c r="CJ21" s="24" t="inlineStr">
        <is>
          <t>6.663423</t>
        </is>
      </c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0.636385</t>
        </is>
      </c>
      <c r="CS21" s="24" t="inlineStr">
        <is>
          <t>True</t>
        </is>
      </c>
    </row>
    <row r="22" ht="36" customHeight="1">
      <c r="A22" s="24" t="inlineStr">
        <is>
          <t>21ce05a60e8d4051</t>
        </is>
      </c>
      <c r="B22" s="24" t="inlineStr">
        <is>
          <t>2026-08-09T13:59:23.763456Z</t>
        </is>
      </c>
      <c r="C22" s="24" t="inlineStr">
        <is>
          <t>2026-08-09T12:30:00-0400</t>
        </is>
      </c>
      <c r="D22" s="24" t="inlineStr">
        <is>
          <t>401857128</t>
        </is>
      </c>
      <c r="E22" s="24" t="inlineStr">
        <is>
          <t>WNBA</t>
        </is>
      </c>
      <c r="F22" s="24" t="inlineStr">
        <is>
          <t>Las Vegas Aces</t>
        </is>
      </c>
      <c r="G22" s="24" t="inlineStr">
        <is>
          <t>New York Liberty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300</v>
      </c>
      <c r="M22" s="27" t="n">
        <v>4</v>
      </c>
      <c r="N22" s="28" t="n">
        <v>0.25</v>
      </c>
      <c r="O22" s="28" t="n">
        <v>0.513331</v>
      </c>
      <c r="P22" s="28" t="n"/>
      <c r="Q22" s="28" t="n">
        <v>0.263331</v>
      </c>
      <c r="R22" s="26" t="n">
        <v>100</v>
      </c>
      <c r="S22" s="29" t="n">
        <v>1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loss</t>
        </is>
      </c>
      <c r="W22" s="26" t="n">
        <v>71</v>
      </c>
      <c r="X22" s="26" t="n">
        <v>111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2026-08-09T20:24:25.527598Z</t>
        </is>
      </c>
      <c r="AE22" s="31" t="inlineStr">
        <is>
          <t>Learned LR call at threshold 0.5001; executable ask 0.2500 (aec-wnba-lv-ny-2026-08-09); model edge vs ask +0.2633. NOTE: NO_CALL_AVAILABILITY_SOURCE_CONFLICT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wnba-lva</t>
        </is>
      </c>
      <c r="AQ22" s="24" t="inlineStr">
        <is>
          <t>Las Vegas Aces</t>
        </is>
      </c>
      <c r="AR22" s="24" t="inlineStr">
        <is>
          <t>Las Vegas Aces</t>
        </is>
      </c>
      <c r="AS22" s="24" t="inlineStr">
        <is>
          <t>wnba-nyl</t>
        </is>
      </c>
      <c r="AT22" s="24" t="inlineStr">
        <is>
          <t>New York Liberty</t>
        </is>
      </c>
      <c r="AU22" s="24" t="inlineStr">
        <is>
          <t>New York Liberty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326af12f4add44d3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2026-08-09T13:58:13.130881Z</t>
        </is>
      </c>
      <c r="BI22" s="24" t="inlineStr">
        <is>
          <t>["same_event","same_team_same_day","same_league_same_day"]</t>
        </is>
      </c>
      <c r="BJ22" s="25" t="n"/>
      <c r="BK22" s="26" t="n">
        <v>300</v>
      </c>
      <c r="BL22" s="27" t="n">
        <v>4</v>
      </c>
      <c r="BM22" s="28" t="n">
        <v>0.25</v>
      </c>
      <c r="BN22" s="28" t="n">
        <v>0.247525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0.4879470816</t>
        </is>
      </c>
      <c r="CD22" s="24" t="inlineStr">
        <is>
          <t>3.090342</t>
        </is>
      </c>
      <c r="CE22" s="24" t="n"/>
      <c r="CF22" s="24" t="n"/>
      <c r="CG22" s="24" t="n"/>
      <c r="CH22" s="24" t="n"/>
      <c r="CI22" s="24" t="inlineStr">
        <is>
          <t>NO_CALL_AVAILABILITY_SOURCE_CONFLICT</t>
        </is>
      </c>
      <c r="CJ22" s="24" t="inlineStr">
        <is>
          <t>-3.371641</t>
        </is>
      </c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0.513331</t>
        </is>
      </c>
      <c r="CS22" s="24" t="inlineStr">
        <is>
          <t>True</t>
        </is>
      </c>
    </row>
    <row r="23" ht="36" customHeight="1">
      <c r="A23" s="24" t="inlineStr">
        <is>
          <t>9bb87c61647d4403</t>
        </is>
      </c>
      <c r="B23" s="24" t="inlineStr">
        <is>
          <t>2026-08-09T17:06:21.079905Z</t>
        </is>
      </c>
      <c r="C23" s="24" t="inlineStr">
        <is>
          <t>2026-08-09T15:00:00-0400</t>
        </is>
      </c>
      <c r="D23" s="24" t="inlineStr">
        <is>
          <t>401857129</t>
        </is>
      </c>
      <c r="E23" s="24" t="inlineStr">
        <is>
          <t>WNBA</t>
        </is>
      </c>
      <c r="F23" s="24" t="inlineStr">
        <is>
          <t>Phoenix Mercury</t>
        </is>
      </c>
      <c r="G23" s="24" t="inlineStr">
        <is>
          <t>Washington Mystics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-113</v>
      </c>
      <c r="M23" s="27" t="n">
        <v>1.884956</v>
      </c>
      <c r="N23" s="28" t="n">
        <v>0.530516</v>
      </c>
      <c r="O23" s="28" t="n">
        <v>0.695232</v>
      </c>
      <c r="P23" s="28" t="n"/>
      <c r="Q23" s="28" t="n">
        <v>0.164716</v>
      </c>
      <c r="R23" s="26" t="n">
        <v>100</v>
      </c>
      <c r="S23" s="29" t="n">
        <v>2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75</v>
      </c>
      <c r="X23" s="26" t="n">
        <v>95</v>
      </c>
      <c r="Y23" s="25" t="n"/>
      <c r="Z23" s="26" t="n"/>
      <c r="AA23" s="28" t="n"/>
      <c r="AB23" s="28" t="n"/>
      <c r="AC23" s="30" t="n">
        <v>1.7699</v>
      </c>
      <c r="AD23" s="24" t="inlineStr">
        <is>
          <t>2026-08-09T23:28:57.101159Z</t>
        </is>
      </c>
      <c r="AE23" s="31" t="inlineStr">
        <is>
          <t>Learned LR call at threshold 0.5001; executable ask 0.5300 (aec-wnba-phx-wsh-2026-08-09); model edge vs ask +0.1652. NOTE: NO_CALL_AVAILABILITY_SOURCE_CONFLICT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wnba-phx</t>
        </is>
      </c>
      <c r="AQ23" s="24" t="inlineStr">
        <is>
          <t>Phoenix Mercury</t>
        </is>
      </c>
      <c r="AR23" s="24" t="inlineStr">
        <is>
          <t>Phoenix Mercury</t>
        </is>
      </c>
      <c r="AS23" s="24" t="inlineStr">
        <is>
          <t>wnba-was</t>
        </is>
      </c>
      <c r="AT23" s="24" t="inlineStr">
        <is>
          <t>Washington Mystics</t>
        </is>
      </c>
      <c r="AU23" s="24" t="inlineStr">
        <is>
          <t>Washington Mystics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28057b4491fbc31b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2026-08-09T17:05:41.727182Z</t>
        </is>
      </c>
      <c r="BI23" s="24" t="inlineStr">
        <is>
          <t>["same_event","same_team_same_day","same_league_same_day"]</t>
        </is>
      </c>
      <c r="BJ23" s="25" t="n"/>
      <c r="BK23" s="26" t="n">
        <v>-113</v>
      </c>
      <c r="BL23" s="27" t="n">
        <v>1.884956</v>
      </c>
      <c r="BM23" s="28" t="n">
        <v>0.530516</v>
      </c>
      <c r="BN23" s="28" t="n">
        <v>0.524752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0.7723991943</t>
        </is>
      </c>
      <c r="CD23" s="24" t="inlineStr">
        <is>
          <t>0.96982</t>
        </is>
      </c>
      <c r="CE23" s="24" t="n"/>
      <c r="CF23" s="24" t="n"/>
      <c r="CG23" s="24" t="n"/>
      <c r="CH23" s="24" t="n"/>
      <c r="CI23" s="24" t="inlineStr">
        <is>
          <t>NO_CALL_AVAILABILITY_SOURCE_CONFLICT</t>
        </is>
      </c>
      <c r="CJ23" s="24" t="inlineStr">
        <is>
          <t>6.116575</t>
        </is>
      </c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0.695232</t>
        </is>
      </c>
      <c r="CS23" s="24" t="inlineStr">
        <is>
          <t>True</t>
        </is>
      </c>
    </row>
    <row r="24" ht="36" customHeight="1">
      <c r="A24" s="24" t="inlineStr">
        <is>
          <t>cb2c0aa7c6c446e9</t>
        </is>
      </c>
      <c r="B24" s="24" t="inlineStr">
        <is>
          <t>2026-08-09T20:27:02.435009Z</t>
        </is>
      </c>
      <c r="C24" s="24" t="inlineStr">
        <is>
          <t>2026-08-09T19:00:00-0400</t>
        </is>
      </c>
      <c r="D24" s="24" t="inlineStr">
        <is>
          <t>401857131</t>
        </is>
      </c>
      <c r="E24" s="24" t="inlineStr">
        <is>
          <t>WNBA</t>
        </is>
      </c>
      <c r="F24" s="24" t="inlineStr">
        <is>
          <t>Golden State Valkyries</t>
        </is>
      </c>
      <c r="G24" s="24" t="inlineStr">
        <is>
          <t>Los Angeles Sparks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-233</v>
      </c>
      <c r="M24" s="27" t="n">
        <v>1.429185</v>
      </c>
      <c r="N24" s="28" t="n">
        <v>0.6997</v>
      </c>
      <c r="O24" s="28" t="n">
        <v>0.68049</v>
      </c>
      <c r="P24" s="28" t="n"/>
      <c r="Q24" s="28" t="n">
        <v>-0.01921</v>
      </c>
      <c r="R24" s="26" t="n">
        <v>14</v>
      </c>
      <c r="S24" s="29" t="n">
        <v>1.75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84</v>
      </c>
      <c r="X24" s="26" t="n">
        <v>78</v>
      </c>
      <c r="Y24" s="25" t="n"/>
      <c r="Z24" s="26" t="n"/>
      <c r="AA24" s="28" t="n"/>
      <c r="AB24" s="28" t="n"/>
      <c r="AC24" s="30" t="n">
        <v>0.7511</v>
      </c>
      <c r="AD24" s="24" t="inlineStr">
        <is>
          <t>2026-08-10T02:33:53.277745Z</t>
        </is>
      </c>
      <c r="AE24" s="31" t="inlineStr">
        <is>
          <t>Learned LR call at threshold 0.5001; executable ask 0.7000 (aec-wnba-gsv-la-2026-08-09); model edge vs ask -0.0195. NOTE: NO_CALL_AVAILABILITY_SOURCE_CONFLICT unavailable for this game — defaulted to neutral, other features used normally.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wnba-gsv</t>
        </is>
      </c>
      <c r="AQ24" s="24" t="inlineStr">
        <is>
          <t>Golden State Valkyries</t>
        </is>
      </c>
      <c r="AR24" s="24" t="inlineStr">
        <is>
          <t>Golden State Valkyries</t>
        </is>
      </c>
      <c r="AS24" s="24" t="inlineStr">
        <is>
          <t>wnba-las</t>
        </is>
      </c>
      <c r="AT24" s="24" t="inlineStr">
        <is>
          <t>Los Angeles Sparks</t>
        </is>
      </c>
      <c r="AU24" s="24" t="inlineStr">
        <is>
          <t>Los Angeles Sparks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learned_lr</t>
        </is>
      </c>
      <c r="BC24" s="24" t="inlineStr">
        <is>
          <t>wnba-elo-trend-lr-v4</t>
        </is>
      </c>
      <c r="BD24" s="24" t="inlineStr">
        <is>
          <t>7afd5274214b58b7efd7f7febc7be3ab33b92351cda5cc6403c0a39faea0cc8c</t>
        </is>
      </c>
      <c r="BE24" s="24" t="inlineStr">
        <is>
          <t>3f8776ef716da556</t>
        </is>
      </c>
      <c r="BF24" s="24" t="inlineStr">
        <is>
          <t>1</t>
        </is>
      </c>
      <c r="BG24" s="24" t="inlineStr">
        <is>
          <t>wnba-elo-trend-lr-v4</t>
        </is>
      </c>
      <c r="BH24" s="24" t="inlineStr">
        <is>
          <t>2026-08-09T20:26:42.890552Z</t>
        </is>
      </c>
      <c r="BI24" s="24" t="inlineStr">
        <is>
          <t>["same_event","same_team_same_day","same_league_same_day"]</t>
        </is>
      </c>
      <c r="BJ24" s="25" t="n"/>
      <c r="BK24" s="26" t="n">
        <v>-233</v>
      </c>
      <c r="BL24" s="27" t="n">
        <v>1.429185</v>
      </c>
      <c r="BM24" s="28" t="n">
        <v>0.6997</v>
      </c>
      <c r="BN24" s="28" t="n">
        <v>0.693069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0.2620546512</t>
        </is>
      </c>
      <c r="CD24" s="24" t="inlineStr">
        <is>
          <t>1.491968</t>
        </is>
      </c>
      <c r="CE24" s="24" t="n"/>
      <c r="CF24" s="24" t="n"/>
      <c r="CG24" s="24" t="n"/>
      <c r="CH24" s="24" t="n"/>
      <c r="CI24" s="24" t="inlineStr">
        <is>
          <t>NO_CALL_AVAILABILITY_SOURCE_CONFLICT</t>
        </is>
      </c>
      <c r="CJ24" s="24" t="inlineStr">
        <is>
          <t>-1.513705</t>
        </is>
      </c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0.68049</t>
        </is>
      </c>
      <c r="CS24" s="24" t="inlineStr">
        <is>
          <t>False</t>
        </is>
      </c>
    </row>
    <row r="25" ht="36" customHeight="1">
      <c r="A25" s="24" t="inlineStr">
        <is>
          <t>84e168c081034099</t>
        </is>
      </c>
      <c r="B25" s="24" t="inlineStr">
        <is>
          <t>2026-08-10T16:34:47.251195Z</t>
        </is>
      </c>
      <c r="C25" s="24" t="inlineStr">
        <is>
          <t>2026-08-10T20:00:00-0400</t>
        </is>
      </c>
      <c r="D25" s="24" t="inlineStr">
        <is>
          <t>401857132</t>
        </is>
      </c>
      <c r="E25" s="24" t="inlineStr">
        <is>
          <t>WNBA</t>
        </is>
      </c>
      <c r="F25" s="24" t="inlineStr">
        <is>
          <t>Toronto Tempo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-733</v>
      </c>
      <c r="M25" s="27" t="n">
        <v>1.136426</v>
      </c>
      <c r="N25" s="28" t="n">
        <v>0.879952</v>
      </c>
      <c r="O25" s="28" t="n">
        <v>0.737133</v>
      </c>
      <c r="P25" s="28" t="n"/>
      <c r="Q25" s="28" t="n">
        <v>-0.142819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Learned LR call at threshold 0.5001; executable ask 0.8800 (aec-wnba-tor-atl-2026-08-10); model edge vs ask -0.1429. NOTE: NO_CALL_AVAILABILITY_SOURCE_CONFLICT unavailable for this game — defaulted to neutral, other features used normally.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wnba-tor</t>
        </is>
      </c>
      <c r="AQ25" s="24" t="inlineStr">
        <is>
          <t>Toronto Tempo</t>
        </is>
      </c>
      <c r="AR25" s="24" t="inlineStr">
        <is>
          <t>Toronto Tempo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cc3e04aa2e66419b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2026-08-10T16:34:14.661341Z</t>
        </is>
      </c>
      <c r="BI25" s="24" t="inlineStr">
        <is>
          <t>["same_event","same_team_same_day","same_league_same_day"]</t>
        </is>
      </c>
      <c r="BJ25" s="25" t="n"/>
      <c r="BK25" s="26" t="n">
        <v>-733</v>
      </c>
      <c r="BL25" s="27" t="n">
        <v>1.136426</v>
      </c>
      <c r="BM25" s="28" t="n">
        <v>0.879952</v>
      </c>
      <c r="BN25" s="28" t="n">
        <v>0.871287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0.8354799774</t>
        </is>
      </c>
      <c r="CD25" s="24" t="inlineStr">
        <is>
          <t>3.773711</t>
        </is>
      </c>
      <c r="CE25" s="24" t="n"/>
      <c r="CF25" s="24" t="n"/>
      <c r="CG25" s="24" t="n"/>
      <c r="CH25" s="24" t="n"/>
      <c r="CI25" s="24" t="inlineStr">
        <is>
          <t>NO_CALL_AVAILABILITY_SOURCE_CONFLICT</t>
        </is>
      </c>
      <c r="CJ25" s="24" t="inlineStr">
        <is>
          <t>-3.297793</t>
        </is>
      </c>
      <c r="CK25" s="24" t="n"/>
      <c r="CL25" s="24" t="n"/>
      <c r="CM25" s="24" t="n"/>
      <c r="CN25" s="24" t="n"/>
      <c r="CO25" s="24" t="n"/>
      <c r="CP25" s="24" t="n"/>
      <c r="CQ25" s="24" t="n"/>
      <c r="CR25" s="24" t="inlineStr">
        <is>
          <t>0.737133</t>
        </is>
      </c>
      <c r="CS25" s="24" t="inlineStr">
        <is>
          <t>False</t>
        </is>
      </c>
    </row>
    <row r="26" ht="36" customHeight="1">
      <c r="A26" s="24" t="inlineStr">
        <is>
          <t>a01d4ac1e5f74584</t>
        </is>
      </c>
      <c r="B26" s="24" t="inlineStr">
        <is>
          <t>2026-08-10T16:34:47.251195Z</t>
        </is>
      </c>
      <c r="C26" s="24" t="inlineStr">
        <is>
          <t>2026-08-10T22:00:00-0400</t>
        </is>
      </c>
      <c r="D26" s="24" t="inlineStr">
        <is>
          <t>401857133</t>
        </is>
      </c>
      <c r="E26" s="24" t="inlineStr">
        <is>
          <t>WNBA</t>
        </is>
      </c>
      <c r="F26" s="24" t="inlineStr">
        <is>
          <t>Chicago Sky</t>
        </is>
      </c>
      <c r="G26" s="24" t="inlineStr">
        <is>
          <t>Seattle Storm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-113</v>
      </c>
      <c r="M26" s="27" t="n">
        <v>1.884956</v>
      </c>
      <c r="N26" s="28" t="n">
        <v>0.530516</v>
      </c>
      <c r="O26" s="28" t="n">
        <v>0.543228</v>
      </c>
      <c r="P26" s="28" t="n"/>
      <c r="Q26" s="28" t="n">
        <v>0.012712</v>
      </c>
      <c r="R26" s="26" t="n">
        <v>29</v>
      </c>
      <c r="S26" s="29" t="n">
        <v>1</v>
      </c>
      <c r="T26" s="24" t="inlineStr">
        <is>
          <t>wnba-elo-trend-lr-v4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Learned LR call at threshold 0.5001; executable ask 0.5300 (aec-wnba-chi-sea-2026-08-10); model edge vs ask +0.0132.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wnba-chi</t>
        </is>
      </c>
      <c r="AQ26" s="24" t="inlineStr">
        <is>
          <t>Chicago Sky</t>
        </is>
      </c>
      <c r="AR26" s="24" t="inlineStr">
        <is>
          <t>Chicago Sky</t>
        </is>
      </c>
      <c r="AS26" s="24" t="inlineStr">
        <is>
          <t>wnba-sea</t>
        </is>
      </c>
      <c r="AT26" s="24" t="inlineStr">
        <is>
          <t>Seattle Storm</t>
        </is>
      </c>
      <c r="AU26" s="24" t="inlineStr">
        <is>
          <t>Seattle Storm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0f4dad8fd6dfb442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2026-08-10T16:34:14.903004Z</t>
        </is>
      </c>
      <c r="BI26" s="24" t="inlineStr">
        <is>
          <t>["same_event","same_team_same_day","same_league_same_day"]</t>
        </is>
      </c>
      <c r="BJ26" s="25" t="n"/>
      <c r="BK26" s="26" t="n">
        <v>-113</v>
      </c>
      <c r="BL26" s="27" t="n">
        <v>1.884956</v>
      </c>
      <c r="BM26" s="28" t="n">
        <v>0.530516</v>
      </c>
      <c r="BN26" s="28" t="n">
        <v>0.524752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0.4387952332</t>
        </is>
      </c>
      <c r="CD26" s="24" t="inlineStr">
        <is>
          <t>-0.915897</t>
        </is>
      </c>
      <c r="CE26" s="24" t="n"/>
      <c r="CF26" s="24" t="n"/>
      <c r="CG26" s="24" t="n"/>
      <c r="CH26" s="24" t="n"/>
      <c r="CI26" s="24" t="n"/>
      <c r="CJ26" s="24" t="inlineStr">
        <is>
          <t>-5.749741</t>
        </is>
      </c>
      <c r="CK26" s="24" t="n"/>
      <c r="CL26" s="24" t="n"/>
      <c r="CM26" s="24" t="n"/>
      <c r="CN26" s="24" t="n"/>
      <c r="CO26" s="24" t="n"/>
      <c r="CP26" s="24" t="n"/>
      <c r="CQ26" s="24" t="n"/>
      <c r="CR26" s="24" t="inlineStr">
        <is>
          <t>0.543228</t>
        </is>
      </c>
      <c r="CS26" s="24" t="inlineStr">
        <is>
          <t>True</t>
        </is>
      </c>
    </row>
    <row r="27" ht="36" customHeight="1">
      <c r="A27" s="24" t="inlineStr">
        <is>
          <t>9397e6d8aee7453d</t>
        </is>
      </c>
      <c r="B27" s="24" t="inlineStr">
        <is>
          <t>2026-08-12T19:33:32.932123Z</t>
        </is>
      </c>
      <c r="C27" s="24" t="inlineStr">
        <is>
          <t>2026-08-12T20:00:00-0400</t>
        </is>
      </c>
      <c r="D27" s="24" t="inlineStr">
        <is>
          <t>401857137</t>
        </is>
      </c>
      <c r="E27" s="24" t="inlineStr">
        <is>
          <t>WNBA</t>
        </is>
      </c>
      <c r="F27" s="24" t="inlineStr">
        <is>
          <t>Toronto Tempo</t>
        </is>
      </c>
      <c r="G27" s="24" t="inlineStr">
        <is>
          <t>Dallas Wings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-426</v>
      </c>
      <c r="M27" s="27" t="n">
        <v>1.234742</v>
      </c>
      <c r="N27" s="28" t="n">
        <v>0.809886</v>
      </c>
      <c r="O27" s="28" t="n">
        <v>0.752207</v>
      </c>
      <c r="P27" s="28" t="n"/>
      <c r="Q27" s="28" t="n">
        <v>-0.057679</v>
      </c>
      <c r="R27" s="26" t="n">
        <v>0</v>
      </c>
      <c r="S27" s="29" t="n">
        <v>2</v>
      </c>
      <c r="T27" s="24" t="inlineStr">
        <is>
          <t>wnba-elo-trend-lr-v4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Learned LR call at threshold 0.5001; executable ask 0.8100 (aec-wnba-tor-dal-2026-08-12); model edge vs ask -0.0578. NOTE: NO_CALL_AVAILABILITY_SOURCE_CONFLICT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wnba-tor</t>
        </is>
      </c>
      <c r="AQ27" s="24" t="inlineStr">
        <is>
          <t>Toronto Tempo</t>
        </is>
      </c>
      <c r="AR27" s="24" t="inlineStr">
        <is>
          <t>Toronto Tempo</t>
        </is>
      </c>
      <c r="AS27" s="24" t="inlineStr">
        <is>
          <t>wnba-dal</t>
        </is>
      </c>
      <c r="AT27" s="24" t="inlineStr">
        <is>
          <t>Dallas Wings</t>
        </is>
      </c>
      <c r="AU27" s="24" t="inlineStr">
        <is>
          <t>Dallas Wings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bed262b4cc2cb026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2026-08-12T17:41:29.908829Z</t>
        </is>
      </c>
      <c r="BI27" s="24" t="inlineStr">
        <is>
          <t>["same_event","same_team_same_day","same_league_same_day"]</t>
        </is>
      </c>
      <c r="BJ27" s="25" t="n"/>
      <c r="BK27" s="26" t="n">
        <v>-426</v>
      </c>
      <c r="BL27" s="27" t="n">
        <v>1.234742</v>
      </c>
      <c r="BM27" s="28" t="n">
        <v>0.809886</v>
      </c>
      <c r="BN27" s="28" t="n">
        <v>0.80198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0.8593821994</t>
        </is>
      </c>
      <c r="CD27" s="24" t="inlineStr">
        <is>
          <t>1.688216</t>
        </is>
      </c>
      <c r="CE27" s="24" t="n"/>
      <c r="CF27" s="24" t="n"/>
      <c r="CG27" s="24" t="n"/>
      <c r="CH27" s="24" t="n"/>
      <c r="CI27" s="24" t="inlineStr">
        <is>
          <t>NO_CALL_AVAILABILITY_SOURCE_CONFLICT</t>
        </is>
      </c>
      <c r="CJ27" s="24" t="inlineStr">
        <is>
          <t>0.008501</t>
        </is>
      </c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0.752207</t>
        </is>
      </c>
      <c r="CS27" s="24" t="inlineStr">
        <is>
          <t>False</t>
        </is>
      </c>
    </row>
    <row r="28" ht="36" customHeight="1">
      <c r="A28" s="24" t="inlineStr">
        <is>
          <t>0f469055cfd54d3a</t>
        </is>
      </c>
      <c r="B28" s="24" t="inlineStr">
        <is>
          <t>2026-08-12T19:33:32.932123Z</t>
        </is>
      </c>
      <c r="C28" s="24" t="inlineStr">
        <is>
          <t>2026-08-12T22:00:00-0400</t>
        </is>
      </c>
      <c r="D28" s="24" t="inlineStr">
        <is>
          <t>401857138</t>
        </is>
      </c>
      <c r="E28" s="24" t="inlineStr">
        <is>
          <t>WNBA</t>
        </is>
      </c>
      <c r="F28" s="24" t="inlineStr">
        <is>
          <t>Chicago Sky</t>
        </is>
      </c>
      <c r="G28" s="24" t="inlineStr">
        <is>
          <t>Golden State Valkyries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-376</v>
      </c>
      <c r="M28" s="27" t="n">
        <v>1.265957</v>
      </c>
      <c r="N28" s="28" t="n">
        <v>0.789916</v>
      </c>
      <c r="O28" s="28" t="n">
        <v>0.7756999999999999</v>
      </c>
      <c r="P28" s="28" t="n"/>
      <c r="Q28" s="28" t="n">
        <v>-0.014216</v>
      </c>
      <c r="R28" s="26" t="n">
        <v>17</v>
      </c>
      <c r="S28" s="29" t="n">
        <v>2</v>
      </c>
      <c r="T28" s="24" t="inlineStr">
        <is>
          <t>wnba-elo-trend-lr-v4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Learned LR call at threshold 0.5001; executable ask 0.7900 (aec-wnba-chi-gsv-2026-08-12); model edge vs ask -0.0143.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wnba-chi</t>
        </is>
      </c>
      <c r="AQ28" s="24" t="inlineStr">
        <is>
          <t>Chicago Sky</t>
        </is>
      </c>
      <c r="AR28" s="24" t="inlineStr">
        <is>
          <t>Chicago Sky</t>
        </is>
      </c>
      <c r="AS28" s="24" t="inlineStr">
        <is>
          <t>wnba-gsv</t>
        </is>
      </c>
      <c r="AT28" s="24" t="inlineStr">
        <is>
          <t>Golden State Valkyries</t>
        </is>
      </c>
      <c r="AU28" s="24" t="inlineStr">
        <is>
          <t>Golden State Valkyries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learned_lr</t>
        </is>
      </c>
      <c r="BC28" s="24" t="inlineStr">
        <is>
          <t>wnba-elo-trend-lr-v4</t>
        </is>
      </c>
      <c r="BD28" s="24" t="inlineStr">
        <is>
          <t>7afd5274214b58b7efd7f7febc7be3ab33b92351cda5cc6403c0a39faea0cc8c</t>
        </is>
      </c>
      <c r="BE28" s="24" t="inlineStr">
        <is>
          <t>25be967f882f1f6d</t>
        </is>
      </c>
      <c r="BF28" s="24" t="inlineStr">
        <is>
          <t>1</t>
        </is>
      </c>
      <c r="BG28" s="24" t="inlineStr">
        <is>
          <t>wnba-elo-trend-lr-v4</t>
        </is>
      </c>
      <c r="BH28" s="24" t="inlineStr">
        <is>
          <t>2026-08-12T17:41:30.522789Z</t>
        </is>
      </c>
      <c r="BI28" s="24" t="inlineStr">
        <is>
          <t>["same_event","same_team_same_day","same_league_same_day"]</t>
        </is>
      </c>
      <c r="BJ28" s="25" t="n"/>
      <c r="BK28" s="26" t="n">
        <v>-376</v>
      </c>
      <c r="BL28" s="27" t="n">
        <v>1.265957</v>
      </c>
      <c r="BM28" s="28" t="n">
        <v>0.789916</v>
      </c>
      <c r="BN28" s="28" t="n">
        <v>0.782178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0.8909512632</t>
        </is>
      </c>
      <c r="CD28" s="24" t="inlineStr">
        <is>
          <t>-3.866065</t>
        </is>
      </c>
      <c r="CE28" s="24" t="n"/>
      <c r="CF28" s="24" t="n"/>
      <c r="CG28" s="24" t="n"/>
      <c r="CH28" s="24" t="n"/>
      <c r="CI28" s="24" t="n"/>
      <c r="CJ28" s="24" t="inlineStr">
        <is>
          <t>2.087162</t>
        </is>
      </c>
      <c r="CK28" s="24" t="n"/>
      <c r="CL28" s="24" t="n"/>
      <c r="CM28" s="24" t="n"/>
      <c r="CN28" s="24" t="n"/>
      <c r="CO28" s="24" t="n"/>
      <c r="CP28" s="24" t="n"/>
      <c r="CQ28" s="24" t="n"/>
      <c r="CR28" s="24" t="inlineStr">
        <is>
          <t>0.7757</t>
        </is>
      </c>
      <c r="CS28" s="24" t="inlineStr">
        <is>
          <t>False</t>
        </is>
      </c>
    </row>
    <row r="29" ht="36" customHeight="1">
      <c r="A29" s="24" t="inlineStr">
        <is>
          <t>4f440b62ebff4d85</t>
        </is>
      </c>
      <c r="B29" s="24" t="inlineStr">
        <is>
          <t>2026-08-12T19:33:32.932123Z</t>
        </is>
      </c>
      <c r="C29" s="24" t="inlineStr">
        <is>
          <t>2026-08-12T22:00:00-0400</t>
        </is>
      </c>
      <c r="D29" s="24" t="inlineStr">
        <is>
          <t>401857139</t>
        </is>
      </c>
      <c r="E29" s="24" t="inlineStr">
        <is>
          <t>WNBA</t>
        </is>
      </c>
      <c r="F29" s="24" t="inlineStr">
        <is>
          <t>Minnesota Lynx</t>
        </is>
      </c>
      <c r="G29" s="24" t="inlineStr">
        <is>
          <t>Portland Fire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-733</v>
      </c>
      <c r="M29" s="27" t="n">
        <v>1.136426</v>
      </c>
      <c r="N29" s="28" t="n">
        <v>0.879952</v>
      </c>
      <c r="O29" s="28" t="n">
        <v>0.723101</v>
      </c>
      <c r="P29" s="28" t="n"/>
      <c r="Q29" s="28" t="n">
        <v>-0.156851</v>
      </c>
      <c r="R29" s="26" t="n">
        <v>0</v>
      </c>
      <c r="S29" s="29" t="n">
        <v>2</v>
      </c>
      <c r="T29" s="24" t="inlineStr">
        <is>
          <t>wnba-elo-trend-lr-v4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Learned LR call at threshold 0.5001; executable ask 0.8800 (aec-wnba-min-por-2026-08-12); model edge vs ask -0.1569. NOTE: NO_CALL_AVAILABILITY_SOURCE_CONFLICT unavailable for this game — defaulted to neutral, other features used normally.</t>
        </is>
      </c>
      <c r="AF29" s="31" t="inlineStr">
        <is>
          <t>Learned model; shadow-qualified via operator override.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wnba-min</t>
        </is>
      </c>
      <c r="AQ29" s="24" t="inlineStr">
        <is>
          <t>Minnesota Lynx</t>
        </is>
      </c>
      <c r="AR29" s="24" t="inlineStr">
        <is>
          <t>Minnesota Lynx</t>
        </is>
      </c>
      <c r="AS29" s="24" t="inlineStr">
        <is>
          <t>wnba-por</t>
        </is>
      </c>
      <c r="AT29" s="24" t="inlineStr">
        <is>
          <t>Portland Fire</t>
        </is>
      </c>
      <c r="AU29" s="24" t="inlineStr">
        <is>
          <t>Portland Fire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7afd5274214b58b7efd7f7febc7be3ab33b92351cda5cc6403c0a39faea0cc8c</t>
        </is>
      </c>
      <c r="BB29" s="24" t="inlineStr">
        <is>
          <t>learned_lr</t>
        </is>
      </c>
      <c r="BC29" s="24" t="inlineStr">
        <is>
          <t>wnba-elo-trend-lr-v4</t>
        </is>
      </c>
      <c r="BD29" s="24" t="inlineStr">
        <is>
          <t>7afd5274214b58b7efd7f7febc7be3ab33b92351cda5cc6403c0a39faea0cc8c</t>
        </is>
      </c>
      <c r="BE29" s="24" t="inlineStr">
        <is>
          <t>54b300fef3816245</t>
        </is>
      </c>
      <c r="BF29" s="24" t="inlineStr">
        <is>
          <t>1</t>
        </is>
      </c>
      <c r="BG29" s="24" t="inlineStr">
        <is>
          <t>wnba-elo-trend-lr-v4</t>
        </is>
      </c>
      <c r="BH29" s="24" t="inlineStr">
        <is>
          <t>2026-08-12T17:41:30.941772Z</t>
        </is>
      </c>
      <c r="BI29" s="24" t="inlineStr">
        <is>
          <t>["same_event","same_team_same_day","same_league_same_day"]</t>
        </is>
      </c>
      <c r="BJ29" s="25" t="n"/>
      <c r="BK29" s="26" t="n">
        <v>-733</v>
      </c>
      <c r="BL29" s="27" t="n">
        <v>1.136426</v>
      </c>
      <c r="BM29" s="28" t="n">
        <v>0.879952</v>
      </c>
      <c r="BN29" s="28" t="n">
        <v>0.871287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0.1965379833</t>
        </is>
      </c>
      <c r="CD29" s="24" t="inlineStr">
        <is>
          <t>-1.095212</t>
        </is>
      </c>
      <c r="CE29" s="24" t="n"/>
      <c r="CF29" s="24" t="n"/>
      <c r="CG29" s="24" t="n"/>
      <c r="CH29" s="24" t="n"/>
      <c r="CI29" s="24" t="inlineStr">
        <is>
          <t>NO_CALL_AVAILABILITY_SOURCE_CONFLICT</t>
        </is>
      </c>
      <c r="CJ29" s="24" t="inlineStr">
        <is>
          <t>3.932321</t>
        </is>
      </c>
      <c r="CK29" s="24" t="n"/>
      <c r="CL29" s="24" t="n"/>
      <c r="CM29" s="24" t="n"/>
      <c r="CN29" s="24" t="n"/>
      <c r="CO29" s="24" t="n"/>
      <c r="CP29" s="24" t="n"/>
      <c r="CQ29" s="24" t="n"/>
      <c r="CR29" s="24" t="inlineStr">
        <is>
          <t>0.723101</t>
        </is>
      </c>
      <c r="CS29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2026-08-12T19:33:34Z</dcterms:created>
  <dcterms:modified xmlns:dcterms="http://purl.org/dc/terms/" xmlns:xsi="http://www.w3.org/2001/XMLSchema-instance" xsi:type="dcterms:W3CDTF">2026-08-12T19:33:34Z</dcterms:modified>
</cp:coreProperties>
</file>