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3" headerRowCount="1">
  <autoFilter ref="A1:CS2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COUNTA('Picks'!$A$2:$A$23)</f>
        <v/>
      </c>
      <c r="C4" s="6">
        <f>COUNTIF('Picks'!$U$2:$U$23,"open")</f>
        <v/>
      </c>
      <c r="E4" s="6">
        <f>COUNTIF('Picks'!$U$2:$U$23,"settled")</f>
        <v/>
      </c>
      <c r="G4" s="6">
        <f>IF(COUNTIFS('Picks'!$U$2:$U$23,"settled",'Picks'!$V$2:$V$23,"win")+COUNTIFS('Picks'!$U$2:$U$23,"settled",'Picks'!$V$2:$V$23,"loss")&gt;=$L$2,"Ready","Insufficient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COUNTIF('Picks'!$BX$2:$BX$23,"&gt;0")</f>
        <v/>
      </c>
      <c r="C7" s="6">
        <f>COUNTIFS('Picks'!$BX$2:$BX$23,"&gt;0",'Picks'!$V$2:$V$23,"win")&amp;"-"&amp;COUNTIFS('Picks'!$BX$2:$BX$23,"&gt;0",'Picks'!$V$2:$V$23,"loss")</f>
        <v/>
      </c>
      <c r="E7" s="7">
        <f>IFERROR(COUNTIFS('Picks'!$BX$2:$BX$23,"&gt;0",'Picks'!$V$2:$V$23,"win")/(COUNTIFS('Picks'!$BX$2:$BX$23,"&gt;0",'Picks'!$V$2:$V$23,"win")+COUNTIFS('Picks'!$BX$2:$BX$23,"&gt;0",'Picks'!$V$2:$V$23,"loss")),0)</f>
        <v/>
      </c>
      <c r="G7" s="7">
        <f>IFERROR(SUM('Picks'!$BY$2:$BY$23)/SUM('Picks'!$BX$2:$BX$23),0)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SUM('Picks'!$BY$2:$BY$23)</f>
        <v/>
      </c>
      <c r="C10" s="9">
        <f>IFERROR(AVERAGEIF('Picks'!$AB$2:$AB$23,"&lt;&gt;",'Picks'!$AB$2:$AB$23),0)</f>
        <v/>
      </c>
      <c r="E10" s="6">
        <f>COUNTIFS('Picks'!$AM$2:$AM$23,"QUALIFIED_SHADOW_CALL",'Picks'!$U$2:$U$23,"settled")</f>
        <v/>
      </c>
      <c r="G10" s="8">
        <f>SUMIFS('Picks'!$AC$2:$AC$23,'Picks'!$AM$2:$AM$23,"QUALIFIED_SHADOW_CALL")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COUNTIFS('Picks'!$H$2:$H$23,$A14,'Picks'!$U$2:$U$23,"settled")</f>
        <v/>
      </c>
      <c r="C14" s="13">
        <f>COUNTIFS('Picks'!$H$2:$H$23,$A14,'Picks'!$U$2:$U$23,"settled",'Picks'!$V$2:$V$23,"win")</f>
        <v/>
      </c>
      <c r="D14" s="13">
        <f>COUNTIFS('Picks'!$H$2:$H$23,$A14,'Picks'!$U$2:$U$23,"settled",'Picks'!$V$2:$V$23,"loss")</f>
        <v/>
      </c>
      <c r="E14" s="14">
        <f>IFERROR(C14/(C14+D14),0)</f>
        <v/>
      </c>
      <c r="F14" s="15">
        <f>SUMIFS('Picks'!$BY$2:$BY$23,'Picks'!$H$2:$H$23,$A14)</f>
        <v/>
      </c>
      <c r="G14" s="16">
        <f>IFERROR(AVERAGEIFS('Picks'!$AB$2:$AB$23,'Picks'!$H$2:$H$23,$A14,'Picks'!$U$2:$U$23,"settled"),0)</f>
        <v/>
      </c>
    </row>
    <row r="15">
      <c r="A15" s="17" t="inlineStr">
        <is>
          <t>spread</t>
        </is>
      </c>
      <c r="B15" s="18">
        <f>COUNTIFS('Picks'!$H$2:$H$23,$A15,'Picks'!$U$2:$U$23,"settled")</f>
        <v/>
      </c>
      <c r="C15" s="18">
        <f>COUNTIFS('Picks'!$H$2:$H$23,$A15,'Picks'!$U$2:$U$23,"settled",'Picks'!$V$2:$V$23,"win")</f>
        <v/>
      </c>
      <c r="D15" s="18">
        <f>COUNTIFS('Picks'!$H$2:$H$23,$A15,'Picks'!$U$2:$U$23,"settled",'Picks'!$V$2:$V$23,"loss")</f>
        <v/>
      </c>
      <c r="E15" s="19">
        <f>IFERROR(C15/(C15+D15),0)</f>
        <v/>
      </c>
      <c r="F15" s="20">
        <f>SUMIFS('Picks'!$BY$2:$BY$23,'Picks'!$H$2:$H$23,$A15)</f>
        <v/>
      </c>
      <c r="G15" s="21">
        <f>IFERROR(AVERAGEIFS('Picks'!$AB$2:$AB$23,'Picks'!$H$2:$H$23,$A15,'Picks'!$U$2:$U$23,"settled"),0)</f>
        <v/>
      </c>
    </row>
    <row r="16">
      <c r="A16" s="12" t="inlineStr">
        <is>
          <t>total</t>
        </is>
      </c>
      <c r="B16" s="13">
        <f>COUNTIFS('Picks'!$H$2:$H$23,$A16,'Picks'!$U$2:$U$23,"settled")</f>
        <v/>
      </c>
      <c r="C16" s="13">
        <f>COUNTIFS('Picks'!$H$2:$H$23,$A16,'Picks'!$U$2:$U$23,"settled",'Picks'!$V$2:$V$23,"win")</f>
        <v/>
      </c>
      <c r="D16" s="13">
        <f>COUNTIFS('Picks'!$H$2:$H$23,$A16,'Picks'!$U$2:$U$23,"settled",'Picks'!$V$2:$V$23,"loss")</f>
        <v/>
      </c>
      <c r="E16" s="14">
        <f>IFERROR(C16/(C16+D16),0)</f>
        <v/>
      </c>
      <c r="F16" s="15">
        <f>SUMIFS('Picks'!$BY$2:$BY$23,'Picks'!$H$2:$H$23,$A16)</f>
        <v/>
      </c>
      <c r="G16" s="16">
        <f>IFERROR(AVERAGEIFS('Picks'!$AB$2:$AB$23,'Picks'!$H$2:$H$23,$A16,'Picks'!$U$2:$U$23,"settled"),0)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44cbe8b8d0264820</t>
        </is>
      </c>
      <c r="B20" s="24" t="inlineStr">
        <is>
          <t>2026-08-05T13:54:09.180176Z</t>
        </is>
      </c>
      <c r="C20" s="24" t="inlineStr">
        <is>
          <t>2026-08-05T19:00:00-0400</t>
        </is>
      </c>
      <c r="D20" s="24" t="inlineStr">
        <is>
          <t>401857115</t>
        </is>
      </c>
      <c r="E20" s="24" t="inlineStr">
        <is>
          <t>WNBA</t>
        </is>
      </c>
      <c r="F20" s="24" t="inlineStr">
        <is>
          <t>Phoenix Mercury</t>
        </is>
      </c>
      <c r="G20" s="24" t="inlineStr">
        <is>
          <t>Atlanta Dream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0.660664</v>
      </c>
      <c r="P20" s="28" t="n"/>
      <c r="Q20" s="28" t="n">
        <v>0.0008</v>
      </c>
      <c r="R20" s="26" t="n">
        <v>24</v>
      </c>
      <c r="S20" s="29" t="n">
        <v>1.75</v>
      </c>
      <c r="T20" s="24" t="inlineStr">
        <is>
          <t>wnba-elo-trend-lr-v4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0.5001; executable ask 0.6600 (aec-wnba-phx-atl-2026-08-05); model edge vs ask +0.0007.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wnba-phx</t>
        </is>
      </c>
      <c r="AQ20" s="24" t="inlineStr">
        <is>
          <t>Phoenix Mercury</t>
        </is>
      </c>
      <c r="AR20" s="24" t="inlineStr">
        <is>
          <t>Phoenix Mercury</t>
        </is>
      </c>
      <c r="AS20" s="24" t="inlineStr">
        <is>
          <t>wnba-atl</t>
        </is>
      </c>
      <c r="AT20" s="24" t="inlineStr">
        <is>
          <t>Atlanta Dream</t>
        </is>
      </c>
      <c r="AU20" s="24" t="inlineStr">
        <is>
          <t>Atlanta Dream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db4cf2e6209fa446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2026-08-05T13:52:33.816980Z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>
        <v>0.653465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0.708542691</t>
        </is>
      </c>
      <c r="CD20" s="24" t="inlineStr">
        <is>
          <t>-1.788883</t>
        </is>
      </c>
      <c r="CE20" s="24" t="n"/>
      <c r="CF20" s="24" t="n"/>
      <c r="CG20" s="24" t="n"/>
      <c r="CH20" s="24" t="n"/>
      <c r="CI20" s="24" t="n"/>
      <c r="CJ20" s="24" t="inlineStr">
        <is>
          <t>-1.7391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0.660664</t>
        </is>
      </c>
      <c r="CS20" s="24" t="inlineStr">
        <is>
          <t>True</t>
        </is>
      </c>
    </row>
    <row r="21" ht="36" customHeight="1">
      <c r="A21" s="24" t="inlineStr">
        <is>
          <t>00b48726a83d4197</t>
        </is>
      </c>
      <c r="B21" s="24" t="inlineStr">
        <is>
          <t>2026-08-05T13:54:09.180176Z</t>
        </is>
      </c>
      <c r="C21" s="24" t="inlineStr">
        <is>
          <t>2026-08-05T19:00:00-0400</t>
        </is>
      </c>
      <c r="D21" s="24" t="inlineStr">
        <is>
          <t>401857116</t>
        </is>
      </c>
      <c r="E21" s="24" t="inlineStr">
        <is>
          <t>WNBA</t>
        </is>
      </c>
      <c r="F21" s="24" t="inlineStr">
        <is>
          <t>Seattle Storm</t>
        </is>
      </c>
      <c r="G21" s="24" t="inlineStr">
        <is>
          <t>New York Liberty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-335</v>
      </c>
      <c r="M21" s="27" t="n">
        <v>1.298507</v>
      </c>
      <c r="N21" s="28" t="n">
        <v>0.770115</v>
      </c>
      <c r="O21" s="28" t="n">
        <v>0.741322</v>
      </c>
      <c r="P21" s="28" t="n"/>
      <c r="Q21" s="28" t="n">
        <v>-0.028793</v>
      </c>
      <c r="R21" s="26" t="n">
        <v>9</v>
      </c>
      <c r="S21" s="29" t="n">
        <v>2</v>
      </c>
      <c r="T21" s="24" t="inlineStr">
        <is>
          <t>wnba-elo-trend-lr-v4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Learned LR call at threshold 0.5001; executable ask 0.7700 (aec-wnba-sea-ny-2026-08-05); model edge vs ask -0.0287.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wnba-sea</t>
        </is>
      </c>
      <c r="AQ21" s="24" t="inlineStr">
        <is>
          <t>Seattle Storm</t>
        </is>
      </c>
      <c r="AR21" s="24" t="inlineStr">
        <is>
          <t>Seattle Storm</t>
        </is>
      </c>
      <c r="AS21" s="24" t="inlineStr">
        <is>
          <t>wnba-nyl</t>
        </is>
      </c>
      <c r="AT21" s="24" t="inlineStr">
        <is>
          <t>New York Liberty</t>
        </is>
      </c>
      <c r="AU21" s="24" t="inlineStr">
        <is>
          <t>New York Liberty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cbc087f3d2f12e27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2026-08-05T13:52:34.422318Z</t>
        </is>
      </c>
      <c r="BI21" s="24" t="inlineStr">
        <is>
          <t>["same_event","same_team_same_day","same_league_same_day"]</t>
        </is>
      </c>
      <c r="BJ21" s="25" t="n"/>
      <c r="BK21" s="26" t="n">
        <v>-335</v>
      </c>
      <c r="BL21" s="27" t="n">
        <v>1.298507</v>
      </c>
      <c r="BM21" s="28" t="n">
        <v>0.770115</v>
      </c>
      <c r="BN21" s="28" t="n">
        <v>0.7623760000000001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0.8394756417</t>
        </is>
      </c>
      <c r="CD21" s="24" t="inlineStr">
        <is>
          <t>0.315883</t>
        </is>
      </c>
      <c r="CE21" s="24" t="n"/>
      <c r="CF21" s="24" t="n"/>
      <c r="CG21" s="24" t="n"/>
      <c r="CH21" s="24" t="n"/>
      <c r="CI21" s="24" t="n"/>
      <c r="CJ21" s="24" t="inlineStr">
        <is>
          <t>1.520421</t>
        </is>
      </c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0.741322</t>
        </is>
      </c>
      <c r="CS21" s="24" t="inlineStr">
        <is>
          <t>False</t>
        </is>
      </c>
    </row>
    <row r="22" ht="36" customHeight="1">
      <c r="A22" s="24" t="inlineStr">
        <is>
          <t>9c65544ccda74f54</t>
        </is>
      </c>
      <c r="B22" s="24" t="inlineStr">
        <is>
          <t>2026-08-05T13:54:09.180176Z</t>
        </is>
      </c>
      <c r="C22" s="24" t="inlineStr">
        <is>
          <t>2026-08-05T19:30:00-0400</t>
        </is>
      </c>
      <c r="D22" s="24" t="inlineStr">
        <is>
          <t>401857117</t>
        </is>
      </c>
      <c r="E22" s="24" t="inlineStr">
        <is>
          <t>WNBA</t>
        </is>
      </c>
      <c r="F22" s="24" t="inlineStr">
        <is>
          <t>Dallas Wings</t>
        </is>
      </c>
      <c r="G22" s="24" t="inlineStr">
        <is>
          <t>Washington Mystics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0.532764</v>
      </c>
      <c r="P22" s="28" t="n"/>
      <c r="Q22" s="28" t="n">
        <v>-0.038051</v>
      </c>
      <c r="R22" s="26" t="n">
        <v>4</v>
      </c>
      <c r="S22" s="29" t="n">
        <v>1</v>
      </c>
      <c r="T22" s="24" t="inlineStr">
        <is>
          <t>wnba-elo-trend-lr-v4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Learned LR call at threshold 0.5001; executable ask 0.5700 (aec-wnba-dal-wsh-2026-08-05); model edge vs ask -0.0372. NOTE: NO_CALL_AVAILABILITY_REPORT_INCOMPLETE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wnba-dal</t>
        </is>
      </c>
      <c r="AQ22" s="24" t="inlineStr">
        <is>
          <t>Dallas Wings</t>
        </is>
      </c>
      <c r="AR22" s="24" t="inlineStr">
        <is>
          <t>Dallas Wings</t>
        </is>
      </c>
      <c r="AS22" s="24" t="inlineStr">
        <is>
          <t>wnba-was</t>
        </is>
      </c>
      <c r="AT22" s="24" t="inlineStr">
        <is>
          <t>Washington Mystics</t>
        </is>
      </c>
      <c r="AU22" s="24" t="inlineStr">
        <is>
          <t>Washington Mystics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72f5694b0619f905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2026-08-05T13:52:34.867255Z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>
        <v>0.564356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0.4611418469</t>
        </is>
      </c>
      <c r="CD22" s="24" t="inlineStr">
        <is>
          <t>1.287558</t>
        </is>
      </c>
      <c r="CE22" s="24" t="n"/>
      <c r="CF22" s="24" t="n"/>
      <c r="CG22" s="24" t="n"/>
      <c r="CH22" s="24" t="n"/>
      <c r="CI22" s="24" t="inlineStr">
        <is>
          <t>NO_CALL_AVAILABILITY_REPORT_INCOMPLETE</t>
        </is>
      </c>
      <c r="CJ22" s="24" t="inlineStr">
        <is>
          <t>-1.305803</t>
        </is>
      </c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0.532764</t>
        </is>
      </c>
      <c r="CS22" s="24" t="inlineStr">
        <is>
          <t>False</t>
        </is>
      </c>
    </row>
    <row r="23" ht="36" customHeight="1">
      <c r="A23" s="24" t="inlineStr">
        <is>
          <t>574a844222a04524</t>
        </is>
      </c>
      <c r="B23" s="24" t="inlineStr">
        <is>
          <t>2026-08-05T13:54:09.180176Z</t>
        </is>
      </c>
      <c r="C23" s="24" t="inlineStr">
        <is>
          <t>2026-08-05T21:00:00-0400</t>
        </is>
      </c>
      <c r="D23" s="24" t="inlineStr">
        <is>
          <t>401857118</t>
        </is>
      </c>
      <c r="E23" s="24" t="inlineStr">
        <is>
          <t>WNBA</t>
        </is>
      </c>
      <c r="F23" s="24" t="inlineStr">
        <is>
          <t>Los Angeles Sparks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-133</v>
      </c>
      <c r="M23" s="27" t="n">
        <v>1.75188</v>
      </c>
      <c r="N23" s="28" t="n">
        <v>0.570815</v>
      </c>
      <c r="O23" s="28" t="n">
        <v>0.549529</v>
      </c>
      <c r="P23" s="28" t="n"/>
      <c r="Q23" s="28" t="n">
        <v>-0.021286</v>
      </c>
      <c r="R23" s="26" t="n">
        <v>13</v>
      </c>
      <c r="S23" s="29" t="n">
        <v>1</v>
      </c>
      <c r="T23" s="24" t="inlineStr">
        <is>
          <t>wnba-elo-trend-lr-v4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Learned LR call at threshold 0.5001; executable ask 0.5700 (aec-wnba-la-chi-2026-08-05); model edge vs ask -0.0205. NOTE: NO_CALL_AVAILABILITY_REPORT_INCOMPLETE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wnba-las</t>
        </is>
      </c>
      <c r="AQ23" s="24" t="inlineStr">
        <is>
          <t>Los Angeles Sparks</t>
        </is>
      </c>
      <c r="AR23" s="24" t="inlineStr">
        <is>
          <t>Los Angeles Sparks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5cc21b269728431d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2026-08-05T13:52:35.451044Z</t>
        </is>
      </c>
      <c r="BI23" s="24" t="inlineStr">
        <is>
          <t>["same_event","same_team_same_day","same_league_same_day"]</t>
        </is>
      </c>
      <c r="BJ23" s="25" t="n"/>
      <c r="BK23" s="26" t="n">
        <v>-133</v>
      </c>
      <c r="BL23" s="27" t="n">
        <v>1.75188</v>
      </c>
      <c r="BM23" s="28" t="n">
        <v>0.570815</v>
      </c>
      <c r="BN23" s="28" t="n">
        <v>0.564356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0.573492291</t>
        </is>
      </c>
      <c r="CD23" s="24" t="inlineStr">
        <is>
          <t>3.024749</t>
        </is>
      </c>
      <c r="CE23" s="24" t="n"/>
      <c r="CF23" s="24" t="n"/>
      <c r="CG23" s="24" t="n"/>
      <c r="CH23" s="24" t="n"/>
      <c r="CI23" s="24" t="inlineStr">
        <is>
          <t>NO_CALL_AVAILABILITY_REPORT_INCOMPLETE</t>
        </is>
      </c>
      <c r="CJ23" s="24" t="inlineStr">
        <is>
          <t>2.235061</t>
        </is>
      </c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0.549529</t>
        </is>
      </c>
      <c r="CS23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2026-08-05T13:54:19Z</dcterms:created>
  <dcterms:modified xmlns:dcterms="http://purl.org/dc/terms/" xmlns:xsi="http://www.w3.org/2001/XMLSchema-instance" xsi:type="dcterms:W3CDTF">2026-08-05T13:54:19Z</dcterms:modified>
</cp:coreProperties>
</file>