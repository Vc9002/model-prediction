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79" headerRowCount="1">
  <autoFilter ref="A1:CS7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COUNTA('Picks'!$A$2:$A$79)</f>
        <v/>
      </c>
      <c r="C4" s="6">
        <f>COUNTIF('Picks'!$U$2:$U$79,"open")</f>
        <v/>
      </c>
      <c r="E4" s="6">
        <f>COUNTIF('Picks'!$U$2:$U$79,"settled")</f>
        <v/>
      </c>
      <c r="G4" s="6">
        <f>IF(COUNTIFS('Picks'!$U$2:$U$79,"settled",'Picks'!$V$2:$V$79,"win")+COUNTIFS('Picks'!$U$2:$U$79,"settled",'Picks'!$V$2:$V$79,"loss")&gt;=$L$2,"Ready","Insufficient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COUNTIF('Picks'!$BX$2:$BX$79,"&gt;0")</f>
        <v/>
      </c>
      <c r="C7" s="6">
        <f>COUNTIFS('Picks'!$BX$2:$BX$79,"&gt;0",'Picks'!$V$2:$V$79,"win")&amp;"-"&amp;COUNTIFS('Picks'!$BX$2:$BX$79,"&gt;0",'Picks'!$V$2:$V$79,"loss")</f>
        <v/>
      </c>
      <c r="E7" s="7">
        <f>IFERROR(COUNTIFS('Picks'!$BX$2:$BX$79,"&gt;0",'Picks'!$V$2:$V$79,"win")/(COUNTIFS('Picks'!$BX$2:$BX$79,"&gt;0",'Picks'!$V$2:$V$79,"win")+COUNTIFS('Picks'!$BX$2:$BX$79,"&gt;0",'Picks'!$V$2:$V$79,"loss")),0)</f>
        <v/>
      </c>
      <c r="G7" s="7">
        <f>IFERROR(SUM('Picks'!$BY$2:$BY$79)/SUM('Picks'!$BX$2:$BX$79),0)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SUM('Picks'!$BY$2:$BY$79)</f>
        <v/>
      </c>
      <c r="C10" s="9">
        <f>IFERROR(AVERAGEIF('Picks'!$AB$2:$AB$79,"&lt;&gt;",'Picks'!$AB$2:$AB$79),0)</f>
        <v/>
      </c>
      <c r="E10" s="6">
        <f>COUNTIFS('Picks'!$AM$2:$AM$79,"QUALIFIED_SHADOW_CALL",'Picks'!$U$2:$U$79,"settled")</f>
        <v/>
      </c>
      <c r="G10" s="8">
        <f>SUMIFS('Picks'!$AC$2:$AC$79,'Picks'!$AM$2:$AM$79,"QUALIFIED_SHADOW_CALL")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COUNTIFS('Picks'!$H$2:$H$79,$A14,'Picks'!$U$2:$U$79,"settled")</f>
        <v/>
      </c>
      <c r="C14" s="13">
        <f>COUNTIFS('Picks'!$H$2:$H$79,$A14,'Picks'!$U$2:$U$79,"settled",'Picks'!$V$2:$V$79,"win")</f>
        <v/>
      </c>
      <c r="D14" s="13">
        <f>COUNTIFS('Picks'!$H$2:$H$79,$A14,'Picks'!$U$2:$U$79,"settled",'Picks'!$V$2:$V$79,"loss")</f>
        <v/>
      </c>
      <c r="E14" s="14">
        <f>IFERROR(C14/(C14+D14),0)</f>
        <v/>
      </c>
      <c r="F14" s="15">
        <f>SUMIFS('Picks'!$BY$2:$BY$79,'Picks'!$H$2:$H$79,$A14)</f>
        <v/>
      </c>
      <c r="G14" s="16">
        <f>IFERROR(AVERAGEIFS('Picks'!$AB$2:$AB$79,'Picks'!$H$2:$H$79,$A14,'Picks'!$U$2:$U$79,"settled"),0)</f>
        <v/>
      </c>
    </row>
    <row r="15">
      <c r="A15" s="17" t="inlineStr">
        <is>
          <t>spread</t>
        </is>
      </c>
      <c r="B15" s="18">
        <f>COUNTIFS('Picks'!$H$2:$H$79,$A15,'Picks'!$U$2:$U$79,"settled")</f>
        <v/>
      </c>
      <c r="C15" s="18">
        <f>COUNTIFS('Picks'!$H$2:$H$79,$A15,'Picks'!$U$2:$U$79,"settled",'Picks'!$V$2:$V$79,"win")</f>
        <v/>
      </c>
      <c r="D15" s="18">
        <f>COUNTIFS('Picks'!$H$2:$H$79,$A15,'Picks'!$U$2:$U$79,"settled",'Picks'!$V$2:$V$79,"loss")</f>
        <v/>
      </c>
      <c r="E15" s="19">
        <f>IFERROR(C15/(C15+D15),0)</f>
        <v/>
      </c>
      <c r="F15" s="20">
        <f>SUMIFS('Picks'!$BY$2:$BY$79,'Picks'!$H$2:$H$79,$A15)</f>
        <v/>
      </c>
      <c r="G15" s="21">
        <f>IFERROR(AVERAGEIFS('Picks'!$AB$2:$AB$79,'Picks'!$H$2:$H$79,$A15,'Picks'!$U$2:$U$79,"settled"),0)</f>
        <v/>
      </c>
    </row>
    <row r="16">
      <c r="A16" s="12" t="inlineStr">
        <is>
          <t>total</t>
        </is>
      </c>
      <c r="B16" s="13">
        <f>COUNTIFS('Picks'!$H$2:$H$79,$A16,'Picks'!$U$2:$U$79,"settled")</f>
        <v/>
      </c>
      <c r="C16" s="13">
        <f>COUNTIFS('Picks'!$H$2:$H$79,$A16,'Picks'!$U$2:$U$79,"settled",'Picks'!$V$2:$V$79,"win")</f>
        <v/>
      </c>
      <c r="D16" s="13">
        <f>COUNTIFS('Picks'!$H$2:$H$79,$A16,'Picks'!$U$2:$U$79,"settled",'Picks'!$V$2:$V$79,"loss")</f>
        <v/>
      </c>
      <c r="E16" s="14">
        <f>IFERROR(C16/(C16+D16),0)</f>
        <v/>
      </c>
      <c r="F16" s="15">
        <f>SUMIFS('Picks'!$BY$2:$BY$79,'Picks'!$H$2:$H$79,$A16)</f>
        <v/>
      </c>
      <c r="G16" s="16">
        <f>IFERROR(AVERAGEIFS('Picks'!$AB$2:$AB$79,'Picks'!$H$2:$H$79,$A16,'Picks'!$U$2:$U$79,"settled"),0)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0.625602</t>
        </is>
      </c>
      <c r="CS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0.648206</t>
        </is>
      </c>
      <c r="CS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5</v>
      </c>
      <c r="Y40" s="25" t="n">
        <v>1.5</v>
      </c>
      <c r="Z40" s="26" t="n">
        <v>-174</v>
      </c>
      <c r="AA40" s="28" t="n">
        <v>0.635</v>
      </c>
      <c r="AB40" s="28" t="n">
        <v>-3.6e-05</v>
      </c>
      <c r="AC40" s="30" t="n">
        <v>0.8621</v>
      </c>
      <c r="AD40" s="24" t="inlineStr">
        <is>
          <t>2026-08-04T05:15:15.052080Z</t>
        </is>
      </c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>
        <v>1.574713</v>
      </c>
      <c r="BR40" s="28" t="n">
        <v>0.635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5</v>
      </c>
      <c r="Y41" s="25" t="n">
        <v>8.5</v>
      </c>
      <c r="Z41" s="26" t="n">
        <v>115</v>
      </c>
      <c r="AA41" s="28" t="n">
        <v>0.465</v>
      </c>
      <c r="AB41" s="28" t="n">
        <v>-0.000116</v>
      </c>
      <c r="AC41" s="30" t="n">
        <v>1.15</v>
      </c>
      <c r="AD41" s="24" t="inlineStr">
        <is>
          <t>2026-08-04T05:15:15.302651Z</t>
        </is>
      </c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>
        <v>2.15</v>
      </c>
      <c r="BR41" s="28" t="n">
        <v>0.465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bcb6241cb2b04b99</t>
        </is>
      </c>
      <c r="B42" s="24" t="inlineStr">
        <is>
          <t>2026-08-05T01:08:02.646600Z</t>
        </is>
      </c>
      <c r="C42" s="24" t="inlineStr">
        <is>
          <t>2026-08-05T01:40Z</t>
        </is>
      </c>
      <c r="D42" s="24" t="inlineStr">
        <is>
          <t>401816397</t>
        </is>
      </c>
      <c r="E42" s="24" t="inlineStr">
        <is>
          <t>MLB</t>
        </is>
      </c>
      <c r="F42" s="24" t="inlineStr">
        <is>
          <t>Detroit Tigers</t>
        </is>
      </c>
      <c r="G42" s="24" t="inlineStr">
        <is>
          <t>Seattle Mariners</t>
        </is>
      </c>
      <c r="H42" s="24" t="inlineStr">
        <is>
          <t>spread</t>
        </is>
      </c>
      <c r="I42" s="24" t="inlineStr">
        <is>
          <t>away</t>
        </is>
      </c>
      <c r="J42" s="25" t="n">
        <v>1.5</v>
      </c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0.657369</v>
      </c>
      <c r="P42" s="28" t="n">
        <v>0.042131</v>
      </c>
      <c r="Q42" s="28" t="n">
        <v>0.007019</v>
      </c>
      <c r="R42" s="26" t="n">
        <v>30</v>
      </c>
      <c r="S42" s="29" t="n">
        <v>1.75</v>
      </c>
      <c r="T42" s="24" t="inlineStr">
        <is>
          <t>measured-edge-margin-v3</t>
        </is>
      </c>
      <c r="U42" s="24" t="inlineStr">
        <is>
          <t>settled</t>
        </is>
      </c>
      <c r="V42" s="24" t="inlineStr">
        <is>
          <t>win</t>
        </is>
      </c>
      <c r="W42" s="26" t="n">
        <v>8</v>
      </c>
      <c r="X42" s="26" t="n">
        <v>0</v>
      </c>
      <c r="Y42" s="25" t="n">
        <v>1.5</v>
      </c>
      <c r="Z42" s="26" t="n">
        <v>-186</v>
      </c>
      <c r="AA42" s="28" t="n">
        <v>0.65</v>
      </c>
      <c r="AB42" s="28" t="n">
        <v>-0.00035</v>
      </c>
      <c r="AC42" s="30" t="n">
        <v>0.9409</v>
      </c>
      <c r="AD42" s="24" t="inlineStr">
        <is>
          <t>2026-08-05T04:21:26.372391Z</t>
        </is>
      </c>
      <c r="AE42" s="31" t="inlineStr">
        <is>
          <t>Measured Edge Margin: Trend Engine projected 4.19-3.76; raw selected-side p=0.7309, calibrated p=0.6574.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mlb-det</t>
        </is>
      </c>
      <c r="AQ42" s="24" t="inlineStr">
        <is>
          <t>Detroit Tigers</t>
        </is>
      </c>
      <c r="AR42" s="24" t="inlineStr">
        <is>
          <t>Detroit Tigers</t>
        </is>
      </c>
      <c r="AS42" s="24" t="inlineStr">
        <is>
          <t>mlb-sea</t>
        </is>
      </c>
      <c r="AT42" s="24" t="inlineStr">
        <is>
          <t>Seattle Mariners</t>
        </is>
      </c>
      <c r="AU42" s="24" t="inlineStr">
        <is>
          <t>Seattle Mariners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dd339a2eed50d7d83ab2127837995ddab82e879afd27f5414bb6c1f9cd60ba4c</t>
        </is>
      </c>
      <c r="BB42" s="24" t="inlineStr">
        <is>
          <t>flat_probability_shrinkage_toward_half</t>
        </is>
      </c>
      <c r="BC42" s="24" t="inlineStr">
        <is>
          <t>measured-edge-margin-v3</t>
        </is>
      </c>
      <c r="BD42" s="24" t="inlineStr">
        <is>
          <t>dd339a2eed50d7d83ab2127837995ddab82e879afd27f5414bb6c1f9cd60ba4c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2026-08-05T01:08:02.646600Z</t>
        </is>
      </c>
      <c r="BI42" s="24" t="inlineStr">
        <is>
          <t>["same_event","same_team_same_day","same_league_same_day"]</t>
        </is>
      </c>
      <c r="BJ42" s="25" t="n">
        <v>1.5</v>
      </c>
      <c r="BK42" s="26" t="n">
        <v>-186</v>
      </c>
      <c r="BL42" s="27" t="n">
        <v>1.537634</v>
      </c>
      <c r="BM42" s="28" t="n">
        <v>0.65035</v>
      </c>
      <c r="BN42" s="28" t="n">
        <v>0.646766</v>
      </c>
      <c r="BO42" s="28" t="n"/>
      <c r="BP42" s="25" t="n"/>
      <c r="BQ42" s="27" t="n">
        <v>1.537634</v>
      </c>
      <c r="BR42" s="28" t="n">
        <v>0.65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ce99df3a66214167</t>
        </is>
      </c>
      <c r="B43" s="24" t="inlineStr">
        <is>
          <t>2026-08-05T01:08:02.646600Z</t>
        </is>
      </c>
      <c r="C43" s="24" t="inlineStr">
        <is>
          <t>2026-08-05T01:40Z</t>
        </is>
      </c>
      <c r="D43" s="24" t="inlineStr">
        <is>
          <t>401816397</t>
        </is>
      </c>
      <c r="E43" s="24" t="inlineStr">
        <is>
          <t>MLB</t>
        </is>
      </c>
      <c r="F43" s="24" t="inlineStr">
        <is>
          <t>Detroit Tigers</t>
        </is>
      </c>
      <c r="G43" s="24" t="inlineStr">
        <is>
          <t>Seattle Mariners</t>
        </is>
      </c>
      <c r="H43" s="24" t="inlineStr">
        <is>
          <t>total</t>
        </is>
      </c>
      <c r="I43" s="24" t="inlineStr">
        <is>
          <t>under</t>
        </is>
      </c>
      <c r="J43" s="25" t="n">
        <v>7.5</v>
      </c>
      <c r="K43" s="24" t="inlineStr">
        <is>
          <t>polymarket_us</t>
        </is>
      </c>
      <c r="L43" s="26" t="n">
        <v>108</v>
      </c>
      <c r="M43" s="27" t="n">
        <v>2.08</v>
      </c>
      <c r="N43" s="28" t="n">
        <v>0.480769</v>
      </c>
      <c r="O43" s="28" t="n">
        <v>0.506992</v>
      </c>
      <c r="P43" s="28" t="n">
        <v>0.042131</v>
      </c>
      <c r="Q43" s="28" t="n">
        <v>0.026223</v>
      </c>
      <c r="R43" s="26" t="n">
        <v>39</v>
      </c>
      <c r="S43" s="29" t="n">
        <v>1</v>
      </c>
      <c r="T43" s="24" t="inlineStr">
        <is>
          <t>measured-edge-totals-v3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0</v>
      </c>
      <c r="Y43" s="25" t="n">
        <v>7.5</v>
      </c>
      <c r="Z43" s="26" t="n">
        <v>108</v>
      </c>
      <c r="AA43" s="28" t="n">
        <v>0.48</v>
      </c>
      <c r="AB43" s="28" t="n">
        <v>-0.000769</v>
      </c>
      <c r="AC43" s="30" t="n">
        <v>-1</v>
      </c>
      <c r="AD43" s="24" t="inlineStr">
        <is>
          <t>2026-08-05T04:21:26.662275Z</t>
        </is>
      </c>
      <c r="AE43" s="31" t="inlineStr">
        <is>
          <t>Measured Edge Totals: Trend Engine projected 4.19-3.76; raw selected-side p=0.5048, calibrated p=0.5070.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mlb-det</t>
        </is>
      </c>
      <c r="AQ43" s="24" t="inlineStr">
        <is>
          <t>Detroit Tigers</t>
        </is>
      </c>
      <c r="AR43" s="24" t="inlineStr">
        <is>
          <t>Detroit Tigers</t>
        </is>
      </c>
      <c r="AS43" s="24" t="inlineStr">
        <is>
          <t>mlb-sea</t>
        </is>
      </c>
      <c r="AT43" s="24" t="inlineStr">
        <is>
          <t>Seattle Mariners</t>
        </is>
      </c>
      <c r="AU43" s="24" t="inlineStr">
        <is>
          <t>Seattle Mariners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95b84332c75d2ce54036eb8de6ada9c78d0f80228c50825c0347281a8b9b49c7</t>
        </is>
      </c>
      <c r="BB43" s="24" t="inlineStr">
        <is>
          <t>flat_probability_shrinkage_toward_half</t>
        </is>
      </c>
      <c r="BC43" s="24" t="inlineStr">
        <is>
          <t>measured-edge-totals-v3</t>
        </is>
      </c>
      <c r="BD43" s="24" t="inlineStr">
        <is>
          <t>95b84332c75d2ce54036eb8de6ada9c78d0f80228c50825c0347281a8b9b49c7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2026-08-05T01:08:02.646600Z</t>
        </is>
      </c>
      <c r="BI43" s="24" t="inlineStr">
        <is>
          <t>["same_event","same_team_same_day","same_league_same_day"]</t>
        </is>
      </c>
      <c r="BJ43" s="25" t="n">
        <v>7.5</v>
      </c>
      <c r="BK43" s="26" t="n">
        <v>108</v>
      </c>
      <c r="BL43" s="27" t="n">
        <v>2.08</v>
      </c>
      <c r="BM43" s="28" t="n">
        <v>0.480769</v>
      </c>
      <c r="BN43" s="28" t="n">
        <v>0.477612</v>
      </c>
      <c r="BO43" s="28" t="n"/>
      <c r="BP43" s="25" t="n"/>
      <c r="BQ43" s="27" t="n">
        <v>2.08</v>
      </c>
      <c r="BR43" s="28" t="n">
        <v>0.48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67f54f960d2240f2</t>
        </is>
      </c>
      <c r="B44" s="24" t="inlineStr">
        <is>
          <t>2026-08-05T01:08:02.646600Z</t>
        </is>
      </c>
      <c r="C44" s="24" t="inlineStr">
        <is>
          <t>2026-08-05T01:40Z</t>
        </is>
      </c>
      <c r="D44" s="24" t="inlineStr">
        <is>
          <t>401816398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Arizona Diamondbacks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-182</v>
      </c>
      <c r="M44" s="27" t="n">
        <v>1.549451</v>
      </c>
      <c r="N44" s="28" t="n">
        <v>0.64539</v>
      </c>
      <c r="O44" s="28" t="n">
        <v>0.655325</v>
      </c>
      <c r="P44" s="28" t="n">
        <v>0.042131</v>
      </c>
      <c r="Q44" s="28" t="n">
        <v>0.009934999999999999</v>
      </c>
      <c r="R44" s="26" t="n">
        <v>31</v>
      </c>
      <c r="S44" s="29" t="n">
        <v>1.75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loss</t>
        </is>
      </c>
      <c r="W44" s="26" t="n">
        <v>9</v>
      </c>
      <c r="X44" s="26" t="n">
        <v>4</v>
      </c>
      <c r="Y44" s="25" t="n">
        <v>1.5</v>
      </c>
      <c r="Z44" s="26" t="n">
        <v>-182</v>
      </c>
      <c r="AA44" s="28" t="n">
        <v>0.645</v>
      </c>
      <c r="AB44" s="28" t="n">
        <v>-0.00039</v>
      </c>
      <c r="AC44" s="30" t="n">
        <v>-1.75</v>
      </c>
      <c r="AD44" s="24" t="inlineStr">
        <is>
          <t>2026-08-05T04:33:02.754328Z</t>
        </is>
      </c>
      <c r="AE44" s="31" t="inlineStr">
        <is>
          <t>Measured Edge Margin: Trend Engine projected 4.22-4.93; raw selected-side p=0.7279, calibrated p=0.6553.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mlb-sd</t>
        </is>
      </c>
      <c r="AQ44" s="24" t="inlineStr">
        <is>
          <t>San Diego Padres</t>
        </is>
      </c>
      <c r="AR44" s="24" t="inlineStr">
        <is>
          <t>San Diego Padres</t>
        </is>
      </c>
      <c r="AS44" s="24" t="inlineStr">
        <is>
          <t>mlb-ari</t>
        </is>
      </c>
      <c r="AT44" s="24" t="inlineStr">
        <is>
          <t>Arizona Diamondbacks</t>
        </is>
      </c>
      <c r="AU44" s="24" t="inlineStr">
        <is>
          <t>Arizona Diamondbacks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2026-08-05T01:08:02.646600Z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-182</v>
      </c>
      <c r="BL44" s="27" t="n">
        <v>1.549451</v>
      </c>
      <c r="BM44" s="28" t="n">
        <v>0.64539</v>
      </c>
      <c r="BN44" s="28" t="n">
        <v>0.641791</v>
      </c>
      <c r="BO44" s="28" t="n"/>
      <c r="BP44" s="25" t="n"/>
      <c r="BQ44" s="27" t="n">
        <v>1.549451</v>
      </c>
      <c r="BR44" s="28" t="n">
        <v>0.645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44764b238eb747c7</t>
        </is>
      </c>
      <c r="B45" s="24" t="inlineStr">
        <is>
          <t>2026-08-05T01:08:02.646600Z</t>
        </is>
      </c>
      <c r="C45" s="24" t="inlineStr">
        <is>
          <t>2026-08-05T01:40Z</t>
        </is>
      </c>
      <c r="D45" s="24" t="inlineStr">
        <is>
          <t>401816398</t>
        </is>
      </c>
      <c r="E45" s="24" t="inlineStr">
        <is>
          <t>MLB</t>
        </is>
      </c>
      <c r="F45" s="24" t="inlineStr">
        <is>
          <t>San Diego Padres</t>
        </is>
      </c>
      <c r="G45" s="24" t="inlineStr">
        <is>
          <t>Arizona Diamondbacks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0.512594</v>
      </c>
      <c r="P45" s="28" t="n">
        <v>0.042131</v>
      </c>
      <c r="Q45" s="28" t="n">
        <v>-0.026577</v>
      </c>
      <c r="R45" s="26" t="n">
        <v>12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9</v>
      </c>
      <c r="X45" s="26" t="n">
        <v>4</v>
      </c>
      <c r="Y45" s="25" t="n">
        <v>8.5</v>
      </c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2026-08-05T04:33:03.225054Z</t>
        </is>
      </c>
      <c r="AE45" s="31" t="inlineStr">
        <is>
          <t>Measured Edge Totals: Trend Engine projected 4.22-4.93; raw selected-side p=0.5273, calibrated p=0.5126.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mlb-sd</t>
        </is>
      </c>
      <c r="AQ45" s="24" t="inlineStr">
        <is>
          <t>San Diego Padres</t>
        </is>
      </c>
      <c r="AR45" s="24" t="inlineStr">
        <is>
          <t>San Diego Padres</t>
        </is>
      </c>
      <c r="AS45" s="24" t="inlineStr">
        <is>
          <t>mlb-ari</t>
        </is>
      </c>
      <c r="AT45" s="24" t="inlineStr">
        <is>
          <t>Arizona Diamondbacks</t>
        </is>
      </c>
      <c r="AU45" s="24" t="inlineStr">
        <is>
          <t>Arizona Diamondbacks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2026-08-05T01:08:02.646600Z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-117</v>
      </c>
      <c r="BL45" s="27" t="n">
        <v>1.854701</v>
      </c>
      <c r="BM45" s="28" t="n">
        <v>0.539171</v>
      </c>
      <c r="BN45" s="28" t="n">
        <v>0.537313</v>
      </c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4e14a1299a594d08</t>
        </is>
      </c>
      <c r="B46" s="24" t="inlineStr">
        <is>
          <t>2026-08-05T04:35:50.664769Z</t>
        </is>
      </c>
      <c r="C46" s="24" t="inlineStr">
        <is>
          <t>2026-08-05T15:10:00-0400</t>
        </is>
      </c>
      <c r="D46" s="24" t="inlineStr">
        <is>
          <t>401816411</t>
        </is>
      </c>
      <c r="E46" s="24" t="inlineStr">
        <is>
          <t>MLB</t>
        </is>
      </c>
      <c r="F46" s="24" t="inlineStr">
        <is>
          <t>Tampa Bay Rays</t>
        </is>
      </c>
      <c r="G46" s="24" t="inlineStr">
        <is>
          <t>Colorado Rockies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-147</v>
      </c>
      <c r="M46" s="27" t="n">
        <v>1.680272</v>
      </c>
      <c r="N46" s="28" t="n">
        <v>0.5951419999999999</v>
      </c>
      <c r="O46" s="28" t="n">
        <v>0.651419</v>
      </c>
      <c r="P46" s="28" t="n"/>
      <c r="Q46" s="28" t="n">
        <v>0.056277</v>
      </c>
      <c r="R46" s="26" t="n">
        <v>50</v>
      </c>
      <c r="S46" s="29" t="n">
        <v>1.75</v>
      </c>
      <c r="T46" s="24" t="inlineStr">
        <is>
          <t>mlb-elo-trend-lr-v8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0.5873; executable ask 0.5950 (aec-mlb-tb-col-2026-08-05); model edge vs ask +0.0564.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mlb-tb</t>
        </is>
      </c>
      <c r="AQ46" s="24" t="inlineStr">
        <is>
          <t>Tampa Bay Rays</t>
        </is>
      </c>
      <c r="AR46" s="24" t="inlineStr">
        <is>
          <t>Tampa Bay Rays</t>
        </is>
      </c>
      <c r="AS46" s="24" t="inlineStr">
        <is>
          <t>mlb-col</t>
        </is>
      </c>
      <c r="AT46" s="24" t="inlineStr">
        <is>
          <t>Colorado Rockies</t>
        </is>
      </c>
      <c r="AU46" s="24" t="inlineStr">
        <is>
          <t>Colorado Rockies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6a5c79541b0e50cb9f7318270e63d5ccc65cbd7bc53a019748ff772d49de5075</t>
        </is>
      </c>
      <c r="BB46" s="24" t="inlineStr">
        <is>
          <t>learned_lr</t>
        </is>
      </c>
      <c r="BC46" s="24" t="inlineStr">
        <is>
          <t>mlb-elo-trend-lr-v8</t>
        </is>
      </c>
      <c r="BD46" s="24" t="inlineStr">
        <is>
          <t>6a5c79541b0e50cb9f7318270e63d5ccc65cbd7bc53a019748ff772d49de5075</t>
        </is>
      </c>
      <c r="BE46" s="24" t="inlineStr">
        <is>
          <t>afbdfea2d660f7f9</t>
        </is>
      </c>
      <c r="BF46" s="24" t="inlineStr">
        <is>
          <t>1</t>
        </is>
      </c>
      <c r="BG46" s="24" t="inlineStr">
        <is>
          <t>mlb-elo-trend-lr-v8</t>
        </is>
      </c>
      <c r="BH46" s="24" t="inlineStr">
        <is>
          <t>2026-08-05T04:33:52.558033Z</t>
        </is>
      </c>
      <c r="BI46" s="24" t="inlineStr">
        <is>
          <t>["same_event","same_team_same_day","same_league_same_day"]</t>
        </is>
      </c>
      <c r="BJ46" s="25" t="n"/>
      <c r="BK46" s="26" t="n">
        <v>-147</v>
      </c>
      <c r="BL46" s="27" t="n">
        <v>1.680272</v>
      </c>
      <c r="BM46" s="28" t="n">
        <v>0.5951419999999999</v>
      </c>
      <c r="BN46" s="28" t="n">
        <v>0.59204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0.3717088646</t>
        </is>
      </c>
      <c r="CD46" s="24" t="inlineStr">
        <is>
          <t>1.48701</t>
        </is>
      </c>
      <c r="CE46" s="24" t="inlineStr">
        <is>
          <t>1.193</t>
        </is>
      </c>
      <c r="CF46" s="24" t="inlineStr">
        <is>
          <t>1.0105</t>
        </is>
      </c>
      <c r="CG46" s="24" t="n"/>
      <c r="CH46" s="24" t="n"/>
      <c r="CI46" s="24" t="n"/>
      <c r="CJ46" s="24" t="inlineStr">
        <is>
          <t>0.458973</t>
        </is>
      </c>
      <c r="CK46" s="24" t="n"/>
      <c r="CL46" s="24" t="inlineStr">
        <is>
          <t>0.032773</t>
        </is>
      </c>
      <c r="CM46" s="24" t="inlineStr">
        <is>
          <t>3.3324</t>
        </is>
      </c>
      <c r="CN46" s="24" t="n"/>
      <c r="CO46" s="24" t="n"/>
      <c r="CP46" s="24" t="n"/>
      <c r="CQ46" s="24" t="n"/>
      <c r="CR46" s="24" t="inlineStr">
        <is>
          <t>0.651419</t>
        </is>
      </c>
      <c r="CS46" s="24" t="inlineStr">
        <is>
          <t>True</t>
        </is>
      </c>
    </row>
    <row r="47" ht="36" customHeight="1">
      <c r="A47" s="24" t="inlineStr">
        <is>
          <t>2a3b5ab213d44603</t>
        </is>
      </c>
      <c r="B47" s="24" t="inlineStr">
        <is>
          <t>2026-08-05T04:35:50.664769Z</t>
        </is>
      </c>
      <c r="C47" s="24" t="inlineStr">
        <is>
          <t>2026-08-05T18:35:00-0400</t>
        </is>
      </c>
      <c r="D47" s="24" t="inlineStr">
        <is>
          <t>401816399</t>
        </is>
      </c>
      <c r="E47" s="24" t="inlineStr">
        <is>
          <t>MLB</t>
        </is>
      </c>
      <c r="F47" s="24" t="inlineStr">
        <is>
          <t>Los Angeles Angels</t>
        </is>
      </c>
      <c r="G47" s="24" t="inlineStr">
        <is>
          <t>Baltimore Orioles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-130</v>
      </c>
      <c r="M47" s="27" t="n">
        <v>1.769231</v>
      </c>
      <c r="N47" s="28" t="n">
        <v>0.565217</v>
      </c>
      <c r="O47" s="28" t="n">
        <v>0.620283</v>
      </c>
      <c r="P47" s="28" t="n"/>
      <c r="Q47" s="28" t="n">
        <v>0.055066</v>
      </c>
      <c r="R47" s="26" t="n">
        <v>49</v>
      </c>
      <c r="S47" s="29" t="n">
        <v>1.5</v>
      </c>
      <c r="T47" s="24" t="inlineStr">
        <is>
          <t>mlb-elo-trend-lr-v8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Learned LR call at threshold 0.5873; executable ask 0.5650 (aec-mlb-laa-bal-2026-08-05); model edge vs ask +0.0553.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mlb-laa</t>
        </is>
      </c>
      <c r="AQ47" s="24" t="inlineStr">
        <is>
          <t>Los Angeles Angels</t>
        </is>
      </c>
      <c r="AR47" s="24" t="inlineStr">
        <is>
          <t>Los Angeles Angels</t>
        </is>
      </c>
      <c r="AS47" s="24" t="inlineStr">
        <is>
          <t>mlb-bal</t>
        </is>
      </c>
      <c r="AT47" s="24" t="inlineStr">
        <is>
          <t>Baltimore Orioles</t>
        </is>
      </c>
      <c r="AU47" s="24" t="inlineStr">
        <is>
          <t>Baltimore Orioles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6a5c79541b0e50cb9f7318270e63d5ccc65cbd7bc53a019748ff772d49de5075</t>
        </is>
      </c>
      <c r="BB47" s="24" t="inlineStr">
        <is>
          <t>learned_lr</t>
        </is>
      </c>
      <c r="BC47" s="24" t="inlineStr">
        <is>
          <t>mlb-elo-trend-lr-v8</t>
        </is>
      </c>
      <c r="BD47" s="24" t="inlineStr">
        <is>
          <t>6a5c79541b0e50cb9f7318270e63d5ccc65cbd7bc53a019748ff772d49de5075</t>
        </is>
      </c>
      <c r="BE47" s="24" t="inlineStr">
        <is>
          <t>0c5ef877e6b12160</t>
        </is>
      </c>
      <c r="BF47" s="24" t="inlineStr">
        <is>
          <t>1</t>
        </is>
      </c>
      <c r="BG47" s="24" t="inlineStr">
        <is>
          <t>mlb-elo-trend-lr-v8</t>
        </is>
      </c>
      <c r="BH47" s="24" t="inlineStr">
        <is>
          <t>2026-08-05T04:33:53.451157Z</t>
        </is>
      </c>
      <c r="BI47" s="24" t="inlineStr">
        <is>
          <t>["same_event","same_team_same_day","same_league_same_day"]</t>
        </is>
      </c>
      <c r="BJ47" s="25" t="n"/>
      <c r="BK47" s="26" t="n">
        <v>-130</v>
      </c>
      <c r="BL47" s="27" t="n">
        <v>1.769231</v>
      </c>
      <c r="BM47" s="28" t="n">
        <v>0.565217</v>
      </c>
      <c r="BN47" s="28" t="n">
        <v>0.562189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0.6265993564</t>
        </is>
      </c>
      <c r="CD47" s="24" t="inlineStr">
        <is>
          <t>0.186002</t>
        </is>
      </c>
      <c r="CE47" s="24" t="inlineStr">
        <is>
          <t>1.03</t>
        </is>
      </c>
      <c r="CF47" s="24" t="inlineStr">
        <is>
          <t>1.0102</t>
        </is>
      </c>
      <c r="CG47" s="24" t="n"/>
      <c r="CH47" s="24" t="n"/>
      <c r="CI47" s="24" t="n"/>
      <c r="CJ47" s="24" t="inlineStr">
        <is>
          <t>-1.60185</t>
        </is>
      </c>
      <c r="CK47" s="24" t="n"/>
      <c r="CL47" s="24" t="inlineStr">
        <is>
          <t>0.070802</t>
        </is>
      </c>
      <c r="CM47" s="24" t="inlineStr">
        <is>
          <t>-4.8571</t>
        </is>
      </c>
      <c r="CN47" s="24" t="n"/>
      <c r="CO47" s="24" t="n"/>
      <c r="CP47" s="24" t="n"/>
      <c r="CQ47" s="24" t="n"/>
      <c r="CR47" s="24" t="inlineStr">
        <is>
          <t>0.620283</t>
        </is>
      </c>
      <c r="CS47" s="24" t="inlineStr">
        <is>
          <t>True</t>
        </is>
      </c>
    </row>
    <row r="48" ht="36" customHeight="1">
      <c r="A48" s="24" t="inlineStr">
        <is>
          <t>fd35ca527b5a46d5</t>
        </is>
      </c>
      <c r="B48" s="24" t="inlineStr">
        <is>
          <t>2026-08-05T04:35:50.664769Z</t>
        </is>
      </c>
      <c r="C48" s="24" t="inlineStr">
        <is>
          <t>2026-08-05T19:15:00-0400</t>
        </is>
      </c>
      <c r="D48" s="24" t="inlineStr">
        <is>
          <t>401816402</t>
        </is>
      </c>
      <c r="E48" s="24" t="inlineStr">
        <is>
          <t>MLB</t>
        </is>
      </c>
      <c r="F48" s="24" t="inlineStr">
        <is>
          <t>Miami Marlins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-120</v>
      </c>
      <c r="M48" s="27" t="n">
        <v>1.833333</v>
      </c>
      <c r="N48" s="28" t="n">
        <v>0.545455</v>
      </c>
      <c r="O48" s="28" t="n">
        <v>0.59089</v>
      </c>
      <c r="P48" s="28" t="n"/>
      <c r="Q48" s="28" t="n">
        <v>0.045435</v>
      </c>
      <c r="R48" s="26" t="n">
        <v>44</v>
      </c>
      <c r="S48" s="29" t="n">
        <v>1.25</v>
      </c>
      <c r="T48" s="24" t="inlineStr">
        <is>
          <t>mlb-elo-trend-lr-v8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mlb-mia</t>
        </is>
      </c>
      <c r="AQ48" s="24" t="inlineStr">
        <is>
          <t>Miami Marlins</t>
        </is>
      </c>
      <c r="AR48" s="24" t="inlineStr">
        <is>
          <t>Miami Marlins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6a5c79541b0e50cb9f7318270e63d5ccc65cbd7bc53a019748ff772d49de5075</t>
        </is>
      </c>
      <c r="BB48" s="24" t="inlineStr">
        <is>
          <t>learned_lr</t>
        </is>
      </c>
      <c r="BC48" s="24" t="inlineStr">
        <is>
          <t>mlb-elo-trend-lr-v8</t>
        </is>
      </c>
      <c r="BD48" s="24" t="inlineStr">
        <is>
          <t>6a5c79541b0e50cb9f7318270e63d5ccc65cbd7bc53a019748ff772d49de5075</t>
        </is>
      </c>
      <c r="BE48" s="24" t="inlineStr">
        <is>
          <t>bb6f41cb5975b5bb</t>
        </is>
      </c>
      <c r="BF48" s="24" t="inlineStr">
        <is>
          <t>1</t>
        </is>
      </c>
      <c r="BG48" s="24" t="inlineStr">
        <is>
          <t>mlb-elo-trend-lr-v8</t>
        </is>
      </c>
      <c r="BH48" s="24" t="inlineStr">
        <is>
          <t>2026-08-05T04:33:58.789026Z</t>
        </is>
      </c>
      <c r="BI48" s="24" t="inlineStr">
        <is>
          <t>["same_event","same_team_same_day","same_league_same_day"]</t>
        </is>
      </c>
      <c r="BJ48" s="25" t="n"/>
      <c r="BK48" s="26" t="n">
        <v>-120</v>
      </c>
      <c r="BL48" s="27" t="n">
        <v>1.833333</v>
      </c>
      <c r="BM48" s="28" t="n">
        <v>0.545455</v>
      </c>
      <c r="BN48" s="28" t="n">
        <v>0.542289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0.5924601602</t>
        </is>
      </c>
      <c r="CD48" s="24" t="inlineStr">
        <is>
          <t>0.154672</t>
        </is>
      </c>
      <c r="CE48" s="24" t="inlineStr">
        <is>
          <t>0.929</t>
        </is>
      </c>
      <c r="CF48" s="24" t="inlineStr">
        <is>
          <t>1.0072</t>
        </is>
      </c>
      <c r="CG48" s="24" t="n"/>
      <c r="CH48" s="24" t="n"/>
      <c r="CI48" s="24" t="inlineStr">
        <is>
          <t>NO_CALL_STARTER_ERA_GAP_INSUFFICIENT_HISTORY</t>
        </is>
      </c>
      <c r="CJ48" s="24" t="inlineStr">
        <is>
          <t>0.044324</t>
        </is>
      </c>
      <c r="CK48" s="24" t="n"/>
      <c r="CL48" s="24" t="inlineStr">
        <is>
          <t>-0.05834</t>
        </is>
      </c>
      <c r="CM48" s="24" t="inlineStr">
        <is>
          <t>0.0</t>
        </is>
      </c>
      <c r="CN48" s="24" t="n"/>
      <c r="CO48" s="24" t="n"/>
      <c r="CP48" s="24" t="n"/>
      <c r="CQ48" s="24" t="n"/>
      <c r="CR48" s="24" t="inlineStr">
        <is>
          <t>0.59089</t>
        </is>
      </c>
      <c r="CS48" s="24" t="inlineStr">
        <is>
          <t>True</t>
        </is>
      </c>
    </row>
    <row r="49" ht="36" customHeight="1">
      <c r="A49" s="24" t="inlineStr">
        <is>
          <t>8cfab79e9feb48df</t>
        </is>
      </c>
      <c r="B49" s="24" t="inlineStr">
        <is>
          <t>2026-08-05T04:35:50.664769Z</t>
        </is>
      </c>
      <c r="C49" s="24" t="inlineStr">
        <is>
          <t>2026-08-05T19:30:00-0400</t>
        </is>
      </c>
      <c r="D49" s="24" t="inlineStr">
        <is>
          <t>401816408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Milwaukee Brewers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-122</v>
      </c>
      <c r="M49" s="27" t="n">
        <v>1.819672</v>
      </c>
      <c r="N49" s="28" t="n">
        <v>0.54955</v>
      </c>
      <c r="O49" s="28" t="n">
        <v>0.6155080000000001</v>
      </c>
      <c r="P49" s="28" t="n"/>
      <c r="Q49" s="28" t="n">
        <v>0.065958</v>
      </c>
      <c r="R49" s="26" t="n">
        <v>54</v>
      </c>
      <c r="S49" s="29" t="n">
        <v>1.5</v>
      </c>
      <c r="T49" s="24" t="inlineStr">
        <is>
          <t>mlb-elo-trend-lr-v8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Learned LR call at threshold 0.5873; executable ask 0.5500 (aec-mlb-pit-mil-2026-08-05); model edge vs ask +0.0655.</t>
        </is>
      </c>
      <c r="AF49" s="31" t="inlineStr">
        <is>
          <t>Learned model; shadow-qualified via operator override.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mlb-mil</t>
        </is>
      </c>
      <c r="AT49" s="24" t="inlineStr">
        <is>
          <t>Milwaukee Brewers</t>
        </is>
      </c>
      <c r="AU49" s="24" t="inlineStr">
        <is>
          <t>Milwaukee Brewers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6a5c79541b0e50cb9f7318270e63d5ccc65cbd7bc53a019748ff772d49de5075</t>
        </is>
      </c>
      <c r="BB49" s="24" t="inlineStr">
        <is>
          <t>learned_lr</t>
        </is>
      </c>
      <c r="BC49" s="24" t="inlineStr">
        <is>
          <t>mlb-elo-trend-lr-v8</t>
        </is>
      </c>
      <c r="BD49" s="24" t="inlineStr">
        <is>
          <t>6a5c79541b0e50cb9f7318270e63d5ccc65cbd7bc53a019748ff772d49de5075</t>
        </is>
      </c>
      <c r="BE49" s="24" t="inlineStr">
        <is>
          <t>23aa584b6028ab97</t>
        </is>
      </c>
      <c r="BF49" s="24" t="inlineStr">
        <is>
          <t>1</t>
        </is>
      </c>
      <c r="BG49" s="24" t="inlineStr">
        <is>
          <t>mlb-elo-trend-lr-v8</t>
        </is>
      </c>
      <c r="BH49" s="24" t="inlineStr">
        <is>
          <t>2026-08-05T04:33:59.358107Z</t>
        </is>
      </c>
      <c r="BI49" s="24" t="inlineStr">
        <is>
          <t>["same_event","same_team_same_day","same_league_same_day"]</t>
        </is>
      </c>
      <c r="BJ49" s="25" t="n"/>
      <c r="BK49" s="26" t="n">
        <v>-122</v>
      </c>
      <c r="BL49" s="27" t="n">
        <v>1.819672</v>
      </c>
      <c r="BM49" s="28" t="n">
        <v>0.54955</v>
      </c>
      <c r="BN49" s="28" t="n">
        <v>0.547264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0.6284314187</t>
        </is>
      </c>
      <c r="CD49" s="24" t="inlineStr">
        <is>
          <t>0.320781</t>
        </is>
      </c>
      <c r="CE49" s="24" t="inlineStr">
        <is>
          <t>0.997</t>
        </is>
      </c>
      <c r="CF49" s="24" t="inlineStr">
        <is>
          <t>1.0</t>
        </is>
      </c>
      <c r="CG49" s="24" t="n"/>
      <c r="CH49" s="24" t="n"/>
      <c r="CI49" s="24" t="n"/>
      <c r="CJ49" s="24" t="inlineStr">
        <is>
          <t>0.061913</t>
        </is>
      </c>
      <c r="CK49" s="24" t="n"/>
      <c r="CL49" s="24" t="inlineStr">
        <is>
          <t>0.125345</t>
        </is>
      </c>
      <c r="CM49" s="24" t="inlineStr">
        <is>
          <t>-1.5183</t>
        </is>
      </c>
      <c r="CN49" s="24" t="n"/>
      <c r="CO49" s="24" t="n"/>
      <c r="CP49" s="24" t="n"/>
      <c r="CQ49" s="24" t="n"/>
      <c r="CR49" s="24" t="inlineStr">
        <is>
          <t>0.615508</t>
        </is>
      </c>
      <c r="CS49" s="24" t="inlineStr">
        <is>
          <t>True</t>
        </is>
      </c>
    </row>
    <row r="50" ht="36" customHeight="1">
      <c r="A50" s="24" t="inlineStr">
        <is>
          <t>c07c11cf26cf4d40</t>
        </is>
      </c>
      <c r="B50" s="24" t="inlineStr">
        <is>
          <t>2026-08-05T04:36:16.771749Z</t>
        </is>
      </c>
      <c r="C50" s="24" t="inlineStr">
        <is>
          <t>2026-08-05T18:10Z</t>
        </is>
      </c>
      <c r="D50" s="24" t="inlineStr">
        <is>
          <t>401816410</t>
        </is>
      </c>
      <c r="E50" s="24" t="inlineStr">
        <is>
          <t>MLB</t>
        </is>
      </c>
      <c r="F50" s="24" t="inlineStr">
        <is>
          <t>Toronto Blue Jays</t>
        </is>
      </c>
      <c r="G50" s="24" t="inlineStr">
        <is>
          <t>Houston Astros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-135</v>
      </c>
      <c r="M50" s="27" t="n">
        <v>1.740741</v>
      </c>
      <c r="N50" s="28" t="n">
        <v>0.574468</v>
      </c>
      <c r="O50" s="28" t="n">
        <v>0.556045</v>
      </c>
      <c r="P50" s="28" t="n">
        <v>0.042131</v>
      </c>
      <c r="Q50" s="28" t="n">
        <v>-0.018423</v>
      </c>
      <c r="R50" s="26" t="n">
        <v>17</v>
      </c>
      <c r="S50" s="29" t="n">
        <v>1</v>
      </c>
      <c r="T50" s="24" t="inlineStr">
        <is>
          <t>measured-edge-margin-v3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Measured Edge Margin: Trend Engine projected 4.45-5.29; raw selected-side p=0.5823, calibrated p=0.5560.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mlb-tor</t>
        </is>
      </c>
      <c r="AQ50" s="24" t="inlineStr">
        <is>
          <t>Toronto Blue Jays</t>
        </is>
      </c>
      <c r="AR50" s="24" t="inlineStr">
        <is>
          <t>Toronto Blue Jays</t>
        </is>
      </c>
      <c r="AS50" s="24" t="inlineStr">
        <is>
          <t>mlb-hou</t>
        </is>
      </c>
      <c r="AT50" s="24" t="inlineStr">
        <is>
          <t>Houston Astros</t>
        </is>
      </c>
      <c r="AU50" s="24" t="inlineStr">
        <is>
          <t>Houston Astros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2026-08-05T04:36:16.771749Z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-135</v>
      </c>
      <c r="BL50" s="27" t="n">
        <v>1.740741</v>
      </c>
      <c r="BM50" s="28" t="n">
        <v>0.574468</v>
      </c>
      <c r="BN50" s="28" t="n">
        <v>0.572139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</row>
    <row r="51" ht="36" customHeight="1">
      <c r="A51" s="24" t="inlineStr">
        <is>
          <t>59dab69433aa4a48</t>
        </is>
      </c>
      <c r="B51" s="24" t="inlineStr">
        <is>
          <t>2026-08-05T04:36:16.771749Z</t>
        </is>
      </c>
      <c r="C51" s="24" t="inlineStr">
        <is>
          <t>2026-08-05T18:10Z</t>
        </is>
      </c>
      <c r="D51" s="24" t="inlineStr">
        <is>
          <t>401816410</t>
        </is>
      </c>
      <c r="E51" s="24" t="inlineStr">
        <is>
          <t>MLB</t>
        </is>
      </c>
      <c r="F51" s="24" t="inlineStr">
        <is>
          <t>Toronto Blue Jays</t>
        </is>
      </c>
      <c r="G51" s="24" t="inlineStr">
        <is>
          <t>Houston Astros</t>
        </is>
      </c>
      <c r="H51" s="24" t="inlineStr">
        <is>
          <t>total</t>
        </is>
      </c>
      <c r="I51" s="24" t="inlineStr">
        <is>
          <t>over</t>
        </is>
      </c>
      <c r="J51" s="25" t="n">
        <v>8.5</v>
      </c>
      <c r="K51" s="24" t="inlineStr">
        <is>
          <t>polymarket_us</t>
        </is>
      </c>
      <c r="L51" s="26" t="n">
        <v>111</v>
      </c>
      <c r="M51" s="27" t="n">
        <v>2.11</v>
      </c>
      <c r="N51" s="28" t="n">
        <v>0.473934</v>
      </c>
      <c r="O51" s="28" t="n">
        <v>0.524815</v>
      </c>
      <c r="P51" s="28" t="n">
        <v>0.042131</v>
      </c>
      <c r="Q51" s="28" t="n">
        <v>0.050881</v>
      </c>
      <c r="R51" s="26" t="n">
        <v>51</v>
      </c>
      <c r="S51" s="29" t="n">
        <v>1</v>
      </c>
      <c r="T51" s="24" t="inlineStr">
        <is>
          <t>measured-edge-totals-v3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Measured Edge Totals: Trend Engine projected 4.45-5.29; raw selected-side p=0.5766, calibrated p=0.5248.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mlb-tor</t>
        </is>
      </c>
      <c r="AQ51" s="24" t="inlineStr">
        <is>
          <t>Toronto Blue Jays</t>
        </is>
      </c>
      <c r="AR51" s="24" t="inlineStr">
        <is>
          <t>Toronto Blue Jays</t>
        </is>
      </c>
      <c r="AS51" s="24" t="inlineStr">
        <is>
          <t>mlb-hou</t>
        </is>
      </c>
      <c r="AT51" s="24" t="inlineStr">
        <is>
          <t>Houston Astros</t>
        </is>
      </c>
      <c r="AU51" s="24" t="inlineStr">
        <is>
          <t>Houston Astros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95b84332c75d2ce54036eb8de6ada9c78d0f80228c50825c0347281a8b9b49c7</t>
        </is>
      </c>
      <c r="BB51" s="24" t="inlineStr">
        <is>
          <t>flat_probability_shrinkage_toward_half</t>
        </is>
      </c>
      <c r="BC51" s="24" t="inlineStr">
        <is>
          <t>measured-edge-totals-v3</t>
        </is>
      </c>
      <c r="BD51" s="24" t="inlineStr">
        <is>
          <t>95b84332c75d2ce54036eb8de6ada9c78d0f80228c50825c0347281a8b9b49c7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2026-08-05T04:36:16.771749Z</t>
        </is>
      </c>
      <c r="BI51" s="24" t="inlineStr">
        <is>
          <t>["same_event","same_team_same_day","same_league_same_day"]</t>
        </is>
      </c>
      <c r="BJ51" s="25" t="n">
        <v>8.5</v>
      </c>
      <c r="BK51" s="26" t="n">
        <v>111</v>
      </c>
      <c r="BL51" s="27" t="n">
        <v>2.11</v>
      </c>
      <c r="BM51" s="28" t="n">
        <v>0.473934</v>
      </c>
      <c r="BN51" s="28" t="n">
        <v>0.472637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56c8fcf5c0bf4137</t>
        </is>
      </c>
      <c r="B52" s="24" t="inlineStr">
        <is>
          <t>2026-08-05T04:36:16.771749Z</t>
        </is>
      </c>
      <c r="C52" s="24" t="inlineStr">
        <is>
          <t>2026-08-05T18:20Z</t>
        </is>
      </c>
      <c r="D52" s="24" t="inlineStr">
        <is>
          <t>401816406</t>
        </is>
      </c>
      <c r="E52" s="24" t="inlineStr">
        <is>
          <t>MLB</t>
        </is>
      </c>
      <c r="F52" s="24" t="inlineStr">
        <is>
          <t>Los Angeles Dodgers</t>
        </is>
      </c>
      <c r="G52" s="24" t="inlineStr">
        <is>
          <t>Chicago Cubs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-174</v>
      </c>
      <c r="M52" s="27" t="n">
        <v>1.574713</v>
      </c>
      <c r="N52" s="28" t="n">
        <v>0.635036</v>
      </c>
      <c r="O52" s="28" t="n">
        <v>0.6607420000000001</v>
      </c>
      <c r="P52" s="28" t="n">
        <v>0.042131</v>
      </c>
      <c r="Q52" s="28" t="n">
        <v>0.025706</v>
      </c>
      <c r="R52" s="26" t="n">
        <v>39</v>
      </c>
      <c r="S52" s="29" t="n">
        <v>1.75</v>
      </c>
      <c r="T52" s="24" t="inlineStr">
        <is>
          <t>measured-edge-margin-v3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Measured Edge Margin: Trend Engine projected 3.96-4.59; raw selected-side p=0.7359, calibrated p=0.6607.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mlb-lad</t>
        </is>
      </c>
      <c r="AQ52" s="24" t="inlineStr">
        <is>
          <t>Los Angeles Dodgers</t>
        </is>
      </c>
      <c r="AR52" s="24" t="inlineStr">
        <is>
          <t>Los Angeles Dodgers</t>
        </is>
      </c>
      <c r="AS52" s="24" t="inlineStr">
        <is>
          <t>mlb-chc</t>
        </is>
      </c>
      <c r="AT52" s="24" t="inlineStr">
        <is>
          <t>Chicago Cubs</t>
        </is>
      </c>
      <c r="AU52" s="24" t="inlineStr">
        <is>
          <t>Chicago Cubs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2026-08-05T04:36:16.771749Z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-174</v>
      </c>
      <c r="BL52" s="27" t="n">
        <v>1.574713</v>
      </c>
      <c r="BM52" s="28" t="n">
        <v>0.635036</v>
      </c>
      <c r="BN52" s="28" t="n">
        <v>0.631841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8032753e796f4fa5</t>
        </is>
      </c>
      <c r="B53" s="24" t="inlineStr">
        <is>
          <t>2026-08-05T04:36:16.771749Z</t>
        </is>
      </c>
      <c r="C53" s="24" t="inlineStr">
        <is>
          <t>2026-08-05T18:20Z</t>
        </is>
      </c>
      <c r="D53" s="24" t="inlineStr">
        <is>
          <t>401816406</t>
        </is>
      </c>
      <c r="E53" s="24" t="inlineStr">
        <is>
          <t>MLB</t>
        </is>
      </c>
      <c r="F53" s="24" t="inlineStr">
        <is>
          <t>Los Angeles Dodgers</t>
        </is>
      </c>
      <c r="G53" s="24" t="inlineStr">
        <is>
          <t>Chicago Cubs</t>
        </is>
      </c>
      <c r="H53" s="24" t="inlineStr">
        <is>
          <t>total</t>
        </is>
      </c>
      <c r="I53" s="24" t="inlineStr">
        <is>
          <t>under</t>
        </is>
      </c>
      <c r="J53" s="25" t="n">
        <v>9.5</v>
      </c>
      <c r="K53" s="24" t="inlineStr">
        <is>
          <t>polymarket_us</t>
        </is>
      </c>
      <c r="L53" s="26" t="n">
        <v>-108</v>
      </c>
      <c r="M53" s="27" t="n">
        <v>1.925926</v>
      </c>
      <c r="N53" s="28" t="n">
        <v>0.519231</v>
      </c>
      <c r="O53" s="28" t="n">
        <v>0.539558</v>
      </c>
      <c r="P53" s="28" t="n">
        <v>0.042131</v>
      </c>
      <c r="Q53" s="28" t="n">
        <v>0.020327</v>
      </c>
      <c r="R53" s="26" t="n">
        <v>36</v>
      </c>
      <c r="S53" s="29" t="n">
        <v>1</v>
      </c>
      <c r="T53" s="24" t="inlineStr">
        <is>
          <t>measured-edge-totals-v3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Measured Edge Totals: Trend Engine projected 3.96-4.59; raw selected-side p=0.6359, calibrated p=0.5396.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mlb-lad</t>
        </is>
      </c>
      <c r="AQ53" s="24" t="inlineStr">
        <is>
          <t>Los Angeles Dodgers</t>
        </is>
      </c>
      <c r="AR53" s="24" t="inlineStr">
        <is>
          <t>Los Angeles Dodgers</t>
        </is>
      </c>
      <c r="AS53" s="24" t="inlineStr">
        <is>
          <t>mlb-chc</t>
        </is>
      </c>
      <c r="AT53" s="24" t="inlineStr">
        <is>
          <t>Chicago Cubs</t>
        </is>
      </c>
      <c r="AU53" s="24" t="inlineStr">
        <is>
          <t>Chicago Cubs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2026-08-05T04:36:16.771749Z</t>
        </is>
      </c>
      <c r="BI53" s="24" t="inlineStr">
        <is>
          <t>["same_event","same_team_same_day","same_league_same_day"]</t>
        </is>
      </c>
      <c r="BJ53" s="25" t="n">
        <v>9.5</v>
      </c>
      <c r="BK53" s="26" t="n">
        <v>-108</v>
      </c>
      <c r="BL53" s="27" t="n">
        <v>1.925926</v>
      </c>
      <c r="BM53" s="28" t="n">
        <v>0.519231</v>
      </c>
      <c r="BN53" s="28" t="n">
        <v>0.517413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a9b6d40e45ac4271</t>
        </is>
      </c>
      <c r="B54" s="24" t="inlineStr">
        <is>
          <t>2026-08-05T04:36:16.771749Z</t>
        </is>
      </c>
      <c r="C54" s="24" t="inlineStr">
        <is>
          <t>2026-08-05T18:35Z</t>
        </is>
      </c>
      <c r="D54" s="24" t="inlineStr">
        <is>
          <t>401816409</t>
        </is>
      </c>
      <c r="E54" s="24" t="inlineStr">
        <is>
          <t>MLB</t>
        </is>
      </c>
      <c r="F54" s="24" t="inlineStr">
        <is>
          <t>San Francisco Giants</t>
        </is>
      </c>
      <c r="G54" s="24" t="inlineStr">
        <is>
          <t>Texas Rangers</t>
        </is>
      </c>
      <c r="H54" s="24" t="inlineStr">
        <is>
          <t>spread</t>
        </is>
      </c>
      <c r="I54" s="24" t="inlineStr">
        <is>
          <t>away</t>
        </is>
      </c>
      <c r="J54" s="25" t="n">
        <v>1.5</v>
      </c>
      <c r="K54" s="24" t="inlineStr">
        <is>
          <t>polymarket_us</t>
        </is>
      </c>
      <c r="L54" s="26" t="n">
        <v>-130</v>
      </c>
      <c r="M54" s="27" t="n">
        <v>1.769231</v>
      </c>
      <c r="N54" s="28" t="n">
        <v>0.565217</v>
      </c>
      <c r="O54" s="28" t="n">
        <v>0.588514</v>
      </c>
      <c r="P54" s="28" t="n">
        <v>0.05172</v>
      </c>
      <c r="Q54" s="28" t="n">
        <v>0.023297</v>
      </c>
      <c r="R54" s="26" t="n">
        <v>32</v>
      </c>
      <c r="S54" s="29" t="n">
        <v>1.25</v>
      </c>
      <c r="T54" s="24" t="inlineStr">
        <is>
          <t>measured-edge-margin-v3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Measured Edge Margin: Trend Engine projected 4.57-4.92; raw selected-side p=0.6299, calibrated p=0.5885.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mlb-sf</t>
        </is>
      </c>
      <c r="AQ54" s="24" t="inlineStr">
        <is>
          <t>San Francisco Giants</t>
        </is>
      </c>
      <c r="AR54" s="24" t="inlineStr">
        <is>
          <t>San Francisco Giants</t>
        </is>
      </c>
      <c r="AS54" s="24" t="inlineStr">
        <is>
          <t>mlb-tex</t>
        </is>
      </c>
      <c r="AT54" s="24" t="inlineStr">
        <is>
          <t>Texas Rangers</t>
        </is>
      </c>
      <c r="AU54" s="24" t="inlineStr">
        <is>
          <t>Texas Rangers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dd339a2eed50d7d83ab2127837995ddab82e879afd27f5414bb6c1f9cd60ba4c</t>
        </is>
      </c>
      <c r="BB54" s="24" t="inlineStr">
        <is>
          <t>flat_probability_shrinkage_toward_half</t>
        </is>
      </c>
      <c r="BC54" s="24" t="inlineStr">
        <is>
          <t>measured-edge-margin-v3</t>
        </is>
      </c>
      <c r="BD54" s="24" t="inlineStr">
        <is>
          <t>dd339a2eed50d7d83ab2127837995ddab82e879afd27f5414bb6c1f9cd60ba4c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2026-08-05T04:36:16.771749Z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-130</v>
      </c>
      <c r="BL54" s="27" t="n">
        <v>1.769231</v>
      </c>
      <c r="BM54" s="28" t="n">
        <v>0.565217</v>
      </c>
      <c r="BN54" s="28" t="n">
        <v>0.562189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47d5b72109194f7c</t>
        </is>
      </c>
      <c r="B55" s="24" t="inlineStr">
        <is>
          <t>2026-08-05T04:36:16.771749Z</t>
        </is>
      </c>
      <c r="C55" s="24" t="inlineStr">
        <is>
          <t>2026-08-05T18:35Z</t>
        </is>
      </c>
      <c r="D55" s="24" t="inlineStr">
        <is>
          <t>401816409</t>
        </is>
      </c>
      <c r="E55" s="24" t="inlineStr">
        <is>
          <t>MLB</t>
        </is>
      </c>
      <c r="F55" s="24" t="inlineStr">
        <is>
          <t>San Francisco Giants</t>
        </is>
      </c>
      <c r="G55" s="24" t="inlineStr">
        <is>
          <t>Texas Rangers</t>
        </is>
      </c>
      <c r="H55" s="24" t="inlineStr">
        <is>
          <t>total</t>
        </is>
      </c>
      <c r="I55" s="24" t="inlineStr">
        <is>
          <t>over</t>
        </is>
      </c>
      <c r="J55" s="25" t="n">
        <v>8.5</v>
      </c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0.522257</v>
      </c>
      <c r="P55" s="28" t="n">
        <v>0.05172</v>
      </c>
      <c r="Q55" s="28" t="n">
        <v>0.041488</v>
      </c>
      <c r="R55" s="26" t="n">
        <v>41</v>
      </c>
      <c r="S55" s="29" t="n">
        <v>1</v>
      </c>
      <c r="T55" s="24" t="inlineStr">
        <is>
          <t>measured-edge-totals-v3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Measured Edge Totals: Trend Engine projected 4.57-4.92; raw selected-side p=0.5663, calibrated p=0.5223.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mlb-sf</t>
        </is>
      </c>
      <c r="AQ55" s="24" t="inlineStr">
        <is>
          <t>San Francisco Giants</t>
        </is>
      </c>
      <c r="AR55" s="24" t="inlineStr">
        <is>
          <t>San Francisco Giants</t>
        </is>
      </c>
      <c r="AS55" s="24" t="inlineStr">
        <is>
          <t>mlb-tex</t>
        </is>
      </c>
      <c r="AT55" s="24" t="inlineStr">
        <is>
          <t>Texas Rangers</t>
        </is>
      </c>
      <c r="AU55" s="24" t="inlineStr">
        <is>
          <t>Texas Rangers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95b84332c75d2ce54036eb8de6ada9c78d0f80228c50825c0347281a8b9b49c7</t>
        </is>
      </c>
      <c r="BB55" s="24" t="inlineStr">
        <is>
          <t>flat_probability_shrinkage_toward_half</t>
        </is>
      </c>
      <c r="BC55" s="24" t="inlineStr">
        <is>
          <t>measured-edge-totals-v3</t>
        </is>
      </c>
      <c r="BD55" s="24" t="inlineStr">
        <is>
          <t>95b84332c75d2ce54036eb8de6ada9c78d0f80228c50825c0347281a8b9b49c7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2026-08-05T04:36:16.771749Z</t>
        </is>
      </c>
      <c r="BI55" s="24" t="inlineStr">
        <is>
          <t>["same_event","same_team_same_day","same_league_same_day"]</t>
        </is>
      </c>
      <c r="BJ55" s="25" t="n">
        <v>8.5</v>
      </c>
      <c r="BK55" s="26" t="n">
        <v>108</v>
      </c>
      <c r="BL55" s="27" t="n">
        <v>2.08</v>
      </c>
      <c r="BM55" s="28" t="n">
        <v>0.480769</v>
      </c>
      <c r="BN55" s="28" t="n">
        <v>0.477612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37a73a36f6874342</t>
        </is>
      </c>
      <c r="B56" s="24" t="inlineStr">
        <is>
          <t>2026-08-05T04:36:16.771749Z</t>
        </is>
      </c>
      <c r="C56" s="24" t="inlineStr">
        <is>
          <t>2026-08-05T19:10Z</t>
        </is>
      </c>
      <c r="D56" s="24" t="inlineStr">
        <is>
          <t>401816411</t>
        </is>
      </c>
      <c r="E56" s="24" t="inlineStr">
        <is>
          <t>MLB</t>
        </is>
      </c>
      <c r="F56" s="24" t="inlineStr">
        <is>
          <t>Tampa Bay Rays</t>
        </is>
      </c>
      <c r="G56" s="24" t="inlineStr">
        <is>
          <t>Colorado Rockies</t>
        </is>
      </c>
      <c r="H56" s="24" t="inlineStr">
        <is>
          <t>spread</t>
        </is>
      </c>
      <c r="I56" s="24" t="inlineStr">
        <is>
          <t>home</t>
        </is>
      </c>
      <c r="J56" s="25" t="n">
        <v>1.5</v>
      </c>
      <c r="K56" s="24" t="inlineStr">
        <is>
          <t>polymarket_us</t>
        </is>
      </c>
      <c r="L56" s="26" t="n">
        <v>-104</v>
      </c>
      <c r="M56" s="27" t="n">
        <v>1.961538</v>
      </c>
      <c r="N56" s="28" t="n">
        <v>0.509804</v>
      </c>
      <c r="O56" s="28" t="n">
        <v>0.602278</v>
      </c>
      <c r="P56" s="28" t="n">
        <v>0.042131</v>
      </c>
      <c r="Q56" s="28" t="n">
        <v>0.092474</v>
      </c>
      <c r="R56" s="26" t="n">
        <v>72</v>
      </c>
      <c r="S56" s="29" t="n">
        <v>1.5</v>
      </c>
      <c r="T56" s="24" t="inlineStr">
        <is>
          <t>measured-edge-margin-v3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Measured Edge Margin: Trend Engine projected 4.81-4.67; raw selected-side p=0.6501, calibrated p=0.6023.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mlb-tb</t>
        </is>
      </c>
      <c r="AQ56" s="24" t="inlineStr">
        <is>
          <t>Tampa Bay Rays</t>
        </is>
      </c>
      <c r="AR56" s="24" t="inlineStr">
        <is>
          <t>Tampa Bay Rays</t>
        </is>
      </c>
      <c r="AS56" s="24" t="inlineStr">
        <is>
          <t>mlb-col</t>
        </is>
      </c>
      <c r="AT56" s="24" t="inlineStr">
        <is>
          <t>Colorado Rockies</t>
        </is>
      </c>
      <c r="AU56" s="24" t="inlineStr">
        <is>
          <t>Colorado Rockies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2026-08-05T04:36:16.771749Z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-104</v>
      </c>
      <c r="BL56" s="27" t="n">
        <v>1.961538</v>
      </c>
      <c r="BM56" s="28" t="n">
        <v>0.509804</v>
      </c>
      <c r="BN56" s="28" t="n">
        <v>0.507463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d57ee209bea94133</t>
        </is>
      </c>
      <c r="B57" s="24" t="inlineStr">
        <is>
          <t>2026-08-05T04:36:16.771749Z</t>
        </is>
      </c>
      <c r="C57" s="24" t="inlineStr">
        <is>
          <t>2026-08-05T19:10Z</t>
        </is>
      </c>
      <c r="D57" s="24" t="inlineStr">
        <is>
          <t>401816411</t>
        </is>
      </c>
      <c r="E57" s="24" t="inlineStr">
        <is>
          <t>MLB</t>
        </is>
      </c>
      <c r="F57" s="24" t="inlineStr">
        <is>
          <t>Tampa Bay Rays</t>
        </is>
      </c>
      <c r="G57" s="24" t="inlineStr">
        <is>
          <t>Colorado Rockies</t>
        </is>
      </c>
      <c r="H57" s="24" t="inlineStr">
        <is>
          <t>total</t>
        </is>
      </c>
      <c r="I57" s="24" t="inlineStr">
        <is>
          <t>under</t>
        </is>
      </c>
      <c r="J57" s="25" t="n">
        <v>11.5</v>
      </c>
      <c r="K57" s="24" t="inlineStr">
        <is>
          <t>polymarket_us</t>
        </is>
      </c>
      <c r="L57" s="26" t="n">
        <v>100</v>
      </c>
      <c r="M57" s="27" t="n">
        <v>2</v>
      </c>
      <c r="N57" s="28" t="n">
        <v>0.5</v>
      </c>
      <c r="O57" s="28" t="n">
        <v>0.557989</v>
      </c>
      <c r="P57" s="28" t="n">
        <v>0.042131</v>
      </c>
      <c r="Q57" s="28" t="n">
        <v>0.057989</v>
      </c>
      <c r="R57" s="26" t="n">
        <v>56</v>
      </c>
      <c r="S57" s="29" t="n">
        <v>1</v>
      </c>
      <c r="T57" s="24" t="inlineStr">
        <is>
          <t>measured-edge-totals-v3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Measured Edge Totals: Trend Engine projected 4.81-4.67; raw selected-side p=0.7101, calibrated p=0.5580.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mlb-tb</t>
        </is>
      </c>
      <c r="AQ57" s="24" t="inlineStr">
        <is>
          <t>Tampa Bay Rays</t>
        </is>
      </c>
      <c r="AR57" s="24" t="inlineStr">
        <is>
          <t>Tampa Bay Rays</t>
        </is>
      </c>
      <c r="AS57" s="24" t="inlineStr">
        <is>
          <t>mlb-col</t>
        </is>
      </c>
      <c r="AT57" s="24" t="inlineStr">
        <is>
          <t>Colorado Rockies</t>
        </is>
      </c>
      <c r="AU57" s="24" t="inlineStr">
        <is>
          <t>Colorado Rockies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2026-08-05T04:36:16.771749Z</t>
        </is>
      </c>
      <c r="BI57" s="24" t="inlineStr">
        <is>
          <t>["same_event","same_team_same_day","same_league_same_day"]</t>
        </is>
      </c>
      <c r="BJ57" s="25" t="n">
        <v>11.5</v>
      </c>
      <c r="BK57" s="26" t="n">
        <v>100</v>
      </c>
      <c r="BL57" s="27" t="n">
        <v>2</v>
      </c>
      <c r="BM57" s="28" t="n">
        <v>0.5</v>
      </c>
      <c r="BN57" s="28" t="n">
        <v>0.49505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e0227c7ea7774bea</t>
        </is>
      </c>
      <c r="B58" s="24" t="inlineStr">
        <is>
          <t>2026-08-05T04:36:16.771749Z</t>
        </is>
      </c>
      <c r="C58" s="24" t="inlineStr">
        <is>
          <t>2026-08-05T22:35Z</t>
        </is>
      </c>
      <c r="D58" s="24" t="inlineStr">
        <is>
          <t>401816399</t>
        </is>
      </c>
      <c r="E58" s="24" t="inlineStr">
        <is>
          <t>MLB</t>
        </is>
      </c>
      <c r="F58" s="24" t="inlineStr">
        <is>
          <t>Los Angeles Angels</t>
        </is>
      </c>
      <c r="G58" s="24" t="inlineStr">
        <is>
          <t>Baltimore Orioles</t>
        </is>
      </c>
      <c r="H58" s="24" t="inlineStr">
        <is>
          <t>spread</t>
        </is>
      </c>
      <c r="I58" s="24" t="inlineStr">
        <is>
          <t>away</t>
        </is>
      </c>
      <c r="J58" s="25" t="n">
        <v>1.5</v>
      </c>
      <c r="K58" s="24" t="inlineStr">
        <is>
          <t>polymarket_us</t>
        </is>
      </c>
      <c r="L58" s="26" t="n">
        <v>-167</v>
      </c>
      <c r="M58" s="27" t="n">
        <v>1.598802</v>
      </c>
      <c r="N58" s="28" t="n">
        <v>0.625468</v>
      </c>
      <c r="O58" s="28" t="n">
        <v>0.585379</v>
      </c>
      <c r="P58" s="28" t="n">
        <v>0.042131</v>
      </c>
      <c r="Q58" s="28" t="n">
        <v>-0.040089</v>
      </c>
      <c r="R58" s="26" t="n">
        <v>6</v>
      </c>
      <c r="S58" s="29" t="n">
        <v>1.25</v>
      </c>
      <c r="T58" s="24" t="inlineStr">
        <is>
          <t>measured-edge-margin-v3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Margin: Trend Engine projected 4.25-4.70; raw selected-side p=0.6253, calibrated p=0.5854.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mlb-laa</t>
        </is>
      </c>
      <c r="AQ58" s="24" t="inlineStr">
        <is>
          <t>Los Angeles Angels</t>
        </is>
      </c>
      <c r="AR58" s="24" t="inlineStr">
        <is>
          <t>Los Angeles Angels</t>
        </is>
      </c>
      <c r="AS58" s="24" t="inlineStr">
        <is>
          <t>mlb-bal</t>
        </is>
      </c>
      <c r="AT58" s="24" t="inlineStr">
        <is>
          <t>Baltimore Orioles</t>
        </is>
      </c>
      <c r="AU58" s="24" t="inlineStr">
        <is>
          <t>Baltimore Orioles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dd339a2eed50d7d83ab2127837995ddab82e879afd27f5414bb6c1f9cd60ba4c</t>
        </is>
      </c>
      <c r="BB58" s="24" t="inlineStr">
        <is>
          <t>flat_probability_shrinkage_toward_half</t>
        </is>
      </c>
      <c r="BC58" s="24" t="inlineStr">
        <is>
          <t>measured-edge-margin-v3</t>
        </is>
      </c>
      <c r="BD58" s="24" t="inlineStr">
        <is>
          <t>dd339a2eed50d7d83ab2127837995ddab82e879afd27f5414bb6c1f9cd60ba4c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2026-08-05T04:36:16.771749Z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-167</v>
      </c>
      <c r="BL58" s="27" t="n">
        <v>1.598802</v>
      </c>
      <c r="BM58" s="28" t="n">
        <v>0.625468</v>
      </c>
      <c r="BN58" s="28" t="n">
        <v>0.621891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cd9479291a4d4d56</t>
        </is>
      </c>
      <c r="B59" s="24" t="inlineStr">
        <is>
          <t>2026-08-05T04:36:16.771749Z</t>
        </is>
      </c>
      <c r="C59" s="24" t="inlineStr">
        <is>
          <t>2026-08-05T22:35Z</t>
        </is>
      </c>
      <c r="D59" s="24" t="inlineStr">
        <is>
          <t>401816399</t>
        </is>
      </c>
      <c r="E59" s="24" t="inlineStr">
        <is>
          <t>MLB</t>
        </is>
      </c>
      <c r="F59" s="24" t="inlineStr">
        <is>
          <t>Los Angeles Angels</t>
        </is>
      </c>
      <c r="G59" s="24" t="inlineStr">
        <is>
          <t>Baltimore Orioles</t>
        </is>
      </c>
      <c r="H59" s="24" t="inlineStr">
        <is>
          <t>total</t>
        </is>
      </c>
      <c r="I59" s="24" t="inlineStr">
        <is>
          <t>over</t>
        </is>
      </c>
      <c r="J59" s="25" t="n">
        <v>8.5</v>
      </c>
      <c r="K59" s="24" t="inlineStr">
        <is>
          <t>polymarket_us</t>
        </is>
      </c>
      <c r="L59" s="26" t="n">
        <v>111</v>
      </c>
      <c r="M59" s="27" t="n">
        <v>2.11</v>
      </c>
      <c r="N59" s="28" t="n">
        <v>0.473934</v>
      </c>
      <c r="O59" s="28" t="n">
        <v>0.5089669999999999</v>
      </c>
      <c r="P59" s="28" t="n">
        <v>0.042131</v>
      </c>
      <c r="Q59" s="28" t="n">
        <v>0.035033</v>
      </c>
      <c r="R59" s="26" t="n">
        <v>43</v>
      </c>
      <c r="S59" s="29" t="n">
        <v>1</v>
      </c>
      <c r="T59" s="24" t="inlineStr">
        <is>
          <t>measured-edge-totals-v3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Totals: Trend Engine projected 4.25-4.70; raw selected-side p=0.5128, calibrated p=0.5090.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mlb-laa</t>
        </is>
      </c>
      <c r="AQ59" s="24" t="inlineStr">
        <is>
          <t>Los Angeles Angels</t>
        </is>
      </c>
      <c r="AR59" s="24" t="inlineStr">
        <is>
          <t>Los Angeles Angels</t>
        </is>
      </c>
      <c r="AS59" s="24" t="inlineStr">
        <is>
          <t>mlb-bal</t>
        </is>
      </c>
      <c r="AT59" s="24" t="inlineStr">
        <is>
          <t>Baltimore Orioles</t>
        </is>
      </c>
      <c r="AU59" s="24" t="inlineStr">
        <is>
          <t>Baltimore Orioles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95b84332c75d2ce54036eb8de6ada9c78d0f80228c50825c0347281a8b9b49c7</t>
        </is>
      </c>
      <c r="BB59" s="24" t="inlineStr">
        <is>
          <t>flat_probability_shrinkage_toward_half</t>
        </is>
      </c>
      <c r="BC59" s="24" t="inlineStr">
        <is>
          <t>measured-edge-totals-v3</t>
        </is>
      </c>
      <c r="BD59" s="24" t="inlineStr">
        <is>
          <t>95b84332c75d2ce54036eb8de6ada9c78d0f80228c50825c0347281a8b9b49c7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2026-08-05T04:36:16.771749Z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111</v>
      </c>
      <c r="BL59" s="27" t="n">
        <v>2.11</v>
      </c>
      <c r="BM59" s="28" t="n">
        <v>0.473934</v>
      </c>
      <c r="BN59" s="28" t="n">
        <v>0.472637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24790c1c98bc4ad9</t>
        </is>
      </c>
      <c r="B60" s="24" t="inlineStr">
        <is>
          <t>2026-08-05T04:36:16.771749Z</t>
        </is>
      </c>
      <c r="C60" s="24" t="inlineStr">
        <is>
          <t>2026-08-05T22:40Z</t>
        </is>
      </c>
      <c r="D60" s="24" t="inlineStr">
        <is>
          <t>401816400</t>
        </is>
      </c>
      <c r="E60" s="24" t="inlineStr">
        <is>
          <t>MLB</t>
        </is>
      </c>
      <c r="F60" s="24" t="inlineStr">
        <is>
          <t>Athletics</t>
        </is>
      </c>
      <c r="G60" s="24" t="inlineStr">
        <is>
          <t>Cincinnati Reds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-153</v>
      </c>
      <c r="M60" s="27" t="n">
        <v>1.653595</v>
      </c>
      <c r="N60" s="28" t="n">
        <v>0.604743</v>
      </c>
      <c r="O60" s="28" t="n">
        <v>0.590797</v>
      </c>
      <c r="P60" s="28" t="n">
        <v>0.042131</v>
      </c>
      <c r="Q60" s="28" t="n">
        <v>-0.013946</v>
      </c>
      <c r="R60" s="26" t="n">
        <v>19</v>
      </c>
      <c r="S60" s="29" t="n">
        <v>1.25</v>
      </c>
      <c r="T60" s="24" t="inlineStr">
        <is>
          <t>measured-edge-margin-v3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Margin: Trend Engine projected 4.90-5.09; raw selected-side p=0.6332, calibrated p=0.5908.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mlb-ath</t>
        </is>
      </c>
      <c r="AQ60" s="24" t="inlineStr">
        <is>
          <t>Athletics</t>
        </is>
      </c>
      <c r="AR60" s="24" t="inlineStr">
        <is>
          <t>Athletics</t>
        </is>
      </c>
      <c r="AS60" s="24" t="inlineStr">
        <is>
          <t>mlb-cin</t>
        </is>
      </c>
      <c r="AT60" s="24" t="inlineStr">
        <is>
          <t>Cincinnati Reds</t>
        </is>
      </c>
      <c r="AU60" s="24" t="inlineStr">
        <is>
          <t>Cincinnati Reds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dd339a2eed50d7d83ab2127837995ddab82e879afd27f5414bb6c1f9cd60ba4c</t>
        </is>
      </c>
      <c r="BB60" s="24" t="inlineStr">
        <is>
          <t>flat_probability_shrinkage_toward_half</t>
        </is>
      </c>
      <c r="BC60" s="24" t="inlineStr">
        <is>
          <t>measured-edge-margin-v3</t>
        </is>
      </c>
      <c r="BD60" s="24" t="inlineStr">
        <is>
          <t>dd339a2eed50d7d83ab2127837995ddab82e879afd27f5414bb6c1f9cd60ba4c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2026-08-05T04:36:16.771749Z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-153</v>
      </c>
      <c r="BL60" s="27" t="n">
        <v>1.653595</v>
      </c>
      <c r="BM60" s="28" t="n">
        <v>0.604743</v>
      </c>
      <c r="BN60" s="28" t="n">
        <v>0.60199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0f33d75cea924af2</t>
        </is>
      </c>
      <c r="B61" s="24" t="inlineStr">
        <is>
          <t>2026-08-05T04:36:16.771749Z</t>
        </is>
      </c>
      <c r="C61" s="24" t="inlineStr">
        <is>
          <t>2026-08-05T22:40Z</t>
        </is>
      </c>
      <c r="D61" s="24" t="inlineStr">
        <is>
          <t>401816400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Cincinnati Reds</t>
        </is>
      </c>
      <c r="H61" s="24" t="inlineStr">
        <is>
          <t>total</t>
        </is>
      </c>
      <c r="I61" s="24" t="inlineStr">
        <is>
          <t>under</t>
        </is>
      </c>
      <c r="J61" s="25" t="n">
        <v>9.5</v>
      </c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0.509116</v>
      </c>
      <c r="P61" s="28" t="n">
        <v>0.042131</v>
      </c>
      <c r="Q61" s="28" t="n">
        <v>0.01892</v>
      </c>
      <c r="R61" s="26" t="n">
        <v>35</v>
      </c>
      <c r="S61" s="29" t="n">
        <v>1</v>
      </c>
      <c r="T61" s="24" t="inlineStr">
        <is>
          <t>measured-edge-totals-v3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Totals: Trend Engine projected 4.90-5.09; raw selected-side p=0.5133, calibrated p=0.5091.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mlb-ath</t>
        </is>
      </c>
      <c r="AQ61" s="24" t="inlineStr">
        <is>
          <t>Athletics</t>
        </is>
      </c>
      <c r="AR61" s="24" t="inlineStr">
        <is>
          <t>Athletics</t>
        </is>
      </c>
      <c r="AS61" s="24" t="inlineStr">
        <is>
          <t>mlb-cin</t>
        </is>
      </c>
      <c r="AT61" s="24" t="inlineStr">
        <is>
          <t>Cincinnati Reds</t>
        </is>
      </c>
      <c r="AU61" s="24" t="inlineStr">
        <is>
          <t>Cincinnati Reds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95b84332c75d2ce54036eb8de6ada9c78d0f80228c50825c0347281a8b9b49c7</t>
        </is>
      </c>
      <c r="BB61" s="24" t="inlineStr">
        <is>
          <t>flat_probability_shrinkage_toward_half</t>
        </is>
      </c>
      <c r="BC61" s="24" t="inlineStr">
        <is>
          <t>measured-edge-totals-v3</t>
        </is>
      </c>
      <c r="BD61" s="24" t="inlineStr">
        <is>
          <t>95b84332c75d2ce54036eb8de6ada9c78d0f80228c50825c0347281a8b9b49c7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2026-08-05T04:36:16.771749Z</t>
        </is>
      </c>
      <c r="BI61" s="24" t="inlineStr">
        <is>
          <t>["same_event","same_team_same_day","same_league_same_day"]</t>
        </is>
      </c>
      <c r="BJ61" s="25" t="n">
        <v>9.5</v>
      </c>
      <c r="BK61" s="26" t="n">
        <v>104</v>
      </c>
      <c r="BL61" s="27" t="n">
        <v>2.04</v>
      </c>
      <c r="BM61" s="28" t="n">
        <v>0.490196</v>
      </c>
      <c r="BN61" s="28" t="n">
        <v>0.487562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2df7f8ae6f304847</t>
        </is>
      </c>
      <c r="B62" s="24" t="inlineStr">
        <is>
          <t>2026-08-05T04:36:16.771749Z</t>
        </is>
      </c>
      <c r="C62" s="24" t="inlineStr">
        <is>
          <t>2026-08-05T22:40Z</t>
        </is>
      </c>
      <c r="D62" s="24" t="inlineStr">
        <is>
          <t>401816403</t>
        </is>
      </c>
      <c r="E62" s="24" t="inlineStr">
        <is>
          <t>MLB</t>
        </is>
      </c>
      <c r="F62" s="24" t="inlineStr">
        <is>
          <t>New York Mets</t>
        </is>
      </c>
      <c r="G62" s="24" t="inlineStr">
        <is>
          <t>Cleveland Guardians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-153</v>
      </c>
      <c r="M62" s="27" t="n">
        <v>1.653595</v>
      </c>
      <c r="N62" s="28" t="n">
        <v>0.604743</v>
      </c>
      <c r="O62" s="28" t="n">
        <v>0.60221</v>
      </c>
      <c r="P62" s="28" t="n">
        <v>0.042131</v>
      </c>
      <c r="Q62" s="28" t="n">
        <v>-0.002533</v>
      </c>
      <c r="R62" s="26" t="n">
        <v>25</v>
      </c>
      <c r="S62" s="29" t="n">
        <v>1.5</v>
      </c>
      <c r="T62" s="24" t="inlineStr">
        <is>
          <t>measured-edge-margin-v3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4.46-4.24; raw selected-side p=0.6500, calibrated p=0.6022.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mlb-nym</t>
        </is>
      </c>
      <c r="AQ62" s="24" t="inlineStr">
        <is>
          <t>New York Mets</t>
        </is>
      </c>
      <c r="AR62" s="24" t="inlineStr">
        <is>
          <t>New York Mets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dd339a2eed50d7d83ab2127837995ddab82e879afd27f5414bb6c1f9cd60ba4c</t>
        </is>
      </c>
      <c r="BB62" s="24" t="inlineStr">
        <is>
          <t>flat_probability_shrinkage_toward_half</t>
        </is>
      </c>
      <c r="BC62" s="24" t="inlineStr">
        <is>
          <t>measured-edge-margin-v3</t>
        </is>
      </c>
      <c r="BD62" s="24" t="inlineStr">
        <is>
          <t>dd339a2eed50d7d83ab2127837995ddab82e879afd27f5414bb6c1f9cd60ba4c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2026-08-05T04:36:16.771749Z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-153</v>
      </c>
      <c r="BL62" s="27" t="n">
        <v>1.653595</v>
      </c>
      <c r="BM62" s="28" t="n">
        <v>0.604743</v>
      </c>
      <c r="BN62" s="28" t="n">
        <v>0.60199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5eca91635a984d3d</t>
        </is>
      </c>
      <c r="B63" s="24" t="inlineStr">
        <is>
          <t>2026-08-05T04:36:16.771749Z</t>
        </is>
      </c>
      <c r="C63" s="24" t="inlineStr">
        <is>
          <t>2026-08-05T22:40Z</t>
        </is>
      </c>
      <c r="D63" s="24" t="inlineStr">
        <is>
          <t>401816403</t>
        </is>
      </c>
      <c r="E63" s="24" t="inlineStr">
        <is>
          <t>MLB</t>
        </is>
      </c>
      <c r="F63" s="24" t="inlineStr">
        <is>
          <t>New York Mets</t>
        </is>
      </c>
      <c r="G63" s="24" t="inlineStr">
        <is>
          <t>Cleveland Guardians</t>
        </is>
      </c>
      <c r="H63" s="24" t="inlineStr">
        <is>
          <t>total</t>
        </is>
      </c>
      <c r="I63" s="24" t="inlineStr">
        <is>
          <t>under</t>
        </is>
      </c>
      <c r="J63" s="25" t="n">
        <v>8.5</v>
      </c>
      <c r="K63" s="24" t="inlineStr">
        <is>
          <t>polymarket_us</t>
        </is>
      </c>
      <c r="L63" s="26" t="n">
        <v>-102</v>
      </c>
      <c r="M63" s="27" t="n">
        <v>1.980392</v>
      </c>
      <c r="N63" s="28" t="n">
        <v>0.50495</v>
      </c>
      <c r="O63" s="28" t="n">
        <v>0.50934</v>
      </c>
      <c r="P63" s="28" t="n">
        <v>0.042131</v>
      </c>
      <c r="Q63" s="28" t="n">
        <v>0.00439</v>
      </c>
      <c r="R63" s="26" t="n">
        <v>28</v>
      </c>
      <c r="S63" s="29" t="n">
        <v>1</v>
      </c>
      <c r="T63" s="24" t="inlineStr">
        <is>
          <t>measured-edge-totals-v3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4.46-4.24; raw selected-side p=0.5142, calibrated p=0.5093.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mlb-nym</t>
        </is>
      </c>
      <c r="AQ63" s="24" t="inlineStr">
        <is>
          <t>New York Mets</t>
        </is>
      </c>
      <c r="AR63" s="24" t="inlineStr">
        <is>
          <t>New York Mets</t>
        </is>
      </c>
      <c r="AS63" s="24" t="inlineStr">
        <is>
          <t>mlb-cle</t>
        </is>
      </c>
      <c r="AT63" s="24" t="inlineStr">
        <is>
          <t>Cleveland Guardians</t>
        </is>
      </c>
      <c r="AU63" s="24" t="inlineStr">
        <is>
          <t>Cleveland Guardians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95b84332c75d2ce54036eb8de6ada9c78d0f80228c50825c0347281a8b9b49c7</t>
        </is>
      </c>
      <c r="BB63" s="24" t="inlineStr">
        <is>
          <t>flat_probability_shrinkage_toward_half</t>
        </is>
      </c>
      <c r="BC63" s="24" t="inlineStr">
        <is>
          <t>measured-edge-totals-v3</t>
        </is>
      </c>
      <c r="BD63" s="24" t="inlineStr">
        <is>
          <t>95b84332c75d2ce54036eb8de6ada9c78d0f80228c50825c0347281a8b9b49c7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2026-08-05T04:36:16.771749Z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-102</v>
      </c>
      <c r="BL63" s="27" t="n">
        <v>1.980392</v>
      </c>
      <c r="BM63" s="28" t="n">
        <v>0.50495</v>
      </c>
      <c r="BN63" s="28" t="n">
        <v>0.502488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f32645579d0644b7</t>
        </is>
      </c>
      <c r="B64" s="24" t="inlineStr">
        <is>
          <t>2026-08-05T04:36:16.771749Z</t>
        </is>
      </c>
      <c r="C64" s="24" t="inlineStr">
        <is>
          <t>2026-08-05T22:40Z</t>
        </is>
      </c>
      <c r="D64" s="24" t="inlineStr">
        <is>
          <t>401816405</t>
        </is>
      </c>
      <c r="E64" s="24" t="inlineStr">
        <is>
          <t>MLB</t>
        </is>
      </c>
      <c r="F64" s="24" t="inlineStr">
        <is>
          <t>Washington Nationals</t>
        </is>
      </c>
      <c r="G64" s="24" t="inlineStr">
        <is>
          <t>Philadelphia Phillies</t>
        </is>
      </c>
      <c r="H64" s="24" t="inlineStr">
        <is>
          <t>spread</t>
        </is>
      </c>
      <c r="I64" s="24" t="inlineStr">
        <is>
          <t>away</t>
        </is>
      </c>
      <c r="J64" s="25" t="n">
        <v>1.5</v>
      </c>
      <c r="K64" s="24" t="inlineStr">
        <is>
          <t>polymarket_us</t>
        </is>
      </c>
      <c r="L64" s="26" t="n">
        <v>-127</v>
      </c>
      <c r="M64" s="27" t="n">
        <v>1.787402</v>
      </c>
      <c r="N64" s="28" t="n">
        <v>0.5594710000000001</v>
      </c>
      <c r="O64" s="28" t="n">
        <v>0.60238</v>
      </c>
      <c r="P64" s="28" t="n">
        <v>0.042131</v>
      </c>
      <c r="Q64" s="28" t="n">
        <v>0.042909</v>
      </c>
      <c r="R64" s="26" t="n">
        <v>49</v>
      </c>
      <c r="S64" s="29" t="n">
        <v>1.5</v>
      </c>
      <c r="T64" s="24" t="inlineStr">
        <is>
          <t>measured-edge-margin-v3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5.21-5.30; raw selected-side p=0.6502, calibrated p=0.6024.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mlb-wsh</t>
        </is>
      </c>
      <c r="AQ64" s="24" t="inlineStr">
        <is>
          <t>Washington Nationals</t>
        </is>
      </c>
      <c r="AR64" s="24" t="inlineStr">
        <is>
          <t>Washington Nationals</t>
        </is>
      </c>
      <c r="AS64" s="24" t="inlineStr">
        <is>
          <t>mlb-phi</t>
        </is>
      </c>
      <c r="AT64" s="24" t="inlineStr">
        <is>
          <t>Philadelphia Phillies</t>
        </is>
      </c>
      <c r="AU64" s="24" t="inlineStr">
        <is>
          <t>Philadelphia Phillies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dd339a2eed50d7d83ab2127837995ddab82e879afd27f5414bb6c1f9cd60ba4c</t>
        </is>
      </c>
      <c r="BB64" s="24" t="inlineStr">
        <is>
          <t>flat_probability_shrinkage_toward_half</t>
        </is>
      </c>
      <c r="BC64" s="24" t="inlineStr">
        <is>
          <t>measured-edge-margin-v3</t>
        </is>
      </c>
      <c r="BD64" s="24" t="inlineStr">
        <is>
          <t>dd339a2eed50d7d83ab2127837995ddab82e879afd27f5414bb6c1f9cd60ba4c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2026-08-05T04:36:16.771749Z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-127</v>
      </c>
      <c r="BL64" s="27" t="n">
        <v>1.787402</v>
      </c>
      <c r="BM64" s="28" t="n">
        <v>0.5594710000000001</v>
      </c>
      <c r="BN64" s="28" t="n">
        <v>0.554455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6dc05d99bf2b4f62</t>
        </is>
      </c>
      <c r="B65" s="24" t="inlineStr">
        <is>
          <t>2026-08-05T04:36:16.771749Z</t>
        </is>
      </c>
      <c r="C65" s="24" t="inlineStr">
        <is>
          <t>2026-08-05T22:40Z</t>
        </is>
      </c>
      <c r="D65" s="24" t="inlineStr">
        <is>
          <t>401816405</t>
        </is>
      </c>
      <c r="E65" s="24" t="inlineStr">
        <is>
          <t>MLB</t>
        </is>
      </c>
      <c r="F65" s="24" t="inlineStr">
        <is>
          <t>Washington Nationals</t>
        </is>
      </c>
      <c r="G65" s="24" t="inlineStr">
        <is>
          <t>Philadelphia Phillies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0.5154879999999999</v>
      </c>
      <c r="P65" s="28" t="n">
        <v>0.042131</v>
      </c>
      <c r="Q65" s="28" t="n">
        <v>0.005684</v>
      </c>
      <c r="R65" s="26" t="n">
        <v>29</v>
      </c>
      <c r="S65" s="29" t="n">
        <v>1</v>
      </c>
      <c r="T65" s="24" t="inlineStr">
        <is>
          <t>measured-edge-totals-v3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5.21-5.30; raw selected-side p=0.5390, calibrated p=0.5155.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mlb-wsh</t>
        </is>
      </c>
      <c r="AQ65" s="24" t="inlineStr">
        <is>
          <t>Washington Nationals</t>
        </is>
      </c>
      <c r="AR65" s="24" t="inlineStr">
        <is>
          <t>Washington Nationals</t>
        </is>
      </c>
      <c r="AS65" s="24" t="inlineStr">
        <is>
          <t>mlb-phi</t>
        </is>
      </c>
      <c r="AT65" s="24" t="inlineStr">
        <is>
          <t>Philadelphia Phillies</t>
        </is>
      </c>
      <c r="AU65" s="24" t="inlineStr">
        <is>
          <t>Philadelphia Phillies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95b84332c75d2ce54036eb8de6ada9c78d0f80228c50825c0347281a8b9b49c7</t>
        </is>
      </c>
      <c r="BB65" s="24" t="inlineStr">
        <is>
          <t>flat_probability_shrinkage_toward_half</t>
        </is>
      </c>
      <c r="BC65" s="24" t="inlineStr">
        <is>
          <t>measured-edge-totals-v3</t>
        </is>
      </c>
      <c r="BD65" s="24" t="inlineStr">
        <is>
          <t>95b84332c75d2ce54036eb8de6ada9c78d0f80228c50825c0347281a8b9b49c7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2026-08-05T04:36:16.771749Z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b310c5b5775a4b30</t>
        </is>
      </c>
      <c r="B66" s="24" t="inlineStr">
        <is>
          <t>2026-08-05T04:36:16.771749Z</t>
        </is>
      </c>
      <c r="C66" s="24" t="inlineStr">
        <is>
          <t>2026-08-05T23:05Z</t>
        </is>
      </c>
      <c r="D66" s="24" t="inlineStr">
        <is>
          <t>401816404</t>
        </is>
      </c>
      <c r="E66" s="24" t="inlineStr">
        <is>
          <t>MLB</t>
        </is>
      </c>
      <c r="F66" s="24" t="inlineStr">
        <is>
          <t>St. Louis Cardinals</t>
        </is>
      </c>
      <c r="G66" s="24" t="inlineStr">
        <is>
          <t>New York Yankees</t>
        </is>
      </c>
      <c r="H66" s="24" t="inlineStr">
        <is>
          <t>spread</t>
        </is>
      </c>
      <c r="I66" s="24" t="inlineStr">
        <is>
          <t>away</t>
        </is>
      </c>
      <c r="J66" s="25" t="n">
        <v>1.5</v>
      </c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0.6248320000000001</v>
      </c>
      <c r="P66" s="28" t="n">
        <v>0.042131</v>
      </c>
      <c r="Q66" s="28" t="n">
        <v>0.024832</v>
      </c>
      <c r="R66" s="26" t="n">
        <v>39</v>
      </c>
      <c r="S66" s="29" t="n">
        <v>1.5</v>
      </c>
      <c r="T66" s="24" t="inlineStr">
        <is>
          <t>measured-edge-margin-v3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Measured Edge Margin: Trend Engine projected 4.74-4.57; raw selected-side p=0.6832, calibrated p=0.6248.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mlb-stl</t>
        </is>
      </c>
      <c r="AQ66" s="24" t="inlineStr">
        <is>
          <t>St. Louis Cardinals</t>
        </is>
      </c>
      <c r="AR66" s="24" t="inlineStr">
        <is>
          <t>St. Louis Cardinals</t>
        </is>
      </c>
      <c r="AS66" s="24" t="inlineStr">
        <is>
          <t>mlb-nyy</t>
        </is>
      </c>
      <c r="AT66" s="24" t="inlineStr">
        <is>
          <t>New York Yankees</t>
        </is>
      </c>
      <c r="AU66" s="24" t="inlineStr">
        <is>
          <t>New York Yankees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dd339a2eed50d7d83ab2127837995ddab82e879afd27f5414bb6c1f9cd60ba4c</t>
        </is>
      </c>
      <c r="BB66" s="24" t="inlineStr">
        <is>
          <t>flat_probability_shrinkage_toward_half</t>
        </is>
      </c>
      <c r="BC66" s="24" t="inlineStr">
        <is>
          <t>measured-edge-margin-v3</t>
        </is>
      </c>
      <c r="BD66" s="24" t="inlineStr">
        <is>
          <t>dd339a2eed50d7d83ab2127837995ddab82e879afd27f5414bb6c1f9cd60ba4c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2026-08-05T04:36:16.771749Z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-150</v>
      </c>
      <c r="BL66" s="27" t="n">
        <v>1.666667</v>
      </c>
      <c r="BM66" s="28" t="n">
        <v>0.6</v>
      </c>
      <c r="BN66" s="28" t="n">
        <v>0.597015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18af2b518b674034</t>
        </is>
      </c>
      <c r="B67" s="24" t="inlineStr">
        <is>
          <t>2026-08-05T04:36:16.771749Z</t>
        </is>
      </c>
      <c r="C67" s="24" t="inlineStr">
        <is>
          <t>2026-08-05T23:05Z</t>
        </is>
      </c>
      <c r="D67" s="24" t="inlineStr">
        <is>
          <t>401816404</t>
        </is>
      </c>
      <c r="E67" s="24" t="inlineStr">
        <is>
          <t>MLB</t>
        </is>
      </c>
      <c r="F67" s="24" t="inlineStr">
        <is>
          <t>St. Louis Cardinals</t>
        </is>
      </c>
      <c r="G67" s="24" t="inlineStr">
        <is>
          <t>New York Yankees</t>
        </is>
      </c>
      <c r="H67" s="24" t="inlineStr">
        <is>
          <t>total</t>
        </is>
      </c>
      <c r="I67" s="24" t="inlineStr">
        <is>
          <t>over</t>
        </is>
      </c>
      <c r="J67" s="25" t="n">
        <v>8.5</v>
      </c>
      <c r="K67" s="24" t="inlineStr">
        <is>
          <t>polymarket_us</t>
        </is>
      </c>
      <c r="L67" s="26" t="n">
        <v>-111</v>
      </c>
      <c r="M67" s="27" t="n">
        <v>1.900901</v>
      </c>
      <c r="N67" s="28" t="n">
        <v>0.526066</v>
      </c>
      <c r="O67" s="28" t="n">
        <v>0.516866</v>
      </c>
      <c r="P67" s="28" t="n">
        <v>0.042131</v>
      </c>
      <c r="Q67" s="28" t="n">
        <v>-0.0092</v>
      </c>
      <c r="R67" s="26" t="n">
        <v>22</v>
      </c>
      <c r="S67" s="29" t="n">
        <v>1</v>
      </c>
      <c r="T67" s="24" t="inlineStr">
        <is>
          <t>measured-edge-totals-v3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Measured Edge Totals: Trend Engine projected 4.74-4.57; raw selected-side p=0.5445, calibrated p=0.5169.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mlb-stl</t>
        </is>
      </c>
      <c r="AQ67" s="24" t="inlineStr">
        <is>
          <t>St. Louis Cardinals</t>
        </is>
      </c>
      <c r="AR67" s="24" t="inlineStr">
        <is>
          <t>St. Louis Cardinals</t>
        </is>
      </c>
      <c r="AS67" s="24" t="inlineStr">
        <is>
          <t>mlb-nyy</t>
        </is>
      </c>
      <c r="AT67" s="24" t="inlineStr">
        <is>
          <t>New York Yankees</t>
        </is>
      </c>
      <c r="AU67" s="24" t="inlineStr">
        <is>
          <t>New York Yankees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95b84332c75d2ce54036eb8de6ada9c78d0f80228c50825c0347281a8b9b49c7</t>
        </is>
      </c>
      <c r="BB67" s="24" t="inlineStr">
        <is>
          <t>flat_probability_shrinkage_toward_half</t>
        </is>
      </c>
      <c r="BC67" s="24" t="inlineStr">
        <is>
          <t>measured-edge-totals-v3</t>
        </is>
      </c>
      <c r="BD67" s="24" t="inlineStr">
        <is>
          <t>95b84332c75d2ce54036eb8de6ada9c78d0f80228c50825c0347281a8b9b49c7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2026-08-05T04:36:16.771749Z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-111</v>
      </c>
      <c r="BL67" s="27" t="n">
        <v>1.900901</v>
      </c>
      <c r="BM67" s="28" t="n">
        <v>0.526066</v>
      </c>
      <c r="BN67" s="28" t="n">
        <v>0.522388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3b3e8899e7544707</t>
        </is>
      </c>
      <c r="B68" s="24" t="inlineStr">
        <is>
          <t>2026-08-05T04:36:16.771749Z</t>
        </is>
      </c>
      <c r="C68" s="24" t="inlineStr">
        <is>
          <t>2026-08-05T23:10Z</t>
        </is>
      </c>
      <c r="D68" s="24" t="inlineStr">
        <is>
          <t>401816401</t>
        </is>
      </c>
      <c r="E68" s="24" t="inlineStr">
        <is>
          <t>MLB</t>
        </is>
      </c>
      <c r="F68" s="24" t="inlineStr">
        <is>
          <t>Chicago White Sox</t>
        </is>
      </c>
      <c r="G68" s="24" t="inlineStr">
        <is>
          <t>Boston Red Sox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-182</v>
      </c>
      <c r="M68" s="27" t="n">
        <v>1.549451</v>
      </c>
      <c r="N68" s="28" t="n">
        <v>0.64539</v>
      </c>
      <c r="O68" s="28" t="n">
        <v>0.6332140000000001</v>
      </c>
      <c r="P68" s="28" t="n">
        <v>0.042131</v>
      </c>
      <c r="Q68" s="28" t="n">
        <v>-0.012176</v>
      </c>
      <c r="R68" s="26" t="n">
        <v>20</v>
      </c>
      <c r="S68" s="29" t="n">
        <v>1.5</v>
      </c>
      <c r="T68" s="24" t="inlineStr">
        <is>
          <t>measured-edge-margin-v3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Measured Edge Margin: Trend Engine projected 4.13-3.98; raw selected-side p=0.6955, calibrated p=0.6332.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mlb-cws</t>
        </is>
      </c>
      <c r="AQ68" s="24" t="inlineStr">
        <is>
          <t>Chicago White Sox</t>
        </is>
      </c>
      <c r="AR68" s="24" t="inlineStr">
        <is>
          <t>Chicago White Sox</t>
        </is>
      </c>
      <c r="AS68" s="24" t="inlineStr">
        <is>
          <t>mlb-bos</t>
        </is>
      </c>
      <c r="AT68" s="24" t="inlineStr">
        <is>
          <t>Boston Red Sox</t>
        </is>
      </c>
      <c r="AU68" s="24" t="inlineStr">
        <is>
          <t>Boston Red Sox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dd339a2eed50d7d83ab2127837995ddab82e879afd27f5414bb6c1f9cd60ba4c</t>
        </is>
      </c>
      <c r="BB68" s="24" t="inlineStr">
        <is>
          <t>flat_probability_shrinkage_toward_half</t>
        </is>
      </c>
      <c r="BC68" s="24" t="inlineStr">
        <is>
          <t>measured-edge-margin-v3</t>
        </is>
      </c>
      <c r="BD68" s="24" t="inlineStr">
        <is>
          <t>dd339a2eed50d7d83ab2127837995ddab82e879afd27f5414bb6c1f9cd60ba4c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2026-08-05T04:36:16.771749Z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-182</v>
      </c>
      <c r="BL68" s="27" t="n">
        <v>1.549451</v>
      </c>
      <c r="BM68" s="28" t="n">
        <v>0.64539</v>
      </c>
      <c r="BN68" s="28" t="n">
        <v>0.641791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</row>
    <row r="69" ht="36" customHeight="1">
      <c r="A69" s="24" t="inlineStr">
        <is>
          <t>ceed6ea7167640c4</t>
        </is>
      </c>
      <c r="B69" s="24" t="inlineStr">
        <is>
          <t>2026-08-05T04:36:16.771749Z</t>
        </is>
      </c>
      <c r="C69" s="24" t="inlineStr">
        <is>
          <t>2026-08-05T23:10Z</t>
        </is>
      </c>
      <c r="D69" s="24" t="inlineStr">
        <is>
          <t>401816401</t>
        </is>
      </c>
      <c r="E69" s="24" t="inlineStr">
        <is>
          <t>MLB</t>
        </is>
      </c>
      <c r="F69" s="24" t="inlineStr">
        <is>
          <t>Chicago White Sox</t>
        </is>
      </c>
      <c r="G69" s="24" t="inlineStr">
        <is>
          <t>Boston Red Sox</t>
        </is>
      </c>
      <c r="H69" s="24" t="inlineStr">
        <is>
          <t>total</t>
        </is>
      </c>
      <c r="I69" s="24" t="inlineStr">
        <is>
          <t>under</t>
        </is>
      </c>
      <c r="J69" s="25" t="n">
        <v>8.5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0.52325</v>
      </c>
      <c r="P69" s="28" t="n">
        <v>0.042131</v>
      </c>
      <c r="Q69" s="28" t="n">
        <v>0.02325</v>
      </c>
      <c r="R69" s="26" t="n">
        <v>38</v>
      </c>
      <c r="S69" s="29" t="n">
        <v>1</v>
      </c>
      <c r="T69" s="24" t="inlineStr">
        <is>
          <t>measured-edge-totals-v3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Measured Edge Totals: Trend Engine projected 4.13-3.98; raw selected-side p=0.5703, calibrated p=0.5233.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mlb-cws</t>
        </is>
      </c>
      <c r="AQ69" s="24" t="inlineStr">
        <is>
          <t>Chicago White Sox</t>
        </is>
      </c>
      <c r="AR69" s="24" t="inlineStr">
        <is>
          <t>Chicago White Sox</t>
        </is>
      </c>
      <c r="AS69" s="24" t="inlineStr">
        <is>
          <t>mlb-bos</t>
        </is>
      </c>
      <c r="AT69" s="24" t="inlineStr">
        <is>
          <t>Boston Red Sox</t>
        </is>
      </c>
      <c r="AU69" s="24" t="inlineStr">
        <is>
          <t>Boston Red Sox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95b84332c75d2ce54036eb8de6ada9c78d0f80228c50825c0347281a8b9b49c7</t>
        </is>
      </c>
      <c r="BB69" s="24" t="inlineStr">
        <is>
          <t>flat_probability_shrinkage_toward_half</t>
        </is>
      </c>
      <c r="BC69" s="24" t="inlineStr">
        <is>
          <t>measured-edge-totals-v3</t>
        </is>
      </c>
      <c r="BD69" s="24" t="inlineStr">
        <is>
          <t>95b84332c75d2ce54036eb8de6ada9c78d0f80228c50825c0347281a8b9b49c7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2026-08-05T04:36:16.771749Z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f9a5065e12f94a1e</t>
        </is>
      </c>
      <c r="B70" s="24" t="inlineStr">
        <is>
          <t>2026-08-05T04:36:16.771749Z</t>
        </is>
      </c>
      <c r="C70" s="24" t="inlineStr">
        <is>
          <t>2026-08-05T23:15Z</t>
        </is>
      </c>
      <c r="D70" s="24" t="inlineStr">
        <is>
          <t>401816402</t>
        </is>
      </c>
      <c r="E70" s="24" t="inlineStr">
        <is>
          <t>MLB</t>
        </is>
      </c>
      <c r="F70" s="24" t="inlineStr">
        <is>
          <t>Miami Marlins</t>
        </is>
      </c>
      <c r="G70" s="24" t="inlineStr">
        <is>
          <t>Atlanta Braves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-174</v>
      </c>
      <c r="M70" s="27" t="n">
        <v>1.574713</v>
      </c>
      <c r="N70" s="28" t="n">
        <v>0.635036</v>
      </c>
      <c r="O70" s="28" t="n">
        <v>0.639346</v>
      </c>
      <c r="P70" s="28" t="n">
        <v>0.042131</v>
      </c>
      <c r="Q70" s="28" t="n">
        <v>0.00431</v>
      </c>
      <c r="R70" s="26" t="n">
        <v>28</v>
      </c>
      <c r="S70" s="29" t="n">
        <v>1.75</v>
      </c>
      <c r="T70" s="24" t="inlineStr">
        <is>
          <t>measured-edge-margin-v3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Measured Edge Margin: Trend Engine projected 4.38-4.11; raw selected-side p=0.7045, calibrated p=0.6393.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mlb-mia</t>
        </is>
      </c>
      <c r="AQ70" s="24" t="inlineStr">
        <is>
          <t>Miami Marlins</t>
        </is>
      </c>
      <c r="AR70" s="24" t="inlineStr">
        <is>
          <t>Miami Marlins</t>
        </is>
      </c>
      <c r="AS70" s="24" t="inlineStr">
        <is>
          <t>mlb-atl</t>
        </is>
      </c>
      <c r="AT70" s="24" t="inlineStr">
        <is>
          <t>Atlanta Braves</t>
        </is>
      </c>
      <c r="AU70" s="24" t="inlineStr">
        <is>
          <t>Atlanta Braves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dd339a2eed50d7d83ab2127837995ddab82e879afd27f5414bb6c1f9cd60ba4c</t>
        </is>
      </c>
      <c r="BB70" s="24" t="inlineStr">
        <is>
          <t>flat_probability_shrinkage_toward_half</t>
        </is>
      </c>
      <c r="BC70" s="24" t="inlineStr">
        <is>
          <t>measured-edge-margin-v3</t>
        </is>
      </c>
      <c r="BD70" s="24" t="inlineStr">
        <is>
          <t>dd339a2eed50d7d83ab2127837995ddab82e879afd27f5414bb6c1f9cd60ba4c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2026-08-05T04:36:16.771749Z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-174</v>
      </c>
      <c r="BL70" s="27" t="n">
        <v>1.574713</v>
      </c>
      <c r="BM70" s="28" t="n">
        <v>0.635036</v>
      </c>
      <c r="BN70" s="28" t="n">
        <v>0.631841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9351fff5823b49cd</t>
        </is>
      </c>
      <c r="B71" s="24" t="inlineStr">
        <is>
          <t>2026-08-05T04:36:16.771749Z</t>
        </is>
      </c>
      <c r="C71" s="24" t="inlineStr">
        <is>
          <t>2026-08-05T23:15Z</t>
        </is>
      </c>
      <c r="D71" s="24" t="inlineStr">
        <is>
          <t>401816402</t>
        </is>
      </c>
      <c r="E71" s="24" t="inlineStr">
        <is>
          <t>MLB</t>
        </is>
      </c>
      <c r="F71" s="24" t="inlineStr">
        <is>
          <t>Miami Marlins</t>
        </is>
      </c>
      <c r="G71" s="24" t="inlineStr">
        <is>
          <t>Atlanta Braves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111</v>
      </c>
      <c r="M71" s="27" t="n">
        <v>2.11</v>
      </c>
      <c r="N71" s="28" t="n">
        <v>0.473934</v>
      </c>
      <c r="O71" s="28" t="n">
        <v>0.51201</v>
      </c>
      <c r="P71" s="28" t="n">
        <v>0.042131</v>
      </c>
      <c r="Q71" s="28" t="n">
        <v>0.038076</v>
      </c>
      <c r="R71" s="26" t="n">
        <v>44</v>
      </c>
      <c r="S71" s="29" t="n">
        <v>1</v>
      </c>
      <c r="T71" s="24" t="inlineStr">
        <is>
          <t>measured-edge-totals-v3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Measured Edge Totals: Trend Engine projected 4.38-4.11; raw selected-side p=0.5250, calibrated p=0.5120.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mlb-mia</t>
        </is>
      </c>
      <c r="AQ71" s="24" t="inlineStr">
        <is>
          <t>Miami Marlins</t>
        </is>
      </c>
      <c r="AR71" s="24" t="inlineStr">
        <is>
          <t>Miami Marlins</t>
        </is>
      </c>
      <c r="AS71" s="24" t="inlineStr">
        <is>
          <t>mlb-atl</t>
        </is>
      </c>
      <c r="AT71" s="24" t="inlineStr">
        <is>
          <t>Atlanta Braves</t>
        </is>
      </c>
      <c r="AU71" s="24" t="inlineStr">
        <is>
          <t>Atlanta Braves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95b84332c75d2ce54036eb8de6ada9c78d0f80228c50825c0347281a8b9b49c7</t>
        </is>
      </c>
      <c r="BB71" s="24" t="inlineStr">
        <is>
          <t>flat_probability_shrinkage_toward_half</t>
        </is>
      </c>
      <c r="BC71" s="24" t="inlineStr">
        <is>
          <t>measured-edge-totals-v3</t>
        </is>
      </c>
      <c r="BD71" s="24" t="inlineStr">
        <is>
          <t>95b84332c75d2ce54036eb8de6ada9c78d0f80228c50825c0347281a8b9b49c7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2026-08-05T04:36:16.771749Z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111</v>
      </c>
      <c r="BL71" s="27" t="n">
        <v>2.11</v>
      </c>
      <c r="BM71" s="28" t="n">
        <v>0.473934</v>
      </c>
      <c r="BN71" s="28" t="n">
        <v>0.472637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113b6926d0154d9c</t>
        </is>
      </c>
      <c r="B72" s="24" t="inlineStr">
        <is>
          <t>2026-08-05T04:36:16.771749Z</t>
        </is>
      </c>
      <c r="C72" s="24" t="inlineStr">
        <is>
          <t>2026-08-05T23:30Z</t>
        </is>
      </c>
      <c r="D72" s="24" t="inlineStr">
        <is>
          <t>401816408</t>
        </is>
      </c>
      <c r="E72" s="24" t="inlineStr">
        <is>
          <t>MLB</t>
        </is>
      </c>
      <c r="F72" s="24" t="inlineStr">
        <is>
          <t>Pittsburgh Pirates</t>
        </is>
      </c>
      <c r="G72" s="24" t="inlineStr">
        <is>
          <t>Milwaukee Brewers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0.590354</v>
      </c>
      <c r="P72" s="28" t="n">
        <v>0.042131</v>
      </c>
      <c r="Q72" s="28" t="n">
        <v>-0.049934</v>
      </c>
      <c r="R72" s="26" t="n">
        <v>1</v>
      </c>
      <c r="S72" s="29" t="n">
        <v>1.25</v>
      </c>
      <c r="T72" s="24" t="inlineStr">
        <is>
          <t>measured-edge-margin-v3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Measured Edge Margin: Trend Engine projected 4.27-4.68; raw selected-side p=0.6326, calibrated p=0.5904.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mlb-pit</t>
        </is>
      </c>
      <c r="AQ72" s="24" t="inlineStr">
        <is>
          <t>Pittsburgh Pirates</t>
        </is>
      </c>
      <c r="AR72" s="24" t="inlineStr">
        <is>
          <t>Pittsburgh Pirates</t>
        </is>
      </c>
      <c r="AS72" s="24" t="inlineStr">
        <is>
          <t>mlb-mil</t>
        </is>
      </c>
      <c r="AT72" s="24" t="inlineStr">
        <is>
          <t>Milwaukee Brewers</t>
        </is>
      </c>
      <c r="AU72" s="24" t="inlineStr">
        <is>
          <t>Milwaukee Brewers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dd339a2eed50d7d83ab2127837995ddab82e879afd27f5414bb6c1f9cd60ba4c</t>
        </is>
      </c>
      <c r="BB72" s="24" t="inlineStr">
        <is>
          <t>flat_probability_shrinkage_toward_half</t>
        </is>
      </c>
      <c r="BC72" s="24" t="inlineStr">
        <is>
          <t>measured-edge-margin-v3</t>
        </is>
      </c>
      <c r="BD72" s="24" t="inlineStr">
        <is>
          <t>dd339a2eed50d7d83ab2127837995ddab82e879afd27f5414bb6c1f9cd60ba4c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2026-08-05T04:36:16.771749Z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-178</v>
      </c>
      <c r="BL72" s="27" t="n">
        <v>1.561798</v>
      </c>
      <c r="BM72" s="28" t="n">
        <v>0.640288</v>
      </c>
      <c r="BN72" s="28" t="n">
        <v>0.636816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f39275040c124d2d</t>
        </is>
      </c>
      <c r="B73" s="24" t="inlineStr">
        <is>
          <t>2026-08-05T04:36:16.771749Z</t>
        </is>
      </c>
      <c r="C73" s="24" t="inlineStr">
        <is>
          <t>2026-08-05T23:30Z</t>
        </is>
      </c>
      <c r="D73" s="24" t="inlineStr">
        <is>
          <t>401816408</t>
        </is>
      </c>
      <c r="E73" s="24" t="inlineStr">
        <is>
          <t>MLB</t>
        </is>
      </c>
      <c r="F73" s="24" t="inlineStr">
        <is>
          <t>Pittsburgh Pirates</t>
        </is>
      </c>
      <c r="G73" s="24" t="inlineStr">
        <is>
          <t>Milwaukee Brewers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111</v>
      </c>
      <c r="M73" s="27" t="n">
        <v>2.11</v>
      </c>
      <c r="N73" s="28" t="n">
        <v>0.473934</v>
      </c>
      <c r="O73" s="28" t="n">
        <v>0.527448</v>
      </c>
      <c r="P73" s="28" t="n">
        <v>0.042131</v>
      </c>
      <c r="Q73" s="28" t="n">
        <v>0.053514</v>
      </c>
      <c r="R73" s="26" t="n">
        <v>52</v>
      </c>
      <c r="S73" s="29" t="n">
        <v>1</v>
      </c>
      <c r="T73" s="24" t="inlineStr">
        <is>
          <t>measured-edge-totals-v3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Measured Edge Totals: Trend Engine projected 4.27-4.68; raw selected-side p=0.5871, calibrated p=0.5274.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mlb-pit</t>
        </is>
      </c>
      <c r="AQ73" s="24" t="inlineStr">
        <is>
          <t>Pittsburgh Pirates</t>
        </is>
      </c>
      <c r="AR73" s="24" t="inlineStr">
        <is>
          <t>Pittsburgh Pirates</t>
        </is>
      </c>
      <c r="AS73" s="24" t="inlineStr">
        <is>
          <t>mlb-mil</t>
        </is>
      </c>
      <c r="AT73" s="24" t="inlineStr">
        <is>
          <t>Milwaukee Brewers</t>
        </is>
      </c>
      <c r="AU73" s="24" t="inlineStr">
        <is>
          <t>Milwaukee Brewers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95b84332c75d2ce54036eb8de6ada9c78d0f80228c50825c0347281a8b9b49c7</t>
        </is>
      </c>
      <c r="BB73" s="24" t="inlineStr">
        <is>
          <t>flat_probability_shrinkage_toward_half</t>
        </is>
      </c>
      <c r="BC73" s="24" t="inlineStr">
        <is>
          <t>measured-edge-totals-v3</t>
        </is>
      </c>
      <c r="BD73" s="24" t="inlineStr">
        <is>
          <t>95b84332c75d2ce54036eb8de6ada9c78d0f80228c50825c0347281a8b9b49c7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2026-08-05T04:36:16.771749Z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111</v>
      </c>
      <c r="BL73" s="27" t="n">
        <v>2.11</v>
      </c>
      <c r="BM73" s="28" t="n">
        <v>0.473934</v>
      </c>
      <c r="BN73" s="28" t="n">
        <v>0.472637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06679cc9303c40f3</t>
        </is>
      </c>
      <c r="B74" s="24" t="inlineStr">
        <is>
          <t>2026-08-05T04:36:16.771749Z</t>
        </is>
      </c>
      <c r="C74" s="24" t="inlineStr">
        <is>
          <t>2026-08-05T23:40Z</t>
        </is>
      </c>
      <c r="D74" s="24" t="inlineStr">
        <is>
          <t>401816407</t>
        </is>
      </c>
      <c r="E74" s="24" t="inlineStr">
        <is>
          <t>MLB</t>
        </is>
      </c>
      <c r="F74" s="24" t="inlineStr">
        <is>
          <t>Minnesota Twins</t>
        </is>
      </c>
      <c r="G74" s="24" t="inlineStr">
        <is>
          <t>Kansas City Royals</t>
        </is>
      </c>
      <c r="H74" s="24" t="inlineStr">
        <is>
          <t>spread</t>
        </is>
      </c>
      <c r="I74" s="24" t="inlineStr">
        <is>
          <t>home</t>
        </is>
      </c>
      <c r="J74" s="25" t="n">
        <v>1.5</v>
      </c>
      <c r="K74" s="24" t="inlineStr">
        <is>
          <t>polymarket_us</t>
        </is>
      </c>
      <c r="L74" s="26" t="n">
        <v>-174</v>
      </c>
      <c r="M74" s="27" t="n">
        <v>1.574713</v>
      </c>
      <c r="N74" s="28" t="n">
        <v>0.635036</v>
      </c>
      <c r="O74" s="28" t="n">
        <v>0.647353</v>
      </c>
      <c r="P74" s="28" t="n">
        <v>0.05172</v>
      </c>
      <c r="Q74" s="28" t="n">
        <v>0.012317</v>
      </c>
      <c r="R74" s="26" t="n">
        <v>27</v>
      </c>
      <c r="S74" s="29" t="n">
        <v>1.75</v>
      </c>
      <c r="T74" s="24" t="inlineStr">
        <is>
          <t>measured-edge-margin-v3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Measured Edge Margin: Trend Engine projected 4.58-5.19; raw selected-side p=0.7163, calibrated p=0.6474.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mlb-min</t>
        </is>
      </c>
      <c r="AQ74" s="24" t="inlineStr">
        <is>
          <t>Minnesota Twins</t>
        </is>
      </c>
      <c r="AR74" s="24" t="inlineStr">
        <is>
          <t>Minnesota Twins</t>
        </is>
      </c>
      <c r="AS74" s="24" t="inlineStr">
        <is>
          <t>mlb-kc</t>
        </is>
      </c>
      <c r="AT74" s="24" t="inlineStr">
        <is>
          <t>Kansas City Royals</t>
        </is>
      </c>
      <c r="AU74" s="24" t="inlineStr">
        <is>
          <t>Kansas City Royals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dd339a2eed50d7d83ab2127837995ddab82e879afd27f5414bb6c1f9cd60ba4c</t>
        </is>
      </c>
      <c r="BB74" s="24" t="inlineStr">
        <is>
          <t>flat_probability_shrinkage_toward_half</t>
        </is>
      </c>
      <c r="BC74" s="24" t="inlineStr">
        <is>
          <t>measured-edge-margin-v3</t>
        </is>
      </c>
      <c r="BD74" s="24" t="inlineStr">
        <is>
          <t>dd339a2eed50d7d83ab2127837995ddab82e879afd27f5414bb6c1f9cd60ba4c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2026-08-05T04:36:16.771749Z</t>
        </is>
      </c>
      <c r="BI74" s="24" t="inlineStr">
        <is>
          <t>["same_event","same_team_same_day","same_league_same_day"]</t>
        </is>
      </c>
      <c r="BJ74" s="25" t="n">
        <v>1.5</v>
      </c>
      <c r="BK74" s="26" t="n">
        <v>-174</v>
      </c>
      <c r="BL74" s="27" t="n">
        <v>1.574713</v>
      </c>
      <c r="BM74" s="28" t="n">
        <v>0.635036</v>
      </c>
      <c r="BN74" s="28" t="n">
        <v>0.631841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c3bbd2f2ca3142dd</t>
        </is>
      </c>
      <c r="B75" s="24" t="inlineStr">
        <is>
          <t>2026-08-05T04:36:16.771749Z</t>
        </is>
      </c>
      <c r="C75" s="24" t="inlineStr">
        <is>
          <t>2026-08-05T23:40Z</t>
        </is>
      </c>
      <c r="D75" s="24" t="inlineStr">
        <is>
          <t>401816407</t>
        </is>
      </c>
      <c r="E75" s="24" t="inlineStr">
        <is>
          <t>MLB</t>
        </is>
      </c>
      <c r="F75" s="24" t="inlineStr">
        <is>
          <t>Minnesota Twins</t>
        </is>
      </c>
      <c r="G75" s="24" t="inlineStr">
        <is>
          <t>Kansas City Royals</t>
        </is>
      </c>
      <c r="H75" s="24" t="inlineStr">
        <is>
          <t>total</t>
        </is>
      </c>
      <c r="I75" s="24" t="inlineStr">
        <is>
          <t>under</t>
        </is>
      </c>
      <c r="J75" s="25" t="n">
        <v>9.5</v>
      </c>
      <c r="K75" s="24" t="inlineStr">
        <is>
          <t>polymarket_us</t>
        </is>
      </c>
      <c r="L75" s="26" t="n">
        <v>-122</v>
      </c>
      <c r="M75" s="27" t="n">
        <v>1.819672</v>
      </c>
      <c r="N75" s="28" t="n">
        <v>0.54955</v>
      </c>
      <c r="O75" s="28" t="n">
        <v>0.51355</v>
      </c>
      <c r="P75" s="28" t="n">
        <v>0.05172</v>
      </c>
      <c r="Q75" s="28" t="n">
        <v>-0.036</v>
      </c>
      <c r="R75" s="26" t="n">
        <v>2</v>
      </c>
      <c r="S75" s="29" t="n">
        <v>1</v>
      </c>
      <c r="T75" s="24" t="inlineStr">
        <is>
          <t>measured-edge-totals-v3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Measured Edge Totals: Trend Engine projected 4.58-5.19; raw selected-side p=0.5312, calibrated p=0.5136.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mlb-min</t>
        </is>
      </c>
      <c r="AQ75" s="24" t="inlineStr">
        <is>
          <t>Minnesota Twins</t>
        </is>
      </c>
      <c r="AR75" s="24" t="inlineStr">
        <is>
          <t>Minnesota Twins</t>
        </is>
      </c>
      <c r="AS75" s="24" t="inlineStr">
        <is>
          <t>mlb-kc</t>
        </is>
      </c>
      <c r="AT75" s="24" t="inlineStr">
        <is>
          <t>Kansas City Royals</t>
        </is>
      </c>
      <c r="AU75" s="24" t="inlineStr">
        <is>
          <t>Kansas City Royals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95b84332c75d2ce54036eb8de6ada9c78d0f80228c50825c0347281a8b9b49c7</t>
        </is>
      </c>
      <c r="BB75" s="24" t="inlineStr">
        <is>
          <t>flat_probability_shrinkage_toward_half</t>
        </is>
      </c>
      <c r="BC75" s="24" t="inlineStr">
        <is>
          <t>measured-edge-totals-v3</t>
        </is>
      </c>
      <c r="BD75" s="24" t="inlineStr">
        <is>
          <t>95b84332c75d2ce54036eb8de6ada9c78d0f80228c50825c0347281a8b9b49c7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2026-08-05T04:36:16.771749Z</t>
        </is>
      </c>
      <c r="BI75" s="24" t="inlineStr">
        <is>
          <t>["same_event","same_team_same_day","same_league_same_day"]</t>
        </is>
      </c>
      <c r="BJ75" s="25" t="n">
        <v>9.5</v>
      </c>
      <c r="BK75" s="26" t="n">
        <v>-122</v>
      </c>
      <c r="BL75" s="27" t="n">
        <v>1.819672</v>
      </c>
      <c r="BM75" s="28" t="n">
        <v>0.54955</v>
      </c>
      <c r="BN75" s="28" t="n">
        <v>0.547264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</row>
    <row r="76" ht="36" customHeight="1">
      <c r="A76" s="24" t="inlineStr">
        <is>
          <t>95193532269c4ab2</t>
        </is>
      </c>
      <c r="B76" s="24" t="inlineStr">
        <is>
          <t>2026-08-05T04:36:16.771749Z</t>
        </is>
      </c>
      <c r="C76" s="24" t="inlineStr">
        <is>
          <t>2026-08-06T01:40Z</t>
        </is>
      </c>
      <c r="D76" s="24" t="inlineStr">
        <is>
          <t>401816412</t>
        </is>
      </c>
      <c r="E76" s="24" t="inlineStr">
        <is>
          <t>MLB</t>
        </is>
      </c>
      <c r="F76" s="24" t="inlineStr">
        <is>
          <t>Detroit Tigers</t>
        </is>
      </c>
      <c r="G76" s="24" t="inlineStr">
        <is>
          <t>Seattle Mariners</t>
        </is>
      </c>
      <c r="H76" s="24" t="inlineStr">
        <is>
          <t>spread</t>
        </is>
      </c>
      <c r="I76" s="24" t="inlineStr">
        <is>
          <t>away</t>
        </is>
      </c>
      <c r="J76" s="25" t="n">
        <v>1.5</v>
      </c>
      <c r="K76" s="24" t="inlineStr">
        <is>
          <t>polymarket_us</t>
        </is>
      </c>
      <c r="L76" s="26" t="n">
        <v>-156</v>
      </c>
      <c r="M76" s="27" t="n">
        <v>1.641026</v>
      </c>
      <c r="N76" s="28" t="n">
        <v>0.609375</v>
      </c>
      <c r="O76" s="28" t="n">
        <v>0.631715</v>
      </c>
      <c r="P76" s="28" t="n">
        <v>0.042131</v>
      </c>
      <c r="Q76" s="28" t="n">
        <v>0.02234</v>
      </c>
      <c r="R76" s="26" t="n">
        <v>37</v>
      </c>
      <c r="S76" s="29" t="n">
        <v>1.5</v>
      </c>
      <c r="T76" s="24" t="inlineStr">
        <is>
          <t>measured-edge-margin-v3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Measured Edge Margin: Trend Engine projected 4.87-4.56; raw selected-side p=0.6933, calibrated p=0.6317.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mlb-det</t>
        </is>
      </c>
      <c r="AQ76" s="24" t="inlineStr">
        <is>
          <t>Detroit Tigers</t>
        </is>
      </c>
      <c r="AR76" s="24" t="inlineStr">
        <is>
          <t>Detroit Tigers</t>
        </is>
      </c>
      <c r="AS76" s="24" t="inlineStr">
        <is>
          <t>mlb-sea</t>
        </is>
      </c>
      <c r="AT76" s="24" t="inlineStr">
        <is>
          <t>Seattle Mariners</t>
        </is>
      </c>
      <c r="AU76" s="24" t="inlineStr">
        <is>
          <t>Seattle Mariners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dd339a2eed50d7d83ab2127837995ddab82e879afd27f5414bb6c1f9cd60ba4c</t>
        </is>
      </c>
      <c r="BB76" s="24" t="inlineStr">
        <is>
          <t>flat_probability_shrinkage_toward_half</t>
        </is>
      </c>
      <c r="BC76" s="24" t="inlineStr">
        <is>
          <t>measured-edge-margin-v3</t>
        </is>
      </c>
      <c r="BD76" s="24" t="inlineStr">
        <is>
          <t>dd339a2eed50d7d83ab2127837995ddab82e879afd27f5414bb6c1f9cd60ba4c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2026-08-05T04:36:16.771749Z</t>
        </is>
      </c>
      <c r="BI76" s="24" t="inlineStr">
        <is>
          <t>["same_event","same_team_same_day","same_league_same_day"]</t>
        </is>
      </c>
      <c r="BJ76" s="25" t="n">
        <v>1.5</v>
      </c>
      <c r="BK76" s="26" t="n">
        <v>-156</v>
      </c>
      <c r="BL76" s="27" t="n">
        <v>1.641026</v>
      </c>
      <c r="BM76" s="28" t="n">
        <v>0.609375</v>
      </c>
      <c r="BN76" s="28" t="n">
        <v>0.606965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ac951448e4bf45d9</t>
        </is>
      </c>
      <c r="B77" s="24" t="inlineStr">
        <is>
          <t>2026-08-05T04:36:16.771749Z</t>
        </is>
      </c>
      <c r="C77" s="24" t="inlineStr">
        <is>
          <t>2026-08-06T01:40Z</t>
        </is>
      </c>
      <c r="D77" s="24" t="inlineStr">
        <is>
          <t>401816412</t>
        </is>
      </c>
      <c r="E77" s="24" t="inlineStr">
        <is>
          <t>MLB</t>
        </is>
      </c>
      <c r="F77" s="24" t="inlineStr">
        <is>
          <t>Detroit Tigers</t>
        </is>
      </c>
      <c r="G77" s="24" t="inlineStr">
        <is>
          <t>Seattle Mariners</t>
        </is>
      </c>
      <c r="H77" s="24" t="inlineStr">
        <is>
          <t>total</t>
        </is>
      </c>
      <c r="I77" s="24" t="inlineStr">
        <is>
          <t>over</t>
        </is>
      </c>
      <c r="J77" s="25" t="n">
        <v>7.5</v>
      </c>
      <c r="K77" s="24" t="inlineStr">
        <is>
          <t>polymarket_us</t>
        </is>
      </c>
      <c r="L77" s="26" t="n">
        <v>-113</v>
      </c>
      <c r="M77" s="27" t="n">
        <v>1.884956</v>
      </c>
      <c r="N77" s="28" t="n">
        <v>0.530516</v>
      </c>
      <c r="O77" s="28" t="n">
        <v>0.537198</v>
      </c>
      <c r="P77" s="28" t="n">
        <v>0.042131</v>
      </c>
      <c r="Q77" s="28" t="n">
        <v>0.006682</v>
      </c>
      <c r="R77" s="26" t="n">
        <v>30</v>
      </c>
      <c r="S77" s="29" t="n">
        <v>1</v>
      </c>
      <c r="T77" s="24" t="inlineStr">
        <is>
          <t>measured-edge-totals-v3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Measured Edge Totals: Trend Engine projected 4.87-4.56; raw selected-side p=0.6264, calibrated p=0.5372.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mlb-det</t>
        </is>
      </c>
      <c r="AQ77" s="24" t="inlineStr">
        <is>
          <t>Detroit Tigers</t>
        </is>
      </c>
      <c r="AR77" s="24" t="inlineStr">
        <is>
          <t>Detroit Tigers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95b84332c75d2ce54036eb8de6ada9c78d0f80228c50825c0347281a8b9b49c7</t>
        </is>
      </c>
      <c r="BB77" s="24" t="inlineStr">
        <is>
          <t>flat_probability_shrinkage_toward_half</t>
        </is>
      </c>
      <c r="BC77" s="24" t="inlineStr">
        <is>
          <t>measured-edge-totals-v3</t>
        </is>
      </c>
      <c r="BD77" s="24" t="inlineStr">
        <is>
          <t>95b84332c75d2ce54036eb8de6ada9c78d0f80228c50825c0347281a8b9b49c7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2026-08-05T04:36:16.771749Z</t>
        </is>
      </c>
      <c r="BI77" s="24" t="inlineStr">
        <is>
          <t>["same_event","same_team_same_day","same_league_same_day"]</t>
        </is>
      </c>
      <c r="BJ77" s="25" t="n">
        <v>7.5</v>
      </c>
      <c r="BK77" s="26" t="n">
        <v>-113</v>
      </c>
      <c r="BL77" s="27" t="n">
        <v>1.884956</v>
      </c>
      <c r="BM77" s="28" t="n">
        <v>0.530516</v>
      </c>
      <c r="BN77" s="28" t="n">
        <v>0.527363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c3cc751440f24f77</t>
        </is>
      </c>
      <c r="B78" s="24" t="inlineStr">
        <is>
          <t>2026-08-05T04:36:16.771749Z</t>
        </is>
      </c>
      <c r="C78" s="24" t="inlineStr">
        <is>
          <t>2026-08-06T01:40Z</t>
        </is>
      </c>
      <c r="D78" s="24" t="inlineStr">
        <is>
          <t>401816413</t>
        </is>
      </c>
      <c r="E78" s="24" t="inlineStr">
        <is>
          <t>MLB</t>
        </is>
      </c>
      <c r="F78" s="24" t="inlineStr">
        <is>
          <t>San Diego Padres</t>
        </is>
      </c>
      <c r="G78" s="24" t="inlineStr">
        <is>
          <t>Arizona Diamondbacks</t>
        </is>
      </c>
      <c r="H78" s="24" t="inlineStr">
        <is>
          <t>spread</t>
        </is>
      </c>
      <c r="I78" s="24" t="inlineStr">
        <is>
          <t>home</t>
        </is>
      </c>
      <c r="J78" s="25" t="n">
        <v>1.5</v>
      </c>
      <c r="K78" s="24" t="inlineStr">
        <is>
          <t>polymarket_us</t>
        </is>
      </c>
      <c r="L78" s="26" t="n">
        <v>-150</v>
      </c>
      <c r="M78" s="27" t="n">
        <v>1.666667</v>
      </c>
      <c r="N78" s="28" t="n">
        <v>0.6</v>
      </c>
      <c r="O78" s="28" t="n">
        <v>0.580303</v>
      </c>
      <c r="P78" s="28" t="n">
        <v>0.05172</v>
      </c>
      <c r="Q78" s="28" t="n">
        <v>-0.019697</v>
      </c>
      <c r="R78" s="26" t="n">
        <v>11</v>
      </c>
      <c r="S78" s="29" t="n">
        <v>1.25</v>
      </c>
      <c r="T78" s="24" t="inlineStr">
        <is>
          <t>measured-edge-margin-v3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Measured Edge Margin: Trend Engine projected 4.83-4.33; raw selected-side p=0.6179, calibrated p=0.5803.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mlb-sd</t>
        </is>
      </c>
      <c r="AQ78" s="24" t="inlineStr">
        <is>
          <t>San Diego Padres</t>
        </is>
      </c>
      <c r="AR78" s="24" t="inlineStr">
        <is>
          <t>San Diego Padres</t>
        </is>
      </c>
      <c r="AS78" s="24" t="inlineStr">
        <is>
          <t>mlb-ari</t>
        </is>
      </c>
      <c r="AT78" s="24" t="inlineStr">
        <is>
          <t>Arizona Diamondbacks</t>
        </is>
      </c>
      <c r="AU78" s="24" t="inlineStr">
        <is>
          <t>Arizona Diamondbacks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dd339a2eed50d7d83ab2127837995ddab82e879afd27f5414bb6c1f9cd60ba4c</t>
        </is>
      </c>
      <c r="BB78" s="24" t="inlineStr">
        <is>
          <t>flat_probability_shrinkage_toward_half</t>
        </is>
      </c>
      <c r="BC78" s="24" t="inlineStr">
        <is>
          <t>measured-edge-margin-v3</t>
        </is>
      </c>
      <c r="BD78" s="24" t="inlineStr">
        <is>
          <t>dd339a2eed50d7d83ab2127837995ddab82e879afd27f5414bb6c1f9cd60ba4c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2026-08-05T04:36:16.771749Z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-150</v>
      </c>
      <c r="BL78" s="27" t="n">
        <v>1.666667</v>
      </c>
      <c r="BM78" s="28" t="n">
        <v>0.6</v>
      </c>
      <c r="BN78" s="28" t="n">
        <v>0.597015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ca3b482530ef4461</t>
        </is>
      </c>
      <c r="B79" s="24" t="inlineStr">
        <is>
          <t>2026-08-05T04:36:16.771749Z</t>
        </is>
      </c>
      <c r="C79" s="24" t="inlineStr">
        <is>
          <t>2026-08-06T01:40Z</t>
        </is>
      </c>
      <c r="D79" s="24" t="inlineStr">
        <is>
          <t>401816413</t>
        </is>
      </c>
      <c r="E79" s="24" t="inlineStr">
        <is>
          <t>MLB</t>
        </is>
      </c>
      <c r="F79" s="24" t="inlineStr">
        <is>
          <t>San Diego Padres</t>
        </is>
      </c>
      <c r="G79" s="24" t="inlineStr">
        <is>
          <t>Arizona Diamondbacks</t>
        </is>
      </c>
      <c r="H79" s="24" t="inlineStr">
        <is>
          <t>total</t>
        </is>
      </c>
      <c r="I79" s="24" t="inlineStr">
        <is>
          <t>under</t>
        </is>
      </c>
      <c r="J79" s="25" t="n">
        <v>9.5</v>
      </c>
      <c r="K79" s="24" t="inlineStr">
        <is>
          <t>polymarket_us</t>
        </is>
      </c>
      <c r="L79" s="26" t="n">
        <v>-113</v>
      </c>
      <c r="M79" s="27" t="n">
        <v>1.884956</v>
      </c>
      <c r="N79" s="28" t="n">
        <v>0.530516</v>
      </c>
      <c r="O79" s="28" t="n">
        <v>0.527374</v>
      </c>
      <c r="P79" s="28" t="n">
        <v>0.05172</v>
      </c>
      <c r="Q79" s="28" t="n">
        <v>-0.003142</v>
      </c>
      <c r="R79" s="26" t="n">
        <v>19</v>
      </c>
      <c r="S79" s="29" t="n">
        <v>1</v>
      </c>
      <c r="T79" s="24" t="inlineStr">
        <is>
          <t>measured-edge-totals-v3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Measured Edge Totals: Trend Engine projected 4.83-4.33; raw selected-side p=0.5868, calibrated p=0.5274.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mlb-sd</t>
        </is>
      </c>
      <c r="AQ79" s="24" t="inlineStr">
        <is>
          <t>San Diego Padres</t>
        </is>
      </c>
      <c r="AR79" s="24" t="inlineStr">
        <is>
          <t>San Diego Padres</t>
        </is>
      </c>
      <c r="AS79" s="24" t="inlineStr">
        <is>
          <t>mlb-ari</t>
        </is>
      </c>
      <c r="AT79" s="24" t="inlineStr">
        <is>
          <t>Arizona Diamondbacks</t>
        </is>
      </c>
      <c r="AU79" s="24" t="inlineStr">
        <is>
          <t>Arizona Diamondbacks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95b84332c75d2ce54036eb8de6ada9c78d0f80228c50825c0347281a8b9b49c7</t>
        </is>
      </c>
      <c r="BB79" s="24" t="inlineStr">
        <is>
          <t>flat_probability_shrinkage_toward_half</t>
        </is>
      </c>
      <c r="BC79" s="24" t="inlineStr">
        <is>
          <t>measured-edge-totals-v3</t>
        </is>
      </c>
      <c r="BD79" s="24" t="inlineStr">
        <is>
          <t>95b84332c75d2ce54036eb8de6ada9c78d0f80228c50825c0347281a8b9b49c7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2026-08-05T04:36:16.771749Z</t>
        </is>
      </c>
      <c r="BI79" s="24" t="inlineStr">
        <is>
          <t>["same_event","same_team_same_day","same_league_same_day"]</t>
        </is>
      </c>
      <c r="BJ79" s="25" t="n">
        <v>9.5</v>
      </c>
      <c r="BK79" s="26" t="n">
        <v>-113</v>
      </c>
      <c r="BL79" s="27" t="n">
        <v>1.884956</v>
      </c>
      <c r="BM79" s="28" t="n">
        <v>0.530516</v>
      </c>
      <c r="BN79" s="28" t="n">
        <v>0.527363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2026-08-05T04:40:12Z</dcterms:created>
  <dcterms:modified xsi:type="dcterms:W3CDTF">2026-08-05T04:40:12Z</dcterms:modified>
</cp:coreProperties>
</file>