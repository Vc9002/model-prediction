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41" headerRowCount="1">
  <autoFilter ref="A1:CQ41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COUNTA('Picks'!$A$2:$A$41)</f>
        <v/>
      </c>
      <c r="C4" s="6">
        <f>COUNTIF('Picks'!$U$2:$U$41,"open")</f>
        <v/>
      </c>
      <c r="E4" s="6">
        <f>COUNTIF('Picks'!$U$2:$U$41,"settled")</f>
        <v/>
      </c>
      <c r="G4" s="6">
        <f>IF(COUNTIFS('Picks'!$U$2:$U$41,"settled",'Picks'!$V$2:$V$41,"win")+COUNTIFS('Picks'!$U$2:$U$41,"settled",'Picks'!$V$2:$V$41,"loss")&gt;=$L$2,"Ready","Insufficient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COUNTIF('Picks'!$BX$2:$BX$41,"&gt;0")</f>
        <v/>
      </c>
      <c r="C7" s="6">
        <f>COUNTIFS('Picks'!$BX$2:$BX$41,"&gt;0",'Picks'!$V$2:$V$41,"win")&amp;"-"&amp;COUNTIFS('Picks'!$BX$2:$BX$41,"&gt;0",'Picks'!$V$2:$V$41,"loss")</f>
        <v/>
      </c>
      <c r="E7" s="7">
        <f>IFERROR(COUNTIFS('Picks'!$BX$2:$BX$41,"&gt;0",'Picks'!$V$2:$V$41,"win")/(COUNTIFS('Picks'!$BX$2:$BX$41,"&gt;0",'Picks'!$V$2:$V$41,"win")+COUNTIFS('Picks'!$BX$2:$BX$41,"&gt;0",'Picks'!$V$2:$V$41,"loss")),0)</f>
        <v/>
      </c>
      <c r="G7" s="7">
        <f>IFERROR(SUM('Picks'!$BY$2:$BY$41)/SUM('Picks'!$BX$2:$BX$41),0)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SUM('Picks'!$BY$2:$BY$41)</f>
        <v/>
      </c>
      <c r="C10" s="9">
        <f>IFERROR(AVERAGEIF('Picks'!$AB$2:$AB$41,"&lt;&gt;",'Picks'!$AB$2:$AB$41),0)</f>
        <v/>
      </c>
      <c r="E10" s="6">
        <f>COUNTIFS('Picks'!$AM$2:$AM$41,"QUALIFIED_SHADOW_CALL",'Picks'!$U$2:$U$41,"settled")</f>
        <v/>
      </c>
      <c r="G10" s="8">
        <f>SUMIFS('Picks'!$AC$2:$AC$41,'Picks'!$AM$2:$AM$41,"QUALIFIED_SHADOW_CALL")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COUNTIFS('Picks'!$H$2:$H$41,$A14,'Picks'!$U$2:$U$41,"settled")</f>
        <v/>
      </c>
      <c r="C14" s="13">
        <f>COUNTIFS('Picks'!$H$2:$H$41,$A14,'Picks'!$U$2:$U$41,"settled",'Picks'!$V$2:$V$41,"win")</f>
        <v/>
      </c>
      <c r="D14" s="13">
        <f>COUNTIFS('Picks'!$H$2:$H$41,$A14,'Picks'!$U$2:$U$41,"settled",'Picks'!$V$2:$V$41,"loss")</f>
        <v/>
      </c>
      <c r="E14" s="14">
        <f>IFERROR(C14/(C14+D14),0)</f>
        <v/>
      </c>
      <c r="F14" s="15">
        <f>SUMIFS('Picks'!$BY$2:$BY$41,'Picks'!$H$2:$H$41,$A14)</f>
        <v/>
      </c>
      <c r="G14" s="16">
        <f>IFERROR(AVERAGEIFS('Picks'!$AB$2:$AB$41,'Picks'!$H$2:$H$41,$A14,'Picks'!$U$2:$U$41,"settled"),0)</f>
        <v/>
      </c>
    </row>
    <row r="15">
      <c r="A15" s="17" t="inlineStr">
        <is>
          <t>spread</t>
        </is>
      </c>
      <c r="B15" s="18">
        <f>COUNTIFS('Picks'!$H$2:$H$41,$A15,'Picks'!$U$2:$U$41,"settled")</f>
        <v/>
      </c>
      <c r="C15" s="18">
        <f>COUNTIFS('Picks'!$H$2:$H$41,$A15,'Picks'!$U$2:$U$41,"settled",'Picks'!$V$2:$V$41,"win")</f>
        <v/>
      </c>
      <c r="D15" s="18">
        <f>COUNTIFS('Picks'!$H$2:$H$41,$A15,'Picks'!$U$2:$U$41,"settled",'Picks'!$V$2:$V$41,"loss")</f>
        <v/>
      </c>
      <c r="E15" s="19">
        <f>IFERROR(C15/(C15+D15),0)</f>
        <v/>
      </c>
      <c r="F15" s="20">
        <f>SUMIFS('Picks'!$BY$2:$BY$41,'Picks'!$H$2:$H$41,$A15)</f>
        <v/>
      </c>
      <c r="G15" s="21">
        <f>IFERROR(AVERAGEIFS('Picks'!$AB$2:$AB$41,'Picks'!$H$2:$H$41,$A15,'Picks'!$U$2:$U$41,"settled"),0)</f>
        <v/>
      </c>
    </row>
    <row r="16">
      <c r="A16" s="12" t="inlineStr">
        <is>
          <t>total</t>
        </is>
      </c>
      <c r="B16" s="13">
        <f>COUNTIFS('Picks'!$H$2:$H$41,$A16,'Picks'!$U$2:$U$41,"settled")</f>
        <v/>
      </c>
      <c r="C16" s="13">
        <f>COUNTIFS('Picks'!$H$2:$H$41,$A16,'Picks'!$U$2:$U$41,"settled",'Picks'!$V$2:$V$41,"win")</f>
        <v/>
      </c>
      <c r="D16" s="13">
        <f>COUNTIFS('Picks'!$H$2:$H$41,$A16,'Picks'!$U$2:$U$41,"settled",'Picks'!$V$2:$V$41,"loss")</f>
        <v/>
      </c>
      <c r="E16" s="14">
        <f>IFERROR(C16/(C16+D16),0)</f>
        <v/>
      </c>
      <c r="F16" s="15">
        <f>SUMIFS('Picks'!$BY$2:$BY$41,'Picks'!$H$2:$H$41,$A16)</f>
        <v/>
      </c>
      <c r="G16" s="16">
        <f>IFERROR(AVERAGEIFS('Picks'!$AB$2:$AB$41,'Picks'!$H$2:$H$41,$A16,'Picks'!$U$2:$U$41,"settled"),0)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c740af404ec64599</t>
        </is>
      </c>
      <c r="B2" s="24" t="inlineStr">
        <is>
          <t>2026-08-02T17:28:55.256054Z</t>
        </is>
      </c>
      <c r="C2" s="24" t="inlineStr">
        <is>
          <t>2026-08-02T17:35Z</t>
        </is>
      </c>
      <c r="D2" s="24" t="inlineStr">
        <is>
          <t>401816365</t>
        </is>
      </c>
      <c r="E2" s="24" t="inlineStr">
        <is>
          <t>MLB</t>
        </is>
      </c>
      <c r="F2" s="24" t="inlineStr">
        <is>
          <t>Philadelphia Phillies</t>
        </is>
      </c>
      <c r="G2" s="24" t="inlineStr">
        <is>
          <t>Baltimore Orioles</t>
        </is>
      </c>
      <c r="H2" s="24" t="inlineStr">
        <is>
          <t>spread</t>
        </is>
      </c>
      <c r="I2" s="24" t="inlineStr">
        <is>
          <t>home</t>
        </is>
      </c>
      <c r="J2" s="25" t="n">
        <v>1.5</v>
      </c>
      <c r="K2" s="24" t="inlineStr">
        <is>
          <t>polymarket_us</t>
        </is>
      </c>
      <c r="L2" s="26" t="n">
        <v>-130</v>
      </c>
      <c r="M2" s="27" t="n">
        <v>1.769231</v>
      </c>
      <c r="N2" s="28" t="n">
        <v>0.565217</v>
      </c>
      <c r="O2" s="28" t="n">
        <v>0.614868</v>
      </c>
      <c r="P2" s="28" t="n">
        <v>0.042131</v>
      </c>
      <c r="Q2" s="28" t="n">
        <v>0.049651</v>
      </c>
      <c r="R2" s="26" t="n">
        <v>51</v>
      </c>
      <c r="S2" s="29" t="n">
        <v>1.5</v>
      </c>
      <c r="T2" s="24" t="inlineStr">
        <is>
          <t>measured-edge-margin-v2</t>
        </is>
      </c>
      <c r="U2" s="24" t="inlineStr">
        <is>
          <t>settled</t>
        </is>
      </c>
      <c r="V2" s="24" t="inlineStr">
        <is>
          <t>loss</t>
        </is>
      </c>
      <c r="W2" s="26" t="n">
        <v>8</v>
      </c>
      <c r="X2" s="26" t="n">
        <v>0</v>
      </c>
      <c r="Y2" s="25" t="n">
        <v>1.5</v>
      </c>
      <c r="Z2" s="26" t="n">
        <v>-130</v>
      </c>
      <c r="AA2" s="28" t="n">
        <v>0.5649999999999999</v>
      </c>
      <c r="AB2" s="28" t="n">
        <v>-0.000217</v>
      </c>
      <c r="AC2" s="30" t="n">
        <v>-1.5</v>
      </c>
      <c r="AD2" s="24" t="inlineStr">
        <is>
          <t>2026-08-02T23:11:38.634889Z</t>
        </is>
      </c>
      <c r="AE2" s="31" t="inlineStr">
        <is>
          <t>Measured Edge Margin: Trend Engine projected 4.52-4.52; raw selected-side p=0.6750, calibrated p=0.6149.</t>
        </is>
      </c>
      <c r="AF2" s="31" t="inlineStr">
        <is>
          <t>Research-only; lineup, bullpen, park, weather, xFIP, and wRC+ may be neutral fallbacks; market availability and BBO depth may change before first pitch.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mlb-phi</t>
        </is>
      </c>
      <c r="AQ2" s="24" t="inlineStr">
        <is>
          <t>Philadelphia Phillies</t>
        </is>
      </c>
      <c r="AR2" s="24" t="inlineStr">
        <is>
          <t>Philadelphia Phillies</t>
        </is>
      </c>
      <c r="AS2" s="24" t="inlineStr">
        <is>
          <t>mlb-bal</t>
        </is>
      </c>
      <c r="AT2" s="24" t="inlineStr">
        <is>
          <t>Baltimore Orioles</t>
        </is>
      </c>
      <c r="AU2" s="24" t="inlineStr">
        <is>
          <t>Baltimore Orioles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8360b122264b796b0fb193095cfe4506c7e064e5f3f8c0a659aec41efd08dd25</t>
        </is>
      </c>
      <c r="BB2" s="24" t="inlineStr">
        <is>
          <t>flat_probability_shrinkage_toward_half</t>
        </is>
      </c>
      <c r="BC2" s="24" t="inlineStr">
        <is>
          <t>measured-edge-margin-v2</t>
        </is>
      </c>
      <c r="BD2" s="24" t="inlineStr">
        <is>
          <t>8360b122264b796b0fb193095cfe4506c7e064e5f3f8c0a659aec41efd08dd25</t>
        </is>
      </c>
      <c r="BE2" s="24" t="inlineStr">
        <is>
          <t>v3</t>
        </is>
      </c>
      <c r="BF2" s="24" t="inlineStr">
        <is>
          <t>1</t>
        </is>
      </c>
      <c r="BG2" s="24" t="inlineStr">
        <is>
          <t>measured-edge-paired-v1</t>
        </is>
      </c>
      <c r="BH2" s="24" t="inlineStr">
        <is>
          <t>2026-08-02T17:28:55.256054Z</t>
        </is>
      </c>
      <c r="BI2" s="24" t="inlineStr">
        <is>
          <t>["same_event","same_team_same_day","same_league_same_day"]</t>
        </is>
      </c>
      <c r="BJ2" s="25" t="n">
        <v>1.5</v>
      </c>
      <c r="BK2" s="26" t="n">
        <v>-130</v>
      </c>
      <c r="BL2" s="27" t="n">
        <v>1.769231</v>
      </c>
      <c r="BM2" s="28" t="n">
        <v>0.565217</v>
      </c>
      <c r="BN2" s="28" t="n">
        <v>0.562189</v>
      </c>
      <c r="BO2" s="28" t="n"/>
      <c r="BP2" s="25" t="n"/>
      <c r="BQ2" s="27" t="n">
        <v>1.769231</v>
      </c>
      <c r="BR2" s="28" t="n">
        <v>0.5649999999999999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inlineStr">
        <is>
          <t>True</t>
        </is>
      </c>
    </row>
    <row r="3" ht="36" customHeight="1">
      <c r="A3" s="24" t="inlineStr">
        <is>
          <t>c9e690e0dd8f4f19</t>
        </is>
      </c>
      <c r="B3" s="24" t="inlineStr">
        <is>
          <t>2026-08-02T17:28:55.256054Z</t>
        </is>
      </c>
      <c r="C3" s="24" t="inlineStr">
        <is>
          <t>2026-08-02T17:35Z</t>
        </is>
      </c>
      <c r="D3" s="24" t="inlineStr">
        <is>
          <t>401816365</t>
        </is>
      </c>
      <c r="E3" s="24" t="inlineStr">
        <is>
          <t>MLB</t>
        </is>
      </c>
      <c r="F3" s="24" t="inlineStr">
        <is>
          <t>Philadelphia Phillies</t>
        </is>
      </c>
      <c r="G3" s="24" t="inlineStr">
        <is>
          <t>Baltimore Orioles</t>
        </is>
      </c>
      <c r="H3" s="24" t="inlineStr">
        <is>
          <t>total</t>
        </is>
      </c>
      <c r="I3" s="24" t="inlineStr">
        <is>
          <t>over</t>
        </is>
      </c>
      <c r="J3" s="25" t="n">
        <v>8.5</v>
      </c>
      <c r="K3" s="24" t="inlineStr">
        <is>
          <t>polymarket_us</t>
        </is>
      </c>
      <c r="L3" s="26" t="n">
        <v>113</v>
      </c>
      <c r="M3" s="27" t="n">
        <v>2.13</v>
      </c>
      <c r="N3" s="28" t="n">
        <v>0.469484</v>
      </c>
      <c r="O3" s="28" t="n">
        <v>0.515126</v>
      </c>
      <c r="P3" s="28" t="n">
        <v>0.042131</v>
      </c>
      <c r="Q3" s="28" t="n">
        <v>0.045642</v>
      </c>
      <c r="R3" s="26" t="n">
        <v>48</v>
      </c>
      <c r="S3" s="29" t="n">
        <v>1</v>
      </c>
      <c r="T3" s="24" t="inlineStr">
        <is>
          <t>measured-edge-totals-v2</t>
        </is>
      </c>
      <c r="U3" s="24" t="inlineStr">
        <is>
          <t>settled</t>
        </is>
      </c>
      <c r="V3" s="24" t="inlineStr">
        <is>
          <t>loss</t>
        </is>
      </c>
      <c r="W3" s="26" t="n">
        <v>8</v>
      </c>
      <c r="X3" s="26" t="n">
        <v>0</v>
      </c>
      <c r="Y3" s="25" t="n">
        <v>8.5</v>
      </c>
      <c r="Z3" s="26" t="n">
        <v>113</v>
      </c>
      <c r="AA3" s="28" t="n">
        <v>0.47</v>
      </c>
      <c r="AB3" s="28" t="n">
        <v>0.000516</v>
      </c>
      <c r="AC3" s="30" t="n">
        <v>-1</v>
      </c>
      <c r="AD3" s="24" t="inlineStr">
        <is>
          <t>2026-08-02T23:11:39.085045Z</t>
        </is>
      </c>
      <c r="AE3" s="31" t="inlineStr">
        <is>
          <t>Measured Edge Totals: Trend Engine projected 4.52-4.52; raw selected-side p=0.5210, calibrated p=0.5151.</t>
        </is>
      </c>
      <c r="AF3" s="31" t="inlineStr">
        <is>
          <t>Research-only; lineup, bullpen, park, weather, xFIP, and wRC+ may be neutral fallbacks; market availability and BBO depth may change before first pitch.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mlb-phi</t>
        </is>
      </c>
      <c r="AQ3" s="24" t="inlineStr">
        <is>
          <t>Philadelphia Phillies</t>
        </is>
      </c>
      <c r="AR3" s="24" t="inlineStr">
        <is>
          <t>Philadelphia Phillies</t>
        </is>
      </c>
      <c r="AS3" s="24" t="inlineStr">
        <is>
          <t>mlb-bal</t>
        </is>
      </c>
      <c r="AT3" s="24" t="inlineStr">
        <is>
          <t>Baltimore Orioles</t>
        </is>
      </c>
      <c r="AU3" s="24" t="inlineStr">
        <is>
          <t>Baltimore Orioles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433578016242b27f9c1c7132cc6b5a2bcc7dd1b0234590c12a944455a88e71bd</t>
        </is>
      </c>
      <c r="BB3" s="24" t="inlineStr">
        <is>
          <t>flat_probability_shrinkage_toward_half</t>
        </is>
      </c>
      <c r="BC3" s="24" t="inlineStr">
        <is>
          <t>measured-edge-totals-v2</t>
        </is>
      </c>
      <c r="BD3" s="24" t="inlineStr">
        <is>
          <t>433578016242b27f9c1c7132cc6b5a2bcc7dd1b0234590c12a944455a88e71bd</t>
        </is>
      </c>
      <c r="BE3" s="24" t="inlineStr">
        <is>
          <t>v3</t>
        </is>
      </c>
      <c r="BF3" s="24" t="inlineStr">
        <is>
          <t>1</t>
        </is>
      </c>
      <c r="BG3" s="24" t="inlineStr">
        <is>
          <t>measured-edge-paired-v1</t>
        </is>
      </c>
      <c r="BH3" s="24" t="inlineStr">
        <is>
          <t>2026-08-02T17:28:55.256054Z</t>
        </is>
      </c>
      <c r="BI3" s="24" t="inlineStr">
        <is>
          <t>["same_event","same_team_same_day","same_league_same_day"]</t>
        </is>
      </c>
      <c r="BJ3" s="25" t="n">
        <v>8.5</v>
      </c>
      <c r="BK3" s="26" t="n">
        <v>113</v>
      </c>
      <c r="BL3" s="27" t="n">
        <v>2.13</v>
      </c>
      <c r="BM3" s="28" t="n">
        <v>0.469484</v>
      </c>
      <c r="BN3" s="28" t="n">
        <v>0.467662</v>
      </c>
      <c r="BO3" s="28" t="n"/>
      <c r="BP3" s="25" t="n"/>
      <c r="BQ3" s="27" t="n">
        <v>2.13</v>
      </c>
      <c r="BR3" s="28" t="n">
        <v>0.47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inlineStr">
        <is>
          <t>True</t>
        </is>
      </c>
    </row>
    <row r="4" ht="36" customHeight="1">
      <c r="A4" s="24" t="inlineStr">
        <is>
          <t>1164132b25cf4b39</t>
        </is>
      </c>
      <c r="B4" s="24" t="inlineStr">
        <is>
          <t>2026-08-02T17:28:55.256054Z</t>
        </is>
      </c>
      <c r="C4" s="24" t="inlineStr">
        <is>
          <t>2026-08-02T17:35Z</t>
        </is>
      </c>
      <c r="D4" s="24" t="inlineStr">
        <is>
          <t>401816368</t>
        </is>
      </c>
      <c r="E4" s="24" t="inlineStr">
        <is>
          <t>MLB</t>
        </is>
      </c>
      <c r="F4" s="24" t="inlineStr">
        <is>
          <t>Washington Nationals</t>
        </is>
      </c>
      <c r="G4" s="24" t="inlineStr">
        <is>
          <t>Atlanta Braves</t>
        </is>
      </c>
      <c r="H4" s="24" t="inlineStr">
        <is>
          <t>spread</t>
        </is>
      </c>
      <c r="I4" s="24" t="inlineStr">
        <is>
          <t>away</t>
        </is>
      </c>
      <c r="J4" s="25" t="n">
        <v>1.5</v>
      </c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0.612965</v>
      </c>
      <c r="P4" s="28" t="n">
        <v>0.042131</v>
      </c>
      <c r="Q4" s="28" t="n">
        <v>-0.027323</v>
      </c>
      <c r="R4" s="26" t="n">
        <v>13</v>
      </c>
      <c r="S4" s="29" t="n">
        <v>1.5</v>
      </c>
      <c r="T4" s="24" t="inlineStr">
        <is>
          <t>measured-edge-margin-v2</t>
        </is>
      </c>
      <c r="U4" s="24" t="inlineStr">
        <is>
          <t>settled</t>
        </is>
      </c>
      <c r="V4" s="24" t="inlineStr">
        <is>
          <t>loss</t>
        </is>
      </c>
      <c r="W4" s="26" t="n">
        <v>2</v>
      </c>
      <c r="X4" s="26" t="n">
        <v>4</v>
      </c>
      <c r="Y4" s="25" t="n">
        <v>1.5</v>
      </c>
      <c r="Z4" s="26" t="n">
        <v>-178</v>
      </c>
      <c r="AA4" s="28" t="n">
        <v>0.64</v>
      </c>
      <c r="AB4" s="28" t="n">
        <v>-0.000288</v>
      </c>
      <c r="AC4" s="30" t="n">
        <v>-1.5</v>
      </c>
      <c r="AD4" s="24" t="inlineStr">
        <is>
          <t>2026-08-02T23:11:39.497234Z</t>
        </is>
      </c>
      <c r="AE4" s="31" t="inlineStr">
        <is>
          <t>Measured Edge Margin: Trend Engine projected 4.45-4.46; raw selected-side p=0.6721, calibrated p=0.6130.</t>
        </is>
      </c>
      <c r="AF4" s="31" t="inlineStr">
        <is>
          <t>Research-only; lineup, bullpen, park, weather, xFIP, and wRC+ may be neutral fallbacks; market availability and BBO depth may change before first pitch.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mlb-wsh</t>
        </is>
      </c>
      <c r="AQ4" s="24" t="inlineStr">
        <is>
          <t>Washington Nationals</t>
        </is>
      </c>
      <c r="AR4" s="24" t="inlineStr">
        <is>
          <t>Washington Nationals</t>
        </is>
      </c>
      <c r="AS4" s="24" t="inlineStr">
        <is>
          <t>mlb-atl</t>
        </is>
      </c>
      <c r="AT4" s="24" t="inlineStr">
        <is>
          <t>Atlanta Braves</t>
        </is>
      </c>
      <c r="AU4" s="24" t="inlineStr">
        <is>
          <t>Atlanta Braves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8360b122264b796b0fb193095cfe4506c7e064e5f3f8c0a659aec41efd08dd25</t>
        </is>
      </c>
      <c r="BB4" s="24" t="inlineStr">
        <is>
          <t>flat_probability_shrinkage_toward_half</t>
        </is>
      </c>
      <c r="BC4" s="24" t="inlineStr">
        <is>
          <t>measured-edge-margin-v2</t>
        </is>
      </c>
      <c r="BD4" s="24" t="inlineStr">
        <is>
          <t>8360b122264b796b0fb193095cfe4506c7e064e5f3f8c0a659aec41efd08dd25</t>
        </is>
      </c>
      <c r="BE4" s="24" t="inlineStr">
        <is>
          <t>v3</t>
        </is>
      </c>
      <c r="BF4" s="24" t="inlineStr">
        <is>
          <t>1</t>
        </is>
      </c>
      <c r="BG4" s="24" t="inlineStr">
        <is>
          <t>measured-edge-paired-v1</t>
        </is>
      </c>
      <c r="BH4" s="24" t="inlineStr">
        <is>
          <t>2026-08-02T17:28:55.256054Z</t>
        </is>
      </c>
      <c r="BI4" s="24" t="inlineStr">
        <is>
          <t>["same_event","same_team_same_day","same_league_same_day"]</t>
        </is>
      </c>
      <c r="BJ4" s="25" t="n">
        <v>1.5</v>
      </c>
      <c r="BK4" s="26" t="n">
        <v>-178</v>
      </c>
      <c r="BL4" s="27" t="n">
        <v>1.561798</v>
      </c>
      <c r="BM4" s="28" t="n">
        <v>0.640288</v>
      </c>
      <c r="BN4" s="28" t="n">
        <v>0.636816</v>
      </c>
      <c r="BO4" s="28" t="n"/>
      <c r="BP4" s="25" t="n"/>
      <c r="BQ4" s="27" t="n">
        <v>1.561798</v>
      </c>
      <c r="BR4" s="28" t="n">
        <v>0.64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inlineStr">
        <is>
          <t>False</t>
        </is>
      </c>
    </row>
    <row r="5" ht="36" customHeight="1">
      <c r="A5" s="24" t="inlineStr">
        <is>
          <t>ac5cb612d538407f</t>
        </is>
      </c>
      <c r="B5" s="24" t="inlineStr">
        <is>
          <t>2026-08-02T17:28:55.256054Z</t>
        </is>
      </c>
      <c r="C5" s="24" t="inlineStr">
        <is>
          <t>2026-08-02T17:35Z</t>
        </is>
      </c>
      <c r="D5" s="24" t="inlineStr">
        <is>
          <t>401816368</t>
        </is>
      </c>
      <c r="E5" s="24" t="inlineStr">
        <is>
          <t>MLB</t>
        </is>
      </c>
      <c r="F5" s="24" t="inlineStr">
        <is>
          <t>Washington Nationals</t>
        </is>
      </c>
      <c r="G5" s="24" t="inlineStr">
        <is>
          <t>Atlanta Braves</t>
        </is>
      </c>
      <c r="H5" s="24" t="inlineStr">
        <is>
          <t>total</t>
        </is>
      </c>
      <c r="I5" s="24" t="inlineStr">
        <is>
          <t>over</t>
        </is>
      </c>
      <c r="J5" s="25" t="n">
        <v>8.5</v>
      </c>
      <c r="K5" s="24" t="inlineStr">
        <is>
          <t>polymarket_us</t>
        </is>
      </c>
      <c r="L5" s="26" t="n">
        <v>-122</v>
      </c>
      <c r="M5" s="27" t="n">
        <v>1.819672</v>
      </c>
      <c r="N5" s="28" t="n">
        <v>0.54955</v>
      </c>
      <c r="O5" s="28" t="n">
        <v>0.510393</v>
      </c>
      <c r="P5" s="28" t="n">
        <v>0.042131</v>
      </c>
      <c r="Q5" s="28" t="n">
        <v>-0.039157</v>
      </c>
      <c r="R5" s="26" t="n">
        <v>6</v>
      </c>
      <c r="S5" s="29" t="n">
        <v>1</v>
      </c>
      <c r="T5" s="24" t="inlineStr">
        <is>
          <t>measured-edge-totals-v2</t>
        </is>
      </c>
      <c r="U5" s="24" t="inlineStr">
        <is>
          <t>settled</t>
        </is>
      </c>
      <c r="V5" s="24" t="inlineStr">
        <is>
          <t>loss</t>
        </is>
      </c>
      <c r="W5" s="26" t="n">
        <v>2</v>
      </c>
      <c r="X5" s="26" t="n">
        <v>4</v>
      </c>
      <c r="Y5" s="25" t="n">
        <v>8.5</v>
      </c>
      <c r="Z5" s="26" t="n">
        <v>-122</v>
      </c>
      <c r="AA5" s="28" t="n">
        <v>0.55</v>
      </c>
      <c r="AB5" s="28" t="n">
        <v>0.00045</v>
      </c>
      <c r="AC5" s="30" t="n">
        <v>-1</v>
      </c>
      <c r="AD5" s="24" t="inlineStr">
        <is>
          <t>2026-08-02T23:11:39.915106Z</t>
        </is>
      </c>
      <c r="AE5" s="31" t="inlineStr">
        <is>
          <t>Measured Edge Totals: Trend Engine projected 4.45-4.46; raw selected-side p=0.5071, calibrated p=0.5104.</t>
        </is>
      </c>
      <c r="AF5" s="31" t="inlineStr">
        <is>
          <t>Research-only; lineup, bullpen, park, weather, xFIP, and wRC+ may be neutral fallbacks; market availability and BBO depth may change before first pitch.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mlb-wsh</t>
        </is>
      </c>
      <c r="AQ5" s="24" t="inlineStr">
        <is>
          <t>Washington Nationals</t>
        </is>
      </c>
      <c r="AR5" s="24" t="inlineStr">
        <is>
          <t>Washington Nationals</t>
        </is>
      </c>
      <c r="AS5" s="24" t="inlineStr">
        <is>
          <t>mlb-atl</t>
        </is>
      </c>
      <c r="AT5" s="24" t="inlineStr">
        <is>
          <t>Atlanta Braves</t>
        </is>
      </c>
      <c r="AU5" s="24" t="inlineStr">
        <is>
          <t>Atlanta Braves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433578016242b27f9c1c7132cc6b5a2bcc7dd1b0234590c12a944455a88e71bd</t>
        </is>
      </c>
      <c r="BB5" s="24" t="inlineStr">
        <is>
          <t>flat_probability_shrinkage_toward_half</t>
        </is>
      </c>
      <c r="BC5" s="24" t="inlineStr">
        <is>
          <t>measured-edge-totals-v2</t>
        </is>
      </c>
      <c r="BD5" s="24" t="inlineStr">
        <is>
          <t>433578016242b27f9c1c7132cc6b5a2bcc7dd1b0234590c12a944455a88e71bd</t>
        </is>
      </c>
      <c r="BE5" s="24" t="inlineStr">
        <is>
          <t>v3</t>
        </is>
      </c>
      <c r="BF5" s="24" t="inlineStr">
        <is>
          <t>1</t>
        </is>
      </c>
      <c r="BG5" s="24" t="inlineStr">
        <is>
          <t>measured-edge-paired-v1</t>
        </is>
      </c>
      <c r="BH5" s="24" t="inlineStr">
        <is>
          <t>2026-08-02T17:28:55.256054Z</t>
        </is>
      </c>
      <c r="BI5" s="24" t="inlineStr">
        <is>
          <t>["same_event","same_team_same_day","same_league_same_day"]</t>
        </is>
      </c>
      <c r="BJ5" s="25" t="n">
        <v>8.5</v>
      </c>
      <c r="BK5" s="26" t="n">
        <v>-122</v>
      </c>
      <c r="BL5" s="27" t="n">
        <v>1.819672</v>
      </c>
      <c r="BM5" s="28" t="n">
        <v>0.54955</v>
      </c>
      <c r="BN5" s="28" t="n">
        <v>0.547264</v>
      </c>
      <c r="BO5" s="28" t="n"/>
      <c r="BP5" s="25" t="n"/>
      <c r="BQ5" s="27" t="n">
        <v>1.819672</v>
      </c>
      <c r="BR5" s="28" t="n">
        <v>0.55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inlineStr">
        <is>
          <t>False</t>
        </is>
      </c>
    </row>
    <row r="6" ht="36" customHeight="1">
      <c r="A6" s="24" t="inlineStr">
        <is>
          <t>67caed1263934524</t>
        </is>
      </c>
      <c r="B6" s="24" t="inlineStr">
        <is>
          <t>2026-08-02T17:28:55.256054Z</t>
        </is>
      </c>
      <c r="C6" s="24" t="inlineStr">
        <is>
          <t>2026-08-02T17:37Z</t>
        </is>
      </c>
      <c r="D6" s="24" t="inlineStr">
        <is>
          <t>401816367</t>
        </is>
      </c>
      <c r="E6" s="24" t="inlineStr">
        <is>
          <t>MLB</t>
        </is>
      </c>
      <c r="F6" s="24" t="inlineStr">
        <is>
          <t>St. Louis Cardinals</t>
        </is>
      </c>
      <c r="G6" s="24" t="inlineStr">
        <is>
          <t>Toronto Blue Jays</t>
        </is>
      </c>
      <c r="H6" s="24" t="inlineStr">
        <is>
          <t>spread</t>
        </is>
      </c>
      <c r="I6" s="24" t="inlineStr">
        <is>
          <t>away</t>
        </is>
      </c>
      <c r="J6" s="25" t="n">
        <v>1.5</v>
      </c>
      <c r="K6" s="24" t="inlineStr">
        <is>
          <t>polymarket_us</t>
        </is>
      </c>
      <c r="L6" s="26" t="n">
        <v>-174</v>
      </c>
      <c r="M6" s="27" t="n">
        <v>1.574713</v>
      </c>
      <c r="N6" s="28" t="n">
        <v>0.635036</v>
      </c>
      <c r="O6" s="28" t="n">
        <v>0.6256930000000001</v>
      </c>
      <c r="P6" s="28" t="n">
        <v>0.05172</v>
      </c>
      <c r="Q6" s="28" t="n">
        <v>-0.009343000000000001</v>
      </c>
      <c r="R6" s="26" t="n">
        <v>16</v>
      </c>
      <c r="S6" s="29" t="n">
        <v>1.5</v>
      </c>
      <c r="T6" s="24" t="inlineStr">
        <is>
          <t>measured-edge-margin-v2</t>
        </is>
      </c>
      <c r="U6" s="24" t="inlineStr">
        <is>
          <t>settled</t>
        </is>
      </c>
      <c r="V6" s="24" t="inlineStr">
        <is>
          <t>win</t>
        </is>
      </c>
      <c r="W6" s="26" t="n">
        <v>5</v>
      </c>
      <c r="X6" s="26" t="n">
        <v>1</v>
      </c>
      <c r="Y6" s="25" t="n">
        <v>1.5</v>
      </c>
      <c r="Z6" s="26" t="n">
        <v>-174</v>
      </c>
      <c r="AA6" s="28" t="n">
        <v>0.635</v>
      </c>
      <c r="AB6" s="28" t="n">
        <v>-3.6e-05</v>
      </c>
      <c r="AC6" s="30" t="n">
        <v>0.8621</v>
      </c>
      <c r="AD6" s="24" t="inlineStr">
        <is>
          <t>2026-08-02T23:11:40.321020Z</t>
        </is>
      </c>
      <c r="AE6" s="31" t="inlineStr">
        <is>
          <t>Measured Edge Margin: Trend Engine projected 5.24-4.85; raw selected-side p=0.6915, calibrated p=0.6257.</t>
        </is>
      </c>
      <c r="AF6" s="31" t="inlineStr">
        <is>
          <t>Research-only; lineup, bullpen, park, weather, xFIP, and wRC+ may be neutral fallbacks; market availability and BBO depth may change before first pitch.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mlb-stl</t>
        </is>
      </c>
      <c r="AQ6" s="24" t="inlineStr">
        <is>
          <t>St. Louis Cardinals</t>
        </is>
      </c>
      <c r="AR6" s="24" t="inlineStr">
        <is>
          <t>St. Louis Cardinals</t>
        </is>
      </c>
      <c r="AS6" s="24" t="inlineStr">
        <is>
          <t>mlb-tor</t>
        </is>
      </c>
      <c r="AT6" s="24" t="inlineStr">
        <is>
          <t>Toronto Blue Jays</t>
        </is>
      </c>
      <c r="AU6" s="24" t="inlineStr">
        <is>
          <t>Toronto Blue Jays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8360b122264b796b0fb193095cfe4506c7e064e5f3f8c0a659aec41efd08dd25</t>
        </is>
      </c>
      <c r="BB6" s="24" t="inlineStr">
        <is>
          <t>flat_probability_shrinkage_toward_half</t>
        </is>
      </c>
      <c r="BC6" s="24" t="inlineStr">
        <is>
          <t>measured-edge-margin-v2</t>
        </is>
      </c>
      <c r="BD6" s="24" t="inlineStr">
        <is>
          <t>8360b122264b796b0fb193095cfe4506c7e064e5f3f8c0a659aec41efd08dd25</t>
        </is>
      </c>
      <c r="BE6" s="24" t="inlineStr">
        <is>
          <t>v3</t>
        </is>
      </c>
      <c r="BF6" s="24" t="inlineStr">
        <is>
          <t>1</t>
        </is>
      </c>
      <c r="BG6" s="24" t="inlineStr">
        <is>
          <t>measured-edge-paired-v1</t>
        </is>
      </c>
      <c r="BH6" s="24" t="inlineStr">
        <is>
          <t>2026-08-02T17:28:55.256054Z</t>
        </is>
      </c>
      <c r="BI6" s="24" t="inlineStr">
        <is>
          <t>["same_event","same_team_same_day","same_league_same_day"]</t>
        </is>
      </c>
      <c r="BJ6" s="25" t="n">
        <v>1.5</v>
      </c>
      <c r="BK6" s="26" t="n">
        <v>-174</v>
      </c>
      <c r="BL6" s="27" t="n">
        <v>1.574713</v>
      </c>
      <c r="BM6" s="28" t="n">
        <v>0.635036</v>
      </c>
      <c r="BN6" s="28" t="n">
        <v>0.631841</v>
      </c>
      <c r="BO6" s="28" t="n"/>
      <c r="BP6" s="25" t="n"/>
      <c r="BQ6" s="27" t="n">
        <v>1.574713</v>
      </c>
      <c r="BR6" s="28" t="n">
        <v>0.635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inlineStr">
        <is>
          <t>False</t>
        </is>
      </c>
    </row>
    <row r="7" ht="36" customHeight="1">
      <c r="A7" s="24" t="inlineStr">
        <is>
          <t>21e6aacbcab447e9</t>
        </is>
      </c>
      <c r="B7" s="24" t="inlineStr">
        <is>
          <t>2026-08-02T17:28:55.256054Z</t>
        </is>
      </c>
      <c r="C7" s="24" t="inlineStr">
        <is>
          <t>2026-08-02T17:37Z</t>
        </is>
      </c>
      <c r="D7" s="24" t="inlineStr">
        <is>
          <t>401816367</t>
        </is>
      </c>
      <c r="E7" s="24" t="inlineStr">
        <is>
          <t>MLB</t>
        </is>
      </c>
      <c r="F7" s="24" t="inlineStr">
        <is>
          <t>St. Louis Cardinals</t>
        </is>
      </c>
      <c r="G7" s="24" t="inlineStr">
        <is>
          <t>Toronto Blue Jays</t>
        </is>
      </c>
      <c r="H7" s="24" t="inlineStr">
        <is>
          <t>total</t>
        </is>
      </c>
      <c r="I7" s="24" t="inlineStr">
        <is>
          <t>over</t>
        </is>
      </c>
      <c r="J7" s="25" t="n">
        <v>8.5</v>
      </c>
      <c r="K7" s="24" t="inlineStr">
        <is>
          <t>polymarket_us</t>
        </is>
      </c>
      <c r="L7" s="26" t="n">
        <v>-106</v>
      </c>
      <c r="M7" s="27" t="n">
        <v>1.943396</v>
      </c>
      <c r="N7" s="28" t="n">
        <v>0.514563</v>
      </c>
      <c r="O7" s="28" t="n">
        <v>0.5447340000000001</v>
      </c>
      <c r="P7" s="28" t="n">
        <v>0.05172</v>
      </c>
      <c r="Q7" s="28" t="n">
        <v>0.030171</v>
      </c>
      <c r="R7" s="26" t="n">
        <v>35</v>
      </c>
      <c r="S7" s="29" t="n">
        <v>1</v>
      </c>
      <c r="T7" s="24" t="inlineStr">
        <is>
          <t>measured-edge-totals-v2</t>
        </is>
      </c>
      <c r="U7" s="24" t="inlineStr">
        <is>
          <t>settled</t>
        </is>
      </c>
      <c r="V7" s="24" t="inlineStr">
        <is>
          <t>loss</t>
        </is>
      </c>
      <c r="W7" s="26" t="n">
        <v>5</v>
      </c>
      <c r="X7" s="26" t="n">
        <v>1</v>
      </c>
      <c r="Y7" s="25" t="n">
        <v>8.5</v>
      </c>
      <c r="Z7" s="26" t="n">
        <v>-106</v>
      </c>
      <c r="AA7" s="28" t="n">
        <v>0.515</v>
      </c>
      <c r="AB7" s="28" t="n">
        <v>0.000437</v>
      </c>
      <c r="AC7" s="30" t="n">
        <v>-1</v>
      </c>
      <c r="AD7" s="24" t="inlineStr">
        <is>
          <t>2026-08-02T23:11:40.773792Z</t>
        </is>
      </c>
      <c r="AE7" s="31" t="inlineStr">
        <is>
          <t>Measured Edge Totals: Trend Engine projected 5.24-4.85; raw selected-side p=0.6077, calibrated p=0.5447.</t>
        </is>
      </c>
      <c r="AF7" s="31" t="inlineStr">
        <is>
          <t>Research-only; lineup, bullpen, park, weather, xFIP, and wRC+ may be neutral fallbacks; market availability and BBO depth may change before first pitch.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mlb-stl</t>
        </is>
      </c>
      <c r="AQ7" s="24" t="inlineStr">
        <is>
          <t>St. Louis Cardinals</t>
        </is>
      </c>
      <c r="AR7" s="24" t="inlineStr">
        <is>
          <t>St. Louis Cardinals</t>
        </is>
      </c>
      <c r="AS7" s="24" t="inlineStr">
        <is>
          <t>mlb-tor</t>
        </is>
      </c>
      <c r="AT7" s="24" t="inlineStr">
        <is>
          <t>Toronto Blue Jays</t>
        </is>
      </c>
      <c r="AU7" s="24" t="inlineStr">
        <is>
          <t>Toronto Blue Jays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433578016242b27f9c1c7132cc6b5a2bcc7dd1b0234590c12a944455a88e71bd</t>
        </is>
      </c>
      <c r="BB7" s="24" t="inlineStr">
        <is>
          <t>flat_probability_shrinkage_toward_half</t>
        </is>
      </c>
      <c r="BC7" s="24" t="inlineStr">
        <is>
          <t>measured-edge-totals-v2</t>
        </is>
      </c>
      <c r="BD7" s="24" t="inlineStr">
        <is>
          <t>433578016242b27f9c1c7132cc6b5a2bcc7dd1b0234590c12a944455a88e71bd</t>
        </is>
      </c>
      <c r="BE7" s="24" t="inlineStr">
        <is>
          <t>v3</t>
        </is>
      </c>
      <c r="BF7" s="24" t="inlineStr">
        <is>
          <t>1</t>
        </is>
      </c>
      <c r="BG7" s="24" t="inlineStr">
        <is>
          <t>measured-edge-paired-v1</t>
        </is>
      </c>
      <c r="BH7" s="24" t="inlineStr">
        <is>
          <t>2026-08-02T17:28:55.256054Z</t>
        </is>
      </c>
      <c r="BI7" s="24" t="inlineStr">
        <is>
          <t>["same_event","same_team_same_day","same_league_same_day"]</t>
        </is>
      </c>
      <c r="BJ7" s="25" t="n">
        <v>8.5</v>
      </c>
      <c r="BK7" s="26" t="n">
        <v>-106</v>
      </c>
      <c r="BL7" s="27" t="n">
        <v>1.943396</v>
      </c>
      <c r="BM7" s="28" t="n">
        <v>0.514563</v>
      </c>
      <c r="BN7" s="28" t="n">
        <v>0.5124379999999999</v>
      </c>
      <c r="BO7" s="28" t="n"/>
      <c r="BP7" s="25" t="n"/>
      <c r="BQ7" s="27" t="n">
        <v>1.943396</v>
      </c>
      <c r="BR7" s="28" t="n">
        <v>0.515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inlineStr">
        <is>
          <t>True</t>
        </is>
      </c>
    </row>
    <row r="8" ht="36" customHeight="1">
      <c r="A8" s="24" t="inlineStr">
        <is>
          <t>0aac86de8b74407b</t>
        </is>
      </c>
      <c r="B8" s="24" t="inlineStr">
        <is>
          <t>2026-08-02T18:09:31.256815Z</t>
        </is>
      </c>
      <c r="C8" s="24" t="inlineStr">
        <is>
          <t>2026-08-02T18:10Z</t>
        </is>
      </c>
      <c r="D8" s="24" t="inlineStr">
        <is>
          <t>401816370</t>
        </is>
      </c>
      <c r="E8" s="24" t="inlineStr">
        <is>
          <t>MLB</t>
        </is>
      </c>
      <c r="F8" s="24" t="inlineStr">
        <is>
          <t>Texas Rangers</t>
        </is>
      </c>
      <c r="G8" s="24" t="inlineStr">
        <is>
          <t>Houston Astros</t>
        </is>
      </c>
      <c r="H8" s="24" t="inlineStr">
        <is>
          <t>spread</t>
        </is>
      </c>
      <c r="I8" s="24" t="inlineStr">
        <is>
          <t>away</t>
        </is>
      </c>
      <c r="J8" s="25" t="n">
        <v>1.5</v>
      </c>
      <c r="K8" s="24" t="inlineStr">
        <is>
          <t>polymarket_us</t>
        </is>
      </c>
      <c r="L8" s="26" t="n">
        <v>-167</v>
      </c>
      <c r="M8" s="27" t="n">
        <v>1.598802</v>
      </c>
      <c r="N8" s="28" t="n">
        <v>0.625468</v>
      </c>
      <c r="O8" s="28" t="n">
        <v>0.580882</v>
      </c>
      <c r="P8" s="28" t="n">
        <v>0.042131</v>
      </c>
      <c r="Q8" s="28" t="n">
        <v>-0.044586</v>
      </c>
      <c r="R8" s="26" t="n">
        <v>4</v>
      </c>
      <c r="S8" s="29" t="n">
        <v>1.25</v>
      </c>
      <c r="T8" s="24" t="inlineStr">
        <is>
          <t>measured-edge-margin-v2</t>
        </is>
      </c>
      <c r="U8" s="24" t="inlineStr">
        <is>
          <t>settled</t>
        </is>
      </c>
      <c r="V8" s="24" t="inlineStr">
        <is>
          <t>loss</t>
        </is>
      </c>
      <c r="W8" s="26" t="n">
        <v>3</v>
      </c>
      <c r="X8" s="26" t="n">
        <v>7</v>
      </c>
      <c r="Y8" s="25" t="n">
        <v>1.5</v>
      </c>
      <c r="Z8" s="26" t="n">
        <v>-167</v>
      </c>
      <c r="AA8" s="28" t="n">
        <v>0.625</v>
      </c>
      <c r="AB8" s="28" t="n">
        <v>-0.000468</v>
      </c>
      <c r="AC8" s="30" t="n">
        <v>-1.25</v>
      </c>
      <c r="AD8" s="24" t="inlineStr">
        <is>
          <t>2026-08-02T23:11:47.495533Z</t>
        </is>
      </c>
      <c r="AE8" s="31" t="inlineStr">
        <is>
          <t>Measured Edge Margin: Trend Engine projected 4.10-4.64; raw selected-side p=0.6232, calibrated p=0.5809.</t>
        </is>
      </c>
      <c r="AF8" s="31" t="inlineStr">
        <is>
          <t>Research-only; lineup, bullpen, park, weather, xFIP, and wRC+ may be neutral fallbacks; market availability and BBO depth may change before first pitch.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mlb-tex</t>
        </is>
      </c>
      <c r="AQ8" s="24" t="inlineStr">
        <is>
          <t>Texas Rangers</t>
        </is>
      </c>
      <c r="AR8" s="24" t="inlineStr">
        <is>
          <t>Texas Rangers</t>
        </is>
      </c>
      <c r="AS8" s="24" t="inlineStr">
        <is>
          <t>mlb-hou</t>
        </is>
      </c>
      <c r="AT8" s="24" t="inlineStr">
        <is>
          <t>Houston Astros</t>
        </is>
      </c>
      <c r="AU8" s="24" t="inlineStr">
        <is>
          <t>Houston Astros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8360b122264b796b0fb193095cfe4506c7e064e5f3f8c0a659aec41efd08dd25</t>
        </is>
      </c>
      <c r="BB8" s="24" t="inlineStr">
        <is>
          <t>flat_probability_shrinkage_toward_half</t>
        </is>
      </c>
      <c r="BC8" s="24" t="inlineStr">
        <is>
          <t>measured-edge-margin-v2</t>
        </is>
      </c>
      <c r="BD8" s="24" t="inlineStr">
        <is>
          <t>8360b122264b796b0fb193095cfe4506c7e064e5f3f8c0a659aec41efd08dd25</t>
        </is>
      </c>
      <c r="BE8" s="24" t="inlineStr">
        <is>
          <t>v3</t>
        </is>
      </c>
      <c r="BF8" s="24" t="inlineStr">
        <is>
          <t>1</t>
        </is>
      </c>
      <c r="BG8" s="24" t="inlineStr">
        <is>
          <t>measured-edge-paired-v1</t>
        </is>
      </c>
      <c r="BH8" s="24" t="inlineStr">
        <is>
          <t>2026-08-02T18:09:31.256815Z</t>
        </is>
      </c>
      <c r="BI8" s="24" t="inlineStr">
        <is>
          <t>["same_event","same_team_same_day","same_league_same_day"]</t>
        </is>
      </c>
      <c r="BJ8" s="25" t="n">
        <v>1.5</v>
      </c>
      <c r="BK8" s="26" t="n">
        <v>-167</v>
      </c>
      <c r="BL8" s="27" t="n">
        <v>1.598802</v>
      </c>
      <c r="BM8" s="28" t="n">
        <v>0.625468</v>
      </c>
      <c r="BN8" s="28" t="n">
        <v>0.621891</v>
      </c>
      <c r="BO8" s="28" t="n"/>
      <c r="BP8" s="25" t="n"/>
      <c r="BQ8" s="27" t="n">
        <v>1.598802</v>
      </c>
      <c r="BR8" s="28" t="n">
        <v>0.625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inlineStr">
        <is>
          <t>False</t>
        </is>
      </c>
    </row>
    <row r="9" ht="36" customHeight="1">
      <c r="A9" s="24" t="inlineStr">
        <is>
          <t>46b39617345b47a6</t>
        </is>
      </c>
      <c r="B9" s="24" t="inlineStr">
        <is>
          <t>2026-08-02T18:09:31.256815Z</t>
        </is>
      </c>
      <c r="C9" s="24" t="inlineStr">
        <is>
          <t>2026-08-02T18:10Z</t>
        </is>
      </c>
      <c r="D9" s="24" t="inlineStr">
        <is>
          <t>401816370</t>
        </is>
      </c>
      <c r="E9" s="24" t="inlineStr">
        <is>
          <t>MLB</t>
        </is>
      </c>
      <c r="F9" s="24" t="inlineStr">
        <is>
          <t>Texas Rangers</t>
        </is>
      </c>
      <c r="G9" s="24" t="inlineStr">
        <is>
          <t>Houston Astros</t>
        </is>
      </c>
      <c r="H9" s="24" t="inlineStr">
        <is>
          <t>total</t>
        </is>
      </c>
      <c r="I9" s="24" t="inlineStr">
        <is>
          <t>under</t>
        </is>
      </c>
      <c r="J9" s="25" t="n">
        <v>8.5</v>
      </c>
      <c r="K9" s="24" t="inlineStr">
        <is>
          <t>polymarket_us</t>
        </is>
      </c>
      <c r="L9" s="26" t="n">
        <v>-102</v>
      </c>
      <c r="M9" s="27" t="n">
        <v>1.980392</v>
      </c>
      <c r="N9" s="28" t="n">
        <v>0.50495</v>
      </c>
      <c r="O9" s="28" t="n">
        <v>0.511521</v>
      </c>
      <c r="P9" s="28" t="n">
        <v>0.042131</v>
      </c>
      <c r="Q9" s="28" t="n">
        <v>0.006571</v>
      </c>
      <c r="R9" s="26" t="n">
        <v>29</v>
      </c>
      <c r="S9" s="29" t="n">
        <v>1</v>
      </c>
      <c r="T9" s="24" t="inlineStr">
        <is>
          <t>measured-edge-totals-v2</t>
        </is>
      </c>
      <c r="U9" s="24" t="inlineStr">
        <is>
          <t>settled</t>
        </is>
      </c>
      <c r="V9" s="24" t="inlineStr">
        <is>
          <t>loss</t>
        </is>
      </c>
      <c r="W9" s="26" t="n">
        <v>3</v>
      </c>
      <c r="X9" s="26" t="n">
        <v>7</v>
      </c>
      <c r="Y9" s="25" t="n">
        <v>8.5</v>
      </c>
      <c r="Z9" s="26" t="n">
        <v>-102</v>
      </c>
      <c r="AA9" s="28" t="n">
        <v>0.505</v>
      </c>
      <c r="AB9" s="28" t="n">
        <v>5e-05</v>
      </c>
      <c r="AC9" s="30" t="n">
        <v>-1</v>
      </c>
      <c r="AD9" s="24" t="inlineStr">
        <is>
          <t>2026-08-02T23:11:47.946163Z</t>
        </is>
      </c>
      <c r="AE9" s="31" t="inlineStr">
        <is>
          <t>Measured Edge Totals: Trend Engine projected 4.10-4.64; raw selected-side p=0.5104, calibrated p=0.5115.</t>
        </is>
      </c>
      <c r="AF9" s="31" t="inlineStr">
        <is>
          <t>Research-only; lineup, bullpen, park, weather, xFIP, and wRC+ may be neutral fallbacks; market availability and BBO depth may change before first pitch.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mlb-tex</t>
        </is>
      </c>
      <c r="AQ9" s="24" t="inlineStr">
        <is>
          <t>Texas Rangers</t>
        </is>
      </c>
      <c r="AR9" s="24" t="inlineStr">
        <is>
          <t>Texas Rangers</t>
        </is>
      </c>
      <c r="AS9" s="24" t="inlineStr">
        <is>
          <t>mlb-hou</t>
        </is>
      </c>
      <c r="AT9" s="24" t="inlineStr">
        <is>
          <t>Houston Astros</t>
        </is>
      </c>
      <c r="AU9" s="24" t="inlineStr">
        <is>
          <t>Houston Astros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433578016242b27f9c1c7132cc6b5a2bcc7dd1b0234590c12a944455a88e71bd</t>
        </is>
      </c>
      <c r="BB9" s="24" t="inlineStr">
        <is>
          <t>flat_probability_shrinkage_toward_half</t>
        </is>
      </c>
      <c r="BC9" s="24" t="inlineStr">
        <is>
          <t>measured-edge-totals-v2</t>
        </is>
      </c>
      <c r="BD9" s="24" t="inlineStr">
        <is>
          <t>433578016242b27f9c1c7132cc6b5a2bcc7dd1b0234590c12a944455a88e71bd</t>
        </is>
      </c>
      <c r="BE9" s="24" t="inlineStr">
        <is>
          <t>v3</t>
        </is>
      </c>
      <c r="BF9" s="24" t="inlineStr">
        <is>
          <t>1</t>
        </is>
      </c>
      <c r="BG9" s="24" t="inlineStr">
        <is>
          <t>measured-edge-paired-v1</t>
        </is>
      </c>
      <c r="BH9" s="24" t="inlineStr">
        <is>
          <t>2026-08-02T18:09:31.256815Z</t>
        </is>
      </c>
      <c r="BI9" s="24" t="inlineStr">
        <is>
          <t>["same_event","same_team_same_day","same_league_same_day"]</t>
        </is>
      </c>
      <c r="BJ9" s="25" t="n">
        <v>8.5</v>
      </c>
      <c r="BK9" s="26" t="n">
        <v>-102</v>
      </c>
      <c r="BL9" s="27" t="n">
        <v>1.980392</v>
      </c>
      <c r="BM9" s="28" t="n">
        <v>0.50495</v>
      </c>
      <c r="BN9" s="28" t="n">
        <v>0.502488</v>
      </c>
      <c r="BO9" s="28" t="n"/>
      <c r="BP9" s="25" t="n"/>
      <c r="BQ9" s="27" t="n">
        <v>1.980392</v>
      </c>
      <c r="BR9" s="28" t="n">
        <v>0.505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inlineStr">
        <is>
          <t>True</t>
        </is>
      </c>
    </row>
    <row r="10" ht="36" customHeight="1">
      <c r="A10" s="24" t="inlineStr">
        <is>
          <t>732cf8f5d9b94b6d</t>
        </is>
      </c>
      <c r="B10" s="24" t="inlineStr">
        <is>
          <t>2026-08-02T18:09:31.256815Z</t>
        </is>
      </c>
      <c r="C10" s="24" t="inlineStr">
        <is>
          <t>2026-08-02T18:20Z</t>
        </is>
      </c>
      <c r="D10" s="24" t="inlineStr">
        <is>
          <t>401816369</t>
        </is>
      </c>
      <c r="E10" s="24" t="inlineStr">
        <is>
          <t>MLB</t>
        </is>
      </c>
      <c r="F10" s="24" t="inlineStr">
        <is>
          <t>New York Yankees</t>
        </is>
      </c>
      <c r="G10" s="24" t="inlineStr">
        <is>
          <t>Chicago Cubs</t>
        </is>
      </c>
      <c r="H10" s="24" t="inlineStr">
        <is>
          <t>spread</t>
        </is>
      </c>
      <c r="I10" s="24" t="inlineStr">
        <is>
          <t>home</t>
        </is>
      </c>
      <c r="J10" s="25" t="n">
        <v>1.5</v>
      </c>
      <c r="K10" s="24" t="inlineStr">
        <is>
          <t>polymarket_us</t>
        </is>
      </c>
      <c r="L10" s="26" t="n">
        <v>-167</v>
      </c>
      <c r="M10" s="27" t="n">
        <v>1.598802</v>
      </c>
      <c r="N10" s="28" t="n">
        <v>0.625468</v>
      </c>
      <c r="O10" s="28" t="n">
        <v>0.605256</v>
      </c>
      <c r="P10" s="28" t="n">
        <v>0.042131</v>
      </c>
      <c r="Q10" s="28" t="n">
        <v>-0.020212</v>
      </c>
      <c r="R10" s="26" t="n">
        <v>16</v>
      </c>
      <c r="S10" s="29" t="n">
        <v>1.5</v>
      </c>
      <c r="T10" s="24" t="inlineStr">
        <is>
          <t>measured-edge-margin-v2</t>
        </is>
      </c>
      <c r="U10" s="24" t="inlineStr">
        <is>
          <t>settled</t>
        </is>
      </c>
      <c r="V10" s="24" t="inlineStr">
        <is>
          <t>win</t>
        </is>
      </c>
      <c r="W10" s="26" t="n">
        <v>2</v>
      </c>
      <c r="X10" s="26" t="n">
        <v>1</v>
      </c>
      <c r="Y10" s="25" t="n">
        <v>1.5</v>
      </c>
      <c r="Z10" s="26" t="n">
        <v>-167</v>
      </c>
      <c r="AA10" s="28" t="n">
        <v>0.625</v>
      </c>
      <c r="AB10" s="28" t="n">
        <v>-0.000468</v>
      </c>
      <c r="AC10" s="30" t="n">
        <v>0.8982</v>
      </c>
      <c r="AD10" s="24" t="inlineStr">
        <is>
          <t>2026-08-02T23:11:48.365817Z</t>
        </is>
      </c>
      <c r="AE10" s="31" t="inlineStr">
        <is>
          <t>Measured Edge Margin: Trend Engine projected 4.57-4.52; raw selected-side p=0.6603, calibrated p=0.6053.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mlb-nyy</t>
        </is>
      </c>
      <c r="AQ10" s="24" t="inlineStr">
        <is>
          <t>New York Yankees</t>
        </is>
      </c>
      <c r="AR10" s="24" t="inlineStr">
        <is>
          <t>New York Yankees</t>
        </is>
      </c>
      <c r="AS10" s="24" t="inlineStr">
        <is>
          <t>mlb-chc</t>
        </is>
      </c>
      <c r="AT10" s="24" t="inlineStr">
        <is>
          <t>Chicago Cubs</t>
        </is>
      </c>
      <c r="AU10" s="24" t="inlineStr">
        <is>
          <t>Chicago Cubs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8360b122264b796b0fb193095cfe4506c7e064e5f3f8c0a659aec41efd08dd25</t>
        </is>
      </c>
      <c r="BB10" s="24" t="inlineStr">
        <is>
          <t>flat_probability_shrinkage_toward_half</t>
        </is>
      </c>
      <c r="BC10" s="24" t="inlineStr">
        <is>
          <t>measured-edge-margin-v2</t>
        </is>
      </c>
      <c r="BD10" s="24" t="inlineStr">
        <is>
          <t>8360b122264b796b0fb193095cfe4506c7e064e5f3f8c0a659aec41efd08dd25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2026-08-02T18:09:31.256815Z</t>
        </is>
      </c>
      <c r="BI10" s="24" t="inlineStr">
        <is>
          <t>["same_event","same_team_same_day","same_league_same_day"]</t>
        </is>
      </c>
      <c r="BJ10" s="25" t="n">
        <v>1.5</v>
      </c>
      <c r="BK10" s="26" t="n">
        <v>-167</v>
      </c>
      <c r="BL10" s="27" t="n">
        <v>1.598802</v>
      </c>
      <c r="BM10" s="28" t="n">
        <v>0.625468</v>
      </c>
      <c r="BN10" s="28" t="n">
        <v>0.621891</v>
      </c>
      <c r="BO10" s="28" t="n"/>
      <c r="BP10" s="25" t="n"/>
      <c r="BQ10" s="27" t="n">
        <v>1.598802</v>
      </c>
      <c r="BR10" s="28" t="n">
        <v>0.625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inlineStr">
        <is>
          <t>False</t>
        </is>
      </c>
    </row>
    <row r="11" ht="36" customHeight="1">
      <c r="A11" s="24" t="inlineStr">
        <is>
          <t>4090e9468cc44150</t>
        </is>
      </c>
      <c r="B11" s="24" t="inlineStr">
        <is>
          <t>2026-08-02T18:09:31.256815Z</t>
        </is>
      </c>
      <c r="C11" s="24" t="inlineStr">
        <is>
          <t>2026-08-02T18:20Z</t>
        </is>
      </c>
      <c r="D11" s="24" t="inlineStr">
        <is>
          <t>401816369</t>
        </is>
      </c>
      <c r="E11" s="24" t="inlineStr">
        <is>
          <t>MLB</t>
        </is>
      </c>
      <c r="F11" s="24" t="inlineStr">
        <is>
          <t>New York Yankees</t>
        </is>
      </c>
      <c r="G11" s="24" t="inlineStr">
        <is>
          <t>Chicago Cubs</t>
        </is>
      </c>
      <c r="H11" s="24" t="inlineStr">
        <is>
          <t>total</t>
        </is>
      </c>
      <c r="I11" s="24" t="inlineStr">
        <is>
          <t>over</t>
        </is>
      </c>
      <c r="J11" s="25" t="n">
        <v>6.5</v>
      </c>
      <c r="K11" s="24" t="inlineStr">
        <is>
          <t>polymarket_us</t>
        </is>
      </c>
      <c r="L11" s="26" t="n">
        <v>-113</v>
      </c>
      <c r="M11" s="27" t="n">
        <v>1.884956</v>
      </c>
      <c r="N11" s="28" t="n">
        <v>0.530516</v>
      </c>
      <c r="O11" s="28" t="n">
        <v>0.584337</v>
      </c>
      <c r="P11" s="28" t="n">
        <v>0.042131</v>
      </c>
      <c r="Q11" s="28" t="n">
        <v>0.053821</v>
      </c>
      <c r="R11" s="26" t="n">
        <v>53</v>
      </c>
      <c r="S11" s="29" t="n">
        <v>1.25</v>
      </c>
      <c r="T11" s="24" t="inlineStr">
        <is>
          <t>measured-edge-totals-v2</t>
        </is>
      </c>
      <c r="U11" s="24" t="inlineStr">
        <is>
          <t>settled</t>
        </is>
      </c>
      <c r="V11" s="24" t="inlineStr">
        <is>
          <t>loss</t>
        </is>
      </c>
      <c r="W11" s="26" t="n">
        <v>2</v>
      </c>
      <c r="X11" s="26" t="n">
        <v>1</v>
      </c>
      <c r="Y11" s="25" t="n">
        <v>6.5</v>
      </c>
      <c r="Z11" s="26" t="n">
        <v>-113</v>
      </c>
      <c r="AA11" s="28" t="n">
        <v>0.53</v>
      </c>
      <c r="AB11" s="28" t="n">
        <v>-0.000516</v>
      </c>
      <c r="AC11" s="30" t="n">
        <v>-1.25</v>
      </c>
      <c r="AD11" s="24" t="inlineStr">
        <is>
          <t>2026-08-02T23:11:48.784760Z</t>
        </is>
      </c>
      <c r="AE11" s="31" t="inlineStr">
        <is>
          <t>Measured Edge Totals: Trend Engine projected 4.57-4.52; raw selected-side p=0.7236, calibrated p=0.5843.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mlb-nyy</t>
        </is>
      </c>
      <c r="AQ11" s="24" t="inlineStr">
        <is>
          <t>New York Yankees</t>
        </is>
      </c>
      <c r="AR11" s="24" t="inlineStr">
        <is>
          <t>New York Yankees</t>
        </is>
      </c>
      <c r="AS11" s="24" t="inlineStr">
        <is>
          <t>mlb-chc</t>
        </is>
      </c>
      <c r="AT11" s="24" t="inlineStr">
        <is>
          <t>Chicago Cubs</t>
        </is>
      </c>
      <c r="AU11" s="24" t="inlineStr">
        <is>
          <t>Chicago Cubs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433578016242b27f9c1c7132cc6b5a2bcc7dd1b0234590c12a944455a88e71bd</t>
        </is>
      </c>
      <c r="BB11" s="24" t="inlineStr">
        <is>
          <t>flat_probability_shrinkage_toward_half</t>
        </is>
      </c>
      <c r="BC11" s="24" t="inlineStr">
        <is>
          <t>measured-edge-totals-v2</t>
        </is>
      </c>
      <c r="BD11" s="24" t="inlineStr">
        <is>
          <t>433578016242b27f9c1c7132cc6b5a2bcc7dd1b0234590c12a944455a88e71bd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2026-08-02T18:09:31.256815Z</t>
        </is>
      </c>
      <c r="BI11" s="24" t="inlineStr">
        <is>
          <t>["same_event","same_team_same_day","same_league_same_day"]</t>
        </is>
      </c>
      <c r="BJ11" s="25" t="n">
        <v>6.5</v>
      </c>
      <c r="BK11" s="26" t="n">
        <v>-113</v>
      </c>
      <c r="BL11" s="27" t="n">
        <v>1.884956</v>
      </c>
      <c r="BM11" s="28" t="n">
        <v>0.530516</v>
      </c>
      <c r="BN11" s="28" t="n">
        <v>0.527363</v>
      </c>
      <c r="BO11" s="28" t="n"/>
      <c r="BP11" s="25" t="n"/>
      <c r="BQ11" s="27" t="n">
        <v>1.884956</v>
      </c>
      <c r="BR11" s="28" t="n">
        <v>0.53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inlineStr">
        <is>
          <t>True</t>
        </is>
      </c>
    </row>
    <row r="12" ht="36" customHeight="1">
      <c r="A12" s="24" t="inlineStr">
        <is>
          <t>97597cc81ddb427b</t>
        </is>
      </c>
      <c r="B12" s="24" t="inlineStr">
        <is>
          <t>2026-08-02T18:46:13.612768Z</t>
        </is>
      </c>
      <c r="C12" s="24" t="inlineStr">
        <is>
          <t>2026-08-02T15:15:00-0400</t>
        </is>
      </c>
      <c r="D12" s="24" t="inlineStr">
        <is>
          <t>401816374</t>
        </is>
      </c>
      <c r="E12" s="24" t="inlineStr">
        <is>
          <t>MLB</t>
        </is>
      </c>
      <c r="F12" s="24" t="inlineStr">
        <is>
          <t>Milwaukee Brewers</t>
        </is>
      </c>
      <c r="G12" s="24" t="inlineStr">
        <is>
          <t>Los Angeles Angels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-208</v>
      </c>
      <c r="M12" s="27" t="n">
        <v>1.480769</v>
      </c>
      <c r="N12" s="28" t="n">
        <v>0.675325</v>
      </c>
      <c r="O12" s="28" t="n">
        <v>0.625602</v>
      </c>
      <c r="P12" s="28" t="n"/>
      <c r="Q12" s="28" t="n">
        <v>-0.049723</v>
      </c>
      <c r="R12" s="26" t="n">
        <v>0</v>
      </c>
      <c r="S12" s="29" t="n">
        <v>1.5</v>
      </c>
      <c r="T12" s="24" t="inlineStr">
        <is>
          <t>mlb-elo-trend-lr-v7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3</v>
      </c>
      <c r="Y12" s="25" t="n"/>
      <c r="Z12" s="26" t="n">
        <v>-208</v>
      </c>
      <c r="AA12" s="28" t="n">
        <v>0.675</v>
      </c>
      <c r="AB12" s="28" t="n">
        <v>-0.000325</v>
      </c>
      <c r="AC12" s="30" t="n">
        <v>-1.5</v>
      </c>
      <c r="AD12" s="24" t="inlineStr">
        <is>
          <t>2026-08-02T23:11:49.623572Z</t>
        </is>
      </c>
      <c r="AE12" s="31" t="inlineStr">
        <is>
          <t>Learned LR call at threshold 0.6242; executable ask 0.6750 (aec-mlb-mil-laa-2026-08-02); model edge vs ask -0.0494.</t>
        </is>
      </c>
      <c r="AF12" s="31" t="inlineStr">
        <is>
          <t>Learned model; shadow-qualified via operator override.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mlb-mil</t>
        </is>
      </c>
      <c r="AQ12" s="24" t="inlineStr">
        <is>
          <t>Milwaukee Brewers</t>
        </is>
      </c>
      <c r="AR12" s="24" t="inlineStr">
        <is>
          <t>Milwaukee Brewers</t>
        </is>
      </c>
      <c r="AS12" s="24" t="inlineStr">
        <is>
          <t>mlb-laa</t>
        </is>
      </c>
      <c r="AT12" s="24" t="inlineStr">
        <is>
          <t>Los Angeles Angels</t>
        </is>
      </c>
      <c r="AU12" s="24" t="inlineStr">
        <is>
          <t>Los Angeles Angels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6989455cd566cbdd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2026-08-02T18:44:40.713780Z</t>
        </is>
      </c>
      <c r="BI12" s="24" t="inlineStr">
        <is>
          <t>["same_event","same_team_same_day","same_league_same_day"]</t>
        </is>
      </c>
      <c r="BJ12" s="25" t="n"/>
      <c r="BK12" s="26" t="n">
        <v>-208</v>
      </c>
      <c r="BL12" s="27" t="n">
        <v>1.480769</v>
      </c>
      <c r="BM12" s="28" t="n">
        <v>0.675325</v>
      </c>
      <c r="BN12" s="28" t="n">
        <v>0.671642</v>
      </c>
      <c r="BO12" s="28" t="n"/>
      <c r="BP12" s="25" t="n"/>
      <c r="BQ12" s="27" t="n">
        <v>1.480769</v>
      </c>
      <c r="BR12" s="28" t="n">
        <v>0.675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0.3268450055</t>
        </is>
      </c>
      <c r="CD12" s="24" t="inlineStr">
        <is>
          <t>-0.59379</t>
        </is>
      </c>
      <c r="CE12" s="24" t="inlineStr">
        <is>
          <t>1.01</t>
        </is>
      </c>
      <c r="CF12" s="24" t="inlineStr">
        <is>
          <t>1.0174</t>
        </is>
      </c>
      <c r="CG12" s="24" t="inlineStr">
        <is>
          <t>0.2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inlineStr">
        <is>
          <t>0.625602</t>
        </is>
      </c>
      <c r="CQ12" s="24" t="inlineStr">
        <is>
          <t>False</t>
        </is>
      </c>
    </row>
    <row r="13" ht="36" customHeight="1">
      <c r="A13" s="24" t="inlineStr">
        <is>
          <t>fe31d9f729d84cb1</t>
        </is>
      </c>
      <c r="B13" s="24" t="inlineStr">
        <is>
          <t>2026-08-02T18:46:36.549310Z</t>
        </is>
      </c>
      <c r="C13" s="24" t="inlineStr">
        <is>
          <t>2026-08-02T19:10Z</t>
        </is>
      </c>
      <c r="D13" s="24" t="inlineStr">
        <is>
          <t>401816371</t>
        </is>
      </c>
      <c r="E13" s="24" t="inlineStr">
        <is>
          <t>MLB</t>
        </is>
      </c>
      <c r="F13" s="24" t="inlineStr">
        <is>
          <t>Kansas City Royals</t>
        </is>
      </c>
      <c r="G13" s="24" t="inlineStr">
        <is>
          <t>Colorado Rockies</t>
        </is>
      </c>
      <c r="H13" s="24" t="inlineStr">
        <is>
          <t>spread</t>
        </is>
      </c>
      <c r="I13" s="24" t="inlineStr">
        <is>
          <t>away</t>
        </is>
      </c>
      <c r="J13" s="25" t="n">
        <v>1.5</v>
      </c>
      <c r="K13" s="24" t="inlineStr">
        <is>
          <t>polymarket_us</t>
        </is>
      </c>
      <c r="L13" s="26" t="n">
        <v>-163</v>
      </c>
      <c r="M13" s="27" t="n">
        <v>1.613497</v>
      </c>
      <c r="N13" s="28" t="n">
        <v>0.619772</v>
      </c>
      <c r="O13" s="28" t="n">
        <v>0.629958</v>
      </c>
      <c r="P13" s="28" t="n">
        <v>0.042131</v>
      </c>
      <c r="Q13" s="28" t="n">
        <v>0.010186</v>
      </c>
      <c r="R13" s="26" t="n">
        <v>31</v>
      </c>
      <c r="S13" s="29" t="n">
        <v>1.5</v>
      </c>
      <c r="T13" s="24" t="inlineStr">
        <is>
          <t>measured-edge-margin-v2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8</v>
      </c>
      <c r="Y13" s="25" t="n">
        <v>1.5</v>
      </c>
      <c r="Z13" s="26" t="n">
        <v>-163</v>
      </c>
      <c r="AA13" s="28" t="n">
        <v>0.62</v>
      </c>
      <c r="AB13" s="28" t="n">
        <v>0.000228</v>
      </c>
      <c r="AC13" s="30" t="n">
        <v>-1.5</v>
      </c>
      <c r="AD13" s="24" t="inlineStr">
        <is>
          <t>2026-08-02T23:11:50.081877Z</t>
        </is>
      </c>
      <c r="AE13" s="31" t="inlineStr">
        <is>
          <t>Measured Edge Margin: Trend Engine projected 5.90-5.32; raw selected-side p=0.6980, calibrated p=0.6300.</t>
        </is>
      </c>
      <c r="AF13" s="31" t="inlineStr">
        <is>
          <t>Research-only; lineup, bullpen, park, weather, xFIP, and wRC+ may be neutral fallbacks; market availability and BBO depth may change before first pitch.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mlb-kc</t>
        </is>
      </c>
      <c r="AQ13" s="24" t="inlineStr">
        <is>
          <t>Kansas City Royals</t>
        </is>
      </c>
      <c r="AR13" s="24" t="inlineStr">
        <is>
          <t>Kansas City Royals</t>
        </is>
      </c>
      <c r="AS13" s="24" t="inlineStr">
        <is>
          <t>mlb-col</t>
        </is>
      </c>
      <c r="AT13" s="24" t="inlineStr">
        <is>
          <t>Colorado Rockies</t>
        </is>
      </c>
      <c r="AU13" s="24" t="inlineStr">
        <is>
          <t>Colorado Rockies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8360b122264b796b0fb193095cfe4506c7e064e5f3f8c0a659aec41efd08dd25</t>
        </is>
      </c>
      <c r="BB13" s="24" t="inlineStr">
        <is>
          <t>flat_probability_shrinkage_toward_half</t>
        </is>
      </c>
      <c r="BC13" s="24" t="inlineStr">
        <is>
          <t>measured-edge-margin-v2</t>
        </is>
      </c>
      <c r="BD13" s="24" t="inlineStr">
        <is>
          <t>8360b122264b796b0fb193095cfe4506c7e064e5f3f8c0a659aec41efd08dd25</t>
        </is>
      </c>
      <c r="BE13" s="24" t="inlineStr">
        <is>
          <t>v3</t>
        </is>
      </c>
      <c r="BF13" s="24" t="inlineStr">
        <is>
          <t>1</t>
        </is>
      </c>
      <c r="BG13" s="24" t="inlineStr">
        <is>
          <t>measured-edge-paired-v1</t>
        </is>
      </c>
      <c r="BH13" s="24" t="inlineStr">
        <is>
          <t>2026-08-02T18:46:36.549310Z</t>
        </is>
      </c>
      <c r="BI13" s="24" t="inlineStr">
        <is>
          <t>["same_event","same_team_same_day","same_league_same_day"]</t>
        </is>
      </c>
      <c r="BJ13" s="25" t="n">
        <v>1.5</v>
      </c>
      <c r="BK13" s="26" t="n">
        <v>-163</v>
      </c>
      <c r="BL13" s="27" t="n">
        <v>1.613497</v>
      </c>
      <c r="BM13" s="28" t="n">
        <v>0.619772</v>
      </c>
      <c r="BN13" s="28" t="n">
        <v>0.616915</v>
      </c>
      <c r="BO13" s="28" t="n"/>
      <c r="BP13" s="25" t="n"/>
      <c r="BQ13" s="27" t="n">
        <v>1.613497</v>
      </c>
      <c r="BR13" s="28" t="n">
        <v>0.62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inlineStr">
        <is>
          <t>True</t>
        </is>
      </c>
    </row>
    <row r="14" ht="36" customHeight="1">
      <c r="A14" s="24" t="inlineStr">
        <is>
          <t>d1d78de4da784181</t>
        </is>
      </c>
      <c r="B14" s="24" t="inlineStr">
        <is>
          <t>2026-08-02T18:46:36.549310Z</t>
        </is>
      </c>
      <c r="C14" s="24" t="inlineStr">
        <is>
          <t>2026-08-02T19:10Z</t>
        </is>
      </c>
      <c r="D14" s="24" t="inlineStr">
        <is>
          <t>401816371</t>
        </is>
      </c>
      <c r="E14" s="24" t="inlineStr">
        <is>
          <t>MLB</t>
        </is>
      </c>
      <c r="F14" s="24" t="inlineStr">
        <is>
          <t>Kansas City Royals</t>
        </is>
      </c>
      <c r="G14" s="24" t="inlineStr">
        <is>
          <t>Colorado Rockies</t>
        </is>
      </c>
      <c r="H14" s="24" t="inlineStr">
        <is>
          <t>total</t>
        </is>
      </c>
      <c r="I14" s="24" t="inlineStr">
        <is>
          <t>under</t>
        </is>
      </c>
      <c r="J14" s="25" t="n">
        <v>11.5</v>
      </c>
      <c r="K14" s="24" t="inlineStr">
        <is>
          <t>polymarket_us</t>
        </is>
      </c>
      <c r="L14" s="26" t="n">
        <v>-104</v>
      </c>
      <c r="M14" s="27" t="n">
        <v>1.961538</v>
      </c>
      <c r="N14" s="28" t="n">
        <v>0.509804</v>
      </c>
      <c r="O14" s="28" t="n">
        <v>0.533133</v>
      </c>
      <c r="P14" s="28" t="n">
        <v>0.042131</v>
      </c>
      <c r="Q14" s="28" t="n">
        <v>0.023329</v>
      </c>
      <c r="R14" s="26" t="n">
        <v>38</v>
      </c>
      <c r="S14" s="29" t="n">
        <v>1</v>
      </c>
      <c r="T14" s="24" t="inlineStr">
        <is>
          <t>measured-edge-totals-v2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8</v>
      </c>
      <c r="Y14" s="25" t="n">
        <v>11.5</v>
      </c>
      <c r="Z14" s="26" t="n">
        <v>-104</v>
      </c>
      <c r="AA14" s="28" t="n">
        <v>0.51</v>
      </c>
      <c r="AB14" s="28" t="n">
        <v>0.000196</v>
      </c>
      <c r="AC14" s="30" t="n">
        <v>0.9615</v>
      </c>
      <c r="AD14" s="24" t="inlineStr">
        <is>
          <t>2026-08-02T23:11:50.504306Z</t>
        </is>
      </c>
      <c r="AE14" s="31" t="inlineStr">
        <is>
          <t>Measured Edge Totals: Trend Engine projected 5.90-5.32; raw selected-side p=0.5737, calibrated p=0.5331.</t>
        </is>
      </c>
      <c r="AF14" s="31" t="inlineStr">
        <is>
          <t>Research-only; lineup, bullpen, park, weather, xFIP, and wRC+ may be neutral fallbacks; market availability and BBO depth may change before first pitch.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mlb-kc</t>
        </is>
      </c>
      <c r="AQ14" s="24" t="inlineStr">
        <is>
          <t>Kansas City Royals</t>
        </is>
      </c>
      <c r="AR14" s="24" t="inlineStr">
        <is>
          <t>Kansas City Royals</t>
        </is>
      </c>
      <c r="AS14" s="24" t="inlineStr">
        <is>
          <t>mlb-col</t>
        </is>
      </c>
      <c r="AT14" s="24" t="inlineStr">
        <is>
          <t>Colorado Rockies</t>
        </is>
      </c>
      <c r="AU14" s="24" t="inlineStr">
        <is>
          <t>Colorado Rockies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433578016242b27f9c1c7132cc6b5a2bcc7dd1b0234590c12a944455a88e71bd</t>
        </is>
      </c>
      <c r="BB14" s="24" t="inlineStr">
        <is>
          <t>flat_probability_shrinkage_toward_half</t>
        </is>
      </c>
      <c r="BC14" s="24" t="inlineStr">
        <is>
          <t>measured-edge-totals-v2</t>
        </is>
      </c>
      <c r="BD14" s="24" t="inlineStr">
        <is>
          <t>433578016242b27f9c1c7132cc6b5a2bcc7dd1b0234590c12a944455a88e71bd</t>
        </is>
      </c>
      <c r="BE14" s="24" t="inlineStr">
        <is>
          <t>v3</t>
        </is>
      </c>
      <c r="BF14" s="24" t="inlineStr">
        <is>
          <t>1</t>
        </is>
      </c>
      <c r="BG14" s="24" t="inlineStr">
        <is>
          <t>measured-edge-paired-v1</t>
        </is>
      </c>
      <c r="BH14" s="24" t="inlineStr">
        <is>
          <t>2026-08-02T18:46:36.549310Z</t>
        </is>
      </c>
      <c r="BI14" s="24" t="inlineStr">
        <is>
          <t>["same_event","same_team_same_day","same_league_same_day"]</t>
        </is>
      </c>
      <c r="BJ14" s="25" t="n">
        <v>11.5</v>
      </c>
      <c r="BK14" s="26" t="n">
        <v>-104</v>
      </c>
      <c r="BL14" s="27" t="n">
        <v>1.961538</v>
      </c>
      <c r="BM14" s="28" t="n">
        <v>0.509804</v>
      </c>
      <c r="BN14" s="28" t="n">
        <v>0.507463</v>
      </c>
      <c r="BO14" s="28" t="n"/>
      <c r="BP14" s="25" t="n"/>
      <c r="BQ14" s="27" t="n">
        <v>1.961538</v>
      </c>
      <c r="BR14" s="28" t="n">
        <v>0.51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inlineStr">
        <is>
          <t>True</t>
        </is>
      </c>
    </row>
    <row r="15" ht="36" customHeight="1">
      <c r="A15" s="24" t="inlineStr">
        <is>
          <t>ccd368805d224c34</t>
        </is>
      </c>
      <c r="B15" s="24" t="inlineStr">
        <is>
          <t>2026-08-02T18:46:36.549310Z</t>
        </is>
      </c>
      <c r="C15" s="24" t="inlineStr">
        <is>
          <t>2026-08-02T19:15Z</t>
        </is>
      </c>
      <c r="D15" s="24" t="inlineStr">
        <is>
          <t>401816374</t>
        </is>
      </c>
      <c r="E15" s="24" t="inlineStr">
        <is>
          <t>MLB</t>
        </is>
      </c>
      <c r="F15" s="24" t="inlineStr">
        <is>
          <t>Milwaukee Brewers</t>
        </is>
      </c>
      <c r="G15" s="24" t="inlineStr">
        <is>
          <t>Los Angeles Angels</t>
        </is>
      </c>
      <c r="H15" s="24" t="inlineStr">
        <is>
          <t>spread</t>
        </is>
      </c>
      <c r="I15" s="24" t="inlineStr">
        <is>
          <t>home</t>
        </is>
      </c>
      <c r="J15" s="25" t="n">
        <v>1.5</v>
      </c>
      <c r="K15" s="24" t="inlineStr">
        <is>
          <t>polymarket_us</t>
        </is>
      </c>
      <c r="L15" s="26" t="n">
        <v>117</v>
      </c>
      <c r="M15" s="27" t="n">
        <v>2.17</v>
      </c>
      <c r="N15" s="28" t="n">
        <v>0.460829</v>
      </c>
      <c r="O15" s="28" t="n">
        <v>0.5552280000000001</v>
      </c>
      <c r="P15" s="28" t="n">
        <v>0.042131</v>
      </c>
      <c r="Q15" s="28" t="n">
        <v>0.094399</v>
      </c>
      <c r="R15" s="26" t="n">
        <v>73</v>
      </c>
      <c r="S15" s="29" t="n">
        <v>1</v>
      </c>
      <c r="T15" s="24" t="inlineStr">
        <is>
          <t>measured-edge-margin-v2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3</v>
      </c>
      <c r="Y15" s="25" t="n">
        <v>1.5</v>
      </c>
      <c r="Z15" s="26" t="n">
        <v>117</v>
      </c>
      <c r="AA15" s="28" t="n">
        <v>0.46</v>
      </c>
      <c r="AB15" s="28" t="n">
        <v>-0.000829</v>
      </c>
      <c r="AC15" s="30" t="n">
        <v>1.17</v>
      </c>
      <c r="AD15" s="24" t="inlineStr">
        <is>
          <t>2026-08-02T23:11:50.925106Z</t>
        </is>
      </c>
      <c r="AE15" s="31" t="inlineStr">
        <is>
          <t>Measured Edge Margin: Trend Engine projected 4.07-3.09; raw selected-side p=0.5841, calibrated p=0.5552.</t>
        </is>
      </c>
      <c r="AF15" s="31" t="inlineStr">
        <is>
          <t>Research-only; lineup, bullpen, park, weather, xFIP, and wRC+ may be neutral fallbacks; market availability and BBO depth may change before first pitch.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mlb-mil</t>
        </is>
      </c>
      <c r="AQ15" s="24" t="inlineStr">
        <is>
          <t>Milwaukee Brewers</t>
        </is>
      </c>
      <c r="AR15" s="24" t="inlineStr">
        <is>
          <t>Milwaukee Brewers</t>
        </is>
      </c>
      <c r="AS15" s="24" t="inlineStr">
        <is>
          <t>mlb-laa</t>
        </is>
      </c>
      <c r="AT15" s="24" t="inlineStr">
        <is>
          <t>Los Angeles Angels</t>
        </is>
      </c>
      <c r="AU15" s="24" t="inlineStr">
        <is>
          <t>Los Angeles Angels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8360b122264b796b0fb193095cfe4506c7e064e5f3f8c0a659aec41efd08dd25</t>
        </is>
      </c>
      <c r="BB15" s="24" t="inlineStr">
        <is>
          <t>flat_probability_shrinkage_toward_half</t>
        </is>
      </c>
      <c r="BC15" s="24" t="inlineStr">
        <is>
          <t>measured-edge-margin-v2</t>
        </is>
      </c>
      <c r="BD15" s="24" t="inlineStr">
        <is>
          <t>8360b122264b796b0fb193095cfe4506c7e064e5f3f8c0a659aec41efd08dd25</t>
        </is>
      </c>
      <c r="BE15" s="24" t="inlineStr">
        <is>
          <t>v3</t>
        </is>
      </c>
      <c r="BF15" s="24" t="inlineStr">
        <is>
          <t>1</t>
        </is>
      </c>
      <c r="BG15" s="24" t="inlineStr">
        <is>
          <t>measured-edge-paired-v1</t>
        </is>
      </c>
      <c r="BH15" s="24" t="inlineStr">
        <is>
          <t>2026-08-02T18:46:36.549310Z</t>
        </is>
      </c>
      <c r="BI15" s="24" t="inlineStr">
        <is>
          <t>["same_event","same_team_same_day","same_league_same_day"]</t>
        </is>
      </c>
      <c r="BJ15" s="25" t="n">
        <v>1.5</v>
      </c>
      <c r="BK15" s="26" t="n">
        <v>117</v>
      </c>
      <c r="BL15" s="27" t="n">
        <v>2.17</v>
      </c>
      <c r="BM15" s="28" t="n">
        <v>0.460829</v>
      </c>
      <c r="BN15" s="28" t="n">
        <v>0.457711</v>
      </c>
      <c r="BO15" s="28" t="n"/>
      <c r="BP15" s="25" t="n"/>
      <c r="BQ15" s="27" t="n">
        <v>2.17</v>
      </c>
      <c r="BR15" s="28" t="n">
        <v>0.46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inlineStr">
        <is>
          <t>True</t>
        </is>
      </c>
    </row>
    <row r="16" ht="36" customHeight="1">
      <c r="A16" s="24" t="inlineStr">
        <is>
          <t>e208b6ee6e7d4b57</t>
        </is>
      </c>
      <c r="B16" s="24" t="inlineStr">
        <is>
          <t>2026-08-02T18:46:36.549310Z</t>
        </is>
      </c>
      <c r="C16" s="24" t="inlineStr">
        <is>
          <t>2026-08-02T19:15Z</t>
        </is>
      </c>
      <c r="D16" s="24" t="inlineStr">
        <is>
          <t>401816374</t>
        </is>
      </c>
      <c r="E16" s="24" t="inlineStr">
        <is>
          <t>MLB</t>
        </is>
      </c>
      <c r="F16" s="24" t="inlineStr">
        <is>
          <t>Milwaukee Brewers</t>
        </is>
      </c>
      <c r="G16" s="24" t="inlineStr">
        <is>
          <t>Los Angeles Angels</t>
        </is>
      </c>
      <c r="H16" s="24" t="inlineStr">
        <is>
          <t>total</t>
        </is>
      </c>
      <c r="I16" s="24" t="inlineStr">
        <is>
          <t>under</t>
        </is>
      </c>
      <c r="J16" s="25" t="n">
        <v>7.5</v>
      </c>
      <c r="K16" s="24" t="inlineStr">
        <is>
          <t>polymarket_us</t>
        </is>
      </c>
      <c r="L16" s="26" t="n">
        <v>-108</v>
      </c>
      <c r="M16" s="27" t="n">
        <v>1.925926</v>
      </c>
      <c r="N16" s="28" t="n">
        <v>0.519231</v>
      </c>
      <c r="O16" s="28" t="n">
        <v>0.537285</v>
      </c>
      <c r="P16" s="28" t="n">
        <v>0.042131</v>
      </c>
      <c r="Q16" s="28" t="n">
        <v>0.018054</v>
      </c>
      <c r="R16" s="26" t="n">
        <v>35</v>
      </c>
      <c r="S16" s="29" t="n">
        <v>1</v>
      </c>
      <c r="T16" s="24" t="inlineStr">
        <is>
          <t>measured-edge-totals-v2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3</v>
      </c>
      <c r="Y16" s="25" t="n">
        <v>7.5</v>
      </c>
      <c r="Z16" s="26" t="n">
        <v>-108</v>
      </c>
      <c r="AA16" s="28" t="n">
        <v>0.52</v>
      </c>
      <c r="AB16" s="28" t="n">
        <v>0.000769</v>
      </c>
      <c r="AC16" s="30" t="n">
        <v>0.9258999999999999</v>
      </c>
      <c r="AD16" s="24" t="inlineStr">
        <is>
          <t>2026-08-02T23:11:51.341331Z</t>
        </is>
      </c>
      <c r="AE16" s="31" t="inlineStr">
        <is>
          <t>Measured Edge Totals: Trend Engine projected 4.07-3.09; raw selected-side p=0.5858, calibrated p=0.5373.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mlb-mil</t>
        </is>
      </c>
      <c r="AQ16" s="24" t="inlineStr">
        <is>
          <t>Milwaukee Brewers</t>
        </is>
      </c>
      <c r="AR16" s="24" t="inlineStr">
        <is>
          <t>Milwaukee Brewers</t>
        </is>
      </c>
      <c r="AS16" s="24" t="inlineStr">
        <is>
          <t>mlb-laa</t>
        </is>
      </c>
      <c r="AT16" s="24" t="inlineStr">
        <is>
          <t>Los Angeles Angels</t>
        </is>
      </c>
      <c r="AU16" s="24" t="inlineStr">
        <is>
          <t>Los Angeles Angels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433578016242b27f9c1c7132cc6b5a2bcc7dd1b0234590c12a944455a88e71bd</t>
        </is>
      </c>
      <c r="BB16" s="24" t="inlineStr">
        <is>
          <t>flat_probability_shrinkage_toward_half</t>
        </is>
      </c>
      <c r="BC16" s="24" t="inlineStr">
        <is>
          <t>measured-edge-totals-v2</t>
        </is>
      </c>
      <c r="BD16" s="24" t="inlineStr">
        <is>
          <t>433578016242b27f9c1c7132cc6b5a2bcc7dd1b0234590c12a944455a88e71bd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2026-08-02T18:46:36.549310Z</t>
        </is>
      </c>
      <c r="BI16" s="24" t="inlineStr">
        <is>
          <t>["same_event","same_team_same_day","same_league_same_day"]</t>
        </is>
      </c>
      <c r="BJ16" s="25" t="n">
        <v>7.5</v>
      </c>
      <c r="BK16" s="26" t="n">
        <v>-108</v>
      </c>
      <c r="BL16" s="27" t="n">
        <v>1.925926</v>
      </c>
      <c r="BM16" s="28" t="n">
        <v>0.519231</v>
      </c>
      <c r="BN16" s="28" t="n">
        <v>0.517413</v>
      </c>
      <c r="BO16" s="28" t="n"/>
      <c r="BP16" s="25" t="n"/>
      <c r="BQ16" s="27" t="n">
        <v>1.925926</v>
      </c>
      <c r="BR16" s="28" t="n">
        <v>0.52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inlineStr">
        <is>
          <t>True</t>
        </is>
      </c>
    </row>
    <row r="17" ht="36" customHeight="1">
      <c r="A17" s="24" t="inlineStr">
        <is>
          <t>268d0a10c3784eac</t>
        </is>
      </c>
      <c r="B17" s="24" t="inlineStr">
        <is>
          <t>2026-08-02T19:28:59.526399Z</t>
        </is>
      </c>
      <c r="C17" s="24" t="inlineStr">
        <is>
          <t>2026-08-02T20:05Z</t>
        </is>
      </c>
      <c r="D17" s="24" t="inlineStr">
        <is>
          <t>401816373</t>
        </is>
      </c>
      <c r="E17" s="24" t="inlineStr">
        <is>
          <t>MLB</t>
        </is>
      </c>
      <c r="F17" s="24" t="inlineStr">
        <is>
          <t>Detroit Tigers</t>
        </is>
      </c>
      <c r="G17" s="24" t="inlineStr">
        <is>
          <t>Athletics</t>
        </is>
      </c>
      <c r="H17" s="24" t="inlineStr">
        <is>
          <t>spread</t>
        </is>
      </c>
      <c r="I17" s="24" t="inlineStr">
        <is>
          <t>home</t>
        </is>
      </c>
      <c r="J17" s="25" t="n">
        <v>1.5</v>
      </c>
      <c r="K17" s="24" t="inlineStr">
        <is>
          <t>polymarket_us</t>
        </is>
      </c>
      <c r="L17" s="26" t="n">
        <v>-141</v>
      </c>
      <c r="M17" s="27" t="n">
        <v>1.70922</v>
      </c>
      <c r="N17" s="28" t="n">
        <v>0.585062</v>
      </c>
      <c r="O17" s="28" t="n">
        <v>0.522653</v>
      </c>
      <c r="P17" s="28" t="n">
        <v>0.042131</v>
      </c>
      <c r="Q17" s="28" t="n">
        <v>-0.062409</v>
      </c>
      <c r="R17" s="26" t="n">
        <v>0</v>
      </c>
      <c r="S17" s="29" t="n">
        <v>1</v>
      </c>
      <c r="T17" s="24" t="inlineStr">
        <is>
          <t>measured-edge-margin-v2</t>
        </is>
      </c>
      <c r="U17" s="24" t="inlineStr">
        <is>
          <t>settled</t>
        </is>
      </c>
      <c r="V17" s="24" t="inlineStr">
        <is>
          <t>loss</t>
        </is>
      </c>
      <c r="W17" s="26" t="n">
        <v>11</v>
      </c>
      <c r="X17" s="26" t="n">
        <v>0</v>
      </c>
      <c r="Y17" s="25" t="n">
        <v>1.5</v>
      </c>
      <c r="Z17" s="26" t="n">
        <v>-141</v>
      </c>
      <c r="AA17" s="28" t="n">
        <v>0.585</v>
      </c>
      <c r="AB17" s="28" t="n">
        <v>-6.2e-05</v>
      </c>
      <c r="AC17" s="30" t="n">
        <v>-1</v>
      </c>
      <c r="AD17" s="24" t="inlineStr">
        <is>
          <t>2026-08-03T02:34:00.199267Z</t>
        </is>
      </c>
      <c r="AE17" s="31" t="inlineStr">
        <is>
          <t>Measured Edge Margin: Trend Engine projected 5.88-4.54; raw selected-side p=0.5344, calibrated p=0.5227.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mlb-det</t>
        </is>
      </c>
      <c r="AQ17" s="24" t="inlineStr">
        <is>
          <t>Detroit Tigers</t>
        </is>
      </c>
      <c r="AR17" s="24" t="inlineStr">
        <is>
          <t>Detroit Tigers</t>
        </is>
      </c>
      <c r="AS17" s="24" t="inlineStr">
        <is>
          <t>mlb-ath</t>
        </is>
      </c>
      <c r="AT17" s="24" t="inlineStr">
        <is>
          <t>Athletics</t>
        </is>
      </c>
      <c r="AU17" s="24" t="inlineStr">
        <is>
          <t>Athletics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8360b122264b796b0fb193095cfe4506c7e064e5f3f8c0a659aec41efd08dd25</t>
        </is>
      </c>
      <c r="BB17" s="24" t="inlineStr">
        <is>
          <t>flat_probability_shrinkage_toward_half</t>
        </is>
      </c>
      <c r="BC17" s="24" t="inlineStr">
        <is>
          <t>measured-edge-margin-v2</t>
        </is>
      </c>
      <c r="BD17" s="24" t="inlineStr">
        <is>
          <t>8360b122264b796b0fb193095cfe4506c7e064e5f3f8c0a659aec41efd08dd25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2026-08-02T19:28:59.526399Z</t>
        </is>
      </c>
      <c r="BI17" s="24" t="inlineStr">
        <is>
          <t>["same_event","same_team_same_day","same_league_same_day"]</t>
        </is>
      </c>
      <c r="BJ17" s="25" t="n">
        <v>1.5</v>
      </c>
      <c r="BK17" s="26" t="n">
        <v>-141</v>
      </c>
      <c r="BL17" s="27" t="n">
        <v>1.70922</v>
      </c>
      <c r="BM17" s="28" t="n">
        <v>0.585062</v>
      </c>
      <c r="BN17" s="28" t="n">
        <v>0.58209</v>
      </c>
      <c r="BO17" s="28" t="n"/>
      <c r="BP17" s="25" t="n"/>
      <c r="BQ17" s="27" t="n">
        <v>1.70922</v>
      </c>
      <c r="BR17" s="28" t="n">
        <v>0.585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inlineStr">
        <is>
          <t>False</t>
        </is>
      </c>
    </row>
    <row r="18" ht="36" customHeight="1">
      <c r="A18" s="24" t="inlineStr">
        <is>
          <t>fba8185bd04d4604</t>
        </is>
      </c>
      <c r="B18" s="24" t="inlineStr">
        <is>
          <t>2026-08-02T19:28:59.526399Z</t>
        </is>
      </c>
      <c r="C18" s="24" t="inlineStr">
        <is>
          <t>2026-08-02T20:05Z</t>
        </is>
      </c>
      <c r="D18" s="24" t="inlineStr">
        <is>
          <t>401816373</t>
        </is>
      </c>
      <c r="E18" s="24" t="inlineStr">
        <is>
          <t>MLB</t>
        </is>
      </c>
      <c r="F18" s="24" t="inlineStr">
        <is>
          <t>Detroit Tigers</t>
        </is>
      </c>
      <c r="G18" s="24" t="inlineStr">
        <is>
          <t>Athletics</t>
        </is>
      </c>
      <c r="H18" s="24" t="inlineStr">
        <is>
          <t>total</t>
        </is>
      </c>
      <c r="I18" s="24" t="inlineStr">
        <is>
          <t>under</t>
        </is>
      </c>
      <c r="J18" s="25" t="n">
        <v>10.5</v>
      </c>
      <c r="K18" s="24" t="inlineStr">
        <is>
          <t>polymarket_us</t>
        </is>
      </c>
      <c r="L18" s="26" t="n">
        <v>-117</v>
      </c>
      <c r="M18" s="27" t="n">
        <v>1.854701</v>
      </c>
      <c r="N18" s="28" t="n">
        <v>0.539171</v>
      </c>
      <c r="O18" s="28" t="n">
        <v>0.522079</v>
      </c>
      <c r="P18" s="28" t="n">
        <v>0.042131</v>
      </c>
      <c r="Q18" s="28" t="n">
        <v>-0.017092</v>
      </c>
      <c r="R18" s="26" t="n">
        <v>17</v>
      </c>
      <c r="S18" s="29" t="n">
        <v>1</v>
      </c>
      <c r="T18" s="24" t="inlineStr">
        <is>
          <t>measured-edge-totals-v2</t>
        </is>
      </c>
      <c r="U18" s="24" t="inlineStr">
        <is>
          <t>settled</t>
        </is>
      </c>
      <c r="V18" s="24" t="inlineStr">
        <is>
          <t>loss</t>
        </is>
      </c>
      <c r="W18" s="26" t="n">
        <v>11</v>
      </c>
      <c r="X18" s="26" t="n">
        <v>0</v>
      </c>
      <c r="Y18" s="25" t="n">
        <v>10.5</v>
      </c>
      <c r="Z18" s="26" t="n">
        <v>-117</v>
      </c>
      <c r="AA18" s="28" t="n">
        <v>0.54</v>
      </c>
      <c r="AB18" s="28" t="n">
        <v>0.000829</v>
      </c>
      <c r="AC18" s="30" t="n">
        <v>-1</v>
      </c>
      <c r="AD18" s="24" t="inlineStr">
        <is>
          <t>2026-08-03T02:34:00.657240Z</t>
        </is>
      </c>
      <c r="AE18" s="31" t="inlineStr">
        <is>
          <t>Measured Edge Totals: Trend Engine projected 5.88-4.54; raw selected-side p=0.5413, calibrated p=0.5221.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mlb-det</t>
        </is>
      </c>
      <c r="AQ18" s="24" t="inlineStr">
        <is>
          <t>Detroit Tigers</t>
        </is>
      </c>
      <c r="AR18" s="24" t="inlineStr">
        <is>
          <t>Detroit Tigers</t>
        </is>
      </c>
      <c r="AS18" s="24" t="inlineStr">
        <is>
          <t>mlb-ath</t>
        </is>
      </c>
      <c r="AT18" s="24" t="inlineStr">
        <is>
          <t>Athletics</t>
        </is>
      </c>
      <c r="AU18" s="24" t="inlineStr">
        <is>
          <t>Athletics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433578016242b27f9c1c7132cc6b5a2bcc7dd1b0234590c12a944455a88e71bd</t>
        </is>
      </c>
      <c r="BB18" s="24" t="inlineStr">
        <is>
          <t>flat_probability_shrinkage_toward_half</t>
        </is>
      </c>
      <c r="BC18" s="24" t="inlineStr">
        <is>
          <t>measured-edge-totals-v2</t>
        </is>
      </c>
      <c r="BD18" s="24" t="inlineStr">
        <is>
          <t>433578016242b27f9c1c7132cc6b5a2bcc7dd1b0234590c12a944455a88e71bd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2026-08-02T19:28:59.526399Z</t>
        </is>
      </c>
      <c r="BI18" s="24" t="inlineStr">
        <is>
          <t>["same_event","same_team_same_day","same_league_same_day"]</t>
        </is>
      </c>
      <c r="BJ18" s="25" t="n">
        <v>10.5</v>
      </c>
      <c r="BK18" s="26" t="n">
        <v>-117</v>
      </c>
      <c r="BL18" s="27" t="n">
        <v>1.854701</v>
      </c>
      <c r="BM18" s="28" t="n">
        <v>0.539171</v>
      </c>
      <c r="BN18" s="28" t="n">
        <v>0.537313</v>
      </c>
      <c r="BO18" s="28" t="n"/>
      <c r="BP18" s="25" t="n"/>
      <c r="BQ18" s="27" t="n">
        <v>1.854701</v>
      </c>
      <c r="BR18" s="28" t="n">
        <v>0.54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inlineStr">
        <is>
          <t>False</t>
        </is>
      </c>
    </row>
    <row r="19" ht="36" customHeight="1">
      <c r="A19" s="24" t="inlineStr">
        <is>
          <t>551ac37b9cdd47a6</t>
        </is>
      </c>
      <c r="B19" s="24" t="inlineStr">
        <is>
          <t>2026-08-02T19:28:59.526399Z</t>
        </is>
      </c>
      <c r="C19" s="24" t="inlineStr">
        <is>
          <t>2026-08-02T20:10Z</t>
        </is>
      </c>
      <c r="D19" s="24" t="inlineStr">
        <is>
          <t>401816375</t>
        </is>
      </c>
      <c r="E19" s="24" t="inlineStr">
        <is>
          <t>MLB</t>
        </is>
      </c>
      <c r="F19" s="24" t="inlineStr">
        <is>
          <t>Minnesota Twins</t>
        </is>
      </c>
      <c r="G19" s="24" t="inlineStr">
        <is>
          <t>Seattle Mariners</t>
        </is>
      </c>
      <c r="H19" s="24" t="inlineStr">
        <is>
          <t>spread</t>
        </is>
      </c>
      <c r="I19" s="24" t="inlineStr">
        <is>
          <t>away</t>
        </is>
      </c>
      <c r="J19" s="25" t="n">
        <v>1.5</v>
      </c>
      <c r="K19" s="24" t="inlineStr">
        <is>
          <t>polymarket_us</t>
        </is>
      </c>
      <c r="L19" s="26" t="n">
        <v>-174</v>
      </c>
      <c r="M19" s="27" t="n">
        <v>1.574713</v>
      </c>
      <c r="N19" s="28" t="n">
        <v>0.635036</v>
      </c>
      <c r="O19" s="28" t="n">
        <v>0.628678</v>
      </c>
      <c r="P19" s="28" t="n">
        <v>0.042131</v>
      </c>
      <c r="Q19" s="28" t="n">
        <v>-0.006358</v>
      </c>
      <c r="R19" s="26" t="n">
        <v>23</v>
      </c>
      <c r="S19" s="29" t="n">
        <v>1.5</v>
      </c>
      <c r="T19" s="24" t="inlineStr">
        <is>
          <t>measured-edge-margin-v2</t>
        </is>
      </c>
      <c r="U19" s="24" t="inlineStr">
        <is>
          <t>settled</t>
        </is>
      </c>
      <c r="V19" s="24" t="inlineStr">
        <is>
          <t>win</t>
        </is>
      </c>
      <c r="W19" s="26" t="n">
        <v>6</v>
      </c>
      <c r="X19" s="26" t="n">
        <v>7</v>
      </c>
      <c r="Y19" s="25" t="n">
        <v>1.5</v>
      </c>
      <c r="Z19" s="26" t="n">
        <v>-174</v>
      </c>
      <c r="AA19" s="28" t="n">
        <v>0.635</v>
      </c>
      <c r="AB19" s="28" t="n">
        <v>-3.6e-05</v>
      </c>
      <c r="AC19" s="30" t="n">
        <v>0.8621</v>
      </c>
      <c r="AD19" s="24" t="inlineStr">
        <is>
          <t>2026-08-02T23:11:54.514093Z</t>
        </is>
      </c>
      <c r="AE19" s="31" t="inlineStr">
        <is>
          <t>Measured Edge Margin: Trend Engine projected 4.08-3.93; raw selected-side p=0.6960, calibrated p=0.6287.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mlb-min</t>
        </is>
      </c>
      <c r="AQ19" s="24" t="inlineStr">
        <is>
          <t>Minnesota Twins</t>
        </is>
      </c>
      <c r="AR19" s="24" t="inlineStr">
        <is>
          <t>Minnesota Twins</t>
        </is>
      </c>
      <c r="AS19" s="24" t="inlineStr">
        <is>
          <t>mlb-sea</t>
        </is>
      </c>
      <c r="AT19" s="24" t="inlineStr">
        <is>
          <t>Seattle Mariners</t>
        </is>
      </c>
      <c r="AU19" s="24" t="inlineStr">
        <is>
          <t>Seattle Mariners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8360b122264b796b0fb193095cfe4506c7e064e5f3f8c0a659aec41efd08dd25</t>
        </is>
      </c>
      <c r="BB19" s="24" t="inlineStr">
        <is>
          <t>flat_probability_shrinkage_toward_half</t>
        </is>
      </c>
      <c r="BC19" s="24" t="inlineStr">
        <is>
          <t>measured-edge-margin-v2</t>
        </is>
      </c>
      <c r="BD19" s="24" t="inlineStr">
        <is>
          <t>8360b122264b796b0fb193095cfe4506c7e064e5f3f8c0a659aec41efd08dd25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2026-08-02T19:28:59.526399Z</t>
        </is>
      </c>
      <c r="BI19" s="24" t="inlineStr">
        <is>
          <t>["same_event","same_team_same_day","same_league_same_day"]</t>
        </is>
      </c>
      <c r="BJ19" s="25" t="n">
        <v>1.5</v>
      </c>
      <c r="BK19" s="26" t="n">
        <v>-174</v>
      </c>
      <c r="BL19" s="27" t="n">
        <v>1.574713</v>
      </c>
      <c r="BM19" s="28" t="n">
        <v>0.635036</v>
      </c>
      <c r="BN19" s="28" t="n">
        <v>0.631841</v>
      </c>
      <c r="BO19" s="28" t="n"/>
      <c r="BP19" s="25" t="n"/>
      <c r="BQ19" s="27" t="n">
        <v>1.574713</v>
      </c>
      <c r="BR19" s="28" t="n">
        <v>0.635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inlineStr">
        <is>
          <t>False</t>
        </is>
      </c>
    </row>
    <row r="20" ht="36" customHeight="1">
      <c r="A20" s="24" t="inlineStr">
        <is>
          <t>90a935f06dfc4876</t>
        </is>
      </c>
      <c r="B20" s="24" t="inlineStr">
        <is>
          <t>2026-08-02T19:28:59.526399Z</t>
        </is>
      </c>
      <c r="C20" s="24" t="inlineStr">
        <is>
          <t>2026-08-02T20:10Z</t>
        </is>
      </c>
      <c r="D20" s="24" t="inlineStr">
        <is>
          <t>401816375</t>
        </is>
      </c>
      <c r="E20" s="24" t="inlineStr">
        <is>
          <t>MLB</t>
        </is>
      </c>
      <c r="F20" s="24" t="inlineStr">
        <is>
          <t>Minnesota Twins</t>
        </is>
      </c>
      <c r="G20" s="24" t="inlineStr">
        <is>
          <t>Seattle Mariners</t>
        </is>
      </c>
      <c r="H20" s="24" t="inlineStr">
        <is>
          <t>total</t>
        </is>
      </c>
      <c r="I20" s="24" t="inlineStr">
        <is>
          <t>over</t>
        </is>
      </c>
      <c r="J20" s="25" t="n">
        <v>6.5</v>
      </c>
      <c r="K20" s="24" t="inlineStr">
        <is>
          <t>polymarket_us</t>
        </is>
      </c>
      <c r="L20" s="26" t="n">
        <v>-127</v>
      </c>
      <c r="M20" s="27" t="n">
        <v>1.787402</v>
      </c>
      <c r="N20" s="28" t="n">
        <v>0.5594710000000001</v>
      </c>
      <c r="O20" s="28" t="n">
        <v>0.554985</v>
      </c>
      <c r="P20" s="28" t="n">
        <v>0.042131</v>
      </c>
      <c r="Q20" s="28" t="n">
        <v>-0.004486</v>
      </c>
      <c r="R20" s="26" t="n">
        <v>24</v>
      </c>
      <c r="S20" s="29" t="n">
        <v>1</v>
      </c>
      <c r="T20" s="24" t="inlineStr">
        <is>
          <t>measured-edge-totals-v2</t>
        </is>
      </c>
      <c r="U20" s="24" t="inlineStr">
        <is>
          <t>settled</t>
        </is>
      </c>
      <c r="V20" s="24" t="inlineStr">
        <is>
          <t>win</t>
        </is>
      </c>
      <c r="W20" s="26" t="n">
        <v>6</v>
      </c>
      <c r="X20" s="26" t="n">
        <v>7</v>
      </c>
      <c r="Y20" s="25" t="n">
        <v>6.5</v>
      </c>
      <c r="Z20" s="26" t="n">
        <v>-127</v>
      </c>
      <c r="AA20" s="28" t="n">
        <v>0.5600000000000001</v>
      </c>
      <c r="AB20" s="28" t="n">
        <v>0.000529</v>
      </c>
      <c r="AC20" s="30" t="n">
        <v>0.7874</v>
      </c>
      <c r="AD20" s="24" t="inlineStr">
        <is>
          <t>2026-08-02T23:11:54.944996Z</t>
        </is>
      </c>
      <c r="AE20" s="31" t="inlineStr">
        <is>
          <t>Measured Edge Totals: Trend Engine projected 4.08-3.93; raw selected-side p=0.6377, calibrated p=0.5550.</t>
        </is>
      </c>
      <c r="AF20" s="31" t="inlineStr">
        <is>
          <t>Research-only; lineup, bullpen, park, weather, xFIP, and wRC+ may be neutral fallbacks; market availability and BBO depth may change before first pitch.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mlb-min</t>
        </is>
      </c>
      <c r="AQ20" s="24" t="inlineStr">
        <is>
          <t>Minnesota Twins</t>
        </is>
      </c>
      <c r="AR20" s="24" t="inlineStr">
        <is>
          <t>Minnesota Twins</t>
        </is>
      </c>
      <c r="AS20" s="24" t="inlineStr">
        <is>
          <t>mlb-sea</t>
        </is>
      </c>
      <c r="AT20" s="24" t="inlineStr">
        <is>
          <t>Seattle Mariners</t>
        </is>
      </c>
      <c r="AU20" s="24" t="inlineStr">
        <is>
          <t>Seattle Mariners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433578016242b27f9c1c7132cc6b5a2bcc7dd1b0234590c12a944455a88e71bd</t>
        </is>
      </c>
      <c r="BB20" s="24" t="inlineStr">
        <is>
          <t>flat_probability_shrinkage_toward_half</t>
        </is>
      </c>
      <c r="BC20" s="24" t="inlineStr">
        <is>
          <t>measured-edge-totals-v2</t>
        </is>
      </c>
      <c r="BD20" s="24" t="inlineStr">
        <is>
          <t>433578016242b27f9c1c7132cc6b5a2bcc7dd1b0234590c12a944455a88e71bd</t>
        </is>
      </c>
      <c r="BE20" s="24" t="inlineStr">
        <is>
          <t>v3</t>
        </is>
      </c>
      <c r="BF20" s="24" t="inlineStr">
        <is>
          <t>1</t>
        </is>
      </c>
      <c r="BG20" s="24" t="inlineStr">
        <is>
          <t>measured-edge-paired-v1</t>
        </is>
      </c>
      <c r="BH20" s="24" t="inlineStr">
        <is>
          <t>2026-08-02T19:28:59.526399Z</t>
        </is>
      </c>
      <c r="BI20" s="24" t="inlineStr">
        <is>
          <t>["same_event","same_team_same_day","same_league_same_day"]</t>
        </is>
      </c>
      <c r="BJ20" s="25" t="n">
        <v>6.5</v>
      </c>
      <c r="BK20" s="26" t="n">
        <v>-127</v>
      </c>
      <c r="BL20" s="27" t="n">
        <v>1.787402</v>
      </c>
      <c r="BM20" s="28" t="n">
        <v>0.5594710000000001</v>
      </c>
      <c r="BN20" s="28" t="n">
        <v>0.557214</v>
      </c>
      <c r="BO20" s="28" t="n"/>
      <c r="BP20" s="25" t="n"/>
      <c r="BQ20" s="27" t="n">
        <v>1.787402</v>
      </c>
      <c r="BR20" s="28" t="n">
        <v>0.5600000000000001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inlineStr">
        <is>
          <t>False</t>
        </is>
      </c>
    </row>
    <row r="21" ht="36" customHeight="1">
      <c r="A21" s="24" t="inlineStr">
        <is>
          <t>5cc261330a804a9f</t>
        </is>
      </c>
      <c r="B21" s="24" t="inlineStr">
        <is>
          <t>2026-08-02T19:28:59.526399Z</t>
        </is>
      </c>
      <c r="C21" s="24" t="inlineStr">
        <is>
          <t>2026-08-02T20:10Z</t>
        </is>
      </c>
      <c r="D21" s="24" t="inlineStr">
        <is>
          <t>401816376</t>
        </is>
      </c>
      <c r="E21" s="24" t="inlineStr">
        <is>
          <t>MLB</t>
        </is>
      </c>
      <c r="F21" s="24" t="inlineStr">
        <is>
          <t>San Francisco Giants</t>
        </is>
      </c>
      <c r="G21" s="24" t="inlineStr">
        <is>
          <t>San Diego Padres</t>
        </is>
      </c>
      <c r="H21" s="24" t="inlineStr">
        <is>
          <t>spread</t>
        </is>
      </c>
      <c r="I21" s="24" t="inlineStr">
        <is>
          <t>away</t>
        </is>
      </c>
      <c r="J21" s="25" t="n">
        <v>1.5</v>
      </c>
      <c r="K21" s="24" t="inlineStr">
        <is>
          <t>polymarket_us</t>
        </is>
      </c>
      <c r="L21" s="26" t="n">
        <v>-182</v>
      </c>
      <c r="M21" s="27" t="n">
        <v>1.549451</v>
      </c>
      <c r="N21" s="28" t="n">
        <v>0.64539</v>
      </c>
      <c r="O21" s="28" t="n">
        <v>0.60355</v>
      </c>
      <c r="P21" s="28" t="n">
        <v>0.042131</v>
      </c>
      <c r="Q21" s="28" t="n">
        <v>-0.04184</v>
      </c>
      <c r="R21" s="26" t="n">
        <v>6</v>
      </c>
      <c r="S21" s="29" t="n">
        <v>1.5</v>
      </c>
      <c r="T21" s="24" t="inlineStr">
        <is>
          <t>measured-edge-margin-v2</t>
        </is>
      </c>
      <c r="U21" s="24" t="inlineStr">
        <is>
          <t>settled</t>
        </is>
      </c>
      <c r="V21" s="24" t="inlineStr">
        <is>
          <t>win</t>
        </is>
      </c>
      <c r="W21" s="26" t="n">
        <v>4</v>
      </c>
      <c r="X21" s="26" t="n">
        <v>5</v>
      </c>
      <c r="Y21" s="25" t="n">
        <v>1.5</v>
      </c>
      <c r="Z21" s="26" t="n">
        <v>-182</v>
      </c>
      <c r="AA21" s="28" t="n">
        <v>0.645</v>
      </c>
      <c r="AB21" s="28" t="n">
        <v>-0.00039</v>
      </c>
      <c r="AC21" s="30" t="n">
        <v>0.8242</v>
      </c>
      <c r="AD21" s="24" t="inlineStr">
        <is>
          <t>2026-08-03T02:34:01.066417Z</t>
        </is>
      </c>
      <c r="AE21" s="31" t="inlineStr">
        <is>
          <t>Measured Edge Margin: Trend Engine projected 4.68-4.77; raw selected-side p=0.6577, calibrated p=0.6035.</t>
        </is>
      </c>
      <c r="AF21" s="31" t="inlineStr">
        <is>
          <t>Research-only; lineup, bullpen, park, weather, xFIP, and wRC+ may be neutral fallbacks; market availability and BBO depth may change before first pitch.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mlb-sf</t>
        </is>
      </c>
      <c r="AQ21" s="24" t="inlineStr">
        <is>
          <t>San Francisco Giants</t>
        </is>
      </c>
      <c r="AR21" s="24" t="inlineStr">
        <is>
          <t>San Francisco Giants</t>
        </is>
      </c>
      <c r="AS21" s="24" t="inlineStr">
        <is>
          <t>mlb-sd</t>
        </is>
      </c>
      <c r="AT21" s="24" t="inlineStr">
        <is>
          <t>San Diego Padres</t>
        </is>
      </c>
      <c r="AU21" s="24" t="inlineStr">
        <is>
          <t>San Diego Padres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8360b122264b796b0fb193095cfe4506c7e064e5f3f8c0a659aec41efd08dd25</t>
        </is>
      </c>
      <c r="BB21" s="24" t="inlineStr">
        <is>
          <t>flat_probability_shrinkage_toward_half</t>
        </is>
      </c>
      <c r="BC21" s="24" t="inlineStr">
        <is>
          <t>measured-edge-margin-v2</t>
        </is>
      </c>
      <c r="BD21" s="24" t="inlineStr">
        <is>
          <t>8360b122264b796b0fb193095cfe4506c7e064e5f3f8c0a659aec41efd08dd25</t>
        </is>
      </c>
      <c r="BE21" s="24" t="inlineStr">
        <is>
          <t>v3</t>
        </is>
      </c>
      <c r="BF21" s="24" t="inlineStr">
        <is>
          <t>1</t>
        </is>
      </c>
      <c r="BG21" s="24" t="inlineStr">
        <is>
          <t>measured-edge-paired-v1</t>
        </is>
      </c>
      <c r="BH21" s="24" t="inlineStr">
        <is>
          <t>2026-08-02T19:28:59.526399Z</t>
        </is>
      </c>
      <c r="BI21" s="24" t="inlineStr">
        <is>
          <t>["same_event","same_team_same_day","same_league_same_day"]</t>
        </is>
      </c>
      <c r="BJ21" s="25" t="n">
        <v>1.5</v>
      </c>
      <c r="BK21" s="26" t="n">
        <v>-182</v>
      </c>
      <c r="BL21" s="27" t="n">
        <v>1.549451</v>
      </c>
      <c r="BM21" s="28" t="n">
        <v>0.64539</v>
      </c>
      <c r="BN21" s="28" t="n">
        <v>0.641791</v>
      </c>
      <c r="BO21" s="28" t="n"/>
      <c r="BP21" s="25" t="n"/>
      <c r="BQ21" s="27" t="n">
        <v>1.549451</v>
      </c>
      <c r="BR21" s="28" t="n">
        <v>0.645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inlineStr">
        <is>
          <t>False</t>
        </is>
      </c>
    </row>
    <row r="22" ht="36" customHeight="1">
      <c r="A22" s="24" t="inlineStr">
        <is>
          <t>892fbebb535e481f</t>
        </is>
      </c>
      <c r="B22" s="24" t="inlineStr">
        <is>
          <t>2026-08-02T19:28:59.526399Z</t>
        </is>
      </c>
      <c r="C22" s="24" t="inlineStr">
        <is>
          <t>2026-08-02T20:10Z</t>
        </is>
      </c>
      <c r="D22" s="24" t="inlineStr">
        <is>
          <t>401816376</t>
        </is>
      </c>
      <c r="E22" s="24" t="inlineStr">
        <is>
          <t>MLB</t>
        </is>
      </c>
      <c r="F22" s="24" t="inlineStr">
        <is>
          <t>San Francisco Giants</t>
        </is>
      </c>
      <c r="G22" s="24" t="inlineStr">
        <is>
          <t>San Diego Padres</t>
        </is>
      </c>
      <c r="H22" s="24" t="inlineStr">
        <is>
          <t>total</t>
        </is>
      </c>
      <c r="I22" s="24" t="inlineStr">
        <is>
          <t>over</t>
        </is>
      </c>
      <c r="J22" s="25" t="n">
        <v>7.5</v>
      </c>
      <c r="K22" s="24" t="inlineStr">
        <is>
          <t>polymarket_us</t>
        </is>
      </c>
      <c r="L22" s="26" t="n">
        <v>-120</v>
      </c>
      <c r="M22" s="27" t="n">
        <v>1.833333</v>
      </c>
      <c r="N22" s="28" t="n">
        <v>0.545455</v>
      </c>
      <c r="O22" s="28" t="n">
        <v>0.553687</v>
      </c>
      <c r="P22" s="28" t="n">
        <v>0.042131</v>
      </c>
      <c r="Q22" s="28" t="n">
        <v>0.008232</v>
      </c>
      <c r="R22" s="26" t="n">
        <v>30</v>
      </c>
      <c r="S22" s="29" t="n">
        <v>1</v>
      </c>
      <c r="T22" s="24" t="inlineStr">
        <is>
          <t>measured-edge-totals-v2</t>
        </is>
      </c>
      <c r="U22" s="24" t="inlineStr">
        <is>
          <t>settled</t>
        </is>
      </c>
      <c r="V22" s="24" t="inlineStr">
        <is>
          <t>win</t>
        </is>
      </c>
      <c r="W22" s="26" t="n">
        <v>4</v>
      </c>
      <c r="X22" s="26" t="n">
        <v>5</v>
      </c>
      <c r="Y22" s="25" t="n">
        <v>7.5</v>
      </c>
      <c r="Z22" s="26" t="n">
        <v>-120</v>
      </c>
      <c r="AA22" s="28" t="n">
        <v>0.545</v>
      </c>
      <c r="AB22" s="28" t="n">
        <v>-0.000455</v>
      </c>
      <c r="AC22" s="30" t="n">
        <v>0.8333</v>
      </c>
      <c r="AD22" s="24" t="inlineStr">
        <is>
          <t>2026-08-03T02:34:01.483858Z</t>
        </is>
      </c>
      <c r="AE22" s="31" t="inlineStr">
        <is>
          <t>Measured Edge Totals: Trend Engine projected 4.68-4.77; raw selected-side p=0.6339, calibrated p=0.5537.</t>
        </is>
      </c>
      <c r="AF22" s="31" t="inlineStr">
        <is>
          <t>Research-only; lineup, bullpen, park, weather, xFIP, and wRC+ may be neutral fallbacks; market availability and BBO depth may change before first pitch.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mlb-sf</t>
        </is>
      </c>
      <c r="AQ22" s="24" t="inlineStr">
        <is>
          <t>San Francisco Giants</t>
        </is>
      </c>
      <c r="AR22" s="24" t="inlineStr">
        <is>
          <t>San Francisco Giants</t>
        </is>
      </c>
      <c r="AS22" s="24" t="inlineStr">
        <is>
          <t>mlb-sd</t>
        </is>
      </c>
      <c r="AT22" s="24" t="inlineStr">
        <is>
          <t>San Diego Padres</t>
        </is>
      </c>
      <c r="AU22" s="24" t="inlineStr">
        <is>
          <t>San Diego Padres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433578016242b27f9c1c7132cc6b5a2bcc7dd1b0234590c12a944455a88e71bd</t>
        </is>
      </c>
      <c r="BB22" s="24" t="inlineStr">
        <is>
          <t>flat_probability_shrinkage_toward_half</t>
        </is>
      </c>
      <c r="BC22" s="24" t="inlineStr">
        <is>
          <t>measured-edge-totals-v2</t>
        </is>
      </c>
      <c r="BD22" s="24" t="inlineStr">
        <is>
          <t>433578016242b27f9c1c7132cc6b5a2bcc7dd1b0234590c12a944455a88e71bd</t>
        </is>
      </c>
      <c r="BE22" s="24" t="inlineStr">
        <is>
          <t>v3</t>
        </is>
      </c>
      <c r="BF22" s="24" t="inlineStr">
        <is>
          <t>1</t>
        </is>
      </c>
      <c r="BG22" s="24" t="inlineStr">
        <is>
          <t>measured-edge-paired-v1</t>
        </is>
      </c>
      <c r="BH22" s="24" t="inlineStr">
        <is>
          <t>2026-08-02T19:28:59.526399Z</t>
        </is>
      </c>
      <c r="BI22" s="24" t="inlineStr">
        <is>
          <t>["same_event","same_team_same_day","same_league_same_day"]</t>
        </is>
      </c>
      <c r="BJ22" s="25" t="n">
        <v>7.5</v>
      </c>
      <c r="BK22" s="26" t="n">
        <v>-120</v>
      </c>
      <c r="BL22" s="27" t="n">
        <v>1.833333</v>
      </c>
      <c r="BM22" s="28" t="n">
        <v>0.545455</v>
      </c>
      <c r="BN22" s="28" t="n">
        <v>0.542289</v>
      </c>
      <c r="BO22" s="28" t="n"/>
      <c r="BP22" s="25" t="n"/>
      <c r="BQ22" s="27" t="n">
        <v>1.833333</v>
      </c>
      <c r="BR22" s="28" t="n">
        <v>0.545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inlineStr">
        <is>
          <t>True</t>
        </is>
      </c>
    </row>
    <row r="23" ht="36" customHeight="1">
      <c r="A23" s="24" t="inlineStr">
        <is>
          <t>5664b4ba17534427</t>
        </is>
      </c>
      <c r="B23" s="24" t="inlineStr">
        <is>
          <t>2026-08-02T23:14:42.456082Z</t>
        </is>
      </c>
      <c r="C23" s="24" t="inlineStr">
        <is>
          <t>2026-08-02T23:20Z</t>
        </is>
      </c>
      <c r="D23" s="24" t="inlineStr">
        <is>
          <t>401816372</t>
        </is>
      </c>
      <c r="E23" s="24" t="inlineStr">
        <is>
          <t>MLB</t>
        </is>
      </c>
      <c r="F23" s="24" t="inlineStr">
        <is>
          <t>Boston Red Sox</t>
        </is>
      </c>
      <c r="G23" s="24" t="inlineStr">
        <is>
          <t>Los Angeles Dodgers</t>
        </is>
      </c>
      <c r="H23" s="24" t="inlineStr">
        <is>
          <t>spread</t>
        </is>
      </c>
      <c r="I23" s="24" t="inlineStr">
        <is>
          <t>away</t>
        </is>
      </c>
      <c r="J23" s="25" t="n">
        <v>1.5</v>
      </c>
      <c r="K23" s="24" t="inlineStr">
        <is>
          <t>polymarket_us</t>
        </is>
      </c>
      <c r="L23" s="26" t="n">
        <v>-130</v>
      </c>
      <c r="M23" s="27" t="n">
        <v>1.769231</v>
      </c>
      <c r="N23" s="28" t="n">
        <v>0.565217</v>
      </c>
      <c r="O23" s="28" t="n">
        <v>0.660959</v>
      </c>
      <c r="P23" s="28" t="n">
        <v>0.042131</v>
      </c>
      <c r="Q23" s="28" t="n">
        <v>0.09574199999999999</v>
      </c>
      <c r="R23" s="26" t="n">
        <v>74</v>
      </c>
      <c r="S23" s="29" t="n">
        <v>1.75</v>
      </c>
      <c r="T23" s="24" t="inlineStr">
        <is>
          <t>measured-edge-margin-v2</t>
        </is>
      </c>
      <c r="U23" s="24" t="inlineStr">
        <is>
          <t>settled</t>
        </is>
      </c>
      <c r="V23" s="24" t="inlineStr">
        <is>
          <t>win</t>
        </is>
      </c>
      <c r="W23" s="26" t="n">
        <v>8</v>
      </c>
      <c r="X23" s="26" t="n">
        <v>4</v>
      </c>
      <c r="Y23" s="25" t="n">
        <v>1.5</v>
      </c>
      <c r="Z23" s="26" t="n">
        <v>-130</v>
      </c>
      <c r="AA23" s="28" t="n">
        <v>0.5649999999999999</v>
      </c>
      <c r="AB23" s="28" t="n">
        <v>-0.000217</v>
      </c>
      <c r="AC23" s="30" t="n">
        <v>1.3462</v>
      </c>
      <c r="AD23" s="24" t="inlineStr">
        <is>
          <t>2026-08-03T02:34:07.329140Z</t>
        </is>
      </c>
      <c r="AE23" s="31" t="inlineStr">
        <is>
          <t>Measured Edge Margin: Trend Engine projected 4.69-3.91; raw selected-side p=0.7452, calibrated p=0.6610.</t>
        </is>
      </c>
      <c r="AF23" s="31" t="inlineStr">
        <is>
          <t>Research-only; lineup, bullpen, park, weather, xFIP, and wRC+ may be neutral fallbacks; market availability and BBO depth may change before first pitch.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mlb-bos</t>
        </is>
      </c>
      <c r="AQ23" s="24" t="inlineStr">
        <is>
          <t>Boston Red Sox</t>
        </is>
      </c>
      <c r="AR23" s="24" t="inlineStr">
        <is>
          <t>Boston Red Sox</t>
        </is>
      </c>
      <c r="AS23" s="24" t="inlineStr">
        <is>
          <t>mlb-lad</t>
        </is>
      </c>
      <c r="AT23" s="24" t="inlineStr">
        <is>
          <t>Los Angeles Dodgers</t>
        </is>
      </c>
      <c r="AU23" s="24" t="inlineStr">
        <is>
          <t>Los Angeles Dodgers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8360b122264b796b0fb193095cfe4506c7e064e5f3f8c0a659aec41efd08dd25</t>
        </is>
      </c>
      <c r="BB23" s="24" t="inlineStr">
        <is>
          <t>flat_probability_shrinkage_toward_half</t>
        </is>
      </c>
      <c r="BC23" s="24" t="inlineStr">
        <is>
          <t>measured-edge-margin-v2</t>
        </is>
      </c>
      <c r="BD23" s="24" t="inlineStr">
        <is>
          <t>8360b122264b796b0fb193095cfe4506c7e064e5f3f8c0a659aec41efd08dd25</t>
        </is>
      </c>
      <c r="BE23" s="24" t="inlineStr">
        <is>
          <t>v3</t>
        </is>
      </c>
      <c r="BF23" s="24" t="inlineStr">
        <is>
          <t>1</t>
        </is>
      </c>
      <c r="BG23" s="24" t="inlineStr">
        <is>
          <t>measured-edge-paired-v1</t>
        </is>
      </c>
      <c r="BH23" s="24" t="inlineStr">
        <is>
          <t>2026-08-02T23:14:42.456082Z</t>
        </is>
      </c>
      <c r="BI23" s="24" t="inlineStr">
        <is>
          <t>["same_event","same_team_same_day","same_league_same_day"]</t>
        </is>
      </c>
      <c r="BJ23" s="25" t="n">
        <v>1.5</v>
      </c>
      <c r="BK23" s="26" t="n">
        <v>-130</v>
      </c>
      <c r="BL23" s="27" t="n">
        <v>1.769231</v>
      </c>
      <c r="BM23" s="28" t="n">
        <v>0.565217</v>
      </c>
      <c r="BN23" s="28" t="n">
        <v>0.562189</v>
      </c>
      <c r="BO23" s="28" t="n"/>
      <c r="BP23" s="25" t="n"/>
      <c r="BQ23" s="27" t="n">
        <v>1.769231</v>
      </c>
      <c r="BR23" s="28" t="n">
        <v>0.5649999999999999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inlineStr">
        <is>
          <t>True</t>
        </is>
      </c>
    </row>
    <row r="24" ht="36" customHeight="1">
      <c r="A24" s="24" t="inlineStr">
        <is>
          <t>1efe503acb9444bb</t>
        </is>
      </c>
      <c r="B24" s="24" t="inlineStr">
        <is>
          <t>2026-08-02T23:14:42.456082Z</t>
        </is>
      </c>
      <c r="C24" s="24" t="inlineStr">
        <is>
          <t>2026-08-02T23:20Z</t>
        </is>
      </c>
      <c r="D24" s="24" t="inlineStr">
        <is>
          <t>401816372</t>
        </is>
      </c>
      <c r="E24" s="24" t="inlineStr">
        <is>
          <t>MLB</t>
        </is>
      </c>
      <c r="F24" s="24" t="inlineStr">
        <is>
          <t>Boston Red Sox</t>
        </is>
      </c>
      <c r="G24" s="24" t="inlineStr">
        <is>
          <t>Los Angeles Dodgers</t>
        </is>
      </c>
      <c r="H24" s="24" t="inlineStr">
        <is>
          <t>total</t>
        </is>
      </c>
      <c r="I24" s="24" t="inlineStr">
        <is>
          <t>under</t>
        </is>
      </c>
      <c r="J24" s="25" t="n">
        <v>8.5</v>
      </c>
      <c r="K24" s="24" t="inlineStr">
        <is>
          <t>polymarket_us</t>
        </is>
      </c>
      <c r="L24" s="26" t="n">
        <v>-102</v>
      </c>
      <c r="M24" s="27" t="n">
        <v>1.980392</v>
      </c>
      <c r="N24" s="28" t="n">
        <v>0.50495</v>
      </c>
      <c r="O24" s="28" t="n">
        <v>0.516783</v>
      </c>
      <c r="P24" s="28" t="n">
        <v>0.042131</v>
      </c>
      <c r="Q24" s="28" t="n">
        <v>0.011833</v>
      </c>
      <c r="R24" s="26" t="n">
        <v>32</v>
      </c>
      <c r="S24" s="29" t="n">
        <v>1</v>
      </c>
      <c r="T24" s="24" t="inlineStr">
        <is>
          <t>measured-edge-totals-v2</t>
        </is>
      </c>
      <c r="U24" s="24" t="inlineStr">
        <is>
          <t>settled</t>
        </is>
      </c>
      <c r="V24" s="24" t="inlineStr">
        <is>
          <t>loss</t>
        </is>
      </c>
      <c r="W24" s="26" t="n">
        <v>8</v>
      </c>
      <c r="X24" s="26" t="n">
        <v>4</v>
      </c>
      <c r="Y24" s="25" t="n">
        <v>8.5</v>
      </c>
      <c r="Z24" s="26" t="n">
        <v>-102</v>
      </c>
      <c r="AA24" s="28" t="n">
        <v>0.505</v>
      </c>
      <c r="AB24" s="28" t="n">
        <v>5e-05</v>
      </c>
      <c r="AC24" s="30" t="n">
        <v>-1</v>
      </c>
      <c r="AD24" s="24" t="inlineStr">
        <is>
          <t>2026-08-03T02:34:07.740891Z</t>
        </is>
      </c>
      <c r="AE24" s="31" t="inlineStr">
        <is>
          <t>Measured Edge Totals: Trend Engine projected 4.69-3.91; raw selected-side p=0.5259, calibrated p=0.5168.</t>
        </is>
      </c>
      <c r="AF24" s="31" t="inlineStr">
        <is>
          <t>Research-only; lineup, bullpen, park, weather, xFIP, and wRC+ may be neutral fallbacks; market availability and BBO depth may change before first pitch.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mlb-bos</t>
        </is>
      </c>
      <c r="AQ24" s="24" t="inlineStr">
        <is>
          <t>Boston Red Sox</t>
        </is>
      </c>
      <c r="AR24" s="24" t="inlineStr">
        <is>
          <t>Boston Red Sox</t>
        </is>
      </c>
      <c r="AS24" s="24" t="inlineStr">
        <is>
          <t>mlb-lad</t>
        </is>
      </c>
      <c r="AT24" s="24" t="inlineStr">
        <is>
          <t>Los Angeles Dodgers</t>
        </is>
      </c>
      <c r="AU24" s="24" t="inlineStr">
        <is>
          <t>Los Angeles Dodgers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433578016242b27f9c1c7132cc6b5a2bcc7dd1b0234590c12a944455a88e71bd</t>
        </is>
      </c>
      <c r="BB24" s="24" t="inlineStr">
        <is>
          <t>flat_probability_shrinkage_toward_half</t>
        </is>
      </c>
      <c r="BC24" s="24" t="inlineStr">
        <is>
          <t>measured-edge-totals-v2</t>
        </is>
      </c>
      <c r="BD24" s="24" t="inlineStr">
        <is>
          <t>433578016242b27f9c1c7132cc6b5a2bcc7dd1b0234590c12a944455a88e71bd</t>
        </is>
      </c>
      <c r="BE24" s="24" t="inlineStr">
        <is>
          <t>v3</t>
        </is>
      </c>
      <c r="BF24" s="24" t="inlineStr">
        <is>
          <t>1</t>
        </is>
      </c>
      <c r="BG24" s="24" t="inlineStr">
        <is>
          <t>measured-edge-paired-v1</t>
        </is>
      </c>
      <c r="BH24" s="24" t="inlineStr">
        <is>
          <t>2026-08-02T23:14:42.456082Z</t>
        </is>
      </c>
      <c r="BI24" s="24" t="inlineStr">
        <is>
          <t>["same_event","same_team_same_day","same_league_same_day"]</t>
        </is>
      </c>
      <c r="BJ24" s="25" t="n">
        <v>8.5</v>
      </c>
      <c r="BK24" s="26" t="n">
        <v>-102</v>
      </c>
      <c r="BL24" s="27" t="n">
        <v>1.980392</v>
      </c>
      <c r="BM24" s="28" t="n">
        <v>0.50495</v>
      </c>
      <c r="BN24" s="28" t="n">
        <v>0.502488</v>
      </c>
      <c r="BO24" s="28" t="n"/>
      <c r="BP24" s="25" t="n"/>
      <c r="BQ24" s="27" t="n">
        <v>1.980392</v>
      </c>
      <c r="BR24" s="28" t="n">
        <v>0.505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inlineStr">
        <is>
          <t>True</t>
        </is>
      </c>
    </row>
    <row r="25" ht="36" customHeight="1">
      <c r="A25" s="24" t="inlineStr">
        <is>
          <t>fa92044f1cb64a9b</t>
        </is>
      </c>
      <c r="B25" s="24" t="inlineStr">
        <is>
          <t>2026-08-03T19:53:28.238725Z</t>
        </is>
      </c>
      <c r="C25" s="24" t="inlineStr">
        <is>
          <t>2026-08-03T22:40Z</t>
        </is>
      </c>
      <c r="D25" s="24" t="inlineStr">
        <is>
          <t>401816378</t>
        </is>
      </c>
      <c r="E25" s="24" t="inlineStr">
        <is>
          <t>MLB</t>
        </is>
      </c>
      <c r="F25" s="24" t="inlineStr">
        <is>
          <t>Washington Nationals</t>
        </is>
      </c>
      <c r="G25" s="24" t="inlineStr">
        <is>
          <t>Philadelphia Phillies</t>
        </is>
      </c>
      <c r="H25" s="24" t="inlineStr">
        <is>
          <t>spread</t>
        </is>
      </c>
      <c r="I25" s="24" t="inlineStr">
        <is>
          <t>away</t>
        </is>
      </c>
      <c r="J25" s="25" t="n">
        <v>1.5</v>
      </c>
      <c r="K25" s="24" t="inlineStr">
        <is>
          <t>polymarket_us</t>
        </is>
      </c>
      <c r="L25" s="26" t="n">
        <v>-147</v>
      </c>
      <c r="M25" s="27" t="n">
        <v>1.680272</v>
      </c>
      <c r="N25" s="28" t="n">
        <v>0.5951419999999999</v>
      </c>
      <c r="O25" s="28" t="n">
        <v>0.590231</v>
      </c>
      <c r="P25" s="28" t="n">
        <v>0.042131</v>
      </c>
      <c r="Q25" s="28" t="n">
        <v>-0.004911</v>
      </c>
      <c r="R25" s="26" t="n">
        <v>24</v>
      </c>
      <c r="S25" s="29" t="n">
        <v>1.25</v>
      </c>
      <c r="T25" s="24" t="inlineStr">
        <is>
          <t>measured-edge-margin-v2</t>
        </is>
      </c>
      <c r="U25" s="24" t="inlineStr">
        <is>
          <t>settled</t>
        </is>
      </c>
      <c r="V25" s="24" t="inlineStr">
        <is>
          <t>loss</t>
        </is>
      </c>
      <c r="W25" s="26" t="n">
        <v>3</v>
      </c>
      <c r="X25" s="26" t="n">
        <v>6</v>
      </c>
      <c r="Y25" s="25" t="n">
        <v>1.5</v>
      </c>
      <c r="Z25" s="26" t="n">
        <v>-147</v>
      </c>
      <c r="AA25" s="28" t="n">
        <v>0.595</v>
      </c>
      <c r="AB25" s="28" t="n">
        <v>-0.000142</v>
      </c>
      <c r="AC25" s="30" t="n">
        <v>-1.25</v>
      </c>
      <c r="AD25" s="24" t="inlineStr">
        <is>
          <t>2026-08-04T01:58:21.487336Z</t>
        </is>
      </c>
      <c r="AE25" s="31" t="inlineStr">
        <is>
          <t>Measured Edge Margin: Trend Engine projected 4.77-5.05; raw selected-side p=0.6374, calibrated p=0.5902.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mlb-wsh</t>
        </is>
      </c>
      <c r="AQ25" s="24" t="inlineStr">
        <is>
          <t>Washington Nationals</t>
        </is>
      </c>
      <c r="AR25" s="24" t="inlineStr">
        <is>
          <t>Washington Nationals</t>
        </is>
      </c>
      <c r="AS25" s="24" t="inlineStr">
        <is>
          <t>mlb-phi</t>
        </is>
      </c>
      <c r="AT25" s="24" t="inlineStr">
        <is>
          <t>Philadelphia Phillies</t>
        </is>
      </c>
      <c r="AU25" s="24" t="inlineStr">
        <is>
          <t>Philadelphia Phillies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8360b122264b796b0fb193095cfe4506c7e064e5f3f8c0a659aec41efd08dd25</t>
        </is>
      </c>
      <c r="BB25" s="24" t="inlineStr">
        <is>
          <t>flat_probability_shrinkage_toward_half</t>
        </is>
      </c>
      <c r="BC25" s="24" t="inlineStr">
        <is>
          <t>measured-edge-margin-v2</t>
        </is>
      </c>
      <c r="BD25" s="24" t="inlineStr">
        <is>
          <t>8360b122264b796b0fb193095cfe4506c7e064e5f3f8c0a659aec41efd08dd25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2026-08-03T19:53:28.238725Z</t>
        </is>
      </c>
      <c r="BI25" s="24" t="inlineStr">
        <is>
          <t>["same_event","same_team_same_day","same_league_same_day"]</t>
        </is>
      </c>
      <c r="BJ25" s="25" t="n">
        <v>1.5</v>
      </c>
      <c r="BK25" s="26" t="n">
        <v>-147</v>
      </c>
      <c r="BL25" s="27" t="n">
        <v>1.680272</v>
      </c>
      <c r="BM25" s="28" t="n">
        <v>0.5951419999999999</v>
      </c>
      <c r="BN25" s="28" t="n">
        <v>0.59204</v>
      </c>
      <c r="BO25" s="28" t="n"/>
      <c r="BP25" s="25" t="n"/>
      <c r="BQ25" s="27" t="n">
        <v>1.680272</v>
      </c>
      <c r="BR25" s="28" t="n">
        <v>0.595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inlineStr">
        <is>
          <t>False</t>
        </is>
      </c>
    </row>
    <row r="26" ht="36" customHeight="1">
      <c r="A26" s="24" t="inlineStr">
        <is>
          <t>0275e417eb754ad6</t>
        </is>
      </c>
      <c r="B26" s="24" t="inlineStr">
        <is>
          <t>2026-08-03T19:53:28.238725Z</t>
        </is>
      </c>
      <c r="C26" s="24" t="inlineStr">
        <is>
          <t>2026-08-03T22:40Z</t>
        </is>
      </c>
      <c r="D26" s="24" t="inlineStr">
        <is>
          <t>401816378</t>
        </is>
      </c>
      <c r="E26" s="24" t="inlineStr">
        <is>
          <t>MLB</t>
        </is>
      </c>
      <c r="F26" s="24" t="inlineStr">
        <is>
          <t>Washington Nationals</t>
        </is>
      </c>
      <c r="G26" s="24" t="inlineStr">
        <is>
          <t>Philadelphia Phillies</t>
        </is>
      </c>
      <c r="H26" s="24" t="inlineStr">
        <is>
          <t>total</t>
        </is>
      </c>
      <c r="I26" s="24" t="inlineStr">
        <is>
          <t>under</t>
        </is>
      </c>
      <c r="J26" s="25" t="n">
        <v>9.5</v>
      </c>
      <c r="K26" s="24" t="inlineStr">
        <is>
          <t>polymarket_us</t>
        </is>
      </c>
      <c r="L26" s="26" t="n">
        <v>-115</v>
      </c>
      <c r="M26" s="27" t="n">
        <v>1.869565</v>
      </c>
      <c r="N26" s="28" t="n">
        <v>0.534884</v>
      </c>
      <c r="O26" s="28" t="n">
        <v>0.514391</v>
      </c>
      <c r="P26" s="28" t="n">
        <v>0.042131</v>
      </c>
      <c r="Q26" s="28" t="n">
        <v>-0.020493</v>
      </c>
      <c r="R26" s="26" t="n">
        <v>16</v>
      </c>
      <c r="S26" s="29" t="n">
        <v>1</v>
      </c>
      <c r="T26" s="24" t="inlineStr">
        <is>
          <t>measured-edge-totals-v2</t>
        </is>
      </c>
      <c r="U26" s="24" t="inlineStr">
        <is>
          <t>settled</t>
        </is>
      </c>
      <c r="V26" s="24" t="inlineStr">
        <is>
          <t>win</t>
        </is>
      </c>
      <c r="W26" s="26" t="n">
        <v>3</v>
      </c>
      <c r="X26" s="26" t="n">
        <v>6</v>
      </c>
      <c r="Y26" s="25" t="n">
        <v>9.5</v>
      </c>
      <c r="Z26" s="26" t="n">
        <v>-115</v>
      </c>
      <c r="AA26" s="28" t="n">
        <v>0.535</v>
      </c>
      <c r="AB26" s="28" t="n">
        <v>0.000116</v>
      </c>
      <c r="AC26" s="30" t="n">
        <v>0.8696</v>
      </c>
      <c r="AD26" s="24" t="inlineStr">
        <is>
          <t>2026-08-04T01:58:21.725818Z</t>
        </is>
      </c>
      <c r="AE26" s="31" t="inlineStr">
        <is>
          <t>Measured Edge Totals: Trend Engine projected 4.77-5.05; raw selected-side p=0.5189, calibrated p=0.5144.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mlb-wsh</t>
        </is>
      </c>
      <c r="AQ26" s="24" t="inlineStr">
        <is>
          <t>Washington Nationals</t>
        </is>
      </c>
      <c r="AR26" s="24" t="inlineStr">
        <is>
          <t>Washington Nationals</t>
        </is>
      </c>
      <c r="AS26" s="24" t="inlineStr">
        <is>
          <t>mlb-phi</t>
        </is>
      </c>
      <c r="AT26" s="24" t="inlineStr">
        <is>
          <t>Philadelphia Phillies</t>
        </is>
      </c>
      <c r="AU26" s="24" t="inlineStr">
        <is>
          <t>Philadelphia Phillies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433578016242b27f9c1c7132cc6b5a2bcc7dd1b0234590c12a944455a88e71bd</t>
        </is>
      </c>
      <c r="BB26" s="24" t="inlineStr">
        <is>
          <t>flat_probability_shrinkage_toward_half</t>
        </is>
      </c>
      <c r="BC26" s="24" t="inlineStr">
        <is>
          <t>measured-edge-totals-v2</t>
        </is>
      </c>
      <c r="BD26" s="24" t="inlineStr">
        <is>
          <t>433578016242b27f9c1c7132cc6b5a2bcc7dd1b0234590c12a944455a88e71bd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2026-08-03T19:53:28.238725Z</t>
        </is>
      </c>
      <c r="BI26" s="24" t="inlineStr">
        <is>
          <t>["same_event","same_team_same_day","same_league_same_day"]</t>
        </is>
      </c>
      <c r="BJ26" s="25" t="n">
        <v>9.5</v>
      </c>
      <c r="BK26" s="26" t="n">
        <v>-115</v>
      </c>
      <c r="BL26" s="27" t="n">
        <v>1.869565</v>
      </c>
      <c r="BM26" s="28" t="n">
        <v>0.534884</v>
      </c>
      <c r="BN26" s="28" t="n">
        <v>0.532338</v>
      </c>
      <c r="BO26" s="28" t="n"/>
      <c r="BP26" s="25" t="n"/>
      <c r="BQ26" s="27" t="n">
        <v>1.869565</v>
      </c>
      <c r="BR26" s="28" t="n">
        <v>0.535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inlineStr">
        <is>
          <t>False</t>
        </is>
      </c>
    </row>
    <row r="27" ht="36" customHeight="1">
      <c r="A27" s="24" t="inlineStr">
        <is>
          <t>d730a06555014c54</t>
        </is>
      </c>
      <c r="B27" s="24" t="inlineStr">
        <is>
          <t>2026-08-03T22:56:28.208831Z</t>
        </is>
      </c>
      <c r="C27" s="24" t="inlineStr">
        <is>
          <t>2026-08-03T20:40:00-0400</t>
        </is>
      </c>
      <c r="D27" s="24" t="inlineStr">
        <is>
          <t>401816383</t>
        </is>
      </c>
      <c r="E27" s="24" t="inlineStr">
        <is>
          <t>MLB</t>
        </is>
      </c>
      <c r="F27" s="24" t="inlineStr">
        <is>
          <t>Tampa Bay Rays</t>
        </is>
      </c>
      <c r="G27" s="24" t="inlineStr">
        <is>
          <t>Colorado Rockies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-170</v>
      </c>
      <c r="M27" s="27" t="n">
        <v>1.588235</v>
      </c>
      <c r="N27" s="28" t="n">
        <v>0.62963</v>
      </c>
      <c r="O27" s="28" t="n">
        <v>0.6482059999999999</v>
      </c>
      <c r="P27" s="28" t="n"/>
      <c r="Q27" s="28" t="n">
        <v>0.018576</v>
      </c>
      <c r="R27" s="26" t="n">
        <v>31</v>
      </c>
      <c r="S27" s="29" t="n">
        <v>1.75</v>
      </c>
      <c r="T27" s="24" t="inlineStr">
        <is>
          <t>mlb-elo-trend-lr-v7</t>
        </is>
      </c>
      <c r="U27" s="24" t="inlineStr">
        <is>
          <t>settled</t>
        </is>
      </c>
      <c r="V27" s="24" t="inlineStr">
        <is>
          <t>win</t>
        </is>
      </c>
      <c r="W27" s="26" t="n">
        <v>13</v>
      </c>
      <c r="X27" s="26" t="n">
        <v>9</v>
      </c>
      <c r="Y27" s="25" t="n"/>
      <c r="Z27" s="26" t="n">
        <v>-170</v>
      </c>
      <c r="AA27" s="28" t="n">
        <v>0.63</v>
      </c>
      <c r="AB27" s="28" t="n">
        <v>0.00037</v>
      </c>
      <c r="AC27" s="30" t="n">
        <v>1.0294</v>
      </c>
      <c r="AD27" s="24" t="inlineStr">
        <is>
          <t>2026-08-04T03:57:43.617747Z</t>
        </is>
      </c>
      <c r="AE27" s="31" t="inlineStr">
        <is>
          <t>Learned LR call at threshold 0.6242; executable ask 0.6300 (aec-mlb-tb-col-2026-08-03); model edge vs ask +0.0182.</t>
        </is>
      </c>
      <c r="AF27" s="31" t="inlineStr">
        <is>
          <t>Learned model; shadow-qualified via operator override.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mlb-tb</t>
        </is>
      </c>
      <c r="AQ27" s="24" t="inlineStr">
        <is>
          <t>Tampa Bay Rays</t>
        </is>
      </c>
      <c r="AR27" s="24" t="inlineStr">
        <is>
          <t>Tampa Bay Rays</t>
        </is>
      </c>
      <c r="AS27" s="24" t="inlineStr">
        <is>
          <t>mlb-col</t>
        </is>
      </c>
      <c r="AT27" s="24" t="inlineStr">
        <is>
          <t>Colorado Rockies</t>
        </is>
      </c>
      <c r="AU27" s="24" t="inlineStr">
        <is>
          <t>Colorado Rockies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464eef695bfbbdaa819ec6f5e4c5bd1068ed20b92915fb2677220ae91e20d8b6</t>
        </is>
      </c>
      <c r="BB27" s="24" t="inlineStr">
        <is>
          <t>learned_lr</t>
        </is>
      </c>
      <c r="BC27" s="24" t="inlineStr">
        <is>
          <t>mlb-elo-trend-lr-v7</t>
        </is>
      </c>
      <c r="BD27" s="24" t="inlineStr">
        <is>
          <t>464eef695bfbbdaa819ec6f5e4c5bd1068ed20b92915fb2677220ae91e20d8b6</t>
        </is>
      </c>
      <c r="BE27" s="24" t="inlineStr">
        <is>
          <t>d8aa2e63047d9809</t>
        </is>
      </c>
      <c r="BF27" s="24" t="inlineStr">
        <is>
          <t>1</t>
        </is>
      </c>
      <c r="BG27" s="24" t="inlineStr">
        <is>
          <t>mlb-elo-trend-lr-v7</t>
        </is>
      </c>
      <c r="BH27" s="24" t="inlineStr">
        <is>
          <t>2026-08-03T22:56:01.752802Z</t>
        </is>
      </c>
      <c r="BI27" s="24" t="inlineStr">
        <is>
          <t>["same_event","same_team_same_day","same_league_same_day"]</t>
        </is>
      </c>
      <c r="BJ27" s="25" t="n"/>
      <c r="BK27" s="26" t="n">
        <v>-170</v>
      </c>
      <c r="BL27" s="27" t="n">
        <v>1.588235</v>
      </c>
      <c r="BM27" s="28" t="n">
        <v>0.62963</v>
      </c>
      <c r="BN27" s="28" t="n">
        <v>0.626866</v>
      </c>
      <c r="BO27" s="28" t="n"/>
      <c r="BP27" s="25" t="n"/>
      <c r="BQ27" s="27" t="n">
        <v>1.588235</v>
      </c>
      <c r="BR27" s="28" t="n">
        <v>0.63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0.3824194159</t>
        </is>
      </c>
      <c r="CD27" s="24" t="inlineStr">
        <is>
          <t>2.647689</t>
        </is>
      </c>
      <c r="CE27" s="24" t="inlineStr">
        <is>
          <t>1.193</t>
        </is>
      </c>
      <c r="CF27" s="24" t="inlineStr">
        <is>
          <t>1.0225</t>
        </is>
      </c>
      <c r="CG27" s="24" t="inlineStr">
        <is>
          <t>0.4</t>
        </is>
      </c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inlineStr">
        <is>
          <t>0.648206</t>
        </is>
      </c>
      <c r="CQ27" s="24" t="inlineStr">
        <is>
          <t>True</t>
        </is>
      </c>
    </row>
    <row r="28" ht="36" customHeight="1">
      <c r="A28" s="24" t="inlineStr">
        <is>
          <t>dffae253268445c2</t>
        </is>
      </c>
      <c r="B28" s="24" t="inlineStr">
        <is>
          <t>2026-08-03T22:56:38.586421Z</t>
        </is>
      </c>
      <c r="C28" s="24" t="inlineStr">
        <is>
          <t>2026-08-03T23:05Z</t>
        </is>
      </c>
      <c r="D28" s="24" t="inlineStr">
        <is>
          <t>401816377</t>
        </is>
      </c>
      <c r="E28" s="24" t="inlineStr">
        <is>
          <t>MLB</t>
        </is>
      </c>
      <c r="F28" s="24" t="inlineStr">
        <is>
          <t>St. Louis Cardinals</t>
        </is>
      </c>
      <c r="G28" s="24" t="inlineStr">
        <is>
          <t>New York Yankees</t>
        </is>
      </c>
      <c r="H28" s="24" t="inlineStr">
        <is>
          <t>spread</t>
        </is>
      </c>
      <c r="I28" s="24" t="inlineStr">
        <is>
          <t>away</t>
        </is>
      </c>
      <c r="J28" s="25" t="n">
        <v>1.5</v>
      </c>
      <c r="K28" s="24" t="inlineStr">
        <is>
          <t>polymarket_us</t>
        </is>
      </c>
      <c r="L28" s="26" t="n">
        <v>106</v>
      </c>
      <c r="M28" s="27" t="n">
        <v>2.06</v>
      </c>
      <c r="N28" s="28" t="n">
        <v>0.485437</v>
      </c>
      <c r="O28" s="28" t="n">
        <v>0.522193</v>
      </c>
      <c r="P28" s="28" t="n">
        <v>0.042131</v>
      </c>
      <c r="Q28" s="28" t="n">
        <v>0.036756</v>
      </c>
      <c r="R28" s="26" t="n">
        <v>45</v>
      </c>
      <c r="S28" s="29" t="n">
        <v>1</v>
      </c>
      <c r="T28" s="24" t="inlineStr">
        <is>
          <t>measured-edge-margin-v2</t>
        </is>
      </c>
      <c r="U28" s="24" t="inlineStr">
        <is>
          <t>settled</t>
        </is>
      </c>
      <c r="V28" s="24" t="inlineStr">
        <is>
          <t>win</t>
        </is>
      </c>
      <c r="W28" s="26" t="n">
        <v>13</v>
      </c>
      <c r="X28" s="26" t="n">
        <v>7</v>
      </c>
      <c r="Y28" s="25" t="n">
        <v>1.5</v>
      </c>
      <c r="Z28" s="26" t="n">
        <v>106</v>
      </c>
      <c r="AA28" s="28" t="n">
        <v>0.485</v>
      </c>
      <c r="AB28" s="28" t="n">
        <v>-0.000437</v>
      </c>
      <c r="AC28" s="30" t="n">
        <v>1.06</v>
      </c>
      <c r="AD28" s="24" t="inlineStr">
        <is>
          <t>2026-08-04T03:57:44.308486Z</t>
        </is>
      </c>
      <c r="AE28" s="31" t="inlineStr">
        <is>
          <t>Measured Edge Margin: Trend Engine projected 3.04-4.45; raw selected-side p=0.5337, calibrated p=0.5222.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mlb-stl</t>
        </is>
      </c>
      <c r="AQ28" s="24" t="inlineStr">
        <is>
          <t>St. Louis Cardinals</t>
        </is>
      </c>
      <c r="AR28" s="24" t="inlineStr">
        <is>
          <t>St. Louis Cardinals</t>
        </is>
      </c>
      <c r="AS28" s="24" t="inlineStr">
        <is>
          <t>mlb-nyy</t>
        </is>
      </c>
      <c r="AT28" s="24" t="inlineStr">
        <is>
          <t>New York Yankees</t>
        </is>
      </c>
      <c r="AU28" s="24" t="inlineStr">
        <is>
          <t>New York Yankees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8360b122264b796b0fb193095cfe4506c7e064e5f3f8c0a659aec41efd08dd25</t>
        </is>
      </c>
      <c r="BB28" s="24" t="inlineStr">
        <is>
          <t>flat_probability_shrinkage_toward_half</t>
        </is>
      </c>
      <c r="BC28" s="24" t="inlineStr">
        <is>
          <t>measured-edge-margin-v2</t>
        </is>
      </c>
      <c r="BD28" s="24" t="inlineStr">
        <is>
          <t>8360b122264b796b0fb193095cfe4506c7e064e5f3f8c0a659aec41efd08dd25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2026-08-03T22:56:38.586421Z</t>
        </is>
      </c>
      <c r="BI28" s="24" t="inlineStr">
        <is>
          <t>["same_event","same_team_same_day","same_league_same_day"]</t>
        </is>
      </c>
      <c r="BJ28" s="25" t="n">
        <v>1.5</v>
      </c>
      <c r="BK28" s="26" t="n">
        <v>106</v>
      </c>
      <c r="BL28" s="27" t="n">
        <v>2.06</v>
      </c>
      <c r="BM28" s="28" t="n">
        <v>0.485437</v>
      </c>
      <c r="BN28" s="28" t="n">
        <v>0.482587</v>
      </c>
      <c r="BO28" s="28" t="n"/>
      <c r="BP28" s="25" t="n"/>
      <c r="BQ28" s="27" t="n">
        <v>2.06</v>
      </c>
      <c r="BR28" s="28" t="n">
        <v>0.485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inlineStr">
        <is>
          <t>True</t>
        </is>
      </c>
    </row>
    <row r="29" ht="36" customHeight="1">
      <c r="A29" s="24" t="inlineStr">
        <is>
          <t>ecf02b66bf964ec1</t>
        </is>
      </c>
      <c r="B29" s="24" t="inlineStr">
        <is>
          <t>2026-08-03T22:56:38.586421Z</t>
        </is>
      </c>
      <c r="C29" s="24" t="inlineStr">
        <is>
          <t>2026-08-03T23:05Z</t>
        </is>
      </c>
      <c r="D29" s="24" t="inlineStr">
        <is>
          <t>401816377</t>
        </is>
      </c>
      <c r="E29" s="24" t="inlineStr">
        <is>
          <t>MLB</t>
        </is>
      </c>
      <c r="F29" s="24" t="inlineStr">
        <is>
          <t>St. Louis Cardinals</t>
        </is>
      </c>
      <c r="G29" s="24" t="inlineStr">
        <is>
          <t>New York Yankees</t>
        </is>
      </c>
      <c r="H29" s="24" t="inlineStr">
        <is>
          <t>total</t>
        </is>
      </c>
      <c r="I29" s="24" t="inlineStr">
        <is>
          <t>under</t>
        </is>
      </c>
      <c r="J29" s="25" t="n">
        <v>7.5</v>
      </c>
      <c r="K29" s="24" t="inlineStr">
        <is>
          <t>polymarket_us</t>
        </is>
      </c>
      <c r="L29" s="26" t="n">
        <v>115</v>
      </c>
      <c r="M29" s="27" t="n">
        <v>2.15</v>
      </c>
      <c r="N29" s="28" t="n">
        <v>0.465116</v>
      </c>
      <c r="O29" s="28" t="n">
        <v>0.526111</v>
      </c>
      <c r="P29" s="28" t="n">
        <v>0.042131</v>
      </c>
      <c r="Q29" s="28" t="n">
        <v>0.060995</v>
      </c>
      <c r="R29" s="26" t="n">
        <v>56</v>
      </c>
      <c r="S29" s="29" t="n">
        <v>1</v>
      </c>
      <c r="T29" s="24" t="inlineStr">
        <is>
          <t>measured-edge-totals-v2</t>
        </is>
      </c>
      <c r="U29" s="24" t="inlineStr">
        <is>
          <t>settled</t>
        </is>
      </c>
      <c r="V29" s="24" t="inlineStr">
        <is>
          <t>loss</t>
        </is>
      </c>
      <c r="W29" s="26" t="n">
        <v>13</v>
      </c>
      <c r="X29" s="26" t="n">
        <v>7</v>
      </c>
      <c r="Y29" s="25" t="n">
        <v>7.5</v>
      </c>
      <c r="Z29" s="26" t="n">
        <v>115</v>
      </c>
      <c r="AA29" s="28" t="n">
        <v>0.465</v>
      </c>
      <c r="AB29" s="28" t="n">
        <v>-0.000116</v>
      </c>
      <c r="AC29" s="30" t="n">
        <v>-1</v>
      </c>
      <c r="AD29" s="24" t="inlineStr">
        <is>
          <t>2026-08-04T03:57:44.569551Z</t>
        </is>
      </c>
      <c r="AE29" s="31" t="inlineStr">
        <is>
          <t>Measured Edge Totals: Trend Engine projected 3.04-4.45; raw selected-side p=0.5532, calibrated p=0.5261.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mlb-stl</t>
        </is>
      </c>
      <c r="AQ29" s="24" t="inlineStr">
        <is>
          <t>St. Louis Cardinals</t>
        </is>
      </c>
      <c r="AR29" s="24" t="inlineStr">
        <is>
          <t>St. Louis Cardinals</t>
        </is>
      </c>
      <c r="AS29" s="24" t="inlineStr">
        <is>
          <t>mlb-nyy</t>
        </is>
      </c>
      <c r="AT29" s="24" t="inlineStr">
        <is>
          <t>New York Yankees</t>
        </is>
      </c>
      <c r="AU29" s="24" t="inlineStr">
        <is>
          <t>New York Yankees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433578016242b27f9c1c7132cc6b5a2bcc7dd1b0234590c12a944455a88e71bd</t>
        </is>
      </c>
      <c r="BB29" s="24" t="inlineStr">
        <is>
          <t>flat_probability_shrinkage_toward_half</t>
        </is>
      </c>
      <c r="BC29" s="24" t="inlineStr">
        <is>
          <t>measured-edge-totals-v2</t>
        </is>
      </c>
      <c r="BD29" s="24" t="inlineStr">
        <is>
          <t>433578016242b27f9c1c7132cc6b5a2bcc7dd1b0234590c12a944455a88e71bd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2026-08-03T22:56:38.586421Z</t>
        </is>
      </c>
      <c r="BI29" s="24" t="inlineStr">
        <is>
          <t>["same_event","same_team_same_day","same_league_same_day"]</t>
        </is>
      </c>
      <c r="BJ29" s="25" t="n">
        <v>7.5</v>
      </c>
      <c r="BK29" s="26" t="n">
        <v>115</v>
      </c>
      <c r="BL29" s="27" t="n">
        <v>2.15</v>
      </c>
      <c r="BM29" s="28" t="n">
        <v>0.465116</v>
      </c>
      <c r="BN29" s="28" t="n">
        <v>0.462687</v>
      </c>
      <c r="BO29" s="28" t="n"/>
      <c r="BP29" s="25" t="n"/>
      <c r="BQ29" s="27" t="n">
        <v>2.15</v>
      </c>
      <c r="BR29" s="28" t="n">
        <v>0.465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inlineStr">
        <is>
          <t>True</t>
        </is>
      </c>
    </row>
    <row r="30" ht="36" customHeight="1">
      <c r="A30" s="24" t="inlineStr">
        <is>
          <t>84aa0f06755f4b61</t>
        </is>
      </c>
      <c r="B30" s="24" t="inlineStr">
        <is>
          <t>2026-08-03T22:56:38.586421Z</t>
        </is>
      </c>
      <c r="C30" s="24" t="inlineStr">
        <is>
          <t>2026-08-03T23:40Z</t>
        </is>
      </c>
      <c r="D30" s="24" t="inlineStr">
        <is>
          <t>401816380</t>
        </is>
      </c>
      <c r="E30" s="24" t="inlineStr">
        <is>
          <t>MLB</t>
        </is>
      </c>
      <c r="F30" s="24" t="inlineStr">
        <is>
          <t>Pittsburgh Pirates</t>
        </is>
      </c>
      <c r="G30" s="24" t="inlineStr">
        <is>
          <t>Milwaukee Brewers</t>
        </is>
      </c>
      <c r="H30" s="24" t="inlineStr">
        <is>
          <t>spread</t>
        </is>
      </c>
      <c r="I30" s="24" t="inlineStr">
        <is>
          <t>away</t>
        </is>
      </c>
      <c r="J30" s="25" t="n">
        <v>1.5</v>
      </c>
      <c r="K30" s="24" t="inlineStr">
        <is>
          <t>polymarket_us</t>
        </is>
      </c>
      <c r="L30" s="26" t="n">
        <v>-153</v>
      </c>
      <c r="M30" s="27" t="n">
        <v>1.653595</v>
      </c>
      <c r="N30" s="28" t="n">
        <v>0.604743</v>
      </c>
      <c r="O30" s="28" t="n">
        <v>0.579668</v>
      </c>
      <c r="P30" s="28" t="n">
        <v>0.042131</v>
      </c>
      <c r="Q30" s="28" t="n">
        <v>-0.025075</v>
      </c>
      <c r="R30" s="26" t="n">
        <v>14</v>
      </c>
      <c r="S30" s="29" t="n">
        <v>1.25</v>
      </c>
      <c r="T30" s="24" t="inlineStr">
        <is>
          <t>measured-edge-margin-v2</t>
        </is>
      </c>
      <c r="U30" s="24" t="inlineStr">
        <is>
          <t>settled</t>
        </is>
      </c>
      <c r="V30" s="24" t="inlineStr">
        <is>
          <t>win</t>
        </is>
      </c>
      <c r="W30" s="26" t="n">
        <v>4</v>
      </c>
      <c r="X30" s="26" t="n">
        <v>3</v>
      </c>
      <c r="Y30" s="25" t="n">
        <v>1.5</v>
      </c>
      <c r="Z30" s="26" t="n">
        <v>-153</v>
      </c>
      <c r="AA30" s="28" t="n">
        <v>0.605</v>
      </c>
      <c r="AB30" s="28" t="n">
        <v>0.000257</v>
      </c>
      <c r="AC30" s="30" t="n">
        <v>0.8169999999999999</v>
      </c>
      <c r="AD30" s="24" t="inlineStr">
        <is>
          <t>2026-08-04T03:57:44.819685Z</t>
        </is>
      </c>
      <c r="AE30" s="31" t="inlineStr">
        <is>
          <t>Measured Edge Margin: Trend Engine projected 4.45-4.93; raw selected-side p=0.6213, calibrated p=0.5797.</t>
        </is>
      </c>
      <c r="AF30" s="31" t="inlineStr">
        <is>
          <t>Research-only; lineup, bullpen, park, weather, xFIP, and wRC+ may be neutral fallbacks; market availability and BBO depth may change before first pitch.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mlb-pit</t>
        </is>
      </c>
      <c r="AQ30" s="24" t="inlineStr">
        <is>
          <t>Pittsburgh Pirates</t>
        </is>
      </c>
      <c r="AR30" s="24" t="inlineStr">
        <is>
          <t>Pittsburgh Pirates</t>
        </is>
      </c>
      <c r="AS30" s="24" t="inlineStr">
        <is>
          <t>mlb-mil</t>
        </is>
      </c>
      <c r="AT30" s="24" t="inlineStr">
        <is>
          <t>Milwaukee Brewers</t>
        </is>
      </c>
      <c r="AU30" s="24" t="inlineStr">
        <is>
          <t>Milwaukee Brewers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8360b122264b796b0fb193095cfe4506c7e064e5f3f8c0a659aec41efd08dd25</t>
        </is>
      </c>
      <c r="BB30" s="24" t="inlineStr">
        <is>
          <t>flat_probability_shrinkage_toward_half</t>
        </is>
      </c>
      <c r="BC30" s="24" t="inlineStr">
        <is>
          <t>measured-edge-margin-v2</t>
        </is>
      </c>
      <c r="BD30" s="24" t="inlineStr">
        <is>
          <t>8360b122264b796b0fb193095cfe4506c7e064e5f3f8c0a659aec41efd08dd25</t>
        </is>
      </c>
      <c r="BE30" s="24" t="inlineStr">
        <is>
          <t>v3</t>
        </is>
      </c>
      <c r="BF30" s="24" t="inlineStr">
        <is>
          <t>1</t>
        </is>
      </c>
      <c r="BG30" s="24" t="inlineStr">
        <is>
          <t>measured-edge-paired-v1</t>
        </is>
      </c>
      <c r="BH30" s="24" t="inlineStr">
        <is>
          <t>2026-08-03T22:56:38.586421Z</t>
        </is>
      </c>
      <c r="BI30" s="24" t="inlineStr">
        <is>
          <t>["same_event","same_team_same_day","same_league_same_day"]</t>
        </is>
      </c>
      <c r="BJ30" s="25" t="n">
        <v>1.5</v>
      </c>
      <c r="BK30" s="26" t="n">
        <v>-153</v>
      </c>
      <c r="BL30" s="27" t="n">
        <v>1.653595</v>
      </c>
      <c r="BM30" s="28" t="n">
        <v>0.604743</v>
      </c>
      <c r="BN30" s="28" t="n">
        <v>0.60199</v>
      </c>
      <c r="BO30" s="28" t="n"/>
      <c r="BP30" s="25" t="n"/>
      <c r="BQ30" s="27" t="n">
        <v>1.653595</v>
      </c>
      <c r="BR30" s="28" t="n">
        <v>0.605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inlineStr">
        <is>
          <t>False</t>
        </is>
      </c>
    </row>
    <row r="31" ht="36" customHeight="1">
      <c r="A31" s="24" t="inlineStr">
        <is>
          <t>b04b32b8a9f34d93</t>
        </is>
      </c>
      <c r="B31" s="24" t="inlineStr">
        <is>
          <t>2026-08-03T22:56:38.586421Z</t>
        </is>
      </c>
      <c r="C31" s="24" t="inlineStr">
        <is>
          <t>2026-08-03T23:40Z</t>
        </is>
      </c>
      <c r="D31" s="24" t="inlineStr">
        <is>
          <t>401816380</t>
        </is>
      </c>
      <c r="E31" s="24" t="inlineStr">
        <is>
          <t>MLB</t>
        </is>
      </c>
      <c r="F31" s="24" t="inlineStr">
        <is>
          <t>Pittsburgh Pirates</t>
        </is>
      </c>
      <c r="G31" s="24" t="inlineStr">
        <is>
          <t>Milwaukee Brewers</t>
        </is>
      </c>
      <c r="H31" s="24" t="inlineStr">
        <is>
          <t>total</t>
        </is>
      </c>
      <c r="I31" s="24" t="inlineStr">
        <is>
          <t>over</t>
        </is>
      </c>
      <c r="J31" s="25" t="n">
        <v>8.5</v>
      </c>
      <c r="K31" s="24" t="inlineStr">
        <is>
          <t>polymarket_us</t>
        </is>
      </c>
      <c r="L31" s="26" t="n">
        <v>104</v>
      </c>
      <c r="M31" s="27" t="n">
        <v>2.04</v>
      </c>
      <c r="N31" s="28" t="n">
        <v>0.490196</v>
      </c>
      <c r="O31" s="28" t="n">
        <v>0.522643</v>
      </c>
      <c r="P31" s="28" t="n">
        <v>0.042131</v>
      </c>
      <c r="Q31" s="28" t="n">
        <v>0.032447</v>
      </c>
      <c r="R31" s="26" t="n">
        <v>42</v>
      </c>
      <c r="S31" s="29" t="n">
        <v>1</v>
      </c>
      <c r="T31" s="24" t="inlineStr">
        <is>
          <t>measured-edge-totals-v2</t>
        </is>
      </c>
      <c r="U31" s="24" t="inlineStr">
        <is>
          <t>settled</t>
        </is>
      </c>
      <c r="V31" s="24" t="inlineStr">
        <is>
          <t>loss</t>
        </is>
      </c>
      <c r="W31" s="26" t="n">
        <v>4</v>
      </c>
      <c r="X31" s="26" t="n">
        <v>3</v>
      </c>
      <c r="Y31" s="25" t="n">
        <v>8.5</v>
      </c>
      <c r="Z31" s="26" t="n">
        <v>104</v>
      </c>
      <c r="AA31" s="28" t="n">
        <v>0.49</v>
      </c>
      <c r="AB31" s="28" t="n">
        <v>-0.000196</v>
      </c>
      <c r="AC31" s="30" t="n">
        <v>-1</v>
      </c>
      <c r="AD31" s="24" t="inlineStr">
        <is>
          <t>2026-08-04T03:57:45.088563Z</t>
        </is>
      </c>
      <c r="AE31" s="31" t="inlineStr">
        <is>
          <t>Measured Edge Totals: Trend Engine projected 4.45-4.93; raw selected-side p=0.5430, calibrated p=0.5226.</t>
        </is>
      </c>
      <c r="AF31" s="31" t="inlineStr">
        <is>
          <t>Research-only; lineup, bullpen, park, weather, xFIP, and wRC+ may be neutral fallbacks; market availability and BBO depth may change before first pitch.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mlb-pit</t>
        </is>
      </c>
      <c r="AQ31" s="24" t="inlineStr">
        <is>
          <t>Pittsburgh Pirates</t>
        </is>
      </c>
      <c r="AR31" s="24" t="inlineStr">
        <is>
          <t>Pittsburgh Pirates</t>
        </is>
      </c>
      <c r="AS31" s="24" t="inlineStr">
        <is>
          <t>mlb-mil</t>
        </is>
      </c>
      <c r="AT31" s="24" t="inlineStr">
        <is>
          <t>Milwaukee Brewers</t>
        </is>
      </c>
      <c r="AU31" s="24" t="inlineStr">
        <is>
          <t>Milwaukee Brewers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433578016242b27f9c1c7132cc6b5a2bcc7dd1b0234590c12a944455a88e71bd</t>
        </is>
      </c>
      <c r="BB31" s="24" t="inlineStr">
        <is>
          <t>flat_probability_shrinkage_toward_half</t>
        </is>
      </c>
      <c r="BC31" s="24" t="inlineStr">
        <is>
          <t>measured-edge-totals-v2</t>
        </is>
      </c>
      <c r="BD31" s="24" t="inlineStr">
        <is>
          <t>433578016242b27f9c1c7132cc6b5a2bcc7dd1b0234590c12a944455a88e71bd</t>
        </is>
      </c>
      <c r="BE31" s="24" t="inlineStr">
        <is>
          <t>v3</t>
        </is>
      </c>
      <c r="BF31" s="24" t="inlineStr">
        <is>
          <t>1</t>
        </is>
      </c>
      <c r="BG31" s="24" t="inlineStr">
        <is>
          <t>measured-edge-paired-v1</t>
        </is>
      </c>
      <c r="BH31" s="24" t="inlineStr">
        <is>
          <t>2026-08-03T22:56:38.586421Z</t>
        </is>
      </c>
      <c r="BI31" s="24" t="inlineStr">
        <is>
          <t>["same_event","same_team_same_day","same_league_same_day"]</t>
        </is>
      </c>
      <c r="BJ31" s="25" t="n">
        <v>8.5</v>
      </c>
      <c r="BK31" s="26" t="n">
        <v>104</v>
      </c>
      <c r="BL31" s="27" t="n">
        <v>2.04</v>
      </c>
      <c r="BM31" s="28" t="n">
        <v>0.490196</v>
      </c>
      <c r="BN31" s="28" t="n">
        <v>0.487562</v>
      </c>
      <c r="BO31" s="28" t="n"/>
      <c r="BP31" s="25" t="n"/>
      <c r="BQ31" s="27" t="n">
        <v>2.04</v>
      </c>
      <c r="BR31" s="28" t="n">
        <v>0.49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inlineStr">
        <is>
          <t>True</t>
        </is>
      </c>
    </row>
    <row r="32" ht="36" customHeight="1">
      <c r="A32" s="24" t="inlineStr">
        <is>
          <t>e5550177d4be418a</t>
        </is>
      </c>
      <c r="B32" s="24" t="inlineStr">
        <is>
          <t>2026-08-03T22:56:38.586421Z</t>
        </is>
      </c>
      <c r="C32" s="24" t="inlineStr">
        <is>
          <t>2026-08-04T00:00Z</t>
        </is>
      </c>
      <c r="D32" s="24" t="inlineStr">
        <is>
          <t>401816381</t>
        </is>
      </c>
      <c r="E32" s="24" t="inlineStr">
        <is>
          <t>MLB</t>
        </is>
      </c>
      <c r="F32" s="24" t="inlineStr">
        <is>
          <t>San Francisco Giants</t>
        </is>
      </c>
      <c r="G32" s="24" t="inlineStr">
        <is>
          <t>Texas Rangers</t>
        </is>
      </c>
      <c r="H32" s="24" t="inlineStr">
        <is>
          <t>spread</t>
        </is>
      </c>
      <c r="I32" s="24" t="inlineStr">
        <is>
          <t>away</t>
        </is>
      </c>
      <c r="J32" s="25" t="n">
        <v>1.5</v>
      </c>
      <c r="K32" s="24" t="inlineStr">
        <is>
          <t>polymarket_us</t>
        </is>
      </c>
      <c r="L32" s="26" t="n">
        <v>-186</v>
      </c>
      <c r="M32" s="27" t="n">
        <v>1.537634</v>
      </c>
      <c r="N32" s="28" t="n">
        <v>0.65035</v>
      </c>
      <c r="O32" s="28" t="n">
        <v>0.596234</v>
      </c>
      <c r="P32" s="28" t="n">
        <v>0.042131</v>
      </c>
      <c r="Q32" s="28" t="n">
        <v>-0.054116</v>
      </c>
      <c r="R32" s="26" t="n">
        <v>0</v>
      </c>
      <c r="S32" s="29" t="n">
        <v>1.25</v>
      </c>
      <c r="T32" s="24" t="inlineStr">
        <is>
          <t>measured-edge-margin-v2</t>
        </is>
      </c>
      <c r="U32" s="24" t="inlineStr">
        <is>
          <t>settled</t>
        </is>
      </c>
      <c r="V32" s="24" t="inlineStr">
        <is>
          <t>win</t>
        </is>
      </c>
      <c r="W32" s="26" t="n">
        <v>5</v>
      </c>
      <c r="X32" s="26" t="n">
        <v>1</v>
      </c>
      <c r="Y32" s="25" t="n">
        <v>1.5</v>
      </c>
      <c r="Z32" s="26" t="n">
        <v>-186</v>
      </c>
      <c r="AA32" s="28" t="n">
        <v>0.65</v>
      </c>
      <c r="AB32" s="28" t="n">
        <v>-0.00035</v>
      </c>
      <c r="AC32" s="30" t="n">
        <v>0.672</v>
      </c>
      <c r="AD32" s="24" t="inlineStr">
        <is>
          <t>2026-08-04T03:57:45.428184Z</t>
        </is>
      </c>
      <c r="AE32" s="31" t="inlineStr">
        <is>
          <t>Measured Edge Margin: Trend Engine projected 4.50-4.74; raw selected-side p=0.6466, calibrated p=0.5962.</t>
        </is>
      </c>
      <c r="AF32" s="31" t="inlineStr">
        <is>
          <t>Research-only; lineup, bullpen, park, weather, xFIP, and wRC+ may be neutral fallbacks; market availability and BBO depth may change before first pitch.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mlb-sf</t>
        </is>
      </c>
      <c r="AQ32" s="24" t="inlineStr">
        <is>
          <t>San Francisco Giants</t>
        </is>
      </c>
      <c r="AR32" s="24" t="inlineStr">
        <is>
          <t>San Francisco Giants</t>
        </is>
      </c>
      <c r="AS32" s="24" t="inlineStr">
        <is>
          <t>mlb-tex</t>
        </is>
      </c>
      <c r="AT32" s="24" t="inlineStr">
        <is>
          <t>Texas Rangers</t>
        </is>
      </c>
      <c r="AU32" s="24" t="inlineStr">
        <is>
          <t>Texas Rangers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8360b122264b796b0fb193095cfe4506c7e064e5f3f8c0a659aec41efd08dd25</t>
        </is>
      </c>
      <c r="BB32" s="24" t="inlineStr">
        <is>
          <t>flat_probability_shrinkage_toward_half</t>
        </is>
      </c>
      <c r="BC32" s="24" t="inlineStr">
        <is>
          <t>measured-edge-margin-v2</t>
        </is>
      </c>
      <c r="BD32" s="24" t="inlineStr">
        <is>
          <t>8360b122264b796b0fb193095cfe4506c7e064e5f3f8c0a659aec41efd08dd25</t>
        </is>
      </c>
      <c r="BE32" s="24" t="inlineStr">
        <is>
          <t>v3</t>
        </is>
      </c>
      <c r="BF32" s="24" t="inlineStr">
        <is>
          <t>1</t>
        </is>
      </c>
      <c r="BG32" s="24" t="inlineStr">
        <is>
          <t>measured-edge-paired-v1</t>
        </is>
      </c>
      <c r="BH32" s="24" t="inlineStr">
        <is>
          <t>2026-08-03T22:56:38.586421Z</t>
        </is>
      </c>
      <c r="BI32" s="24" t="inlineStr">
        <is>
          <t>["same_event","same_team_same_day","same_league_same_day"]</t>
        </is>
      </c>
      <c r="BJ32" s="25" t="n">
        <v>1.5</v>
      </c>
      <c r="BK32" s="26" t="n">
        <v>-186</v>
      </c>
      <c r="BL32" s="27" t="n">
        <v>1.537634</v>
      </c>
      <c r="BM32" s="28" t="n">
        <v>0.65035</v>
      </c>
      <c r="BN32" s="28" t="n">
        <v>0.646766</v>
      </c>
      <c r="BO32" s="28" t="n"/>
      <c r="BP32" s="25" t="n"/>
      <c r="BQ32" s="27" t="n">
        <v>1.537634</v>
      </c>
      <c r="BR32" s="28" t="n">
        <v>0.65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inlineStr">
        <is>
          <t>False</t>
        </is>
      </c>
    </row>
    <row r="33" ht="36" customHeight="1">
      <c r="A33" s="24" t="inlineStr">
        <is>
          <t>8e3ca78082aa49c0</t>
        </is>
      </c>
      <c r="B33" s="24" t="inlineStr">
        <is>
          <t>2026-08-03T22:56:38.586421Z</t>
        </is>
      </c>
      <c r="C33" s="24" t="inlineStr">
        <is>
          <t>2026-08-04T00:00Z</t>
        </is>
      </c>
      <c r="D33" s="24" t="inlineStr">
        <is>
          <t>401816381</t>
        </is>
      </c>
      <c r="E33" s="24" t="inlineStr">
        <is>
          <t>MLB</t>
        </is>
      </c>
      <c r="F33" s="24" t="inlineStr">
        <is>
          <t>San Francisco Giants</t>
        </is>
      </c>
      <c r="G33" s="24" t="inlineStr">
        <is>
          <t>Texas Rangers</t>
        </is>
      </c>
      <c r="H33" s="24" t="inlineStr">
        <is>
          <t>total</t>
        </is>
      </c>
      <c r="I33" s="24" t="inlineStr">
        <is>
          <t>over</t>
        </is>
      </c>
      <c r="J33" s="25" t="n">
        <v>7.5</v>
      </c>
      <c r="K33" s="24" t="inlineStr">
        <is>
          <t>polymarket_us</t>
        </is>
      </c>
      <c r="L33" s="26" t="n">
        <v>-120</v>
      </c>
      <c r="M33" s="27" t="n">
        <v>1.833333</v>
      </c>
      <c r="N33" s="28" t="n">
        <v>0.545455</v>
      </c>
      <c r="O33" s="28" t="n">
        <v>0.5452979999999999</v>
      </c>
      <c r="P33" s="28" t="n">
        <v>0.042131</v>
      </c>
      <c r="Q33" s="28" t="n">
        <v>-0.000157</v>
      </c>
      <c r="R33" s="26" t="n">
        <v>26</v>
      </c>
      <c r="S33" s="29" t="n">
        <v>1</v>
      </c>
      <c r="T33" s="24" t="inlineStr">
        <is>
          <t>measured-edge-totals-v2</t>
        </is>
      </c>
      <c r="U33" s="24" t="inlineStr">
        <is>
          <t>settled</t>
        </is>
      </c>
      <c r="V33" s="24" t="inlineStr">
        <is>
          <t>loss</t>
        </is>
      </c>
      <c r="W33" s="26" t="n">
        <v>5</v>
      </c>
      <c r="X33" s="26" t="n">
        <v>1</v>
      </c>
      <c r="Y33" s="25" t="n">
        <v>7.5</v>
      </c>
      <c r="Z33" s="26" t="n">
        <v>-120</v>
      </c>
      <c r="AA33" s="28" t="n">
        <v>0.545</v>
      </c>
      <c r="AB33" s="28" t="n">
        <v>-0.000455</v>
      </c>
      <c r="AC33" s="30" t="n">
        <v>-1</v>
      </c>
      <c r="AD33" s="24" t="inlineStr">
        <is>
          <t>2026-08-04T03:57:45.692831Z</t>
        </is>
      </c>
      <c r="AE33" s="31" t="inlineStr">
        <is>
          <t>Measured Edge Totals: Trend Engine projected 4.50-4.74; raw selected-side p=0.6093, calibrated p=0.5453.</t>
        </is>
      </c>
      <c r="AF33" s="31" t="inlineStr">
        <is>
          <t>Research-only; lineup, bullpen, park, weather, xFIP, and wRC+ may be neutral fallbacks; market availability and BBO depth may change before first pitch.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mlb-sf</t>
        </is>
      </c>
      <c r="AQ33" s="24" t="inlineStr">
        <is>
          <t>San Francisco Giants</t>
        </is>
      </c>
      <c r="AR33" s="24" t="inlineStr">
        <is>
          <t>San Francisco Giants</t>
        </is>
      </c>
      <c r="AS33" s="24" t="inlineStr">
        <is>
          <t>mlb-tex</t>
        </is>
      </c>
      <c r="AT33" s="24" t="inlineStr">
        <is>
          <t>Texas Rangers</t>
        </is>
      </c>
      <c r="AU33" s="24" t="inlineStr">
        <is>
          <t>Texas Rangers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433578016242b27f9c1c7132cc6b5a2bcc7dd1b0234590c12a944455a88e71bd</t>
        </is>
      </c>
      <c r="BB33" s="24" t="inlineStr">
        <is>
          <t>flat_probability_shrinkage_toward_half</t>
        </is>
      </c>
      <c r="BC33" s="24" t="inlineStr">
        <is>
          <t>measured-edge-totals-v2</t>
        </is>
      </c>
      <c r="BD33" s="24" t="inlineStr">
        <is>
          <t>433578016242b27f9c1c7132cc6b5a2bcc7dd1b0234590c12a944455a88e71bd</t>
        </is>
      </c>
      <c r="BE33" s="24" t="inlineStr">
        <is>
          <t>v3</t>
        </is>
      </c>
      <c r="BF33" s="24" t="inlineStr">
        <is>
          <t>1</t>
        </is>
      </c>
      <c r="BG33" s="24" t="inlineStr">
        <is>
          <t>measured-edge-paired-v1</t>
        </is>
      </c>
      <c r="BH33" s="24" t="inlineStr">
        <is>
          <t>2026-08-03T22:56:38.586421Z</t>
        </is>
      </c>
      <c r="BI33" s="24" t="inlineStr">
        <is>
          <t>["same_event","same_team_same_day","same_league_same_day"]</t>
        </is>
      </c>
      <c r="BJ33" s="25" t="n">
        <v>7.5</v>
      </c>
      <c r="BK33" s="26" t="n">
        <v>-120</v>
      </c>
      <c r="BL33" s="27" t="n">
        <v>1.833333</v>
      </c>
      <c r="BM33" s="28" t="n">
        <v>0.545455</v>
      </c>
      <c r="BN33" s="28" t="n">
        <v>0.542289</v>
      </c>
      <c r="BO33" s="28" t="n"/>
      <c r="BP33" s="25" t="n"/>
      <c r="BQ33" s="27" t="n">
        <v>1.833333</v>
      </c>
      <c r="BR33" s="28" t="n">
        <v>0.545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inlineStr">
        <is>
          <t>False</t>
        </is>
      </c>
    </row>
    <row r="34" ht="36" customHeight="1">
      <c r="A34" s="24" t="inlineStr">
        <is>
          <t>5bb1f88231474692</t>
        </is>
      </c>
      <c r="B34" s="24" t="inlineStr">
        <is>
          <t>2026-08-03T22:56:38.586421Z</t>
        </is>
      </c>
      <c r="C34" s="24" t="inlineStr">
        <is>
          <t>2026-08-04T00:05Z</t>
        </is>
      </c>
      <c r="D34" s="24" t="inlineStr">
        <is>
          <t>401816379</t>
        </is>
      </c>
      <c r="E34" s="24" t="inlineStr">
        <is>
          <t>MLB</t>
        </is>
      </c>
      <c r="F34" s="24" t="inlineStr">
        <is>
          <t>Los Angeles Dodgers</t>
        </is>
      </c>
      <c r="G34" s="24" t="inlineStr">
        <is>
          <t>Chicago Cubs</t>
        </is>
      </c>
      <c r="H34" s="24" t="inlineStr">
        <is>
          <t>spread</t>
        </is>
      </c>
      <c r="I34" s="24" t="inlineStr">
        <is>
          <t>home</t>
        </is>
      </c>
      <c r="J34" s="25" t="n">
        <v>1.5</v>
      </c>
      <c r="K34" s="24" t="inlineStr">
        <is>
          <t>polymarket_us</t>
        </is>
      </c>
      <c r="L34" s="26" t="n">
        <v>-147</v>
      </c>
      <c r="M34" s="27" t="n">
        <v>1.680272</v>
      </c>
      <c r="N34" s="28" t="n">
        <v>0.5951419999999999</v>
      </c>
      <c r="O34" s="28" t="n">
        <v>0.651609</v>
      </c>
      <c r="P34" s="28" t="n">
        <v>0.042131</v>
      </c>
      <c r="Q34" s="28" t="n">
        <v>0.056467</v>
      </c>
      <c r="R34" s="26" t="n">
        <v>55</v>
      </c>
      <c r="S34" s="29" t="n">
        <v>1.75</v>
      </c>
      <c r="T34" s="24" t="inlineStr">
        <is>
          <t>measured-edge-margin-v2</t>
        </is>
      </c>
      <c r="U34" s="24" t="inlineStr">
        <is>
          <t>settled</t>
        </is>
      </c>
      <c r="V34" s="24" t="inlineStr">
        <is>
          <t>win</t>
        </is>
      </c>
      <c r="W34" s="26" t="n">
        <v>5</v>
      </c>
      <c r="X34" s="26" t="n">
        <v>10</v>
      </c>
      <c r="Y34" s="25" t="n">
        <v>1.5</v>
      </c>
      <c r="Z34" s="26" t="n">
        <v>-147</v>
      </c>
      <c r="AA34" s="28" t="n">
        <v>0.595</v>
      </c>
      <c r="AB34" s="28" t="n">
        <v>-0.000142</v>
      </c>
      <c r="AC34" s="30" t="n">
        <v>1.1905</v>
      </c>
      <c r="AD34" s="24" t="inlineStr">
        <is>
          <t>2026-08-04T03:57:45.968001Z</t>
        </is>
      </c>
      <c r="AE34" s="31" t="inlineStr">
        <is>
          <t>Measured Edge Margin: Trend Engine projected 3.69-4.17; raw selected-side p=0.7310, calibrated p=0.6516.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mlb-lad</t>
        </is>
      </c>
      <c r="AQ34" s="24" t="inlineStr">
        <is>
          <t>Los Angeles Dodgers</t>
        </is>
      </c>
      <c r="AR34" s="24" t="inlineStr">
        <is>
          <t>Los Angeles Dodgers</t>
        </is>
      </c>
      <c r="AS34" s="24" t="inlineStr">
        <is>
          <t>mlb-chc</t>
        </is>
      </c>
      <c r="AT34" s="24" t="inlineStr">
        <is>
          <t>Chicago Cubs</t>
        </is>
      </c>
      <c r="AU34" s="24" t="inlineStr">
        <is>
          <t>Chicago Cubs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8360b122264b796b0fb193095cfe4506c7e064e5f3f8c0a659aec41efd08dd25</t>
        </is>
      </c>
      <c r="BB34" s="24" t="inlineStr">
        <is>
          <t>flat_probability_shrinkage_toward_half</t>
        </is>
      </c>
      <c r="BC34" s="24" t="inlineStr">
        <is>
          <t>measured-edge-margin-v2</t>
        </is>
      </c>
      <c r="BD34" s="24" t="inlineStr">
        <is>
          <t>8360b122264b796b0fb193095cfe4506c7e064e5f3f8c0a659aec41efd08dd25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2026-08-03T22:56:38.586421Z</t>
        </is>
      </c>
      <c r="BI34" s="24" t="inlineStr">
        <is>
          <t>["same_event","same_team_same_day","same_league_same_day"]</t>
        </is>
      </c>
      <c r="BJ34" s="25" t="n">
        <v>1.5</v>
      </c>
      <c r="BK34" s="26" t="n">
        <v>-147</v>
      </c>
      <c r="BL34" s="27" t="n">
        <v>1.680272</v>
      </c>
      <c r="BM34" s="28" t="n">
        <v>0.5951419999999999</v>
      </c>
      <c r="BN34" s="28" t="n">
        <v>0.59204</v>
      </c>
      <c r="BO34" s="28" t="n"/>
      <c r="BP34" s="25" t="n"/>
      <c r="BQ34" s="27" t="n">
        <v>1.680272</v>
      </c>
      <c r="BR34" s="28" t="n">
        <v>0.595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inlineStr">
        <is>
          <t>True</t>
        </is>
      </c>
    </row>
    <row r="35" ht="36" customHeight="1">
      <c r="A35" s="24" t="inlineStr">
        <is>
          <t>bf796868ef09489c</t>
        </is>
      </c>
      <c r="B35" s="24" t="inlineStr">
        <is>
          <t>2026-08-03T22:56:38.586421Z</t>
        </is>
      </c>
      <c r="C35" s="24" t="inlineStr">
        <is>
          <t>2026-08-04T00:05Z</t>
        </is>
      </c>
      <c r="D35" s="24" t="inlineStr">
        <is>
          <t>401816379</t>
        </is>
      </c>
      <c r="E35" s="24" t="inlineStr">
        <is>
          <t>MLB</t>
        </is>
      </c>
      <c r="F35" s="24" t="inlineStr">
        <is>
          <t>Los Angeles Dodgers</t>
        </is>
      </c>
      <c r="G35" s="24" t="inlineStr">
        <is>
          <t>Chicago Cubs</t>
        </is>
      </c>
      <c r="H35" s="24" t="inlineStr">
        <is>
          <t>total</t>
        </is>
      </c>
      <c r="I35" s="24" t="inlineStr">
        <is>
          <t>under</t>
        </is>
      </c>
      <c r="J35" s="25" t="n">
        <v>7.5</v>
      </c>
      <c r="K35" s="24" t="inlineStr">
        <is>
          <t>polymarket_us</t>
        </is>
      </c>
      <c r="L35" s="26" t="n">
        <v>120</v>
      </c>
      <c r="M35" s="27" t="n">
        <v>2.2</v>
      </c>
      <c r="N35" s="28" t="n">
        <v>0.454545</v>
      </c>
      <c r="O35" s="28" t="n">
        <v>0.514357</v>
      </c>
      <c r="P35" s="28" t="n">
        <v>0.042131</v>
      </c>
      <c r="Q35" s="28" t="n">
        <v>0.059812</v>
      </c>
      <c r="R35" s="26" t="n">
        <v>56</v>
      </c>
      <c r="S35" s="29" t="n">
        <v>1</v>
      </c>
      <c r="T35" s="24" t="inlineStr">
        <is>
          <t>measured-edge-totals-v2</t>
        </is>
      </c>
      <c r="U35" s="24" t="inlineStr">
        <is>
          <t>settled</t>
        </is>
      </c>
      <c r="V35" s="24" t="inlineStr">
        <is>
          <t>loss</t>
        </is>
      </c>
      <c r="W35" s="26" t="n">
        <v>5</v>
      </c>
      <c r="X35" s="26" t="n">
        <v>10</v>
      </c>
      <c r="Y35" s="25" t="n">
        <v>7.5</v>
      </c>
      <c r="Z35" s="26" t="n">
        <v>120</v>
      </c>
      <c r="AA35" s="28" t="n">
        <v>0.455</v>
      </c>
      <c r="AB35" s="28" t="n">
        <v>0.000455</v>
      </c>
      <c r="AC35" s="30" t="n">
        <v>-1</v>
      </c>
      <c r="AD35" s="24" t="inlineStr">
        <is>
          <t>2026-08-04T03:57:46.248916Z</t>
        </is>
      </c>
      <c r="AE35" s="31" t="inlineStr">
        <is>
          <t>Measured Edge Totals: Trend Engine projected 3.69-4.17; raw selected-side p=0.5188, calibrated p=0.5144.</t>
        </is>
      </c>
      <c r="AF35" s="31" t="inlineStr">
        <is>
          <t>Research-only; lineup, bullpen, park, weather, xFIP, and wRC+ may be neutral fallbacks; market availability and BBO depth may change before first pitch.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mlb-lad</t>
        </is>
      </c>
      <c r="AQ35" s="24" t="inlineStr">
        <is>
          <t>Los Angeles Dodgers</t>
        </is>
      </c>
      <c r="AR35" s="24" t="inlineStr">
        <is>
          <t>Los Angeles Dodgers</t>
        </is>
      </c>
      <c r="AS35" s="24" t="inlineStr">
        <is>
          <t>mlb-chc</t>
        </is>
      </c>
      <c r="AT35" s="24" t="inlineStr">
        <is>
          <t>Chicago Cubs</t>
        </is>
      </c>
      <c r="AU35" s="24" t="inlineStr">
        <is>
          <t>Chicago Cubs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433578016242b27f9c1c7132cc6b5a2bcc7dd1b0234590c12a944455a88e71bd</t>
        </is>
      </c>
      <c r="BB35" s="24" t="inlineStr">
        <is>
          <t>flat_probability_shrinkage_toward_half</t>
        </is>
      </c>
      <c r="BC35" s="24" t="inlineStr">
        <is>
          <t>measured-edge-totals-v2</t>
        </is>
      </c>
      <c r="BD35" s="24" t="inlineStr">
        <is>
          <t>433578016242b27f9c1c7132cc6b5a2bcc7dd1b0234590c12a944455a88e71bd</t>
        </is>
      </c>
      <c r="BE35" s="24" t="inlineStr">
        <is>
          <t>v3</t>
        </is>
      </c>
      <c r="BF35" s="24" t="inlineStr">
        <is>
          <t>1</t>
        </is>
      </c>
      <c r="BG35" s="24" t="inlineStr">
        <is>
          <t>measured-edge-paired-v1</t>
        </is>
      </c>
      <c r="BH35" s="24" t="inlineStr">
        <is>
          <t>2026-08-03T22:56:38.586421Z</t>
        </is>
      </c>
      <c r="BI35" s="24" t="inlineStr">
        <is>
          <t>["same_event","same_team_same_day","same_league_same_day"]</t>
        </is>
      </c>
      <c r="BJ35" s="25" t="n">
        <v>7.5</v>
      </c>
      <c r="BK35" s="26" t="n">
        <v>120</v>
      </c>
      <c r="BL35" s="27" t="n">
        <v>2.2</v>
      </c>
      <c r="BM35" s="28" t="n">
        <v>0.454545</v>
      </c>
      <c r="BN35" s="28" t="n">
        <v>0.452736</v>
      </c>
      <c r="BO35" s="28" t="n"/>
      <c r="BP35" s="25" t="n"/>
      <c r="BQ35" s="27" t="n">
        <v>2.2</v>
      </c>
      <c r="BR35" s="28" t="n">
        <v>0.455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inlineStr">
        <is>
          <t>True</t>
        </is>
      </c>
    </row>
    <row r="36" ht="36" customHeight="1">
      <c r="A36" s="24" t="inlineStr">
        <is>
          <t>fea223a733ef436b</t>
        </is>
      </c>
      <c r="B36" s="24" t="inlineStr">
        <is>
          <t>2026-08-03T22:56:38.586421Z</t>
        </is>
      </c>
      <c r="C36" s="24" t="inlineStr">
        <is>
          <t>2026-08-04T00:10Z</t>
        </is>
      </c>
      <c r="D36" s="24" t="inlineStr">
        <is>
          <t>401816382</t>
        </is>
      </c>
      <c r="E36" s="24" t="inlineStr">
        <is>
          <t>MLB</t>
        </is>
      </c>
      <c r="F36" s="24" t="inlineStr">
        <is>
          <t>Toronto Blue Jays</t>
        </is>
      </c>
      <c r="G36" s="24" t="inlineStr">
        <is>
          <t>Houston Astros</t>
        </is>
      </c>
      <c r="H36" s="24" t="inlineStr">
        <is>
          <t>spread</t>
        </is>
      </c>
      <c r="I36" s="24" t="inlineStr">
        <is>
          <t>away</t>
        </is>
      </c>
      <c r="J36" s="25" t="n">
        <v>1.5</v>
      </c>
      <c r="K36" s="24" t="inlineStr">
        <is>
          <t>polymarket_us</t>
        </is>
      </c>
      <c r="L36" s="26" t="n">
        <v>-156</v>
      </c>
      <c r="M36" s="27" t="n">
        <v>1.641026</v>
      </c>
      <c r="N36" s="28" t="n">
        <v>0.609375</v>
      </c>
      <c r="O36" s="28" t="n">
        <v>0.533577</v>
      </c>
      <c r="P36" s="28" t="n">
        <v>0.05172</v>
      </c>
      <c r="Q36" s="28" t="n">
        <v>-0.075798</v>
      </c>
      <c r="R36" s="26" t="n">
        <v>0</v>
      </c>
      <c r="S36" s="29" t="n">
        <v>1</v>
      </c>
      <c r="T36" s="24" t="inlineStr">
        <is>
          <t>measured-edge-margin-v2</t>
        </is>
      </c>
      <c r="U36" s="24" t="inlineStr">
        <is>
          <t>settled</t>
        </is>
      </c>
      <c r="V36" s="24" t="inlineStr">
        <is>
          <t>win</t>
        </is>
      </c>
      <c r="W36" s="26" t="n">
        <v>3</v>
      </c>
      <c r="X36" s="26" t="n">
        <v>1</v>
      </c>
      <c r="Y36" s="25" t="n">
        <v>1.5</v>
      </c>
      <c r="Z36" s="26" t="n">
        <v>-156</v>
      </c>
      <c r="AA36" s="28" t="n">
        <v>0.61</v>
      </c>
      <c r="AB36" s="28" t="n">
        <v>0.000625</v>
      </c>
      <c r="AC36" s="30" t="n">
        <v>0.641</v>
      </c>
      <c r="AD36" s="24" t="inlineStr">
        <is>
          <t>2026-08-04T03:57:46.525739Z</t>
        </is>
      </c>
      <c r="AE36" s="31" t="inlineStr">
        <is>
          <t>Measured Edge Margin: Trend Engine projected 4.45-5.54; raw selected-side p=0.5511, calibrated p=0.5336.</t>
        </is>
      </c>
      <c r="AF36" s="31" t="inlineStr">
        <is>
          <t>Research-only; lineup, bullpen, park, weather, xFIP, and wRC+ may be neutral fallbacks; market availability and BBO depth may change before first pitch.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mlb-tor</t>
        </is>
      </c>
      <c r="AQ36" s="24" t="inlineStr">
        <is>
          <t>Toronto Blue Jays</t>
        </is>
      </c>
      <c r="AR36" s="24" t="inlineStr">
        <is>
          <t>Toronto Blue Jays</t>
        </is>
      </c>
      <c r="AS36" s="24" t="inlineStr">
        <is>
          <t>mlb-hou</t>
        </is>
      </c>
      <c r="AT36" s="24" t="inlineStr">
        <is>
          <t>Houston Astros</t>
        </is>
      </c>
      <c r="AU36" s="24" t="inlineStr">
        <is>
          <t>Houston Astros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8360b122264b796b0fb193095cfe4506c7e064e5f3f8c0a659aec41efd08dd25</t>
        </is>
      </c>
      <c r="BB36" s="24" t="inlineStr">
        <is>
          <t>flat_probability_shrinkage_toward_half</t>
        </is>
      </c>
      <c r="BC36" s="24" t="inlineStr">
        <is>
          <t>measured-edge-margin-v2</t>
        </is>
      </c>
      <c r="BD36" s="24" t="inlineStr">
        <is>
          <t>8360b122264b796b0fb193095cfe4506c7e064e5f3f8c0a659aec41efd08dd25</t>
        </is>
      </c>
      <c r="BE36" s="24" t="inlineStr">
        <is>
          <t>v3</t>
        </is>
      </c>
      <c r="BF36" s="24" t="inlineStr">
        <is>
          <t>1</t>
        </is>
      </c>
      <c r="BG36" s="24" t="inlineStr">
        <is>
          <t>measured-edge-paired-v1</t>
        </is>
      </c>
      <c r="BH36" s="24" t="inlineStr">
        <is>
          <t>2026-08-03T22:56:38.586421Z</t>
        </is>
      </c>
      <c r="BI36" s="24" t="inlineStr">
        <is>
          <t>["same_event","same_team_same_day","same_league_same_day"]</t>
        </is>
      </c>
      <c r="BJ36" s="25" t="n">
        <v>1.5</v>
      </c>
      <c r="BK36" s="26" t="n">
        <v>-156</v>
      </c>
      <c r="BL36" s="27" t="n">
        <v>1.641026</v>
      </c>
      <c r="BM36" s="28" t="n">
        <v>0.609375</v>
      </c>
      <c r="BN36" s="28" t="n">
        <v>0.606965</v>
      </c>
      <c r="BO36" s="28" t="n"/>
      <c r="BP36" s="25" t="n"/>
      <c r="BQ36" s="27" t="n">
        <v>1.641026</v>
      </c>
      <c r="BR36" s="28" t="n">
        <v>0.61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inlineStr">
        <is>
          <t>False</t>
        </is>
      </c>
    </row>
    <row r="37" ht="36" customHeight="1">
      <c r="A37" s="24" t="inlineStr">
        <is>
          <t>7138c887afdb41a3</t>
        </is>
      </c>
      <c r="B37" s="24" t="inlineStr">
        <is>
          <t>2026-08-03T22:56:38.586421Z</t>
        </is>
      </c>
      <c r="C37" s="24" t="inlineStr">
        <is>
          <t>2026-08-04T00:10Z</t>
        </is>
      </c>
      <c r="D37" s="24" t="inlineStr">
        <is>
          <t>401816382</t>
        </is>
      </c>
      <c r="E37" s="24" t="inlineStr">
        <is>
          <t>MLB</t>
        </is>
      </c>
      <c r="F37" s="24" t="inlineStr">
        <is>
          <t>Toronto Blue Jays</t>
        </is>
      </c>
      <c r="G37" s="24" t="inlineStr">
        <is>
          <t>Houston Astros</t>
        </is>
      </c>
      <c r="H37" s="24" t="inlineStr">
        <is>
          <t>total</t>
        </is>
      </c>
      <c r="I37" s="24" t="inlineStr">
        <is>
          <t>under</t>
        </is>
      </c>
      <c r="J37" s="25" t="n">
        <v>9.5</v>
      </c>
      <c r="K37" s="24" t="inlineStr">
        <is>
          <t>polymarket_us</t>
        </is>
      </c>
      <c r="L37" s="26" t="n">
        <v>-115</v>
      </c>
      <c r="M37" s="27" t="n">
        <v>1.869565</v>
      </c>
      <c r="N37" s="28" t="n">
        <v>0.534884</v>
      </c>
      <c r="O37" s="28" t="n">
        <v>0.511777</v>
      </c>
      <c r="P37" s="28" t="n">
        <v>0.05172</v>
      </c>
      <c r="Q37" s="28" t="n">
        <v>-0.023107</v>
      </c>
      <c r="R37" s="26" t="n">
        <v>9</v>
      </c>
      <c r="S37" s="29" t="n">
        <v>1</v>
      </c>
      <c r="T37" s="24" t="inlineStr">
        <is>
          <t>measured-edge-totals-v2</t>
        </is>
      </c>
      <c r="U37" s="24" t="inlineStr">
        <is>
          <t>settled</t>
        </is>
      </c>
      <c r="V37" s="24" t="inlineStr">
        <is>
          <t>win</t>
        </is>
      </c>
      <c r="W37" s="26" t="n">
        <v>3</v>
      </c>
      <c r="X37" s="26" t="n">
        <v>1</v>
      </c>
      <c r="Y37" s="25" t="n">
        <v>9.5</v>
      </c>
      <c r="Z37" s="26" t="n">
        <v>-115</v>
      </c>
      <c r="AA37" s="28" t="n">
        <v>0.535</v>
      </c>
      <c r="AB37" s="28" t="n">
        <v>0.000116</v>
      </c>
      <c r="AC37" s="30" t="n">
        <v>0.8696</v>
      </c>
      <c r="AD37" s="24" t="inlineStr">
        <is>
          <t>2026-08-04T03:57:46.804857Z</t>
        </is>
      </c>
      <c r="AE37" s="31" t="inlineStr">
        <is>
          <t>Measured Edge Totals: Trend Engine projected 4.45-5.54; raw selected-side p=0.5112, calibrated p=0.5118.</t>
        </is>
      </c>
      <c r="AF37" s="31" t="inlineStr">
        <is>
          <t>Research-only; lineup, bullpen, park, weather, xFIP, and wRC+ may be neutral fallbacks; market availability and BBO depth may change before first pitch.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mlb-tor</t>
        </is>
      </c>
      <c r="AQ37" s="24" t="inlineStr">
        <is>
          <t>Toronto Blue Jays</t>
        </is>
      </c>
      <c r="AR37" s="24" t="inlineStr">
        <is>
          <t>Toronto Blue Jays</t>
        </is>
      </c>
      <c r="AS37" s="24" t="inlineStr">
        <is>
          <t>mlb-hou</t>
        </is>
      </c>
      <c r="AT37" s="24" t="inlineStr">
        <is>
          <t>Houston Astros</t>
        </is>
      </c>
      <c r="AU37" s="24" t="inlineStr">
        <is>
          <t>Houston Astros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433578016242b27f9c1c7132cc6b5a2bcc7dd1b0234590c12a944455a88e71bd</t>
        </is>
      </c>
      <c r="BB37" s="24" t="inlineStr">
        <is>
          <t>flat_probability_shrinkage_toward_half</t>
        </is>
      </c>
      <c r="BC37" s="24" t="inlineStr">
        <is>
          <t>measured-edge-totals-v2</t>
        </is>
      </c>
      <c r="BD37" s="24" t="inlineStr">
        <is>
          <t>433578016242b27f9c1c7132cc6b5a2bcc7dd1b0234590c12a944455a88e71bd</t>
        </is>
      </c>
      <c r="BE37" s="24" t="inlineStr">
        <is>
          <t>v3</t>
        </is>
      </c>
      <c r="BF37" s="24" t="inlineStr">
        <is>
          <t>1</t>
        </is>
      </c>
      <c r="BG37" s="24" t="inlineStr">
        <is>
          <t>measured-edge-paired-v1</t>
        </is>
      </c>
      <c r="BH37" s="24" t="inlineStr">
        <is>
          <t>2026-08-03T22:56:38.586421Z</t>
        </is>
      </c>
      <c r="BI37" s="24" t="inlineStr">
        <is>
          <t>["same_event","same_team_same_day","same_league_same_day"]</t>
        </is>
      </c>
      <c r="BJ37" s="25" t="n">
        <v>9.5</v>
      </c>
      <c r="BK37" s="26" t="n">
        <v>-115</v>
      </c>
      <c r="BL37" s="27" t="n">
        <v>1.869565</v>
      </c>
      <c r="BM37" s="28" t="n">
        <v>0.534884</v>
      </c>
      <c r="BN37" s="28" t="n">
        <v>0.532338</v>
      </c>
      <c r="BO37" s="28" t="n"/>
      <c r="BP37" s="25" t="n"/>
      <c r="BQ37" s="27" t="n">
        <v>1.869565</v>
      </c>
      <c r="BR37" s="28" t="n">
        <v>0.535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inlineStr">
        <is>
          <t>False</t>
        </is>
      </c>
    </row>
    <row r="38" ht="36" customHeight="1">
      <c r="A38" s="24" t="inlineStr">
        <is>
          <t>6ebdd1f162854a64</t>
        </is>
      </c>
      <c r="B38" s="24" t="inlineStr">
        <is>
          <t>2026-08-03T22:56:38.586421Z</t>
        </is>
      </c>
      <c r="C38" s="24" t="inlineStr">
        <is>
          <t>2026-08-04T00:40Z</t>
        </is>
      </c>
      <c r="D38" s="24" t="inlineStr">
        <is>
          <t>401816383</t>
        </is>
      </c>
      <c r="E38" s="24" t="inlineStr">
        <is>
          <t>MLB</t>
        </is>
      </c>
      <c r="F38" s="24" t="inlineStr">
        <is>
          <t>Tampa Bay Rays</t>
        </is>
      </c>
      <c r="G38" s="24" t="inlineStr">
        <is>
          <t>Colorado Rockies</t>
        </is>
      </c>
      <c r="H38" s="24" t="inlineStr">
        <is>
          <t>spread</t>
        </is>
      </c>
      <c r="I38" s="24" t="inlineStr">
        <is>
          <t>home</t>
        </is>
      </c>
      <c r="J38" s="25" t="n">
        <v>1.5</v>
      </c>
      <c r="K38" s="24" t="inlineStr">
        <is>
          <t>polymarket_us</t>
        </is>
      </c>
      <c r="L38" s="26" t="n">
        <v>108</v>
      </c>
      <c r="M38" s="27" t="n">
        <v>2.08</v>
      </c>
      <c r="N38" s="28" t="n">
        <v>0.480769</v>
      </c>
      <c r="O38" s="28" t="n">
        <v>0.623102</v>
      </c>
      <c r="P38" s="28" t="n">
        <v>0.042131</v>
      </c>
      <c r="Q38" s="28" t="n">
        <v>0.142333</v>
      </c>
      <c r="R38" s="26" t="n">
        <v>97</v>
      </c>
      <c r="S38" s="29" t="n">
        <v>1.5</v>
      </c>
      <c r="T38" s="24" t="inlineStr">
        <is>
          <t>measured-edge-margin-v2</t>
        </is>
      </c>
      <c r="U38" s="24" t="inlineStr">
        <is>
          <t>settled</t>
        </is>
      </c>
      <c r="V38" s="24" t="inlineStr">
        <is>
          <t>loss</t>
        </is>
      </c>
      <c r="W38" s="26" t="n">
        <v>13</v>
      </c>
      <c r="X38" s="26" t="n">
        <v>9</v>
      </c>
      <c r="Y38" s="25" t="n">
        <v>1.5</v>
      </c>
      <c r="Z38" s="26" t="n">
        <v>108</v>
      </c>
      <c r="AA38" s="28" t="n">
        <v>0.48</v>
      </c>
      <c r="AB38" s="28" t="n">
        <v>-0.000769</v>
      </c>
      <c r="AC38" s="30" t="n">
        <v>-1.5</v>
      </c>
      <c r="AD38" s="24" t="inlineStr">
        <is>
          <t>2026-08-04T03:57:47.083625Z</t>
        </is>
      </c>
      <c r="AE38" s="31" t="inlineStr">
        <is>
          <t>Measured Edge Margin: Trend Engine projected 5.20-5.67; raw selected-side p=0.6875, calibrated p=0.6231.</t>
        </is>
      </c>
      <c r="AF38" s="31" t="inlineStr">
        <is>
          <t>Research-only; lineup, bullpen, park, weather, xFIP, and wRC+ may be neutral fallbacks; market availability and BBO depth may change before first pitch.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mlb-tb</t>
        </is>
      </c>
      <c r="AQ38" s="24" t="inlineStr">
        <is>
          <t>Tampa Bay Rays</t>
        </is>
      </c>
      <c r="AR38" s="24" t="inlineStr">
        <is>
          <t>Tampa Bay Rays</t>
        </is>
      </c>
      <c r="AS38" s="24" t="inlineStr">
        <is>
          <t>mlb-col</t>
        </is>
      </c>
      <c r="AT38" s="24" t="inlineStr">
        <is>
          <t>Colorado Rockies</t>
        </is>
      </c>
      <c r="AU38" s="24" t="inlineStr">
        <is>
          <t>Colorado Rockies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8360b122264b796b0fb193095cfe4506c7e064e5f3f8c0a659aec41efd08dd25</t>
        </is>
      </c>
      <c r="BB38" s="24" t="inlineStr">
        <is>
          <t>flat_probability_shrinkage_toward_half</t>
        </is>
      </c>
      <c r="BC38" s="24" t="inlineStr">
        <is>
          <t>measured-edge-margin-v2</t>
        </is>
      </c>
      <c r="BD38" s="24" t="inlineStr">
        <is>
          <t>8360b122264b796b0fb193095cfe4506c7e064e5f3f8c0a659aec41efd08dd25</t>
        </is>
      </c>
      <c r="BE38" s="24" t="inlineStr">
        <is>
          <t>v3</t>
        </is>
      </c>
      <c r="BF38" s="24" t="inlineStr">
        <is>
          <t>1</t>
        </is>
      </c>
      <c r="BG38" s="24" t="inlineStr">
        <is>
          <t>measured-edge-paired-v1</t>
        </is>
      </c>
      <c r="BH38" s="24" t="inlineStr">
        <is>
          <t>2026-08-03T22:56:38.586421Z</t>
        </is>
      </c>
      <c r="BI38" s="24" t="inlineStr">
        <is>
          <t>["same_event","same_team_same_day","same_league_same_day"]</t>
        </is>
      </c>
      <c r="BJ38" s="25" t="n">
        <v>1.5</v>
      </c>
      <c r="BK38" s="26" t="n">
        <v>108</v>
      </c>
      <c r="BL38" s="27" t="n">
        <v>2.08</v>
      </c>
      <c r="BM38" s="28" t="n">
        <v>0.480769</v>
      </c>
      <c r="BN38" s="28" t="n">
        <v>0.477612</v>
      </c>
      <c r="BO38" s="28" t="n"/>
      <c r="BP38" s="25" t="n"/>
      <c r="BQ38" s="27" t="n">
        <v>2.08</v>
      </c>
      <c r="BR38" s="28" t="n">
        <v>0.48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inlineStr">
        <is>
          <t>True</t>
        </is>
      </c>
    </row>
    <row r="39" ht="36" customHeight="1">
      <c r="A39" s="24" t="inlineStr">
        <is>
          <t>eddda04cc2ed417b</t>
        </is>
      </c>
      <c r="B39" s="24" t="inlineStr">
        <is>
          <t>2026-08-03T22:56:38.586421Z</t>
        </is>
      </c>
      <c r="C39" s="24" t="inlineStr">
        <is>
          <t>2026-08-04T00:40Z</t>
        </is>
      </c>
      <c r="D39" s="24" t="inlineStr">
        <is>
          <t>401816383</t>
        </is>
      </c>
      <c r="E39" s="24" t="inlineStr">
        <is>
          <t>MLB</t>
        </is>
      </c>
      <c r="F39" s="24" t="inlineStr">
        <is>
          <t>Tampa Bay Rays</t>
        </is>
      </c>
      <c r="G39" s="24" t="inlineStr">
        <is>
          <t>Colorado Rockies</t>
        </is>
      </c>
      <c r="H39" s="24" t="inlineStr">
        <is>
          <t>total</t>
        </is>
      </c>
      <c r="I39" s="24" t="inlineStr">
        <is>
          <t>under</t>
        </is>
      </c>
      <c r="J39" s="25" t="n">
        <v>11.5</v>
      </c>
      <c r="K39" s="24" t="inlineStr">
        <is>
          <t>polymarket_us</t>
        </is>
      </c>
      <c r="L39" s="26" t="n">
        <v>-111</v>
      </c>
      <c r="M39" s="27" t="n">
        <v>1.900901</v>
      </c>
      <c r="N39" s="28" t="n">
        <v>0.526066</v>
      </c>
      <c r="O39" s="28" t="n">
        <v>0.542428</v>
      </c>
      <c r="P39" s="28" t="n">
        <v>0.042131</v>
      </c>
      <c r="Q39" s="28" t="n">
        <v>0.016362</v>
      </c>
      <c r="R39" s="26" t="n">
        <v>35</v>
      </c>
      <c r="S39" s="29" t="n">
        <v>1</v>
      </c>
      <c r="T39" s="24" t="inlineStr">
        <is>
          <t>measured-edge-totals-v2</t>
        </is>
      </c>
      <c r="U39" s="24" t="inlineStr">
        <is>
          <t>settled</t>
        </is>
      </c>
      <c r="V39" s="24" t="inlineStr">
        <is>
          <t>loss</t>
        </is>
      </c>
      <c r="W39" s="26" t="n">
        <v>13</v>
      </c>
      <c r="X39" s="26" t="n">
        <v>9</v>
      </c>
      <c r="Y39" s="25" t="n">
        <v>11.5</v>
      </c>
      <c r="Z39" s="26" t="n">
        <v>-111</v>
      </c>
      <c r="AA39" s="28" t="n">
        <v>0.525</v>
      </c>
      <c r="AB39" s="28" t="n">
        <v>-0.001066</v>
      </c>
      <c r="AC39" s="30" t="n">
        <v>-1</v>
      </c>
      <c r="AD39" s="24" t="inlineStr">
        <is>
          <t>2026-08-04T03:57:47.365427Z</t>
        </is>
      </c>
      <c r="AE39" s="31" t="inlineStr">
        <is>
          <t>Measured Edge Totals: Trend Engine projected 5.20-5.67; raw selected-side p=0.6009, calibrated p=0.5424.</t>
        </is>
      </c>
      <c r="AF39" s="31" t="inlineStr">
        <is>
          <t>Research-only; lineup, bullpen, park, weather, xFIP, and wRC+ may be neutral fallbacks; market availability and BBO depth may change before first pitch.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mlb-tb</t>
        </is>
      </c>
      <c r="AQ39" s="24" t="inlineStr">
        <is>
          <t>Tampa Bay Rays</t>
        </is>
      </c>
      <c r="AR39" s="24" t="inlineStr">
        <is>
          <t>Tampa Bay Rays</t>
        </is>
      </c>
      <c r="AS39" s="24" t="inlineStr">
        <is>
          <t>mlb-col</t>
        </is>
      </c>
      <c r="AT39" s="24" t="inlineStr">
        <is>
          <t>Colorado Rockies</t>
        </is>
      </c>
      <c r="AU39" s="24" t="inlineStr">
        <is>
          <t>Colorado Rockies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433578016242b27f9c1c7132cc6b5a2bcc7dd1b0234590c12a944455a88e71bd</t>
        </is>
      </c>
      <c r="BB39" s="24" t="inlineStr">
        <is>
          <t>flat_probability_shrinkage_toward_half</t>
        </is>
      </c>
      <c r="BC39" s="24" t="inlineStr">
        <is>
          <t>measured-edge-totals-v2</t>
        </is>
      </c>
      <c r="BD39" s="24" t="inlineStr">
        <is>
          <t>433578016242b27f9c1c7132cc6b5a2bcc7dd1b0234590c12a944455a88e71bd</t>
        </is>
      </c>
      <c r="BE39" s="24" t="inlineStr">
        <is>
          <t>v3</t>
        </is>
      </c>
      <c r="BF39" s="24" t="inlineStr">
        <is>
          <t>1</t>
        </is>
      </c>
      <c r="BG39" s="24" t="inlineStr">
        <is>
          <t>measured-edge-paired-v1</t>
        </is>
      </c>
      <c r="BH39" s="24" t="inlineStr">
        <is>
          <t>2026-08-03T22:56:38.586421Z</t>
        </is>
      </c>
      <c r="BI39" s="24" t="inlineStr">
        <is>
          <t>["same_event","same_team_same_day","same_league_same_day"]</t>
        </is>
      </c>
      <c r="BJ39" s="25" t="n">
        <v>11.5</v>
      </c>
      <c r="BK39" s="26" t="n">
        <v>-111</v>
      </c>
      <c r="BL39" s="27" t="n">
        <v>1.900901</v>
      </c>
      <c r="BM39" s="28" t="n">
        <v>0.526066</v>
      </c>
      <c r="BN39" s="28" t="n">
        <v>0.522388</v>
      </c>
      <c r="BO39" s="28" t="n"/>
      <c r="BP39" s="25" t="n"/>
      <c r="BQ39" s="27" t="n">
        <v>1.900901</v>
      </c>
      <c r="BR39" s="28" t="n">
        <v>0.525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inlineStr">
        <is>
          <t>True</t>
        </is>
      </c>
    </row>
    <row r="40" ht="36" customHeight="1">
      <c r="A40" s="24" t="inlineStr">
        <is>
          <t>27ed6f735b404859</t>
        </is>
      </c>
      <c r="B40" s="24" t="inlineStr">
        <is>
          <t>2026-08-03T22:56:38.586421Z</t>
        </is>
      </c>
      <c r="C40" s="24" t="inlineStr">
        <is>
          <t>2026-08-04T01:40Z</t>
        </is>
      </c>
      <c r="D40" s="24" t="inlineStr">
        <is>
          <t>401815079</t>
        </is>
      </c>
      <c r="E40" s="24" t="inlineStr">
        <is>
          <t>MLB</t>
        </is>
      </c>
      <c r="F40" s="24" t="inlineStr">
        <is>
          <t>San Diego Padres</t>
        </is>
      </c>
      <c r="G40" s="24" t="inlineStr">
        <is>
          <t>Arizona Diamondbacks</t>
        </is>
      </c>
      <c r="H40" s="24" t="inlineStr">
        <is>
          <t>spread</t>
        </is>
      </c>
      <c r="I40" s="24" t="inlineStr">
        <is>
          <t>home</t>
        </is>
      </c>
      <c r="J40" s="25" t="n">
        <v>1.5</v>
      </c>
      <c r="K40" s="24" t="inlineStr">
        <is>
          <t>polymarket_us</t>
        </is>
      </c>
      <c r="L40" s="26" t="n">
        <v>-174</v>
      </c>
      <c r="M40" s="27" t="n">
        <v>1.574713</v>
      </c>
      <c r="N40" s="28" t="n">
        <v>0.635036</v>
      </c>
      <c r="O40" s="28" t="n">
        <v>0.625824</v>
      </c>
      <c r="P40" s="28" t="n">
        <v>0.042131</v>
      </c>
      <c r="Q40" s="28" t="n">
        <v>-0.009212</v>
      </c>
      <c r="R40" s="26" t="n">
        <v>22</v>
      </c>
      <c r="S40" s="29" t="n">
        <v>1.5</v>
      </c>
      <c r="T40" s="24" t="inlineStr">
        <is>
          <t>measured-edge-margin-v2</t>
        </is>
      </c>
      <c r="U40" s="24" t="inlineStr">
        <is>
          <t>open</t>
        </is>
      </c>
      <c r="V40" s="24" t="n"/>
      <c r="W40" s="26" t="n"/>
      <c r="X40" s="26" t="n"/>
      <c r="Y40" s="25" t="n"/>
      <c r="Z40" s="26" t="n"/>
      <c r="AA40" s="28" t="n"/>
      <c r="AB40" s="28" t="n"/>
      <c r="AC40" s="30" t="n"/>
      <c r="AD40" s="24" t="n"/>
      <c r="AE40" s="31" t="inlineStr">
        <is>
          <t>Measured Edge Margin: Trend Engine projected 4.26-4.48; raw selected-side p=0.6917, calibrated p=0.6258.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mlb-sd</t>
        </is>
      </c>
      <c r="AQ40" s="24" t="inlineStr">
        <is>
          <t>San Diego Padres</t>
        </is>
      </c>
      <c r="AR40" s="24" t="inlineStr">
        <is>
          <t>San Diego Padres</t>
        </is>
      </c>
      <c r="AS40" s="24" t="inlineStr">
        <is>
          <t>mlb-ari</t>
        </is>
      </c>
      <c r="AT40" s="24" t="inlineStr">
        <is>
          <t>Arizona Diamondbacks</t>
        </is>
      </c>
      <c r="AU40" s="24" t="inlineStr">
        <is>
          <t>Arizona Diamondbacks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8360b122264b796b0fb193095cfe4506c7e064e5f3f8c0a659aec41efd08dd25</t>
        </is>
      </c>
      <c r="BB40" s="24" t="inlineStr">
        <is>
          <t>flat_probability_shrinkage_toward_half</t>
        </is>
      </c>
      <c r="BC40" s="24" t="inlineStr">
        <is>
          <t>measured-edge-margin-v2</t>
        </is>
      </c>
      <c r="BD40" s="24" t="inlineStr">
        <is>
          <t>8360b122264b796b0fb193095cfe4506c7e064e5f3f8c0a659aec41efd08dd25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2026-08-03T22:56:38.586421Z</t>
        </is>
      </c>
      <c r="BI40" s="24" t="inlineStr">
        <is>
          <t>["same_event","same_team_same_day","same_league_same_day"]</t>
        </is>
      </c>
      <c r="BJ40" s="25" t="n">
        <v>1.5</v>
      </c>
      <c r="BK40" s="26" t="n">
        <v>-174</v>
      </c>
      <c r="BL40" s="27" t="n">
        <v>1.574713</v>
      </c>
      <c r="BM40" s="28" t="n">
        <v>0.635036</v>
      </c>
      <c r="BN40" s="28" t="n">
        <v>0.631841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inlineStr">
        <is>
          <t>False</t>
        </is>
      </c>
    </row>
    <row r="41" ht="36" customHeight="1">
      <c r="A41" s="24" t="inlineStr">
        <is>
          <t>5d4258fa4e1d4177</t>
        </is>
      </c>
      <c r="B41" s="24" t="inlineStr">
        <is>
          <t>2026-08-03T22:56:38.586421Z</t>
        </is>
      </c>
      <c r="C41" s="24" t="inlineStr">
        <is>
          <t>2026-08-04T01:40Z</t>
        </is>
      </c>
      <c r="D41" s="24" t="inlineStr">
        <is>
          <t>401815079</t>
        </is>
      </c>
      <c r="E41" s="24" t="inlineStr">
        <is>
          <t>MLB</t>
        </is>
      </c>
      <c r="F41" s="24" t="inlineStr">
        <is>
          <t>San Diego Padres</t>
        </is>
      </c>
      <c r="G41" s="24" t="inlineStr">
        <is>
          <t>Arizona Diamondbacks</t>
        </is>
      </c>
      <c r="H41" s="24" t="inlineStr">
        <is>
          <t>total</t>
        </is>
      </c>
      <c r="I41" s="24" t="inlineStr">
        <is>
          <t>under</t>
        </is>
      </c>
      <c r="J41" s="25" t="n">
        <v>8.5</v>
      </c>
      <c r="K41" s="24" t="inlineStr">
        <is>
          <t>polymarket_us</t>
        </is>
      </c>
      <c r="L41" s="26" t="n">
        <v>115</v>
      </c>
      <c r="M41" s="27" t="n">
        <v>2.15</v>
      </c>
      <c r="N41" s="28" t="n">
        <v>0.465116</v>
      </c>
      <c r="O41" s="28" t="n">
        <v>0.510872</v>
      </c>
      <c r="P41" s="28" t="n">
        <v>0.042131</v>
      </c>
      <c r="Q41" s="28" t="n">
        <v>0.045756</v>
      </c>
      <c r="R41" s="26" t="n">
        <v>49</v>
      </c>
      <c r="S41" s="29" t="n">
        <v>1</v>
      </c>
      <c r="T41" s="24" t="inlineStr">
        <is>
          <t>measured-edge-totals-v2</t>
        </is>
      </c>
      <c r="U41" s="24" t="inlineStr">
        <is>
          <t>open</t>
        </is>
      </c>
      <c r="V41" s="24" t="n"/>
      <c r="W41" s="26" t="n"/>
      <c r="X41" s="26" t="n"/>
      <c r="Y41" s="25" t="n"/>
      <c r="Z41" s="26" t="n"/>
      <c r="AA41" s="28" t="n"/>
      <c r="AB41" s="28" t="n"/>
      <c r="AC41" s="30" t="n"/>
      <c r="AD41" s="24" t="n"/>
      <c r="AE41" s="31" t="inlineStr">
        <is>
          <t>Measured Edge Totals: Trend Engine projected 4.26-4.48; raw selected-side p=0.5085, calibrated p=0.5109.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mlb-sd</t>
        </is>
      </c>
      <c r="AQ41" s="24" t="inlineStr">
        <is>
          <t>San Diego Padres</t>
        </is>
      </c>
      <c r="AR41" s="24" t="inlineStr">
        <is>
          <t>San Diego Padres</t>
        </is>
      </c>
      <c r="AS41" s="24" t="inlineStr">
        <is>
          <t>mlb-ari</t>
        </is>
      </c>
      <c r="AT41" s="24" t="inlineStr">
        <is>
          <t>Arizona Diamondbacks</t>
        </is>
      </c>
      <c r="AU41" s="24" t="inlineStr">
        <is>
          <t>Arizona Diamondbacks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433578016242b27f9c1c7132cc6b5a2bcc7dd1b0234590c12a944455a88e71bd</t>
        </is>
      </c>
      <c r="BB41" s="24" t="inlineStr">
        <is>
          <t>flat_probability_shrinkage_toward_half</t>
        </is>
      </c>
      <c r="BC41" s="24" t="inlineStr">
        <is>
          <t>measured-edge-totals-v2</t>
        </is>
      </c>
      <c r="BD41" s="24" t="inlineStr">
        <is>
          <t>433578016242b27f9c1c7132cc6b5a2bcc7dd1b0234590c12a944455a88e71bd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2026-08-03T22:56:38.586421Z</t>
        </is>
      </c>
      <c r="BI41" s="24" t="inlineStr">
        <is>
          <t>["same_event","same_team_same_day","same_league_same_day"]</t>
        </is>
      </c>
      <c r="BJ41" s="25" t="n">
        <v>8.5</v>
      </c>
      <c r="BK41" s="26" t="n">
        <v>115</v>
      </c>
      <c r="BL41" s="27" t="n">
        <v>2.15</v>
      </c>
      <c r="BM41" s="28" t="n">
        <v>0.465116</v>
      </c>
      <c r="BN41" s="28" t="n">
        <v>0.462687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2026-08-04T03:57:47Z</dcterms:created>
  <dcterms:modified xsi:type="dcterms:W3CDTF">2026-08-04T03:57:47Z</dcterms:modified>
</cp:coreProperties>
</file>