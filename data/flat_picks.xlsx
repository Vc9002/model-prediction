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O199" headerRowCount="1">
  <autoFilter ref="A1:CO199"/>
  <tableColumns count="93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COUNTA('Picks'!$A$2:$A$199)</f>
        <v/>
      </c>
      <c r="C4" s="6">
        <f>COUNTIF('Picks'!$U$2:$U$199,"open")</f>
        <v/>
      </c>
      <c r="E4" s="6">
        <f>COUNTIF('Picks'!$U$2:$U$199,"settled")</f>
        <v/>
      </c>
      <c r="G4" s="6">
        <f>IF(COUNTIFS('Picks'!$U$2:$U$199,"settled",'Picks'!$V$2:$V$199,"win")+COUNTIFS('Picks'!$U$2:$U$199,"settled",'Picks'!$V$2:$V$199,"loss")&gt;=$L$2,"Ready","Insufficient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COUNTIF('Picks'!$BX$2:$BX$199,"&gt;0")</f>
        <v/>
      </c>
      <c r="C7" s="6">
        <f>COUNTIFS('Picks'!$BX$2:$BX$199,"&gt;0",'Picks'!$V$2:$V$199,"win")&amp;"-"&amp;COUNTIFS('Picks'!$BX$2:$BX$199,"&gt;0",'Picks'!$V$2:$V$199,"loss")</f>
        <v/>
      </c>
      <c r="E7" s="7">
        <f>IFERROR(COUNTIFS('Picks'!$BX$2:$BX$199,"&gt;0",'Picks'!$V$2:$V$199,"win")/(COUNTIFS('Picks'!$BX$2:$BX$199,"&gt;0",'Picks'!$V$2:$V$199,"win")+COUNTIFS('Picks'!$BX$2:$BX$199,"&gt;0",'Picks'!$V$2:$V$199,"loss")),0)</f>
        <v/>
      </c>
      <c r="G7" s="7">
        <f>IFERROR(SUM('Picks'!$BY$2:$BY$199)/SUM('Picks'!$BX$2:$BX$199),0)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SUM('Picks'!$BY$2:$BY$199)</f>
        <v/>
      </c>
      <c r="C10" s="9">
        <f>IFERROR(AVERAGEIF('Picks'!$AB$2:$AB$199,"&lt;&gt;",'Picks'!$AB$2:$AB$199),0)</f>
        <v/>
      </c>
      <c r="E10" s="6">
        <f>COUNTIFS('Picks'!$AM$2:$AM$199,"QUALIFIED_SHADOW_CALL",'Picks'!$U$2:$U$199,"settled")</f>
        <v/>
      </c>
      <c r="G10" s="8">
        <f>SUMIFS('Picks'!$AC$2:$AC$199,'Picks'!$AM$2:$AM$199,"QUALIFIED_SHADOW_CALL")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COUNTIFS('Picks'!$H$2:$H$199,$A14,'Picks'!$U$2:$U$199,"settled")</f>
        <v/>
      </c>
      <c r="C14" s="13">
        <f>COUNTIFS('Picks'!$H$2:$H$199,$A14,'Picks'!$U$2:$U$199,"settled",'Picks'!$V$2:$V$199,"win")</f>
        <v/>
      </c>
      <c r="D14" s="13">
        <f>COUNTIFS('Picks'!$H$2:$H$199,$A14,'Picks'!$U$2:$U$199,"settled",'Picks'!$V$2:$V$199,"loss")</f>
        <v/>
      </c>
      <c r="E14" s="14">
        <f>IFERROR(C14/(C14+D14),0)</f>
        <v/>
      </c>
      <c r="F14" s="15">
        <f>SUMIFS('Picks'!$BY$2:$BY$199,'Picks'!$H$2:$H$199,$A14)</f>
        <v/>
      </c>
      <c r="G14" s="16">
        <f>IFERROR(AVERAGEIFS('Picks'!$AB$2:$AB$199,'Picks'!$H$2:$H$199,$A14,'Picks'!$U$2:$U$199,"settled"),0)</f>
        <v/>
      </c>
    </row>
    <row r="15">
      <c r="A15" s="17" t="inlineStr">
        <is>
          <t>spread</t>
        </is>
      </c>
      <c r="B15" s="18">
        <f>COUNTIFS('Picks'!$H$2:$H$199,$A15,'Picks'!$U$2:$U$199,"settled")</f>
        <v/>
      </c>
      <c r="C15" s="18">
        <f>COUNTIFS('Picks'!$H$2:$H$199,$A15,'Picks'!$U$2:$U$199,"settled",'Picks'!$V$2:$V$199,"win")</f>
        <v/>
      </c>
      <c r="D15" s="18">
        <f>COUNTIFS('Picks'!$H$2:$H$199,$A15,'Picks'!$U$2:$U$199,"settled",'Picks'!$V$2:$V$199,"loss")</f>
        <v/>
      </c>
      <c r="E15" s="19">
        <f>IFERROR(C15/(C15+D15),0)</f>
        <v/>
      </c>
      <c r="F15" s="20">
        <f>SUMIFS('Picks'!$BY$2:$BY$199,'Picks'!$H$2:$H$199,$A15)</f>
        <v/>
      </c>
      <c r="G15" s="21">
        <f>IFERROR(AVERAGEIFS('Picks'!$AB$2:$AB$199,'Picks'!$H$2:$H$199,$A15,'Picks'!$U$2:$U$199,"settled"),0)</f>
        <v/>
      </c>
    </row>
    <row r="16">
      <c r="A16" s="12" t="inlineStr">
        <is>
          <t>total</t>
        </is>
      </c>
      <c r="B16" s="13">
        <f>COUNTIFS('Picks'!$H$2:$H$199,$A16,'Picks'!$U$2:$U$199,"settled")</f>
        <v/>
      </c>
      <c r="C16" s="13">
        <f>COUNTIFS('Picks'!$H$2:$H$199,$A16,'Picks'!$U$2:$U$199,"settled",'Picks'!$V$2:$V$199,"win")</f>
        <v/>
      </c>
      <c r="D16" s="13">
        <f>COUNTIFS('Picks'!$H$2:$H$199,$A16,'Picks'!$U$2:$U$199,"settled",'Picks'!$V$2:$V$199,"loss")</f>
        <v/>
      </c>
      <c r="E16" s="14">
        <f>IFERROR(C16/(C16+D16),0)</f>
        <v/>
      </c>
      <c r="F16" s="15">
        <f>SUMIFS('Picks'!$BY$2:$BY$199,'Picks'!$H$2:$H$199,$A16)</f>
        <v/>
      </c>
      <c r="G16" s="16">
        <f>IFERROR(AVERAGEIFS('Picks'!$AB$2:$AB$199,'Picks'!$H$2:$H$199,$A16,'Picks'!$U$2:$U$199,"settled"),0)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O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</row>
    <row r="2" ht="36" customHeight="1">
      <c r="A2" s="24" t="inlineStr">
        <is>
          <t>fa2528b34ff54c85</t>
        </is>
      </c>
      <c r="B2" s="24" t="inlineStr">
        <is>
          <t>2026-07-28T20:32:52.305699Z</t>
        </is>
      </c>
      <c r="C2" s="24" t="inlineStr">
        <is>
          <t>2026-07-28T19:30:00-0400</t>
        </is>
      </c>
      <c r="D2" s="24" t="inlineStr">
        <is>
          <t>401857092</t>
        </is>
      </c>
      <c r="E2" s="24" t="inlineStr">
        <is>
          <t>WNBA</t>
        </is>
      </c>
      <c r="F2" s="24" t="inlineStr">
        <is>
          <t>Connecticut Sun</t>
        </is>
      </c>
      <c r="G2" s="24" t="inlineStr">
        <is>
          <t>Washington Mystics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-233</v>
      </c>
      <c r="M2" s="27" t="n">
        <v>1.429185</v>
      </c>
      <c r="N2" s="28" t="n">
        <v>0.6997</v>
      </c>
      <c r="O2" s="28" t="n">
        <v>0.651351</v>
      </c>
      <c r="P2" s="28" t="n"/>
      <c r="Q2" s="28" t="n">
        <v>-0.048349</v>
      </c>
      <c r="R2" s="26" t="n">
        <v>0</v>
      </c>
      <c r="S2" s="29" t="n">
        <v>2</v>
      </c>
      <c r="T2" s="24" t="inlineStr">
        <is>
          <t>wnba-elo-trend-lr-v4</t>
        </is>
      </c>
      <c r="U2" s="24" t="inlineStr">
        <is>
          <t>settled</t>
        </is>
      </c>
      <c r="V2" s="24" t="inlineStr">
        <is>
          <t>win</t>
        </is>
      </c>
      <c r="W2" s="26" t="n">
        <v>84</v>
      </c>
      <c r="X2" s="26" t="n">
        <v>92</v>
      </c>
      <c r="Y2" s="25" t="n"/>
      <c r="Z2" s="26" t="n"/>
      <c r="AA2" s="28" t="n"/>
      <c r="AB2" s="28" t="n"/>
      <c r="AC2" s="30" t="n">
        <v>0.8584000000000001</v>
      </c>
      <c r="AD2" s="24" t="inlineStr">
        <is>
          <t>2026-07-29T02:41:27.874111Z</t>
        </is>
      </c>
      <c r="AE2" s="31" t="inlineStr">
        <is>
          <t>Learned LR call at threshold 0.5001; executable ask 0.7000 (aec-wnba-conn-wsh-2026-07-28). NOTE: wnba_availability_source_conflict unavailable for this game — defaulted to neutral, other features used normally.</t>
        </is>
      </c>
      <c r="AF2" s="31" t="inlineStr">
        <is>
          <t>Learned model; shadow-qualified via operator override.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wnba-con</t>
        </is>
      </c>
      <c r="AQ2" s="24" t="inlineStr">
        <is>
          <t>Connecticut Sun</t>
        </is>
      </c>
      <c r="AR2" s="24" t="inlineStr">
        <is>
          <t>Connecticut Sun</t>
        </is>
      </c>
      <c r="AS2" s="24" t="inlineStr">
        <is>
          <t>wnba-was</t>
        </is>
      </c>
      <c r="AT2" s="24" t="inlineStr">
        <is>
          <t>Washington Mystics</t>
        </is>
      </c>
      <c r="AU2" s="24" t="inlineStr">
        <is>
          <t>Washington Mystics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7afd5274214b58b7efd7f7febc7be3ab33b92351cda5cc6403c0a39faea0cc8c</t>
        </is>
      </c>
      <c r="BB2" s="24" t="inlineStr">
        <is>
          <t>learned_lr</t>
        </is>
      </c>
      <c r="BC2" s="24" t="inlineStr">
        <is>
          <t>wnba-elo-trend-lr-v4</t>
        </is>
      </c>
      <c r="BD2" s="24" t="inlineStr">
        <is>
          <t>7afd5274214b58b7efd7f7febc7be3ab33b92351cda5cc6403c0a39faea0cc8c</t>
        </is>
      </c>
      <c r="BE2" s="24" t="inlineStr">
        <is>
          <t>9ff7e91f06711349</t>
        </is>
      </c>
      <c r="BF2" s="24" t="inlineStr">
        <is>
          <t>1</t>
        </is>
      </c>
      <c r="BG2" s="24" t="inlineStr">
        <is>
          <t>wnba-elo-trend-lr-v4</t>
        </is>
      </c>
      <c r="BH2" s="24" t="inlineStr">
        <is>
          <t>2026-07-28T20:32:19.399772Z</t>
        </is>
      </c>
      <c r="BI2" s="24" t="inlineStr">
        <is>
          <t>["same_event","same_team_same_day","same_league_same_day"]</t>
        </is>
      </c>
      <c r="BJ2" s="25" t="n"/>
      <c r="BK2" s="26" t="n">
        <v>-233</v>
      </c>
      <c r="BL2" s="27" t="n">
        <v>1.429185</v>
      </c>
      <c r="BM2" s="28" t="n">
        <v>0.6997</v>
      </c>
      <c r="BN2" s="28" t="n">
        <v>0.693069</v>
      </c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inlineStr">
        <is>
          <t>0.6918482186</t>
        </is>
      </c>
      <c r="CD2" s="24" t="inlineStr">
        <is>
          <t>-5.150338</t>
        </is>
      </c>
      <c r="CE2" s="24" t="n"/>
      <c r="CF2" s="24" t="n"/>
      <c r="CG2" s="24" t="n"/>
      <c r="CH2" s="24" t="n"/>
      <c r="CI2" s="24" t="inlineStr">
        <is>
          <t>wnba_availability_source_conflict</t>
        </is>
      </c>
      <c r="CJ2" s="24" t="n"/>
      <c r="CK2" s="24" t="n"/>
      <c r="CL2" s="24" t="n"/>
      <c r="CM2" s="24" t="n"/>
      <c r="CN2" s="24" t="n"/>
      <c r="CO2" s="24" t="n"/>
    </row>
    <row r="3" ht="36" customHeight="1">
      <c r="A3" s="24" t="inlineStr">
        <is>
          <t>ea6da1b7d56c4211</t>
        </is>
      </c>
      <c r="B3" s="24" t="inlineStr">
        <is>
          <t>2026-07-28T23:38:20.366083Z</t>
        </is>
      </c>
      <c r="C3" s="24" t="inlineStr">
        <is>
          <t>2026-07-28T20:00:00-0400</t>
        </is>
      </c>
      <c r="D3" s="24" t="inlineStr">
        <is>
          <t>401857093</t>
        </is>
      </c>
      <c r="E3" s="24" t="inlineStr">
        <is>
          <t>WNBA</t>
        </is>
      </c>
      <c r="F3" s="24" t="inlineStr">
        <is>
          <t>Toronto Tempo</t>
        </is>
      </c>
      <c r="G3" s="24" t="inlineStr">
        <is>
          <t>Minnesota Lynx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-1011</v>
      </c>
      <c r="M3" s="27" t="n">
        <v>1.098912</v>
      </c>
      <c r="N3" s="28" t="n">
        <v>0.909991</v>
      </c>
      <c r="O3" s="28" t="n">
        <v>0.778885</v>
      </c>
      <c r="P3" s="28" t="n"/>
      <c r="Q3" s="28" t="n">
        <v>-0.131106</v>
      </c>
      <c r="R3" s="26" t="n">
        <v>0</v>
      </c>
      <c r="S3" s="29" t="n">
        <v>2</v>
      </c>
      <c r="T3" s="24" t="inlineStr">
        <is>
          <t>wnba-elo-trend-lr-v4</t>
        </is>
      </c>
      <c r="U3" s="24" t="inlineStr">
        <is>
          <t>settled</t>
        </is>
      </c>
      <c r="V3" s="24" t="inlineStr">
        <is>
          <t>win</t>
        </is>
      </c>
      <c r="W3" s="26" t="n">
        <v>93</v>
      </c>
      <c r="X3" s="26" t="n">
        <v>100</v>
      </c>
      <c r="Y3" s="25" t="n"/>
      <c r="Z3" s="26" t="n"/>
      <c r="AA3" s="28" t="n"/>
      <c r="AB3" s="28" t="n"/>
      <c r="AC3" s="30" t="n">
        <v>0.1978</v>
      </c>
      <c r="AD3" s="24" t="inlineStr">
        <is>
          <t>2026-07-29T02:41:32.227419Z</t>
        </is>
      </c>
      <c r="AE3" s="31" t="inlineStr">
        <is>
          <t>Learned LR call at threshold 0.5001; executable ask 0.9100 (aec-wnba-tor-min-2026-07-28). NOTE: wnba_availability_source_conflict unavailable for this game — defaulted to neutral, other features used normally.</t>
        </is>
      </c>
      <c r="AF3" s="31" t="inlineStr">
        <is>
          <t>Learned model; shadow-qualified via operator override.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wnba-tor</t>
        </is>
      </c>
      <c r="AQ3" s="24" t="inlineStr">
        <is>
          <t>Toronto Tempo</t>
        </is>
      </c>
      <c r="AR3" s="24" t="inlineStr">
        <is>
          <t>Toronto Tempo</t>
        </is>
      </c>
      <c r="AS3" s="24" t="inlineStr">
        <is>
          <t>wnba-min</t>
        </is>
      </c>
      <c r="AT3" s="24" t="inlineStr">
        <is>
          <t>Minnesota Lynx</t>
        </is>
      </c>
      <c r="AU3" s="24" t="inlineStr">
        <is>
          <t>Minnesota Lynx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7afd5274214b58b7efd7f7febc7be3ab33b92351cda5cc6403c0a39faea0cc8c</t>
        </is>
      </c>
      <c r="BB3" s="24" t="inlineStr">
        <is>
          <t>learned_lr</t>
        </is>
      </c>
      <c r="BC3" s="24" t="inlineStr">
        <is>
          <t>wnba-elo-trend-lr-v4</t>
        </is>
      </c>
      <c r="BD3" s="24" t="inlineStr">
        <is>
          <t>7afd5274214b58b7efd7f7febc7be3ab33b92351cda5cc6403c0a39faea0cc8c</t>
        </is>
      </c>
      <c r="BE3" s="24" t="inlineStr">
        <is>
          <t>5d941a25079d4ddd</t>
        </is>
      </c>
      <c r="BF3" s="24" t="inlineStr">
        <is>
          <t>1</t>
        </is>
      </c>
      <c r="BG3" s="24" t="inlineStr">
        <is>
          <t>wnba-elo-trend-lr-v4</t>
        </is>
      </c>
      <c r="BH3" s="24" t="inlineStr">
        <is>
          <t>2026-07-28T23:37:54.980549Z</t>
        </is>
      </c>
      <c r="BI3" s="24" t="inlineStr">
        <is>
          <t>["same_event","same_team_same_day","same_league_same_day"]</t>
        </is>
      </c>
      <c r="BJ3" s="25" t="n"/>
      <c r="BK3" s="26" t="n">
        <v>-1011</v>
      </c>
      <c r="BL3" s="27" t="n">
        <v>1.098912</v>
      </c>
      <c r="BM3" s="28" t="n">
        <v>0.909991</v>
      </c>
      <c r="BN3" s="28" t="n">
        <v>0.90099</v>
      </c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inlineStr">
        <is>
          <t>0.9095039397</t>
        </is>
      </c>
      <c r="CD3" s="24" t="inlineStr">
        <is>
          <t>5.061789</t>
        </is>
      </c>
      <c r="CE3" s="24" t="n"/>
      <c r="CF3" s="24" t="n"/>
      <c r="CG3" s="24" t="n"/>
      <c r="CH3" s="24" t="n"/>
      <c r="CI3" s="24" t="inlineStr">
        <is>
          <t>wnba_availability_source_conflict</t>
        </is>
      </c>
      <c r="CJ3" s="24" t="n"/>
      <c r="CK3" s="24" t="n"/>
      <c r="CL3" s="24" t="n"/>
      <c r="CM3" s="24" t="n"/>
      <c r="CN3" s="24" t="n"/>
      <c r="CO3" s="24" t="n"/>
    </row>
    <row r="4" ht="36" customHeight="1">
      <c r="A4" s="24" t="inlineStr">
        <is>
          <t>fe9449a57062428e</t>
        </is>
      </c>
      <c r="B4" s="24" t="inlineStr">
        <is>
          <t>2026-07-28T23:38:20.366083Z</t>
        </is>
      </c>
      <c r="C4" s="24" t="inlineStr">
        <is>
          <t>2026-07-28T21:30:00-0400</t>
        </is>
      </c>
      <c r="D4" s="24" t="inlineStr">
        <is>
          <t>401857094</t>
        </is>
      </c>
      <c r="E4" s="24" t="inlineStr">
        <is>
          <t>WNBA</t>
        </is>
      </c>
      <c r="F4" s="24" t="inlineStr">
        <is>
          <t>Indiana Fever</t>
        </is>
      </c>
      <c r="G4" s="24" t="inlineStr">
        <is>
          <t>Seattle Storm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-355</v>
      </c>
      <c r="M4" s="27" t="n">
        <v>1.28169</v>
      </c>
      <c r="N4" s="28" t="n">
        <v>0.78022</v>
      </c>
      <c r="O4" s="28" t="n">
        <v>0.684756</v>
      </c>
      <c r="P4" s="28" t="n"/>
      <c r="Q4" s="28" t="n">
        <v>-0.09546399999999999</v>
      </c>
      <c r="R4" s="26" t="n">
        <v>0</v>
      </c>
      <c r="S4" s="29" t="n">
        <v>2</v>
      </c>
      <c r="T4" s="24" t="inlineStr">
        <is>
          <t>wnba-elo-trend-lr-v4</t>
        </is>
      </c>
      <c r="U4" s="24" t="inlineStr">
        <is>
          <t>settled</t>
        </is>
      </c>
      <c r="V4" s="24" t="inlineStr">
        <is>
          <t>win</t>
        </is>
      </c>
      <c r="W4" s="26" t="n">
        <v>105</v>
      </c>
      <c r="X4" s="26" t="n">
        <v>95</v>
      </c>
      <c r="Y4" s="25" t="n"/>
      <c r="Z4" s="26" t="n"/>
      <c r="AA4" s="28" t="n"/>
      <c r="AB4" s="28" t="n"/>
      <c r="AC4" s="30" t="n">
        <v>0.5634</v>
      </c>
      <c r="AD4" s="24" t="inlineStr">
        <is>
          <t>2026-07-29T05:44:55.346504Z</t>
        </is>
      </c>
      <c r="AE4" s="31" t="inlineStr">
        <is>
          <t>Learned LR call at threshold 0.5001; executable ask 0.7800 (aec-wnba-ind-sea-2026-07-28). NOTE: wnba_availability_source_conflict unavailable for this game — defaulted to neutral, other features used normally.</t>
        </is>
      </c>
      <c r="AF4" s="31" t="inlineStr">
        <is>
          <t>Learned model; shadow-qualified via operator override.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wnba-ind</t>
        </is>
      </c>
      <c r="AQ4" s="24" t="inlineStr">
        <is>
          <t>Indiana Fever</t>
        </is>
      </c>
      <c r="AR4" s="24" t="inlineStr">
        <is>
          <t>Indiana Fever</t>
        </is>
      </c>
      <c r="AS4" s="24" t="inlineStr">
        <is>
          <t>wnba-sea</t>
        </is>
      </c>
      <c r="AT4" s="24" t="inlineStr">
        <is>
          <t>Seattle Storm</t>
        </is>
      </c>
      <c r="AU4" s="24" t="inlineStr">
        <is>
          <t>Seattle Storm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7afd5274214b58b7efd7f7febc7be3ab33b92351cda5cc6403c0a39faea0cc8c</t>
        </is>
      </c>
      <c r="BB4" s="24" t="inlineStr">
        <is>
          <t>learned_lr</t>
        </is>
      </c>
      <c r="BC4" s="24" t="inlineStr">
        <is>
          <t>wnba-elo-trend-lr-v4</t>
        </is>
      </c>
      <c r="BD4" s="24" t="inlineStr">
        <is>
          <t>7afd5274214b58b7efd7f7febc7be3ab33b92351cda5cc6403c0a39faea0cc8c</t>
        </is>
      </c>
      <c r="BE4" s="24" t="inlineStr">
        <is>
          <t>6e0ccdfedaa12592</t>
        </is>
      </c>
      <c r="BF4" s="24" t="inlineStr">
        <is>
          <t>1</t>
        </is>
      </c>
      <c r="BG4" s="24" t="inlineStr">
        <is>
          <t>wnba-elo-trend-lr-v4</t>
        </is>
      </c>
      <c r="BH4" s="24" t="inlineStr">
        <is>
          <t>2026-07-28T23:37:55.863565Z</t>
        </is>
      </c>
      <c r="BI4" s="24" t="inlineStr">
        <is>
          <t>["same_event","same_team_same_day","same_league_same_day"]</t>
        </is>
      </c>
      <c r="BJ4" s="25" t="n"/>
      <c r="BK4" s="26" t="n">
        <v>-355</v>
      </c>
      <c r="BL4" s="27" t="n">
        <v>1.28169</v>
      </c>
      <c r="BM4" s="28" t="n">
        <v>0.78022</v>
      </c>
      <c r="BN4" s="28" t="n">
        <v>0.772277</v>
      </c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inlineStr">
        <is>
          <t>0.2416972703</t>
        </is>
      </c>
      <c r="CD4" s="24" t="inlineStr">
        <is>
          <t>-4.477657</t>
        </is>
      </c>
      <c r="CE4" s="24" t="n"/>
      <c r="CF4" s="24" t="n"/>
      <c r="CG4" s="24" t="n"/>
      <c r="CH4" s="24" t="n"/>
      <c r="CI4" s="24" t="inlineStr">
        <is>
          <t>wnba_availability_source_conflict</t>
        </is>
      </c>
      <c r="CJ4" s="24" t="n"/>
      <c r="CK4" s="24" t="n"/>
      <c r="CL4" s="24" t="n"/>
      <c r="CM4" s="24" t="n"/>
      <c r="CN4" s="24" t="n"/>
      <c r="CO4" s="24" t="n"/>
    </row>
    <row r="5" ht="36" customHeight="1">
      <c r="A5" s="24" t="inlineStr">
        <is>
          <t>2b8a162265d04475</t>
        </is>
      </c>
      <c r="B5" s="24" t="inlineStr">
        <is>
          <t>2026-07-28T23:38:20.366083Z</t>
        </is>
      </c>
      <c r="C5" s="24" t="inlineStr">
        <is>
          <t>2026-07-28T22:00:00-0400</t>
        </is>
      </c>
      <c r="D5" s="24" t="inlineStr">
        <is>
          <t>401857095</t>
        </is>
      </c>
      <c r="E5" s="24" t="inlineStr">
        <is>
          <t>WNBA</t>
        </is>
      </c>
      <c r="F5" s="24" t="inlineStr">
        <is>
          <t>Portland Fire</t>
        </is>
      </c>
      <c r="G5" s="24" t="inlineStr">
        <is>
          <t>Las Vegas Aces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-614</v>
      </c>
      <c r="M5" s="27" t="n">
        <v>1.162866</v>
      </c>
      <c r="N5" s="28" t="n">
        <v>0.859944</v>
      </c>
      <c r="O5" s="28" t="n">
        <v>0.70389</v>
      </c>
      <c r="P5" s="28" t="n"/>
      <c r="Q5" s="28" t="n">
        <v>-0.156054</v>
      </c>
      <c r="R5" s="26" t="n">
        <v>0</v>
      </c>
      <c r="S5" s="29" t="n">
        <v>2</v>
      </c>
      <c r="T5" s="24" t="inlineStr">
        <is>
          <t>wnba-elo-trend-lr-v4</t>
        </is>
      </c>
      <c r="U5" s="24" t="inlineStr">
        <is>
          <t>settled</t>
        </is>
      </c>
      <c r="V5" s="24" t="inlineStr">
        <is>
          <t>win</t>
        </is>
      </c>
      <c r="W5" s="26" t="n">
        <v>83</v>
      </c>
      <c r="X5" s="26" t="n">
        <v>98</v>
      </c>
      <c r="Y5" s="25" t="n"/>
      <c r="Z5" s="26" t="n"/>
      <c r="AA5" s="28" t="n"/>
      <c r="AB5" s="28" t="n"/>
      <c r="AC5" s="30" t="n">
        <v>0.3257</v>
      </c>
      <c r="AD5" s="24" t="inlineStr">
        <is>
          <t>2026-07-29T05:44:56.065486Z</t>
        </is>
      </c>
      <c r="AE5" s="31" t="inlineStr">
        <is>
          <t>Learned LR call at threshold 0.5001; executable ask 0.8600 (aec-wnba-por-lv-2026-07-28).</t>
        </is>
      </c>
      <c r="AF5" s="31" t="inlineStr">
        <is>
          <t>Learned model; shadow-qualified via operator override.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wnba-por</t>
        </is>
      </c>
      <c r="AQ5" s="24" t="inlineStr">
        <is>
          <t>Portland Fire</t>
        </is>
      </c>
      <c r="AR5" s="24" t="inlineStr">
        <is>
          <t>Portland Fire</t>
        </is>
      </c>
      <c r="AS5" s="24" t="inlineStr">
        <is>
          <t>wnba-lva</t>
        </is>
      </c>
      <c r="AT5" s="24" t="inlineStr">
        <is>
          <t>Las Vegas Aces</t>
        </is>
      </c>
      <c r="AU5" s="24" t="inlineStr">
        <is>
          <t>Las Vegas Aces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7afd5274214b58b7efd7f7febc7be3ab33b92351cda5cc6403c0a39faea0cc8c</t>
        </is>
      </c>
      <c r="BB5" s="24" t="inlineStr">
        <is>
          <t>learned_lr</t>
        </is>
      </c>
      <c r="BC5" s="24" t="inlineStr">
        <is>
          <t>wnba-elo-trend-lr-v4</t>
        </is>
      </c>
      <c r="BD5" s="24" t="inlineStr">
        <is>
          <t>7afd5274214b58b7efd7f7febc7be3ab33b92351cda5cc6403c0a39faea0cc8c</t>
        </is>
      </c>
      <c r="BE5" s="24" t="inlineStr">
        <is>
          <t>b361b2a5b789ec69</t>
        </is>
      </c>
      <c r="BF5" s="24" t="inlineStr">
        <is>
          <t>1</t>
        </is>
      </c>
      <c r="BG5" s="24" t="inlineStr">
        <is>
          <t>wnba-elo-trend-lr-v4</t>
        </is>
      </c>
      <c r="BH5" s="24" t="inlineStr">
        <is>
          <t>2026-07-28T23:37:57.460079Z</t>
        </is>
      </c>
      <c r="BI5" s="24" t="inlineStr">
        <is>
          <t>["same_event","same_team_same_day","same_league_same_day"]</t>
        </is>
      </c>
      <c r="BJ5" s="25" t="n"/>
      <c r="BK5" s="26" t="n">
        <v>-614</v>
      </c>
      <c r="BL5" s="27" t="n">
        <v>1.162866</v>
      </c>
      <c r="BM5" s="28" t="n">
        <v>0.859944</v>
      </c>
      <c r="BN5" s="28" t="n">
        <v>0.851485</v>
      </c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inlineStr">
        <is>
          <t>0.7673200787</t>
        </is>
      </c>
      <c r="CD5" s="24" t="inlineStr">
        <is>
          <t>-4.164083</t>
        </is>
      </c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</row>
    <row r="6" ht="36" customHeight="1">
      <c r="A6" s="24" t="inlineStr">
        <is>
          <t>63de2dfbf1a84729</t>
        </is>
      </c>
      <c r="B6" s="24" t="inlineStr">
        <is>
          <t>2026-07-28T23:38:20.366083Z</t>
        </is>
      </c>
      <c r="C6" s="24" t="inlineStr">
        <is>
          <t>2026-07-28T22:00:00-0400</t>
        </is>
      </c>
      <c r="D6" s="24" t="inlineStr">
        <is>
          <t>401857096</t>
        </is>
      </c>
      <c r="E6" s="24" t="inlineStr">
        <is>
          <t>WNBA</t>
        </is>
      </c>
      <c r="F6" s="24" t="inlineStr">
        <is>
          <t>New York Liberty</t>
        </is>
      </c>
      <c r="G6" s="24" t="inlineStr">
        <is>
          <t>Los Angeles Sparks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-178</v>
      </c>
      <c r="M6" s="27" t="n">
        <v>1.561798</v>
      </c>
      <c r="N6" s="28" t="n">
        <v>0.640288</v>
      </c>
      <c r="O6" s="28" t="n">
        <v>0.571136</v>
      </c>
      <c r="P6" s="28" t="n"/>
      <c r="Q6" s="28" t="n">
        <v>-0.06915200000000001</v>
      </c>
      <c r="R6" s="26" t="n">
        <v>0</v>
      </c>
      <c r="S6" s="29" t="n">
        <v>1.25</v>
      </c>
      <c r="T6" s="24" t="inlineStr">
        <is>
          <t>wnba-elo-trend-lr-v4</t>
        </is>
      </c>
      <c r="U6" s="24" t="inlineStr">
        <is>
          <t>settled</t>
        </is>
      </c>
      <c r="V6" s="24" t="inlineStr">
        <is>
          <t>win</t>
        </is>
      </c>
      <c r="W6" s="26" t="n">
        <v>113</v>
      </c>
      <c r="X6" s="26" t="n">
        <v>109</v>
      </c>
      <c r="Y6" s="25" t="n"/>
      <c r="Z6" s="26" t="n"/>
      <c r="AA6" s="28" t="n"/>
      <c r="AB6" s="28" t="n"/>
      <c r="AC6" s="30" t="n">
        <v>0.7022</v>
      </c>
      <c r="AD6" s="24" t="inlineStr">
        <is>
          <t>2026-07-29T05:44:56.782128Z</t>
        </is>
      </c>
      <c r="AE6" s="31" t="inlineStr">
        <is>
          <t>Learned LR call at threshold 0.5001; executable ask 0.6400 (aec-wnba-ny-la-2026-07-28). NOTE: wnba_availability_source_conflict unavailable for this game — defaulted to neutral, other features used normally.</t>
        </is>
      </c>
      <c r="AF6" s="31" t="inlineStr">
        <is>
          <t>Learned model; shadow-qualified via operator override.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wnba-nyl</t>
        </is>
      </c>
      <c r="AQ6" s="24" t="inlineStr">
        <is>
          <t>New York Liberty</t>
        </is>
      </c>
      <c r="AR6" s="24" t="inlineStr">
        <is>
          <t>New York Liberty</t>
        </is>
      </c>
      <c r="AS6" s="24" t="inlineStr">
        <is>
          <t>wnba-las</t>
        </is>
      </c>
      <c r="AT6" s="24" t="inlineStr">
        <is>
          <t>Los Angeles Sparks</t>
        </is>
      </c>
      <c r="AU6" s="24" t="inlineStr">
        <is>
          <t>Los Angeles Sparks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7afd5274214b58b7efd7f7febc7be3ab33b92351cda5cc6403c0a39faea0cc8c</t>
        </is>
      </c>
      <c r="BB6" s="24" t="inlineStr">
        <is>
          <t>learned_lr</t>
        </is>
      </c>
      <c r="BC6" s="24" t="inlineStr">
        <is>
          <t>wnba-elo-trend-lr-v4</t>
        </is>
      </c>
      <c r="BD6" s="24" t="inlineStr">
        <is>
          <t>7afd5274214b58b7efd7f7febc7be3ab33b92351cda5cc6403c0a39faea0cc8c</t>
        </is>
      </c>
      <c r="BE6" s="24" t="inlineStr">
        <is>
          <t>cdebf9ad1de7512e</t>
        </is>
      </c>
      <c r="BF6" s="24" t="inlineStr">
        <is>
          <t>1</t>
        </is>
      </c>
      <c r="BG6" s="24" t="inlineStr">
        <is>
          <t>wnba-elo-trend-lr-v4</t>
        </is>
      </c>
      <c r="BH6" s="24" t="inlineStr">
        <is>
          <t>2026-07-28T23:37:58.046318Z</t>
        </is>
      </c>
      <c r="BI6" s="24" t="inlineStr">
        <is>
          <t>["same_event","same_team_same_day","same_league_same_day"]</t>
        </is>
      </c>
      <c r="BJ6" s="25" t="n"/>
      <c r="BK6" s="26" t="n">
        <v>-178</v>
      </c>
      <c r="BL6" s="27" t="n">
        <v>1.561798</v>
      </c>
      <c r="BM6" s="28" t="n">
        <v>0.640288</v>
      </c>
      <c r="BN6" s="28" t="n">
        <v>0.633663</v>
      </c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inlineStr">
        <is>
          <t>0.4096120487</t>
        </is>
      </c>
      <c r="CD6" s="24" t="inlineStr">
        <is>
          <t>-1.261801</t>
        </is>
      </c>
      <c r="CE6" s="24" t="n"/>
      <c r="CF6" s="24" t="n"/>
      <c r="CG6" s="24" t="n"/>
      <c r="CH6" s="24" t="n"/>
      <c r="CI6" s="24" t="inlineStr">
        <is>
          <t>wnba_availability_source_conflict</t>
        </is>
      </c>
      <c r="CJ6" s="24" t="n"/>
      <c r="CK6" s="24" t="n"/>
      <c r="CL6" s="24" t="n"/>
      <c r="CM6" s="24" t="n"/>
      <c r="CN6" s="24" t="n"/>
      <c r="CO6" s="24" t="n"/>
    </row>
    <row r="7" ht="36" customHeight="1">
      <c r="A7" s="24" t="inlineStr">
        <is>
          <t>9729768851cd4ce0</t>
        </is>
      </c>
      <c r="B7" s="24" t="inlineStr">
        <is>
          <t>2026-07-29T17:43:50.913671Z</t>
        </is>
      </c>
      <c r="C7" s="24" t="inlineStr">
        <is>
          <t>2026-07-29T20:00:00-0400</t>
        </is>
      </c>
      <c r="D7" s="24" t="inlineStr">
        <is>
          <t>401857097</t>
        </is>
      </c>
      <c r="E7" s="24" t="inlineStr">
        <is>
          <t>WNBA</t>
        </is>
      </c>
      <c r="F7" s="24" t="inlineStr">
        <is>
          <t>Atlanta Dream</t>
        </is>
      </c>
      <c r="G7" s="24" t="inlineStr">
        <is>
          <t>Dallas Wings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108</v>
      </c>
      <c r="M7" s="27" t="n">
        <v>2.08</v>
      </c>
      <c r="N7" s="28" t="n">
        <v>0.480769</v>
      </c>
      <c r="O7" s="28" t="n">
        <v>0.66476</v>
      </c>
      <c r="P7" s="28" t="n"/>
      <c r="Q7" s="28" t="n">
        <v>0.183991</v>
      </c>
      <c r="R7" s="26" t="n">
        <v>100</v>
      </c>
      <c r="S7" s="29" t="n">
        <v>2</v>
      </c>
      <c r="T7" s="24" t="inlineStr">
        <is>
          <t>wnba-elo-trend-lr-v4</t>
        </is>
      </c>
      <c r="U7" s="24" t="inlineStr">
        <is>
          <t>settled</t>
        </is>
      </c>
      <c r="V7" s="24" t="inlineStr">
        <is>
          <t>loss</t>
        </is>
      </c>
      <c r="W7" s="26" t="n">
        <v>82</v>
      </c>
      <c r="X7" s="26" t="n">
        <v>81</v>
      </c>
      <c r="Y7" s="25" t="n"/>
      <c r="Z7" s="26" t="n"/>
      <c r="AA7" s="28" t="n"/>
      <c r="AB7" s="28" t="n"/>
      <c r="AC7" s="30" t="n">
        <v>-2</v>
      </c>
      <c r="AD7" s="24" t="inlineStr">
        <is>
          <t>2026-07-30T04:11:52.718757Z</t>
        </is>
      </c>
      <c r="AE7" s="31" t="inlineStr">
        <is>
          <t>Learned LR call at threshold 0.5001; executable ask 0.4800 (aec-wnba-atl-dal-2026-07-29). NOTE: wnba_availability_source_conflict unavailable for this game — defaulted to neutral, other features used normally.</t>
        </is>
      </c>
      <c r="AF7" s="31" t="inlineStr">
        <is>
          <t>Learned model; shadow-qualified via operator override.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wnba-atl</t>
        </is>
      </c>
      <c r="AQ7" s="24" t="inlineStr">
        <is>
          <t>Atlanta Dream</t>
        </is>
      </c>
      <c r="AR7" s="24" t="inlineStr">
        <is>
          <t>Atlanta Dream</t>
        </is>
      </c>
      <c r="AS7" s="24" t="inlineStr">
        <is>
          <t>wnba-dal</t>
        </is>
      </c>
      <c r="AT7" s="24" t="inlineStr">
        <is>
          <t>Dallas Wings</t>
        </is>
      </c>
      <c r="AU7" s="24" t="inlineStr">
        <is>
          <t>Dallas Wings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7afd5274214b58b7efd7f7febc7be3ab33b92351cda5cc6403c0a39faea0cc8c</t>
        </is>
      </c>
      <c r="BB7" s="24" t="inlineStr">
        <is>
          <t>learned_lr</t>
        </is>
      </c>
      <c r="BC7" s="24" t="inlineStr">
        <is>
          <t>wnba-elo-trend-lr-v4</t>
        </is>
      </c>
      <c r="BD7" s="24" t="inlineStr">
        <is>
          <t>7afd5274214b58b7efd7f7febc7be3ab33b92351cda5cc6403c0a39faea0cc8c</t>
        </is>
      </c>
      <c r="BE7" s="24" t="inlineStr">
        <is>
          <t>f25936b561e6d355</t>
        </is>
      </c>
      <c r="BF7" s="24" t="inlineStr">
        <is>
          <t>1</t>
        </is>
      </c>
      <c r="BG7" s="24" t="inlineStr">
        <is>
          <t>wnba-elo-trend-lr-v4</t>
        </is>
      </c>
      <c r="BH7" s="24" t="inlineStr">
        <is>
          <t>2026-07-29T17:43:12.551208Z</t>
        </is>
      </c>
      <c r="BI7" s="24" t="inlineStr">
        <is>
          <t>["same_event","same_team_same_day","same_league_same_day"]</t>
        </is>
      </c>
      <c r="BJ7" s="25" t="n"/>
      <c r="BK7" s="26" t="n">
        <v>108</v>
      </c>
      <c r="BL7" s="27" t="n">
        <v>2.08</v>
      </c>
      <c r="BM7" s="28" t="n">
        <v>0.480769</v>
      </c>
      <c r="BN7" s="28" t="n">
        <v>0.475248</v>
      </c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inlineStr">
        <is>
          <t>0.7229749194</t>
        </is>
      </c>
      <c r="CD7" s="24" t="inlineStr">
        <is>
          <t>-2.425932</t>
        </is>
      </c>
      <c r="CE7" s="24" t="n"/>
      <c r="CF7" s="24" t="n"/>
      <c r="CG7" s="24" t="n"/>
      <c r="CH7" s="24" t="n"/>
      <c r="CI7" s="24" t="inlineStr">
        <is>
          <t>wnba_availability_source_conflict</t>
        </is>
      </c>
      <c r="CJ7" s="24" t="n"/>
      <c r="CK7" s="24" t="n"/>
      <c r="CL7" s="24" t="n"/>
      <c r="CM7" s="24" t="n"/>
      <c r="CN7" s="24" t="n"/>
      <c r="CO7" s="24" t="n"/>
    </row>
    <row r="8" ht="36" customHeight="1">
      <c r="A8" s="24" t="inlineStr">
        <is>
          <t>78b993466b62448a</t>
        </is>
      </c>
      <c r="B8" s="24" t="inlineStr">
        <is>
          <t>2026-07-29T17:43:50.913671Z</t>
        </is>
      </c>
      <c r="C8" s="24" t="inlineStr">
        <is>
          <t>2026-07-29T22:00:00-0400</t>
        </is>
      </c>
      <c r="D8" s="24" t="inlineStr">
        <is>
          <t>401857098</t>
        </is>
      </c>
      <c r="E8" s="24" t="inlineStr">
        <is>
          <t>WNBA</t>
        </is>
      </c>
      <c r="F8" s="24" t="inlineStr">
        <is>
          <t>Golden State Valkyries</t>
        </is>
      </c>
      <c r="G8" s="24" t="inlineStr">
        <is>
          <t>Phoenix Mercury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-156</v>
      </c>
      <c r="M8" s="27" t="n">
        <v>1.641026</v>
      </c>
      <c r="N8" s="28" t="n">
        <v>0.609375</v>
      </c>
      <c r="O8" s="28" t="n">
        <v>0.7219989999999999</v>
      </c>
      <c r="P8" s="28" t="n"/>
      <c r="Q8" s="28" t="n">
        <v>0.112624</v>
      </c>
      <c r="R8" s="26" t="n">
        <v>79</v>
      </c>
      <c r="S8" s="29" t="n">
        <v>2</v>
      </c>
      <c r="T8" s="24" t="inlineStr">
        <is>
          <t>wnba-elo-trend-lr-v4</t>
        </is>
      </c>
      <c r="U8" s="24" t="inlineStr">
        <is>
          <t>settled</t>
        </is>
      </c>
      <c r="V8" s="24" t="inlineStr">
        <is>
          <t>loss</t>
        </is>
      </c>
      <c r="W8" s="26" t="n">
        <v>89</v>
      </c>
      <c r="X8" s="26" t="n">
        <v>91</v>
      </c>
      <c r="Y8" s="25" t="n"/>
      <c r="Z8" s="26" t="n"/>
      <c r="AA8" s="28" t="n"/>
      <c r="AB8" s="28" t="n"/>
      <c r="AC8" s="30" t="n">
        <v>-2</v>
      </c>
      <c r="AD8" s="24" t="inlineStr">
        <is>
          <t>2026-07-30T05:40:57.557947Z</t>
        </is>
      </c>
      <c r="AE8" s="31" t="inlineStr">
        <is>
          <t>Learned LR call at threshold 0.5001; executable ask 0.6100 (aec-wnba-gsv-phx-2026-07-29).</t>
        </is>
      </c>
      <c r="AF8" s="31" t="inlineStr">
        <is>
          <t>Learned model; shadow-qualified via operator override.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wnba-gsv</t>
        </is>
      </c>
      <c r="AQ8" s="24" t="inlineStr">
        <is>
          <t>Golden State Valkyries</t>
        </is>
      </c>
      <c r="AR8" s="24" t="inlineStr">
        <is>
          <t>Golden State Valkyries</t>
        </is>
      </c>
      <c r="AS8" s="24" t="inlineStr">
        <is>
          <t>wnba-phx</t>
        </is>
      </c>
      <c r="AT8" s="24" t="inlineStr">
        <is>
          <t>Phoenix Mercury</t>
        </is>
      </c>
      <c r="AU8" s="24" t="inlineStr">
        <is>
          <t>Phoenix Mercury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7afd5274214b58b7efd7f7febc7be3ab33b92351cda5cc6403c0a39faea0cc8c</t>
        </is>
      </c>
      <c r="BB8" s="24" t="inlineStr">
        <is>
          <t>learned_lr</t>
        </is>
      </c>
      <c r="BC8" s="24" t="inlineStr">
        <is>
          <t>wnba-elo-trend-lr-v4</t>
        </is>
      </c>
      <c r="BD8" s="24" t="inlineStr">
        <is>
          <t>7afd5274214b58b7efd7f7febc7be3ab33b92351cda5cc6403c0a39faea0cc8c</t>
        </is>
      </c>
      <c r="BE8" s="24" t="inlineStr">
        <is>
          <t>5ba5847b783e4237</t>
        </is>
      </c>
      <c r="BF8" s="24" t="inlineStr">
        <is>
          <t>1</t>
        </is>
      </c>
      <c r="BG8" s="24" t="inlineStr">
        <is>
          <t>wnba-elo-trend-lr-v4</t>
        </is>
      </c>
      <c r="BH8" s="24" t="inlineStr">
        <is>
          <t>2026-07-29T17:43:13.575889Z</t>
        </is>
      </c>
      <c r="BI8" s="24" t="inlineStr">
        <is>
          <t>["same_event","same_team_same_day","same_league_same_day"]</t>
        </is>
      </c>
      <c r="BJ8" s="25" t="n"/>
      <c r="BK8" s="26" t="n">
        <v>-156</v>
      </c>
      <c r="BL8" s="27" t="n">
        <v>1.641026</v>
      </c>
      <c r="BM8" s="28" t="n">
        <v>0.609375</v>
      </c>
      <c r="BN8" s="28" t="n">
        <v>0.6039600000000001</v>
      </c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inlineStr">
        <is>
          <t>0.1902656067</t>
        </is>
      </c>
      <c r="CD8" s="24" t="inlineStr">
        <is>
          <t>-0.399848</t>
        </is>
      </c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</row>
    <row r="9" ht="36" customHeight="1">
      <c r="A9" s="24" t="inlineStr">
        <is>
          <t>4765ca9658a544c2</t>
        </is>
      </c>
      <c r="B9" s="24" t="inlineStr">
        <is>
          <t>2026-07-30T16:02:41.811013Z</t>
        </is>
      </c>
      <c r="C9" s="24" t="inlineStr">
        <is>
          <t>2026-07-30T12:10:00-0400</t>
        </is>
      </c>
      <c r="D9" s="24" t="inlineStr">
        <is>
          <t>401816324</t>
        </is>
      </c>
      <c r="E9" s="24" t="inlineStr">
        <is>
          <t>MLB</t>
        </is>
      </c>
      <c r="F9" s="24" t="inlineStr">
        <is>
          <t>Texas Rangers</t>
        </is>
      </c>
      <c r="G9" s="24" t="inlineStr">
        <is>
          <t>Tampa Bay Rays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-160</v>
      </c>
      <c r="M9" s="27" t="n">
        <v>1.625</v>
      </c>
      <c r="N9" s="28" t="n">
        <v>0.615385</v>
      </c>
      <c r="O9" s="28" t="n">
        <v>0.560375</v>
      </c>
      <c r="P9" s="28" t="n"/>
      <c r="Q9" s="28" t="n">
        <v>-0.05501</v>
      </c>
      <c r="R9" s="26" t="n">
        <v>0</v>
      </c>
      <c r="S9" s="29" t="n">
        <v>1</v>
      </c>
      <c r="T9" s="24" t="inlineStr">
        <is>
          <t>mlb-elo-trend-lr-v7</t>
        </is>
      </c>
      <c r="U9" s="24" t="inlineStr">
        <is>
          <t>settled</t>
        </is>
      </c>
      <c r="V9" s="24" t="inlineStr">
        <is>
          <t>win</t>
        </is>
      </c>
      <c r="W9" s="26" t="n">
        <v>2</v>
      </c>
      <c r="X9" s="26" t="n">
        <v>3</v>
      </c>
      <c r="Y9" s="25" t="n"/>
      <c r="Z9" s="26" t="n">
        <v>-160</v>
      </c>
      <c r="AA9" s="28" t="n">
        <v>0.615</v>
      </c>
      <c r="AB9" s="28" t="n">
        <v>-0.000385</v>
      </c>
      <c r="AC9" s="30" t="n">
        <v>0.625</v>
      </c>
      <c r="AD9" s="24" t="inlineStr">
        <is>
          <t>2026-07-30T21:05:53.177909Z</t>
        </is>
      </c>
      <c r="AE9" s="31" t="inlineStr">
        <is>
          <t>Learned LR call at threshold 0.6242; executable ask 0.6150 (aec-mlb-tex-tb-2026-07-30); model edge vs ask -0.0546.</t>
        </is>
      </c>
      <c r="AF9" s="31" t="inlineStr">
        <is>
          <t>Learned model; shadow-qualified via operator override.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mlb-tex</t>
        </is>
      </c>
      <c r="AQ9" s="24" t="inlineStr">
        <is>
          <t>Texas Rangers</t>
        </is>
      </c>
      <c r="AR9" s="24" t="inlineStr">
        <is>
          <t>Texas Rangers</t>
        </is>
      </c>
      <c r="AS9" s="24" t="inlineStr">
        <is>
          <t>mlb-tb</t>
        </is>
      </c>
      <c r="AT9" s="24" t="inlineStr">
        <is>
          <t>Tampa Bay Rays</t>
        </is>
      </c>
      <c r="AU9" s="24" t="inlineStr">
        <is>
          <t>Tampa Bay Rays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464eef695bfbbdaa819ec6f5e4c5bd1068ed20b92915fb2677220ae91e20d8b6</t>
        </is>
      </c>
      <c r="BB9" s="24" t="inlineStr">
        <is>
          <t>learned_lr</t>
        </is>
      </c>
      <c r="BC9" s="24" t="inlineStr">
        <is>
          <t>mlb-elo-trend-lr-v7</t>
        </is>
      </c>
      <c r="BD9" s="24" t="inlineStr">
        <is>
          <t>464eef695bfbbdaa819ec6f5e4c5bd1068ed20b92915fb2677220ae91e20d8b6</t>
        </is>
      </c>
      <c r="BE9" s="24" t="inlineStr">
        <is>
          <t>2e5c467578e391cd</t>
        </is>
      </c>
      <c r="BF9" s="24" t="inlineStr">
        <is>
          <t>1</t>
        </is>
      </c>
      <c r="BG9" s="24" t="inlineStr">
        <is>
          <t>mlb-elo-trend-lr-v7</t>
        </is>
      </c>
      <c r="BH9" s="24" t="inlineStr">
        <is>
          <t>2026-07-30T16:01:48.107244Z</t>
        </is>
      </c>
      <c r="BI9" s="24" t="inlineStr">
        <is>
          <t>["same_event","same_team_same_day","same_league_same_day"]</t>
        </is>
      </c>
      <c r="BJ9" s="25" t="n"/>
      <c r="BK9" s="26" t="n">
        <v>-160</v>
      </c>
      <c r="BL9" s="27" t="n">
        <v>1.625</v>
      </c>
      <c r="BM9" s="28" t="n">
        <v>0.615385</v>
      </c>
      <c r="BN9" s="28" t="n">
        <v>0.61194</v>
      </c>
      <c r="BO9" s="28" t="n"/>
      <c r="BP9" s="25" t="n"/>
      <c r="BQ9" s="27" t="n">
        <v>1.625</v>
      </c>
      <c r="BR9" s="28" t="n">
        <v>0.615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inlineStr">
        <is>
          <t>0.5786000288</t>
        </is>
      </c>
      <c r="CD9" s="24" t="inlineStr">
        <is>
          <t>0.008586</t>
        </is>
      </c>
      <c r="CE9" s="24" t="inlineStr">
        <is>
          <t>0.965</t>
        </is>
      </c>
      <c r="CF9" s="24" t="inlineStr">
        <is>
          <t>1.0</t>
        </is>
      </c>
      <c r="CG9" s="24" t="inlineStr">
        <is>
          <t>-1.6</t>
        </is>
      </c>
      <c r="CH9" s="24" t="n"/>
      <c r="CI9" s="24" t="n"/>
      <c r="CJ9" s="24" t="n"/>
      <c r="CK9" s="24" t="n"/>
      <c r="CL9" s="24" t="n"/>
      <c r="CM9" s="24" t="n"/>
      <c r="CN9" s="24" t="n"/>
      <c r="CO9" s="24" t="n"/>
    </row>
    <row r="10" ht="36" customHeight="1">
      <c r="A10" s="24" t="inlineStr">
        <is>
          <t>406393dea9594c0a</t>
        </is>
      </c>
      <c r="B10" s="24" t="inlineStr">
        <is>
          <t>2026-07-30T16:03:19.057215Z</t>
        </is>
      </c>
      <c r="C10" s="24" t="inlineStr">
        <is>
          <t>2026-07-30T16:10Z</t>
        </is>
      </c>
      <c r="D10" s="24" t="inlineStr">
        <is>
          <t>401816324</t>
        </is>
      </c>
      <c r="E10" s="24" t="inlineStr">
        <is>
          <t>MLB</t>
        </is>
      </c>
      <c r="F10" s="24" t="inlineStr">
        <is>
          <t>Texas Rangers</t>
        </is>
      </c>
      <c r="G10" s="24" t="inlineStr">
        <is>
          <t>Tampa Bay Rays</t>
        </is>
      </c>
      <c r="H10" s="24" t="inlineStr">
        <is>
          <t>spread</t>
        </is>
      </c>
      <c r="I10" s="24" t="inlineStr">
        <is>
          <t>away</t>
        </is>
      </c>
      <c r="J10" s="25" t="n">
        <v>1.5</v>
      </c>
      <c r="K10" s="24" t="inlineStr">
        <is>
          <t>polymarket_us</t>
        </is>
      </c>
      <c r="L10" s="26" t="n">
        <v>-125</v>
      </c>
      <c r="M10" s="27" t="n">
        <v>1.8</v>
      </c>
      <c r="N10" s="28" t="n">
        <v>0.555556</v>
      </c>
      <c r="O10" s="28" t="n">
        <v>0.542925</v>
      </c>
      <c r="P10" s="28" t="n">
        <v>0.042131</v>
      </c>
      <c r="Q10" s="28" t="n">
        <v>-0.012631</v>
      </c>
      <c r="R10" s="26" t="n">
        <v>18</v>
      </c>
      <c r="S10" s="29" t="n">
        <v>1</v>
      </c>
      <c r="T10" s="24" t="inlineStr">
        <is>
          <t>measured-edge-margin-v1</t>
        </is>
      </c>
      <c r="U10" s="24" t="inlineStr">
        <is>
          <t>settled</t>
        </is>
      </c>
      <c r="V10" s="24" t="inlineStr">
        <is>
          <t>win</t>
        </is>
      </c>
      <c r="W10" s="26" t="n">
        <v>2</v>
      </c>
      <c r="X10" s="26" t="n">
        <v>3</v>
      </c>
      <c r="Y10" s="25" t="n">
        <v>1.5</v>
      </c>
      <c r="Z10" s="26" t="n">
        <v>-125</v>
      </c>
      <c r="AA10" s="28" t="n">
        <v>0.555</v>
      </c>
      <c r="AB10" s="28" t="n">
        <v>-0.000556</v>
      </c>
      <c r="AC10" s="30" t="n">
        <v>0.8</v>
      </c>
      <c r="AD10" s="24" t="inlineStr">
        <is>
          <t>2026-07-30T21:05:53.337456Z</t>
        </is>
      </c>
      <c r="AE10" s="31" t="inlineStr">
        <is>
          <t>Measured Edge Margin: Trend Engine projected 4.22-4.87; raw selected-side p=0.6072, calibrated p=0.5429.</t>
        </is>
      </c>
      <c r="AF10" s="31" t="inlineStr">
        <is>
          <t>Research-only; lineup, bullpen, park, weather, xFIP, and wRC+ may be neutral fallbacks; market availability and BBO depth may change before first pitch.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NO_CALL_MODEL_UNVALIDATED</t>
        </is>
      </c>
      <c r="AP10" s="24" t="inlineStr">
        <is>
          <t>mlb-tex</t>
        </is>
      </c>
      <c r="AQ10" s="24" t="inlineStr">
        <is>
          <t>Texas Rangers</t>
        </is>
      </c>
      <c r="AR10" s="24" t="inlineStr">
        <is>
          <t>Texas Rangers</t>
        </is>
      </c>
      <c r="AS10" s="24" t="inlineStr">
        <is>
          <t>mlb-tb</t>
        </is>
      </c>
      <c r="AT10" s="24" t="inlineStr">
        <is>
          <t>Tampa Bay Rays</t>
        </is>
      </c>
      <c r="AU10" s="24" t="inlineStr">
        <is>
          <t>Tampa Bay Rays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research</t>
        </is>
      </c>
      <c r="BA10" s="24" t="inlineStr">
        <is>
          <t>2bc2ce55b0d39a20103f724bbddbde5394909acd49297f52665b596a0ae3ae8b</t>
        </is>
      </c>
      <c r="BB10" s="24" t="inlineStr">
        <is>
          <t>flat_probability_shrinkage_toward_half</t>
        </is>
      </c>
      <c r="BC10" s="24" t="inlineStr">
        <is>
          <t>measured-edge-margin-v1</t>
        </is>
      </c>
      <c r="BD10" s="24" t="inlineStr">
        <is>
          <t>2bc2ce55b0d39a20103f724bbddbde5394909acd49297f52665b596a0ae3ae8b</t>
        </is>
      </c>
      <c r="BE10" s="24" t="inlineStr">
        <is>
          <t>v3</t>
        </is>
      </c>
      <c r="BF10" s="24" t="inlineStr">
        <is>
          <t>1</t>
        </is>
      </c>
      <c r="BG10" s="24" t="inlineStr">
        <is>
          <t>measured-edge-paired-v1</t>
        </is>
      </c>
      <c r="BH10" s="24" t="inlineStr">
        <is>
          <t>2026-07-30T16:03:19.057215Z</t>
        </is>
      </c>
      <c r="BI10" s="24" t="inlineStr">
        <is>
          <t>["same_event","same_team_same_day","same_league_same_day"]</t>
        </is>
      </c>
      <c r="BJ10" s="25" t="n">
        <v>1.5</v>
      </c>
      <c r="BK10" s="26" t="n">
        <v>-125</v>
      </c>
      <c r="BL10" s="27" t="n">
        <v>1.8</v>
      </c>
      <c r="BM10" s="28" t="n">
        <v>0.555556</v>
      </c>
      <c r="BN10" s="28" t="n">
        <v>0.552239</v>
      </c>
      <c r="BO10" s="28" t="n"/>
      <c r="BP10" s="25" t="n"/>
      <c r="BQ10" s="27" t="n">
        <v>1.8</v>
      </c>
      <c r="BR10" s="28" t="n">
        <v>0.555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</row>
    <row r="11" ht="36" customHeight="1">
      <c r="A11" s="24" t="inlineStr">
        <is>
          <t>11bd8c09245d4774</t>
        </is>
      </c>
      <c r="B11" s="24" t="inlineStr">
        <is>
          <t>2026-07-30T16:03:19.057215Z</t>
        </is>
      </c>
      <c r="C11" s="24" t="inlineStr">
        <is>
          <t>2026-07-30T16:10Z</t>
        </is>
      </c>
      <c r="D11" s="24" t="inlineStr">
        <is>
          <t>401816324</t>
        </is>
      </c>
      <c r="E11" s="24" t="inlineStr">
        <is>
          <t>MLB</t>
        </is>
      </c>
      <c r="F11" s="24" t="inlineStr">
        <is>
          <t>Texas Rangers</t>
        </is>
      </c>
      <c r="G11" s="24" t="inlineStr">
        <is>
          <t>Tampa Bay Rays</t>
        </is>
      </c>
      <c r="H11" s="24" t="inlineStr">
        <is>
          <t>total</t>
        </is>
      </c>
      <c r="I11" s="24" t="inlineStr">
        <is>
          <t>over</t>
        </is>
      </c>
      <c r="J11" s="25" t="n">
        <v>7.5</v>
      </c>
      <c r="K11" s="24" t="inlineStr">
        <is>
          <t>polymarket_us</t>
        </is>
      </c>
      <c r="L11" s="26" t="n">
        <v>-113</v>
      </c>
      <c r="M11" s="27" t="n">
        <v>1.884956</v>
      </c>
      <c r="N11" s="28" t="n">
        <v>0.530516</v>
      </c>
      <c r="O11" s="28" t="n">
        <v>0.582045</v>
      </c>
      <c r="P11" s="28" t="n">
        <v>0.042131</v>
      </c>
      <c r="Q11" s="28" t="n">
        <v>0.051529</v>
      </c>
      <c r="R11" s="26" t="n">
        <v>50</v>
      </c>
      <c r="S11" s="29" t="n">
        <v>1.25</v>
      </c>
      <c r="T11" s="24" t="inlineStr">
        <is>
          <t>measured-edge-totals-v1</t>
        </is>
      </c>
      <c r="U11" s="24" t="inlineStr">
        <is>
          <t>settled</t>
        </is>
      </c>
      <c r="V11" s="24" t="inlineStr">
        <is>
          <t>loss</t>
        </is>
      </c>
      <c r="W11" s="26" t="n">
        <v>2</v>
      </c>
      <c r="X11" s="26" t="n">
        <v>3</v>
      </c>
      <c r="Y11" s="25" t="n">
        <v>7.5</v>
      </c>
      <c r="Z11" s="26" t="n">
        <v>-113</v>
      </c>
      <c r="AA11" s="28" t="n">
        <v>0.53</v>
      </c>
      <c r="AB11" s="28" t="n">
        <v>-0.000516</v>
      </c>
      <c r="AC11" s="30" t="n">
        <v>-1.25</v>
      </c>
      <c r="AD11" s="24" t="inlineStr">
        <is>
          <t>2026-07-30T21:05:53.492089Z</t>
        </is>
      </c>
      <c r="AE11" s="31" t="inlineStr">
        <is>
          <t>Measured Edge Totals: Trend Engine projected 4.22-4.87; raw selected-side p=0.6005, calibrated p=0.5820.</t>
        </is>
      </c>
      <c r="AF11" s="31" t="inlineStr">
        <is>
          <t>Research-only; lineup, bullpen, park, weather, xFIP, and wRC+ may be neutral fallbacks; market availability and BBO depth may change before first pitch.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research_observation</t>
        </is>
      </c>
      <c r="AL11" s="26" t="n">
        <v>3</v>
      </c>
      <c r="AM11" s="24" t="inlineStr">
        <is>
          <t>RESEARCH_OBSERVATION</t>
        </is>
      </c>
      <c r="AN11" s="24" t="inlineStr">
        <is>
          <t>NO_CALL</t>
        </is>
      </c>
      <c r="AO11" s="24" t="inlineStr">
        <is>
          <t>NO_CALL_MODEL_UNVALIDATED</t>
        </is>
      </c>
      <c r="AP11" s="24" t="inlineStr">
        <is>
          <t>mlb-tex</t>
        </is>
      </c>
      <c r="AQ11" s="24" t="inlineStr">
        <is>
          <t>Texas Rangers</t>
        </is>
      </c>
      <c r="AR11" s="24" t="inlineStr">
        <is>
          <t>Texas Rangers</t>
        </is>
      </c>
      <c r="AS11" s="24" t="inlineStr">
        <is>
          <t>mlb-tb</t>
        </is>
      </c>
      <c r="AT11" s="24" t="inlineStr">
        <is>
          <t>Tampa Bay Rays</t>
        </is>
      </c>
      <c r="AU11" s="24" t="inlineStr">
        <is>
          <t>Tampa Bay Rays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research</t>
        </is>
      </c>
      <c r="BA11" s="24" t="inlineStr">
        <is>
          <t>cbc2c9bf5a9569a49e1902c816d96556d704cf10819ca3a9e927721685757d0b</t>
        </is>
      </c>
      <c r="BB11" s="24" t="inlineStr">
        <is>
          <t>flat_probability_shrinkage_toward_half</t>
        </is>
      </c>
      <c r="BC11" s="24" t="inlineStr">
        <is>
          <t>measured-edge-totals-v1</t>
        </is>
      </c>
      <c r="BD11" s="24" t="inlineStr">
        <is>
          <t>cbc2c9bf5a9569a49e1902c816d96556d704cf10819ca3a9e927721685757d0b</t>
        </is>
      </c>
      <c r="BE11" s="24" t="inlineStr">
        <is>
          <t>v3</t>
        </is>
      </c>
      <c r="BF11" s="24" t="inlineStr">
        <is>
          <t>1</t>
        </is>
      </c>
      <c r="BG11" s="24" t="inlineStr">
        <is>
          <t>measured-edge-paired-v1</t>
        </is>
      </c>
      <c r="BH11" s="24" t="inlineStr">
        <is>
          <t>2026-07-30T16:03:19.057215Z</t>
        </is>
      </c>
      <c r="BI11" s="24" t="inlineStr">
        <is>
          <t>["same_event","same_team_same_day","same_league_same_day"]</t>
        </is>
      </c>
      <c r="BJ11" s="25" t="n">
        <v>7.5</v>
      </c>
      <c r="BK11" s="26" t="n">
        <v>-113</v>
      </c>
      <c r="BL11" s="27" t="n">
        <v>1.884956</v>
      </c>
      <c r="BM11" s="28" t="n">
        <v>0.530516</v>
      </c>
      <c r="BN11" s="28" t="n">
        <v>0.527363</v>
      </c>
      <c r="BO11" s="28" t="n"/>
      <c r="BP11" s="25" t="n"/>
      <c r="BQ11" s="27" t="n">
        <v>1.884956</v>
      </c>
      <c r="BR11" s="28" t="n">
        <v>0.53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</row>
    <row r="12" ht="36" customHeight="1">
      <c r="A12" s="24" t="inlineStr">
        <is>
          <t>80054eebaf564b26</t>
        </is>
      </c>
      <c r="B12" s="24" t="inlineStr">
        <is>
          <t>2026-07-30T17:36:17.628396Z</t>
        </is>
      </c>
      <c r="C12" s="24" t="inlineStr">
        <is>
          <t>2026-07-30T13:40:00-0400</t>
        </is>
      </c>
      <c r="D12" s="24" t="inlineStr">
        <is>
          <t>401816327</t>
        </is>
      </c>
      <c r="E12" s="24" t="inlineStr">
        <is>
          <t>MLB</t>
        </is>
      </c>
      <c r="F12" s="24" t="inlineStr">
        <is>
          <t>Kansas City Royals</t>
        </is>
      </c>
      <c r="G12" s="24" t="inlineStr">
        <is>
          <t>Minnesota Twins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-127</v>
      </c>
      <c r="M12" s="27" t="n">
        <v>1.787402</v>
      </c>
      <c r="N12" s="28" t="n">
        <v>0.5594710000000001</v>
      </c>
      <c r="O12" s="28" t="n">
        <v>0.529687</v>
      </c>
      <c r="P12" s="28" t="n"/>
      <c r="Q12" s="28" t="n">
        <v>-0.029784</v>
      </c>
      <c r="R12" s="26" t="n">
        <v>6</v>
      </c>
      <c r="S12" s="29" t="n">
        <v>0.75</v>
      </c>
      <c r="T12" s="24" t="inlineStr">
        <is>
          <t>mlb-elo-trend-lr-v7</t>
        </is>
      </c>
      <c r="U12" s="24" t="inlineStr">
        <is>
          <t>settled</t>
        </is>
      </c>
      <c r="V12" s="24" t="inlineStr">
        <is>
          <t>win</t>
        </is>
      </c>
      <c r="W12" s="26" t="n">
        <v>3</v>
      </c>
      <c r="X12" s="26" t="n">
        <v>4</v>
      </c>
      <c r="Y12" s="25" t="n"/>
      <c r="Z12" s="26" t="n">
        <v>-127</v>
      </c>
      <c r="AA12" s="28" t="n">
        <v>0.5600000000000001</v>
      </c>
      <c r="AB12" s="28" t="n">
        <v>0.000529</v>
      </c>
      <c r="AC12" s="30" t="n">
        <v>0.5906</v>
      </c>
      <c r="AD12" s="24" t="inlineStr">
        <is>
          <t>2026-07-30T21:05:53.645918Z</t>
        </is>
      </c>
      <c r="AE12" s="31" t="inlineStr">
        <is>
          <t>Learned LR call at threshold 0.6242; executable ask 0.5600 (aec-mlb-kc-min-2026-07-30); model edge vs ask -0.0303.</t>
        </is>
      </c>
      <c r="AF12" s="31" t="inlineStr">
        <is>
          <t>Learned model; shadow-qualified via operator override.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mlb-kc</t>
        </is>
      </c>
      <c r="AQ12" s="24" t="inlineStr">
        <is>
          <t>Kansas City Royals</t>
        </is>
      </c>
      <c r="AR12" s="24" t="inlineStr">
        <is>
          <t>Kansas City Royals</t>
        </is>
      </c>
      <c r="AS12" s="24" t="inlineStr">
        <is>
          <t>mlb-min</t>
        </is>
      </c>
      <c r="AT12" s="24" t="inlineStr">
        <is>
          <t>Minnesota Twins</t>
        </is>
      </c>
      <c r="AU12" s="24" t="inlineStr">
        <is>
          <t>Minnesota Twins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464eef695bfbbdaa819ec6f5e4c5bd1068ed20b92915fb2677220ae91e20d8b6</t>
        </is>
      </c>
      <c r="BB12" s="24" t="inlineStr">
        <is>
          <t>learned_lr</t>
        </is>
      </c>
      <c r="BC12" s="24" t="inlineStr">
        <is>
          <t>mlb-elo-trend-lr-v7</t>
        </is>
      </c>
      <c r="BD12" s="24" t="inlineStr">
        <is>
          <t>464eef695bfbbdaa819ec6f5e4c5bd1068ed20b92915fb2677220ae91e20d8b6</t>
        </is>
      </c>
      <c r="BE12" s="24" t="inlineStr">
        <is>
          <t>00a066c80876c81d</t>
        </is>
      </c>
      <c r="BF12" s="24" t="inlineStr">
        <is>
          <t>1</t>
        </is>
      </c>
      <c r="BG12" s="24" t="inlineStr">
        <is>
          <t>mlb-elo-trend-lr-v7</t>
        </is>
      </c>
      <c r="BH12" s="24" t="inlineStr">
        <is>
          <t>2026-07-30T17:35:31.601278Z</t>
        </is>
      </c>
      <c r="BI12" s="24" t="inlineStr">
        <is>
          <t>["same_event","same_team_same_day","same_league_same_day"]</t>
        </is>
      </c>
      <c r="BJ12" s="25" t="n"/>
      <c r="BK12" s="26" t="n">
        <v>-127</v>
      </c>
      <c r="BL12" s="27" t="n">
        <v>1.787402</v>
      </c>
      <c r="BM12" s="28" t="n">
        <v>0.5594710000000001</v>
      </c>
      <c r="BN12" s="28" t="n">
        <v>0.557214</v>
      </c>
      <c r="BO12" s="28" t="n"/>
      <c r="BP12" s="25" t="n"/>
      <c r="BQ12" s="27" t="n">
        <v>1.787402</v>
      </c>
      <c r="BR12" s="28" t="n">
        <v>0.5600000000000001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inlineStr">
        <is>
          <t>0.5433979589</t>
        </is>
      </c>
      <c r="CD12" s="24" t="inlineStr">
        <is>
          <t>-0.186414</t>
        </is>
      </c>
      <c r="CE12" s="24" t="inlineStr">
        <is>
          <t>1.037</t>
        </is>
      </c>
      <c r="CF12" s="24" t="inlineStr">
        <is>
          <t>1.018</t>
        </is>
      </c>
      <c r="CG12" s="24" t="inlineStr">
        <is>
          <t>1.8</t>
        </is>
      </c>
      <c r="CH12" s="24" t="n"/>
      <c r="CI12" s="24" t="n"/>
      <c r="CJ12" s="24" t="n"/>
      <c r="CK12" s="24" t="n"/>
      <c r="CL12" s="24" t="n"/>
      <c r="CM12" s="24" t="n"/>
      <c r="CN12" s="24" t="n"/>
      <c r="CO12" s="24" t="n"/>
    </row>
    <row r="13" ht="36" customHeight="1">
      <c r="A13" s="24" t="inlineStr">
        <is>
          <t>560d43ddfce245d6</t>
        </is>
      </c>
      <c r="B13" s="24" t="inlineStr">
        <is>
          <t>2026-07-30T17:36:17.628396Z</t>
        </is>
      </c>
      <c r="C13" s="24" t="inlineStr">
        <is>
          <t>2026-07-30T14:10:00-0400</t>
        </is>
      </c>
      <c r="D13" s="24" t="inlineStr">
        <is>
          <t>401816328</t>
        </is>
      </c>
      <c r="E13" s="24" t="inlineStr">
        <is>
          <t>MLB</t>
        </is>
      </c>
      <c r="F13" s="24" t="inlineStr">
        <is>
          <t>New York Yankees</t>
        </is>
      </c>
      <c r="G13" s="24" t="inlineStr">
        <is>
          <t>Chicago White Sox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-108</v>
      </c>
      <c r="M13" s="27" t="n">
        <v>1.925926</v>
      </c>
      <c r="N13" s="28" t="n">
        <v>0.519231</v>
      </c>
      <c r="O13" s="28" t="n">
        <v>0.507087</v>
      </c>
      <c r="P13" s="28" t="n"/>
      <c r="Q13" s="28" t="n">
        <v>-0.012144</v>
      </c>
      <c r="R13" s="26" t="n">
        <v>15</v>
      </c>
      <c r="S13" s="29" t="n">
        <v>0.5</v>
      </c>
      <c r="T13" s="24" t="inlineStr">
        <is>
          <t>mlb-elo-trend-lr-v7</t>
        </is>
      </c>
      <c r="U13" s="24" t="inlineStr">
        <is>
          <t>settled</t>
        </is>
      </c>
      <c r="V13" s="24" t="inlineStr">
        <is>
          <t>win</t>
        </is>
      </c>
      <c r="W13" s="26" t="n">
        <v>1</v>
      </c>
      <c r="X13" s="26" t="n">
        <v>2</v>
      </c>
      <c r="Y13" s="25" t="n"/>
      <c r="Z13" s="26" t="n">
        <v>-108</v>
      </c>
      <c r="AA13" s="28" t="n">
        <v>0.52</v>
      </c>
      <c r="AB13" s="28" t="n">
        <v>0.000769</v>
      </c>
      <c r="AC13" s="30" t="n">
        <v>0.463</v>
      </c>
      <c r="AD13" s="24" t="inlineStr">
        <is>
          <t>2026-07-31T00:54:58.572192Z</t>
        </is>
      </c>
      <c r="AE13" s="31" t="inlineStr">
        <is>
          <t>Learned LR call at threshold 0.6242; executable ask 0.5200 (aec-mlb-nyy-cws-2026-07-30); model edge vs ask -0.0129.</t>
        </is>
      </c>
      <c r="AF13" s="31" t="inlineStr">
        <is>
          <t>Learned model; shadow-qualified via operator override.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mlb-nyy</t>
        </is>
      </c>
      <c r="AQ13" s="24" t="inlineStr">
        <is>
          <t>New York Yankees</t>
        </is>
      </c>
      <c r="AR13" s="24" t="inlineStr">
        <is>
          <t>New York Yankees</t>
        </is>
      </c>
      <c r="AS13" s="24" t="inlineStr">
        <is>
          <t>mlb-cws</t>
        </is>
      </c>
      <c r="AT13" s="24" t="inlineStr">
        <is>
          <t>Chicago White Sox</t>
        </is>
      </c>
      <c r="AU13" s="24" t="inlineStr">
        <is>
          <t>Chicago White Sox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464eef695bfbbdaa819ec6f5e4c5bd1068ed20b92915fb2677220ae91e20d8b6</t>
        </is>
      </c>
      <c r="BB13" s="24" t="inlineStr">
        <is>
          <t>learned_lr</t>
        </is>
      </c>
      <c r="BC13" s="24" t="inlineStr">
        <is>
          <t>mlb-elo-trend-lr-v7</t>
        </is>
      </c>
      <c r="BD13" s="24" t="inlineStr">
        <is>
          <t>464eef695bfbbdaa819ec6f5e4c5bd1068ed20b92915fb2677220ae91e20d8b6</t>
        </is>
      </c>
      <c r="BE13" s="24" t="inlineStr">
        <is>
          <t>2ecf6de0bc0b4429</t>
        </is>
      </c>
      <c r="BF13" s="24" t="inlineStr">
        <is>
          <t>1</t>
        </is>
      </c>
      <c r="BG13" s="24" t="inlineStr">
        <is>
          <t>mlb-elo-trend-lr-v7</t>
        </is>
      </c>
      <c r="BH13" s="24" t="inlineStr">
        <is>
          <t>2026-07-30T17:35:32.550865Z</t>
        </is>
      </c>
      <c r="BI13" s="24" t="inlineStr">
        <is>
          <t>["same_event","same_team_same_day","same_league_same_day"]</t>
        </is>
      </c>
      <c r="BJ13" s="25" t="n"/>
      <c r="BK13" s="26" t="n">
        <v>-108</v>
      </c>
      <c r="BL13" s="27" t="n">
        <v>1.925926</v>
      </c>
      <c r="BM13" s="28" t="n">
        <v>0.519231</v>
      </c>
      <c r="BN13" s="28" t="n">
        <v>0.517413</v>
      </c>
      <c r="BO13" s="28" t="n"/>
      <c r="BP13" s="25" t="n"/>
      <c r="BQ13" s="27" t="n">
        <v>1.925926</v>
      </c>
      <c r="BR13" s="28" t="n">
        <v>0.52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inlineStr">
        <is>
          <t>0.4790915827</t>
        </is>
      </c>
      <c r="CD13" s="24" t="inlineStr">
        <is>
          <t>0.689899</t>
        </is>
      </c>
      <c r="CE13" s="24" t="inlineStr">
        <is>
          <t>0.937</t>
        </is>
      </c>
      <c r="CF13" s="24" t="inlineStr">
        <is>
          <t>1.0009</t>
        </is>
      </c>
      <c r="CG13" s="24" t="inlineStr">
        <is>
          <t>1.0</t>
        </is>
      </c>
      <c r="CH13" s="24" t="n"/>
      <c r="CI13" s="24" t="n"/>
      <c r="CJ13" s="24" t="n"/>
      <c r="CK13" s="24" t="n"/>
      <c r="CL13" s="24" t="n"/>
      <c r="CM13" s="24" t="n"/>
      <c r="CN13" s="24" t="n"/>
      <c r="CO13" s="24" t="n"/>
    </row>
    <row r="14" ht="36" customHeight="1">
      <c r="A14" s="24" t="inlineStr">
        <is>
          <t>b912ee69b50f4e34</t>
        </is>
      </c>
      <c r="B14" s="24" t="inlineStr">
        <is>
          <t>2026-07-30T17:36:17.628396Z</t>
        </is>
      </c>
      <c r="C14" s="24" t="inlineStr">
        <is>
          <t>2026-07-30T14:15:00-0400</t>
        </is>
      </c>
      <c r="D14" s="24" t="inlineStr">
        <is>
          <t>401816326</t>
        </is>
      </c>
      <c r="E14" s="24" t="inlineStr">
        <is>
          <t>MLB</t>
        </is>
      </c>
      <c r="F14" s="24" t="inlineStr">
        <is>
          <t>Chicago Cubs</t>
        </is>
      </c>
      <c r="G14" s="24" t="inlineStr">
        <is>
          <t>St. Louis Cardinals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102</v>
      </c>
      <c r="M14" s="27" t="n">
        <v>2.02</v>
      </c>
      <c r="N14" s="28" t="n">
        <v>0.49505</v>
      </c>
      <c r="O14" s="28" t="n">
        <v>0.503115</v>
      </c>
      <c r="P14" s="28" t="n"/>
      <c r="Q14" s="28" t="n">
        <v>0.008064999999999999</v>
      </c>
      <c r="R14" s="26" t="n">
        <v>25</v>
      </c>
      <c r="S14" s="29" t="n">
        <v>0.5</v>
      </c>
      <c r="T14" s="24" t="inlineStr">
        <is>
          <t>mlb-elo-trend-lr-v7</t>
        </is>
      </c>
      <c r="U14" s="24" t="inlineStr">
        <is>
          <t>settled</t>
        </is>
      </c>
      <c r="V14" s="24" t="inlineStr">
        <is>
          <t>win</t>
        </is>
      </c>
      <c r="W14" s="26" t="n">
        <v>4</v>
      </c>
      <c r="X14" s="26" t="n">
        <v>2</v>
      </c>
      <c r="Y14" s="25" t="n"/>
      <c r="Z14" s="26" t="n">
        <v>102</v>
      </c>
      <c r="AA14" s="28" t="n">
        <v>0.495</v>
      </c>
      <c r="AB14" s="28" t="n">
        <v>-5e-05</v>
      </c>
      <c r="AC14" s="30" t="n">
        <v>0.51</v>
      </c>
      <c r="AD14" s="24" t="inlineStr">
        <is>
          <t>2026-07-31T00:54:58.732967Z</t>
        </is>
      </c>
      <c r="AE14" s="31" t="inlineStr">
        <is>
          <t>Learned LR call at threshold 0.6242; executable ask 0.4950 (aec-mlb-chc-stl-2026-07-30); model edge vs ask +0.0081.</t>
        </is>
      </c>
      <c r="AF14" s="31" t="inlineStr">
        <is>
          <t>Learned model; shadow-qualified via operator override.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mlb-chc</t>
        </is>
      </c>
      <c r="AQ14" s="24" t="inlineStr">
        <is>
          <t>Chicago Cubs</t>
        </is>
      </c>
      <c r="AR14" s="24" t="inlineStr">
        <is>
          <t>Chicago Cubs</t>
        </is>
      </c>
      <c r="AS14" s="24" t="inlineStr">
        <is>
          <t>mlb-stl</t>
        </is>
      </c>
      <c r="AT14" s="24" t="inlineStr">
        <is>
          <t>St. Louis Cardinals</t>
        </is>
      </c>
      <c r="AU14" s="24" t="inlineStr">
        <is>
          <t>St. Louis Cardinals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464eef695bfbbdaa819ec6f5e4c5bd1068ed20b92915fb2677220ae91e20d8b6</t>
        </is>
      </c>
      <c r="BB14" s="24" t="inlineStr">
        <is>
          <t>learned_lr</t>
        </is>
      </c>
      <c r="BC14" s="24" t="inlineStr">
        <is>
          <t>mlb-elo-trend-lr-v7</t>
        </is>
      </c>
      <c r="BD14" s="24" t="inlineStr">
        <is>
          <t>464eef695bfbbdaa819ec6f5e4c5bd1068ed20b92915fb2677220ae91e20d8b6</t>
        </is>
      </c>
      <c r="BE14" s="24" t="inlineStr">
        <is>
          <t>34f50d6e3a3b635c</t>
        </is>
      </c>
      <c r="BF14" s="24" t="inlineStr">
        <is>
          <t>1</t>
        </is>
      </c>
      <c r="BG14" s="24" t="inlineStr">
        <is>
          <t>mlb-elo-trend-lr-v7</t>
        </is>
      </c>
      <c r="BH14" s="24" t="inlineStr">
        <is>
          <t>2026-07-30T17:35:33.545496Z</t>
        </is>
      </c>
      <c r="BI14" s="24" t="inlineStr">
        <is>
          <t>["same_event","same_team_same_day","same_league_same_day"]</t>
        </is>
      </c>
      <c r="BJ14" s="25" t="n"/>
      <c r="BK14" s="26" t="n">
        <v>102</v>
      </c>
      <c r="BL14" s="27" t="n">
        <v>2.02</v>
      </c>
      <c r="BM14" s="28" t="n">
        <v>0.49505</v>
      </c>
      <c r="BN14" s="28" t="n">
        <v>0.492537</v>
      </c>
      <c r="BO14" s="28" t="n"/>
      <c r="BP14" s="25" t="n"/>
      <c r="BQ14" s="27" t="n">
        <v>2.02</v>
      </c>
      <c r="BR14" s="28" t="n">
        <v>0.495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inlineStr">
        <is>
          <t>0.4477582072</t>
        </is>
      </c>
      <c r="CD14" s="24" t="inlineStr">
        <is>
          <t>-1.388842</t>
        </is>
      </c>
      <c r="CE14" s="24" t="inlineStr">
        <is>
          <t>0.946</t>
        </is>
      </c>
      <c r="CF14" s="24" t="inlineStr">
        <is>
          <t>1.0125</t>
        </is>
      </c>
      <c r="CG14" s="24" t="inlineStr">
        <is>
          <t>2.0</t>
        </is>
      </c>
      <c r="CH14" s="24" t="n"/>
      <c r="CI14" s="24" t="n"/>
      <c r="CJ14" s="24" t="n"/>
      <c r="CK14" s="24" t="n"/>
      <c r="CL14" s="24" t="n"/>
      <c r="CM14" s="24" t="n"/>
      <c r="CN14" s="24" t="n"/>
      <c r="CO14" s="24" t="n"/>
    </row>
    <row r="15" ht="36" customHeight="1">
      <c r="A15" s="24" t="inlineStr">
        <is>
          <t>e204040905f94109</t>
        </is>
      </c>
      <c r="B15" s="24" t="inlineStr">
        <is>
          <t>2026-07-30T17:36:41.418998Z</t>
        </is>
      </c>
      <c r="C15" s="24" t="inlineStr">
        <is>
          <t>2026-07-30T17:40Z</t>
        </is>
      </c>
      <c r="D15" s="24" t="inlineStr">
        <is>
          <t>401816327</t>
        </is>
      </c>
      <c r="E15" s="24" t="inlineStr">
        <is>
          <t>MLB</t>
        </is>
      </c>
      <c r="F15" s="24" t="inlineStr">
        <is>
          <t>Kansas City Royals</t>
        </is>
      </c>
      <c r="G15" s="24" t="inlineStr">
        <is>
          <t>Minnesota Twins</t>
        </is>
      </c>
      <c r="H15" s="24" t="inlineStr">
        <is>
          <t>spread</t>
        </is>
      </c>
      <c r="I15" s="24" t="inlineStr">
        <is>
          <t>away</t>
        </is>
      </c>
      <c r="J15" s="25" t="n">
        <v>1.5</v>
      </c>
      <c r="K15" s="24" t="inlineStr">
        <is>
          <t>polymarket_us</t>
        </is>
      </c>
      <c r="L15" s="26" t="n">
        <v>-160</v>
      </c>
      <c r="M15" s="27" t="n">
        <v>1.625</v>
      </c>
      <c r="N15" s="28" t="n">
        <v>0.615385</v>
      </c>
      <c r="O15" s="28" t="n">
        <v>0.550293</v>
      </c>
      <c r="P15" s="28" t="n">
        <v>0.042131</v>
      </c>
      <c r="Q15" s="28" t="n">
        <v>-0.065092</v>
      </c>
      <c r="R15" s="26" t="n">
        <v>0</v>
      </c>
      <c r="S15" s="29" t="n">
        <v>1</v>
      </c>
      <c r="T15" s="24" t="inlineStr">
        <is>
          <t>measured-edge-margin-v1</t>
        </is>
      </c>
      <c r="U15" s="24" t="inlineStr">
        <is>
          <t>settled</t>
        </is>
      </c>
      <c r="V15" s="24" t="inlineStr">
        <is>
          <t>win</t>
        </is>
      </c>
      <c r="W15" s="26" t="n">
        <v>3</v>
      </c>
      <c r="X15" s="26" t="n">
        <v>4</v>
      </c>
      <c r="Y15" s="25" t="n">
        <v>1.5</v>
      </c>
      <c r="Z15" s="26" t="n">
        <v>-160</v>
      </c>
      <c r="AA15" s="28" t="n">
        <v>0.615</v>
      </c>
      <c r="AB15" s="28" t="n">
        <v>-0.000385</v>
      </c>
      <c r="AC15" s="30" t="n">
        <v>0.625</v>
      </c>
      <c r="AD15" s="24" t="inlineStr">
        <is>
          <t>2026-07-30T21:05:53.799263Z</t>
        </is>
      </c>
      <c r="AE15" s="31" t="inlineStr">
        <is>
          <t>Measured Edge Margin: Trend Engine projected 4.80-5.00; raw selected-side p=0.6448, calibrated p=0.5503.</t>
        </is>
      </c>
      <c r="AF15" s="31" t="inlineStr">
        <is>
          <t>Research-only; lineup, bullpen, park, weather, xFIP, and wRC+ may be neutral fallbacks; market availability and BBO depth may change before first pitch.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research_observation</t>
        </is>
      </c>
      <c r="AL15" s="26" t="n">
        <v>3</v>
      </c>
      <c r="AM15" s="24" t="inlineStr">
        <is>
          <t>RESEARCH_OBSERVATION</t>
        </is>
      </c>
      <c r="AN15" s="24" t="inlineStr">
        <is>
          <t>NO_CALL</t>
        </is>
      </c>
      <c r="AO15" s="24" t="inlineStr">
        <is>
          <t>NO_CALL_MODEL_UNVALIDATED</t>
        </is>
      </c>
      <c r="AP15" s="24" t="inlineStr">
        <is>
          <t>mlb-kc</t>
        </is>
      </c>
      <c r="AQ15" s="24" t="inlineStr">
        <is>
          <t>Kansas City Royals</t>
        </is>
      </c>
      <c r="AR15" s="24" t="inlineStr">
        <is>
          <t>Kansas City Royals</t>
        </is>
      </c>
      <c r="AS15" s="24" t="inlineStr">
        <is>
          <t>mlb-min</t>
        </is>
      </c>
      <c r="AT15" s="24" t="inlineStr">
        <is>
          <t>Minnesota Twins</t>
        </is>
      </c>
      <c r="AU15" s="24" t="inlineStr">
        <is>
          <t>Minnesota Twins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research</t>
        </is>
      </c>
      <c r="BA15" s="24" t="inlineStr">
        <is>
          <t>2bc2ce55b0d39a20103f724bbddbde5394909acd49297f52665b596a0ae3ae8b</t>
        </is>
      </c>
      <c r="BB15" s="24" t="inlineStr">
        <is>
          <t>flat_probability_shrinkage_toward_half</t>
        </is>
      </c>
      <c r="BC15" s="24" t="inlineStr">
        <is>
          <t>measured-edge-margin-v1</t>
        </is>
      </c>
      <c r="BD15" s="24" t="inlineStr">
        <is>
          <t>2bc2ce55b0d39a20103f724bbddbde5394909acd49297f52665b596a0ae3ae8b</t>
        </is>
      </c>
      <c r="BE15" s="24" t="inlineStr">
        <is>
          <t>v3</t>
        </is>
      </c>
      <c r="BF15" s="24" t="inlineStr">
        <is>
          <t>1</t>
        </is>
      </c>
      <c r="BG15" s="24" t="inlineStr">
        <is>
          <t>measured-edge-paired-v1</t>
        </is>
      </c>
      <c r="BH15" s="24" t="inlineStr">
        <is>
          <t>2026-07-30T17:36:41.418998Z</t>
        </is>
      </c>
      <c r="BI15" s="24" t="inlineStr">
        <is>
          <t>["same_event","same_team_same_day","same_league_same_day"]</t>
        </is>
      </c>
      <c r="BJ15" s="25" t="n">
        <v>1.5</v>
      </c>
      <c r="BK15" s="26" t="n">
        <v>-160</v>
      </c>
      <c r="BL15" s="27" t="n">
        <v>1.625</v>
      </c>
      <c r="BM15" s="28" t="n">
        <v>0.615385</v>
      </c>
      <c r="BN15" s="28" t="n">
        <v>0.61194</v>
      </c>
      <c r="BO15" s="28" t="n"/>
      <c r="BP15" s="25" t="n"/>
      <c r="BQ15" s="27" t="n">
        <v>1.625</v>
      </c>
      <c r="BR15" s="28" t="n">
        <v>0.615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</row>
    <row r="16" ht="36" customHeight="1">
      <c r="A16" s="24" t="inlineStr">
        <is>
          <t>0058e2e4dee14815</t>
        </is>
      </c>
      <c r="B16" s="24" t="inlineStr">
        <is>
          <t>2026-07-30T17:36:41.418998Z</t>
        </is>
      </c>
      <c r="C16" s="24" t="inlineStr">
        <is>
          <t>2026-07-30T18:10Z</t>
        </is>
      </c>
      <c r="D16" s="24" t="inlineStr">
        <is>
          <t>401816328</t>
        </is>
      </c>
      <c r="E16" s="24" t="inlineStr">
        <is>
          <t>MLB</t>
        </is>
      </c>
      <c r="F16" s="24" t="inlineStr">
        <is>
          <t>New York Yankees</t>
        </is>
      </c>
      <c r="G16" s="24" t="inlineStr">
        <is>
          <t>Chicago White Sox</t>
        </is>
      </c>
      <c r="H16" s="24" t="inlineStr">
        <is>
          <t>spread</t>
        </is>
      </c>
      <c r="I16" s="24" t="inlineStr">
        <is>
          <t>home</t>
        </is>
      </c>
      <c r="J16" s="25" t="n">
        <v>1.5</v>
      </c>
      <c r="K16" s="24" t="inlineStr">
        <is>
          <t>polymarket_us</t>
        </is>
      </c>
      <c r="L16" s="26" t="n">
        <v>-182</v>
      </c>
      <c r="M16" s="27" t="n">
        <v>1.549451</v>
      </c>
      <c r="N16" s="28" t="n">
        <v>0.64539</v>
      </c>
      <c r="O16" s="28" t="n">
        <v>0.56787</v>
      </c>
      <c r="P16" s="28" t="n">
        <v>0.042131</v>
      </c>
      <c r="Q16" s="28" t="n">
        <v>-0.07752000000000001</v>
      </c>
      <c r="R16" s="26" t="n">
        <v>0</v>
      </c>
      <c r="S16" s="29" t="n">
        <v>1.25</v>
      </c>
      <c r="T16" s="24" t="inlineStr">
        <is>
          <t>measured-edge-margin-v1</t>
        </is>
      </c>
      <c r="U16" s="24" t="inlineStr">
        <is>
          <t>settled</t>
        </is>
      </c>
      <c r="V16" s="24" t="inlineStr">
        <is>
          <t>win</t>
        </is>
      </c>
      <c r="W16" s="26" t="n">
        <v>1</v>
      </c>
      <c r="X16" s="26" t="n">
        <v>2</v>
      </c>
      <c r="Y16" s="25" t="n">
        <v>1.5</v>
      </c>
      <c r="Z16" s="26" t="n">
        <v>-182</v>
      </c>
      <c r="AA16" s="28" t="n">
        <v>0.645</v>
      </c>
      <c r="AB16" s="28" t="n">
        <v>-0.00039</v>
      </c>
      <c r="AC16" s="30" t="n">
        <v>0.6868</v>
      </c>
      <c r="AD16" s="24" t="inlineStr">
        <is>
          <t>2026-07-31T00:54:58.887853Z</t>
        </is>
      </c>
      <c r="AE16" s="31" t="inlineStr">
        <is>
          <t>Measured Edge Margin: Trend Engine projected 4.07-4.77; raw selected-side p=0.7342, calibrated p=0.5679.</t>
        </is>
      </c>
      <c r="AF16" s="31" t="inlineStr">
        <is>
          <t>Research-only; lineup, bullpen, park, weather, xFIP, and wRC+ may be neutral fallbacks; market availability and BBO depth may change before first pitch.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NO_CALL_MODEL_UNVALIDATED</t>
        </is>
      </c>
      <c r="AP16" s="24" t="inlineStr">
        <is>
          <t>mlb-nyy</t>
        </is>
      </c>
      <c r="AQ16" s="24" t="inlineStr">
        <is>
          <t>New York Yankees</t>
        </is>
      </c>
      <c r="AR16" s="24" t="inlineStr">
        <is>
          <t>New York Yankees</t>
        </is>
      </c>
      <c r="AS16" s="24" t="inlineStr">
        <is>
          <t>mlb-cws</t>
        </is>
      </c>
      <c r="AT16" s="24" t="inlineStr">
        <is>
          <t>Chicago White Sox</t>
        </is>
      </c>
      <c r="AU16" s="24" t="inlineStr">
        <is>
          <t>Chicago White Sox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research</t>
        </is>
      </c>
      <c r="BA16" s="24" t="inlineStr">
        <is>
          <t>2bc2ce55b0d39a20103f724bbddbde5394909acd49297f52665b596a0ae3ae8b</t>
        </is>
      </c>
      <c r="BB16" s="24" t="inlineStr">
        <is>
          <t>flat_probability_shrinkage_toward_half</t>
        </is>
      </c>
      <c r="BC16" s="24" t="inlineStr">
        <is>
          <t>measured-edge-margin-v1</t>
        </is>
      </c>
      <c r="BD16" s="24" t="inlineStr">
        <is>
          <t>2bc2ce55b0d39a20103f724bbddbde5394909acd49297f52665b596a0ae3ae8b</t>
        </is>
      </c>
      <c r="BE16" s="24" t="inlineStr">
        <is>
          <t>v3</t>
        </is>
      </c>
      <c r="BF16" s="24" t="inlineStr">
        <is>
          <t>1</t>
        </is>
      </c>
      <c r="BG16" s="24" t="inlineStr">
        <is>
          <t>measured-edge-paired-v1</t>
        </is>
      </c>
      <c r="BH16" s="24" t="inlineStr">
        <is>
          <t>2026-07-30T17:36:41.418998Z</t>
        </is>
      </c>
      <c r="BI16" s="24" t="inlineStr">
        <is>
          <t>["same_event","same_team_same_day","same_league_same_day"]</t>
        </is>
      </c>
      <c r="BJ16" s="25" t="n">
        <v>1.5</v>
      </c>
      <c r="BK16" s="26" t="n">
        <v>-182</v>
      </c>
      <c r="BL16" s="27" t="n">
        <v>1.549451</v>
      </c>
      <c r="BM16" s="28" t="n">
        <v>0.64539</v>
      </c>
      <c r="BN16" s="28" t="n">
        <v>0.641791</v>
      </c>
      <c r="BO16" s="28" t="n"/>
      <c r="BP16" s="25" t="n"/>
      <c r="BQ16" s="27" t="n">
        <v>1.549451</v>
      </c>
      <c r="BR16" s="28" t="n">
        <v>0.645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</row>
    <row r="17" ht="36" customHeight="1">
      <c r="A17" s="24" t="inlineStr">
        <is>
          <t>3fc8b2e5f3744a2c</t>
        </is>
      </c>
      <c r="B17" s="24" t="inlineStr">
        <is>
          <t>2026-07-30T17:36:41.418998Z</t>
        </is>
      </c>
      <c r="C17" s="24" t="inlineStr">
        <is>
          <t>2026-07-30T18:10Z</t>
        </is>
      </c>
      <c r="D17" s="24" t="inlineStr">
        <is>
          <t>401816328</t>
        </is>
      </c>
      <c r="E17" s="24" t="inlineStr">
        <is>
          <t>MLB</t>
        </is>
      </c>
      <c r="F17" s="24" t="inlineStr">
        <is>
          <t>New York Yankees</t>
        </is>
      </c>
      <c r="G17" s="24" t="inlineStr">
        <is>
          <t>Chicago White Sox</t>
        </is>
      </c>
      <c r="H17" s="24" t="inlineStr">
        <is>
          <t>total</t>
        </is>
      </c>
      <c r="I17" s="24" t="inlineStr">
        <is>
          <t>over</t>
        </is>
      </c>
      <c r="J17" s="25" t="n">
        <v>7.5</v>
      </c>
      <c r="K17" s="24" t="inlineStr">
        <is>
          <t>polymarket_us</t>
        </is>
      </c>
      <c r="L17" s="26" t="n">
        <v>106</v>
      </c>
      <c r="M17" s="27" t="n">
        <v>2.06</v>
      </c>
      <c r="N17" s="28" t="n">
        <v>0.485437</v>
      </c>
      <c r="O17" s="28" t="n">
        <v>0.562449</v>
      </c>
      <c r="P17" s="28" t="n">
        <v>0.042131</v>
      </c>
      <c r="Q17" s="28" t="n">
        <v>0.077012</v>
      </c>
      <c r="R17" s="26" t="n">
        <v>63</v>
      </c>
      <c r="S17" s="29" t="n">
        <v>1.25</v>
      </c>
      <c r="T17" s="24" t="inlineStr">
        <is>
          <t>measured-edge-totals-v1</t>
        </is>
      </c>
      <c r="U17" s="24" t="inlineStr">
        <is>
          <t>settled</t>
        </is>
      </c>
      <c r="V17" s="24" t="inlineStr">
        <is>
          <t>loss</t>
        </is>
      </c>
      <c r="W17" s="26" t="n">
        <v>1</v>
      </c>
      <c r="X17" s="26" t="n">
        <v>2</v>
      </c>
      <c r="Y17" s="25" t="n">
        <v>7.5</v>
      </c>
      <c r="Z17" s="26" t="n">
        <v>106</v>
      </c>
      <c r="AA17" s="28" t="n">
        <v>0.485</v>
      </c>
      <c r="AB17" s="28" t="n">
        <v>-0.000437</v>
      </c>
      <c r="AC17" s="30" t="n">
        <v>-1.25</v>
      </c>
      <c r="AD17" s="24" t="inlineStr">
        <is>
          <t>2026-07-31T00:54:59.047172Z</t>
        </is>
      </c>
      <c r="AE17" s="31" t="inlineStr">
        <is>
          <t>Measured Edge Totals: Trend Engine projected 4.07-4.77; raw selected-side p=0.5803, calibrated p=0.5624.</t>
        </is>
      </c>
      <c r="AF17" s="31" t="inlineStr">
        <is>
          <t>Research-only; lineup, bullpen, park, weather, xFIP, and wRC+ may be neutral fallbacks; market availability and BBO depth may change before first pitch.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research_observation</t>
        </is>
      </c>
      <c r="AL17" s="26" t="n">
        <v>3</v>
      </c>
      <c r="AM17" s="24" t="inlineStr">
        <is>
          <t>RESEARCH_OBSERVATION</t>
        </is>
      </c>
      <c r="AN17" s="24" t="inlineStr">
        <is>
          <t>NO_CALL</t>
        </is>
      </c>
      <c r="AO17" s="24" t="inlineStr">
        <is>
          <t>NO_CALL_MODEL_UNVALIDATED</t>
        </is>
      </c>
      <c r="AP17" s="24" t="inlineStr">
        <is>
          <t>mlb-nyy</t>
        </is>
      </c>
      <c r="AQ17" s="24" t="inlineStr">
        <is>
          <t>New York Yankees</t>
        </is>
      </c>
      <c r="AR17" s="24" t="inlineStr">
        <is>
          <t>New York Yankees</t>
        </is>
      </c>
      <c r="AS17" s="24" t="inlineStr">
        <is>
          <t>mlb-cws</t>
        </is>
      </c>
      <c r="AT17" s="24" t="inlineStr">
        <is>
          <t>Chicago White Sox</t>
        </is>
      </c>
      <c r="AU17" s="24" t="inlineStr">
        <is>
          <t>Chicago White Sox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research</t>
        </is>
      </c>
      <c r="BA17" s="24" t="inlineStr">
        <is>
          <t>cbc2c9bf5a9569a49e1902c816d96556d704cf10819ca3a9e927721685757d0b</t>
        </is>
      </c>
      <c r="BB17" s="24" t="inlineStr">
        <is>
          <t>flat_probability_shrinkage_toward_half</t>
        </is>
      </c>
      <c r="BC17" s="24" t="inlineStr">
        <is>
          <t>measured-edge-totals-v1</t>
        </is>
      </c>
      <c r="BD17" s="24" t="inlineStr">
        <is>
          <t>cbc2c9bf5a9569a49e1902c816d96556d704cf10819ca3a9e927721685757d0b</t>
        </is>
      </c>
      <c r="BE17" s="24" t="inlineStr">
        <is>
          <t>v3</t>
        </is>
      </c>
      <c r="BF17" s="24" t="inlineStr">
        <is>
          <t>1</t>
        </is>
      </c>
      <c r="BG17" s="24" t="inlineStr">
        <is>
          <t>measured-edge-paired-v1</t>
        </is>
      </c>
      <c r="BH17" s="24" t="inlineStr">
        <is>
          <t>2026-07-30T17:36:41.418998Z</t>
        </is>
      </c>
      <c r="BI17" s="24" t="inlineStr">
        <is>
          <t>["same_event","same_team_same_day","same_league_same_day"]</t>
        </is>
      </c>
      <c r="BJ17" s="25" t="n">
        <v>7.5</v>
      </c>
      <c r="BK17" s="26" t="n">
        <v>106</v>
      </c>
      <c r="BL17" s="27" t="n">
        <v>2.06</v>
      </c>
      <c r="BM17" s="28" t="n">
        <v>0.485437</v>
      </c>
      <c r="BN17" s="28" t="n">
        <v>0.482587</v>
      </c>
      <c r="BO17" s="28" t="n"/>
      <c r="BP17" s="25" t="n"/>
      <c r="BQ17" s="27" t="n">
        <v>2.06</v>
      </c>
      <c r="BR17" s="28" t="n">
        <v>0.485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</row>
    <row r="18" ht="36" customHeight="1">
      <c r="A18" s="24" t="inlineStr">
        <is>
          <t>dffb9fbd0449460f</t>
        </is>
      </c>
      <c r="B18" s="24" t="inlineStr">
        <is>
          <t>2026-07-30T17:36:41.418998Z</t>
        </is>
      </c>
      <c r="C18" s="24" t="inlineStr">
        <is>
          <t>2026-07-30T18:15Z</t>
        </is>
      </c>
      <c r="D18" s="24" t="inlineStr">
        <is>
          <t>401816326</t>
        </is>
      </c>
      <c r="E18" s="24" t="inlineStr">
        <is>
          <t>MLB</t>
        </is>
      </c>
      <c r="F18" s="24" t="inlineStr">
        <is>
          <t>Chicago Cubs</t>
        </is>
      </c>
      <c r="G18" s="24" t="inlineStr">
        <is>
          <t>St. Louis Cardinals</t>
        </is>
      </c>
      <c r="H18" s="24" t="inlineStr">
        <is>
          <t>spread</t>
        </is>
      </c>
      <c r="I18" s="24" t="inlineStr">
        <is>
          <t>home</t>
        </is>
      </c>
      <c r="J18" s="25" t="n">
        <v>1.5</v>
      </c>
      <c r="K18" s="24" t="inlineStr">
        <is>
          <t>polymarket_us</t>
        </is>
      </c>
      <c r="L18" s="26" t="n">
        <v>-174</v>
      </c>
      <c r="M18" s="27" t="n">
        <v>1.574713</v>
      </c>
      <c r="N18" s="28" t="n">
        <v>0.635036</v>
      </c>
      <c r="O18" s="28" t="n">
        <v>0.556257</v>
      </c>
      <c r="P18" s="28" t="n">
        <v>0.042131</v>
      </c>
      <c r="Q18" s="28" t="n">
        <v>-0.078779</v>
      </c>
      <c r="R18" s="26" t="n">
        <v>0</v>
      </c>
      <c r="S18" s="29" t="n">
        <v>1</v>
      </c>
      <c r="T18" s="24" t="inlineStr">
        <is>
          <t>measured-edge-margin-v1</t>
        </is>
      </c>
      <c r="U18" s="24" t="inlineStr">
        <is>
          <t>settled</t>
        </is>
      </c>
      <c r="V18" s="24" t="inlineStr">
        <is>
          <t>loss</t>
        </is>
      </c>
      <c r="W18" s="26" t="n">
        <v>4</v>
      </c>
      <c r="X18" s="26" t="n">
        <v>2</v>
      </c>
      <c r="Y18" s="25" t="n">
        <v>1.5</v>
      </c>
      <c r="Z18" s="26" t="n">
        <v>-174</v>
      </c>
      <c r="AA18" s="28" t="n">
        <v>0.635</v>
      </c>
      <c r="AB18" s="28" t="n">
        <v>-3.6e-05</v>
      </c>
      <c r="AC18" s="30" t="n">
        <v>-1</v>
      </c>
      <c r="AD18" s="24" t="inlineStr">
        <is>
          <t>2026-07-31T00:54:59.202385Z</t>
        </is>
      </c>
      <c r="AE18" s="31" t="inlineStr">
        <is>
          <t>Measured Edge Margin: Trend Engine projected 4.49-4.55; raw selected-side p=0.6751, calibrated p=0.5563.</t>
        </is>
      </c>
      <c r="AF18" s="31" t="inlineStr">
        <is>
          <t>Research-only; lineup, bullpen, park, weather, xFIP, and wRC+ may be neutral fallbacks; market availability and BBO depth may change before first pitch.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research_observation</t>
        </is>
      </c>
      <c r="AL18" s="26" t="n">
        <v>3</v>
      </c>
      <c r="AM18" s="24" t="inlineStr">
        <is>
          <t>RESEARCH_OBSERVATION</t>
        </is>
      </c>
      <c r="AN18" s="24" t="inlineStr">
        <is>
          <t>NO_CALL</t>
        </is>
      </c>
      <c r="AO18" s="24" t="inlineStr">
        <is>
          <t>NO_CALL_MODEL_UNVALIDATED</t>
        </is>
      </c>
      <c r="AP18" s="24" t="inlineStr">
        <is>
          <t>mlb-chc</t>
        </is>
      </c>
      <c r="AQ18" s="24" t="inlineStr">
        <is>
          <t>Chicago Cubs</t>
        </is>
      </c>
      <c r="AR18" s="24" t="inlineStr">
        <is>
          <t>Chicago Cubs</t>
        </is>
      </c>
      <c r="AS18" s="24" t="inlineStr">
        <is>
          <t>mlb-stl</t>
        </is>
      </c>
      <c r="AT18" s="24" t="inlineStr">
        <is>
          <t>St. Louis Cardinals</t>
        </is>
      </c>
      <c r="AU18" s="24" t="inlineStr">
        <is>
          <t>St. Louis Cardinals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research</t>
        </is>
      </c>
      <c r="BA18" s="24" t="inlineStr">
        <is>
          <t>2bc2ce55b0d39a20103f724bbddbde5394909acd49297f52665b596a0ae3ae8b</t>
        </is>
      </c>
      <c r="BB18" s="24" t="inlineStr">
        <is>
          <t>flat_probability_shrinkage_toward_half</t>
        </is>
      </c>
      <c r="BC18" s="24" t="inlineStr">
        <is>
          <t>measured-edge-margin-v1</t>
        </is>
      </c>
      <c r="BD18" s="24" t="inlineStr">
        <is>
          <t>2bc2ce55b0d39a20103f724bbddbde5394909acd49297f52665b596a0ae3ae8b</t>
        </is>
      </c>
      <c r="BE18" s="24" t="inlineStr">
        <is>
          <t>v3</t>
        </is>
      </c>
      <c r="BF18" s="24" t="inlineStr">
        <is>
          <t>1</t>
        </is>
      </c>
      <c r="BG18" s="24" t="inlineStr">
        <is>
          <t>measured-edge-paired-v1</t>
        </is>
      </c>
      <c r="BH18" s="24" t="inlineStr">
        <is>
          <t>2026-07-30T17:36:41.418998Z</t>
        </is>
      </c>
      <c r="BI18" s="24" t="inlineStr">
        <is>
          <t>["same_event","same_team_same_day","same_league_same_day"]</t>
        </is>
      </c>
      <c r="BJ18" s="25" t="n">
        <v>1.5</v>
      </c>
      <c r="BK18" s="26" t="n">
        <v>-174</v>
      </c>
      <c r="BL18" s="27" t="n">
        <v>1.574713</v>
      </c>
      <c r="BM18" s="28" t="n">
        <v>0.635036</v>
      </c>
      <c r="BN18" s="28" t="n">
        <v>0.631841</v>
      </c>
      <c r="BO18" s="28" t="n"/>
      <c r="BP18" s="25" t="n"/>
      <c r="BQ18" s="27" t="n">
        <v>1.574713</v>
      </c>
      <c r="BR18" s="28" t="n">
        <v>0.635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</row>
    <row r="19" ht="36" customHeight="1">
      <c r="A19" s="24" t="inlineStr">
        <is>
          <t>f51c71784cf44ec9</t>
        </is>
      </c>
      <c r="B19" s="24" t="inlineStr">
        <is>
          <t>2026-07-30T17:36:41.418998Z</t>
        </is>
      </c>
      <c r="C19" s="24" t="inlineStr">
        <is>
          <t>2026-07-30T18:15Z</t>
        </is>
      </c>
      <c r="D19" s="24" t="inlineStr">
        <is>
          <t>401816326</t>
        </is>
      </c>
      <c r="E19" s="24" t="inlineStr">
        <is>
          <t>MLB</t>
        </is>
      </c>
      <c r="F19" s="24" t="inlineStr">
        <is>
          <t>Chicago Cubs</t>
        </is>
      </c>
      <c r="G19" s="24" t="inlineStr">
        <is>
          <t>St. Louis Cardinals</t>
        </is>
      </c>
      <c r="H19" s="24" t="inlineStr">
        <is>
          <t>total</t>
        </is>
      </c>
      <c r="I19" s="24" t="inlineStr">
        <is>
          <t>over</t>
        </is>
      </c>
      <c r="J19" s="25" t="n">
        <v>8.5</v>
      </c>
      <c r="K19" s="24" t="inlineStr">
        <is>
          <t>polymarket_us</t>
        </is>
      </c>
      <c r="L19" s="26" t="n">
        <v>113</v>
      </c>
      <c r="M19" s="27" t="n">
        <v>2.13</v>
      </c>
      <c r="N19" s="28" t="n">
        <v>0.469484</v>
      </c>
      <c r="O19" s="28" t="n">
        <v>0.500169</v>
      </c>
      <c r="P19" s="28" t="n">
        <v>0.042131</v>
      </c>
      <c r="Q19" s="28" t="n">
        <v>0.030685</v>
      </c>
      <c r="R19" s="26" t="n">
        <v>40</v>
      </c>
      <c r="S19" s="29" t="n">
        <v>1</v>
      </c>
      <c r="T19" s="24" t="inlineStr">
        <is>
          <t>measured-edge-totals-v1</t>
        </is>
      </c>
      <c r="U19" s="24" t="inlineStr">
        <is>
          <t>settled</t>
        </is>
      </c>
      <c r="V19" s="24" t="inlineStr">
        <is>
          <t>loss</t>
        </is>
      </c>
      <c r="W19" s="26" t="n">
        <v>4</v>
      </c>
      <c r="X19" s="26" t="n">
        <v>2</v>
      </c>
      <c r="Y19" s="25" t="n">
        <v>8.5</v>
      </c>
      <c r="Z19" s="26" t="n">
        <v>113</v>
      </c>
      <c r="AA19" s="28" t="n">
        <v>0.47</v>
      </c>
      <c r="AB19" s="28" t="n">
        <v>0.000516</v>
      </c>
      <c r="AC19" s="30" t="n">
        <v>-1</v>
      </c>
      <c r="AD19" s="24" t="inlineStr">
        <is>
          <t>2026-07-31T00:54:59.357088Z</t>
        </is>
      </c>
      <c r="AE19" s="31" t="inlineStr">
        <is>
          <t>Measured Edge Totals: Trend Engine projected 4.49-4.55; raw selected-side p=0.5161, calibrated p=0.5002.</t>
        </is>
      </c>
      <c r="AF19" s="31" t="inlineStr">
        <is>
          <t>Research-only; lineup, bullpen, park, weather, xFIP, and wRC+ may be neutral fallbacks; market availability and BBO depth may change before first pitch.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research_observation</t>
        </is>
      </c>
      <c r="AL19" s="26" t="n">
        <v>3</v>
      </c>
      <c r="AM19" s="24" t="inlineStr">
        <is>
          <t>RESEARCH_OBSERVATION</t>
        </is>
      </c>
      <c r="AN19" s="24" t="inlineStr">
        <is>
          <t>NO_CALL</t>
        </is>
      </c>
      <c r="AO19" s="24" t="inlineStr">
        <is>
          <t>NO_CALL_MODEL_UNVALIDATED</t>
        </is>
      </c>
      <c r="AP19" s="24" t="inlineStr">
        <is>
          <t>mlb-chc</t>
        </is>
      </c>
      <c r="AQ19" s="24" t="inlineStr">
        <is>
          <t>Chicago Cubs</t>
        </is>
      </c>
      <c r="AR19" s="24" t="inlineStr">
        <is>
          <t>Chicago Cubs</t>
        </is>
      </c>
      <c r="AS19" s="24" t="inlineStr">
        <is>
          <t>mlb-stl</t>
        </is>
      </c>
      <c r="AT19" s="24" t="inlineStr">
        <is>
          <t>St. Louis Cardinals</t>
        </is>
      </c>
      <c r="AU19" s="24" t="inlineStr">
        <is>
          <t>St. Louis Cardinals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research</t>
        </is>
      </c>
      <c r="BA19" s="24" t="inlineStr">
        <is>
          <t>cbc2c9bf5a9569a49e1902c816d96556d704cf10819ca3a9e927721685757d0b</t>
        </is>
      </c>
      <c r="BB19" s="24" t="inlineStr">
        <is>
          <t>flat_probability_shrinkage_toward_half</t>
        </is>
      </c>
      <c r="BC19" s="24" t="inlineStr">
        <is>
          <t>measured-edge-totals-v1</t>
        </is>
      </c>
      <c r="BD19" s="24" t="inlineStr">
        <is>
          <t>cbc2c9bf5a9569a49e1902c816d96556d704cf10819ca3a9e927721685757d0b</t>
        </is>
      </c>
      <c r="BE19" s="24" t="inlineStr">
        <is>
          <t>v3</t>
        </is>
      </c>
      <c r="BF19" s="24" t="inlineStr">
        <is>
          <t>1</t>
        </is>
      </c>
      <c r="BG19" s="24" t="inlineStr">
        <is>
          <t>measured-edge-paired-v1</t>
        </is>
      </c>
      <c r="BH19" s="24" t="inlineStr">
        <is>
          <t>2026-07-30T17:36:41.418998Z</t>
        </is>
      </c>
      <c r="BI19" s="24" t="inlineStr">
        <is>
          <t>["same_event","same_team_same_day","same_league_same_day"]</t>
        </is>
      </c>
      <c r="BJ19" s="25" t="n">
        <v>8.5</v>
      </c>
      <c r="BK19" s="26" t="n">
        <v>113</v>
      </c>
      <c r="BL19" s="27" t="n">
        <v>2.13</v>
      </c>
      <c r="BM19" s="28" t="n">
        <v>0.469484</v>
      </c>
      <c r="BN19" s="28" t="n">
        <v>0.467662</v>
      </c>
      <c r="BO19" s="28" t="n"/>
      <c r="BP19" s="25" t="n"/>
      <c r="BQ19" s="27" t="n">
        <v>2.13</v>
      </c>
      <c r="BR19" s="28" t="n">
        <v>0.47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</row>
    <row r="20" ht="36" customHeight="1">
      <c r="A20" s="24" t="inlineStr">
        <is>
          <t>ecf162c53b6e43a6</t>
        </is>
      </c>
      <c r="B20" s="24" t="inlineStr">
        <is>
          <t>2026-07-30T21:07:38.996144Z</t>
        </is>
      </c>
      <c r="C20" s="24" t="inlineStr">
        <is>
          <t>2026-07-30T20:00:00-0400</t>
        </is>
      </c>
      <c r="D20" s="24" t="inlineStr">
        <is>
          <t>401857099</t>
        </is>
      </c>
      <c r="E20" s="24" t="inlineStr">
        <is>
          <t>WNBA</t>
        </is>
      </c>
      <c r="F20" s="24" t="inlineStr">
        <is>
          <t>Minnesota Lynx</t>
        </is>
      </c>
      <c r="G20" s="24" t="inlineStr">
        <is>
          <t>Toronto Tempo</t>
        </is>
      </c>
      <c r="H20" s="24" t="inlineStr">
        <is>
          <t>moneyline</t>
        </is>
      </c>
      <c r="I20" s="24" t="inlineStr">
        <is>
          <t>away</t>
        </is>
      </c>
      <c r="J20" s="25" t="n"/>
      <c r="K20" s="24" t="inlineStr">
        <is>
          <t>polymarket_us</t>
        </is>
      </c>
      <c r="L20" s="26" t="n">
        <v>-614</v>
      </c>
      <c r="M20" s="27" t="n">
        <v>1.162866</v>
      </c>
      <c r="N20" s="28" t="n">
        <v>0.859944</v>
      </c>
      <c r="O20" s="28" t="n">
        <v>0.750119</v>
      </c>
      <c r="P20" s="28" t="n"/>
      <c r="Q20" s="28" t="n">
        <v>-0.109825</v>
      </c>
      <c r="R20" s="26" t="n">
        <v>0</v>
      </c>
      <c r="S20" s="29" t="n">
        <v>2</v>
      </c>
      <c r="T20" s="24" t="inlineStr">
        <is>
          <t>wnba-elo-trend-lr-v4</t>
        </is>
      </c>
      <c r="U20" s="24" t="inlineStr">
        <is>
          <t>settled</t>
        </is>
      </c>
      <c r="V20" s="24" t="inlineStr">
        <is>
          <t>win</t>
        </is>
      </c>
      <c r="W20" s="26" t="n">
        <v>104</v>
      </c>
      <c r="X20" s="26" t="n">
        <v>72</v>
      </c>
      <c r="Y20" s="25" t="n"/>
      <c r="Z20" s="26" t="n"/>
      <c r="AA20" s="28" t="n"/>
      <c r="AB20" s="28" t="n"/>
      <c r="AC20" s="30" t="n">
        <v>0.3257</v>
      </c>
      <c r="AD20" s="24" t="inlineStr">
        <is>
          <t>2026-07-31T04:29:19.818080Z</t>
        </is>
      </c>
      <c r="AE20" s="31" t="inlineStr">
        <is>
          <t>Learned LR call at threshold 0.5001; executable ask 0.8600 (aec-wnba-min-tor-2026-07-30); model edge vs ask -0.1099. NOTE: wnba_availability_source_conflict unavailable for this game — defaulted to neutral, other features used normally.</t>
        </is>
      </c>
      <c r="AF20" s="31" t="inlineStr">
        <is>
          <t>Learned model; shadow-qualified via operator override.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wnba-min</t>
        </is>
      </c>
      <c r="AQ20" s="24" t="inlineStr">
        <is>
          <t>Minnesota Lynx</t>
        </is>
      </c>
      <c r="AR20" s="24" t="inlineStr">
        <is>
          <t>Minnesota Lynx</t>
        </is>
      </c>
      <c r="AS20" s="24" t="inlineStr">
        <is>
          <t>wnba-tor</t>
        </is>
      </c>
      <c r="AT20" s="24" t="inlineStr">
        <is>
          <t>Toronto Tempo</t>
        </is>
      </c>
      <c r="AU20" s="24" t="inlineStr">
        <is>
          <t>Toronto Tempo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7afd5274214b58b7efd7f7febc7be3ab33b92351cda5cc6403c0a39faea0cc8c</t>
        </is>
      </c>
      <c r="BB20" s="24" t="inlineStr">
        <is>
          <t>learned_lr</t>
        </is>
      </c>
      <c r="BC20" s="24" t="inlineStr">
        <is>
          <t>wnba-elo-trend-lr-v4</t>
        </is>
      </c>
      <c r="BD20" s="24" t="inlineStr">
        <is>
          <t>7afd5274214b58b7efd7f7febc7be3ab33b92351cda5cc6403c0a39faea0cc8c</t>
        </is>
      </c>
      <c r="BE20" s="24" t="inlineStr">
        <is>
          <t>a8d16f9be486f04d</t>
        </is>
      </c>
      <c r="BF20" s="24" t="inlineStr">
        <is>
          <t>1</t>
        </is>
      </c>
      <c r="BG20" s="24" t="inlineStr">
        <is>
          <t>wnba-elo-trend-lr-v4</t>
        </is>
      </c>
      <c r="BH20" s="24" t="inlineStr">
        <is>
          <t>2026-07-30T21:07:16.651071Z</t>
        </is>
      </c>
      <c r="BI20" s="24" t="inlineStr">
        <is>
          <t>["same_event","same_team_same_day","same_league_same_day"]</t>
        </is>
      </c>
      <c r="BJ20" s="25" t="n"/>
      <c r="BK20" s="26" t="n">
        <v>-614</v>
      </c>
      <c r="BL20" s="27" t="n">
        <v>1.162866</v>
      </c>
      <c r="BM20" s="28" t="n">
        <v>0.859944</v>
      </c>
      <c r="BN20" s="28" t="n">
        <v>0.851485</v>
      </c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inlineStr">
        <is>
          <t>0.1447442732</t>
        </is>
      </c>
      <c r="CD20" s="24" t="inlineStr">
        <is>
          <t>-5.213719</t>
        </is>
      </c>
      <c r="CE20" s="24" t="n"/>
      <c r="CF20" s="24" t="n"/>
      <c r="CG20" s="24" t="n"/>
      <c r="CH20" s="24" t="n"/>
      <c r="CI20" s="24" t="inlineStr">
        <is>
          <t>wnba_availability_source_conflict</t>
        </is>
      </c>
      <c r="CJ20" s="24" t="n"/>
      <c r="CK20" s="24" t="n"/>
      <c r="CL20" s="24" t="n"/>
      <c r="CM20" s="24" t="n"/>
      <c r="CN20" s="24" t="n"/>
      <c r="CO20" s="24" t="n"/>
    </row>
    <row r="21" ht="36" customHeight="1">
      <c r="A21" s="24" t="inlineStr">
        <is>
          <t>290bae9188f1467d</t>
        </is>
      </c>
      <c r="B21" s="24" t="inlineStr">
        <is>
          <t>2026-07-30T21:07:38.996144Z</t>
        </is>
      </c>
      <c r="C21" s="24" t="inlineStr">
        <is>
          <t>2026-07-30T19:00:00-0400</t>
        </is>
      </c>
      <c r="D21" s="24" t="inlineStr">
        <is>
          <t>401816325</t>
        </is>
      </c>
      <c r="E21" s="24" t="inlineStr">
        <is>
          <t>MLB</t>
        </is>
      </c>
      <c r="F21" s="24" t="inlineStr">
        <is>
          <t>Washington Nationals</t>
        </is>
      </c>
      <c r="G21" s="24" t="inlineStr">
        <is>
          <t>Atlanta Braves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-144</v>
      </c>
      <c r="M21" s="27" t="n">
        <v>1.694444</v>
      </c>
      <c r="N21" s="28" t="n">
        <v>0.590164</v>
      </c>
      <c r="O21" s="28" t="n">
        <v>0.612872</v>
      </c>
      <c r="P21" s="28" t="n"/>
      <c r="Q21" s="28" t="n">
        <v>0.022708</v>
      </c>
      <c r="R21" s="26" t="n">
        <v>33</v>
      </c>
      <c r="S21" s="29" t="n">
        <v>1.75</v>
      </c>
      <c r="T21" s="24" t="inlineStr">
        <is>
          <t>mlb-elo-trend-lr-v7</t>
        </is>
      </c>
      <c r="U21" s="24" t="inlineStr">
        <is>
          <t>settled</t>
        </is>
      </c>
      <c r="V21" s="24" t="inlineStr">
        <is>
          <t>win</t>
        </is>
      </c>
      <c r="W21" s="26" t="n">
        <v>4</v>
      </c>
      <c r="X21" s="26" t="n">
        <v>5</v>
      </c>
      <c r="Y21" s="25" t="n"/>
      <c r="Z21" s="26" t="n">
        <v>-144</v>
      </c>
      <c r="AA21" s="28" t="n">
        <v>0.59</v>
      </c>
      <c r="AB21" s="28" t="n">
        <v>-0.000164</v>
      </c>
      <c r="AC21" s="30" t="n">
        <v>1.2153</v>
      </c>
      <c r="AD21" s="24" t="inlineStr">
        <is>
          <t>2026-07-31T04:29:20.291984Z</t>
        </is>
      </c>
      <c r="AE21" s="31" t="inlineStr">
        <is>
          <t>Learned LR call at threshold 0.6242; executable ask 0.5900 (aec-mlb-wsh-atl-2026-07-30); model edge vs ask +0.0229.</t>
        </is>
      </c>
      <c r="AF21" s="31" t="inlineStr">
        <is>
          <t>Learned model; shadow-qualified via operator override.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mlb-wsh</t>
        </is>
      </c>
      <c r="AQ21" s="24" t="inlineStr">
        <is>
          <t>Washington Nationals</t>
        </is>
      </c>
      <c r="AR21" s="24" t="inlineStr">
        <is>
          <t>Washington Nationals</t>
        </is>
      </c>
      <c r="AS21" s="24" t="inlineStr">
        <is>
          <t>mlb-atl</t>
        </is>
      </c>
      <c r="AT21" s="24" t="inlineStr">
        <is>
          <t>Atlanta Braves</t>
        </is>
      </c>
      <c r="AU21" s="24" t="inlineStr">
        <is>
          <t>Atlanta Braves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464eef695bfbbdaa819ec6f5e4c5bd1068ed20b92915fb2677220ae91e20d8b6</t>
        </is>
      </c>
      <c r="BB21" s="24" t="inlineStr">
        <is>
          <t>learned_lr</t>
        </is>
      </c>
      <c r="BC21" s="24" t="inlineStr">
        <is>
          <t>mlb-elo-trend-lr-v7</t>
        </is>
      </c>
      <c r="BD21" s="24" t="inlineStr">
        <is>
          <t>464eef695bfbbdaa819ec6f5e4c5bd1068ed20b92915fb2677220ae91e20d8b6</t>
        </is>
      </c>
      <c r="BE21" s="24" t="inlineStr">
        <is>
          <t>2ad0bbfc4a5ff39d</t>
        </is>
      </c>
      <c r="BF21" s="24" t="inlineStr">
        <is>
          <t>1</t>
        </is>
      </c>
      <c r="BG21" s="24" t="inlineStr">
        <is>
          <t>mlb-elo-trend-lr-v7</t>
        </is>
      </c>
      <c r="BH21" s="24" t="inlineStr">
        <is>
          <t>2026-07-30T21:07:13.074633Z</t>
        </is>
      </c>
      <c r="BI21" s="24" t="inlineStr">
        <is>
          <t>["same_event","same_team_same_day","same_league_same_day"]</t>
        </is>
      </c>
      <c r="BJ21" s="25" t="n"/>
      <c r="BK21" s="26" t="n">
        <v>-144</v>
      </c>
      <c r="BL21" s="27" t="n">
        <v>1.694444</v>
      </c>
      <c r="BM21" s="28" t="n">
        <v>0.590164</v>
      </c>
      <c r="BN21" s="28" t="n">
        <v>0.5870649999999999</v>
      </c>
      <c r="BO21" s="28" t="n"/>
      <c r="BP21" s="25" t="n"/>
      <c r="BQ21" s="27" t="n">
        <v>1.694444</v>
      </c>
      <c r="BR21" s="28" t="n">
        <v>0.59</v>
      </c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inlineStr">
        <is>
          <t>0.6174839141</t>
        </is>
      </c>
      <c r="CD21" s="24" t="inlineStr">
        <is>
          <t>-0.449351</t>
        </is>
      </c>
      <c r="CE21" s="24" t="inlineStr">
        <is>
          <t>0.929</t>
        </is>
      </c>
      <c r="CF21" s="24" t="inlineStr">
        <is>
          <t>1.0174</t>
        </is>
      </c>
      <c r="CG21" s="24" t="inlineStr">
        <is>
          <t>0.2</t>
        </is>
      </c>
      <c r="CH21" s="24" t="n"/>
      <c r="CI21" s="24" t="n"/>
      <c r="CJ21" s="24" t="n"/>
      <c r="CK21" s="24" t="n"/>
      <c r="CL21" s="24" t="n"/>
      <c r="CM21" s="24" t="n"/>
      <c r="CN21" s="24" t="n"/>
      <c r="CO21" s="24" t="n"/>
    </row>
    <row r="22" ht="36" customHeight="1">
      <c r="A22" s="24" t="inlineStr">
        <is>
          <t>18fa1289f8ca42ca</t>
        </is>
      </c>
      <c r="B22" s="24" t="inlineStr">
        <is>
          <t>2026-07-30T21:07:38.996144Z</t>
        </is>
      </c>
      <c r="C22" s="24" t="inlineStr">
        <is>
          <t>2026-07-30T20:00:00-0400</t>
        </is>
      </c>
      <c r="D22" s="24" t="inlineStr">
        <is>
          <t>401857100</t>
        </is>
      </c>
      <c r="E22" s="24" t="inlineStr">
        <is>
          <t>WNBA</t>
        </is>
      </c>
      <c r="F22" s="24" t="inlineStr">
        <is>
          <t>Connecticut Sun</t>
        </is>
      </c>
      <c r="G22" s="24" t="inlineStr">
        <is>
          <t>Chicago Sky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polymarket_us</t>
        </is>
      </c>
      <c r="L22" s="26" t="n">
        <v>-194</v>
      </c>
      <c r="M22" s="27" t="n">
        <v>1.515464</v>
      </c>
      <c r="N22" s="28" t="n">
        <v>0.659864</v>
      </c>
      <c r="O22" s="28" t="n">
        <v>0.670401</v>
      </c>
      <c r="P22" s="28" t="n"/>
      <c r="Q22" s="28" t="n">
        <v>0.010537</v>
      </c>
      <c r="R22" s="26" t="n">
        <v>28</v>
      </c>
      <c r="S22" s="29" t="n">
        <v>2</v>
      </c>
      <c r="T22" s="24" t="inlineStr">
        <is>
          <t>wnba-elo-trend-lr-v4</t>
        </is>
      </c>
      <c r="U22" s="24" t="inlineStr">
        <is>
          <t>settled</t>
        </is>
      </c>
      <c r="V22" s="24" t="inlineStr">
        <is>
          <t>win</t>
        </is>
      </c>
      <c r="W22" s="26" t="n">
        <v>88</v>
      </c>
      <c r="X22" s="26" t="n">
        <v>94</v>
      </c>
      <c r="Y22" s="25" t="n"/>
      <c r="Z22" s="26" t="n"/>
      <c r="AA22" s="28" t="n"/>
      <c r="AB22" s="28" t="n"/>
      <c r="AC22" s="30" t="n">
        <v>1.0309</v>
      </c>
      <c r="AD22" s="24" t="inlineStr">
        <is>
          <t>2026-07-31T04:29:20.464220Z</t>
        </is>
      </c>
      <c r="AE22" s="31" t="inlineStr">
        <is>
          <t>Learned LR call at threshold 0.5001; executable ask 0.6600 (aec-wnba-conn-chi-2026-07-30); model edge vs ask +0.0104. NOTE: wnba_availability_source_conflict unavailable for this game — defaulted to neutral, other features used normally.</t>
        </is>
      </c>
      <c r="AF22" s="31" t="inlineStr">
        <is>
          <t>Learned model; shadow-qualified via operator override.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wnba-con</t>
        </is>
      </c>
      <c r="AQ22" s="24" t="inlineStr">
        <is>
          <t>Connecticut Sun</t>
        </is>
      </c>
      <c r="AR22" s="24" t="inlineStr">
        <is>
          <t>Connecticut Sun</t>
        </is>
      </c>
      <c r="AS22" s="24" t="inlineStr">
        <is>
          <t>wnba-chi</t>
        </is>
      </c>
      <c r="AT22" s="24" t="inlineStr">
        <is>
          <t>Chicago Sky</t>
        </is>
      </c>
      <c r="AU22" s="24" t="inlineStr">
        <is>
          <t>Chicago Sky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7afd5274214b58b7efd7f7febc7be3ab33b92351cda5cc6403c0a39faea0cc8c</t>
        </is>
      </c>
      <c r="BB22" s="24" t="inlineStr">
        <is>
          <t>learned_lr</t>
        </is>
      </c>
      <c r="BC22" s="24" t="inlineStr">
        <is>
          <t>wnba-elo-trend-lr-v4</t>
        </is>
      </c>
      <c r="BD22" s="24" t="inlineStr">
        <is>
          <t>7afd5274214b58b7efd7f7febc7be3ab33b92351cda5cc6403c0a39faea0cc8c</t>
        </is>
      </c>
      <c r="BE22" s="24" t="inlineStr">
        <is>
          <t>de1d675da66b275e</t>
        </is>
      </c>
      <c r="BF22" s="24" t="inlineStr">
        <is>
          <t>1</t>
        </is>
      </c>
      <c r="BG22" s="24" t="inlineStr">
        <is>
          <t>wnba-elo-trend-lr-v4</t>
        </is>
      </c>
      <c r="BH22" s="24" t="inlineStr">
        <is>
          <t>2026-07-30T21:07:18.309580Z</t>
        </is>
      </c>
      <c r="BI22" s="24" t="inlineStr">
        <is>
          <t>["same_event","same_team_same_day","same_league_same_day"]</t>
        </is>
      </c>
      <c r="BJ22" s="25" t="n"/>
      <c r="BK22" s="26" t="n">
        <v>-194</v>
      </c>
      <c r="BL22" s="27" t="n">
        <v>1.515464</v>
      </c>
      <c r="BM22" s="28" t="n">
        <v>0.659864</v>
      </c>
      <c r="BN22" s="28" t="n">
        <v>0.653465</v>
      </c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inlineStr">
        <is>
          <t>0.6616868073</t>
        </is>
      </c>
      <c r="CD22" s="24" t="inlineStr">
        <is>
          <t>5.467445</t>
        </is>
      </c>
      <c r="CE22" s="24" t="n"/>
      <c r="CF22" s="24" t="n"/>
      <c r="CG22" s="24" t="n"/>
      <c r="CH22" s="24" t="n"/>
      <c r="CI22" s="24" t="inlineStr">
        <is>
          <t>wnba_availability_source_conflict</t>
        </is>
      </c>
      <c r="CJ22" s="24" t="n"/>
      <c r="CK22" s="24" t="n"/>
      <c r="CL22" s="24" t="n"/>
      <c r="CM22" s="24" t="n"/>
      <c r="CN22" s="24" t="n"/>
      <c r="CO22" s="24" t="n"/>
    </row>
    <row r="23" ht="36" customHeight="1">
      <c r="A23" s="24" t="inlineStr">
        <is>
          <t>373898a172fe4c46</t>
        </is>
      </c>
      <c r="B23" s="24" t="inlineStr">
        <is>
          <t>2026-07-30T21:07:38.996144Z</t>
        </is>
      </c>
      <c r="C23" s="24" t="inlineStr">
        <is>
          <t>2026-07-30T19:10:00-0400</t>
        </is>
      </c>
      <c r="D23" s="24" t="inlineStr">
        <is>
          <t>401816322</t>
        </is>
      </c>
      <c r="E23" s="24" t="inlineStr">
        <is>
          <t>MLB</t>
        </is>
      </c>
      <c r="F23" s="24" t="inlineStr">
        <is>
          <t>Miami Marlins</t>
        </is>
      </c>
      <c r="G23" s="24" t="inlineStr">
        <is>
          <t>New York Mets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-117</v>
      </c>
      <c r="M23" s="27" t="n">
        <v>1.854701</v>
      </c>
      <c r="N23" s="28" t="n">
        <v>0.539171</v>
      </c>
      <c r="O23" s="28" t="n">
        <v>0.5134919999999999</v>
      </c>
      <c r="P23" s="28" t="n"/>
      <c r="Q23" s="28" t="n">
        <v>-0.025679</v>
      </c>
      <c r="R23" s="26" t="n">
        <v>8</v>
      </c>
      <c r="S23" s="29" t="n">
        <v>0.75</v>
      </c>
      <c r="T23" s="24" t="inlineStr">
        <is>
          <t>mlb-elo-trend-lr-v7</t>
        </is>
      </c>
      <c r="U23" s="24" t="inlineStr">
        <is>
          <t>settled</t>
        </is>
      </c>
      <c r="V23" s="24" t="inlineStr">
        <is>
          <t>win</t>
        </is>
      </c>
      <c r="W23" s="26" t="n">
        <v>2</v>
      </c>
      <c r="X23" s="26" t="n">
        <v>4</v>
      </c>
      <c r="Y23" s="25" t="n"/>
      <c r="Z23" s="26" t="n">
        <v>-117</v>
      </c>
      <c r="AA23" s="28" t="n">
        <v>0.54</v>
      </c>
      <c r="AB23" s="28" t="n">
        <v>0.000829</v>
      </c>
      <c r="AC23" s="30" t="n">
        <v>0.641</v>
      </c>
      <c r="AD23" s="24" t="inlineStr">
        <is>
          <t>2026-07-31T04:29:20.631725Z</t>
        </is>
      </c>
      <c r="AE23" s="31" t="inlineStr">
        <is>
          <t>Learned LR call at threshold 0.6242; executable ask 0.5400 (aec-mlb-mia-nym-2026-07-30); model edge vs ask -0.0265.</t>
        </is>
      </c>
      <c r="AF23" s="31" t="inlineStr">
        <is>
          <t>Learned model; shadow-qualified via operator override.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mlb-mia</t>
        </is>
      </c>
      <c r="AQ23" s="24" t="inlineStr">
        <is>
          <t>Miami Marlins</t>
        </is>
      </c>
      <c r="AR23" s="24" t="inlineStr">
        <is>
          <t>Miami Marlins</t>
        </is>
      </c>
      <c r="AS23" s="24" t="inlineStr">
        <is>
          <t>mlb-nym</t>
        </is>
      </c>
      <c r="AT23" s="24" t="inlineStr">
        <is>
          <t>New York Mets</t>
        </is>
      </c>
      <c r="AU23" s="24" t="inlineStr">
        <is>
          <t>New York Mets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464eef695bfbbdaa819ec6f5e4c5bd1068ed20b92915fb2677220ae91e20d8b6</t>
        </is>
      </c>
      <c r="BB23" s="24" t="inlineStr">
        <is>
          <t>learned_lr</t>
        </is>
      </c>
      <c r="BC23" s="24" t="inlineStr">
        <is>
          <t>mlb-elo-trend-lr-v7</t>
        </is>
      </c>
      <c r="BD23" s="24" t="inlineStr">
        <is>
          <t>464eef695bfbbdaa819ec6f5e4c5bd1068ed20b92915fb2677220ae91e20d8b6</t>
        </is>
      </c>
      <c r="BE23" s="24" t="inlineStr">
        <is>
          <t>e514206d77553482</t>
        </is>
      </c>
      <c r="BF23" s="24" t="inlineStr">
        <is>
          <t>1</t>
        </is>
      </c>
      <c r="BG23" s="24" t="inlineStr">
        <is>
          <t>mlb-elo-trend-lr-v7</t>
        </is>
      </c>
      <c r="BH23" s="24" t="inlineStr">
        <is>
          <t>2026-07-30T21:07:11.963447Z</t>
        </is>
      </c>
      <c r="BI23" s="24" t="inlineStr">
        <is>
          <t>["same_event","same_team_same_day","same_league_same_day"]</t>
        </is>
      </c>
      <c r="BJ23" s="25" t="n"/>
      <c r="BK23" s="26" t="n">
        <v>-117</v>
      </c>
      <c r="BL23" s="27" t="n">
        <v>1.854701</v>
      </c>
      <c r="BM23" s="28" t="n">
        <v>0.539171</v>
      </c>
      <c r="BN23" s="28" t="n">
        <v>0.537313</v>
      </c>
      <c r="BO23" s="28" t="n"/>
      <c r="BP23" s="25" t="n"/>
      <c r="BQ23" s="27" t="n">
        <v>1.854701</v>
      </c>
      <c r="BR23" s="28" t="n">
        <v>0.54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inlineStr">
        <is>
          <t>0.5051537166</t>
        </is>
      </c>
      <c r="CD23" s="24" t="inlineStr">
        <is>
          <t>0.008278</t>
        </is>
      </c>
      <c r="CE23" s="24" t="inlineStr">
        <is>
          <t>0.978</t>
        </is>
      </c>
      <c r="CF23" s="24" t="inlineStr">
        <is>
          <t>1.0054</t>
        </is>
      </c>
      <c r="CG23" s="24" t="inlineStr">
        <is>
          <t>-1.8</t>
        </is>
      </c>
      <c r="CH23" s="24" t="n"/>
      <c r="CI23" s="24" t="n"/>
      <c r="CJ23" s="24" t="n"/>
      <c r="CK23" s="24" t="n"/>
      <c r="CL23" s="24" t="n"/>
      <c r="CM23" s="24" t="n"/>
      <c r="CN23" s="24" t="n"/>
      <c r="CO23" s="24" t="n"/>
    </row>
    <row r="24" ht="36" customHeight="1">
      <c r="A24" s="24" t="inlineStr">
        <is>
          <t>d0364ee11ff3488c</t>
        </is>
      </c>
      <c r="B24" s="24" t="inlineStr">
        <is>
          <t>2026-07-30T21:07:38.996144Z</t>
        </is>
      </c>
      <c r="C24" s="24" t="inlineStr">
        <is>
          <t>2026-07-30T19:10:00-0400</t>
        </is>
      </c>
      <c r="D24" s="24" t="inlineStr">
        <is>
          <t>401816323</t>
        </is>
      </c>
      <c r="E24" s="24" t="inlineStr">
        <is>
          <t>MLB</t>
        </is>
      </c>
      <c r="F24" s="24" t="inlineStr">
        <is>
          <t>Pittsburgh Pirates</t>
        </is>
      </c>
      <c r="G24" s="24" t="inlineStr">
        <is>
          <t>Cincinnati Reds</t>
        </is>
      </c>
      <c r="H24" s="24" t="inlineStr">
        <is>
          <t>moneyline</t>
        </is>
      </c>
      <c r="I24" s="24" t="inlineStr">
        <is>
          <t>away</t>
        </is>
      </c>
      <c r="J24" s="25" t="n"/>
      <c r="K24" s="24" t="inlineStr">
        <is>
          <t>polymarket_us</t>
        </is>
      </c>
      <c r="L24" s="26" t="n">
        <v>-111</v>
      </c>
      <c r="M24" s="27" t="n">
        <v>1.900901</v>
      </c>
      <c r="N24" s="28" t="n">
        <v>0.526066</v>
      </c>
      <c r="O24" s="28" t="n">
        <v>0.520916</v>
      </c>
      <c r="P24" s="28" t="n"/>
      <c r="Q24" s="28" t="n">
        <v>-0.00515</v>
      </c>
      <c r="R24" s="26" t="n">
        <v>19</v>
      </c>
      <c r="S24" s="29" t="n">
        <v>0.75</v>
      </c>
      <c r="T24" s="24" t="inlineStr">
        <is>
          <t>mlb-elo-trend-lr-v7</t>
        </is>
      </c>
      <c r="U24" s="24" t="inlineStr">
        <is>
          <t>settled</t>
        </is>
      </c>
      <c r="V24" s="24" t="inlineStr">
        <is>
          <t>loss</t>
        </is>
      </c>
      <c r="W24" s="26" t="n">
        <v>2</v>
      </c>
      <c r="X24" s="26" t="n">
        <v>3</v>
      </c>
      <c r="Y24" s="25" t="n"/>
      <c r="Z24" s="26" t="n">
        <v>-111</v>
      </c>
      <c r="AA24" s="28" t="n">
        <v>0.525</v>
      </c>
      <c r="AB24" s="28" t="n">
        <v>-0.001066</v>
      </c>
      <c r="AC24" s="30" t="n">
        <v>-0.75</v>
      </c>
      <c r="AD24" s="24" t="inlineStr">
        <is>
          <t>2026-07-31T04:29:20.800435Z</t>
        </is>
      </c>
      <c r="AE24" s="31" t="inlineStr">
        <is>
          <t>Learned LR call at threshold 0.6242; executable ask 0.5250 (aec-mlb-pit-cin-2026-07-30); model edge vs ask -0.0041.</t>
        </is>
      </c>
      <c r="AF24" s="31" t="inlineStr">
        <is>
          <t>Learned model; shadow-qualified via operator override.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3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mlb-pit</t>
        </is>
      </c>
      <c r="AQ24" s="24" t="inlineStr">
        <is>
          <t>Pittsburgh Pirates</t>
        </is>
      </c>
      <c r="AR24" s="24" t="inlineStr">
        <is>
          <t>Pittsburgh Pirates</t>
        </is>
      </c>
      <c r="AS24" s="24" t="inlineStr">
        <is>
          <t>mlb-cin</t>
        </is>
      </c>
      <c r="AT24" s="24" t="inlineStr">
        <is>
          <t>Cincinnati Reds</t>
        </is>
      </c>
      <c r="AU24" s="24" t="inlineStr">
        <is>
          <t>Cincinnati Reds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464eef695bfbbdaa819ec6f5e4c5bd1068ed20b92915fb2677220ae91e20d8b6</t>
        </is>
      </c>
      <c r="BB24" s="24" t="inlineStr">
        <is>
          <t>learned_lr</t>
        </is>
      </c>
      <c r="BC24" s="24" t="inlineStr">
        <is>
          <t>mlb-elo-trend-lr-v7</t>
        </is>
      </c>
      <c r="BD24" s="24" t="inlineStr">
        <is>
          <t>464eef695bfbbdaa819ec6f5e4c5bd1068ed20b92915fb2677220ae91e20d8b6</t>
        </is>
      </c>
      <c r="BE24" s="24" t="inlineStr">
        <is>
          <t>b3d67de7b6d26958</t>
        </is>
      </c>
      <c r="BF24" s="24" t="inlineStr">
        <is>
          <t>1</t>
        </is>
      </c>
      <c r="BG24" s="24" t="inlineStr">
        <is>
          <t>mlb-elo-trend-lr-v7</t>
        </is>
      </c>
      <c r="BH24" s="24" t="inlineStr">
        <is>
          <t>2026-07-30T21:07:11.035351Z</t>
        </is>
      </c>
      <c r="BI24" s="24" t="inlineStr">
        <is>
          <t>["same_event","same_team_same_day","same_league_same_day"]</t>
        </is>
      </c>
      <c r="BJ24" s="25" t="n"/>
      <c r="BK24" s="26" t="n">
        <v>-111</v>
      </c>
      <c r="BL24" s="27" t="n">
        <v>1.900901</v>
      </c>
      <c r="BM24" s="28" t="n">
        <v>0.526066</v>
      </c>
      <c r="BN24" s="28" t="n">
        <v>0.522388</v>
      </c>
      <c r="BO24" s="28" t="n"/>
      <c r="BP24" s="25" t="n"/>
      <c r="BQ24" s="27" t="n">
        <v>1.900901</v>
      </c>
      <c r="BR24" s="28" t="n">
        <v>0.525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inlineStr">
        <is>
          <t>0.4889165025</t>
        </is>
      </c>
      <c r="CD24" s="24" t="inlineStr">
        <is>
          <t>0.498942</t>
        </is>
      </c>
      <c r="CE24" s="24" t="inlineStr">
        <is>
          <t>1.036</t>
        </is>
      </c>
      <c r="CF24" s="24" t="inlineStr">
        <is>
          <t>1.0086</t>
        </is>
      </c>
      <c r="CG24" s="24" t="inlineStr">
        <is>
          <t>-1.2</t>
        </is>
      </c>
      <c r="CH24" s="24" t="n"/>
      <c r="CI24" s="24" t="n"/>
      <c r="CJ24" s="24" t="n"/>
      <c r="CK24" s="24" t="n"/>
      <c r="CL24" s="24" t="n"/>
      <c r="CM24" s="24" t="n"/>
      <c r="CN24" s="24" t="n"/>
      <c r="CO24" s="24" t="n"/>
    </row>
    <row r="25" ht="36" customHeight="1">
      <c r="A25" s="24" t="inlineStr">
        <is>
          <t>11f84971274b451c</t>
        </is>
      </c>
      <c r="B25" s="24" t="inlineStr">
        <is>
          <t>2026-07-30T21:07:52.668171Z</t>
        </is>
      </c>
      <c r="C25" s="24" t="inlineStr">
        <is>
          <t>2026-07-30T23:00Z</t>
        </is>
      </c>
      <c r="D25" s="24" t="inlineStr">
        <is>
          <t>401816325</t>
        </is>
      </c>
      <c r="E25" s="24" t="inlineStr">
        <is>
          <t>MLB</t>
        </is>
      </c>
      <c r="F25" s="24" t="inlineStr">
        <is>
          <t>Washington Nationals</t>
        </is>
      </c>
      <c r="G25" s="24" t="inlineStr">
        <is>
          <t>Atlanta Braves</t>
        </is>
      </c>
      <c r="H25" s="24" t="inlineStr">
        <is>
          <t>spread</t>
        </is>
      </c>
      <c r="I25" s="24" t="inlineStr">
        <is>
          <t>away</t>
        </is>
      </c>
      <c r="J25" s="25" t="n">
        <v>1.5</v>
      </c>
      <c r="K25" s="24" t="inlineStr">
        <is>
          <t>polymarket_us</t>
        </is>
      </c>
      <c r="L25" s="26" t="n">
        <v>-138</v>
      </c>
      <c r="M25" s="27" t="n">
        <v>1.724638</v>
      </c>
      <c r="N25" s="28" t="n">
        <v>0.579832</v>
      </c>
      <c r="O25" s="28" t="n">
        <v>0.544978</v>
      </c>
      <c r="P25" s="28" t="n">
        <v>0.042131</v>
      </c>
      <c r="Q25" s="28" t="n">
        <v>-0.034854</v>
      </c>
      <c r="R25" s="26" t="n">
        <v>7</v>
      </c>
      <c r="S25" s="29" t="n">
        <v>1</v>
      </c>
      <c r="T25" s="24" t="inlineStr">
        <is>
          <t>measured-edge-margin-v1</t>
        </is>
      </c>
      <c r="U25" s="24" t="inlineStr">
        <is>
          <t>settled</t>
        </is>
      </c>
      <c r="V25" s="24" t="inlineStr">
        <is>
          <t>win</t>
        </is>
      </c>
      <c r="W25" s="26" t="n">
        <v>4</v>
      </c>
      <c r="X25" s="26" t="n">
        <v>5</v>
      </c>
      <c r="Y25" s="25" t="n">
        <v>1.5</v>
      </c>
      <c r="Z25" s="26" t="n">
        <v>-138</v>
      </c>
      <c r="AA25" s="28" t="n">
        <v>0.58</v>
      </c>
      <c r="AB25" s="28" t="n">
        <v>0.000168</v>
      </c>
      <c r="AC25" s="30" t="n">
        <v>0.7246</v>
      </c>
      <c r="AD25" s="24" t="inlineStr">
        <is>
          <t>2026-07-31T04:29:20.972006Z</t>
        </is>
      </c>
      <c r="AE25" s="31" t="inlineStr">
        <is>
          <t>Measured Edge Margin: Trend Engine projected 4.30-4.84; raw selected-side p=0.6177, calibrated p=0.5450.</t>
        </is>
      </c>
      <c r="AF25" s="31" t="inlineStr">
        <is>
          <t>Research-only; lineup, bullpen, park, weather, xFIP, and wRC+ may be neutral fallbacks; market availability and BBO depth may change before first pitch.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research_observation</t>
        </is>
      </c>
      <c r="AL25" s="26" t="n">
        <v>3</v>
      </c>
      <c r="AM25" s="24" t="inlineStr">
        <is>
          <t>RESEARCH_OBSERVATION</t>
        </is>
      </c>
      <c r="AN25" s="24" t="inlineStr">
        <is>
          <t>NO_CALL</t>
        </is>
      </c>
      <c r="AO25" s="24" t="inlineStr">
        <is>
          <t>NO_CALL_MODEL_UNVALIDATED</t>
        </is>
      </c>
      <c r="AP25" s="24" t="inlineStr">
        <is>
          <t>mlb-wsh</t>
        </is>
      </c>
      <c r="AQ25" s="24" t="inlineStr">
        <is>
          <t>Washington Nationals</t>
        </is>
      </c>
      <c r="AR25" s="24" t="inlineStr">
        <is>
          <t>Washington Nationals</t>
        </is>
      </c>
      <c r="AS25" s="24" t="inlineStr">
        <is>
          <t>mlb-atl</t>
        </is>
      </c>
      <c r="AT25" s="24" t="inlineStr">
        <is>
          <t>Atlanta Braves</t>
        </is>
      </c>
      <c r="AU25" s="24" t="inlineStr">
        <is>
          <t>Atlanta Braves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research</t>
        </is>
      </c>
      <c r="BA25" s="24" t="inlineStr">
        <is>
          <t>2bc2ce55b0d39a20103f724bbddbde5394909acd49297f52665b596a0ae3ae8b</t>
        </is>
      </c>
      <c r="BB25" s="24" t="inlineStr">
        <is>
          <t>flat_probability_shrinkage_toward_half</t>
        </is>
      </c>
      <c r="BC25" s="24" t="inlineStr">
        <is>
          <t>measured-edge-margin-v1</t>
        </is>
      </c>
      <c r="BD25" s="24" t="inlineStr">
        <is>
          <t>2bc2ce55b0d39a20103f724bbddbde5394909acd49297f52665b596a0ae3ae8b</t>
        </is>
      </c>
      <c r="BE25" s="24" t="inlineStr">
        <is>
          <t>v3</t>
        </is>
      </c>
      <c r="BF25" s="24" t="inlineStr">
        <is>
          <t>1</t>
        </is>
      </c>
      <c r="BG25" s="24" t="inlineStr">
        <is>
          <t>measured-edge-paired-v1</t>
        </is>
      </c>
      <c r="BH25" s="24" t="inlineStr">
        <is>
          <t>2026-07-30T21:07:52.668171Z</t>
        </is>
      </c>
      <c r="BI25" s="24" t="inlineStr">
        <is>
          <t>["same_event","same_team_same_day","same_league_same_day"]</t>
        </is>
      </c>
      <c r="BJ25" s="25" t="n">
        <v>1.5</v>
      </c>
      <c r="BK25" s="26" t="n">
        <v>-138</v>
      </c>
      <c r="BL25" s="27" t="n">
        <v>1.724638</v>
      </c>
      <c r="BM25" s="28" t="n">
        <v>0.579832</v>
      </c>
      <c r="BN25" s="28" t="n">
        <v>0.577114</v>
      </c>
      <c r="BO25" s="28" t="n"/>
      <c r="BP25" s="25" t="n"/>
      <c r="BQ25" s="27" t="n">
        <v>1.724638</v>
      </c>
      <c r="BR25" s="28" t="n">
        <v>0.58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</row>
    <row r="26" ht="36" customHeight="1">
      <c r="A26" s="24" t="inlineStr">
        <is>
          <t>fb4fab31130243f9</t>
        </is>
      </c>
      <c r="B26" s="24" t="inlineStr">
        <is>
          <t>2026-07-30T21:07:52.668171Z</t>
        </is>
      </c>
      <c r="C26" s="24" t="inlineStr">
        <is>
          <t>2026-07-30T23:00Z</t>
        </is>
      </c>
      <c r="D26" s="24" t="inlineStr">
        <is>
          <t>401816325</t>
        </is>
      </c>
      <c r="E26" s="24" t="inlineStr">
        <is>
          <t>MLB</t>
        </is>
      </c>
      <c r="F26" s="24" t="inlineStr">
        <is>
          <t>Washington Nationals</t>
        </is>
      </c>
      <c r="G26" s="24" t="inlineStr">
        <is>
          <t>Atlanta Braves</t>
        </is>
      </c>
      <c r="H26" s="24" t="inlineStr">
        <is>
          <t>total</t>
        </is>
      </c>
      <c r="I26" s="24" t="inlineStr">
        <is>
          <t>under</t>
        </is>
      </c>
      <c r="J26" s="25" t="n">
        <v>9.5</v>
      </c>
      <c r="K26" s="24" t="inlineStr">
        <is>
          <t>polymarket_us</t>
        </is>
      </c>
      <c r="L26" s="26" t="n">
        <v>115</v>
      </c>
      <c r="M26" s="27" t="n">
        <v>2.15</v>
      </c>
      <c r="N26" s="28" t="n">
        <v>0.465116</v>
      </c>
      <c r="O26" s="28" t="n">
        <v>0.567785</v>
      </c>
      <c r="P26" s="28" t="n">
        <v>0.042131</v>
      </c>
      <c r="Q26" s="28" t="n">
        <v>0.102669</v>
      </c>
      <c r="R26" s="26" t="n">
        <v>76</v>
      </c>
      <c r="S26" s="29" t="n">
        <v>1.25</v>
      </c>
      <c r="T26" s="24" t="inlineStr">
        <is>
          <t>measured-edge-totals-v1</t>
        </is>
      </c>
      <c r="U26" s="24" t="inlineStr">
        <is>
          <t>settled</t>
        </is>
      </c>
      <c r="V26" s="24" t="inlineStr">
        <is>
          <t>win</t>
        </is>
      </c>
      <c r="W26" s="26" t="n">
        <v>4</v>
      </c>
      <c r="X26" s="26" t="n">
        <v>5</v>
      </c>
      <c r="Y26" s="25" t="n">
        <v>9.5</v>
      </c>
      <c r="Z26" s="26" t="n">
        <v>115</v>
      </c>
      <c r="AA26" s="28" t="n">
        <v>0.465</v>
      </c>
      <c r="AB26" s="28" t="n">
        <v>-0.000116</v>
      </c>
      <c r="AC26" s="30" t="n">
        <v>1.4375</v>
      </c>
      <c r="AD26" s="24" t="inlineStr">
        <is>
          <t>2026-07-31T04:29:21.144105Z</t>
        </is>
      </c>
      <c r="AE26" s="31" t="inlineStr">
        <is>
          <t>Measured Edge Totals: Trend Engine projected 4.30-4.84; raw selected-side p=0.5858, calibrated p=0.5678.</t>
        </is>
      </c>
      <c r="AF26" s="31" t="inlineStr">
        <is>
          <t>Research-only; lineup, bullpen, park, weather, xFIP, and wRC+ may be neutral fallbacks; market availability and BBO depth may change before first pitch.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research_observation</t>
        </is>
      </c>
      <c r="AL26" s="26" t="n">
        <v>3</v>
      </c>
      <c r="AM26" s="24" t="inlineStr">
        <is>
          <t>RESEARCH_OBSERVATION</t>
        </is>
      </c>
      <c r="AN26" s="24" t="inlineStr">
        <is>
          <t>NO_CALL</t>
        </is>
      </c>
      <c r="AO26" s="24" t="inlineStr">
        <is>
          <t>NO_CALL_MODEL_UNVALIDATED</t>
        </is>
      </c>
      <c r="AP26" s="24" t="inlineStr">
        <is>
          <t>mlb-wsh</t>
        </is>
      </c>
      <c r="AQ26" s="24" t="inlineStr">
        <is>
          <t>Washington Nationals</t>
        </is>
      </c>
      <c r="AR26" s="24" t="inlineStr">
        <is>
          <t>Washington Nationals</t>
        </is>
      </c>
      <c r="AS26" s="24" t="inlineStr">
        <is>
          <t>mlb-atl</t>
        </is>
      </c>
      <c r="AT26" s="24" t="inlineStr">
        <is>
          <t>Atlanta Braves</t>
        </is>
      </c>
      <c r="AU26" s="24" t="inlineStr">
        <is>
          <t>Atlanta Braves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research</t>
        </is>
      </c>
      <c r="BA26" s="24" t="inlineStr">
        <is>
          <t>cbc2c9bf5a9569a49e1902c816d96556d704cf10819ca3a9e927721685757d0b</t>
        </is>
      </c>
      <c r="BB26" s="24" t="inlineStr">
        <is>
          <t>flat_probability_shrinkage_toward_half</t>
        </is>
      </c>
      <c r="BC26" s="24" t="inlineStr">
        <is>
          <t>measured-edge-totals-v1</t>
        </is>
      </c>
      <c r="BD26" s="24" t="inlineStr">
        <is>
          <t>cbc2c9bf5a9569a49e1902c816d96556d704cf10819ca3a9e927721685757d0b</t>
        </is>
      </c>
      <c r="BE26" s="24" t="inlineStr">
        <is>
          <t>v3</t>
        </is>
      </c>
      <c r="BF26" s="24" t="inlineStr">
        <is>
          <t>1</t>
        </is>
      </c>
      <c r="BG26" s="24" t="inlineStr">
        <is>
          <t>measured-edge-paired-v1</t>
        </is>
      </c>
      <c r="BH26" s="24" t="inlineStr">
        <is>
          <t>2026-07-30T21:07:52.668171Z</t>
        </is>
      </c>
      <c r="BI26" s="24" t="inlineStr">
        <is>
          <t>["same_event","same_team_same_day","same_league_same_day"]</t>
        </is>
      </c>
      <c r="BJ26" s="25" t="n">
        <v>9.5</v>
      </c>
      <c r="BK26" s="26" t="n">
        <v>115</v>
      </c>
      <c r="BL26" s="27" t="n">
        <v>2.15</v>
      </c>
      <c r="BM26" s="28" t="n">
        <v>0.465116</v>
      </c>
      <c r="BN26" s="28" t="n">
        <v>0.462687</v>
      </c>
      <c r="BO26" s="28" t="n"/>
      <c r="BP26" s="25" t="n"/>
      <c r="BQ26" s="27" t="n">
        <v>2.15</v>
      </c>
      <c r="BR26" s="28" t="n">
        <v>0.465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</row>
    <row r="27" ht="36" customHeight="1">
      <c r="A27" s="24" t="inlineStr">
        <is>
          <t>ef65643269874e11</t>
        </is>
      </c>
      <c r="B27" s="24" t="inlineStr">
        <is>
          <t>2026-07-30T21:07:52.668171Z</t>
        </is>
      </c>
      <c r="C27" s="24" t="inlineStr">
        <is>
          <t>2026-07-30T23:10Z</t>
        </is>
      </c>
      <c r="D27" s="24" t="inlineStr">
        <is>
          <t>401816322</t>
        </is>
      </c>
      <c r="E27" s="24" t="inlineStr">
        <is>
          <t>MLB</t>
        </is>
      </c>
      <c r="F27" s="24" t="inlineStr">
        <is>
          <t>Miami Marlins</t>
        </is>
      </c>
      <c r="G27" s="24" t="inlineStr">
        <is>
          <t>New York Mets</t>
        </is>
      </c>
      <c r="H27" s="24" t="inlineStr">
        <is>
          <t>total</t>
        </is>
      </c>
      <c r="I27" s="24" t="inlineStr">
        <is>
          <t>over</t>
        </is>
      </c>
      <c r="J27" s="25" t="n">
        <v>7.5</v>
      </c>
      <c r="K27" s="24" t="inlineStr">
        <is>
          <t>polymarket_us</t>
        </is>
      </c>
      <c r="L27" s="26" t="n">
        <v>122</v>
      </c>
      <c r="M27" s="27" t="n">
        <v>2.22</v>
      </c>
      <c r="N27" s="28" t="n">
        <v>0.45045</v>
      </c>
      <c r="O27" s="28" t="n">
        <v>0.518212</v>
      </c>
      <c r="P27" s="28" t="n">
        <v>0.042131</v>
      </c>
      <c r="Q27" s="28" t="n">
        <v>0.067762</v>
      </c>
      <c r="R27" s="26" t="n">
        <v>59</v>
      </c>
      <c r="S27" s="29" t="n">
        <v>1</v>
      </c>
      <c r="T27" s="24" t="inlineStr">
        <is>
          <t>measured-edge-totals-v1</t>
        </is>
      </c>
      <c r="U27" s="24" t="inlineStr">
        <is>
          <t>settled</t>
        </is>
      </c>
      <c r="V27" s="24" t="inlineStr">
        <is>
          <t>loss</t>
        </is>
      </c>
      <c r="W27" s="26" t="n">
        <v>2</v>
      </c>
      <c r="X27" s="26" t="n">
        <v>4</v>
      </c>
      <c r="Y27" s="25" t="n">
        <v>7.5</v>
      </c>
      <c r="Z27" s="26" t="n">
        <v>122</v>
      </c>
      <c r="AA27" s="28" t="n">
        <v>0.45</v>
      </c>
      <c r="AB27" s="28" t="n">
        <v>-0.00045</v>
      </c>
      <c r="AC27" s="30" t="n">
        <v>-1</v>
      </c>
      <c r="AD27" s="24" t="inlineStr">
        <is>
          <t>2026-07-31T04:29:21.519443Z</t>
        </is>
      </c>
      <c r="AE27" s="31" t="inlineStr">
        <is>
          <t>Measured Edge Totals: Trend Engine projected 4.06-4.34; raw selected-side p=0.5347, calibrated p=0.5182.</t>
        </is>
      </c>
      <c r="AF27" s="31" t="inlineStr">
        <is>
          <t>Research-only; lineup, bullpen, park, weather, xFIP, and wRC+ may be neutral fallbacks; market availability and BBO depth may change before first pitch.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research_observation</t>
        </is>
      </c>
      <c r="AL27" s="26" t="n">
        <v>3</v>
      </c>
      <c r="AM27" s="24" t="inlineStr">
        <is>
          <t>RESEARCH_OBSERVATION</t>
        </is>
      </c>
      <c r="AN27" s="24" t="inlineStr">
        <is>
          <t>NO_CALL</t>
        </is>
      </c>
      <c r="AO27" s="24" t="inlineStr">
        <is>
          <t>NO_CALL_MODEL_UNVALIDATED</t>
        </is>
      </c>
      <c r="AP27" s="24" t="inlineStr">
        <is>
          <t>mlb-mia</t>
        </is>
      </c>
      <c r="AQ27" s="24" t="inlineStr">
        <is>
          <t>Miami Marlins</t>
        </is>
      </c>
      <c r="AR27" s="24" t="inlineStr">
        <is>
          <t>Miami Marlins</t>
        </is>
      </c>
      <c r="AS27" s="24" t="inlineStr">
        <is>
          <t>mlb-nym</t>
        </is>
      </c>
      <c r="AT27" s="24" t="inlineStr">
        <is>
          <t>New York Mets</t>
        </is>
      </c>
      <c r="AU27" s="24" t="inlineStr">
        <is>
          <t>New York Mets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research</t>
        </is>
      </c>
      <c r="BA27" s="24" t="inlineStr">
        <is>
          <t>cbc2c9bf5a9569a49e1902c816d96556d704cf10819ca3a9e927721685757d0b</t>
        </is>
      </c>
      <c r="BB27" s="24" t="inlineStr">
        <is>
          <t>flat_probability_shrinkage_toward_half</t>
        </is>
      </c>
      <c r="BC27" s="24" t="inlineStr">
        <is>
          <t>measured-edge-totals-v1</t>
        </is>
      </c>
      <c r="BD27" s="24" t="inlineStr">
        <is>
          <t>cbc2c9bf5a9569a49e1902c816d96556d704cf10819ca3a9e927721685757d0b</t>
        </is>
      </c>
      <c r="BE27" s="24" t="inlineStr">
        <is>
          <t>v3</t>
        </is>
      </c>
      <c r="BF27" s="24" t="inlineStr">
        <is>
          <t>1</t>
        </is>
      </c>
      <c r="BG27" s="24" t="inlineStr">
        <is>
          <t>measured-edge-paired-v1</t>
        </is>
      </c>
      <c r="BH27" s="24" t="inlineStr">
        <is>
          <t>2026-07-30T21:07:52.668171Z</t>
        </is>
      </c>
      <c r="BI27" s="24" t="inlineStr">
        <is>
          <t>["same_event","same_team_same_day","same_league_same_day"]</t>
        </is>
      </c>
      <c r="BJ27" s="25" t="n">
        <v>7.5</v>
      </c>
      <c r="BK27" s="26" t="n">
        <v>122</v>
      </c>
      <c r="BL27" s="27" t="n">
        <v>2.22</v>
      </c>
      <c r="BM27" s="28" t="n">
        <v>0.45045</v>
      </c>
      <c r="BN27" s="28" t="n">
        <v>0.447761</v>
      </c>
      <c r="BO27" s="28" t="n"/>
      <c r="BP27" s="25" t="n"/>
      <c r="BQ27" s="27" t="n">
        <v>2.22</v>
      </c>
      <c r="BR27" s="28" t="n">
        <v>0.45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</row>
    <row r="28" ht="36" customHeight="1">
      <c r="A28" s="24" t="inlineStr">
        <is>
          <t>2114d0bdf61c4db9</t>
        </is>
      </c>
      <c r="B28" s="24" t="inlineStr">
        <is>
          <t>2026-07-30T21:07:52.668171Z</t>
        </is>
      </c>
      <c r="C28" s="24" t="inlineStr">
        <is>
          <t>2026-07-30T23:10Z</t>
        </is>
      </c>
      <c r="D28" s="24" t="inlineStr">
        <is>
          <t>401816323</t>
        </is>
      </c>
      <c r="E28" s="24" t="inlineStr">
        <is>
          <t>MLB</t>
        </is>
      </c>
      <c r="F28" s="24" t="inlineStr">
        <is>
          <t>Pittsburgh Pirates</t>
        </is>
      </c>
      <c r="G28" s="24" t="inlineStr">
        <is>
          <t>Cincinnati Reds</t>
        </is>
      </c>
      <c r="H28" s="24" t="inlineStr">
        <is>
          <t>spread</t>
        </is>
      </c>
      <c r="I28" s="24" t="inlineStr">
        <is>
          <t>home</t>
        </is>
      </c>
      <c r="J28" s="25" t="n">
        <v>1.5</v>
      </c>
      <c r="K28" s="24" t="inlineStr">
        <is>
          <t>polymarket_us</t>
        </is>
      </c>
      <c r="L28" s="26" t="n">
        <v>-144</v>
      </c>
      <c r="M28" s="27" t="n">
        <v>1.694444</v>
      </c>
      <c r="N28" s="28" t="n">
        <v>0.590164</v>
      </c>
      <c r="O28" s="28" t="n">
        <v>0.547061</v>
      </c>
      <c r="P28" s="28" t="n">
        <v>0.042131</v>
      </c>
      <c r="Q28" s="28" t="n">
        <v>-0.043103</v>
      </c>
      <c r="R28" s="26" t="n">
        <v>3</v>
      </c>
      <c r="S28" s="29" t="n">
        <v>1</v>
      </c>
      <c r="T28" s="24" t="inlineStr">
        <is>
          <t>measured-edge-margin-v1</t>
        </is>
      </c>
      <c r="U28" s="24" t="inlineStr">
        <is>
          <t>settled</t>
        </is>
      </c>
      <c r="V28" s="24" t="inlineStr">
        <is>
          <t>win</t>
        </is>
      </c>
      <c r="W28" s="26" t="n">
        <v>2</v>
      </c>
      <c r="X28" s="26" t="n">
        <v>3</v>
      </c>
      <c r="Y28" s="25" t="n">
        <v>1.5</v>
      </c>
      <c r="Z28" s="26" t="n">
        <v>-144</v>
      </c>
      <c r="AA28" s="28" t="n">
        <v>0.59</v>
      </c>
      <c r="AB28" s="28" t="n">
        <v>-0.000164</v>
      </c>
      <c r="AC28" s="30" t="n">
        <v>0.6944</v>
      </c>
      <c r="AD28" s="24" t="inlineStr">
        <is>
          <t>2026-07-31T04:29:21.688701Z</t>
        </is>
      </c>
      <c r="AE28" s="31" t="inlineStr">
        <is>
          <t>Measured Edge Margin: Trend Engine projected 4.87-4.53; raw selected-side p=0.6283, calibrated p=0.5471.</t>
        </is>
      </c>
      <c r="AF28" s="31" t="inlineStr">
        <is>
          <t>Research-only; lineup, bullpen, park, weather, xFIP, and wRC+ may be neutral fallbacks; market availability and BBO depth may change before first pitch.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research_observation</t>
        </is>
      </c>
      <c r="AL28" s="26" t="n">
        <v>3</v>
      </c>
      <c r="AM28" s="24" t="inlineStr">
        <is>
          <t>RESEARCH_OBSERVATION</t>
        </is>
      </c>
      <c r="AN28" s="24" t="inlineStr">
        <is>
          <t>NO_CALL</t>
        </is>
      </c>
      <c r="AO28" s="24" t="inlineStr">
        <is>
          <t>NO_CALL_MODEL_UNVALIDATED</t>
        </is>
      </c>
      <c r="AP28" s="24" t="inlineStr">
        <is>
          <t>mlb-pit</t>
        </is>
      </c>
      <c r="AQ28" s="24" t="inlineStr">
        <is>
          <t>Pittsburgh Pirates</t>
        </is>
      </c>
      <c r="AR28" s="24" t="inlineStr">
        <is>
          <t>Pittsburgh Pirates</t>
        </is>
      </c>
      <c r="AS28" s="24" t="inlineStr">
        <is>
          <t>mlb-cin</t>
        </is>
      </c>
      <c r="AT28" s="24" t="inlineStr">
        <is>
          <t>Cincinnati Reds</t>
        </is>
      </c>
      <c r="AU28" s="24" t="inlineStr">
        <is>
          <t>Cincinnati Reds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research</t>
        </is>
      </c>
      <c r="BA28" s="24" t="inlineStr">
        <is>
          <t>2bc2ce55b0d39a20103f724bbddbde5394909acd49297f52665b596a0ae3ae8b</t>
        </is>
      </c>
      <c r="BB28" s="24" t="inlineStr">
        <is>
          <t>flat_probability_shrinkage_toward_half</t>
        </is>
      </c>
      <c r="BC28" s="24" t="inlineStr">
        <is>
          <t>measured-edge-margin-v1</t>
        </is>
      </c>
      <c r="BD28" s="24" t="inlineStr">
        <is>
          <t>2bc2ce55b0d39a20103f724bbddbde5394909acd49297f52665b596a0ae3ae8b</t>
        </is>
      </c>
      <c r="BE28" s="24" t="inlineStr">
        <is>
          <t>v3</t>
        </is>
      </c>
      <c r="BF28" s="24" t="inlineStr">
        <is>
          <t>1</t>
        </is>
      </c>
      <c r="BG28" s="24" t="inlineStr">
        <is>
          <t>measured-edge-paired-v1</t>
        </is>
      </c>
      <c r="BH28" s="24" t="inlineStr">
        <is>
          <t>2026-07-30T21:07:52.668171Z</t>
        </is>
      </c>
      <c r="BI28" s="24" t="inlineStr">
        <is>
          <t>["same_event","same_team_same_day","same_league_same_day"]</t>
        </is>
      </c>
      <c r="BJ28" s="25" t="n">
        <v>1.5</v>
      </c>
      <c r="BK28" s="26" t="n">
        <v>-144</v>
      </c>
      <c r="BL28" s="27" t="n">
        <v>1.694444</v>
      </c>
      <c r="BM28" s="28" t="n">
        <v>0.590164</v>
      </c>
      <c r="BN28" s="28" t="n">
        <v>0.5870649999999999</v>
      </c>
      <c r="BO28" s="28" t="n"/>
      <c r="BP28" s="25" t="n"/>
      <c r="BQ28" s="27" t="n">
        <v>1.694444</v>
      </c>
      <c r="BR28" s="28" t="n">
        <v>0.59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</row>
    <row r="29" ht="36" customHeight="1">
      <c r="A29" s="24" t="inlineStr">
        <is>
          <t>4241eb09d71c4a6e</t>
        </is>
      </c>
      <c r="B29" s="24" t="inlineStr">
        <is>
          <t>2026-07-30T21:07:52.668171Z</t>
        </is>
      </c>
      <c r="C29" s="24" t="inlineStr">
        <is>
          <t>2026-07-30T23:10Z</t>
        </is>
      </c>
      <c r="D29" s="24" t="inlineStr">
        <is>
          <t>401816323</t>
        </is>
      </c>
      <c r="E29" s="24" t="inlineStr">
        <is>
          <t>MLB</t>
        </is>
      </c>
      <c r="F29" s="24" t="inlineStr">
        <is>
          <t>Pittsburgh Pirates</t>
        </is>
      </c>
      <c r="G29" s="24" t="inlineStr">
        <is>
          <t>Cincinnati Reds</t>
        </is>
      </c>
      <c r="H29" s="24" t="inlineStr">
        <is>
          <t>total</t>
        </is>
      </c>
      <c r="I29" s="24" t="inlineStr">
        <is>
          <t>under</t>
        </is>
      </c>
      <c r="J29" s="25" t="n">
        <v>9.5</v>
      </c>
      <c r="K29" s="24" t="inlineStr">
        <is>
          <t>polymarket_us</t>
        </is>
      </c>
      <c r="L29" s="26" t="n">
        <v>102</v>
      </c>
      <c r="M29" s="27" t="n">
        <v>2.02</v>
      </c>
      <c r="N29" s="28" t="n">
        <v>0.49505</v>
      </c>
      <c r="O29" s="28" t="n">
        <v>0.547364</v>
      </c>
      <c r="P29" s="28" t="n">
        <v>0.042131</v>
      </c>
      <c r="Q29" s="28" t="n">
        <v>0.052314</v>
      </c>
      <c r="R29" s="26" t="n">
        <v>51</v>
      </c>
      <c r="S29" s="29" t="n">
        <v>1</v>
      </c>
      <c r="T29" s="24" t="inlineStr">
        <is>
          <t>measured-edge-totals-v1</t>
        </is>
      </c>
      <c r="U29" s="24" t="inlineStr">
        <is>
          <t>settled</t>
        </is>
      </c>
      <c r="V29" s="24" t="inlineStr">
        <is>
          <t>win</t>
        </is>
      </c>
      <c r="W29" s="26" t="n">
        <v>2</v>
      </c>
      <c r="X29" s="26" t="n">
        <v>3</v>
      </c>
      <c r="Y29" s="25" t="n">
        <v>9.5</v>
      </c>
      <c r="Z29" s="26" t="n">
        <v>102</v>
      </c>
      <c r="AA29" s="28" t="n">
        <v>0.495</v>
      </c>
      <c r="AB29" s="28" t="n">
        <v>-5e-05</v>
      </c>
      <c r="AC29" s="30" t="n">
        <v>1.02</v>
      </c>
      <c r="AD29" s="24" t="inlineStr">
        <is>
          <t>2026-07-31T04:29:21.851838Z</t>
        </is>
      </c>
      <c r="AE29" s="31" t="inlineStr">
        <is>
          <t>Measured Edge Totals: Trend Engine projected 4.87-4.53; raw selected-side p=0.5647, calibrated p=0.5474.</t>
        </is>
      </c>
      <c r="AF29" s="31" t="inlineStr">
        <is>
          <t>Research-only; lineup, bullpen, park, weather, xFIP, and wRC+ may be neutral fallbacks; market availability and BBO depth may change before first pitch.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research_observation</t>
        </is>
      </c>
      <c r="AL29" s="26" t="n">
        <v>3</v>
      </c>
      <c r="AM29" s="24" t="inlineStr">
        <is>
          <t>RESEARCH_OBSERVATION</t>
        </is>
      </c>
      <c r="AN29" s="24" t="inlineStr">
        <is>
          <t>NO_CALL</t>
        </is>
      </c>
      <c r="AO29" s="24" t="inlineStr">
        <is>
          <t>NO_CALL_MODEL_UNVALIDATED</t>
        </is>
      </c>
      <c r="AP29" s="24" t="inlineStr">
        <is>
          <t>mlb-pit</t>
        </is>
      </c>
      <c r="AQ29" s="24" t="inlineStr">
        <is>
          <t>Pittsburgh Pirates</t>
        </is>
      </c>
      <c r="AR29" s="24" t="inlineStr">
        <is>
          <t>Pittsburgh Pirates</t>
        </is>
      </c>
      <c r="AS29" s="24" t="inlineStr">
        <is>
          <t>mlb-cin</t>
        </is>
      </c>
      <c r="AT29" s="24" t="inlineStr">
        <is>
          <t>Cincinnati Reds</t>
        </is>
      </c>
      <c r="AU29" s="24" t="inlineStr">
        <is>
          <t>Cincinnati Reds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research</t>
        </is>
      </c>
      <c r="BA29" s="24" t="inlineStr">
        <is>
          <t>cbc2c9bf5a9569a49e1902c816d96556d704cf10819ca3a9e927721685757d0b</t>
        </is>
      </c>
      <c r="BB29" s="24" t="inlineStr">
        <is>
          <t>flat_probability_shrinkage_toward_half</t>
        </is>
      </c>
      <c r="BC29" s="24" t="inlineStr">
        <is>
          <t>measured-edge-totals-v1</t>
        </is>
      </c>
      <c r="BD29" s="24" t="inlineStr">
        <is>
          <t>cbc2c9bf5a9569a49e1902c816d96556d704cf10819ca3a9e927721685757d0b</t>
        </is>
      </c>
      <c r="BE29" s="24" t="inlineStr">
        <is>
          <t>v3</t>
        </is>
      </c>
      <c r="BF29" s="24" t="inlineStr">
        <is>
          <t>1</t>
        </is>
      </c>
      <c r="BG29" s="24" t="inlineStr">
        <is>
          <t>measured-edge-paired-v1</t>
        </is>
      </c>
      <c r="BH29" s="24" t="inlineStr">
        <is>
          <t>2026-07-30T21:07:52.668171Z</t>
        </is>
      </c>
      <c r="BI29" s="24" t="inlineStr">
        <is>
          <t>["same_event","same_team_same_day","same_league_same_day"]</t>
        </is>
      </c>
      <c r="BJ29" s="25" t="n">
        <v>9.5</v>
      </c>
      <c r="BK29" s="26" t="n">
        <v>102</v>
      </c>
      <c r="BL29" s="27" t="n">
        <v>2.02</v>
      </c>
      <c r="BM29" s="28" t="n">
        <v>0.49505</v>
      </c>
      <c r="BN29" s="28" t="n">
        <v>0.492537</v>
      </c>
      <c r="BO29" s="28" t="n"/>
      <c r="BP29" s="25" t="n"/>
      <c r="BQ29" s="27" t="n">
        <v>2.02</v>
      </c>
      <c r="BR29" s="28" t="n">
        <v>0.495</v>
      </c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</row>
    <row r="30" ht="36" customHeight="1">
      <c r="A30" s="24" t="inlineStr">
        <is>
          <t>9e1fb41afbf84561</t>
        </is>
      </c>
      <c r="B30" s="24" t="inlineStr">
        <is>
          <t>2026-07-31T00:56:17.350684Z</t>
        </is>
      </c>
      <c r="C30" s="24" t="inlineStr">
        <is>
          <t>2026-07-30T21:40:00-0400</t>
        </is>
      </c>
      <c r="D30" s="24" t="inlineStr">
        <is>
          <t>401816329</t>
        </is>
      </c>
      <c r="E30" s="24" t="inlineStr">
        <is>
          <t>MLB</t>
        </is>
      </c>
      <c r="F30" s="24" t="inlineStr">
        <is>
          <t>Boston Red Sox</t>
        </is>
      </c>
      <c r="G30" s="24" t="inlineStr">
        <is>
          <t>Athletics</t>
        </is>
      </c>
      <c r="H30" s="24" t="inlineStr">
        <is>
          <t>moneyline</t>
        </is>
      </c>
      <c r="I30" s="24" t="inlineStr">
        <is>
          <t>away</t>
        </is>
      </c>
      <c r="J30" s="25" t="n"/>
      <c r="K30" s="24" t="inlineStr">
        <is>
          <t>polymarket_us</t>
        </is>
      </c>
      <c r="L30" s="26" t="n">
        <v>-178</v>
      </c>
      <c r="M30" s="27" t="n">
        <v>1.561798</v>
      </c>
      <c r="N30" s="28" t="n">
        <v>0.640288</v>
      </c>
      <c r="O30" s="28" t="n">
        <v>0.598658</v>
      </c>
      <c r="P30" s="28" t="n"/>
      <c r="Q30" s="28" t="n">
        <v>-0.04163</v>
      </c>
      <c r="R30" s="26" t="n">
        <v>1</v>
      </c>
      <c r="S30" s="29" t="n">
        <v>1.5</v>
      </c>
      <c r="T30" s="24" t="inlineStr">
        <is>
          <t>mlb-elo-trend-lr-v7</t>
        </is>
      </c>
      <c r="U30" s="24" t="inlineStr">
        <is>
          <t>settled</t>
        </is>
      </c>
      <c r="V30" s="24" t="inlineStr">
        <is>
          <t>win</t>
        </is>
      </c>
      <c r="W30" s="26" t="n">
        <v>5</v>
      </c>
      <c r="X30" s="26" t="n">
        <v>4</v>
      </c>
      <c r="Y30" s="25" t="n"/>
      <c r="Z30" s="26" t="n">
        <v>-178</v>
      </c>
      <c r="AA30" s="28" t="n">
        <v>0.64</v>
      </c>
      <c r="AB30" s="28" t="n">
        <v>-0.000288</v>
      </c>
      <c r="AC30" s="30" t="n">
        <v>0.8427</v>
      </c>
      <c r="AD30" s="24" t="inlineStr">
        <is>
          <t>2026-07-31T04:29:22.023782Z</t>
        </is>
      </c>
      <c r="AE30" s="31" t="inlineStr">
        <is>
          <t>Learned LR call at threshold 0.6242; executable ask 0.6400 (aec-mlb-bos-ath-2026-07-30); model edge vs ask -0.0413.</t>
        </is>
      </c>
      <c r="AF30" s="31" t="inlineStr">
        <is>
          <t>Learned model; shadow-qualified via operator override.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3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mlb-bos</t>
        </is>
      </c>
      <c r="AQ30" s="24" t="inlineStr">
        <is>
          <t>Boston Red Sox</t>
        </is>
      </c>
      <c r="AR30" s="24" t="inlineStr">
        <is>
          <t>Boston Red Sox</t>
        </is>
      </c>
      <c r="AS30" s="24" t="inlineStr">
        <is>
          <t>mlb-ath</t>
        </is>
      </c>
      <c r="AT30" s="24" t="inlineStr">
        <is>
          <t>Athletics</t>
        </is>
      </c>
      <c r="AU30" s="24" t="inlineStr">
        <is>
          <t>Athletics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464eef695bfbbdaa819ec6f5e4c5bd1068ed20b92915fb2677220ae91e20d8b6</t>
        </is>
      </c>
      <c r="BB30" s="24" t="inlineStr">
        <is>
          <t>learned_lr</t>
        </is>
      </c>
      <c r="BC30" s="24" t="inlineStr">
        <is>
          <t>mlb-elo-trend-lr-v7</t>
        </is>
      </c>
      <c r="BD30" s="24" t="inlineStr">
        <is>
          <t>464eef695bfbbdaa819ec6f5e4c5bd1068ed20b92915fb2677220ae91e20d8b6</t>
        </is>
      </c>
      <c r="BE30" s="24" t="inlineStr">
        <is>
          <t>3f3c29dbbe5296b9</t>
        </is>
      </c>
      <c r="BF30" s="24" t="inlineStr">
        <is>
          <t>1</t>
        </is>
      </c>
      <c r="BG30" s="24" t="inlineStr">
        <is>
          <t>mlb-elo-trend-lr-v7</t>
        </is>
      </c>
      <c r="BH30" s="24" t="inlineStr">
        <is>
          <t>2026-07-31T00:56:01.505308Z</t>
        </is>
      </c>
      <c r="BI30" s="24" t="inlineStr">
        <is>
          <t>["same_event","same_team_same_day","same_league_same_day"]</t>
        </is>
      </c>
      <c r="BJ30" s="25" t="n"/>
      <c r="BK30" s="26" t="n">
        <v>-178</v>
      </c>
      <c r="BL30" s="27" t="n">
        <v>1.561798</v>
      </c>
      <c r="BM30" s="28" t="n">
        <v>0.640288</v>
      </c>
      <c r="BN30" s="28" t="n">
        <v>0.636816</v>
      </c>
      <c r="BO30" s="28" t="n"/>
      <c r="BP30" s="25" t="n"/>
      <c r="BQ30" s="27" t="n">
        <v>1.561798</v>
      </c>
      <c r="BR30" s="28" t="n">
        <v>0.64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inlineStr">
        <is>
          <t>0.3783729617</t>
        </is>
      </c>
      <c r="CD30" s="24" t="inlineStr">
        <is>
          <t>-0.254128</t>
        </is>
      </c>
      <c r="CE30" s="24" t="inlineStr">
        <is>
          <t>1.153</t>
        </is>
      </c>
      <c r="CF30" s="24" t="inlineStr">
        <is>
          <t>1.0</t>
        </is>
      </c>
      <c r="CG30" s="24" t="inlineStr">
        <is>
          <t>1.8</t>
        </is>
      </c>
      <c r="CH30" s="24" t="n"/>
      <c r="CI30" s="24" t="n"/>
      <c r="CJ30" s="24" t="n"/>
      <c r="CK30" s="24" t="n"/>
      <c r="CL30" s="24" t="n"/>
      <c r="CM30" s="24" t="n"/>
      <c r="CN30" s="24" t="n"/>
      <c r="CO30" s="24" t="n"/>
    </row>
    <row r="31" ht="36" customHeight="1">
      <c r="A31" s="24" t="inlineStr">
        <is>
          <t>826fb2a467984162</t>
        </is>
      </c>
      <c r="B31" s="24" t="inlineStr">
        <is>
          <t>2026-07-31T00:56:17.350684Z</t>
        </is>
      </c>
      <c r="C31" s="24" t="inlineStr">
        <is>
          <t>2026-07-30T22:00:00-0400</t>
        </is>
      </c>
      <c r="D31" s="24" t="inlineStr">
        <is>
          <t>401857101</t>
        </is>
      </c>
      <c r="E31" s="24" t="inlineStr">
        <is>
          <t>WNBA</t>
        </is>
      </c>
      <c r="F31" s="24" t="inlineStr">
        <is>
          <t>New York Liberty</t>
        </is>
      </c>
      <c r="G31" s="24" t="inlineStr">
        <is>
          <t>Las Vegas Aces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-178</v>
      </c>
      <c r="M31" s="27" t="n">
        <v>1.561798</v>
      </c>
      <c r="N31" s="28" t="n">
        <v>0.640288</v>
      </c>
      <c r="O31" s="28" t="n">
        <v>0.615328</v>
      </c>
      <c r="P31" s="28" t="n"/>
      <c r="Q31" s="28" t="n">
        <v>-0.02496</v>
      </c>
      <c r="R31" s="26" t="n">
        <v>11</v>
      </c>
      <c r="S31" s="29" t="n">
        <v>1.75</v>
      </c>
      <c r="T31" s="24" t="inlineStr">
        <is>
          <t>wnba-elo-trend-lr-v4</t>
        </is>
      </c>
      <c r="U31" s="24" t="inlineStr">
        <is>
          <t>settled</t>
        </is>
      </c>
      <c r="V31" s="24" t="inlineStr">
        <is>
          <t>win</t>
        </is>
      </c>
      <c r="W31" s="26" t="n">
        <v>99</v>
      </c>
      <c r="X31" s="26" t="n">
        <v>104</v>
      </c>
      <c r="Y31" s="25" t="n"/>
      <c r="Z31" s="26" t="n"/>
      <c r="AA31" s="28" t="n"/>
      <c r="AB31" s="28" t="n"/>
      <c r="AC31" s="30" t="n">
        <v>0.9831</v>
      </c>
      <c r="AD31" s="24" t="inlineStr">
        <is>
          <t>2026-07-31T04:29:22.183741Z</t>
        </is>
      </c>
      <c r="AE31" s="31" t="inlineStr">
        <is>
          <t>Learned LR call at threshold 0.5001; executable ask 0.6400 (aec-wnba-ny-lv-2026-07-30); model edge vs ask -0.0247. NOTE: wnba_availability_source_conflict unavailable for this game — defaulted to neutral, other features used normally.</t>
        </is>
      </c>
      <c r="AF31" s="31" t="inlineStr">
        <is>
          <t>Learned model; shadow-qualified via operator override.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model_qualified</t>
        </is>
      </c>
      <c r="AL31" s="26" t="n">
        <v>3</v>
      </c>
      <c r="AM31" s="24" t="inlineStr">
        <is>
          <t>QUALIFIED_SHADOW_CALL</t>
        </is>
      </c>
      <c r="AN31" s="24" t="inlineStr">
        <is>
          <t>CALL</t>
        </is>
      </c>
      <c r="AO31" s="24" t="inlineStr">
        <is>
          <t>QUALIFIED</t>
        </is>
      </c>
      <c r="AP31" s="24" t="inlineStr">
        <is>
          <t>wnba-nyl</t>
        </is>
      </c>
      <c r="AQ31" s="24" t="inlineStr">
        <is>
          <t>New York Liberty</t>
        </is>
      </c>
      <c r="AR31" s="24" t="inlineStr">
        <is>
          <t>New York Liberty</t>
        </is>
      </c>
      <c r="AS31" s="24" t="inlineStr">
        <is>
          <t>wnba-lva</t>
        </is>
      </c>
      <c r="AT31" s="24" t="inlineStr">
        <is>
          <t>Las Vegas Aces</t>
        </is>
      </c>
      <c r="AU31" s="24" t="inlineStr">
        <is>
          <t>Las Vegas Aces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7afd5274214b58b7efd7f7febc7be3ab33b92351cda5cc6403c0a39faea0cc8c</t>
        </is>
      </c>
      <c r="BB31" s="24" t="inlineStr">
        <is>
          <t>learned_lr</t>
        </is>
      </c>
      <c r="BC31" s="24" t="inlineStr">
        <is>
          <t>wnba-elo-trend-lr-v4</t>
        </is>
      </c>
      <c r="BD31" s="24" t="inlineStr">
        <is>
          <t>7afd5274214b58b7efd7f7febc7be3ab33b92351cda5cc6403c0a39faea0cc8c</t>
        </is>
      </c>
      <c r="BE31" s="24" t="inlineStr">
        <is>
          <t>181554924d3d25f6</t>
        </is>
      </c>
      <c r="BF31" s="24" t="inlineStr">
        <is>
          <t>1</t>
        </is>
      </c>
      <c r="BG31" s="24" t="inlineStr">
        <is>
          <t>wnba-elo-trend-lr-v4</t>
        </is>
      </c>
      <c r="BH31" s="24" t="inlineStr">
        <is>
          <t>2026-07-31T00:56:07.048062Z</t>
        </is>
      </c>
      <c r="BI31" s="24" t="inlineStr">
        <is>
          <t>["same_event","same_team_same_day","same_league_same_day"]</t>
        </is>
      </c>
      <c r="BJ31" s="25" t="n"/>
      <c r="BK31" s="26" t="n">
        <v>-178</v>
      </c>
      <c r="BL31" s="27" t="n">
        <v>1.561798</v>
      </c>
      <c r="BM31" s="28" t="n">
        <v>0.640288</v>
      </c>
      <c r="BN31" s="28" t="n">
        <v>0.633663</v>
      </c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inlineStr">
        <is>
          <t>0.6511069872</t>
        </is>
      </c>
      <c r="CD31" s="24" t="inlineStr">
        <is>
          <t>-4.276653</t>
        </is>
      </c>
      <c r="CE31" s="24" t="n"/>
      <c r="CF31" s="24" t="n"/>
      <c r="CG31" s="24" t="n"/>
      <c r="CH31" s="24" t="n"/>
      <c r="CI31" s="24" t="inlineStr">
        <is>
          <t>wnba_availability_source_conflict</t>
        </is>
      </c>
      <c r="CJ31" s="24" t="n"/>
      <c r="CK31" s="24" t="n"/>
      <c r="CL31" s="24" t="n"/>
      <c r="CM31" s="24" t="n"/>
      <c r="CN31" s="24" t="n"/>
      <c r="CO31" s="24" t="n"/>
    </row>
    <row r="32" ht="36" customHeight="1">
      <c r="A32" s="24" t="inlineStr">
        <is>
          <t>67f0c9a835204f15</t>
        </is>
      </c>
      <c r="B32" s="24" t="inlineStr">
        <is>
          <t>2026-07-31T00:56:17.350684Z</t>
        </is>
      </c>
      <c r="C32" s="24" t="inlineStr">
        <is>
          <t>2026-07-30T21:40:00-0400</t>
        </is>
      </c>
      <c r="D32" s="24" t="inlineStr">
        <is>
          <t>401816331</t>
        </is>
      </c>
      <c r="E32" s="24" t="inlineStr">
        <is>
          <t>MLB</t>
        </is>
      </c>
      <c r="F32" s="24" t="inlineStr">
        <is>
          <t>San Francisco Giants</t>
        </is>
      </c>
      <c r="G32" s="24" t="inlineStr">
        <is>
          <t>San Diego Padres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-153</v>
      </c>
      <c r="M32" s="27" t="n">
        <v>1.653595</v>
      </c>
      <c r="N32" s="28" t="n">
        <v>0.604743</v>
      </c>
      <c r="O32" s="28" t="n">
        <v>0.594482</v>
      </c>
      <c r="P32" s="28" t="n"/>
      <c r="Q32" s="28" t="n">
        <v>-0.010261</v>
      </c>
      <c r="R32" s="26" t="n">
        <v>16</v>
      </c>
      <c r="S32" s="29" t="n">
        <v>1.5</v>
      </c>
      <c r="T32" s="24" t="inlineStr">
        <is>
          <t>mlb-elo-trend-lr-v7</t>
        </is>
      </c>
      <c r="U32" s="24" t="inlineStr">
        <is>
          <t>settled</t>
        </is>
      </c>
      <c r="V32" s="24" t="inlineStr">
        <is>
          <t>loss</t>
        </is>
      </c>
      <c r="W32" s="26" t="n">
        <v>4</v>
      </c>
      <c r="X32" s="26" t="n">
        <v>1</v>
      </c>
      <c r="Y32" s="25" t="n"/>
      <c r="Z32" s="26" t="n">
        <v>-153</v>
      </c>
      <c r="AA32" s="28" t="n">
        <v>0.605</v>
      </c>
      <c r="AB32" s="28" t="n">
        <v>0.000257</v>
      </c>
      <c r="AC32" s="30" t="n">
        <v>-1.5</v>
      </c>
      <c r="AD32" s="24" t="inlineStr">
        <is>
          <t>2026-07-31T06:33:21.231210Z</t>
        </is>
      </c>
      <c r="AE32" s="31" t="inlineStr">
        <is>
          <t>Learned LR call at threshold 0.6242; executable ask 0.6050 (aec-mlb-sf-sd-2026-07-30); model edge vs ask -0.0105.</t>
        </is>
      </c>
      <c r="AF32" s="31" t="inlineStr">
        <is>
          <t>Learned model; shadow-qualified via operator override.</t>
        </is>
      </c>
      <c r="AG32" s="24" t="inlineStr">
        <is>
          <t>review_required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3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mlb-sf</t>
        </is>
      </c>
      <c r="AQ32" s="24" t="inlineStr">
        <is>
          <t>San Francisco Giants</t>
        </is>
      </c>
      <c r="AR32" s="24" t="inlineStr">
        <is>
          <t>San Francisco Giants</t>
        </is>
      </c>
      <c r="AS32" s="24" t="inlineStr">
        <is>
          <t>mlb-sd</t>
        </is>
      </c>
      <c r="AT32" s="24" t="inlineStr">
        <is>
          <t>San Diego Padres</t>
        </is>
      </c>
      <c r="AU32" s="24" t="inlineStr">
        <is>
          <t>San Diego Padres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464eef695bfbbdaa819ec6f5e4c5bd1068ed20b92915fb2677220ae91e20d8b6</t>
        </is>
      </c>
      <c r="BB32" s="24" t="inlineStr">
        <is>
          <t>learned_lr</t>
        </is>
      </c>
      <c r="BC32" s="24" t="inlineStr">
        <is>
          <t>mlb-elo-trend-lr-v7</t>
        </is>
      </c>
      <c r="BD32" s="24" t="inlineStr">
        <is>
          <t>464eef695bfbbdaa819ec6f5e4c5bd1068ed20b92915fb2677220ae91e20d8b6</t>
        </is>
      </c>
      <c r="BE32" s="24" t="inlineStr">
        <is>
          <t>cd99d61acebf3df3</t>
        </is>
      </c>
      <c r="BF32" s="24" t="inlineStr">
        <is>
          <t>1</t>
        </is>
      </c>
      <c r="BG32" s="24" t="inlineStr">
        <is>
          <t>mlb-elo-trend-lr-v7</t>
        </is>
      </c>
      <c r="BH32" s="24" t="inlineStr">
        <is>
          <t>2026-07-31T00:56:02.562469Z</t>
        </is>
      </c>
      <c r="BI32" s="24" t="inlineStr">
        <is>
          <t>["same_event","same_team_same_day","same_league_same_day"]</t>
        </is>
      </c>
      <c r="BJ32" s="25" t="n"/>
      <c r="BK32" s="26" t="n">
        <v>-153</v>
      </c>
      <c r="BL32" s="27" t="n">
        <v>1.653595</v>
      </c>
      <c r="BM32" s="28" t="n">
        <v>0.604743</v>
      </c>
      <c r="BN32" s="28" t="n">
        <v>0.60199</v>
      </c>
      <c r="BO32" s="28" t="n"/>
      <c r="BP32" s="25" t="n"/>
      <c r="BQ32" s="27" t="n">
        <v>1.653595</v>
      </c>
      <c r="BR32" s="28" t="n">
        <v>0.605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inlineStr">
        <is>
          <t>0.5827558821</t>
        </is>
      </c>
      <c r="CD32" s="24" t="inlineStr">
        <is>
          <t>-1.602098</t>
        </is>
      </c>
      <c r="CE32" s="24" t="inlineStr">
        <is>
          <t>0.945</t>
        </is>
      </c>
      <c r="CF32" s="24" t="inlineStr">
        <is>
          <t>1.0064</t>
        </is>
      </c>
      <c r="CG32" s="24" t="inlineStr">
        <is>
          <t>-0.2</t>
        </is>
      </c>
      <c r="CH32" s="24" t="n"/>
      <c r="CI32" s="24" t="n"/>
      <c r="CJ32" s="24" t="n"/>
      <c r="CK32" s="24" t="n"/>
      <c r="CL32" s="24" t="n"/>
      <c r="CM32" s="24" t="n"/>
      <c r="CN32" s="24" t="n"/>
      <c r="CO32" s="24" t="n"/>
    </row>
    <row r="33" ht="36" customHeight="1">
      <c r="A33" s="24" t="inlineStr">
        <is>
          <t>c631ace0cda342d0</t>
        </is>
      </c>
      <c r="B33" s="24" t="inlineStr">
        <is>
          <t>2026-07-31T00:56:17.350684Z</t>
        </is>
      </c>
      <c r="C33" s="24" t="inlineStr">
        <is>
          <t>2026-07-30T22:10:00-0400</t>
        </is>
      </c>
      <c r="D33" s="24" t="inlineStr">
        <is>
          <t>401816330</t>
        </is>
      </c>
      <c r="E33" s="24" t="inlineStr">
        <is>
          <t>MLB</t>
        </is>
      </c>
      <c r="F33" s="24" t="inlineStr">
        <is>
          <t>Seattle Mariners</t>
        </is>
      </c>
      <c r="G33" s="24" t="inlineStr">
        <is>
          <t>Los Angeles Dodgers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-141</v>
      </c>
      <c r="M33" s="27" t="n">
        <v>1.70922</v>
      </c>
      <c r="N33" s="28" t="n">
        <v>0.585062</v>
      </c>
      <c r="O33" s="28" t="n">
        <v>0.594031</v>
      </c>
      <c r="P33" s="28" t="n"/>
      <c r="Q33" s="28" t="n">
        <v>0.008969</v>
      </c>
      <c r="R33" s="26" t="n">
        <v>26</v>
      </c>
      <c r="S33" s="29" t="n">
        <v>1.5</v>
      </c>
      <c r="T33" s="24" t="inlineStr">
        <is>
          <t>mlb-elo-trend-lr-v7</t>
        </is>
      </c>
      <c r="U33" s="24" t="inlineStr">
        <is>
          <t>settled</t>
        </is>
      </c>
      <c r="V33" s="24" t="inlineStr">
        <is>
          <t>win</t>
        </is>
      </c>
      <c r="W33" s="26" t="n">
        <v>2</v>
      </c>
      <c r="X33" s="26" t="n">
        <v>6</v>
      </c>
      <c r="Y33" s="25" t="n"/>
      <c r="Z33" s="26" t="n">
        <v>-141</v>
      </c>
      <c r="AA33" s="28" t="n">
        <v>0.585</v>
      </c>
      <c r="AB33" s="28" t="n">
        <v>-6.2e-05</v>
      </c>
      <c r="AC33" s="30" t="n">
        <v>1.0638</v>
      </c>
      <c r="AD33" s="24" t="inlineStr">
        <is>
          <t>2026-07-31T06:33:21.732369Z</t>
        </is>
      </c>
      <c r="AE33" s="31" t="inlineStr">
        <is>
          <t>Learned LR call at threshold 0.6242; executable ask 0.5850 (aec-mlb-sea-lad-2026-07-30); model edge vs ask +0.0090.</t>
        </is>
      </c>
      <c r="AF33" s="31" t="inlineStr">
        <is>
          <t>Learned model; shadow-qualified via operator override.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3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mlb-sea</t>
        </is>
      </c>
      <c r="AQ33" s="24" t="inlineStr">
        <is>
          <t>Seattle Mariners</t>
        </is>
      </c>
      <c r="AR33" s="24" t="inlineStr">
        <is>
          <t>Seattle Mariners</t>
        </is>
      </c>
      <c r="AS33" s="24" t="inlineStr">
        <is>
          <t>mlb-lad</t>
        </is>
      </c>
      <c r="AT33" s="24" t="inlineStr">
        <is>
          <t>Los Angeles Dodgers</t>
        </is>
      </c>
      <c r="AU33" s="24" t="inlineStr">
        <is>
          <t>Los Angeles Dodgers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464eef695bfbbdaa819ec6f5e4c5bd1068ed20b92915fb2677220ae91e20d8b6</t>
        </is>
      </c>
      <c r="BB33" s="24" t="inlineStr">
        <is>
          <t>learned_lr</t>
        </is>
      </c>
      <c r="BC33" s="24" t="inlineStr">
        <is>
          <t>mlb-elo-trend-lr-v7</t>
        </is>
      </c>
      <c r="BD33" s="24" t="inlineStr">
        <is>
          <t>464eef695bfbbdaa819ec6f5e4c5bd1068ed20b92915fb2677220ae91e20d8b6</t>
        </is>
      </c>
      <c r="BE33" s="24" t="inlineStr">
        <is>
          <t>50a6605683799b36</t>
        </is>
      </c>
      <c r="BF33" s="24" t="inlineStr">
        <is>
          <t>1</t>
        </is>
      </c>
      <c r="BG33" s="24" t="inlineStr">
        <is>
          <t>mlb-elo-trend-lr-v7</t>
        </is>
      </c>
      <c r="BH33" s="24" t="inlineStr">
        <is>
          <t>2026-07-31T00:56:03.538198Z</t>
        </is>
      </c>
      <c r="BI33" s="24" t="inlineStr">
        <is>
          <t>["same_event","same_team_same_day","same_league_same_day"]</t>
        </is>
      </c>
      <c r="BJ33" s="25" t="n"/>
      <c r="BK33" s="26" t="n">
        <v>-141</v>
      </c>
      <c r="BL33" s="27" t="n">
        <v>1.70922</v>
      </c>
      <c r="BM33" s="28" t="n">
        <v>0.585062</v>
      </c>
      <c r="BN33" s="28" t="n">
        <v>0.58209</v>
      </c>
      <c r="BO33" s="28" t="n"/>
      <c r="BP33" s="25" t="n"/>
      <c r="BQ33" s="27" t="n">
        <v>1.70922</v>
      </c>
      <c r="BR33" s="28" t="n">
        <v>0.585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inlineStr">
        <is>
          <t>0.6206920571</t>
        </is>
      </c>
      <c r="CD33" s="24" t="inlineStr">
        <is>
          <t>-0.391563</t>
        </is>
      </c>
      <c r="CE33" s="24" t="inlineStr">
        <is>
          <t>1.026</t>
        </is>
      </c>
      <c r="CF33" s="24" t="inlineStr">
        <is>
          <t>1.0117</t>
        </is>
      </c>
      <c r="CG33" s="24" t="inlineStr">
        <is>
          <t>-0.4</t>
        </is>
      </c>
      <c r="CH33" s="24" t="n"/>
      <c r="CI33" s="24" t="n"/>
      <c r="CJ33" s="24" t="n"/>
      <c r="CK33" s="24" t="n"/>
      <c r="CL33" s="24" t="n"/>
      <c r="CM33" s="24" t="n"/>
      <c r="CN33" s="24" t="n"/>
      <c r="CO33" s="24" t="n"/>
    </row>
    <row r="34" ht="36" customHeight="1">
      <c r="A34" s="24" t="inlineStr">
        <is>
          <t>a5fbd3179ba34a33</t>
        </is>
      </c>
      <c r="B34" s="24" t="inlineStr">
        <is>
          <t>2026-07-31T00:56:25.957709Z</t>
        </is>
      </c>
      <c r="C34" s="24" t="inlineStr">
        <is>
          <t>2026-07-31T01:40Z</t>
        </is>
      </c>
      <c r="D34" s="24" t="inlineStr">
        <is>
          <t>401816329</t>
        </is>
      </c>
      <c r="E34" s="24" t="inlineStr">
        <is>
          <t>MLB</t>
        </is>
      </c>
      <c r="F34" s="24" t="inlineStr">
        <is>
          <t>Boston Red Sox</t>
        </is>
      </c>
      <c r="G34" s="24" t="inlineStr">
        <is>
          <t>Athletics</t>
        </is>
      </c>
      <c r="H34" s="24" t="inlineStr">
        <is>
          <t>spread</t>
        </is>
      </c>
      <c r="I34" s="24" t="inlineStr">
        <is>
          <t>home</t>
        </is>
      </c>
      <c r="J34" s="25" t="n">
        <v>1.5</v>
      </c>
      <c r="K34" s="24" t="inlineStr">
        <is>
          <t>polymarket_us</t>
        </is>
      </c>
      <c r="L34" s="26" t="n">
        <v>111</v>
      </c>
      <c r="M34" s="27" t="n">
        <v>2.11</v>
      </c>
      <c r="N34" s="28" t="n">
        <v>0.473934</v>
      </c>
      <c r="O34" s="28" t="n">
        <v>0.544516</v>
      </c>
      <c r="P34" s="28" t="n">
        <v>0.042131</v>
      </c>
      <c r="Q34" s="28" t="n">
        <v>0.07058200000000001</v>
      </c>
      <c r="R34" s="26" t="n">
        <v>60</v>
      </c>
      <c r="S34" s="29" t="n">
        <v>1</v>
      </c>
      <c r="T34" s="24" t="inlineStr">
        <is>
          <t>measured-edge-margin-v1</t>
        </is>
      </c>
      <c r="U34" s="24" t="inlineStr">
        <is>
          <t>settled</t>
        </is>
      </c>
      <c r="V34" s="24" t="inlineStr">
        <is>
          <t>win</t>
        </is>
      </c>
      <c r="W34" s="26" t="n">
        <v>5</v>
      </c>
      <c r="X34" s="26" t="n">
        <v>4</v>
      </c>
      <c r="Y34" s="25" t="n">
        <v>1.5</v>
      </c>
      <c r="Z34" s="26" t="n">
        <v>111</v>
      </c>
      <c r="AA34" s="28" t="n">
        <v>0.475</v>
      </c>
      <c r="AB34" s="28" t="n">
        <v>0.001066</v>
      </c>
      <c r="AC34" s="30" t="n">
        <v>1.11</v>
      </c>
      <c r="AD34" s="24" t="inlineStr">
        <is>
          <t>2026-07-31T04:29:22.344945Z</t>
        </is>
      </c>
      <c r="AE34" s="31" t="inlineStr">
        <is>
          <t>Measured Edge Margin: Trend Engine projected 5.03-4.48; raw selected-side p=0.6153, calibrated p=0.5445.</t>
        </is>
      </c>
      <c r="AF34" s="31" t="inlineStr">
        <is>
          <t>Research-only; lineup, bullpen, park, weather, xFIP, and wRC+ may be neutral fallbacks; market availability and BBO depth may change before first pitch.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research_observation</t>
        </is>
      </c>
      <c r="AL34" s="26" t="n">
        <v>3</v>
      </c>
      <c r="AM34" s="24" t="inlineStr">
        <is>
          <t>RESEARCH_OBSERVATION</t>
        </is>
      </c>
      <c r="AN34" s="24" t="inlineStr">
        <is>
          <t>NO_CALL</t>
        </is>
      </c>
      <c r="AO34" s="24" t="inlineStr">
        <is>
          <t>NO_CALL_MODEL_UNVALIDATED</t>
        </is>
      </c>
      <c r="AP34" s="24" t="inlineStr">
        <is>
          <t>mlb-bos</t>
        </is>
      </c>
      <c r="AQ34" s="24" t="inlineStr">
        <is>
          <t>Boston Red Sox</t>
        </is>
      </c>
      <c r="AR34" s="24" t="inlineStr">
        <is>
          <t>Boston Red Sox</t>
        </is>
      </c>
      <c r="AS34" s="24" t="inlineStr">
        <is>
          <t>mlb-ath</t>
        </is>
      </c>
      <c r="AT34" s="24" t="inlineStr">
        <is>
          <t>Athletics</t>
        </is>
      </c>
      <c r="AU34" s="24" t="inlineStr">
        <is>
          <t>Athletics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research</t>
        </is>
      </c>
      <c r="BA34" s="24" t="inlineStr">
        <is>
          <t>2bc2ce55b0d39a20103f724bbddbde5394909acd49297f52665b596a0ae3ae8b</t>
        </is>
      </c>
      <c r="BB34" s="24" t="inlineStr">
        <is>
          <t>flat_probability_shrinkage_toward_half</t>
        </is>
      </c>
      <c r="BC34" s="24" t="inlineStr">
        <is>
          <t>measured-edge-margin-v1</t>
        </is>
      </c>
      <c r="BD34" s="24" t="inlineStr">
        <is>
          <t>2bc2ce55b0d39a20103f724bbddbde5394909acd49297f52665b596a0ae3ae8b</t>
        </is>
      </c>
      <c r="BE34" s="24" t="inlineStr">
        <is>
          <t>v3</t>
        </is>
      </c>
      <c r="BF34" s="24" t="inlineStr">
        <is>
          <t>1</t>
        </is>
      </c>
      <c r="BG34" s="24" t="inlineStr">
        <is>
          <t>measured-edge-paired-v1</t>
        </is>
      </c>
      <c r="BH34" s="24" t="inlineStr">
        <is>
          <t>2026-07-31T00:56:25.957709Z</t>
        </is>
      </c>
      <c r="BI34" s="24" t="inlineStr">
        <is>
          <t>["same_event","same_team_same_day","same_league_same_day"]</t>
        </is>
      </c>
      <c r="BJ34" s="25" t="n">
        <v>1.5</v>
      </c>
      <c r="BK34" s="26" t="n">
        <v>111</v>
      </c>
      <c r="BL34" s="27" t="n">
        <v>2.11</v>
      </c>
      <c r="BM34" s="28" t="n">
        <v>0.473934</v>
      </c>
      <c r="BN34" s="28" t="n">
        <v>0.472637</v>
      </c>
      <c r="BO34" s="28" t="n"/>
      <c r="BP34" s="25" t="n"/>
      <c r="BQ34" s="27" t="n">
        <v>2.11</v>
      </c>
      <c r="BR34" s="28" t="n">
        <v>0.475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</row>
    <row r="35" ht="36" customHeight="1">
      <c r="A35" s="24" t="inlineStr">
        <is>
          <t>82aab00108c54ea7</t>
        </is>
      </c>
      <c r="B35" s="24" t="inlineStr">
        <is>
          <t>2026-07-31T00:56:25.957709Z</t>
        </is>
      </c>
      <c r="C35" s="24" t="inlineStr">
        <is>
          <t>2026-07-31T01:40Z</t>
        </is>
      </c>
      <c r="D35" s="24" t="inlineStr">
        <is>
          <t>401816329</t>
        </is>
      </c>
      <c r="E35" s="24" t="inlineStr">
        <is>
          <t>MLB</t>
        </is>
      </c>
      <c r="F35" s="24" t="inlineStr">
        <is>
          <t>Boston Red Sox</t>
        </is>
      </c>
      <c r="G35" s="24" t="inlineStr">
        <is>
          <t>Athletics</t>
        </is>
      </c>
      <c r="H35" s="24" t="inlineStr">
        <is>
          <t>total</t>
        </is>
      </c>
      <c r="I35" s="24" t="inlineStr">
        <is>
          <t>under</t>
        </is>
      </c>
      <c r="J35" s="25" t="n">
        <v>9.5</v>
      </c>
      <c r="K35" s="24" t="inlineStr">
        <is>
          <t>polymarket_us</t>
        </is>
      </c>
      <c r="L35" s="26" t="n">
        <v>115</v>
      </c>
      <c r="M35" s="27" t="n">
        <v>2.15</v>
      </c>
      <c r="N35" s="28" t="n">
        <v>0.465116</v>
      </c>
      <c r="O35" s="28" t="n">
        <v>0.5364989999999999</v>
      </c>
      <c r="P35" s="28" t="n">
        <v>0.042131</v>
      </c>
      <c r="Q35" s="28" t="n">
        <v>0.071383</v>
      </c>
      <c r="R35" s="26" t="n">
        <v>60</v>
      </c>
      <c r="S35" s="29" t="n">
        <v>1</v>
      </c>
      <c r="T35" s="24" t="inlineStr">
        <is>
          <t>measured-edge-totals-v1</t>
        </is>
      </c>
      <c r="U35" s="24" t="inlineStr">
        <is>
          <t>settled</t>
        </is>
      </c>
      <c r="V35" s="24" t="inlineStr">
        <is>
          <t>win</t>
        </is>
      </c>
      <c r="W35" s="26" t="n">
        <v>5</v>
      </c>
      <c r="X35" s="26" t="n">
        <v>4</v>
      </c>
      <c r="Y35" s="25" t="n">
        <v>9.5</v>
      </c>
      <c r="Z35" s="26" t="n">
        <v>115</v>
      </c>
      <c r="AA35" s="28" t="n">
        <v>0.465</v>
      </c>
      <c r="AB35" s="28" t="n">
        <v>-0.000116</v>
      </c>
      <c r="AC35" s="30" t="n">
        <v>1.15</v>
      </c>
      <c r="AD35" s="24" t="inlineStr">
        <is>
          <t>2026-07-31T04:29:22.516921Z</t>
        </is>
      </c>
      <c r="AE35" s="31" t="inlineStr">
        <is>
          <t>Measured Edge Totals: Trend Engine projected 5.03-4.48; raw selected-side p=0.5535, calibrated p=0.5365.</t>
        </is>
      </c>
      <c r="AF35" s="31" t="inlineStr">
        <is>
          <t>Research-only; lineup, bullpen, park, weather, xFIP, and wRC+ may be neutral fallbacks; market availability and BBO depth may change before first pitch.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research_observation</t>
        </is>
      </c>
      <c r="AL35" s="26" t="n">
        <v>3</v>
      </c>
      <c r="AM35" s="24" t="inlineStr">
        <is>
          <t>RESEARCH_OBSERVATION</t>
        </is>
      </c>
      <c r="AN35" s="24" t="inlineStr">
        <is>
          <t>NO_CALL</t>
        </is>
      </c>
      <c r="AO35" s="24" t="inlineStr">
        <is>
          <t>NO_CALL_MODEL_UNVALIDATED</t>
        </is>
      </c>
      <c r="AP35" s="24" t="inlineStr">
        <is>
          <t>mlb-bos</t>
        </is>
      </c>
      <c r="AQ35" s="24" t="inlineStr">
        <is>
          <t>Boston Red Sox</t>
        </is>
      </c>
      <c r="AR35" s="24" t="inlineStr">
        <is>
          <t>Boston Red Sox</t>
        </is>
      </c>
      <c r="AS35" s="24" t="inlineStr">
        <is>
          <t>mlb-ath</t>
        </is>
      </c>
      <c r="AT35" s="24" t="inlineStr">
        <is>
          <t>Athletics</t>
        </is>
      </c>
      <c r="AU35" s="24" t="inlineStr">
        <is>
          <t>Athletics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research</t>
        </is>
      </c>
      <c r="BA35" s="24" t="inlineStr">
        <is>
          <t>cbc2c9bf5a9569a49e1902c816d96556d704cf10819ca3a9e927721685757d0b</t>
        </is>
      </c>
      <c r="BB35" s="24" t="inlineStr">
        <is>
          <t>flat_probability_shrinkage_toward_half</t>
        </is>
      </c>
      <c r="BC35" s="24" t="inlineStr">
        <is>
          <t>measured-edge-totals-v1</t>
        </is>
      </c>
      <c r="BD35" s="24" t="inlineStr">
        <is>
          <t>cbc2c9bf5a9569a49e1902c816d96556d704cf10819ca3a9e927721685757d0b</t>
        </is>
      </c>
      <c r="BE35" s="24" t="inlineStr">
        <is>
          <t>v3</t>
        </is>
      </c>
      <c r="BF35" s="24" t="inlineStr">
        <is>
          <t>1</t>
        </is>
      </c>
      <c r="BG35" s="24" t="inlineStr">
        <is>
          <t>measured-edge-paired-v1</t>
        </is>
      </c>
      <c r="BH35" s="24" t="inlineStr">
        <is>
          <t>2026-07-31T00:56:25.957709Z</t>
        </is>
      </c>
      <c r="BI35" s="24" t="inlineStr">
        <is>
          <t>["same_event","same_team_same_day","same_league_same_day"]</t>
        </is>
      </c>
      <c r="BJ35" s="25" t="n">
        <v>9.5</v>
      </c>
      <c r="BK35" s="26" t="n">
        <v>115</v>
      </c>
      <c r="BL35" s="27" t="n">
        <v>2.15</v>
      </c>
      <c r="BM35" s="28" t="n">
        <v>0.465116</v>
      </c>
      <c r="BN35" s="28" t="n">
        <v>0.462687</v>
      </c>
      <c r="BO35" s="28" t="n"/>
      <c r="BP35" s="25" t="n"/>
      <c r="BQ35" s="27" t="n">
        <v>2.15</v>
      </c>
      <c r="BR35" s="28" t="n">
        <v>0.465</v>
      </c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</row>
    <row r="36" ht="36" customHeight="1">
      <c r="A36" s="24" t="inlineStr">
        <is>
          <t>8474b3479ec146e5</t>
        </is>
      </c>
      <c r="B36" s="24" t="inlineStr">
        <is>
          <t>2026-07-31T00:56:25.957709Z</t>
        </is>
      </c>
      <c r="C36" s="24" t="inlineStr">
        <is>
          <t>2026-07-31T01:40Z</t>
        </is>
      </c>
      <c r="D36" s="24" t="inlineStr">
        <is>
          <t>401816331</t>
        </is>
      </c>
      <c r="E36" s="24" t="inlineStr">
        <is>
          <t>MLB</t>
        </is>
      </c>
      <c r="F36" s="24" t="inlineStr">
        <is>
          <t>San Francisco Giants</t>
        </is>
      </c>
      <c r="G36" s="24" t="inlineStr">
        <is>
          <t>San Diego Padres</t>
        </is>
      </c>
      <c r="H36" s="24" t="inlineStr">
        <is>
          <t>spread</t>
        </is>
      </c>
      <c r="I36" s="24" t="inlineStr">
        <is>
          <t>away</t>
        </is>
      </c>
      <c r="J36" s="25" t="n">
        <v>1.5</v>
      </c>
      <c r="K36" s="24" t="inlineStr">
        <is>
          <t>polymarket_us</t>
        </is>
      </c>
      <c r="L36" s="26" t="n">
        <v>-138</v>
      </c>
      <c r="M36" s="27" t="n">
        <v>1.724638</v>
      </c>
      <c r="N36" s="28" t="n">
        <v>0.579832</v>
      </c>
      <c r="O36" s="28" t="n">
        <v>0.5591159999999999</v>
      </c>
      <c r="P36" s="28" t="n">
        <v>0.05172</v>
      </c>
      <c r="Q36" s="28" t="n">
        <v>-0.020716</v>
      </c>
      <c r="R36" s="26" t="n">
        <v>9</v>
      </c>
      <c r="S36" s="29" t="n">
        <v>1</v>
      </c>
      <c r="T36" s="24" t="inlineStr">
        <is>
          <t>measured-edge-margin-v1</t>
        </is>
      </c>
      <c r="U36" s="24" t="inlineStr">
        <is>
          <t>settled</t>
        </is>
      </c>
      <c r="V36" s="24" t="inlineStr">
        <is>
          <t>win</t>
        </is>
      </c>
      <c r="W36" s="26" t="n">
        <v>4</v>
      </c>
      <c r="X36" s="26" t="n">
        <v>1</v>
      </c>
      <c r="Y36" s="25" t="n">
        <v>1.5</v>
      </c>
      <c r="Z36" s="26" t="n">
        <v>-138</v>
      </c>
      <c r="AA36" s="28" t="n">
        <v>0.58</v>
      </c>
      <c r="AB36" s="28" t="n">
        <v>0.000168</v>
      </c>
      <c r="AC36" s="30" t="n">
        <v>0.7246</v>
      </c>
      <c r="AD36" s="24" t="inlineStr">
        <is>
          <t>2026-07-31T06:33:22.232327Z</t>
        </is>
      </c>
      <c r="AE36" s="31" t="inlineStr">
        <is>
          <t>Measured Edge Margin: Trend Engine projected 4.48-4.27; raw selected-side p=0.6896, calibrated p=0.5591.</t>
        </is>
      </c>
      <c r="AF36" s="31" t="inlineStr">
        <is>
          <t>Research-only; lineup, bullpen, park, weather, xFIP, and wRC+ may be neutral fallbacks; market availability and BBO depth may change before first pitch.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research_observation</t>
        </is>
      </c>
      <c r="AL36" s="26" t="n">
        <v>3</v>
      </c>
      <c r="AM36" s="24" t="inlineStr">
        <is>
          <t>RESEARCH_OBSERVATION</t>
        </is>
      </c>
      <c r="AN36" s="24" t="inlineStr">
        <is>
          <t>NO_CALL</t>
        </is>
      </c>
      <c r="AO36" s="24" t="inlineStr">
        <is>
          <t>NO_CALL_MODEL_UNVALIDATED</t>
        </is>
      </c>
      <c r="AP36" s="24" t="inlineStr">
        <is>
          <t>mlb-sf</t>
        </is>
      </c>
      <c r="AQ36" s="24" t="inlineStr">
        <is>
          <t>San Francisco Giants</t>
        </is>
      </c>
      <c r="AR36" s="24" t="inlineStr">
        <is>
          <t>San Francisco Giants</t>
        </is>
      </c>
      <c r="AS36" s="24" t="inlineStr">
        <is>
          <t>mlb-sd</t>
        </is>
      </c>
      <c r="AT36" s="24" t="inlineStr">
        <is>
          <t>San Diego Padres</t>
        </is>
      </c>
      <c r="AU36" s="24" t="inlineStr">
        <is>
          <t>San Diego Padres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research</t>
        </is>
      </c>
      <c r="BA36" s="24" t="inlineStr">
        <is>
          <t>2bc2ce55b0d39a20103f724bbddbde5394909acd49297f52665b596a0ae3ae8b</t>
        </is>
      </c>
      <c r="BB36" s="24" t="inlineStr">
        <is>
          <t>flat_probability_shrinkage_toward_half</t>
        </is>
      </c>
      <c r="BC36" s="24" t="inlineStr">
        <is>
          <t>measured-edge-margin-v1</t>
        </is>
      </c>
      <c r="BD36" s="24" t="inlineStr">
        <is>
          <t>2bc2ce55b0d39a20103f724bbddbde5394909acd49297f52665b596a0ae3ae8b</t>
        </is>
      </c>
      <c r="BE36" s="24" t="inlineStr">
        <is>
          <t>v3</t>
        </is>
      </c>
      <c r="BF36" s="24" t="inlineStr">
        <is>
          <t>1</t>
        </is>
      </c>
      <c r="BG36" s="24" t="inlineStr">
        <is>
          <t>measured-edge-paired-v1</t>
        </is>
      </c>
      <c r="BH36" s="24" t="inlineStr">
        <is>
          <t>2026-07-31T00:56:25.957709Z</t>
        </is>
      </c>
      <c r="BI36" s="24" t="inlineStr">
        <is>
          <t>["same_event","same_team_same_day","same_league_same_day"]</t>
        </is>
      </c>
      <c r="BJ36" s="25" t="n">
        <v>1.5</v>
      </c>
      <c r="BK36" s="26" t="n">
        <v>-138</v>
      </c>
      <c r="BL36" s="27" t="n">
        <v>1.724638</v>
      </c>
      <c r="BM36" s="28" t="n">
        <v>0.579832</v>
      </c>
      <c r="BN36" s="28" t="n">
        <v>0.577114</v>
      </c>
      <c r="BO36" s="28" t="n"/>
      <c r="BP36" s="25" t="n"/>
      <c r="BQ36" s="27" t="n">
        <v>1.724638</v>
      </c>
      <c r="BR36" s="28" t="n">
        <v>0.58</v>
      </c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</row>
    <row r="37" ht="36" customHeight="1">
      <c r="A37" s="24" t="inlineStr">
        <is>
          <t>c8e5eb08284e45ba</t>
        </is>
      </c>
      <c r="B37" s="24" t="inlineStr">
        <is>
          <t>2026-07-31T00:56:25.957709Z</t>
        </is>
      </c>
      <c r="C37" s="24" t="inlineStr">
        <is>
          <t>2026-07-31T02:10Z</t>
        </is>
      </c>
      <c r="D37" s="24" t="inlineStr">
        <is>
          <t>401816330</t>
        </is>
      </c>
      <c r="E37" s="24" t="inlineStr">
        <is>
          <t>MLB</t>
        </is>
      </c>
      <c r="F37" s="24" t="inlineStr">
        <is>
          <t>Seattle Mariners</t>
        </is>
      </c>
      <c r="G37" s="24" t="inlineStr">
        <is>
          <t>Los Angeles Dodgers</t>
        </is>
      </c>
      <c r="H37" s="24" t="inlineStr">
        <is>
          <t>spread</t>
        </is>
      </c>
      <c r="I37" s="24" t="inlineStr">
        <is>
          <t>away</t>
        </is>
      </c>
      <c r="J37" s="25" t="n">
        <v>1.5</v>
      </c>
      <c r="K37" s="24" t="inlineStr">
        <is>
          <t>polymarket_us</t>
        </is>
      </c>
      <c r="L37" s="26" t="n">
        <v>-141</v>
      </c>
      <c r="M37" s="27" t="n">
        <v>1.70922</v>
      </c>
      <c r="N37" s="28" t="n">
        <v>0.585062</v>
      </c>
      <c r="O37" s="28" t="n">
        <v>0.548584</v>
      </c>
      <c r="P37" s="28" t="n">
        <v>0.042131</v>
      </c>
      <c r="Q37" s="28" t="n">
        <v>-0.036478</v>
      </c>
      <c r="R37" s="26" t="n">
        <v>6</v>
      </c>
      <c r="S37" s="29" t="n">
        <v>1</v>
      </c>
      <c r="T37" s="24" t="inlineStr">
        <is>
          <t>measured-edge-margin-v1</t>
        </is>
      </c>
      <c r="U37" s="24" t="inlineStr">
        <is>
          <t>settled</t>
        </is>
      </c>
      <c r="V37" s="24" t="inlineStr">
        <is>
          <t>loss</t>
        </is>
      </c>
      <c r="W37" s="26" t="n">
        <v>2</v>
      </c>
      <c r="X37" s="26" t="n">
        <v>6</v>
      </c>
      <c r="Y37" s="25" t="n">
        <v>1.5</v>
      </c>
      <c r="Z37" s="26" t="n">
        <v>-141</v>
      </c>
      <c r="AA37" s="28" t="n">
        <v>0.585</v>
      </c>
      <c r="AB37" s="28" t="n">
        <v>-6.2e-05</v>
      </c>
      <c r="AC37" s="30" t="n">
        <v>-1</v>
      </c>
      <c r="AD37" s="24" t="inlineStr">
        <is>
          <t>2026-07-31T06:33:23.239586Z</t>
        </is>
      </c>
      <c r="AE37" s="31" t="inlineStr">
        <is>
          <t>Measured Edge Margin: Trend Engine projected 4.65-4.92; raw selected-side p=0.6361, calibrated p=0.5486.</t>
        </is>
      </c>
      <c r="AF37" s="31" t="inlineStr">
        <is>
          <t>Research-only; lineup, bullpen, park, weather, xFIP, and wRC+ may be neutral fallbacks; market availability and BBO depth may change before first pitch.</t>
        </is>
      </c>
      <c r="AG37" s="24" t="inlineStr">
        <is>
          <t>review_required</t>
        </is>
      </c>
      <c r="AH37" s="24" t="n"/>
      <c r="AI37" s="31" t="n"/>
      <c r="AJ37" s="31" t="n"/>
      <c r="AK37" s="24" t="inlineStr">
        <is>
          <t>research_observation</t>
        </is>
      </c>
      <c r="AL37" s="26" t="n">
        <v>3</v>
      </c>
      <c r="AM37" s="24" t="inlineStr">
        <is>
          <t>RESEARCH_OBSERVATION</t>
        </is>
      </c>
      <c r="AN37" s="24" t="inlineStr">
        <is>
          <t>NO_CALL</t>
        </is>
      </c>
      <c r="AO37" s="24" t="inlineStr">
        <is>
          <t>NO_CALL_MODEL_UNVALIDATED</t>
        </is>
      </c>
      <c r="AP37" s="24" t="inlineStr">
        <is>
          <t>mlb-sea</t>
        </is>
      </c>
      <c r="AQ37" s="24" t="inlineStr">
        <is>
          <t>Seattle Mariners</t>
        </is>
      </c>
      <c r="AR37" s="24" t="inlineStr">
        <is>
          <t>Seattle Mariners</t>
        </is>
      </c>
      <c r="AS37" s="24" t="inlineStr">
        <is>
          <t>mlb-lad</t>
        </is>
      </c>
      <c r="AT37" s="24" t="inlineStr">
        <is>
          <t>Los Angeles Dodgers</t>
        </is>
      </c>
      <c r="AU37" s="24" t="inlineStr">
        <is>
          <t>Los Angeles Dodgers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research</t>
        </is>
      </c>
      <c r="BA37" s="24" t="inlineStr">
        <is>
          <t>2bc2ce55b0d39a20103f724bbddbde5394909acd49297f52665b596a0ae3ae8b</t>
        </is>
      </c>
      <c r="BB37" s="24" t="inlineStr">
        <is>
          <t>flat_probability_shrinkage_toward_half</t>
        </is>
      </c>
      <c r="BC37" s="24" t="inlineStr">
        <is>
          <t>measured-edge-margin-v1</t>
        </is>
      </c>
      <c r="BD37" s="24" t="inlineStr">
        <is>
          <t>2bc2ce55b0d39a20103f724bbddbde5394909acd49297f52665b596a0ae3ae8b</t>
        </is>
      </c>
      <c r="BE37" s="24" t="inlineStr">
        <is>
          <t>v3</t>
        </is>
      </c>
      <c r="BF37" s="24" t="inlineStr">
        <is>
          <t>1</t>
        </is>
      </c>
      <c r="BG37" s="24" t="inlineStr">
        <is>
          <t>measured-edge-paired-v1</t>
        </is>
      </c>
      <c r="BH37" s="24" t="inlineStr">
        <is>
          <t>2026-07-31T00:56:25.957709Z</t>
        </is>
      </c>
      <c r="BI37" s="24" t="inlineStr">
        <is>
          <t>["same_event","same_team_same_day","same_league_same_day"]</t>
        </is>
      </c>
      <c r="BJ37" s="25" t="n">
        <v>1.5</v>
      </c>
      <c r="BK37" s="26" t="n">
        <v>-141</v>
      </c>
      <c r="BL37" s="27" t="n">
        <v>1.70922</v>
      </c>
      <c r="BM37" s="28" t="n">
        <v>0.585062</v>
      </c>
      <c r="BN37" s="28" t="n">
        <v>0.58209</v>
      </c>
      <c r="BO37" s="28" t="n"/>
      <c r="BP37" s="25" t="n"/>
      <c r="BQ37" s="27" t="n">
        <v>1.70922</v>
      </c>
      <c r="BR37" s="28" t="n">
        <v>0.585</v>
      </c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</row>
    <row r="38" ht="36" customHeight="1">
      <c r="A38" s="24" t="inlineStr">
        <is>
          <t>60b823efaca14598</t>
        </is>
      </c>
      <c r="B38" s="24" t="inlineStr">
        <is>
          <t>2026-07-31T00:56:25.957709Z</t>
        </is>
      </c>
      <c r="C38" s="24" t="inlineStr">
        <is>
          <t>2026-07-31T02:10Z</t>
        </is>
      </c>
      <c r="D38" s="24" t="inlineStr">
        <is>
          <t>401816330</t>
        </is>
      </c>
      <c r="E38" s="24" t="inlineStr">
        <is>
          <t>MLB</t>
        </is>
      </c>
      <c r="F38" s="24" t="inlineStr">
        <is>
          <t>Seattle Mariners</t>
        </is>
      </c>
      <c r="G38" s="24" t="inlineStr">
        <is>
          <t>Los Angeles Dodgers</t>
        </is>
      </c>
      <c r="H38" s="24" t="inlineStr">
        <is>
          <t>total</t>
        </is>
      </c>
      <c r="I38" s="24" t="inlineStr">
        <is>
          <t>over</t>
        </is>
      </c>
      <c r="J38" s="25" t="n">
        <v>8.5</v>
      </c>
      <c r="K38" s="24" t="inlineStr">
        <is>
          <t>polymarket_us</t>
        </is>
      </c>
      <c r="L38" s="26" t="n">
        <v>-106</v>
      </c>
      <c r="M38" s="27" t="n">
        <v>1.943396</v>
      </c>
      <c r="N38" s="28" t="n">
        <v>0.514563</v>
      </c>
      <c r="O38" s="28" t="n">
        <v>0.550517</v>
      </c>
      <c r="P38" s="28" t="n">
        <v>0.042131</v>
      </c>
      <c r="Q38" s="28" t="n">
        <v>0.035954</v>
      </c>
      <c r="R38" s="26" t="n">
        <v>43</v>
      </c>
      <c r="S38" s="29" t="n">
        <v>1</v>
      </c>
      <c r="T38" s="24" t="inlineStr">
        <is>
          <t>measured-edge-totals-v1</t>
        </is>
      </c>
      <c r="U38" s="24" t="inlineStr">
        <is>
          <t>settled</t>
        </is>
      </c>
      <c r="V38" s="24" t="inlineStr">
        <is>
          <t>loss</t>
        </is>
      </c>
      <c r="W38" s="26" t="n">
        <v>2</v>
      </c>
      <c r="X38" s="26" t="n">
        <v>6</v>
      </c>
      <c r="Y38" s="25" t="n">
        <v>8.5</v>
      </c>
      <c r="Z38" s="26" t="n">
        <v>-106</v>
      </c>
      <c r="AA38" s="28" t="n">
        <v>0.515</v>
      </c>
      <c r="AB38" s="28" t="n">
        <v>0.000437</v>
      </c>
      <c r="AC38" s="30" t="n">
        <v>-1</v>
      </c>
      <c r="AD38" s="24" t="inlineStr">
        <is>
          <t>2026-07-31T06:33:23.737443Z</t>
        </is>
      </c>
      <c r="AE38" s="31" t="inlineStr">
        <is>
          <t>Measured Edge Totals: Trend Engine projected 4.65-4.92; raw selected-side p=0.5680, calibrated p=0.5505.</t>
        </is>
      </c>
      <c r="AF38" s="31" t="inlineStr">
        <is>
          <t>Research-only; lineup, bullpen, park, weather, xFIP, and wRC+ may be neutral fallbacks; market availability and BBO depth may change before first pitch.</t>
        </is>
      </c>
      <c r="AG38" s="24" t="inlineStr">
        <is>
          <t>review_required</t>
        </is>
      </c>
      <c r="AH38" s="24" t="n"/>
      <c r="AI38" s="31" t="n"/>
      <c r="AJ38" s="31" t="n"/>
      <c r="AK38" s="24" t="inlineStr">
        <is>
          <t>research_observation</t>
        </is>
      </c>
      <c r="AL38" s="26" t="n">
        <v>3</v>
      </c>
      <c r="AM38" s="24" t="inlineStr">
        <is>
          <t>RESEARCH_OBSERVATION</t>
        </is>
      </c>
      <c r="AN38" s="24" t="inlineStr">
        <is>
          <t>NO_CALL</t>
        </is>
      </c>
      <c r="AO38" s="24" t="inlineStr">
        <is>
          <t>NO_CALL_MODEL_UNVALIDATED</t>
        </is>
      </c>
      <c r="AP38" s="24" t="inlineStr">
        <is>
          <t>mlb-sea</t>
        </is>
      </c>
      <c r="AQ38" s="24" t="inlineStr">
        <is>
          <t>Seattle Mariners</t>
        </is>
      </c>
      <c r="AR38" s="24" t="inlineStr">
        <is>
          <t>Seattle Mariners</t>
        </is>
      </c>
      <c r="AS38" s="24" t="inlineStr">
        <is>
          <t>mlb-lad</t>
        </is>
      </c>
      <c r="AT38" s="24" t="inlineStr">
        <is>
          <t>Los Angeles Dodgers</t>
        </is>
      </c>
      <c r="AU38" s="24" t="inlineStr">
        <is>
          <t>Los Angeles Dodgers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research</t>
        </is>
      </c>
      <c r="BA38" s="24" t="inlineStr">
        <is>
          <t>cbc2c9bf5a9569a49e1902c816d96556d704cf10819ca3a9e927721685757d0b</t>
        </is>
      </c>
      <c r="BB38" s="24" t="inlineStr">
        <is>
          <t>flat_probability_shrinkage_toward_half</t>
        </is>
      </c>
      <c r="BC38" s="24" t="inlineStr">
        <is>
          <t>measured-edge-totals-v1</t>
        </is>
      </c>
      <c r="BD38" s="24" t="inlineStr">
        <is>
          <t>cbc2c9bf5a9569a49e1902c816d96556d704cf10819ca3a9e927721685757d0b</t>
        </is>
      </c>
      <c r="BE38" s="24" t="inlineStr">
        <is>
          <t>v3</t>
        </is>
      </c>
      <c r="BF38" s="24" t="inlineStr">
        <is>
          <t>1</t>
        </is>
      </c>
      <c r="BG38" s="24" t="inlineStr">
        <is>
          <t>measured-edge-paired-v1</t>
        </is>
      </c>
      <c r="BH38" s="24" t="inlineStr">
        <is>
          <t>2026-07-31T00:56:25.957709Z</t>
        </is>
      </c>
      <c r="BI38" s="24" t="inlineStr">
        <is>
          <t>["same_event","same_team_same_day","same_league_same_day"]</t>
        </is>
      </c>
      <c r="BJ38" s="25" t="n">
        <v>8.5</v>
      </c>
      <c r="BK38" s="26" t="n">
        <v>-106</v>
      </c>
      <c r="BL38" s="27" t="n">
        <v>1.943396</v>
      </c>
      <c r="BM38" s="28" t="n">
        <v>0.514563</v>
      </c>
      <c r="BN38" s="28" t="n">
        <v>0.5124379999999999</v>
      </c>
      <c r="BO38" s="28" t="n"/>
      <c r="BP38" s="25" t="n"/>
      <c r="BQ38" s="27" t="n">
        <v>1.943396</v>
      </c>
      <c r="BR38" s="28" t="n">
        <v>0.515</v>
      </c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</row>
    <row r="39" ht="36" customHeight="1">
      <c r="A39" s="24" t="inlineStr">
        <is>
          <t>3d74b7d1bf3747a5</t>
        </is>
      </c>
      <c r="B39" s="24" t="inlineStr">
        <is>
          <t>2026-07-31T16:46:24.073866Z</t>
        </is>
      </c>
      <c r="C39" s="24" t="inlineStr">
        <is>
          <t>2026-07-31T14:20:00-0400</t>
        </is>
      </c>
      <c r="D39" s="24" t="inlineStr">
        <is>
          <t>401816339</t>
        </is>
      </c>
      <c r="E39" s="24" t="inlineStr">
        <is>
          <t>MLB</t>
        </is>
      </c>
      <c r="F39" s="24" t="inlineStr">
        <is>
          <t>New York Yankees</t>
        </is>
      </c>
      <c r="G39" s="24" t="inlineStr">
        <is>
          <t>Chicago Cubs</t>
        </is>
      </c>
      <c r="H39" s="24" t="inlineStr">
        <is>
          <t>moneyline</t>
        </is>
      </c>
      <c r="I39" s="24" t="inlineStr">
        <is>
          <t>home</t>
        </is>
      </c>
      <c r="J39" s="25" t="n"/>
      <c r="K39" s="24" t="inlineStr">
        <is>
          <t>polymarket_us</t>
        </is>
      </c>
      <c r="L39" s="26" t="n">
        <v>-147</v>
      </c>
      <c r="M39" s="27" t="n">
        <v>1.680272</v>
      </c>
      <c r="N39" s="28" t="n">
        <v>0.5951419999999999</v>
      </c>
      <c r="O39" s="28" t="n">
        <v>0.543986</v>
      </c>
      <c r="P39" s="28" t="n"/>
      <c r="Q39" s="28" t="n">
        <v>-0.051156</v>
      </c>
      <c r="R39" s="26" t="n">
        <v>0</v>
      </c>
      <c r="S39" s="29" t="n">
        <v>1</v>
      </c>
      <c r="T39" s="24" t="inlineStr">
        <is>
          <t>mlb-elo-trend-lr-v7</t>
        </is>
      </c>
      <c r="U39" s="24" t="inlineStr">
        <is>
          <t>settled</t>
        </is>
      </c>
      <c r="V39" s="24" t="inlineStr">
        <is>
          <t>loss</t>
        </is>
      </c>
      <c r="W39" s="26" t="n">
        <v>2</v>
      </c>
      <c r="X39" s="26" t="n">
        <v>0</v>
      </c>
      <c r="Y39" s="25" t="n"/>
      <c r="Z39" s="26" t="n">
        <v>-147</v>
      </c>
      <c r="AA39" s="28" t="n">
        <v>0.595</v>
      </c>
      <c r="AB39" s="28" t="n">
        <v>-0.000142</v>
      </c>
      <c r="AC39" s="30" t="n">
        <v>-1</v>
      </c>
      <c r="AD39" s="24" t="inlineStr">
        <is>
          <t>2026-07-31T21:03:20.158261Z</t>
        </is>
      </c>
      <c r="AE39" s="31" t="inlineStr">
        <is>
          <t>Learned LR call at threshold 0.6242; executable ask 0.5950 (aec-mlb-nyy-chc-2026-07-31); model edge vs ask -0.0510.</t>
        </is>
      </c>
      <c r="AF39" s="31" t="inlineStr">
        <is>
          <t>Learned model; shadow-qualified via operator override.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3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mlb-nyy</t>
        </is>
      </c>
      <c r="AQ39" s="24" t="inlineStr">
        <is>
          <t>New York Yankees</t>
        </is>
      </c>
      <c r="AR39" s="24" t="inlineStr">
        <is>
          <t>New York Yankees</t>
        </is>
      </c>
      <c r="AS39" s="24" t="inlineStr">
        <is>
          <t>mlb-chc</t>
        </is>
      </c>
      <c r="AT39" s="24" t="inlineStr">
        <is>
          <t>Chicago Cubs</t>
        </is>
      </c>
      <c r="AU39" s="24" t="inlineStr">
        <is>
          <t>Chicago Cubs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464eef695bfbbdaa819ec6f5e4c5bd1068ed20b92915fb2677220ae91e20d8b6</t>
        </is>
      </c>
      <c r="BB39" s="24" t="inlineStr">
        <is>
          <t>learned_lr</t>
        </is>
      </c>
      <c r="BC39" s="24" t="inlineStr">
        <is>
          <t>mlb-elo-trend-lr-v7</t>
        </is>
      </c>
      <c r="BD39" s="24" t="inlineStr">
        <is>
          <t>464eef695bfbbdaa819ec6f5e4c5bd1068ed20b92915fb2677220ae91e20d8b6</t>
        </is>
      </c>
      <c r="BE39" s="24" t="inlineStr">
        <is>
          <t>e8343472130f370f</t>
        </is>
      </c>
      <c r="BF39" s="24" t="inlineStr">
        <is>
          <t>1</t>
        </is>
      </c>
      <c r="BG39" s="24" t="inlineStr">
        <is>
          <t>mlb-elo-trend-lr-v7</t>
        </is>
      </c>
      <c r="BH39" s="24" t="inlineStr">
        <is>
          <t>2026-07-31T16:45:32.204120Z</t>
        </is>
      </c>
      <c r="BI39" s="24" t="inlineStr">
        <is>
          <t>["same_event","same_team_same_day","same_league_same_day"]</t>
        </is>
      </c>
      <c r="BJ39" s="25" t="n"/>
      <c r="BK39" s="26" t="n">
        <v>-147</v>
      </c>
      <c r="BL39" s="27" t="n">
        <v>1.680272</v>
      </c>
      <c r="BM39" s="28" t="n">
        <v>0.5951419999999999</v>
      </c>
      <c r="BN39" s="28" t="n">
        <v>0.59204</v>
      </c>
      <c r="BO39" s="28" t="n"/>
      <c r="BP39" s="25" t="n"/>
      <c r="BQ39" s="27" t="n">
        <v>1.680272</v>
      </c>
      <c r="BR39" s="28" t="n">
        <v>0.595</v>
      </c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inlineStr">
        <is>
          <t>0.5477638437</t>
        </is>
      </c>
      <c r="CD39" s="24" t="inlineStr">
        <is>
          <t>0.6277</t>
        </is>
      </c>
      <c r="CE39" s="24" t="inlineStr">
        <is>
          <t>0.986</t>
        </is>
      </c>
      <c r="CF39" s="24" t="inlineStr">
        <is>
          <t>1.014</t>
        </is>
      </c>
      <c r="CG39" s="24" t="inlineStr">
        <is>
          <t>-1.6</t>
        </is>
      </c>
      <c r="CH39" s="24" t="n"/>
      <c r="CI39" s="24" t="n"/>
      <c r="CJ39" s="24" t="n"/>
      <c r="CK39" s="24" t="n"/>
      <c r="CL39" s="24" t="n"/>
      <c r="CM39" s="24" t="n"/>
      <c r="CN39" s="24" t="n"/>
      <c r="CO39" s="24" t="n"/>
    </row>
    <row r="40" ht="36" customHeight="1">
      <c r="A40" s="24" t="inlineStr">
        <is>
          <t>39009d7bd2e0407f</t>
        </is>
      </c>
      <c r="B40" s="24" t="inlineStr">
        <is>
          <t>2026-07-31T16:46:49.961054Z</t>
        </is>
      </c>
      <c r="C40" s="24" t="inlineStr">
        <is>
          <t>2026-07-31T18:20Z</t>
        </is>
      </c>
      <c r="D40" s="24" t="inlineStr">
        <is>
          <t>401816339</t>
        </is>
      </c>
      <c r="E40" s="24" t="inlineStr">
        <is>
          <t>MLB</t>
        </is>
      </c>
      <c r="F40" s="24" t="inlineStr">
        <is>
          <t>New York Yankees</t>
        </is>
      </c>
      <c r="G40" s="24" t="inlineStr">
        <is>
          <t>Chicago Cubs</t>
        </is>
      </c>
      <c r="H40" s="24" t="inlineStr">
        <is>
          <t>spread</t>
        </is>
      </c>
      <c r="I40" s="24" t="inlineStr">
        <is>
          <t>away</t>
        </is>
      </c>
      <c r="J40" s="25" t="n">
        <v>1.5</v>
      </c>
      <c r="K40" s="24" t="inlineStr">
        <is>
          <t>polymarket_us</t>
        </is>
      </c>
      <c r="L40" s="26" t="n">
        <v>-138</v>
      </c>
      <c r="M40" s="27" t="n">
        <v>1.724638</v>
      </c>
      <c r="N40" s="28" t="n">
        <v>0.579832</v>
      </c>
      <c r="O40" s="28" t="n">
        <v>0.538268</v>
      </c>
      <c r="P40" s="28" t="n">
        <v>0.042131</v>
      </c>
      <c r="Q40" s="28" t="n">
        <v>-0.041564</v>
      </c>
      <c r="R40" s="26" t="n">
        <v>4</v>
      </c>
      <c r="S40" s="29" t="n">
        <v>1</v>
      </c>
      <c r="T40" s="24" t="inlineStr">
        <is>
          <t>measured-edge-margin-v1</t>
        </is>
      </c>
      <c r="U40" s="24" t="inlineStr">
        <is>
          <t>settled</t>
        </is>
      </c>
      <c r="V40" s="24" t="inlineStr">
        <is>
          <t>win</t>
        </is>
      </c>
      <c r="W40" s="26" t="n">
        <v>2</v>
      </c>
      <c r="X40" s="26" t="n">
        <v>0</v>
      </c>
      <c r="Y40" s="25" t="n">
        <v>1.5</v>
      </c>
      <c r="Z40" s="26" t="n">
        <v>-138</v>
      </c>
      <c r="AA40" s="28" t="n">
        <v>0.58</v>
      </c>
      <c r="AB40" s="28" t="n">
        <v>0.000168</v>
      </c>
      <c r="AC40" s="30" t="n">
        <v>0.7246</v>
      </c>
      <c r="AD40" s="24" t="inlineStr">
        <is>
          <t>2026-07-31T21:03:20.724129Z</t>
        </is>
      </c>
      <c r="AE40" s="31" t="inlineStr">
        <is>
          <t>Measured Edge Margin: Trend Engine projected 4.18-5.00; raw selected-side p=0.5836, calibrated p=0.5383.</t>
        </is>
      </c>
      <c r="AF40" s="31" t="inlineStr">
        <is>
          <t>Research-only; lineup, bullpen, park, weather, xFIP, and wRC+ may be neutral fallbacks; market availability and BBO depth may change before first pitch.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research_observation</t>
        </is>
      </c>
      <c r="AL40" s="26" t="n">
        <v>3</v>
      </c>
      <c r="AM40" s="24" t="inlineStr">
        <is>
          <t>RESEARCH_OBSERVATION</t>
        </is>
      </c>
      <c r="AN40" s="24" t="inlineStr">
        <is>
          <t>NO_CALL</t>
        </is>
      </c>
      <c r="AO40" s="24" t="inlineStr">
        <is>
          <t>NO_CALL_MODEL_UNVALIDATED</t>
        </is>
      </c>
      <c r="AP40" s="24" t="inlineStr">
        <is>
          <t>mlb-nyy</t>
        </is>
      </c>
      <c r="AQ40" s="24" t="inlineStr">
        <is>
          <t>New York Yankees</t>
        </is>
      </c>
      <c r="AR40" s="24" t="inlineStr">
        <is>
          <t>New York Yankees</t>
        </is>
      </c>
      <c r="AS40" s="24" t="inlineStr">
        <is>
          <t>mlb-chc</t>
        </is>
      </c>
      <c r="AT40" s="24" t="inlineStr">
        <is>
          <t>Chicago Cubs</t>
        </is>
      </c>
      <c r="AU40" s="24" t="inlineStr">
        <is>
          <t>Chicago Cubs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research</t>
        </is>
      </c>
      <c r="BA40" s="24" t="inlineStr">
        <is>
          <t>2bc2ce55b0d39a20103f724bbddbde5394909acd49297f52665b596a0ae3ae8b</t>
        </is>
      </c>
      <c r="BB40" s="24" t="inlineStr">
        <is>
          <t>flat_probability_shrinkage_toward_half</t>
        </is>
      </c>
      <c r="BC40" s="24" t="inlineStr">
        <is>
          <t>measured-edge-margin-v1</t>
        </is>
      </c>
      <c r="BD40" s="24" t="inlineStr">
        <is>
          <t>2bc2ce55b0d39a20103f724bbddbde5394909acd49297f52665b596a0ae3ae8b</t>
        </is>
      </c>
      <c r="BE40" s="24" t="inlineStr">
        <is>
          <t>v3</t>
        </is>
      </c>
      <c r="BF40" s="24" t="inlineStr">
        <is>
          <t>1</t>
        </is>
      </c>
      <c r="BG40" s="24" t="inlineStr">
        <is>
          <t>measured-edge-paired-v1</t>
        </is>
      </c>
      <c r="BH40" s="24" t="inlineStr">
        <is>
          <t>2026-07-31T16:46:49.961054Z</t>
        </is>
      </c>
      <c r="BI40" s="24" t="inlineStr">
        <is>
          <t>["same_event","same_team_same_day","same_league_same_day"]</t>
        </is>
      </c>
      <c r="BJ40" s="25" t="n">
        <v>1.5</v>
      </c>
      <c r="BK40" s="26" t="n">
        <v>-138</v>
      </c>
      <c r="BL40" s="27" t="n">
        <v>1.724638</v>
      </c>
      <c r="BM40" s="28" t="n">
        <v>0.579832</v>
      </c>
      <c r="BN40" s="28" t="n">
        <v>0.577114</v>
      </c>
      <c r="BO40" s="28" t="n"/>
      <c r="BP40" s="25" t="n"/>
      <c r="BQ40" s="27" t="n">
        <v>1.724638</v>
      </c>
      <c r="BR40" s="28" t="n">
        <v>0.58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</row>
    <row r="41" ht="36" customHeight="1">
      <c r="A41" s="24" t="inlineStr">
        <is>
          <t>803a2df03dc04a1c</t>
        </is>
      </c>
      <c r="B41" s="24" t="inlineStr">
        <is>
          <t>2026-07-31T16:46:49.961054Z</t>
        </is>
      </c>
      <c r="C41" s="24" t="inlineStr">
        <is>
          <t>2026-07-31T18:20Z</t>
        </is>
      </c>
      <c r="D41" s="24" t="inlineStr">
        <is>
          <t>401816339</t>
        </is>
      </c>
      <c r="E41" s="24" t="inlineStr">
        <is>
          <t>MLB</t>
        </is>
      </c>
      <c r="F41" s="24" t="inlineStr">
        <is>
          <t>New York Yankees</t>
        </is>
      </c>
      <c r="G41" s="24" t="inlineStr">
        <is>
          <t>Chicago Cubs</t>
        </is>
      </c>
      <c r="H41" s="24" t="inlineStr">
        <is>
          <t>total</t>
        </is>
      </c>
      <c r="I41" s="24" t="inlineStr">
        <is>
          <t>over</t>
        </is>
      </c>
      <c r="J41" s="25" t="n">
        <v>8.5</v>
      </c>
      <c r="K41" s="24" t="inlineStr">
        <is>
          <t>polymarket_us</t>
        </is>
      </c>
      <c r="L41" s="26" t="n">
        <v>-125</v>
      </c>
      <c r="M41" s="27" t="n">
        <v>1.8</v>
      </c>
      <c r="N41" s="28" t="n">
        <v>0.555556</v>
      </c>
      <c r="O41" s="28" t="n">
        <v>0.514138</v>
      </c>
      <c r="P41" s="28" t="n">
        <v>0.042131</v>
      </c>
      <c r="Q41" s="28" t="n">
        <v>-0.041418</v>
      </c>
      <c r="R41" s="26" t="n">
        <v>4</v>
      </c>
      <c r="S41" s="29" t="n">
        <v>1</v>
      </c>
      <c r="T41" s="24" t="inlineStr">
        <is>
          <t>measured-edge-totals-v1</t>
        </is>
      </c>
      <c r="U41" s="24" t="inlineStr">
        <is>
          <t>settled</t>
        </is>
      </c>
      <c r="V41" s="24" t="inlineStr">
        <is>
          <t>loss</t>
        </is>
      </c>
      <c r="W41" s="26" t="n">
        <v>2</v>
      </c>
      <c r="X41" s="26" t="n">
        <v>0</v>
      </c>
      <c r="Y41" s="25" t="n">
        <v>8.5</v>
      </c>
      <c r="Z41" s="26" t="n">
        <v>-125</v>
      </c>
      <c r="AA41" s="28" t="n">
        <v>0.555</v>
      </c>
      <c r="AB41" s="28" t="n">
        <v>-0.000556</v>
      </c>
      <c r="AC41" s="30" t="n">
        <v>-1</v>
      </c>
      <c r="AD41" s="24" t="inlineStr">
        <is>
          <t>2026-07-31T21:03:21.299218Z</t>
        </is>
      </c>
      <c r="AE41" s="31" t="inlineStr">
        <is>
          <t>Measured Edge Totals: Trend Engine projected 4.18-5.00; raw selected-side p=0.5305, calibrated p=0.5141.</t>
        </is>
      </c>
      <c r="AF41" s="31" t="inlineStr">
        <is>
          <t>Research-only; lineup, bullpen, park, weather, xFIP, and wRC+ may be neutral fallbacks; market availability and BBO depth may change before first pitch.</t>
        </is>
      </c>
      <c r="AG41" s="24" t="inlineStr">
        <is>
          <t>review_required</t>
        </is>
      </c>
      <c r="AH41" s="24" t="n"/>
      <c r="AI41" s="31" t="n"/>
      <c r="AJ41" s="31" t="n"/>
      <c r="AK41" s="24" t="inlineStr">
        <is>
          <t>research_observation</t>
        </is>
      </c>
      <c r="AL41" s="26" t="n">
        <v>3</v>
      </c>
      <c r="AM41" s="24" t="inlineStr">
        <is>
          <t>RESEARCH_OBSERVATION</t>
        </is>
      </c>
      <c r="AN41" s="24" t="inlineStr">
        <is>
          <t>NO_CALL</t>
        </is>
      </c>
      <c r="AO41" s="24" t="inlineStr">
        <is>
          <t>NO_CALL_MODEL_UNVALIDATED</t>
        </is>
      </c>
      <c r="AP41" s="24" t="inlineStr">
        <is>
          <t>mlb-nyy</t>
        </is>
      </c>
      <c r="AQ41" s="24" t="inlineStr">
        <is>
          <t>New York Yankees</t>
        </is>
      </c>
      <c r="AR41" s="24" t="inlineStr">
        <is>
          <t>New York Yankees</t>
        </is>
      </c>
      <c r="AS41" s="24" t="inlineStr">
        <is>
          <t>mlb-chc</t>
        </is>
      </c>
      <c r="AT41" s="24" t="inlineStr">
        <is>
          <t>Chicago Cubs</t>
        </is>
      </c>
      <c r="AU41" s="24" t="inlineStr">
        <is>
          <t>Chicago Cubs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research</t>
        </is>
      </c>
      <c r="BA41" s="24" t="inlineStr">
        <is>
          <t>cbc2c9bf5a9569a49e1902c816d96556d704cf10819ca3a9e927721685757d0b</t>
        </is>
      </c>
      <c r="BB41" s="24" t="inlineStr">
        <is>
          <t>flat_probability_shrinkage_toward_half</t>
        </is>
      </c>
      <c r="BC41" s="24" t="inlineStr">
        <is>
          <t>measured-edge-totals-v1</t>
        </is>
      </c>
      <c r="BD41" s="24" t="inlineStr">
        <is>
          <t>cbc2c9bf5a9569a49e1902c816d96556d704cf10819ca3a9e927721685757d0b</t>
        </is>
      </c>
      <c r="BE41" s="24" t="inlineStr">
        <is>
          <t>v3</t>
        </is>
      </c>
      <c r="BF41" s="24" t="inlineStr">
        <is>
          <t>1</t>
        </is>
      </c>
      <c r="BG41" s="24" t="inlineStr">
        <is>
          <t>measured-edge-paired-v1</t>
        </is>
      </c>
      <c r="BH41" s="24" t="inlineStr">
        <is>
          <t>2026-07-31T16:46:49.961054Z</t>
        </is>
      </c>
      <c r="BI41" s="24" t="inlineStr">
        <is>
          <t>["same_event","same_team_same_day","same_league_same_day"]</t>
        </is>
      </c>
      <c r="BJ41" s="25" t="n">
        <v>8.5</v>
      </c>
      <c r="BK41" s="26" t="n">
        <v>-125</v>
      </c>
      <c r="BL41" s="27" t="n">
        <v>1.8</v>
      </c>
      <c r="BM41" s="28" t="n">
        <v>0.555556</v>
      </c>
      <c r="BN41" s="28" t="n">
        <v>0.552239</v>
      </c>
      <c r="BO41" s="28" t="n"/>
      <c r="BP41" s="25" t="n"/>
      <c r="BQ41" s="27" t="n">
        <v>1.8</v>
      </c>
      <c r="BR41" s="28" t="n">
        <v>0.555</v>
      </c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</row>
    <row r="42" ht="36" customHeight="1">
      <c r="A42" s="24" t="inlineStr">
        <is>
          <t>7a2edb1572dc4cd1</t>
        </is>
      </c>
      <c r="B42" s="24" t="inlineStr">
        <is>
          <t>2026-07-31T21:05:22.115641Z</t>
        </is>
      </c>
      <c r="C42" s="24" t="inlineStr">
        <is>
          <t>2026-07-31T18:10:00-0400</t>
        </is>
      </c>
      <c r="D42" s="24" t="inlineStr">
        <is>
          <t>401816336</t>
        </is>
      </c>
      <c r="E42" s="24" t="inlineStr">
        <is>
          <t>MLB</t>
        </is>
      </c>
      <c r="F42" s="24" t="inlineStr">
        <is>
          <t>Pittsburgh Pirates</t>
        </is>
      </c>
      <c r="G42" s="24" t="inlineStr">
        <is>
          <t>Cincinnati Reds</t>
        </is>
      </c>
      <c r="H42" s="24" t="inlineStr">
        <is>
          <t>moneyline</t>
        </is>
      </c>
      <c r="I42" s="24" t="inlineStr">
        <is>
          <t>away</t>
        </is>
      </c>
      <c r="J42" s="25" t="n"/>
      <c r="K42" s="24" t="inlineStr">
        <is>
          <t>polymarket_us</t>
        </is>
      </c>
      <c r="L42" s="26" t="n">
        <v>-117</v>
      </c>
      <c r="M42" s="27" t="n">
        <v>1.854701</v>
      </c>
      <c r="N42" s="28" t="n">
        <v>0.539171</v>
      </c>
      <c r="O42" s="28" t="n">
        <v>0.519691</v>
      </c>
      <c r="P42" s="28" t="n"/>
      <c r="Q42" s="28" t="n">
        <v>-0.01948</v>
      </c>
      <c r="R42" s="26" t="n">
        <v>11</v>
      </c>
      <c r="S42" s="29" t="n">
        <v>1</v>
      </c>
      <c r="T42" s="24" t="inlineStr">
        <is>
          <t>mlb-elo-trend-lr-v7</t>
        </is>
      </c>
      <c r="U42" s="24" t="inlineStr">
        <is>
          <t>settled</t>
        </is>
      </c>
      <c r="V42" s="24" t="inlineStr">
        <is>
          <t>loss</t>
        </is>
      </c>
      <c r="W42" s="26" t="n">
        <v>7</v>
      </c>
      <c r="X42" s="26" t="n">
        <v>8</v>
      </c>
      <c r="Y42" s="25" t="n"/>
      <c r="Z42" s="26" t="n">
        <v>-117</v>
      </c>
      <c r="AA42" s="28" t="n">
        <v>0.54</v>
      </c>
      <c r="AB42" s="28" t="n">
        <v>0.000829</v>
      </c>
      <c r="AC42" s="30" t="n">
        <v>-1</v>
      </c>
      <c r="AD42" s="24" t="inlineStr">
        <is>
          <t>2026-08-01T02:59:59.343995Z</t>
        </is>
      </c>
      <c r="AE42" s="31" t="inlineStr">
        <is>
          <t>Learned LR call at threshold 0.6242; executable ask 0.5400 (aec-mlb-pit-cin-2026-07-31); model edge vs ask -0.0203.</t>
        </is>
      </c>
      <c r="AF42" s="31" t="inlineStr">
        <is>
          <t>Learned model; shadow-qualified via operator override.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model_qualified</t>
        </is>
      </c>
      <c r="AL42" s="26" t="n">
        <v>3</v>
      </c>
      <c r="AM42" s="24" t="inlineStr">
        <is>
          <t>QUALIFIED_SHADOW_CALL</t>
        </is>
      </c>
      <c r="AN42" s="24" t="inlineStr">
        <is>
          <t>CALL</t>
        </is>
      </c>
      <c r="AO42" s="24" t="inlineStr">
        <is>
          <t>QUALIFIED</t>
        </is>
      </c>
      <c r="AP42" s="24" t="inlineStr">
        <is>
          <t>mlb-pit</t>
        </is>
      </c>
      <c r="AQ42" s="24" t="inlineStr">
        <is>
          <t>Pittsburgh Pirates</t>
        </is>
      </c>
      <c r="AR42" s="24" t="inlineStr">
        <is>
          <t>Pittsburgh Pirates</t>
        </is>
      </c>
      <c r="AS42" s="24" t="inlineStr">
        <is>
          <t>mlb-cin</t>
        </is>
      </c>
      <c r="AT42" s="24" t="inlineStr">
        <is>
          <t>Cincinnati Reds</t>
        </is>
      </c>
      <c r="AU42" s="24" t="inlineStr">
        <is>
          <t>Cincinnati Reds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464eef695bfbbdaa819ec6f5e4c5bd1068ed20b92915fb2677220ae91e20d8b6</t>
        </is>
      </c>
      <c r="BB42" s="24" t="inlineStr">
        <is>
          <t>learned_lr</t>
        </is>
      </c>
      <c r="BC42" s="24" t="inlineStr">
        <is>
          <t>mlb-elo-trend-lr-v7</t>
        </is>
      </c>
      <c r="BD42" s="24" t="inlineStr">
        <is>
          <t>464eef695bfbbdaa819ec6f5e4c5bd1068ed20b92915fb2677220ae91e20d8b6</t>
        </is>
      </c>
      <c r="BE42" s="24" t="inlineStr">
        <is>
          <t>87db1c842ab8959c</t>
        </is>
      </c>
      <c r="BF42" s="24" t="inlineStr">
        <is>
          <t>1</t>
        </is>
      </c>
      <c r="BG42" s="24" t="inlineStr">
        <is>
          <t>mlb-elo-trend-lr-v7</t>
        </is>
      </c>
      <c r="BH42" s="24" t="inlineStr">
        <is>
          <t>2026-07-31T21:04:14.582367Z</t>
        </is>
      </c>
      <c r="BI42" s="24" t="inlineStr">
        <is>
          <t>["same_event","same_team_same_day","same_league_same_day"]</t>
        </is>
      </c>
      <c r="BJ42" s="25" t="n"/>
      <c r="BK42" s="26" t="n">
        <v>-117</v>
      </c>
      <c r="BL42" s="27" t="n">
        <v>1.854701</v>
      </c>
      <c r="BM42" s="28" t="n">
        <v>0.539171</v>
      </c>
      <c r="BN42" s="28" t="n">
        <v>0.537313</v>
      </c>
      <c r="BO42" s="28" t="n"/>
      <c r="BP42" s="25" t="n"/>
      <c r="BQ42" s="27" t="n">
        <v>1.854701</v>
      </c>
      <c r="BR42" s="28" t="n">
        <v>0.54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inlineStr">
        <is>
          <t>0.4930079966</t>
        </is>
      </c>
      <c r="CD42" s="24" t="inlineStr">
        <is>
          <t>0.789352</t>
        </is>
      </c>
      <c r="CE42" s="24" t="inlineStr">
        <is>
          <t>1.036</t>
        </is>
      </c>
      <c r="CF42" s="24" t="inlineStr">
        <is>
          <t>1.0173</t>
        </is>
      </c>
      <c r="CG42" s="24" t="inlineStr">
        <is>
          <t>-1.2</t>
        </is>
      </c>
      <c r="CH42" s="24" t="n"/>
      <c r="CI42" s="24" t="n"/>
      <c r="CJ42" s="24" t="n"/>
      <c r="CK42" s="24" t="n"/>
      <c r="CL42" s="24" t="n"/>
      <c r="CM42" s="24" t="n"/>
      <c r="CN42" s="24" t="n"/>
      <c r="CO42" s="24" t="n"/>
    </row>
    <row r="43" ht="36" customHeight="1">
      <c r="A43" s="24" t="inlineStr">
        <is>
          <t>cf884cdd45fa42a6</t>
        </is>
      </c>
      <c r="B43" s="24" t="inlineStr">
        <is>
          <t>2026-07-31T21:05:22.115641Z</t>
        </is>
      </c>
      <c r="C43" s="24" t="inlineStr">
        <is>
          <t>2026-07-31T19:05:00-0400</t>
        </is>
      </c>
      <c r="D43" s="24" t="inlineStr">
        <is>
          <t>401816335</t>
        </is>
      </c>
      <c r="E43" s="24" t="inlineStr">
        <is>
          <t>MLB</t>
        </is>
      </c>
      <c r="F43" s="24" t="inlineStr">
        <is>
          <t>Philadelphia Phillies</t>
        </is>
      </c>
      <c r="G43" s="24" t="inlineStr">
        <is>
          <t>Baltimore Orioles</t>
        </is>
      </c>
      <c r="H43" s="24" t="inlineStr">
        <is>
          <t>moneyline</t>
        </is>
      </c>
      <c r="I43" s="24" t="inlineStr">
        <is>
          <t>away</t>
        </is>
      </c>
      <c r="J43" s="25" t="n"/>
      <c r="K43" s="24" t="inlineStr">
        <is>
          <t>polymarket_us</t>
        </is>
      </c>
      <c r="L43" s="26" t="n">
        <v>106</v>
      </c>
      <c r="M43" s="27" t="n">
        <v>2.06</v>
      </c>
      <c r="N43" s="28" t="n">
        <v>0.485437</v>
      </c>
      <c r="O43" s="28" t="n">
        <v>0.509459</v>
      </c>
      <c r="P43" s="28" t="n"/>
      <c r="Q43" s="28" t="n">
        <v>0.024022</v>
      </c>
      <c r="R43" s="26" t="n">
        <v>33</v>
      </c>
      <c r="S43" s="29" t="n">
        <v>1</v>
      </c>
      <c r="T43" s="24" t="inlineStr">
        <is>
          <t>mlb-elo-trend-lr-v7</t>
        </is>
      </c>
      <c r="U43" s="24" t="inlineStr">
        <is>
          <t>settled</t>
        </is>
      </c>
      <c r="V43" s="24" t="inlineStr">
        <is>
          <t>loss</t>
        </is>
      </c>
      <c r="W43" s="26" t="n">
        <v>4</v>
      </c>
      <c r="X43" s="26" t="n">
        <v>6</v>
      </c>
      <c r="Y43" s="25" t="n"/>
      <c r="Z43" s="26" t="n">
        <v>106</v>
      </c>
      <c r="AA43" s="28" t="n">
        <v>0.485</v>
      </c>
      <c r="AB43" s="28" t="n">
        <v>-0.000437</v>
      </c>
      <c r="AC43" s="30" t="n">
        <v>-1</v>
      </c>
      <c r="AD43" s="24" t="inlineStr">
        <is>
          <t>2026-08-01T02:59:59.636597Z</t>
        </is>
      </c>
      <c r="AE43" s="31" t="inlineStr">
        <is>
          <t>Learned LR call at threshold 0.6242; executable ask 0.4850 (aec-mlb-phi-bal-2026-07-31); model edge vs ask +0.0245.</t>
        </is>
      </c>
      <c r="AF43" s="31" t="inlineStr">
        <is>
          <t>Learned model; shadow-qualified via operator override.</t>
        </is>
      </c>
      <c r="AG43" s="24" t="inlineStr">
        <is>
          <t>review_required</t>
        </is>
      </c>
      <c r="AH43" s="24" t="n"/>
      <c r="AI43" s="31" t="n"/>
      <c r="AJ43" s="31" t="n"/>
      <c r="AK43" s="24" t="inlineStr">
        <is>
          <t>model_qualified</t>
        </is>
      </c>
      <c r="AL43" s="26" t="n">
        <v>3</v>
      </c>
      <c r="AM43" s="24" t="inlineStr">
        <is>
          <t>QUALIFIED_SHADOW_CALL</t>
        </is>
      </c>
      <c r="AN43" s="24" t="inlineStr">
        <is>
          <t>CALL</t>
        </is>
      </c>
      <c r="AO43" s="24" t="inlineStr">
        <is>
          <t>QUALIFIED</t>
        </is>
      </c>
      <c r="AP43" s="24" t="inlineStr">
        <is>
          <t>mlb-phi</t>
        </is>
      </c>
      <c r="AQ43" s="24" t="inlineStr">
        <is>
          <t>Philadelphia Phillies</t>
        </is>
      </c>
      <c r="AR43" s="24" t="inlineStr">
        <is>
          <t>Philadelphia Phillies</t>
        </is>
      </c>
      <c r="AS43" s="24" t="inlineStr">
        <is>
          <t>mlb-bal</t>
        </is>
      </c>
      <c r="AT43" s="24" t="inlineStr">
        <is>
          <t>Baltimore Orioles</t>
        </is>
      </c>
      <c r="AU43" s="24" t="inlineStr">
        <is>
          <t>Baltimore Orioles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464eef695bfbbdaa819ec6f5e4c5bd1068ed20b92915fb2677220ae91e20d8b6</t>
        </is>
      </c>
      <c r="BB43" s="24" t="inlineStr">
        <is>
          <t>learned_lr</t>
        </is>
      </c>
      <c r="BC43" s="24" t="inlineStr">
        <is>
          <t>mlb-elo-trend-lr-v7</t>
        </is>
      </c>
      <c r="BD43" s="24" t="inlineStr">
        <is>
          <t>464eef695bfbbdaa819ec6f5e4c5bd1068ed20b92915fb2677220ae91e20d8b6</t>
        </is>
      </c>
      <c r="BE43" s="24" t="inlineStr">
        <is>
          <t>1b69a14f3893f0c1</t>
        </is>
      </c>
      <c r="BF43" s="24" t="inlineStr">
        <is>
          <t>1</t>
        </is>
      </c>
      <c r="BG43" s="24" t="inlineStr">
        <is>
          <t>mlb-elo-trend-lr-v7</t>
        </is>
      </c>
      <c r="BH43" s="24" t="inlineStr">
        <is>
          <t>2026-07-31T21:04:15.613897Z</t>
        </is>
      </c>
      <c r="BI43" s="24" t="inlineStr">
        <is>
          <t>["same_event","same_team_same_day","same_league_same_day"]</t>
        </is>
      </c>
      <c r="BJ43" s="25" t="n"/>
      <c r="BK43" s="26" t="n">
        <v>106</v>
      </c>
      <c r="BL43" s="27" t="n">
        <v>2.06</v>
      </c>
      <c r="BM43" s="28" t="n">
        <v>0.485437</v>
      </c>
      <c r="BN43" s="28" t="n">
        <v>0.482587</v>
      </c>
      <c r="BO43" s="28" t="n"/>
      <c r="BP43" s="25" t="n"/>
      <c r="BQ43" s="27" t="n">
        <v>2.06</v>
      </c>
      <c r="BR43" s="28" t="n">
        <v>0.485</v>
      </c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inlineStr">
        <is>
          <t>0.4867559615</t>
        </is>
      </c>
      <c r="CD43" s="24" t="inlineStr">
        <is>
          <t>0.736702</t>
        </is>
      </c>
      <c r="CE43" s="24" t="inlineStr">
        <is>
          <t>1.03</t>
        </is>
      </c>
      <c r="CF43" s="24" t="inlineStr">
        <is>
          <t>1.0165</t>
        </is>
      </c>
      <c r="CG43" s="24" t="inlineStr">
        <is>
          <t>3.2</t>
        </is>
      </c>
      <c r="CH43" s="24" t="n"/>
      <c r="CI43" s="24" t="n"/>
      <c r="CJ43" s="24" t="n"/>
      <c r="CK43" s="24" t="n"/>
      <c r="CL43" s="24" t="n"/>
      <c r="CM43" s="24" t="n"/>
      <c r="CN43" s="24" t="n"/>
      <c r="CO43" s="24" t="n"/>
    </row>
    <row r="44" ht="36" customHeight="1">
      <c r="A44" s="24" t="inlineStr">
        <is>
          <t>b1dea9d31b774008</t>
        </is>
      </c>
      <c r="B44" s="24" t="inlineStr">
        <is>
          <t>2026-07-31T21:05:22.115641Z</t>
        </is>
      </c>
      <c r="C44" s="24" t="inlineStr">
        <is>
          <t>2026-07-31T19:07:00-0400</t>
        </is>
      </c>
      <c r="D44" s="24" t="inlineStr">
        <is>
          <t>401816337</t>
        </is>
      </c>
      <c r="E44" s="24" t="inlineStr">
        <is>
          <t>MLB</t>
        </is>
      </c>
      <c r="F44" s="24" t="inlineStr">
        <is>
          <t>St. Louis Cardinals</t>
        </is>
      </c>
      <c r="G44" s="24" t="inlineStr">
        <is>
          <t>Toronto Blue Jays</t>
        </is>
      </c>
      <c r="H44" s="24" t="inlineStr">
        <is>
          <t>moneyline</t>
        </is>
      </c>
      <c r="I44" s="24" t="inlineStr">
        <is>
          <t>home</t>
        </is>
      </c>
      <c r="J44" s="25" t="n"/>
      <c r="K44" s="24" t="inlineStr">
        <is>
          <t>polymarket_us</t>
        </is>
      </c>
      <c r="L44" s="26" t="n">
        <v>-170</v>
      </c>
      <c r="M44" s="27" t="n">
        <v>1.588235</v>
      </c>
      <c r="N44" s="28" t="n">
        <v>0.62963</v>
      </c>
      <c r="O44" s="28" t="n">
        <v>0.5350549999999999</v>
      </c>
      <c r="P44" s="28" t="n"/>
      <c r="Q44" s="28" t="n">
        <v>-0.09457500000000001</v>
      </c>
      <c r="R44" s="26" t="n">
        <v>0</v>
      </c>
      <c r="S44" s="29" t="n">
        <v>1</v>
      </c>
      <c r="T44" s="24" t="inlineStr">
        <is>
          <t>mlb-elo-trend-lr-v7</t>
        </is>
      </c>
      <c r="U44" s="24" t="inlineStr">
        <is>
          <t>settled</t>
        </is>
      </c>
      <c r="V44" s="24" t="inlineStr">
        <is>
          <t>win</t>
        </is>
      </c>
      <c r="W44" s="26" t="n">
        <v>1</v>
      </c>
      <c r="X44" s="26" t="n">
        <v>3</v>
      </c>
      <c r="Y44" s="25" t="n"/>
      <c r="Z44" s="26" t="n">
        <v>-170</v>
      </c>
      <c r="AA44" s="28" t="n">
        <v>0.63</v>
      </c>
      <c r="AB44" s="28" t="n">
        <v>0.00037</v>
      </c>
      <c r="AC44" s="30" t="n">
        <v>0.5881999999999999</v>
      </c>
      <c r="AD44" s="24" t="inlineStr">
        <is>
          <t>2026-08-01T02:59:59.922051Z</t>
        </is>
      </c>
      <c r="AE44" s="31" t="inlineStr">
        <is>
          <t>Learned LR call at threshold 0.6242; executable ask 0.6300 (aec-mlb-stl-tor-2026-07-31); model edge vs ask -0.0949.</t>
        </is>
      </c>
      <c r="AF44" s="31" t="inlineStr">
        <is>
          <t>Learned model; shadow-qualified via operator override.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model_qualified</t>
        </is>
      </c>
      <c r="AL44" s="26" t="n">
        <v>3</v>
      </c>
      <c r="AM44" s="24" t="inlineStr">
        <is>
          <t>QUALIFIED_SHADOW_CALL</t>
        </is>
      </c>
      <c r="AN44" s="24" t="inlineStr">
        <is>
          <t>CALL</t>
        </is>
      </c>
      <c r="AO44" s="24" t="inlineStr">
        <is>
          <t>QUALIFIED</t>
        </is>
      </c>
      <c r="AP44" s="24" t="inlineStr">
        <is>
          <t>mlb-stl</t>
        </is>
      </c>
      <c r="AQ44" s="24" t="inlineStr">
        <is>
          <t>St. Louis Cardinals</t>
        </is>
      </c>
      <c r="AR44" s="24" t="inlineStr">
        <is>
          <t>St. Louis Cardinals</t>
        </is>
      </c>
      <c r="AS44" s="24" t="inlineStr">
        <is>
          <t>mlb-tor</t>
        </is>
      </c>
      <c r="AT44" s="24" t="inlineStr">
        <is>
          <t>Toronto Blue Jays</t>
        </is>
      </c>
      <c r="AU44" s="24" t="inlineStr">
        <is>
          <t>Toronto Blue Jays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464eef695bfbbdaa819ec6f5e4c5bd1068ed20b92915fb2677220ae91e20d8b6</t>
        </is>
      </c>
      <c r="BB44" s="24" t="inlineStr">
        <is>
          <t>learned_lr</t>
        </is>
      </c>
      <c r="BC44" s="24" t="inlineStr">
        <is>
          <t>mlb-elo-trend-lr-v7</t>
        </is>
      </c>
      <c r="BD44" s="24" t="inlineStr">
        <is>
          <t>464eef695bfbbdaa819ec6f5e4c5bd1068ed20b92915fb2677220ae91e20d8b6</t>
        </is>
      </c>
      <c r="BE44" s="24" t="inlineStr">
        <is>
          <t>d656c6c15db18eba</t>
        </is>
      </c>
      <c r="BF44" s="24" t="inlineStr">
        <is>
          <t>1</t>
        </is>
      </c>
      <c r="BG44" s="24" t="inlineStr">
        <is>
          <t>mlb-elo-trend-lr-v7</t>
        </is>
      </c>
      <c r="BH44" s="24" t="inlineStr">
        <is>
          <t>2026-07-31T21:04:16.588388Z</t>
        </is>
      </c>
      <c r="BI44" s="24" t="inlineStr">
        <is>
          <t>["same_event","same_team_same_day","same_league_same_day"]</t>
        </is>
      </c>
      <c r="BJ44" s="25" t="n"/>
      <c r="BK44" s="26" t="n">
        <v>-170</v>
      </c>
      <c r="BL44" s="27" t="n">
        <v>1.588235</v>
      </c>
      <c r="BM44" s="28" t="n">
        <v>0.62963</v>
      </c>
      <c r="BN44" s="28" t="n">
        <v>0.626866</v>
      </c>
      <c r="BO44" s="28" t="n"/>
      <c r="BP44" s="25" t="n"/>
      <c r="BQ44" s="27" t="n">
        <v>1.588235</v>
      </c>
      <c r="BR44" s="28" t="n">
        <v>0.63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inlineStr">
        <is>
          <t>0.5524208033</t>
        </is>
      </c>
      <c r="CD44" s="24" t="inlineStr">
        <is>
          <t>0.784126</t>
        </is>
      </c>
      <c r="CE44" s="24" t="inlineStr">
        <is>
          <t>1.019</t>
        </is>
      </c>
      <c r="CF44" s="24" t="inlineStr">
        <is>
          <t>1.0</t>
        </is>
      </c>
      <c r="CG44" s="24" t="inlineStr">
        <is>
          <t>-0.8</t>
        </is>
      </c>
      <c r="CH44" s="24" t="n"/>
      <c r="CI44" s="24" t="n"/>
      <c r="CJ44" s="24" t="n"/>
      <c r="CK44" s="24" t="n"/>
      <c r="CL44" s="24" t="n"/>
      <c r="CM44" s="24" t="n"/>
      <c r="CN44" s="24" t="n"/>
      <c r="CO44" s="24" t="n"/>
    </row>
    <row r="45" ht="36" customHeight="1">
      <c r="A45" s="24" t="inlineStr">
        <is>
          <t>594cf89dbb3142f3</t>
        </is>
      </c>
      <c r="B45" s="24" t="inlineStr">
        <is>
          <t>2026-07-31T21:05:22.115641Z</t>
        </is>
      </c>
      <c r="C45" s="24" t="inlineStr">
        <is>
          <t>2026-07-31T19:10:00-0400</t>
        </is>
      </c>
      <c r="D45" s="24" t="inlineStr">
        <is>
          <t>401816332</t>
        </is>
      </c>
      <c r="E45" s="24" t="inlineStr">
        <is>
          <t>MLB</t>
        </is>
      </c>
      <c r="F45" s="24" t="inlineStr">
        <is>
          <t>Arizona Diamondbacks</t>
        </is>
      </c>
      <c r="G45" s="24" t="inlineStr">
        <is>
          <t>Cleveland Guardians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-130</v>
      </c>
      <c r="M45" s="27" t="n">
        <v>1.769231</v>
      </c>
      <c r="N45" s="28" t="n">
        <v>0.565217</v>
      </c>
      <c r="O45" s="28" t="n">
        <v>0.544258</v>
      </c>
      <c r="P45" s="28" t="n"/>
      <c r="Q45" s="28" t="n">
        <v>-0.020959</v>
      </c>
      <c r="R45" s="26" t="n">
        <v>11</v>
      </c>
      <c r="S45" s="29" t="n">
        <v>1</v>
      </c>
      <c r="T45" s="24" t="inlineStr">
        <is>
          <t>mlb-elo-trend-lr-v7</t>
        </is>
      </c>
      <c r="U45" s="24" t="inlineStr">
        <is>
          <t>settled</t>
        </is>
      </c>
      <c r="V45" s="24" t="inlineStr">
        <is>
          <t>loss</t>
        </is>
      </c>
      <c r="W45" s="26" t="n">
        <v>4</v>
      </c>
      <c r="X45" s="26" t="n">
        <v>1</v>
      </c>
      <c r="Y45" s="25" t="n"/>
      <c r="Z45" s="26" t="n">
        <v>-130</v>
      </c>
      <c r="AA45" s="28" t="n">
        <v>0.5649999999999999</v>
      </c>
      <c r="AB45" s="28" t="n">
        <v>-0.000217</v>
      </c>
      <c r="AC45" s="30" t="n">
        <v>-1</v>
      </c>
      <c r="AD45" s="24" t="inlineStr">
        <is>
          <t>2026-08-01T03:00:00.243425Z</t>
        </is>
      </c>
      <c r="AE45" s="31" t="inlineStr">
        <is>
          <t>Learned LR call at threshold 0.6242; executable ask 0.5650 (aec-mlb-az-cle-2026-07-31); model edge vs ask -0.0207.</t>
        </is>
      </c>
      <c r="AF45" s="31" t="inlineStr">
        <is>
          <t>Learned model; shadow-qualified via operator override.</t>
        </is>
      </c>
      <c r="AG45" s="24" t="inlineStr">
        <is>
          <t>review_required</t>
        </is>
      </c>
      <c r="AH45" s="24" t="n"/>
      <c r="AI45" s="31" t="n"/>
      <c r="AJ45" s="31" t="n"/>
      <c r="AK45" s="24" t="inlineStr">
        <is>
          <t>model_qualified</t>
        </is>
      </c>
      <c r="AL45" s="26" t="n">
        <v>3</v>
      </c>
      <c r="AM45" s="24" t="inlineStr">
        <is>
          <t>QUALIFIED_SHADOW_CALL</t>
        </is>
      </c>
      <c r="AN45" s="24" t="inlineStr">
        <is>
          <t>CALL</t>
        </is>
      </c>
      <c r="AO45" s="24" t="inlineStr">
        <is>
          <t>QUALIFIED</t>
        </is>
      </c>
      <c r="AP45" s="24" t="inlineStr">
        <is>
          <t>mlb-ari</t>
        </is>
      </c>
      <c r="AQ45" s="24" t="inlineStr">
        <is>
          <t>Arizona Diamondbacks</t>
        </is>
      </c>
      <c r="AR45" s="24" t="inlineStr">
        <is>
          <t>Arizona Diamondbacks</t>
        </is>
      </c>
      <c r="AS45" s="24" t="inlineStr">
        <is>
          <t>mlb-cle</t>
        </is>
      </c>
      <c r="AT45" s="24" t="inlineStr">
        <is>
          <t>Cleveland Guardians</t>
        </is>
      </c>
      <c r="AU45" s="24" t="inlineStr">
        <is>
          <t>Cleveland Guardians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464eef695bfbbdaa819ec6f5e4c5bd1068ed20b92915fb2677220ae91e20d8b6</t>
        </is>
      </c>
      <c r="BB45" s="24" t="inlineStr">
        <is>
          <t>learned_lr</t>
        </is>
      </c>
      <c r="BC45" s="24" t="inlineStr">
        <is>
          <t>mlb-elo-trend-lr-v7</t>
        </is>
      </c>
      <c r="BD45" s="24" t="inlineStr">
        <is>
          <t>464eef695bfbbdaa819ec6f5e4c5bd1068ed20b92915fb2677220ae91e20d8b6</t>
        </is>
      </c>
      <c r="BE45" s="24" t="inlineStr">
        <is>
          <t>c05f3921fd3daa13</t>
        </is>
      </c>
      <c r="BF45" s="24" t="inlineStr">
        <is>
          <t>1</t>
        </is>
      </c>
      <c r="BG45" s="24" t="inlineStr">
        <is>
          <t>mlb-elo-trend-lr-v7</t>
        </is>
      </c>
      <c r="BH45" s="24" t="inlineStr">
        <is>
          <t>2026-07-31T21:04:18.706060Z</t>
        </is>
      </c>
      <c r="BI45" s="24" t="inlineStr">
        <is>
          <t>["same_event","same_team_same_day","same_league_same_day"]</t>
        </is>
      </c>
      <c r="BJ45" s="25" t="n"/>
      <c r="BK45" s="26" t="n">
        <v>-130</v>
      </c>
      <c r="BL45" s="27" t="n">
        <v>1.769231</v>
      </c>
      <c r="BM45" s="28" t="n">
        <v>0.565217</v>
      </c>
      <c r="BN45" s="28" t="n">
        <v>0.562189</v>
      </c>
      <c r="BO45" s="28" t="n"/>
      <c r="BP45" s="25" t="n"/>
      <c r="BQ45" s="27" t="n">
        <v>1.769231</v>
      </c>
      <c r="BR45" s="28" t="n">
        <v>0.5649999999999999</v>
      </c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inlineStr">
        <is>
          <t>0.5330748271</t>
        </is>
      </c>
      <c r="CD45" s="24" t="inlineStr">
        <is>
          <t>-0.52933</t>
        </is>
      </c>
      <c r="CE45" s="24" t="inlineStr">
        <is>
          <t>0.966</t>
        </is>
      </c>
      <c r="CF45" s="24" t="inlineStr">
        <is>
          <t>1.01</t>
        </is>
      </c>
      <c r="CG45" s="24" t="inlineStr">
        <is>
          <t>-0.4</t>
        </is>
      </c>
      <c r="CH45" s="24" t="n"/>
      <c r="CI45" s="24" t="n"/>
      <c r="CJ45" s="24" t="n"/>
      <c r="CK45" s="24" t="n"/>
      <c r="CL45" s="24" t="n"/>
      <c r="CM45" s="24" t="n"/>
      <c r="CN45" s="24" t="n"/>
      <c r="CO45" s="24" t="n"/>
    </row>
    <row r="46" ht="36" customHeight="1">
      <c r="A46" s="24" t="inlineStr">
        <is>
          <t>64c9cf49c8c34227</t>
        </is>
      </c>
      <c r="B46" s="24" t="inlineStr">
        <is>
          <t>2026-07-31T21:05:22.115641Z</t>
        </is>
      </c>
      <c r="C46" s="24" t="inlineStr">
        <is>
          <t>2026-07-31T19:10:00-0400</t>
        </is>
      </c>
      <c r="D46" s="24" t="inlineStr">
        <is>
          <t>401816333</t>
        </is>
      </c>
      <c r="E46" s="24" t="inlineStr">
        <is>
          <t>MLB</t>
        </is>
      </c>
      <c r="F46" s="24" t="inlineStr">
        <is>
          <t>Chicago White Sox</t>
        </is>
      </c>
      <c r="G46" s="24" t="inlineStr">
        <is>
          <t>Tampa Bay Rays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-127</v>
      </c>
      <c r="M46" s="27" t="n">
        <v>1.787402</v>
      </c>
      <c r="N46" s="28" t="n">
        <v>0.5594710000000001</v>
      </c>
      <c r="O46" s="28" t="n">
        <v>0.559082</v>
      </c>
      <c r="P46" s="28" t="n"/>
      <c r="Q46" s="28" t="n">
        <v>-0.000389</v>
      </c>
      <c r="R46" s="26" t="n">
        <v>21</v>
      </c>
      <c r="S46" s="29" t="n">
        <v>1</v>
      </c>
      <c r="T46" s="24" t="inlineStr">
        <is>
          <t>mlb-elo-trend-lr-v7</t>
        </is>
      </c>
      <c r="U46" s="24" t="inlineStr">
        <is>
          <t>settled</t>
        </is>
      </c>
      <c r="V46" s="24" t="inlineStr">
        <is>
          <t>loss</t>
        </is>
      </c>
      <c r="W46" s="26" t="n">
        <v>6</v>
      </c>
      <c r="X46" s="26" t="n">
        <v>1</v>
      </c>
      <c r="Y46" s="25" t="n"/>
      <c r="Z46" s="26" t="n">
        <v>-127</v>
      </c>
      <c r="AA46" s="28" t="n">
        <v>0.5600000000000001</v>
      </c>
      <c r="AB46" s="28" t="n">
        <v>0.000529</v>
      </c>
      <c r="AC46" s="30" t="n">
        <v>-1</v>
      </c>
      <c r="AD46" s="24" t="inlineStr">
        <is>
          <t>2026-08-01T03:00:00.525886Z</t>
        </is>
      </c>
      <c r="AE46" s="31" t="inlineStr">
        <is>
          <t>Learned LR call at threshold 0.6242; executable ask 0.5600 (aec-mlb-cws-tb-2026-07-31); model edge vs ask -0.0009.</t>
        </is>
      </c>
      <c r="AF46" s="31" t="inlineStr">
        <is>
          <t>Learned model; shadow-qualified via operator override.</t>
        </is>
      </c>
      <c r="AG46" s="24" t="inlineStr">
        <is>
          <t>review_required</t>
        </is>
      </c>
      <c r="AH46" s="24" t="n"/>
      <c r="AI46" s="31" t="n"/>
      <c r="AJ46" s="31" t="n"/>
      <c r="AK46" s="24" t="inlineStr">
        <is>
          <t>model_qualified</t>
        </is>
      </c>
      <c r="AL46" s="26" t="n">
        <v>3</v>
      </c>
      <c r="AM46" s="24" t="inlineStr">
        <is>
          <t>QUALIFIED_SHADOW_CALL</t>
        </is>
      </c>
      <c r="AN46" s="24" t="inlineStr">
        <is>
          <t>CALL</t>
        </is>
      </c>
      <c r="AO46" s="24" t="inlineStr">
        <is>
          <t>QUALIFIED</t>
        </is>
      </c>
      <c r="AP46" s="24" t="inlineStr">
        <is>
          <t>mlb-cws</t>
        </is>
      </c>
      <c r="AQ46" s="24" t="inlineStr">
        <is>
          <t>Chicago White Sox</t>
        </is>
      </c>
      <c r="AR46" s="24" t="inlineStr">
        <is>
          <t>Chicago White Sox</t>
        </is>
      </c>
      <c r="AS46" s="24" t="inlineStr">
        <is>
          <t>mlb-tb</t>
        </is>
      </c>
      <c r="AT46" s="24" t="inlineStr">
        <is>
          <t>Tampa Bay Rays</t>
        </is>
      </c>
      <c r="AU46" s="24" t="inlineStr">
        <is>
          <t>Tampa Bay Rays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464eef695bfbbdaa819ec6f5e4c5bd1068ed20b92915fb2677220ae91e20d8b6</t>
        </is>
      </c>
      <c r="BB46" s="24" t="inlineStr">
        <is>
          <t>learned_lr</t>
        </is>
      </c>
      <c r="BC46" s="24" t="inlineStr">
        <is>
          <t>mlb-elo-trend-lr-v7</t>
        </is>
      </c>
      <c r="BD46" s="24" t="inlineStr">
        <is>
          <t>464eef695bfbbdaa819ec6f5e4c5bd1068ed20b92915fb2677220ae91e20d8b6</t>
        </is>
      </c>
      <c r="BE46" s="24" t="inlineStr">
        <is>
          <t>a9ebd0a8f01e6140</t>
        </is>
      </c>
      <c r="BF46" s="24" t="inlineStr">
        <is>
          <t>1</t>
        </is>
      </c>
      <c r="BG46" s="24" t="inlineStr">
        <is>
          <t>mlb-elo-trend-lr-v7</t>
        </is>
      </c>
      <c r="BH46" s="24" t="inlineStr">
        <is>
          <t>2026-07-31T21:04:17.593587Z</t>
        </is>
      </c>
      <c r="BI46" s="24" t="inlineStr">
        <is>
          <t>["same_event","same_team_same_day","same_league_same_day"]</t>
        </is>
      </c>
      <c r="BJ46" s="25" t="n"/>
      <c r="BK46" s="26" t="n">
        <v>-127</v>
      </c>
      <c r="BL46" s="27" t="n">
        <v>1.787402</v>
      </c>
      <c r="BM46" s="28" t="n">
        <v>0.5594710000000001</v>
      </c>
      <c r="BN46" s="28" t="n">
        <v>0.557214</v>
      </c>
      <c r="BO46" s="28" t="n"/>
      <c r="BP46" s="25" t="n"/>
      <c r="BQ46" s="27" t="n">
        <v>1.787402</v>
      </c>
      <c r="BR46" s="28" t="n">
        <v>0.5600000000000001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inlineStr">
        <is>
          <t>0.5584762442</t>
        </is>
      </c>
      <c r="CD46" s="24" t="inlineStr">
        <is>
          <t>-0.438979</t>
        </is>
      </c>
      <c r="CE46" s="24" t="inlineStr">
        <is>
          <t>0.965</t>
        </is>
      </c>
      <c r="CF46" s="24" t="inlineStr">
        <is>
          <t>1.0</t>
        </is>
      </c>
      <c r="CG46" s="24" t="inlineStr">
        <is>
          <t>-2.4</t>
        </is>
      </c>
      <c r="CH46" s="24" t="n"/>
      <c r="CI46" s="24" t="n"/>
      <c r="CJ46" s="24" t="n"/>
      <c r="CK46" s="24" t="n"/>
      <c r="CL46" s="24" t="n"/>
      <c r="CM46" s="24" t="n"/>
      <c r="CN46" s="24" t="n"/>
      <c r="CO46" s="24" t="n"/>
    </row>
    <row r="47" ht="36" customHeight="1">
      <c r="A47" s="24" t="inlineStr">
        <is>
          <t>fce5992c67c64f32</t>
        </is>
      </c>
      <c r="B47" s="24" t="inlineStr">
        <is>
          <t>2026-07-31T21:05:22.115641Z</t>
        </is>
      </c>
      <c r="C47" s="24" t="inlineStr">
        <is>
          <t>2026-07-31T19:10:00-0400</t>
        </is>
      </c>
      <c r="D47" s="24" t="inlineStr">
        <is>
          <t>401816334</t>
        </is>
      </c>
      <c r="E47" s="24" t="inlineStr">
        <is>
          <t>MLB</t>
        </is>
      </c>
      <c r="F47" s="24" t="inlineStr">
        <is>
          <t>Miami Marlins</t>
        </is>
      </c>
      <c r="G47" s="24" t="inlineStr">
        <is>
          <t>New York Mets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-111</v>
      </c>
      <c r="M47" s="27" t="n">
        <v>1.900901</v>
      </c>
      <c r="N47" s="28" t="n">
        <v>0.526066</v>
      </c>
      <c r="O47" s="28" t="n">
        <v>0.515053</v>
      </c>
      <c r="P47" s="28" t="n"/>
      <c r="Q47" s="28" t="n">
        <v>-0.011013</v>
      </c>
      <c r="R47" s="26" t="n">
        <v>16</v>
      </c>
      <c r="S47" s="29" t="n">
        <v>1</v>
      </c>
      <c r="T47" s="24" t="inlineStr">
        <is>
          <t>mlb-elo-trend-lr-v7</t>
        </is>
      </c>
      <c r="U47" s="24" t="inlineStr">
        <is>
          <t>settled</t>
        </is>
      </c>
      <c r="V47" s="24" t="inlineStr">
        <is>
          <t>loss</t>
        </is>
      </c>
      <c r="W47" s="26" t="n">
        <v>5</v>
      </c>
      <c r="X47" s="26" t="n">
        <v>2</v>
      </c>
      <c r="Y47" s="25" t="n"/>
      <c r="Z47" s="26" t="n">
        <v>-111</v>
      </c>
      <c r="AA47" s="28" t="n">
        <v>0.525</v>
      </c>
      <c r="AB47" s="28" t="n">
        <v>-0.001066</v>
      </c>
      <c r="AC47" s="30" t="n">
        <v>-1</v>
      </c>
      <c r="AD47" s="24" t="inlineStr">
        <is>
          <t>2026-08-01T03:00:00.882259Z</t>
        </is>
      </c>
      <c r="AE47" s="31" t="inlineStr">
        <is>
          <t>Learned LR call at threshold 0.6242; executable ask 0.5250 (aec-mlb-mia-nym-2026-07-31); model edge vs ask -0.0099.</t>
        </is>
      </c>
      <c r="AF47" s="31" t="inlineStr">
        <is>
          <t>Learned model; shadow-qualified via operator override.</t>
        </is>
      </c>
      <c r="AG47" s="24" t="inlineStr">
        <is>
          <t>review_required</t>
        </is>
      </c>
      <c r="AH47" s="24" t="n"/>
      <c r="AI47" s="31" t="n"/>
      <c r="AJ47" s="31" t="n"/>
      <c r="AK47" s="24" t="inlineStr">
        <is>
          <t>model_qualified</t>
        </is>
      </c>
      <c r="AL47" s="26" t="n">
        <v>3</v>
      </c>
      <c r="AM47" s="24" t="inlineStr">
        <is>
          <t>QUALIFIED_SHADOW_CALL</t>
        </is>
      </c>
      <c r="AN47" s="24" t="inlineStr">
        <is>
          <t>CALL</t>
        </is>
      </c>
      <c r="AO47" s="24" t="inlineStr">
        <is>
          <t>QUALIFIED</t>
        </is>
      </c>
      <c r="AP47" s="24" t="inlineStr">
        <is>
          <t>mlb-mia</t>
        </is>
      </c>
      <c r="AQ47" s="24" t="inlineStr">
        <is>
          <t>Miami Marlins</t>
        </is>
      </c>
      <c r="AR47" s="24" t="inlineStr">
        <is>
          <t>Miami Marlins</t>
        </is>
      </c>
      <c r="AS47" s="24" t="inlineStr">
        <is>
          <t>mlb-nym</t>
        </is>
      </c>
      <c r="AT47" s="24" t="inlineStr">
        <is>
          <t>New York Mets</t>
        </is>
      </c>
      <c r="AU47" s="24" t="inlineStr">
        <is>
          <t>New York Mets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464eef695bfbbdaa819ec6f5e4c5bd1068ed20b92915fb2677220ae91e20d8b6</t>
        </is>
      </c>
      <c r="BB47" s="24" t="inlineStr">
        <is>
          <t>learned_lr</t>
        </is>
      </c>
      <c r="BC47" s="24" t="inlineStr">
        <is>
          <t>mlb-elo-trend-lr-v7</t>
        </is>
      </c>
      <c r="BD47" s="24" t="inlineStr">
        <is>
          <t>464eef695bfbbdaa819ec6f5e4c5bd1068ed20b92915fb2677220ae91e20d8b6</t>
        </is>
      </c>
      <c r="BE47" s="24" t="inlineStr">
        <is>
          <t>7d687c1d1c8fffaf</t>
        </is>
      </c>
      <c r="BF47" s="24" t="inlineStr">
        <is>
          <t>1</t>
        </is>
      </c>
      <c r="BG47" s="24" t="inlineStr">
        <is>
          <t>mlb-elo-trend-lr-v7</t>
        </is>
      </c>
      <c r="BH47" s="24" t="inlineStr">
        <is>
          <t>2026-07-31T21:04:19.683836Z</t>
        </is>
      </c>
      <c r="BI47" s="24" t="inlineStr">
        <is>
          <t>["same_event","same_team_same_day","same_league_same_day"]</t>
        </is>
      </c>
      <c r="BJ47" s="25" t="n"/>
      <c r="BK47" s="26" t="n">
        <v>-111</v>
      </c>
      <c r="BL47" s="27" t="n">
        <v>1.900901</v>
      </c>
      <c r="BM47" s="28" t="n">
        <v>0.526066</v>
      </c>
      <c r="BN47" s="28" t="n">
        <v>0.522388</v>
      </c>
      <c r="BO47" s="28" t="n"/>
      <c r="BP47" s="25" t="n"/>
      <c r="BQ47" s="27" t="n">
        <v>1.900901</v>
      </c>
      <c r="BR47" s="28" t="n">
        <v>0.525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inlineStr">
        <is>
          <t>0.5114006859</t>
        </is>
      </c>
      <c r="CD47" s="24" t="inlineStr">
        <is>
          <t>0.280262</t>
        </is>
      </c>
      <c r="CE47" s="24" t="inlineStr">
        <is>
          <t>0.978</t>
        </is>
      </c>
      <c r="CF47" s="24" t="inlineStr">
        <is>
          <t>1.0066</t>
        </is>
      </c>
      <c r="CG47" s="24" t="inlineStr">
        <is>
          <t>-2.2</t>
        </is>
      </c>
      <c r="CH47" s="24" t="n"/>
      <c r="CI47" s="24" t="n"/>
      <c r="CJ47" s="24" t="n"/>
      <c r="CK47" s="24" t="n"/>
      <c r="CL47" s="24" t="n"/>
      <c r="CM47" s="24" t="n"/>
      <c r="CN47" s="24" t="n"/>
      <c r="CO47" s="24" t="n"/>
    </row>
    <row r="48" ht="36" customHeight="1">
      <c r="A48" s="24" t="inlineStr">
        <is>
          <t>0406e869a5684c9e</t>
        </is>
      </c>
      <c r="B48" s="24" t="inlineStr">
        <is>
          <t>2026-07-31T21:05:22.115641Z</t>
        </is>
      </c>
      <c r="C48" s="24" t="inlineStr">
        <is>
          <t>2026-07-31T19:15:00-0400</t>
        </is>
      </c>
      <c r="D48" s="24" t="inlineStr">
        <is>
          <t>401816338</t>
        </is>
      </c>
      <c r="E48" s="24" t="inlineStr">
        <is>
          <t>MLB</t>
        </is>
      </c>
      <c r="F48" s="24" t="inlineStr">
        <is>
          <t>Washington Nationals</t>
        </is>
      </c>
      <c r="G48" s="24" t="inlineStr">
        <is>
          <t>Atlanta Braves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-111</v>
      </c>
      <c r="M48" s="27" t="n">
        <v>1.900901</v>
      </c>
      <c r="N48" s="28" t="n">
        <v>0.526066</v>
      </c>
      <c r="O48" s="28" t="n">
        <v>0.610339</v>
      </c>
      <c r="P48" s="28" t="n"/>
      <c r="Q48" s="28" t="n">
        <v>0.084273</v>
      </c>
      <c r="R48" s="26" t="n">
        <v>64</v>
      </c>
      <c r="S48" s="29" t="n">
        <v>1.5</v>
      </c>
      <c r="T48" s="24" t="inlineStr">
        <is>
          <t>mlb-elo-trend-lr-v7</t>
        </is>
      </c>
      <c r="U48" s="24" t="inlineStr">
        <is>
          <t>settled</t>
        </is>
      </c>
      <c r="V48" s="24" t="inlineStr">
        <is>
          <t>win</t>
        </is>
      </c>
      <c r="W48" s="26" t="n">
        <v>2</v>
      </c>
      <c r="X48" s="26" t="n">
        <v>6</v>
      </c>
      <c r="Y48" s="25" t="n"/>
      <c r="Z48" s="26" t="n">
        <v>-111</v>
      </c>
      <c r="AA48" s="28" t="n">
        <v>0.525</v>
      </c>
      <c r="AB48" s="28" t="n">
        <v>-0.001066</v>
      </c>
      <c r="AC48" s="30" t="n">
        <v>1.3514</v>
      </c>
      <c r="AD48" s="24" t="inlineStr">
        <is>
          <t>2026-08-01T03:00:01.166405Z</t>
        </is>
      </c>
      <c r="AE48" s="31" t="inlineStr">
        <is>
          <t>Learned LR call at threshold 0.6242; executable ask 0.5250 (aec-mlb-wsh-atl-2026-07-31); model edge vs ask +0.0853.</t>
        </is>
      </c>
      <c r="AF48" s="31" t="inlineStr">
        <is>
          <t>Learned model; shadow-qualified via operator override.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model_qualified</t>
        </is>
      </c>
      <c r="AL48" s="26" t="n">
        <v>3</v>
      </c>
      <c r="AM48" s="24" t="inlineStr">
        <is>
          <t>QUALIFIED_SHADOW_CALL</t>
        </is>
      </c>
      <c r="AN48" s="24" t="inlineStr">
        <is>
          <t>CALL</t>
        </is>
      </c>
      <c r="AO48" s="24" t="inlineStr">
        <is>
          <t>QUALIFIED</t>
        </is>
      </c>
      <c r="AP48" s="24" t="inlineStr">
        <is>
          <t>mlb-wsh</t>
        </is>
      </c>
      <c r="AQ48" s="24" t="inlineStr">
        <is>
          <t>Washington Nationals</t>
        </is>
      </c>
      <c r="AR48" s="24" t="inlineStr">
        <is>
          <t>Washington Nationals</t>
        </is>
      </c>
      <c r="AS48" s="24" t="inlineStr">
        <is>
          <t>mlb-atl</t>
        </is>
      </c>
      <c r="AT48" s="24" t="inlineStr">
        <is>
          <t>Atlanta Braves</t>
        </is>
      </c>
      <c r="AU48" s="24" t="inlineStr">
        <is>
          <t>Atlanta Braves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464eef695bfbbdaa819ec6f5e4c5bd1068ed20b92915fb2677220ae91e20d8b6</t>
        </is>
      </c>
      <c r="BB48" s="24" t="inlineStr">
        <is>
          <t>learned_lr</t>
        </is>
      </c>
      <c r="BC48" s="24" t="inlineStr">
        <is>
          <t>mlb-elo-trend-lr-v7</t>
        </is>
      </c>
      <c r="BD48" s="24" t="inlineStr">
        <is>
          <t>464eef695bfbbdaa819ec6f5e4c5bd1068ed20b92915fb2677220ae91e20d8b6</t>
        </is>
      </c>
      <c r="BE48" s="24" t="inlineStr">
        <is>
          <t>7862677c79c1ab1a</t>
        </is>
      </c>
      <c r="BF48" s="24" t="inlineStr">
        <is>
          <t>1</t>
        </is>
      </c>
      <c r="BG48" s="24" t="inlineStr">
        <is>
          <t>mlb-elo-trend-lr-v7</t>
        </is>
      </c>
      <c r="BH48" s="24" t="inlineStr">
        <is>
          <t>2026-07-31T21:04:20.645809Z</t>
        </is>
      </c>
      <c r="BI48" s="24" t="inlineStr">
        <is>
          <t>["same_event","same_team_same_day","same_league_same_day"]</t>
        </is>
      </c>
      <c r="BJ48" s="25" t="n"/>
      <c r="BK48" s="26" t="n">
        <v>-111</v>
      </c>
      <c r="BL48" s="27" t="n">
        <v>1.900901</v>
      </c>
      <c r="BM48" s="28" t="n">
        <v>0.526066</v>
      </c>
      <c r="BN48" s="28" t="n">
        <v>0.522388</v>
      </c>
      <c r="BO48" s="28" t="n"/>
      <c r="BP48" s="25" t="n"/>
      <c r="BQ48" s="27" t="n">
        <v>1.900901</v>
      </c>
      <c r="BR48" s="28" t="n">
        <v>0.525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inlineStr">
        <is>
          <t>0.6202589708</t>
        </is>
      </c>
      <c r="CD48" s="24" t="inlineStr">
        <is>
          <t>-0.247606</t>
        </is>
      </c>
      <c r="CE48" s="24" t="inlineStr">
        <is>
          <t>0.929</t>
        </is>
      </c>
      <c r="CF48" s="24" t="inlineStr">
        <is>
          <t>1.0189</t>
        </is>
      </c>
      <c r="CG48" s="24" t="inlineStr">
        <is>
          <t>-0.6</t>
        </is>
      </c>
      <c r="CH48" s="24" t="n"/>
      <c r="CI48" s="24" t="n"/>
      <c r="CJ48" s="24" t="n"/>
      <c r="CK48" s="24" t="n"/>
      <c r="CL48" s="24" t="n"/>
      <c r="CM48" s="24" t="n"/>
      <c r="CN48" s="24" t="n"/>
      <c r="CO48" s="24" t="n"/>
    </row>
    <row r="49" ht="36" customHeight="1">
      <c r="A49" s="24" t="inlineStr">
        <is>
          <t>4889dd4f50bc4c81</t>
        </is>
      </c>
      <c r="B49" s="24" t="inlineStr">
        <is>
          <t>2026-07-31T21:05:54.725871Z</t>
        </is>
      </c>
      <c r="C49" s="24" t="inlineStr">
        <is>
          <t>2026-07-31T22:10Z</t>
        </is>
      </c>
      <c r="D49" s="24" t="inlineStr">
        <is>
          <t>401816336</t>
        </is>
      </c>
      <c r="E49" s="24" t="inlineStr">
        <is>
          <t>MLB</t>
        </is>
      </c>
      <c r="F49" s="24" t="inlineStr">
        <is>
          <t>Pittsburgh Pirates</t>
        </is>
      </c>
      <c r="G49" s="24" t="inlineStr">
        <is>
          <t>Cincinnati Reds</t>
        </is>
      </c>
      <c r="H49" s="24" t="inlineStr">
        <is>
          <t>spread</t>
        </is>
      </c>
      <c r="I49" s="24" t="inlineStr">
        <is>
          <t>home</t>
        </is>
      </c>
      <c r="J49" s="25" t="n">
        <v>1.5</v>
      </c>
      <c r="K49" s="24" t="inlineStr">
        <is>
          <t>polymarket_us</t>
        </is>
      </c>
      <c r="L49" s="26" t="n">
        <v>-147</v>
      </c>
      <c r="M49" s="27" t="n">
        <v>1.680272</v>
      </c>
      <c r="N49" s="28" t="n">
        <v>0.5951419999999999</v>
      </c>
      <c r="O49" s="28" t="n">
        <v>0.551836</v>
      </c>
      <c r="P49" s="28" t="n">
        <v>0.05172</v>
      </c>
      <c r="Q49" s="28" t="n">
        <v>-0.043306</v>
      </c>
      <c r="R49" s="26" t="n">
        <v>0</v>
      </c>
      <c r="S49" s="29" t="n">
        <v>1</v>
      </c>
      <c r="T49" s="24" t="inlineStr">
        <is>
          <t>measured-edge-margin-v1</t>
        </is>
      </c>
      <c r="U49" s="24" t="inlineStr">
        <is>
          <t>settled</t>
        </is>
      </c>
      <c r="V49" s="24" t="inlineStr">
        <is>
          <t>win</t>
        </is>
      </c>
      <c r="W49" s="26" t="n">
        <v>7</v>
      </c>
      <c r="X49" s="26" t="n">
        <v>8</v>
      </c>
      <c r="Y49" s="25" t="n">
        <v>1.5</v>
      </c>
      <c r="Z49" s="26" t="n">
        <v>-147</v>
      </c>
      <c r="AA49" s="28" t="n">
        <v>0.595</v>
      </c>
      <c r="AB49" s="28" t="n">
        <v>-0.000142</v>
      </c>
      <c r="AC49" s="30" t="n">
        <v>0.6803</v>
      </c>
      <c r="AD49" s="24" t="inlineStr">
        <is>
          <t>2026-08-01T03:00:01.450523Z</t>
        </is>
      </c>
      <c r="AE49" s="31" t="inlineStr">
        <is>
          <t>Measured Edge Margin: Trend Engine projected 4.89-4.80; raw selected-side p=0.6526, calibrated p=0.5518.</t>
        </is>
      </c>
      <c r="AF49" s="31" t="inlineStr">
        <is>
          <t>Research-only; lineup, bullpen, park, weather, xFIP, and wRC+ may be neutral fallbacks; market availability and BBO depth may change before first pitch.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research_observation</t>
        </is>
      </c>
      <c r="AL49" s="26" t="n">
        <v>3</v>
      </c>
      <c r="AM49" s="24" t="inlineStr">
        <is>
          <t>RESEARCH_OBSERVATION</t>
        </is>
      </c>
      <c r="AN49" s="24" t="inlineStr">
        <is>
          <t>NO_CALL</t>
        </is>
      </c>
      <c r="AO49" s="24" t="inlineStr">
        <is>
          <t>NO_CALL_MODEL_UNVALIDATED</t>
        </is>
      </c>
      <c r="AP49" s="24" t="inlineStr">
        <is>
          <t>mlb-pit</t>
        </is>
      </c>
      <c r="AQ49" s="24" t="inlineStr">
        <is>
          <t>Pittsburgh Pirates</t>
        </is>
      </c>
      <c r="AR49" s="24" t="inlineStr">
        <is>
          <t>Pittsburgh Pirates</t>
        </is>
      </c>
      <c r="AS49" s="24" t="inlineStr">
        <is>
          <t>mlb-cin</t>
        </is>
      </c>
      <c r="AT49" s="24" t="inlineStr">
        <is>
          <t>Cincinnati Reds</t>
        </is>
      </c>
      <c r="AU49" s="24" t="inlineStr">
        <is>
          <t>Cincinnati Reds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research</t>
        </is>
      </c>
      <c r="BA49" s="24" t="inlineStr">
        <is>
          <t>2bc2ce55b0d39a20103f724bbddbde5394909acd49297f52665b596a0ae3ae8b</t>
        </is>
      </c>
      <c r="BB49" s="24" t="inlineStr">
        <is>
          <t>flat_probability_shrinkage_toward_half</t>
        </is>
      </c>
      <c r="BC49" s="24" t="inlineStr">
        <is>
          <t>measured-edge-margin-v1</t>
        </is>
      </c>
      <c r="BD49" s="24" t="inlineStr">
        <is>
          <t>2bc2ce55b0d39a20103f724bbddbde5394909acd49297f52665b596a0ae3ae8b</t>
        </is>
      </c>
      <c r="BE49" s="24" t="inlineStr">
        <is>
          <t>v3</t>
        </is>
      </c>
      <c r="BF49" s="24" t="inlineStr">
        <is>
          <t>1</t>
        </is>
      </c>
      <c r="BG49" s="24" t="inlineStr">
        <is>
          <t>measured-edge-paired-v1</t>
        </is>
      </c>
      <c r="BH49" s="24" t="inlineStr">
        <is>
          <t>2026-07-31T21:05:54.725871Z</t>
        </is>
      </c>
      <c r="BI49" s="24" t="inlineStr">
        <is>
          <t>["same_event","same_team_same_day","same_league_same_day"]</t>
        </is>
      </c>
      <c r="BJ49" s="25" t="n">
        <v>1.5</v>
      </c>
      <c r="BK49" s="26" t="n">
        <v>-147</v>
      </c>
      <c r="BL49" s="27" t="n">
        <v>1.680272</v>
      </c>
      <c r="BM49" s="28" t="n">
        <v>0.5951419999999999</v>
      </c>
      <c r="BN49" s="28" t="n">
        <v>0.59204</v>
      </c>
      <c r="BO49" s="28" t="n"/>
      <c r="BP49" s="25" t="n"/>
      <c r="BQ49" s="27" t="n">
        <v>1.680272</v>
      </c>
      <c r="BR49" s="28" t="n">
        <v>0.595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</row>
    <row r="50" ht="36" customHeight="1">
      <c r="A50" s="24" t="inlineStr">
        <is>
          <t>09c6d9696d4146c9</t>
        </is>
      </c>
      <c r="B50" s="24" t="inlineStr">
        <is>
          <t>2026-07-31T21:05:54.725871Z</t>
        </is>
      </c>
      <c r="C50" s="24" t="inlineStr">
        <is>
          <t>2026-07-31T22:10Z</t>
        </is>
      </c>
      <c r="D50" s="24" t="inlineStr">
        <is>
          <t>401816336</t>
        </is>
      </c>
      <c r="E50" s="24" t="inlineStr">
        <is>
          <t>MLB</t>
        </is>
      </c>
      <c r="F50" s="24" t="inlineStr">
        <is>
          <t>Pittsburgh Pirates</t>
        </is>
      </c>
      <c r="G50" s="24" t="inlineStr">
        <is>
          <t>Cincinnati Reds</t>
        </is>
      </c>
      <c r="H50" s="24" t="inlineStr">
        <is>
          <t>total</t>
        </is>
      </c>
      <c r="I50" s="24" t="inlineStr">
        <is>
          <t>over</t>
        </is>
      </c>
      <c r="J50" s="25" t="n">
        <v>7.5</v>
      </c>
      <c r="K50" s="24" t="inlineStr">
        <is>
          <t>polymarket_us</t>
        </is>
      </c>
      <c r="L50" s="26" t="n">
        <v>-113</v>
      </c>
      <c r="M50" s="27" t="n">
        <v>1.884956</v>
      </c>
      <c r="N50" s="28" t="n">
        <v>0.530516</v>
      </c>
      <c r="O50" s="28" t="n">
        <v>0.6324419999999999</v>
      </c>
      <c r="P50" s="28" t="n">
        <v>0.05172</v>
      </c>
      <c r="Q50" s="28" t="n">
        <v>0.101926</v>
      </c>
      <c r="R50" s="26" t="n">
        <v>70</v>
      </c>
      <c r="S50" s="29" t="n">
        <v>1.5</v>
      </c>
      <c r="T50" s="24" t="inlineStr">
        <is>
          <t>measured-edge-totals-v1</t>
        </is>
      </c>
      <c r="U50" s="24" t="inlineStr">
        <is>
          <t>settled</t>
        </is>
      </c>
      <c r="V50" s="24" t="inlineStr">
        <is>
          <t>win</t>
        </is>
      </c>
      <c r="W50" s="26" t="n">
        <v>7</v>
      </c>
      <c r="X50" s="26" t="n">
        <v>8</v>
      </c>
      <c r="Y50" s="25" t="n">
        <v>7.5</v>
      </c>
      <c r="Z50" s="26" t="n">
        <v>-113</v>
      </c>
      <c r="AA50" s="28" t="n">
        <v>0.53</v>
      </c>
      <c r="AB50" s="28" t="n">
        <v>-0.000516</v>
      </c>
      <c r="AC50" s="30" t="n">
        <v>1.3274</v>
      </c>
      <c r="AD50" s="24" t="inlineStr">
        <is>
          <t>2026-08-01T03:00:01.732961Z</t>
        </is>
      </c>
      <c r="AE50" s="31" t="inlineStr">
        <is>
          <t>Measured Edge Totals: Trend Engine projected 4.89-4.80; raw selected-side p=0.6524, calibrated p=0.6324.</t>
        </is>
      </c>
      <c r="AF50" s="31" t="inlineStr">
        <is>
          <t>Research-only; lineup, bullpen, park, weather, xFIP, and wRC+ may be neutral fallbacks; market availability and BBO depth may change before first pitch.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research_observation</t>
        </is>
      </c>
      <c r="AL50" s="26" t="n">
        <v>3</v>
      </c>
      <c r="AM50" s="24" t="inlineStr">
        <is>
          <t>RESEARCH_OBSERVATION</t>
        </is>
      </c>
      <c r="AN50" s="24" t="inlineStr">
        <is>
          <t>NO_CALL</t>
        </is>
      </c>
      <c r="AO50" s="24" t="inlineStr">
        <is>
          <t>NO_CALL_MODEL_UNVALIDATED</t>
        </is>
      </c>
      <c r="AP50" s="24" t="inlineStr">
        <is>
          <t>mlb-pit</t>
        </is>
      </c>
      <c r="AQ50" s="24" t="inlineStr">
        <is>
          <t>Pittsburgh Pirates</t>
        </is>
      </c>
      <c r="AR50" s="24" t="inlineStr">
        <is>
          <t>Pittsburgh Pirates</t>
        </is>
      </c>
      <c r="AS50" s="24" t="inlineStr">
        <is>
          <t>mlb-cin</t>
        </is>
      </c>
      <c r="AT50" s="24" t="inlineStr">
        <is>
          <t>Cincinnati Reds</t>
        </is>
      </c>
      <c r="AU50" s="24" t="inlineStr">
        <is>
          <t>Cincinnati Reds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research</t>
        </is>
      </c>
      <c r="BA50" s="24" t="inlineStr">
        <is>
          <t>cbc2c9bf5a9569a49e1902c816d96556d704cf10819ca3a9e927721685757d0b</t>
        </is>
      </c>
      <c r="BB50" s="24" t="inlineStr">
        <is>
          <t>flat_probability_shrinkage_toward_half</t>
        </is>
      </c>
      <c r="BC50" s="24" t="inlineStr">
        <is>
          <t>measured-edge-totals-v1</t>
        </is>
      </c>
      <c r="BD50" s="24" t="inlineStr">
        <is>
          <t>cbc2c9bf5a9569a49e1902c816d96556d704cf10819ca3a9e927721685757d0b</t>
        </is>
      </c>
      <c r="BE50" s="24" t="inlineStr">
        <is>
          <t>v3</t>
        </is>
      </c>
      <c r="BF50" s="24" t="inlineStr">
        <is>
          <t>1</t>
        </is>
      </c>
      <c r="BG50" s="24" t="inlineStr">
        <is>
          <t>measured-edge-paired-v1</t>
        </is>
      </c>
      <c r="BH50" s="24" t="inlineStr">
        <is>
          <t>2026-07-31T21:05:54.725871Z</t>
        </is>
      </c>
      <c r="BI50" s="24" t="inlineStr">
        <is>
          <t>["same_event","same_team_same_day","same_league_same_day"]</t>
        </is>
      </c>
      <c r="BJ50" s="25" t="n">
        <v>7.5</v>
      </c>
      <c r="BK50" s="26" t="n">
        <v>-113</v>
      </c>
      <c r="BL50" s="27" t="n">
        <v>1.884956</v>
      </c>
      <c r="BM50" s="28" t="n">
        <v>0.530516</v>
      </c>
      <c r="BN50" s="28" t="n">
        <v>0.527363</v>
      </c>
      <c r="BO50" s="28" t="n"/>
      <c r="BP50" s="25" t="n"/>
      <c r="BQ50" s="27" t="n">
        <v>1.884956</v>
      </c>
      <c r="BR50" s="28" t="n">
        <v>0.53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</row>
    <row r="51" ht="36" customHeight="1">
      <c r="A51" s="24" t="inlineStr">
        <is>
          <t>88fa924e18344065</t>
        </is>
      </c>
      <c r="B51" s="24" t="inlineStr">
        <is>
          <t>2026-07-31T21:05:54.725871Z</t>
        </is>
      </c>
      <c r="C51" s="24" t="inlineStr">
        <is>
          <t>2026-07-31T23:05Z</t>
        </is>
      </c>
      <c r="D51" s="24" t="inlineStr">
        <is>
          <t>401816335</t>
        </is>
      </c>
      <c r="E51" s="24" t="inlineStr">
        <is>
          <t>MLB</t>
        </is>
      </c>
      <c r="F51" s="24" t="inlineStr">
        <is>
          <t>Philadelphia Phillies</t>
        </is>
      </c>
      <c r="G51" s="24" t="inlineStr">
        <is>
          <t>Baltimore Orioles</t>
        </is>
      </c>
      <c r="H51" s="24" t="inlineStr">
        <is>
          <t>spread</t>
        </is>
      </c>
      <c r="I51" s="24" t="inlineStr">
        <is>
          <t>home</t>
        </is>
      </c>
      <c r="J51" s="25" t="n">
        <v>1.5</v>
      </c>
      <c r="K51" s="24" t="inlineStr">
        <is>
          <t>polymarket_us</t>
        </is>
      </c>
      <c r="L51" s="26" t="n">
        <v>-174</v>
      </c>
      <c r="M51" s="27" t="n">
        <v>1.574713</v>
      </c>
      <c r="N51" s="28" t="n">
        <v>0.635036</v>
      </c>
      <c r="O51" s="28" t="n">
        <v>0.570936</v>
      </c>
      <c r="P51" s="28" t="n">
        <v>0.042131</v>
      </c>
      <c r="Q51" s="28" t="n">
        <v>-0.0641</v>
      </c>
      <c r="R51" s="26" t="n">
        <v>0</v>
      </c>
      <c r="S51" s="29" t="n">
        <v>1.25</v>
      </c>
      <c r="T51" s="24" t="inlineStr">
        <is>
          <t>measured-edge-margin-v1</t>
        </is>
      </c>
      <c r="U51" s="24" t="inlineStr">
        <is>
          <t>settled</t>
        </is>
      </c>
      <c r="V51" s="24" t="inlineStr">
        <is>
          <t>win</t>
        </is>
      </c>
      <c r="W51" s="26" t="n">
        <v>4</v>
      </c>
      <c r="X51" s="26" t="n">
        <v>6</v>
      </c>
      <c r="Y51" s="25" t="n">
        <v>1.5</v>
      </c>
      <c r="Z51" s="26" t="n">
        <v>-174</v>
      </c>
      <c r="AA51" s="28" t="n">
        <v>0.635</v>
      </c>
      <c r="AB51" s="28" t="n">
        <v>-3.6e-05</v>
      </c>
      <c r="AC51" s="30" t="n">
        <v>0.7184</v>
      </c>
      <c r="AD51" s="24" t="inlineStr">
        <is>
          <t>2026-08-01T03:00:02.014813Z</t>
        </is>
      </c>
      <c r="AE51" s="31" t="inlineStr">
        <is>
          <t>Measured Edge Margin: Trend Engine projected 4.37-5.37; raw selected-side p=0.7498, calibrated p=0.5709.</t>
        </is>
      </c>
      <c r="AF51" s="31" t="inlineStr">
        <is>
          <t>Research-only; lineup, bullpen, park, weather, xFIP, and wRC+ may be neutral fallbacks; market availability and BBO depth may change before first pitch.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research_observation</t>
        </is>
      </c>
      <c r="AL51" s="26" t="n">
        <v>3</v>
      </c>
      <c r="AM51" s="24" t="inlineStr">
        <is>
          <t>RESEARCH_OBSERVATION</t>
        </is>
      </c>
      <c r="AN51" s="24" t="inlineStr">
        <is>
          <t>NO_CALL</t>
        </is>
      </c>
      <c r="AO51" s="24" t="inlineStr">
        <is>
          <t>NO_CALL_MODEL_UNVALIDATED</t>
        </is>
      </c>
      <c r="AP51" s="24" t="inlineStr">
        <is>
          <t>mlb-phi</t>
        </is>
      </c>
      <c r="AQ51" s="24" t="inlineStr">
        <is>
          <t>Philadelphia Phillies</t>
        </is>
      </c>
      <c r="AR51" s="24" t="inlineStr">
        <is>
          <t>Philadelphia Phillies</t>
        </is>
      </c>
      <c r="AS51" s="24" t="inlineStr">
        <is>
          <t>mlb-bal</t>
        </is>
      </c>
      <c r="AT51" s="24" t="inlineStr">
        <is>
          <t>Baltimore Orioles</t>
        </is>
      </c>
      <c r="AU51" s="24" t="inlineStr">
        <is>
          <t>Baltimore Orioles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research</t>
        </is>
      </c>
      <c r="BA51" s="24" t="inlineStr">
        <is>
          <t>2bc2ce55b0d39a20103f724bbddbde5394909acd49297f52665b596a0ae3ae8b</t>
        </is>
      </c>
      <c r="BB51" s="24" t="inlineStr">
        <is>
          <t>flat_probability_shrinkage_toward_half</t>
        </is>
      </c>
      <c r="BC51" s="24" t="inlineStr">
        <is>
          <t>measured-edge-margin-v1</t>
        </is>
      </c>
      <c r="BD51" s="24" t="inlineStr">
        <is>
          <t>2bc2ce55b0d39a20103f724bbddbde5394909acd49297f52665b596a0ae3ae8b</t>
        </is>
      </c>
      <c r="BE51" s="24" t="inlineStr">
        <is>
          <t>v3</t>
        </is>
      </c>
      <c r="BF51" s="24" t="inlineStr">
        <is>
          <t>1</t>
        </is>
      </c>
      <c r="BG51" s="24" t="inlineStr">
        <is>
          <t>measured-edge-paired-v1</t>
        </is>
      </c>
      <c r="BH51" s="24" t="inlineStr">
        <is>
          <t>2026-07-31T21:05:54.725871Z</t>
        </is>
      </c>
      <c r="BI51" s="24" t="inlineStr">
        <is>
          <t>["same_event","same_team_same_day","same_league_same_day"]</t>
        </is>
      </c>
      <c r="BJ51" s="25" t="n">
        <v>1.5</v>
      </c>
      <c r="BK51" s="26" t="n">
        <v>-174</v>
      </c>
      <c r="BL51" s="27" t="n">
        <v>1.574713</v>
      </c>
      <c r="BM51" s="28" t="n">
        <v>0.635036</v>
      </c>
      <c r="BN51" s="28" t="n">
        <v>0.631841</v>
      </c>
      <c r="BO51" s="28" t="n"/>
      <c r="BP51" s="25" t="n"/>
      <c r="BQ51" s="27" t="n">
        <v>1.574713</v>
      </c>
      <c r="BR51" s="28" t="n">
        <v>0.635</v>
      </c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</row>
    <row r="52" ht="36" customHeight="1">
      <c r="A52" s="24" t="inlineStr">
        <is>
          <t>1f3d7240b25b4b11</t>
        </is>
      </c>
      <c r="B52" s="24" t="inlineStr">
        <is>
          <t>2026-07-31T21:05:54.725871Z</t>
        </is>
      </c>
      <c r="C52" s="24" t="inlineStr">
        <is>
          <t>2026-07-31T23:05Z</t>
        </is>
      </c>
      <c r="D52" s="24" t="inlineStr">
        <is>
          <t>401816335</t>
        </is>
      </c>
      <c r="E52" s="24" t="inlineStr">
        <is>
          <t>MLB</t>
        </is>
      </c>
      <c r="F52" s="24" t="inlineStr">
        <is>
          <t>Philadelphia Phillies</t>
        </is>
      </c>
      <c r="G52" s="24" t="inlineStr">
        <is>
          <t>Baltimore Orioles</t>
        </is>
      </c>
      <c r="H52" s="24" t="inlineStr">
        <is>
          <t>total</t>
        </is>
      </c>
      <c r="I52" s="24" t="inlineStr">
        <is>
          <t>over</t>
        </is>
      </c>
      <c r="J52" s="25" t="n">
        <v>8.5</v>
      </c>
      <c r="K52" s="24" t="inlineStr">
        <is>
          <t>polymarket_us</t>
        </is>
      </c>
      <c r="L52" s="26" t="n">
        <v>-113</v>
      </c>
      <c r="M52" s="27" t="n">
        <v>1.884956</v>
      </c>
      <c r="N52" s="28" t="n">
        <v>0.530516</v>
      </c>
      <c r="O52" s="28" t="n">
        <v>0.560121</v>
      </c>
      <c r="P52" s="28" t="n">
        <v>0.042131</v>
      </c>
      <c r="Q52" s="28" t="n">
        <v>0.029605</v>
      </c>
      <c r="R52" s="26" t="n">
        <v>40</v>
      </c>
      <c r="S52" s="29" t="n">
        <v>1</v>
      </c>
      <c r="T52" s="24" t="inlineStr">
        <is>
          <t>measured-edge-totals-v1</t>
        </is>
      </c>
      <c r="U52" s="24" t="inlineStr">
        <is>
          <t>settled</t>
        </is>
      </c>
      <c r="V52" s="24" t="inlineStr">
        <is>
          <t>win</t>
        </is>
      </c>
      <c r="W52" s="26" t="n">
        <v>4</v>
      </c>
      <c r="X52" s="26" t="n">
        <v>6</v>
      </c>
      <c r="Y52" s="25" t="n">
        <v>8.5</v>
      </c>
      <c r="Z52" s="26" t="n">
        <v>-113</v>
      </c>
      <c r="AA52" s="28" t="n">
        <v>0.53</v>
      </c>
      <c r="AB52" s="28" t="n">
        <v>-0.000516</v>
      </c>
      <c r="AC52" s="30" t="n">
        <v>0.885</v>
      </c>
      <c r="AD52" s="24" t="inlineStr">
        <is>
          <t>2026-08-01T03:00:02.298810Z</t>
        </is>
      </c>
      <c r="AE52" s="31" t="inlineStr">
        <is>
          <t>Measured Edge Totals: Trend Engine projected 4.37-5.37; raw selected-side p=0.5779, calibrated p=0.5601.</t>
        </is>
      </c>
      <c r="AF52" s="31" t="inlineStr">
        <is>
          <t>Research-only; lineup, bullpen, park, weather, xFIP, and wRC+ may be neutral fallbacks; market availability and BBO depth may change before first pitch.</t>
        </is>
      </c>
      <c r="AG52" s="24" t="inlineStr">
        <is>
          <t>not_applicable</t>
        </is>
      </c>
      <c r="AH52" s="24" t="n"/>
      <c r="AI52" s="31" t="n"/>
      <c r="AJ52" s="31" t="n"/>
      <c r="AK52" s="24" t="inlineStr">
        <is>
          <t>research_observation</t>
        </is>
      </c>
      <c r="AL52" s="26" t="n">
        <v>3</v>
      </c>
      <c r="AM52" s="24" t="inlineStr">
        <is>
          <t>RESEARCH_OBSERVATION</t>
        </is>
      </c>
      <c r="AN52" s="24" t="inlineStr">
        <is>
          <t>NO_CALL</t>
        </is>
      </c>
      <c r="AO52" s="24" t="inlineStr">
        <is>
          <t>NO_CALL_MODEL_UNVALIDATED</t>
        </is>
      </c>
      <c r="AP52" s="24" t="inlineStr">
        <is>
          <t>mlb-phi</t>
        </is>
      </c>
      <c r="AQ52" s="24" t="inlineStr">
        <is>
          <t>Philadelphia Phillies</t>
        </is>
      </c>
      <c r="AR52" s="24" t="inlineStr">
        <is>
          <t>Philadelphia Phillies</t>
        </is>
      </c>
      <c r="AS52" s="24" t="inlineStr">
        <is>
          <t>mlb-bal</t>
        </is>
      </c>
      <c r="AT52" s="24" t="inlineStr">
        <is>
          <t>Baltimore Orioles</t>
        </is>
      </c>
      <c r="AU52" s="24" t="inlineStr">
        <is>
          <t>Baltimore Orioles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research</t>
        </is>
      </c>
      <c r="BA52" s="24" t="inlineStr">
        <is>
          <t>cbc2c9bf5a9569a49e1902c816d96556d704cf10819ca3a9e927721685757d0b</t>
        </is>
      </c>
      <c r="BB52" s="24" t="inlineStr">
        <is>
          <t>flat_probability_shrinkage_toward_half</t>
        </is>
      </c>
      <c r="BC52" s="24" t="inlineStr">
        <is>
          <t>measured-edge-totals-v1</t>
        </is>
      </c>
      <c r="BD52" s="24" t="inlineStr">
        <is>
          <t>cbc2c9bf5a9569a49e1902c816d96556d704cf10819ca3a9e927721685757d0b</t>
        </is>
      </c>
      <c r="BE52" s="24" t="inlineStr">
        <is>
          <t>v3</t>
        </is>
      </c>
      <c r="BF52" s="24" t="inlineStr">
        <is>
          <t>1</t>
        </is>
      </c>
      <c r="BG52" s="24" t="inlineStr">
        <is>
          <t>measured-edge-paired-v1</t>
        </is>
      </c>
      <c r="BH52" s="24" t="inlineStr">
        <is>
          <t>2026-07-31T21:05:54.725871Z</t>
        </is>
      </c>
      <c r="BI52" s="24" t="inlineStr">
        <is>
          <t>["same_event","same_team_same_day","same_league_same_day"]</t>
        </is>
      </c>
      <c r="BJ52" s="25" t="n">
        <v>8.5</v>
      </c>
      <c r="BK52" s="26" t="n">
        <v>-113</v>
      </c>
      <c r="BL52" s="27" t="n">
        <v>1.884956</v>
      </c>
      <c r="BM52" s="28" t="n">
        <v>0.530516</v>
      </c>
      <c r="BN52" s="28" t="n">
        <v>0.527363</v>
      </c>
      <c r="BO52" s="28" t="n"/>
      <c r="BP52" s="25" t="n"/>
      <c r="BQ52" s="27" t="n">
        <v>1.884956</v>
      </c>
      <c r="BR52" s="28" t="n">
        <v>0.53</v>
      </c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</row>
    <row r="53" ht="36" customHeight="1">
      <c r="A53" s="24" t="inlineStr">
        <is>
          <t>c8a9a93e5a1743ba</t>
        </is>
      </c>
      <c r="B53" s="24" t="inlineStr">
        <is>
          <t>2026-07-31T21:05:54.725871Z</t>
        </is>
      </c>
      <c r="C53" s="24" t="inlineStr">
        <is>
          <t>2026-07-31T23:07Z</t>
        </is>
      </c>
      <c r="D53" s="24" t="inlineStr">
        <is>
          <t>401816337</t>
        </is>
      </c>
      <c r="E53" s="24" t="inlineStr">
        <is>
          <t>MLB</t>
        </is>
      </c>
      <c r="F53" s="24" t="inlineStr">
        <is>
          <t>St. Louis Cardinals</t>
        </is>
      </c>
      <c r="G53" s="24" t="inlineStr">
        <is>
          <t>Toronto Blue Jays</t>
        </is>
      </c>
      <c r="H53" s="24" t="inlineStr">
        <is>
          <t>spread</t>
        </is>
      </c>
      <c r="I53" s="24" t="inlineStr">
        <is>
          <t>away</t>
        </is>
      </c>
      <c r="J53" s="25" t="n">
        <v>1.5</v>
      </c>
      <c r="K53" s="24" t="inlineStr">
        <is>
          <t>polymarket_us</t>
        </is>
      </c>
      <c r="L53" s="26" t="n">
        <v>-127</v>
      </c>
      <c r="M53" s="27" t="n">
        <v>1.787402</v>
      </c>
      <c r="N53" s="28" t="n">
        <v>0.5594710000000001</v>
      </c>
      <c r="O53" s="28" t="n">
        <v>0.548083</v>
      </c>
      <c r="P53" s="28" t="n">
        <v>0.042131</v>
      </c>
      <c r="Q53" s="28" t="n">
        <v>-0.011388</v>
      </c>
      <c r="R53" s="26" t="n">
        <v>19</v>
      </c>
      <c r="S53" s="29" t="n">
        <v>1</v>
      </c>
      <c r="T53" s="24" t="inlineStr">
        <is>
          <t>measured-edge-margin-v1</t>
        </is>
      </c>
      <c r="U53" s="24" t="inlineStr">
        <is>
          <t>settled</t>
        </is>
      </c>
      <c r="V53" s="24" t="inlineStr">
        <is>
          <t>loss</t>
        </is>
      </c>
      <c r="W53" s="26" t="n">
        <v>1</v>
      </c>
      <c r="X53" s="26" t="n">
        <v>3</v>
      </c>
      <c r="Y53" s="25" t="n">
        <v>1.5</v>
      </c>
      <c r="Z53" s="26" t="n">
        <v>-127</v>
      </c>
      <c r="AA53" s="28" t="n">
        <v>0.5600000000000001</v>
      </c>
      <c r="AB53" s="28" t="n">
        <v>0.000529</v>
      </c>
      <c r="AC53" s="30" t="n">
        <v>-1</v>
      </c>
      <c r="AD53" s="24" t="inlineStr">
        <is>
          <t>2026-08-01T03:00:02.581322Z</t>
        </is>
      </c>
      <c r="AE53" s="31" t="inlineStr">
        <is>
          <t>Measured Edge Margin: Trend Engine projected 3.92-4.35; raw selected-side p=0.6335, calibrated p=0.5481.</t>
        </is>
      </c>
      <c r="AF53" s="31" t="inlineStr">
        <is>
          <t>Research-only; lineup, bullpen, park, weather, xFIP, and wRC+ may be neutral fallbacks; market availability and BBO depth may change before first pitch.</t>
        </is>
      </c>
      <c r="AG53" s="24" t="inlineStr">
        <is>
          <t>review_required</t>
        </is>
      </c>
      <c r="AH53" s="24" t="n"/>
      <c r="AI53" s="31" t="n"/>
      <c r="AJ53" s="31" t="n"/>
      <c r="AK53" s="24" t="inlineStr">
        <is>
          <t>research_observation</t>
        </is>
      </c>
      <c r="AL53" s="26" t="n">
        <v>3</v>
      </c>
      <c r="AM53" s="24" t="inlineStr">
        <is>
          <t>RESEARCH_OBSERVATION</t>
        </is>
      </c>
      <c r="AN53" s="24" t="inlineStr">
        <is>
          <t>NO_CALL</t>
        </is>
      </c>
      <c r="AO53" s="24" t="inlineStr">
        <is>
          <t>NO_CALL_MODEL_UNVALIDATED</t>
        </is>
      </c>
      <c r="AP53" s="24" t="inlineStr">
        <is>
          <t>mlb-stl</t>
        </is>
      </c>
      <c r="AQ53" s="24" t="inlineStr">
        <is>
          <t>St. Louis Cardinals</t>
        </is>
      </c>
      <c r="AR53" s="24" t="inlineStr">
        <is>
          <t>St. Louis Cardinals</t>
        </is>
      </c>
      <c r="AS53" s="24" t="inlineStr">
        <is>
          <t>mlb-tor</t>
        </is>
      </c>
      <c r="AT53" s="24" t="inlineStr">
        <is>
          <t>Toronto Blue Jays</t>
        </is>
      </c>
      <c r="AU53" s="24" t="inlineStr">
        <is>
          <t>Toronto Blue Jays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research</t>
        </is>
      </c>
      <c r="BA53" s="24" t="inlineStr">
        <is>
          <t>2bc2ce55b0d39a20103f724bbddbde5394909acd49297f52665b596a0ae3ae8b</t>
        </is>
      </c>
      <c r="BB53" s="24" t="inlineStr">
        <is>
          <t>flat_probability_shrinkage_toward_half</t>
        </is>
      </c>
      <c r="BC53" s="24" t="inlineStr">
        <is>
          <t>measured-edge-margin-v1</t>
        </is>
      </c>
      <c r="BD53" s="24" t="inlineStr">
        <is>
          <t>2bc2ce55b0d39a20103f724bbddbde5394909acd49297f52665b596a0ae3ae8b</t>
        </is>
      </c>
      <c r="BE53" s="24" t="inlineStr">
        <is>
          <t>v3</t>
        </is>
      </c>
      <c r="BF53" s="24" t="inlineStr">
        <is>
          <t>1</t>
        </is>
      </c>
      <c r="BG53" s="24" t="inlineStr">
        <is>
          <t>measured-edge-paired-v1</t>
        </is>
      </c>
      <c r="BH53" s="24" t="inlineStr">
        <is>
          <t>2026-07-31T21:05:54.725871Z</t>
        </is>
      </c>
      <c r="BI53" s="24" t="inlineStr">
        <is>
          <t>["same_event","same_team_same_day","same_league_same_day"]</t>
        </is>
      </c>
      <c r="BJ53" s="25" t="n">
        <v>1.5</v>
      </c>
      <c r="BK53" s="26" t="n">
        <v>-127</v>
      </c>
      <c r="BL53" s="27" t="n">
        <v>1.787402</v>
      </c>
      <c r="BM53" s="28" t="n">
        <v>0.5594710000000001</v>
      </c>
      <c r="BN53" s="28" t="n">
        <v>0.557214</v>
      </c>
      <c r="BO53" s="28" t="n"/>
      <c r="BP53" s="25" t="n"/>
      <c r="BQ53" s="27" t="n">
        <v>1.787402</v>
      </c>
      <c r="BR53" s="28" t="n">
        <v>0.5600000000000001</v>
      </c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</row>
    <row r="54" ht="36" customHeight="1">
      <c r="A54" s="24" t="inlineStr">
        <is>
          <t>4618ba2b0f49412e</t>
        </is>
      </c>
      <c r="B54" s="24" t="inlineStr">
        <is>
          <t>2026-07-31T21:05:54.725871Z</t>
        </is>
      </c>
      <c r="C54" s="24" t="inlineStr">
        <is>
          <t>2026-07-31T23:07Z</t>
        </is>
      </c>
      <c r="D54" s="24" t="inlineStr">
        <is>
          <t>401816337</t>
        </is>
      </c>
      <c r="E54" s="24" t="inlineStr">
        <is>
          <t>MLB</t>
        </is>
      </c>
      <c r="F54" s="24" t="inlineStr">
        <is>
          <t>St. Louis Cardinals</t>
        </is>
      </c>
      <c r="G54" s="24" t="inlineStr">
        <is>
          <t>Toronto Blue Jays</t>
        </is>
      </c>
      <c r="H54" s="24" t="inlineStr">
        <is>
          <t>total</t>
        </is>
      </c>
      <c r="I54" s="24" t="inlineStr">
        <is>
          <t>over</t>
        </is>
      </c>
      <c r="J54" s="25" t="n">
        <v>7.5</v>
      </c>
      <c r="K54" s="24" t="inlineStr">
        <is>
          <t>polymarket_us</t>
        </is>
      </c>
      <c r="L54" s="26" t="n">
        <v>102</v>
      </c>
      <c r="M54" s="27" t="n">
        <v>2.02</v>
      </c>
      <c r="N54" s="28" t="n">
        <v>0.49505</v>
      </c>
      <c r="O54" s="28" t="n">
        <v>0.508948</v>
      </c>
      <c r="P54" s="28" t="n">
        <v>0.042131</v>
      </c>
      <c r="Q54" s="28" t="n">
        <v>0.013898</v>
      </c>
      <c r="R54" s="26" t="n">
        <v>32</v>
      </c>
      <c r="S54" s="29" t="n">
        <v>1</v>
      </c>
      <c r="T54" s="24" t="inlineStr">
        <is>
          <t>measured-edge-totals-v1</t>
        </is>
      </c>
      <c r="U54" s="24" t="inlineStr">
        <is>
          <t>settled</t>
        </is>
      </c>
      <c r="V54" s="24" t="inlineStr">
        <is>
          <t>loss</t>
        </is>
      </c>
      <c r="W54" s="26" t="n">
        <v>1</v>
      </c>
      <c r="X54" s="26" t="n">
        <v>3</v>
      </c>
      <c r="Y54" s="25" t="n">
        <v>7.5</v>
      </c>
      <c r="Z54" s="26" t="n">
        <v>102</v>
      </c>
      <c r="AA54" s="28" t="n">
        <v>0.495</v>
      </c>
      <c r="AB54" s="28" t="n">
        <v>-5e-05</v>
      </c>
      <c r="AC54" s="30" t="n">
        <v>-1</v>
      </c>
      <c r="AD54" s="24" t="inlineStr">
        <is>
          <t>2026-08-01T03:00:02.903756Z</t>
        </is>
      </c>
      <c r="AE54" s="31" t="inlineStr">
        <is>
          <t>Measured Edge Totals: Trend Engine projected 3.92-4.35; raw selected-side p=0.5252, calibrated p=0.5089.</t>
        </is>
      </c>
      <c r="AF54" s="31" t="inlineStr">
        <is>
          <t>Research-only; lineup, bullpen, park, weather, xFIP, and wRC+ may be neutral fallbacks; market availability and BBO depth may change before first pitch.</t>
        </is>
      </c>
      <c r="AG54" s="24" t="inlineStr">
        <is>
          <t>review_required</t>
        </is>
      </c>
      <c r="AH54" s="24" t="n"/>
      <c r="AI54" s="31" t="n"/>
      <c r="AJ54" s="31" t="n"/>
      <c r="AK54" s="24" t="inlineStr">
        <is>
          <t>research_observation</t>
        </is>
      </c>
      <c r="AL54" s="26" t="n">
        <v>3</v>
      </c>
      <c r="AM54" s="24" t="inlineStr">
        <is>
          <t>RESEARCH_OBSERVATION</t>
        </is>
      </c>
      <c r="AN54" s="24" t="inlineStr">
        <is>
          <t>NO_CALL</t>
        </is>
      </c>
      <c r="AO54" s="24" t="inlineStr">
        <is>
          <t>NO_CALL_MODEL_UNVALIDATED</t>
        </is>
      </c>
      <c r="AP54" s="24" t="inlineStr">
        <is>
          <t>mlb-stl</t>
        </is>
      </c>
      <c r="AQ54" s="24" t="inlineStr">
        <is>
          <t>St. Louis Cardinals</t>
        </is>
      </c>
      <c r="AR54" s="24" t="inlineStr">
        <is>
          <t>St. Louis Cardinals</t>
        </is>
      </c>
      <c r="AS54" s="24" t="inlineStr">
        <is>
          <t>mlb-tor</t>
        </is>
      </c>
      <c r="AT54" s="24" t="inlineStr">
        <is>
          <t>Toronto Blue Jays</t>
        </is>
      </c>
      <c r="AU54" s="24" t="inlineStr">
        <is>
          <t>Toronto Blue Jays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research</t>
        </is>
      </c>
      <c r="BA54" s="24" t="inlineStr">
        <is>
          <t>cbc2c9bf5a9569a49e1902c816d96556d704cf10819ca3a9e927721685757d0b</t>
        </is>
      </c>
      <c r="BB54" s="24" t="inlineStr">
        <is>
          <t>flat_probability_shrinkage_toward_half</t>
        </is>
      </c>
      <c r="BC54" s="24" t="inlineStr">
        <is>
          <t>measured-edge-totals-v1</t>
        </is>
      </c>
      <c r="BD54" s="24" t="inlineStr">
        <is>
          <t>cbc2c9bf5a9569a49e1902c816d96556d704cf10819ca3a9e927721685757d0b</t>
        </is>
      </c>
      <c r="BE54" s="24" t="inlineStr">
        <is>
          <t>v3</t>
        </is>
      </c>
      <c r="BF54" s="24" t="inlineStr">
        <is>
          <t>1</t>
        </is>
      </c>
      <c r="BG54" s="24" t="inlineStr">
        <is>
          <t>measured-edge-paired-v1</t>
        </is>
      </c>
      <c r="BH54" s="24" t="inlineStr">
        <is>
          <t>2026-07-31T21:05:54.725871Z</t>
        </is>
      </c>
      <c r="BI54" s="24" t="inlineStr">
        <is>
          <t>["same_event","same_team_same_day","same_league_same_day"]</t>
        </is>
      </c>
      <c r="BJ54" s="25" t="n">
        <v>7.5</v>
      </c>
      <c r="BK54" s="26" t="n">
        <v>102</v>
      </c>
      <c r="BL54" s="27" t="n">
        <v>2.02</v>
      </c>
      <c r="BM54" s="28" t="n">
        <v>0.49505</v>
      </c>
      <c r="BN54" s="28" t="n">
        <v>0.492537</v>
      </c>
      <c r="BO54" s="28" t="n"/>
      <c r="BP54" s="25" t="n"/>
      <c r="BQ54" s="27" t="n">
        <v>2.02</v>
      </c>
      <c r="BR54" s="28" t="n">
        <v>0.495</v>
      </c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</row>
    <row r="55" ht="36" customHeight="1">
      <c r="A55" s="24" t="inlineStr">
        <is>
          <t>f193d89f2b5b4630</t>
        </is>
      </c>
      <c r="B55" s="24" t="inlineStr">
        <is>
          <t>2026-07-31T21:05:54.725871Z</t>
        </is>
      </c>
      <c r="C55" s="24" t="inlineStr">
        <is>
          <t>2026-07-31T23:10Z</t>
        </is>
      </c>
      <c r="D55" s="24" t="inlineStr">
        <is>
          <t>401816332</t>
        </is>
      </c>
      <c r="E55" s="24" t="inlineStr">
        <is>
          <t>MLB</t>
        </is>
      </c>
      <c r="F55" s="24" t="inlineStr">
        <is>
          <t>Arizona Diamondbacks</t>
        </is>
      </c>
      <c r="G55" s="24" t="inlineStr">
        <is>
          <t>Cleveland Guardians</t>
        </is>
      </c>
      <c r="H55" s="24" t="inlineStr">
        <is>
          <t>spread</t>
        </is>
      </c>
      <c r="I55" s="24" t="inlineStr">
        <is>
          <t>away</t>
        </is>
      </c>
      <c r="J55" s="25" t="n">
        <v>1.5</v>
      </c>
      <c r="K55" s="24" t="inlineStr">
        <is>
          <t>polymarket_us</t>
        </is>
      </c>
      <c r="L55" s="26" t="n">
        <v>-163</v>
      </c>
      <c r="M55" s="27" t="n">
        <v>1.613497</v>
      </c>
      <c r="N55" s="28" t="n">
        <v>0.619772</v>
      </c>
      <c r="O55" s="28" t="n">
        <v>0.546432</v>
      </c>
      <c r="P55" s="28" t="n">
        <v>0.05172</v>
      </c>
      <c r="Q55" s="28" t="n">
        <v>-0.07334</v>
      </c>
      <c r="R55" s="26" t="n">
        <v>0</v>
      </c>
      <c r="S55" s="29" t="n">
        <v>1</v>
      </c>
      <c r="T55" s="24" t="inlineStr">
        <is>
          <t>measured-edge-margin-v1</t>
        </is>
      </c>
      <c r="U55" s="24" t="inlineStr">
        <is>
          <t>settled</t>
        </is>
      </c>
      <c r="V55" s="24" t="inlineStr">
        <is>
          <t>win</t>
        </is>
      </c>
      <c r="W55" s="26" t="n">
        <v>4</v>
      </c>
      <c r="X55" s="26" t="n">
        <v>1</v>
      </c>
      <c r="Y55" s="25" t="n">
        <v>1.5</v>
      </c>
      <c r="Z55" s="26" t="n">
        <v>-163</v>
      </c>
      <c r="AA55" s="28" t="n">
        <v>0.62</v>
      </c>
      <c r="AB55" s="28" t="n">
        <v>0.000228</v>
      </c>
      <c r="AC55" s="30" t="n">
        <v>0.6135</v>
      </c>
      <c r="AD55" s="24" t="inlineStr">
        <is>
          <t>2026-08-01T03:00:03.185273Z</t>
        </is>
      </c>
      <c r="AE55" s="31" t="inlineStr">
        <is>
          <t>Measured Edge Margin: Trend Engine projected 4.51-4.92; raw selected-side p=0.6251, calibrated p=0.5464.</t>
        </is>
      </c>
      <c r="AF55" s="31" t="inlineStr">
        <is>
          <t>Research-only; lineup, bullpen, park, weather, xFIP, and wRC+ may be neutral fallbacks; market availability and BBO depth may change before first pitch.</t>
        </is>
      </c>
      <c r="AG55" s="24" t="inlineStr">
        <is>
          <t>not_applicable</t>
        </is>
      </c>
      <c r="AH55" s="24" t="n"/>
      <c r="AI55" s="31" t="n"/>
      <c r="AJ55" s="31" t="n"/>
      <c r="AK55" s="24" t="inlineStr">
        <is>
          <t>research_observation</t>
        </is>
      </c>
      <c r="AL55" s="26" t="n">
        <v>3</v>
      </c>
      <c r="AM55" s="24" t="inlineStr">
        <is>
          <t>RESEARCH_OBSERVATION</t>
        </is>
      </c>
      <c r="AN55" s="24" t="inlineStr">
        <is>
          <t>NO_CALL</t>
        </is>
      </c>
      <c r="AO55" s="24" t="inlineStr">
        <is>
          <t>NO_CALL_MODEL_UNVALIDATED</t>
        </is>
      </c>
      <c r="AP55" s="24" t="inlineStr">
        <is>
          <t>mlb-ari</t>
        </is>
      </c>
      <c r="AQ55" s="24" t="inlineStr">
        <is>
          <t>Arizona Diamondbacks</t>
        </is>
      </c>
      <c r="AR55" s="24" t="inlineStr">
        <is>
          <t>Arizona Diamondbacks</t>
        </is>
      </c>
      <c r="AS55" s="24" t="inlineStr">
        <is>
          <t>mlb-cle</t>
        </is>
      </c>
      <c r="AT55" s="24" t="inlineStr">
        <is>
          <t>Cleveland Guardians</t>
        </is>
      </c>
      <c r="AU55" s="24" t="inlineStr">
        <is>
          <t>Cleveland Guardians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research</t>
        </is>
      </c>
      <c r="BA55" s="24" t="inlineStr">
        <is>
          <t>2bc2ce55b0d39a20103f724bbddbde5394909acd49297f52665b596a0ae3ae8b</t>
        </is>
      </c>
      <c r="BB55" s="24" t="inlineStr">
        <is>
          <t>flat_probability_shrinkage_toward_half</t>
        </is>
      </c>
      <c r="BC55" s="24" t="inlineStr">
        <is>
          <t>measured-edge-margin-v1</t>
        </is>
      </c>
      <c r="BD55" s="24" t="inlineStr">
        <is>
          <t>2bc2ce55b0d39a20103f724bbddbde5394909acd49297f52665b596a0ae3ae8b</t>
        </is>
      </c>
      <c r="BE55" s="24" t="inlineStr">
        <is>
          <t>v3</t>
        </is>
      </c>
      <c r="BF55" s="24" t="inlineStr">
        <is>
          <t>1</t>
        </is>
      </c>
      <c r="BG55" s="24" t="inlineStr">
        <is>
          <t>measured-edge-paired-v1</t>
        </is>
      </c>
      <c r="BH55" s="24" t="inlineStr">
        <is>
          <t>2026-07-31T21:05:54.725871Z</t>
        </is>
      </c>
      <c r="BI55" s="24" t="inlineStr">
        <is>
          <t>["same_event","same_team_same_day","same_league_same_day"]</t>
        </is>
      </c>
      <c r="BJ55" s="25" t="n">
        <v>1.5</v>
      </c>
      <c r="BK55" s="26" t="n">
        <v>-163</v>
      </c>
      <c r="BL55" s="27" t="n">
        <v>1.613497</v>
      </c>
      <c r="BM55" s="28" t="n">
        <v>0.619772</v>
      </c>
      <c r="BN55" s="28" t="n">
        <v>0.616915</v>
      </c>
      <c r="BO55" s="28" t="n"/>
      <c r="BP55" s="25" t="n"/>
      <c r="BQ55" s="27" t="n">
        <v>1.613497</v>
      </c>
      <c r="BR55" s="28" t="n">
        <v>0.62</v>
      </c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</row>
    <row r="56" ht="36" customHeight="1">
      <c r="A56" s="24" t="inlineStr">
        <is>
          <t>e8536835105045af</t>
        </is>
      </c>
      <c r="B56" s="24" t="inlineStr">
        <is>
          <t>2026-07-31T21:05:54.725871Z</t>
        </is>
      </c>
      <c r="C56" s="24" t="inlineStr">
        <is>
          <t>2026-07-31T23:10Z</t>
        </is>
      </c>
      <c r="D56" s="24" t="inlineStr">
        <is>
          <t>401816332</t>
        </is>
      </c>
      <c r="E56" s="24" t="inlineStr">
        <is>
          <t>MLB</t>
        </is>
      </c>
      <c r="F56" s="24" t="inlineStr">
        <is>
          <t>Arizona Diamondbacks</t>
        </is>
      </c>
      <c r="G56" s="24" t="inlineStr">
        <is>
          <t>Cleveland Guardians</t>
        </is>
      </c>
      <c r="H56" s="24" t="inlineStr">
        <is>
          <t>total</t>
        </is>
      </c>
      <c r="I56" s="24" t="inlineStr">
        <is>
          <t>over</t>
        </is>
      </c>
      <c r="J56" s="25" t="n">
        <v>8.5</v>
      </c>
      <c r="K56" s="24" t="inlineStr">
        <is>
          <t>polymarket_us</t>
        </is>
      </c>
      <c r="L56" s="26" t="n">
        <v>-108</v>
      </c>
      <c r="M56" s="27" t="n">
        <v>1.925926</v>
      </c>
      <c r="N56" s="28" t="n">
        <v>0.519231</v>
      </c>
      <c r="O56" s="28" t="n">
        <v>0.532618</v>
      </c>
      <c r="P56" s="28" t="n">
        <v>0.05172</v>
      </c>
      <c r="Q56" s="28" t="n">
        <v>0.013387</v>
      </c>
      <c r="R56" s="26" t="n">
        <v>26</v>
      </c>
      <c r="S56" s="29" t="n">
        <v>1</v>
      </c>
      <c r="T56" s="24" t="inlineStr">
        <is>
          <t>measured-edge-totals-v1</t>
        </is>
      </c>
      <c r="U56" s="24" t="inlineStr">
        <is>
          <t>settled</t>
        </is>
      </c>
      <c r="V56" s="24" t="inlineStr">
        <is>
          <t>loss</t>
        </is>
      </c>
      <c r="W56" s="26" t="n">
        <v>4</v>
      </c>
      <c r="X56" s="26" t="n">
        <v>1</v>
      </c>
      <c r="Y56" s="25" t="n">
        <v>8.5</v>
      </c>
      <c r="Z56" s="26" t="n">
        <v>-108</v>
      </c>
      <c r="AA56" s="28" t="n">
        <v>0.52</v>
      </c>
      <c r="AB56" s="28" t="n">
        <v>0.000769</v>
      </c>
      <c r="AC56" s="30" t="n">
        <v>-1</v>
      </c>
      <c r="AD56" s="24" t="inlineStr">
        <is>
          <t>2026-08-01T03:00:03.468829Z</t>
        </is>
      </c>
      <c r="AE56" s="31" t="inlineStr">
        <is>
          <t>Measured Edge Totals: Trend Engine projected 4.51-4.92; raw selected-side p=0.5495, calibrated p=0.5326.</t>
        </is>
      </c>
      <c r="AF56" s="31" t="inlineStr">
        <is>
          <t>Research-only; lineup, bullpen, park, weather, xFIP, and wRC+ may be neutral fallbacks; market availability and BBO depth may change before first pitch.</t>
        </is>
      </c>
      <c r="AG56" s="24" t="inlineStr">
        <is>
          <t>review_required</t>
        </is>
      </c>
      <c r="AH56" s="24" t="n"/>
      <c r="AI56" s="31" t="n"/>
      <c r="AJ56" s="31" t="n"/>
      <c r="AK56" s="24" t="inlineStr">
        <is>
          <t>research_observation</t>
        </is>
      </c>
      <c r="AL56" s="26" t="n">
        <v>3</v>
      </c>
      <c r="AM56" s="24" t="inlineStr">
        <is>
          <t>RESEARCH_OBSERVATION</t>
        </is>
      </c>
      <c r="AN56" s="24" t="inlineStr">
        <is>
          <t>NO_CALL</t>
        </is>
      </c>
      <c r="AO56" s="24" t="inlineStr">
        <is>
          <t>NO_CALL_MODEL_UNVALIDATED</t>
        </is>
      </c>
      <c r="AP56" s="24" t="inlineStr">
        <is>
          <t>mlb-ari</t>
        </is>
      </c>
      <c r="AQ56" s="24" t="inlineStr">
        <is>
          <t>Arizona Diamondbacks</t>
        </is>
      </c>
      <c r="AR56" s="24" t="inlineStr">
        <is>
          <t>Arizona Diamondbacks</t>
        </is>
      </c>
      <c r="AS56" s="24" t="inlineStr">
        <is>
          <t>mlb-cle</t>
        </is>
      </c>
      <c r="AT56" s="24" t="inlineStr">
        <is>
          <t>Cleveland Guardians</t>
        </is>
      </c>
      <c r="AU56" s="24" t="inlineStr">
        <is>
          <t>Cleveland Guardians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research</t>
        </is>
      </c>
      <c r="BA56" s="24" t="inlineStr">
        <is>
          <t>cbc2c9bf5a9569a49e1902c816d96556d704cf10819ca3a9e927721685757d0b</t>
        </is>
      </c>
      <c r="BB56" s="24" t="inlineStr">
        <is>
          <t>flat_probability_shrinkage_toward_half</t>
        </is>
      </c>
      <c r="BC56" s="24" t="inlineStr">
        <is>
          <t>measured-edge-totals-v1</t>
        </is>
      </c>
      <c r="BD56" s="24" t="inlineStr">
        <is>
          <t>cbc2c9bf5a9569a49e1902c816d96556d704cf10819ca3a9e927721685757d0b</t>
        </is>
      </c>
      <c r="BE56" s="24" t="inlineStr">
        <is>
          <t>v3</t>
        </is>
      </c>
      <c r="BF56" s="24" t="inlineStr">
        <is>
          <t>1</t>
        </is>
      </c>
      <c r="BG56" s="24" t="inlineStr">
        <is>
          <t>measured-edge-paired-v1</t>
        </is>
      </c>
      <c r="BH56" s="24" t="inlineStr">
        <is>
          <t>2026-07-31T21:05:54.725871Z</t>
        </is>
      </c>
      <c r="BI56" s="24" t="inlineStr">
        <is>
          <t>["same_event","same_team_same_day","same_league_same_day"]</t>
        </is>
      </c>
      <c r="BJ56" s="25" t="n">
        <v>8.5</v>
      </c>
      <c r="BK56" s="26" t="n">
        <v>-108</v>
      </c>
      <c r="BL56" s="27" t="n">
        <v>1.925926</v>
      </c>
      <c r="BM56" s="28" t="n">
        <v>0.519231</v>
      </c>
      <c r="BN56" s="28" t="n">
        <v>0.517413</v>
      </c>
      <c r="BO56" s="28" t="n"/>
      <c r="BP56" s="25" t="n"/>
      <c r="BQ56" s="27" t="n">
        <v>1.925926</v>
      </c>
      <c r="BR56" s="28" t="n">
        <v>0.52</v>
      </c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</row>
    <row r="57" ht="36" customHeight="1">
      <c r="A57" s="24" t="inlineStr">
        <is>
          <t>fea60726d7dd4e66</t>
        </is>
      </c>
      <c r="B57" s="24" t="inlineStr">
        <is>
          <t>2026-07-31T21:05:54.725871Z</t>
        </is>
      </c>
      <c r="C57" s="24" t="inlineStr">
        <is>
          <t>2026-07-31T23:10Z</t>
        </is>
      </c>
      <c r="D57" s="24" t="inlineStr">
        <is>
          <t>401816333</t>
        </is>
      </c>
      <c r="E57" s="24" t="inlineStr">
        <is>
          <t>MLB</t>
        </is>
      </c>
      <c r="F57" s="24" t="inlineStr">
        <is>
          <t>Chicago White Sox</t>
        </is>
      </c>
      <c r="G57" s="24" t="inlineStr">
        <is>
          <t>Tampa Bay Rays</t>
        </is>
      </c>
      <c r="H57" s="24" t="inlineStr">
        <is>
          <t>spread</t>
        </is>
      </c>
      <c r="I57" s="24" t="inlineStr">
        <is>
          <t>away</t>
        </is>
      </c>
      <c r="J57" s="25" t="n">
        <v>1.5</v>
      </c>
      <c r="K57" s="24" t="inlineStr">
        <is>
          <t>polymarket_us</t>
        </is>
      </c>
      <c r="L57" s="26" t="n">
        <v>-163</v>
      </c>
      <c r="M57" s="27" t="n">
        <v>1.613497</v>
      </c>
      <c r="N57" s="28" t="n">
        <v>0.619772</v>
      </c>
      <c r="O57" s="28" t="n">
        <v>0.5435140000000001</v>
      </c>
      <c r="P57" s="28" t="n">
        <v>0.042131</v>
      </c>
      <c r="Q57" s="28" t="n">
        <v>-0.07625800000000001</v>
      </c>
      <c r="R57" s="26" t="n">
        <v>0</v>
      </c>
      <c r="S57" s="29" t="n">
        <v>1</v>
      </c>
      <c r="T57" s="24" t="inlineStr">
        <is>
          <t>measured-edge-margin-v1</t>
        </is>
      </c>
      <c r="U57" s="24" t="inlineStr">
        <is>
          <t>settled</t>
        </is>
      </c>
      <c r="V57" s="24" t="inlineStr">
        <is>
          <t>win</t>
        </is>
      </c>
      <c r="W57" s="26" t="n">
        <v>6</v>
      </c>
      <c r="X57" s="26" t="n">
        <v>1</v>
      </c>
      <c r="Y57" s="25" t="n">
        <v>1.5</v>
      </c>
      <c r="Z57" s="26" t="n">
        <v>-163</v>
      </c>
      <c r="AA57" s="28" t="n">
        <v>0.62</v>
      </c>
      <c r="AB57" s="28" t="n">
        <v>0.000228</v>
      </c>
      <c r="AC57" s="30" t="n">
        <v>0.6135</v>
      </c>
      <c r="AD57" s="24" t="inlineStr">
        <is>
          <t>2026-08-01T03:00:03.755966Z</t>
        </is>
      </c>
      <c r="AE57" s="31" t="inlineStr">
        <is>
          <t>Measured Edge Margin: Trend Engine projected 4.01-4.68; raw selected-side p=0.6102, calibrated p=0.5435.</t>
        </is>
      </c>
      <c r="AF57" s="31" t="inlineStr">
        <is>
          <t>Research-only; lineup, bullpen, park, weather, xFIP, and wRC+ may be neutral fallbacks; market availability and BBO depth may change before first pitch.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research_observation</t>
        </is>
      </c>
      <c r="AL57" s="26" t="n">
        <v>3</v>
      </c>
      <c r="AM57" s="24" t="inlineStr">
        <is>
          <t>RESEARCH_OBSERVATION</t>
        </is>
      </c>
      <c r="AN57" s="24" t="inlineStr">
        <is>
          <t>NO_CALL</t>
        </is>
      </c>
      <c r="AO57" s="24" t="inlineStr">
        <is>
          <t>NO_CALL_MODEL_UNVALIDATED</t>
        </is>
      </c>
      <c r="AP57" s="24" t="inlineStr">
        <is>
          <t>mlb-cws</t>
        </is>
      </c>
      <c r="AQ57" s="24" t="inlineStr">
        <is>
          <t>Chicago White Sox</t>
        </is>
      </c>
      <c r="AR57" s="24" t="inlineStr">
        <is>
          <t>Chicago White Sox</t>
        </is>
      </c>
      <c r="AS57" s="24" t="inlineStr">
        <is>
          <t>mlb-tb</t>
        </is>
      </c>
      <c r="AT57" s="24" t="inlineStr">
        <is>
          <t>Tampa Bay Rays</t>
        </is>
      </c>
      <c r="AU57" s="24" t="inlineStr">
        <is>
          <t>Tampa Bay Rays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research</t>
        </is>
      </c>
      <c r="BA57" s="24" t="inlineStr">
        <is>
          <t>2bc2ce55b0d39a20103f724bbddbde5394909acd49297f52665b596a0ae3ae8b</t>
        </is>
      </c>
      <c r="BB57" s="24" t="inlineStr">
        <is>
          <t>flat_probability_shrinkage_toward_half</t>
        </is>
      </c>
      <c r="BC57" s="24" t="inlineStr">
        <is>
          <t>measured-edge-margin-v1</t>
        </is>
      </c>
      <c r="BD57" s="24" t="inlineStr">
        <is>
          <t>2bc2ce55b0d39a20103f724bbddbde5394909acd49297f52665b596a0ae3ae8b</t>
        </is>
      </c>
      <c r="BE57" s="24" t="inlineStr">
        <is>
          <t>v3</t>
        </is>
      </c>
      <c r="BF57" s="24" t="inlineStr">
        <is>
          <t>1</t>
        </is>
      </c>
      <c r="BG57" s="24" t="inlineStr">
        <is>
          <t>measured-edge-paired-v1</t>
        </is>
      </c>
      <c r="BH57" s="24" t="inlineStr">
        <is>
          <t>2026-07-31T21:05:54.725871Z</t>
        </is>
      </c>
      <c r="BI57" s="24" t="inlineStr">
        <is>
          <t>["same_event","same_team_same_day","same_league_same_day"]</t>
        </is>
      </c>
      <c r="BJ57" s="25" t="n">
        <v>1.5</v>
      </c>
      <c r="BK57" s="26" t="n">
        <v>-163</v>
      </c>
      <c r="BL57" s="27" t="n">
        <v>1.613497</v>
      </c>
      <c r="BM57" s="28" t="n">
        <v>0.619772</v>
      </c>
      <c r="BN57" s="28" t="n">
        <v>0.616915</v>
      </c>
      <c r="BO57" s="28" t="n"/>
      <c r="BP57" s="25" t="n"/>
      <c r="BQ57" s="27" t="n">
        <v>1.613497</v>
      </c>
      <c r="BR57" s="28" t="n">
        <v>0.62</v>
      </c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</row>
    <row r="58" ht="36" customHeight="1">
      <c r="A58" s="24" t="inlineStr">
        <is>
          <t>a00561c8b55b4b36</t>
        </is>
      </c>
      <c r="B58" s="24" t="inlineStr">
        <is>
          <t>2026-07-31T21:05:54.725871Z</t>
        </is>
      </c>
      <c r="C58" s="24" t="inlineStr">
        <is>
          <t>2026-07-31T23:10Z</t>
        </is>
      </c>
      <c r="D58" s="24" t="inlineStr">
        <is>
          <t>401816333</t>
        </is>
      </c>
      <c r="E58" s="24" t="inlineStr">
        <is>
          <t>MLB</t>
        </is>
      </c>
      <c r="F58" s="24" t="inlineStr">
        <is>
          <t>Chicago White Sox</t>
        </is>
      </c>
      <c r="G58" s="24" t="inlineStr">
        <is>
          <t>Tampa Bay Rays</t>
        </is>
      </c>
      <c r="H58" s="24" t="inlineStr">
        <is>
          <t>total</t>
        </is>
      </c>
      <c r="I58" s="24" t="inlineStr">
        <is>
          <t>under</t>
        </is>
      </c>
      <c r="J58" s="25" t="n">
        <v>8.5</v>
      </c>
      <c r="K58" s="24" t="inlineStr">
        <is>
          <t>polymarket_us</t>
        </is>
      </c>
      <c r="L58" s="26" t="n">
        <v>-111</v>
      </c>
      <c r="M58" s="27" t="n">
        <v>1.900901</v>
      </c>
      <c r="N58" s="28" t="n">
        <v>0.526066</v>
      </c>
      <c r="O58" s="28" t="n">
        <v>0.499878</v>
      </c>
      <c r="P58" s="28" t="n">
        <v>0.042131</v>
      </c>
      <c r="Q58" s="28" t="n">
        <v>-0.026188</v>
      </c>
      <c r="R58" s="26" t="n">
        <v>12</v>
      </c>
      <c r="S58" s="29" t="n">
        <v>1</v>
      </c>
      <c r="T58" s="24" t="inlineStr">
        <is>
          <t>measured-edge-totals-v1</t>
        </is>
      </c>
      <c r="U58" s="24" t="inlineStr">
        <is>
          <t>settled</t>
        </is>
      </c>
      <c r="V58" s="24" t="inlineStr">
        <is>
          <t>win</t>
        </is>
      </c>
      <c r="W58" s="26" t="n">
        <v>6</v>
      </c>
      <c r="X58" s="26" t="n">
        <v>1</v>
      </c>
      <c r="Y58" s="25" t="n">
        <v>8.5</v>
      </c>
      <c r="Z58" s="26" t="n">
        <v>-111</v>
      </c>
      <c r="AA58" s="28" t="n">
        <v>0.525</v>
      </c>
      <c r="AB58" s="28" t="n">
        <v>-0.001066</v>
      </c>
      <c r="AC58" s="30" t="n">
        <v>0.9009</v>
      </c>
      <c r="AD58" s="24" t="inlineStr">
        <is>
          <t>2026-08-01T03:00:04.037663Z</t>
        </is>
      </c>
      <c r="AE58" s="31" t="inlineStr">
        <is>
          <t>Measured Edge Totals: Trend Engine projected 4.01-4.68; raw selected-side p=0.5158, calibrated p=0.4999.</t>
        </is>
      </c>
      <c r="AF58" s="31" t="inlineStr">
        <is>
          <t>Research-only; lineup, bullpen, park, weather, xFIP, and wRC+ may be neutral fallbacks; market availability and BBO depth may change before first pitch.</t>
        </is>
      </c>
      <c r="AG58" s="24" t="inlineStr">
        <is>
          <t>not_applicable</t>
        </is>
      </c>
      <c r="AH58" s="24" t="n"/>
      <c r="AI58" s="31" t="n"/>
      <c r="AJ58" s="31" t="n"/>
      <c r="AK58" s="24" t="inlineStr">
        <is>
          <t>research_observation</t>
        </is>
      </c>
      <c r="AL58" s="26" t="n">
        <v>3</v>
      </c>
      <c r="AM58" s="24" t="inlineStr">
        <is>
          <t>RESEARCH_OBSERVATION</t>
        </is>
      </c>
      <c r="AN58" s="24" t="inlineStr">
        <is>
          <t>NO_CALL</t>
        </is>
      </c>
      <c r="AO58" s="24" t="inlineStr">
        <is>
          <t>NO_CALL_MODEL_UNVALIDATED</t>
        </is>
      </c>
      <c r="AP58" s="24" t="inlineStr">
        <is>
          <t>mlb-cws</t>
        </is>
      </c>
      <c r="AQ58" s="24" t="inlineStr">
        <is>
          <t>Chicago White Sox</t>
        </is>
      </c>
      <c r="AR58" s="24" t="inlineStr">
        <is>
          <t>Chicago White Sox</t>
        </is>
      </c>
      <c r="AS58" s="24" t="inlineStr">
        <is>
          <t>mlb-tb</t>
        </is>
      </c>
      <c r="AT58" s="24" t="inlineStr">
        <is>
          <t>Tampa Bay Rays</t>
        </is>
      </c>
      <c r="AU58" s="24" t="inlineStr">
        <is>
          <t>Tampa Bay Rays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research</t>
        </is>
      </c>
      <c r="BA58" s="24" t="inlineStr">
        <is>
          <t>cbc2c9bf5a9569a49e1902c816d96556d704cf10819ca3a9e927721685757d0b</t>
        </is>
      </c>
      <c r="BB58" s="24" t="inlineStr">
        <is>
          <t>flat_probability_shrinkage_toward_half</t>
        </is>
      </c>
      <c r="BC58" s="24" t="inlineStr">
        <is>
          <t>measured-edge-totals-v1</t>
        </is>
      </c>
      <c r="BD58" s="24" t="inlineStr">
        <is>
          <t>cbc2c9bf5a9569a49e1902c816d96556d704cf10819ca3a9e927721685757d0b</t>
        </is>
      </c>
      <c r="BE58" s="24" t="inlineStr">
        <is>
          <t>v3</t>
        </is>
      </c>
      <c r="BF58" s="24" t="inlineStr">
        <is>
          <t>1</t>
        </is>
      </c>
      <c r="BG58" s="24" t="inlineStr">
        <is>
          <t>measured-edge-paired-v1</t>
        </is>
      </c>
      <c r="BH58" s="24" t="inlineStr">
        <is>
          <t>2026-07-31T21:05:54.725871Z</t>
        </is>
      </c>
      <c r="BI58" s="24" t="inlineStr">
        <is>
          <t>["same_event","same_team_same_day","same_league_same_day"]</t>
        </is>
      </c>
      <c r="BJ58" s="25" t="n">
        <v>8.5</v>
      </c>
      <c r="BK58" s="26" t="n">
        <v>-111</v>
      </c>
      <c r="BL58" s="27" t="n">
        <v>1.900901</v>
      </c>
      <c r="BM58" s="28" t="n">
        <v>0.526066</v>
      </c>
      <c r="BN58" s="28" t="n">
        <v>0.522388</v>
      </c>
      <c r="BO58" s="28" t="n"/>
      <c r="BP58" s="25" t="n"/>
      <c r="BQ58" s="27" t="n">
        <v>1.900901</v>
      </c>
      <c r="BR58" s="28" t="n">
        <v>0.525</v>
      </c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</row>
    <row r="59" ht="36" customHeight="1">
      <c r="A59" s="24" t="inlineStr">
        <is>
          <t>0ccd6aa020654ef6</t>
        </is>
      </c>
      <c r="B59" s="24" t="inlineStr">
        <is>
          <t>2026-07-31T21:05:54.725871Z</t>
        </is>
      </c>
      <c r="C59" s="24" t="inlineStr">
        <is>
          <t>2026-07-31T23:10Z</t>
        </is>
      </c>
      <c r="D59" s="24" t="inlineStr">
        <is>
          <t>401816334</t>
        </is>
      </c>
      <c r="E59" s="24" t="inlineStr">
        <is>
          <t>MLB</t>
        </is>
      </c>
      <c r="F59" s="24" t="inlineStr">
        <is>
          <t>Miami Marlins</t>
        </is>
      </c>
      <c r="G59" s="24" t="inlineStr">
        <is>
          <t>New York Mets</t>
        </is>
      </c>
      <c r="H59" s="24" t="inlineStr">
        <is>
          <t>spread</t>
        </is>
      </c>
      <c r="I59" s="24" t="inlineStr">
        <is>
          <t>away</t>
        </is>
      </c>
      <c r="J59" s="25" t="n">
        <v>1.5</v>
      </c>
      <c r="K59" s="24" t="inlineStr">
        <is>
          <t>polymarket_us</t>
        </is>
      </c>
      <c r="L59" s="26" t="n">
        <v>-182</v>
      </c>
      <c r="M59" s="27" t="n">
        <v>1.549451</v>
      </c>
      <c r="N59" s="28" t="n">
        <v>0.64539</v>
      </c>
      <c r="O59" s="28" t="n">
        <v>0.552976</v>
      </c>
      <c r="P59" s="28" t="n">
        <v>0.042131</v>
      </c>
      <c r="Q59" s="28" t="n">
        <v>-0.092414</v>
      </c>
      <c r="R59" s="26" t="n">
        <v>0</v>
      </c>
      <c r="S59" s="29" t="n">
        <v>1</v>
      </c>
      <c r="T59" s="24" t="inlineStr">
        <is>
          <t>measured-edge-margin-v1</t>
        </is>
      </c>
      <c r="U59" s="24" t="inlineStr">
        <is>
          <t>settled</t>
        </is>
      </c>
      <c r="V59" s="24" t="inlineStr">
        <is>
          <t>win</t>
        </is>
      </c>
      <c r="W59" s="26" t="n">
        <v>5</v>
      </c>
      <c r="X59" s="26" t="n">
        <v>2</v>
      </c>
      <c r="Y59" s="25" t="n">
        <v>1.5</v>
      </c>
      <c r="Z59" s="26" t="n">
        <v>-182</v>
      </c>
      <c r="AA59" s="28" t="n">
        <v>0.645</v>
      </c>
      <c r="AB59" s="28" t="n">
        <v>-0.00039</v>
      </c>
      <c r="AC59" s="30" t="n">
        <v>0.5495</v>
      </c>
      <c r="AD59" s="24" t="inlineStr">
        <is>
          <t>2026-08-01T03:00:04.318189Z</t>
        </is>
      </c>
      <c r="AE59" s="31" t="inlineStr">
        <is>
          <t>Measured Edge Margin: Trend Engine projected 4.94-4.95; raw selected-side p=0.6584, calibrated p=0.5530.</t>
        </is>
      </c>
      <c r="AF59" s="31" t="inlineStr">
        <is>
          <t>Research-only; lineup, bullpen, park, weather, xFIP, and wRC+ may be neutral fallbacks; market availability and BBO depth may change before first pitch.</t>
        </is>
      </c>
      <c r="AG59" s="24" t="inlineStr">
        <is>
          <t>not_applicable</t>
        </is>
      </c>
      <c r="AH59" s="24" t="n"/>
      <c r="AI59" s="31" t="n"/>
      <c r="AJ59" s="31" t="n"/>
      <c r="AK59" s="24" t="inlineStr">
        <is>
          <t>research_observation</t>
        </is>
      </c>
      <c r="AL59" s="26" t="n">
        <v>3</v>
      </c>
      <c r="AM59" s="24" t="inlineStr">
        <is>
          <t>RESEARCH_OBSERVATION</t>
        </is>
      </c>
      <c r="AN59" s="24" t="inlineStr">
        <is>
          <t>NO_CALL</t>
        </is>
      </c>
      <c r="AO59" s="24" t="inlineStr">
        <is>
          <t>NO_CALL_MODEL_UNVALIDATED</t>
        </is>
      </c>
      <c r="AP59" s="24" t="inlineStr">
        <is>
          <t>mlb-mia</t>
        </is>
      </c>
      <c r="AQ59" s="24" t="inlineStr">
        <is>
          <t>Miami Marlins</t>
        </is>
      </c>
      <c r="AR59" s="24" t="inlineStr">
        <is>
          <t>Miami Marlins</t>
        </is>
      </c>
      <c r="AS59" s="24" t="inlineStr">
        <is>
          <t>mlb-nym</t>
        </is>
      </c>
      <c r="AT59" s="24" t="inlineStr">
        <is>
          <t>New York Mets</t>
        </is>
      </c>
      <c r="AU59" s="24" t="inlineStr">
        <is>
          <t>New York Mets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research</t>
        </is>
      </c>
      <c r="BA59" s="24" t="inlineStr">
        <is>
          <t>2bc2ce55b0d39a20103f724bbddbde5394909acd49297f52665b596a0ae3ae8b</t>
        </is>
      </c>
      <c r="BB59" s="24" t="inlineStr">
        <is>
          <t>flat_probability_shrinkage_toward_half</t>
        </is>
      </c>
      <c r="BC59" s="24" t="inlineStr">
        <is>
          <t>measured-edge-margin-v1</t>
        </is>
      </c>
      <c r="BD59" s="24" t="inlineStr">
        <is>
          <t>2bc2ce55b0d39a20103f724bbddbde5394909acd49297f52665b596a0ae3ae8b</t>
        </is>
      </c>
      <c r="BE59" s="24" t="inlineStr">
        <is>
          <t>v3</t>
        </is>
      </c>
      <c r="BF59" s="24" t="inlineStr">
        <is>
          <t>1</t>
        </is>
      </c>
      <c r="BG59" s="24" t="inlineStr">
        <is>
          <t>measured-edge-paired-v1</t>
        </is>
      </c>
      <c r="BH59" s="24" t="inlineStr">
        <is>
          <t>2026-07-31T21:05:54.725871Z</t>
        </is>
      </c>
      <c r="BI59" s="24" t="inlineStr">
        <is>
          <t>["same_event","same_team_same_day","same_league_same_day"]</t>
        </is>
      </c>
      <c r="BJ59" s="25" t="n">
        <v>1.5</v>
      </c>
      <c r="BK59" s="26" t="n">
        <v>-182</v>
      </c>
      <c r="BL59" s="27" t="n">
        <v>1.549451</v>
      </c>
      <c r="BM59" s="28" t="n">
        <v>0.64539</v>
      </c>
      <c r="BN59" s="28" t="n">
        <v>0.641791</v>
      </c>
      <c r="BO59" s="28" t="n"/>
      <c r="BP59" s="25" t="n"/>
      <c r="BQ59" s="27" t="n">
        <v>1.549451</v>
      </c>
      <c r="BR59" s="28" t="n">
        <v>0.645</v>
      </c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</row>
    <row r="60" ht="36" customHeight="1">
      <c r="A60" s="24" t="inlineStr">
        <is>
          <t>d5fc5592ab4341dd</t>
        </is>
      </c>
      <c r="B60" s="24" t="inlineStr">
        <is>
          <t>2026-07-31T21:05:54.725871Z</t>
        </is>
      </c>
      <c r="C60" s="24" t="inlineStr">
        <is>
          <t>2026-07-31T23:10Z</t>
        </is>
      </c>
      <c r="D60" s="24" t="inlineStr">
        <is>
          <t>401816334</t>
        </is>
      </c>
      <c r="E60" s="24" t="inlineStr">
        <is>
          <t>MLB</t>
        </is>
      </c>
      <c r="F60" s="24" t="inlineStr">
        <is>
          <t>Miami Marlins</t>
        </is>
      </c>
      <c r="G60" s="24" t="inlineStr">
        <is>
          <t>New York Mets</t>
        </is>
      </c>
      <c r="H60" s="24" t="inlineStr">
        <is>
          <t>total</t>
        </is>
      </c>
      <c r="I60" s="24" t="inlineStr">
        <is>
          <t>over</t>
        </is>
      </c>
      <c r="J60" s="25" t="n">
        <v>8.5</v>
      </c>
      <c r="K60" s="24" t="inlineStr">
        <is>
          <t>polymarket_us</t>
        </is>
      </c>
      <c r="L60" s="26" t="n">
        <v>-102</v>
      </c>
      <c r="M60" s="27" t="n">
        <v>1.980392</v>
      </c>
      <c r="N60" s="28" t="n">
        <v>0.50495</v>
      </c>
      <c r="O60" s="28" t="n">
        <v>0.5740420000000001</v>
      </c>
      <c r="P60" s="28" t="n">
        <v>0.042131</v>
      </c>
      <c r="Q60" s="28" t="n">
        <v>0.069092</v>
      </c>
      <c r="R60" s="26" t="n">
        <v>59</v>
      </c>
      <c r="S60" s="29" t="n">
        <v>1.25</v>
      </c>
      <c r="T60" s="24" t="inlineStr">
        <is>
          <t>measured-edge-totals-v1</t>
        </is>
      </c>
      <c r="U60" s="24" t="inlineStr">
        <is>
          <t>settled</t>
        </is>
      </c>
      <c r="V60" s="24" t="inlineStr">
        <is>
          <t>loss</t>
        </is>
      </c>
      <c r="W60" s="26" t="n">
        <v>5</v>
      </c>
      <c r="X60" s="26" t="n">
        <v>2</v>
      </c>
      <c r="Y60" s="25" t="n">
        <v>8.5</v>
      </c>
      <c r="Z60" s="26" t="n">
        <v>-102</v>
      </c>
      <c r="AA60" s="28" t="n">
        <v>0.505</v>
      </c>
      <c r="AB60" s="28" t="n">
        <v>5e-05</v>
      </c>
      <c r="AC60" s="30" t="n">
        <v>-1.25</v>
      </c>
      <c r="AD60" s="24" t="inlineStr">
        <is>
          <t>2026-08-01T03:00:04.601965Z</t>
        </is>
      </c>
      <c r="AE60" s="31" t="inlineStr">
        <is>
          <t>Measured Edge Totals: Trend Engine projected 4.94-4.95; raw selected-side p=0.5923, calibrated p=0.5740.</t>
        </is>
      </c>
      <c r="AF60" s="31" t="inlineStr">
        <is>
          <t>Research-only; lineup, bullpen, park, weather, xFIP, and wRC+ may be neutral fallbacks; market availability and BBO depth may change before first pitch.</t>
        </is>
      </c>
      <c r="AG60" s="24" t="inlineStr">
        <is>
          <t>review_required</t>
        </is>
      </c>
      <c r="AH60" s="24" t="n"/>
      <c r="AI60" s="31" t="n"/>
      <c r="AJ60" s="31" t="n"/>
      <c r="AK60" s="24" t="inlineStr">
        <is>
          <t>research_observation</t>
        </is>
      </c>
      <c r="AL60" s="26" t="n">
        <v>3</v>
      </c>
      <c r="AM60" s="24" t="inlineStr">
        <is>
          <t>RESEARCH_OBSERVATION</t>
        </is>
      </c>
      <c r="AN60" s="24" t="inlineStr">
        <is>
          <t>NO_CALL</t>
        </is>
      </c>
      <c r="AO60" s="24" t="inlineStr">
        <is>
          <t>NO_CALL_MODEL_UNVALIDATED</t>
        </is>
      </c>
      <c r="AP60" s="24" t="inlineStr">
        <is>
          <t>mlb-mia</t>
        </is>
      </c>
      <c r="AQ60" s="24" t="inlineStr">
        <is>
          <t>Miami Marlins</t>
        </is>
      </c>
      <c r="AR60" s="24" t="inlineStr">
        <is>
          <t>Miami Marlins</t>
        </is>
      </c>
      <c r="AS60" s="24" t="inlineStr">
        <is>
          <t>mlb-nym</t>
        </is>
      </c>
      <c r="AT60" s="24" t="inlineStr">
        <is>
          <t>New York Mets</t>
        </is>
      </c>
      <c r="AU60" s="24" t="inlineStr">
        <is>
          <t>New York Mets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research</t>
        </is>
      </c>
      <c r="BA60" s="24" t="inlineStr">
        <is>
          <t>cbc2c9bf5a9569a49e1902c816d96556d704cf10819ca3a9e927721685757d0b</t>
        </is>
      </c>
      <c r="BB60" s="24" t="inlineStr">
        <is>
          <t>flat_probability_shrinkage_toward_half</t>
        </is>
      </c>
      <c r="BC60" s="24" t="inlineStr">
        <is>
          <t>measured-edge-totals-v1</t>
        </is>
      </c>
      <c r="BD60" s="24" t="inlineStr">
        <is>
          <t>cbc2c9bf5a9569a49e1902c816d96556d704cf10819ca3a9e927721685757d0b</t>
        </is>
      </c>
      <c r="BE60" s="24" t="inlineStr">
        <is>
          <t>v3</t>
        </is>
      </c>
      <c r="BF60" s="24" t="inlineStr">
        <is>
          <t>1</t>
        </is>
      </c>
      <c r="BG60" s="24" t="inlineStr">
        <is>
          <t>measured-edge-paired-v1</t>
        </is>
      </c>
      <c r="BH60" s="24" t="inlineStr">
        <is>
          <t>2026-07-31T21:05:54.725871Z</t>
        </is>
      </c>
      <c r="BI60" s="24" t="inlineStr">
        <is>
          <t>["same_event","same_team_same_day","same_league_same_day"]</t>
        </is>
      </c>
      <c r="BJ60" s="25" t="n">
        <v>8.5</v>
      </c>
      <c r="BK60" s="26" t="n">
        <v>-102</v>
      </c>
      <c r="BL60" s="27" t="n">
        <v>1.980392</v>
      </c>
      <c r="BM60" s="28" t="n">
        <v>0.50495</v>
      </c>
      <c r="BN60" s="28" t="n">
        <v>0.502488</v>
      </c>
      <c r="BO60" s="28" t="n"/>
      <c r="BP60" s="25" t="n"/>
      <c r="BQ60" s="27" t="n">
        <v>1.980392</v>
      </c>
      <c r="BR60" s="28" t="n">
        <v>0.505</v>
      </c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</row>
    <row r="61" ht="36" customHeight="1">
      <c r="A61" s="24" t="inlineStr">
        <is>
          <t>b678fd28ca724674</t>
        </is>
      </c>
      <c r="B61" s="24" t="inlineStr">
        <is>
          <t>2026-07-31T21:05:54.725871Z</t>
        </is>
      </c>
      <c r="C61" s="24" t="inlineStr">
        <is>
          <t>2026-07-31T23:15Z</t>
        </is>
      </c>
      <c r="D61" s="24" t="inlineStr">
        <is>
          <t>401816338</t>
        </is>
      </c>
      <c r="E61" s="24" t="inlineStr">
        <is>
          <t>MLB</t>
        </is>
      </c>
      <c r="F61" s="24" t="inlineStr">
        <is>
          <t>Washington Nationals</t>
        </is>
      </c>
      <c r="G61" s="24" t="inlineStr">
        <is>
          <t>Atlanta Braves</t>
        </is>
      </c>
      <c r="H61" s="24" t="inlineStr">
        <is>
          <t>spread</t>
        </is>
      </c>
      <c r="I61" s="24" t="inlineStr">
        <is>
          <t>home</t>
        </is>
      </c>
      <c r="J61" s="25" t="n">
        <v>1.5</v>
      </c>
      <c r="K61" s="24" t="inlineStr">
        <is>
          <t>polymarket_us</t>
        </is>
      </c>
      <c r="L61" s="26" t="n">
        <v>-182</v>
      </c>
      <c r="M61" s="27" t="n">
        <v>1.549451</v>
      </c>
      <c r="N61" s="28" t="n">
        <v>0.64539</v>
      </c>
      <c r="O61" s="28" t="n">
        <v>0.546226</v>
      </c>
      <c r="P61" s="28" t="n">
        <v>0.042131</v>
      </c>
      <c r="Q61" s="28" t="n">
        <v>-0.099164</v>
      </c>
      <c r="R61" s="26" t="n">
        <v>0</v>
      </c>
      <c r="S61" s="29" t="n">
        <v>1</v>
      </c>
      <c r="T61" s="24" t="inlineStr">
        <is>
          <t>measured-edge-margin-v1</t>
        </is>
      </c>
      <c r="U61" s="24" t="inlineStr">
        <is>
          <t>settled</t>
        </is>
      </c>
      <c r="V61" s="24" t="inlineStr">
        <is>
          <t>win</t>
        </is>
      </c>
      <c r="W61" s="26" t="n">
        <v>2</v>
      </c>
      <c r="X61" s="26" t="n">
        <v>6</v>
      </c>
      <c r="Y61" s="25" t="n">
        <v>1.5</v>
      </c>
      <c r="Z61" s="26" t="n">
        <v>-182</v>
      </c>
      <c r="AA61" s="28" t="n">
        <v>0.645</v>
      </c>
      <c r="AB61" s="28" t="n">
        <v>-0.00039</v>
      </c>
      <c r="AC61" s="30" t="n">
        <v>0.5495</v>
      </c>
      <c r="AD61" s="24" t="inlineStr">
        <is>
          <t>2026-08-01T03:00:04.884635Z</t>
        </is>
      </c>
      <c r="AE61" s="31" t="inlineStr">
        <is>
          <t>Measured Edge Margin: Trend Engine projected 4.68-4.22; raw selected-side p=0.6240, calibrated p=0.5462.</t>
        </is>
      </c>
      <c r="AF61" s="31" t="inlineStr">
        <is>
          <t>Research-only; lineup, bullpen, park, weather, xFIP, and wRC+ may be neutral fallbacks; market availability and BBO depth may change before first pitch.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research_observation</t>
        </is>
      </c>
      <c r="AL61" s="26" t="n">
        <v>3</v>
      </c>
      <c r="AM61" s="24" t="inlineStr">
        <is>
          <t>RESEARCH_OBSERVATION</t>
        </is>
      </c>
      <c r="AN61" s="24" t="inlineStr">
        <is>
          <t>NO_CALL</t>
        </is>
      </c>
      <c r="AO61" s="24" t="inlineStr">
        <is>
          <t>NO_CALL_MODEL_UNVALIDATED</t>
        </is>
      </c>
      <c r="AP61" s="24" t="inlineStr">
        <is>
          <t>mlb-wsh</t>
        </is>
      </c>
      <c r="AQ61" s="24" t="inlineStr">
        <is>
          <t>Washington Nationals</t>
        </is>
      </c>
      <c r="AR61" s="24" t="inlineStr">
        <is>
          <t>Washington Nationals</t>
        </is>
      </c>
      <c r="AS61" s="24" t="inlineStr">
        <is>
          <t>mlb-atl</t>
        </is>
      </c>
      <c r="AT61" s="24" t="inlineStr">
        <is>
          <t>Atlanta Braves</t>
        </is>
      </c>
      <c r="AU61" s="24" t="inlineStr">
        <is>
          <t>Atlanta Braves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research</t>
        </is>
      </c>
      <c r="BA61" s="24" t="inlineStr">
        <is>
          <t>2bc2ce55b0d39a20103f724bbddbde5394909acd49297f52665b596a0ae3ae8b</t>
        </is>
      </c>
      <c r="BB61" s="24" t="inlineStr">
        <is>
          <t>flat_probability_shrinkage_toward_half</t>
        </is>
      </c>
      <c r="BC61" s="24" t="inlineStr">
        <is>
          <t>measured-edge-margin-v1</t>
        </is>
      </c>
      <c r="BD61" s="24" t="inlineStr">
        <is>
          <t>2bc2ce55b0d39a20103f724bbddbde5394909acd49297f52665b596a0ae3ae8b</t>
        </is>
      </c>
      <c r="BE61" s="24" t="inlineStr">
        <is>
          <t>v3</t>
        </is>
      </c>
      <c r="BF61" s="24" t="inlineStr">
        <is>
          <t>1</t>
        </is>
      </c>
      <c r="BG61" s="24" t="inlineStr">
        <is>
          <t>measured-edge-paired-v1</t>
        </is>
      </c>
      <c r="BH61" s="24" t="inlineStr">
        <is>
          <t>2026-07-31T21:05:54.725871Z</t>
        </is>
      </c>
      <c r="BI61" s="24" t="inlineStr">
        <is>
          <t>["same_event","same_team_same_day","same_league_same_day"]</t>
        </is>
      </c>
      <c r="BJ61" s="25" t="n">
        <v>1.5</v>
      </c>
      <c r="BK61" s="26" t="n">
        <v>-182</v>
      </c>
      <c r="BL61" s="27" t="n">
        <v>1.549451</v>
      </c>
      <c r="BM61" s="28" t="n">
        <v>0.64539</v>
      </c>
      <c r="BN61" s="28" t="n">
        <v>0.641791</v>
      </c>
      <c r="BO61" s="28" t="n"/>
      <c r="BP61" s="25" t="n"/>
      <c r="BQ61" s="27" t="n">
        <v>1.549451</v>
      </c>
      <c r="BR61" s="28" t="n">
        <v>0.645</v>
      </c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</row>
    <row r="62" ht="36" customHeight="1">
      <c r="A62" s="24" t="inlineStr">
        <is>
          <t>1d57acfaf49748c4</t>
        </is>
      </c>
      <c r="B62" s="24" t="inlineStr">
        <is>
          <t>2026-07-31T21:05:54.725871Z</t>
        </is>
      </c>
      <c r="C62" s="24" t="inlineStr">
        <is>
          <t>2026-07-31T23:15Z</t>
        </is>
      </c>
      <c r="D62" s="24" t="inlineStr">
        <is>
          <t>401816338</t>
        </is>
      </c>
      <c r="E62" s="24" t="inlineStr">
        <is>
          <t>MLB</t>
        </is>
      </c>
      <c r="F62" s="24" t="inlineStr">
        <is>
          <t>Washington Nationals</t>
        </is>
      </c>
      <c r="G62" s="24" t="inlineStr">
        <is>
          <t>Atlanta Braves</t>
        </is>
      </c>
      <c r="H62" s="24" t="inlineStr">
        <is>
          <t>total</t>
        </is>
      </c>
      <c r="I62" s="24" t="inlineStr">
        <is>
          <t>under</t>
        </is>
      </c>
      <c r="J62" s="25" t="n">
        <v>9.5</v>
      </c>
      <c r="K62" s="24" t="inlineStr">
        <is>
          <t>polymarket_us</t>
        </is>
      </c>
      <c r="L62" s="26" t="n">
        <v>-122</v>
      </c>
      <c r="M62" s="27" t="n">
        <v>1.819672</v>
      </c>
      <c r="N62" s="28" t="n">
        <v>0.54955</v>
      </c>
      <c r="O62" s="28" t="n">
        <v>0.586459</v>
      </c>
      <c r="P62" s="28" t="n">
        <v>0.042131</v>
      </c>
      <c r="Q62" s="28" t="n">
        <v>0.036909</v>
      </c>
      <c r="R62" s="26" t="n">
        <v>43</v>
      </c>
      <c r="S62" s="29" t="n">
        <v>1.25</v>
      </c>
      <c r="T62" s="24" t="inlineStr">
        <is>
          <t>measured-edge-totals-v1</t>
        </is>
      </c>
      <c r="U62" s="24" t="inlineStr">
        <is>
          <t>settled</t>
        </is>
      </c>
      <c r="V62" s="24" t="inlineStr">
        <is>
          <t>win</t>
        </is>
      </c>
      <c r="W62" s="26" t="n">
        <v>2</v>
      </c>
      <c r="X62" s="26" t="n">
        <v>6</v>
      </c>
      <c r="Y62" s="25" t="n">
        <v>9.5</v>
      </c>
      <c r="Z62" s="26" t="n">
        <v>-122</v>
      </c>
      <c r="AA62" s="28" t="n">
        <v>0.55</v>
      </c>
      <c r="AB62" s="28" t="n">
        <v>0.00045</v>
      </c>
      <c r="AC62" s="30" t="n">
        <v>1.0246</v>
      </c>
      <c r="AD62" s="24" t="inlineStr">
        <is>
          <t>2026-08-01T03:00:05.207093Z</t>
        </is>
      </c>
      <c r="AE62" s="31" t="inlineStr">
        <is>
          <t>Measured Edge Totals: Trend Engine projected 4.68-4.22; raw selected-side p=0.6050, calibrated p=0.5865.</t>
        </is>
      </c>
      <c r="AF62" s="31" t="inlineStr">
        <is>
          <t>Research-only; lineup, bullpen, park, weather, xFIP, and wRC+ may be neutral fallbacks; market availability and BBO depth may change before first pitch.</t>
        </is>
      </c>
      <c r="AG62" s="24" t="inlineStr">
        <is>
          <t>not_applicable</t>
        </is>
      </c>
      <c r="AH62" s="24" t="n"/>
      <c r="AI62" s="31" t="n"/>
      <c r="AJ62" s="31" t="n"/>
      <c r="AK62" s="24" t="inlineStr">
        <is>
          <t>research_observation</t>
        </is>
      </c>
      <c r="AL62" s="26" t="n">
        <v>3</v>
      </c>
      <c r="AM62" s="24" t="inlineStr">
        <is>
          <t>RESEARCH_OBSERVATION</t>
        </is>
      </c>
      <c r="AN62" s="24" t="inlineStr">
        <is>
          <t>NO_CALL</t>
        </is>
      </c>
      <c r="AO62" s="24" t="inlineStr">
        <is>
          <t>NO_CALL_MODEL_UNVALIDATED</t>
        </is>
      </c>
      <c r="AP62" s="24" t="inlineStr">
        <is>
          <t>mlb-wsh</t>
        </is>
      </c>
      <c r="AQ62" s="24" t="inlineStr">
        <is>
          <t>Washington Nationals</t>
        </is>
      </c>
      <c r="AR62" s="24" t="inlineStr">
        <is>
          <t>Washington Nationals</t>
        </is>
      </c>
      <c r="AS62" s="24" t="inlineStr">
        <is>
          <t>mlb-atl</t>
        </is>
      </c>
      <c r="AT62" s="24" t="inlineStr">
        <is>
          <t>Atlanta Braves</t>
        </is>
      </c>
      <c r="AU62" s="24" t="inlineStr">
        <is>
          <t>Atlanta Braves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research</t>
        </is>
      </c>
      <c r="BA62" s="24" t="inlineStr">
        <is>
          <t>cbc2c9bf5a9569a49e1902c816d96556d704cf10819ca3a9e927721685757d0b</t>
        </is>
      </c>
      <c r="BB62" s="24" t="inlineStr">
        <is>
          <t>flat_probability_shrinkage_toward_half</t>
        </is>
      </c>
      <c r="BC62" s="24" t="inlineStr">
        <is>
          <t>measured-edge-totals-v1</t>
        </is>
      </c>
      <c r="BD62" s="24" t="inlineStr">
        <is>
          <t>cbc2c9bf5a9569a49e1902c816d96556d704cf10819ca3a9e927721685757d0b</t>
        </is>
      </c>
      <c r="BE62" s="24" t="inlineStr">
        <is>
          <t>v3</t>
        </is>
      </c>
      <c r="BF62" s="24" t="inlineStr">
        <is>
          <t>1</t>
        </is>
      </c>
      <c r="BG62" s="24" t="inlineStr">
        <is>
          <t>measured-edge-paired-v1</t>
        </is>
      </c>
      <c r="BH62" s="24" t="inlineStr">
        <is>
          <t>2026-07-31T21:05:54.725871Z</t>
        </is>
      </c>
      <c r="BI62" s="24" t="inlineStr">
        <is>
          <t>["same_event","same_team_same_day","same_league_same_day"]</t>
        </is>
      </c>
      <c r="BJ62" s="25" t="n">
        <v>9.5</v>
      </c>
      <c r="BK62" s="26" t="n">
        <v>-122</v>
      </c>
      <c r="BL62" s="27" t="n">
        <v>1.819672</v>
      </c>
      <c r="BM62" s="28" t="n">
        <v>0.54955</v>
      </c>
      <c r="BN62" s="28" t="n">
        <v>0.547264</v>
      </c>
      <c r="BO62" s="28" t="n"/>
      <c r="BP62" s="25" t="n"/>
      <c r="BQ62" s="27" t="n">
        <v>1.819672</v>
      </c>
      <c r="BR62" s="28" t="n">
        <v>0.55</v>
      </c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</row>
    <row r="63" ht="36" customHeight="1">
      <c r="A63" s="24" t="inlineStr">
        <is>
          <t>f5699485189e4e76</t>
        </is>
      </c>
      <c r="B63" s="24" t="inlineStr">
        <is>
          <t>2026-07-31T23:29:42.171549Z</t>
        </is>
      </c>
      <c r="C63" s="24" t="inlineStr">
        <is>
          <t>2026-07-31T20:15:00-0400</t>
        </is>
      </c>
      <c r="D63" s="24" t="inlineStr">
        <is>
          <t>401816340</t>
        </is>
      </c>
      <c r="E63" s="24" t="inlineStr">
        <is>
          <t>MLB</t>
        </is>
      </c>
      <c r="F63" s="24" t="inlineStr">
        <is>
          <t>Texas Rangers</t>
        </is>
      </c>
      <c r="G63" s="24" t="inlineStr">
        <is>
          <t>Houston Astros</t>
        </is>
      </c>
      <c r="H63" s="24" t="inlineStr">
        <is>
          <t>moneyline</t>
        </is>
      </c>
      <c r="I63" s="24" t="inlineStr">
        <is>
          <t>home</t>
        </is>
      </c>
      <c r="J63" s="25" t="n"/>
      <c r="K63" s="24" t="inlineStr">
        <is>
          <t>polymarket_us</t>
        </is>
      </c>
      <c r="L63" s="26" t="n">
        <v>-117</v>
      </c>
      <c r="M63" s="27" t="n">
        <v>1.854701</v>
      </c>
      <c r="N63" s="28" t="n">
        <v>0.539171</v>
      </c>
      <c r="O63" s="28" t="n">
        <v>0.548061</v>
      </c>
      <c r="P63" s="28" t="n"/>
      <c r="Q63" s="28" t="n">
        <v>0.00889</v>
      </c>
      <c r="R63" s="26" t="n">
        <v>25</v>
      </c>
      <c r="S63" s="29" t="n">
        <v>1</v>
      </c>
      <c r="T63" s="24" t="inlineStr">
        <is>
          <t>mlb-elo-trend-lr-v7</t>
        </is>
      </c>
      <c r="U63" s="24" t="inlineStr">
        <is>
          <t>settled</t>
        </is>
      </c>
      <c r="V63" s="24" t="inlineStr">
        <is>
          <t>win</t>
        </is>
      </c>
      <c r="W63" s="26" t="n">
        <v>2</v>
      </c>
      <c r="X63" s="26" t="n">
        <v>11</v>
      </c>
      <c r="Y63" s="25" t="n"/>
      <c r="Z63" s="26" t="n">
        <v>-117</v>
      </c>
      <c r="AA63" s="28" t="n">
        <v>0.54</v>
      </c>
      <c r="AB63" s="28" t="n">
        <v>0.000829</v>
      </c>
      <c r="AC63" s="30" t="n">
        <v>0.8547</v>
      </c>
      <c r="AD63" s="24" t="inlineStr">
        <is>
          <t>2026-08-01T05:33:39.699571Z</t>
        </is>
      </c>
      <c r="AE63" s="31" t="inlineStr">
        <is>
          <t>Learned LR call at threshold 0.6242; executable ask 0.5400 (aec-mlb-tex-hou-2026-07-31); model edge vs ask +0.0081.</t>
        </is>
      </c>
      <c r="AF63" s="31" t="inlineStr">
        <is>
          <t>Learned model; shadow-qualified via operator override.</t>
        </is>
      </c>
      <c r="AG63" s="24" t="inlineStr">
        <is>
          <t>not_applicable</t>
        </is>
      </c>
      <c r="AH63" s="24" t="n"/>
      <c r="AI63" s="31" t="n"/>
      <c r="AJ63" s="31" t="n"/>
      <c r="AK63" s="24" t="inlineStr">
        <is>
          <t>model_qualified</t>
        </is>
      </c>
      <c r="AL63" s="26" t="n">
        <v>3</v>
      </c>
      <c r="AM63" s="24" t="inlineStr">
        <is>
          <t>QUALIFIED_SHADOW_CALL</t>
        </is>
      </c>
      <c r="AN63" s="24" t="inlineStr">
        <is>
          <t>CALL</t>
        </is>
      </c>
      <c r="AO63" s="24" t="inlineStr">
        <is>
          <t>QUALIFIED</t>
        </is>
      </c>
      <c r="AP63" s="24" t="inlineStr">
        <is>
          <t>mlb-tex</t>
        </is>
      </c>
      <c r="AQ63" s="24" t="inlineStr">
        <is>
          <t>Texas Rangers</t>
        </is>
      </c>
      <c r="AR63" s="24" t="inlineStr">
        <is>
          <t>Texas Rangers</t>
        </is>
      </c>
      <c r="AS63" s="24" t="inlineStr">
        <is>
          <t>mlb-hou</t>
        </is>
      </c>
      <c r="AT63" s="24" t="inlineStr">
        <is>
          <t>Houston Astros</t>
        </is>
      </c>
      <c r="AU63" s="24" t="inlineStr">
        <is>
          <t>Houston Astros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464eef695bfbbdaa819ec6f5e4c5bd1068ed20b92915fb2677220ae91e20d8b6</t>
        </is>
      </c>
      <c r="BB63" s="24" t="inlineStr">
        <is>
          <t>learned_lr</t>
        </is>
      </c>
      <c r="BC63" s="24" t="inlineStr">
        <is>
          <t>mlb-elo-trend-lr-v7</t>
        </is>
      </c>
      <c r="BD63" s="24" t="inlineStr">
        <is>
          <t>464eef695bfbbdaa819ec6f5e4c5bd1068ed20b92915fb2677220ae91e20d8b6</t>
        </is>
      </c>
      <c r="BE63" s="24" t="inlineStr">
        <is>
          <t>524a0fd0934624ad</t>
        </is>
      </c>
      <c r="BF63" s="24" t="inlineStr">
        <is>
          <t>1</t>
        </is>
      </c>
      <c r="BG63" s="24" t="inlineStr">
        <is>
          <t>mlb-elo-trend-lr-v7</t>
        </is>
      </c>
      <c r="BH63" s="24" t="inlineStr">
        <is>
          <t>2026-07-31T23:29:18.070151Z</t>
        </is>
      </c>
      <c r="BI63" s="24" t="inlineStr">
        <is>
          <t>["same_event","same_team_same_day","same_league_same_day"]</t>
        </is>
      </c>
      <c r="BJ63" s="25" t="n"/>
      <c r="BK63" s="26" t="n">
        <v>-117</v>
      </c>
      <c r="BL63" s="27" t="n">
        <v>1.854701</v>
      </c>
      <c r="BM63" s="28" t="n">
        <v>0.539171</v>
      </c>
      <c r="BN63" s="28" t="n">
        <v>0.537313</v>
      </c>
      <c r="BO63" s="28" t="n"/>
      <c r="BP63" s="25" t="n"/>
      <c r="BQ63" s="27" t="n">
        <v>1.854701</v>
      </c>
      <c r="BR63" s="28" t="n">
        <v>0.54</v>
      </c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inlineStr">
        <is>
          <t>0.5417596979</t>
        </is>
      </c>
      <c r="CD63" s="24" t="inlineStr">
        <is>
          <t>0.96412</t>
        </is>
      </c>
      <c r="CE63" s="24" t="inlineStr">
        <is>
          <t>0.956</t>
        </is>
      </c>
      <c r="CF63" s="24" t="inlineStr">
        <is>
          <t>1.0</t>
        </is>
      </c>
      <c r="CG63" s="24" t="inlineStr">
        <is>
          <t>2.2</t>
        </is>
      </c>
      <c r="CH63" s="24" t="n"/>
      <c r="CI63" s="24" t="n"/>
      <c r="CJ63" s="24" t="n"/>
      <c r="CK63" s="24" t="n"/>
      <c r="CL63" s="24" t="n"/>
      <c r="CM63" s="24" t="n"/>
      <c r="CN63" s="24" t="n"/>
      <c r="CO63" s="24" t="n"/>
    </row>
    <row r="64" ht="36" customHeight="1">
      <c r="A64" s="24" t="inlineStr">
        <is>
          <t>55640aa916a34dcf</t>
        </is>
      </c>
      <c r="B64" s="24" t="inlineStr">
        <is>
          <t>2026-07-31T23:29:42.171549Z</t>
        </is>
      </c>
      <c r="C64" s="24" t="inlineStr">
        <is>
          <t>2026-07-31T19:30:00-0400</t>
        </is>
      </c>
      <c r="D64" s="24" t="inlineStr">
        <is>
          <t>401857102</t>
        </is>
      </c>
      <c r="E64" s="24" t="inlineStr">
        <is>
          <t>WNBA</t>
        </is>
      </c>
      <c r="F64" s="24" t="inlineStr">
        <is>
          <t>Seattle Storm</t>
        </is>
      </c>
      <c r="G64" s="24" t="inlineStr">
        <is>
          <t>Atlanta Dream</t>
        </is>
      </c>
      <c r="H64" s="24" t="inlineStr">
        <is>
          <t>moneyline</t>
        </is>
      </c>
      <c r="I64" s="24" t="inlineStr">
        <is>
          <t>home</t>
        </is>
      </c>
      <c r="J64" s="25" t="n"/>
      <c r="K64" s="24" t="inlineStr">
        <is>
          <t>polymarket_us</t>
        </is>
      </c>
      <c r="L64" s="26" t="n">
        <v>-525</v>
      </c>
      <c r="M64" s="27" t="n">
        <v>1.190476</v>
      </c>
      <c r="N64" s="28" t="n">
        <v>0.84</v>
      </c>
      <c r="O64" s="28" t="n">
        <v>0.737046</v>
      </c>
      <c r="P64" s="28" t="n"/>
      <c r="Q64" s="28" t="n">
        <v>-0.102954</v>
      </c>
      <c r="R64" s="26" t="n">
        <v>0</v>
      </c>
      <c r="S64" s="29" t="n">
        <v>2</v>
      </c>
      <c r="T64" s="24" t="inlineStr">
        <is>
          <t>wnba-elo-trend-lr-v4</t>
        </is>
      </c>
      <c r="U64" s="24" t="inlineStr">
        <is>
          <t>settled</t>
        </is>
      </c>
      <c r="V64" s="24" t="inlineStr">
        <is>
          <t>win</t>
        </is>
      </c>
      <c r="W64" s="26" t="n">
        <v>89</v>
      </c>
      <c r="X64" s="26" t="n">
        <v>98</v>
      </c>
      <c r="Y64" s="25" t="n"/>
      <c r="Z64" s="26" t="n"/>
      <c r="AA64" s="28" t="n"/>
      <c r="AB64" s="28" t="n"/>
      <c r="AC64" s="30" t="n">
        <v>0.381</v>
      </c>
      <c r="AD64" s="24" t="inlineStr">
        <is>
          <t>2026-08-01T03:00:06.398841Z</t>
        </is>
      </c>
      <c r="AE64" s="31" t="inlineStr">
        <is>
          <t>Learned LR call at threshold 0.5001; executable ask 0.8400 (aec-wnba-sea-atl-2026-07-31); model edge vs ask -0.1030.</t>
        </is>
      </c>
      <c r="AF64" s="31" t="inlineStr">
        <is>
          <t>Learned model; shadow-qualified via operator override.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model_qualified</t>
        </is>
      </c>
      <c r="AL64" s="26" t="n">
        <v>3</v>
      </c>
      <c r="AM64" s="24" t="inlineStr">
        <is>
          <t>QUALIFIED_SHADOW_CALL</t>
        </is>
      </c>
      <c r="AN64" s="24" t="inlineStr">
        <is>
          <t>CALL</t>
        </is>
      </c>
      <c r="AO64" s="24" t="inlineStr">
        <is>
          <t>QUALIFIED</t>
        </is>
      </c>
      <c r="AP64" s="24" t="inlineStr">
        <is>
          <t>wnba-sea</t>
        </is>
      </c>
      <c r="AQ64" s="24" t="inlineStr">
        <is>
          <t>Seattle Storm</t>
        </is>
      </c>
      <c r="AR64" s="24" t="inlineStr">
        <is>
          <t>Seattle Storm</t>
        </is>
      </c>
      <c r="AS64" s="24" t="inlineStr">
        <is>
          <t>wnba-atl</t>
        </is>
      </c>
      <c r="AT64" s="24" t="inlineStr">
        <is>
          <t>Atlanta Dream</t>
        </is>
      </c>
      <c r="AU64" s="24" t="inlineStr">
        <is>
          <t>Atlanta Dream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7afd5274214b58b7efd7f7febc7be3ab33b92351cda5cc6403c0a39faea0cc8c</t>
        </is>
      </c>
      <c r="BB64" s="24" t="inlineStr">
        <is>
          <t>learned_lr</t>
        </is>
      </c>
      <c r="BC64" s="24" t="inlineStr">
        <is>
          <t>wnba-elo-trend-lr-v4</t>
        </is>
      </c>
      <c r="BD64" s="24" t="inlineStr">
        <is>
          <t>7afd5274214b58b7efd7f7febc7be3ab33b92351cda5cc6403c0a39faea0cc8c</t>
        </is>
      </c>
      <c r="BE64" s="24" t="inlineStr">
        <is>
          <t>8fdca19bc32f576a</t>
        </is>
      </c>
      <c r="BF64" s="24" t="inlineStr">
        <is>
          <t>1</t>
        </is>
      </c>
      <c r="BG64" s="24" t="inlineStr">
        <is>
          <t>wnba-elo-trend-lr-v4</t>
        </is>
      </c>
      <c r="BH64" s="24" t="inlineStr">
        <is>
          <t>2026-07-31T23:29:25.425390Z</t>
        </is>
      </c>
      <c r="BI64" s="24" t="inlineStr">
        <is>
          <t>["same_event","same_team_same_day","same_league_same_day"]</t>
        </is>
      </c>
      <c r="BJ64" s="25" t="n"/>
      <c r="BK64" s="26" t="n">
        <v>-525</v>
      </c>
      <c r="BL64" s="27" t="n">
        <v>1.190476</v>
      </c>
      <c r="BM64" s="28" t="n">
        <v>0.84</v>
      </c>
      <c r="BN64" s="28" t="n">
        <v>0.831683</v>
      </c>
      <c r="BO64" s="28" t="n"/>
      <c r="BP64" s="25" t="n"/>
      <c r="BQ64" s="27" t="n"/>
      <c r="BR64" s="28" t="n"/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inlineStr">
        <is>
          <t>0.821319619</t>
        </is>
      </c>
      <c r="CD64" s="24" t="inlineStr">
        <is>
          <t>-5.618671</t>
        </is>
      </c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</row>
    <row r="65" ht="36" customHeight="1">
      <c r="A65" s="24" t="inlineStr">
        <is>
          <t>a5d8df625d884626</t>
        </is>
      </c>
      <c r="B65" s="24" t="inlineStr">
        <is>
          <t>2026-07-31T23:29:42.171549Z</t>
        </is>
      </c>
      <c r="C65" s="24" t="inlineStr">
        <is>
          <t>2026-07-31T20:40:00-0400</t>
        </is>
      </c>
      <c r="D65" s="24" t="inlineStr">
        <is>
          <t>401816341</t>
        </is>
      </c>
      <c r="E65" s="24" t="inlineStr">
        <is>
          <t>MLB</t>
        </is>
      </c>
      <c r="F65" s="24" t="inlineStr">
        <is>
          <t>Kansas City Royals</t>
        </is>
      </c>
      <c r="G65" s="24" t="inlineStr">
        <is>
          <t>Colorado Rockies</t>
        </is>
      </c>
      <c r="H65" s="24" t="inlineStr">
        <is>
          <t>moneyline</t>
        </is>
      </c>
      <c r="I65" s="24" t="inlineStr">
        <is>
          <t>away</t>
        </is>
      </c>
      <c r="J65" s="25" t="n"/>
      <c r="K65" s="24" t="inlineStr">
        <is>
          <t>polymarket_us</t>
        </is>
      </c>
      <c r="L65" s="26" t="n">
        <v>-104</v>
      </c>
      <c r="M65" s="27" t="n">
        <v>1.961538</v>
      </c>
      <c r="N65" s="28" t="n">
        <v>0.509804</v>
      </c>
      <c r="O65" s="28" t="n">
        <v>0.5955</v>
      </c>
      <c r="P65" s="28" t="n"/>
      <c r="Q65" s="28" t="n">
        <v>0.08569599999999999</v>
      </c>
      <c r="R65" s="26" t="n">
        <v>64</v>
      </c>
      <c r="S65" s="29" t="n">
        <v>1.25</v>
      </c>
      <c r="T65" s="24" t="inlineStr">
        <is>
          <t>mlb-elo-trend-lr-v7</t>
        </is>
      </c>
      <c r="U65" s="24" t="inlineStr">
        <is>
          <t>settled</t>
        </is>
      </c>
      <c r="V65" s="24" t="inlineStr">
        <is>
          <t>loss</t>
        </is>
      </c>
      <c r="W65" s="26" t="n">
        <v>1</v>
      </c>
      <c r="X65" s="26" t="n">
        <v>3</v>
      </c>
      <c r="Y65" s="25" t="n"/>
      <c r="Z65" s="26" t="n">
        <v>-104</v>
      </c>
      <c r="AA65" s="28" t="n">
        <v>0.51</v>
      </c>
      <c r="AB65" s="28" t="n">
        <v>0.000196</v>
      </c>
      <c r="AC65" s="30" t="n">
        <v>-1.25</v>
      </c>
      <c r="AD65" s="24" t="inlineStr">
        <is>
          <t>2026-08-01T05:33:39.994911Z</t>
        </is>
      </c>
      <c r="AE65" s="31" t="inlineStr">
        <is>
          <t>Learned LR call at threshold 0.6242; executable ask 0.5100 (aec-mlb-kc-col-2026-07-31); model edge vs ask +0.0855.</t>
        </is>
      </c>
      <c r="AF65" s="31" t="inlineStr">
        <is>
          <t>Learned model; shadow-qualified via operator override.</t>
        </is>
      </c>
      <c r="AG65" s="24" t="inlineStr">
        <is>
          <t>review_required</t>
        </is>
      </c>
      <c r="AH65" s="24" t="n"/>
      <c r="AI65" s="31" t="n"/>
      <c r="AJ65" s="31" t="n"/>
      <c r="AK65" s="24" t="inlineStr">
        <is>
          <t>model_qualified</t>
        </is>
      </c>
      <c r="AL65" s="26" t="n">
        <v>3</v>
      </c>
      <c r="AM65" s="24" t="inlineStr">
        <is>
          <t>QUALIFIED_SHADOW_CALL</t>
        </is>
      </c>
      <c r="AN65" s="24" t="inlineStr">
        <is>
          <t>CALL</t>
        </is>
      </c>
      <c r="AO65" s="24" t="inlineStr">
        <is>
          <t>QUALIFIED</t>
        </is>
      </c>
      <c r="AP65" s="24" t="inlineStr">
        <is>
          <t>mlb-kc</t>
        </is>
      </c>
      <c r="AQ65" s="24" t="inlineStr">
        <is>
          <t>Kansas City Royals</t>
        </is>
      </c>
      <c r="AR65" s="24" t="inlineStr">
        <is>
          <t>Kansas City Royals</t>
        </is>
      </c>
      <c r="AS65" s="24" t="inlineStr">
        <is>
          <t>mlb-col</t>
        </is>
      </c>
      <c r="AT65" s="24" t="inlineStr">
        <is>
          <t>Colorado Rockies</t>
        </is>
      </c>
      <c r="AU65" s="24" t="inlineStr">
        <is>
          <t>Colorado Rockies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464eef695bfbbdaa819ec6f5e4c5bd1068ed20b92915fb2677220ae91e20d8b6</t>
        </is>
      </c>
      <c r="BB65" s="24" t="inlineStr">
        <is>
          <t>learned_lr</t>
        </is>
      </c>
      <c r="BC65" s="24" t="inlineStr">
        <is>
          <t>mlb-elo-trend-lr-v7</t>
        </is>
      </c>
      <c r="BD65" s="24" t="inlineStr">
        <is>
          <t>464eef695bfbbdaa819ec6f5e4c5bd1068ed20b92915fb2677220ae91e20d8b6</t>
        </is>
      </c>
      <c r="BE65" s="24" t="inlineStr">
        <is>
          <t>923d07b1b3b0c2bd</t>
        </is>
      </c>
      <c r="BF65" s="24" t="inlineStr">
        <is>
          <t>1</t>
        </is>
      </c>
      <c r="BG65" s="24" t="inlineStr">
        <is>
          <t>mlb-elo-trend-lr-v7</t>
        </is>
      </c>
      <c r="BH65" s="24" t="inlineStr">
        <is>
          <t>2026-07-31T23:29:19.286255Z</t>
        </is>
      </c>
      <c r="BI65" s="24" t="inlineStr">
        <is>
          <t>["same_event","same_team_same_day","same_league_same_day"]</t>
        </is>
      </c>
      <c r="BJ65" s="25" t="n"/>
      <c r="BK65" s="26" t="n">
        <v>-104</v>
      </c>
      <c r="BL65" s="27" t="n">
        <v>1.961538</v>
      </c>
      <c r="BM65" s="28" t="n">
        <v>0.509804</v>
      </c>
      <c r="BN65" s="28" t="n">
        <v>0.507463</v>
      </c>
      <c r="BO65" s="28" t="n"/>
      <c r="BP65" s="25" t="n"/>
      <c r="BQ65" s="27" t="n">
        <v>1.961538</v>
      </c>
      <c r="BR65" s="28" t="n">
        <v>0.51</v>
      </c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inlineStr">
        <is>
          <t>0.4263386442</t>
        </is>
      </c>
      <c r="CD65" s="24" t="inlineStr">
        <is>
          <t>-0.092509</t>
        </is>
      </c>
      <c r="CE65" s="24" t="inlineStr">
        <is>
          <t>1.193</t>
        </is>
      </c>
      <c r="CF65" s="24" t="inlineStr">
        <is>
          <t>1.0177</t>
        </is>
      </c>
      <c r="CG65" s="24" t="inlineStr">
        <is>
          <t>3.8</t>
        </is>
      </c>
      <c r="CH65" s="24" t="n"/>
      <c r="CI65" s="24" t="n"/>
      <c r="CJ65" s="24" t="n"/>
      <c r="CK65" s="24" t="n"/>
      <c r="CL65" s="24" t="n"/>
      <c r="CM65" s="24" t="n"/>
      <c r="CN65" s="24" t="n"/>
      <c r="CO65" s="24" t="n"/>
    </row>
    <row r="66" ht="36" customHeight="1">
      <c r="A66" s="24" t="inlineStr">
        <is>
          <t>cd01f161ca044950</t>
        </is>
      </c>
      <c r="B66" s="24" t="inlineStr">
        <is>
          <t>2026-07-31T23:29:42.171549Z</t>
        </is>
      </c>
      <c r="C66" s="24" t="inlineStr">
        <is>
          <t>2026-07-31T19:30:00-0400</t>
        </is>
      </c>
      <c r="D66" s="24" t="inlineStr">
        <is>
          <t>401857103</t>
        </is>
      </c>
      <c r="E66" s="24" t="inlineStr">
        <is>
          <t>WNBA</t>
        </is>
      </c>
      <c r="F66" s="24" t="inlineStr">
        <is>
          <t>Dallas Wings</t>
        </is>
      </c>
      <c r="G66" s="24" t="inlineStr">
        <is>
          <t>Washington Mystics</t>
        </is>
      </c>
      <c r="H66" s="24" t="inlineStr">
        <is>
          <t>moneyline</t>
        </is>
      </c>
      <c r="I66" s="24" t="inlineStr">
        <is>
          <t>away</t>
        </is>
      </c>
      <c r="J66" s="25" t="n"/>
      <c r="K66" s="24" t="inlineStr">
        <is>
          <t>polymarket_us</t>
        </is>
      </c>
      <c r="L66" s="26" t="n">
        <v>-150</v>
      </c>
      <c r="M66" s="27" t="n">
        <v>1.666667</v>
      </c>
      <c r="N66" s="28" t="n">
        <v>0.6</v>
      </c>
      <c r="O66" s="28" t="n">
        <v>0.575648</v>
      </c>
      <c r="P66" s="28" t="n"/>
      <c r="Q66" s="28" t="n">
        <v>-0.024352</v>
      </c>
      <c r="R66" s="26" t="n">
        <v>11</v>
      </c>
      <c r="S66" s="29" t="n">
        <v>1.25</v>
      </c>
      <c r="T66" s="24" t="inlineStr">
        <is>
          <t>wnba-elo-trend-lr-v4</t>
        </is>
      </c>
      <c r="U66" s="24" t="inlineStr">
        <is>
          <t>settled</t>
        </is>
      </c>
      <c r="V66" s="24" t="inlineStr">
        <is>
          <t>loss</t>
        </is>
      </c>
      <c r="W66" s="26" t="n">
        <v>75</v>
      </c>
      <c r="X66" s="26" t="n">
        <v>81</v>
      </c>
      <c r="Y66" s="25" t="n"/>
      <c r="Z66" s="26" t="n"/>
      <c r="AA66" s="28" t="n"/>
      <c r="AB66" s="28" t="n"/>
      <c r="AC66" s="30" t="n">
        <v>-1.25</v>
      </c>
      <c r="AD66" s="24" t="inlineStr">
        <is>
          <t>2026-08-01T03:00:06.684303Z</t>
        </is>
      </c>
      <c r="AE66" s="31" t="inlineStr">
        <is>
          <t>Learned LR call at threshold 0.5001; executable ask 0.6000 (aec-wnba-dal-wsh-2026-07-31); model edge vs ask -0.0244.</t>
        </is>
      </c>
      <c r="AF66" s="31" t="inlineStr">
        <is>
          <t>Learned model; shadow-qualified via operator override.</t>
        </is>
      </c>
      <c r="AG66" s="24" t="inlineStr">
        <is>
          <t>review_required</t>
        </is>
      </c>
      <c r="AH66" s="24" t="n"/>
      <c r="AI66" s="31" t="n"/>
      <c r="AJ66" s="31" t="n"/>
      <c r="AK66" s="24" t="inlineStr">
        <is>
          <t>model_qualified</t>
        </is>
      </c>
      <c r="AL66" s="26" t="n">
        <v>3</v>
      </c>
      <c r="AM66" s="24" t="inlineStr">
        <is>
          <t>QUALIFIED_SHADOW_CALL</t>
        </is>
      </c>
      <c r="AN66" s="24" t="inlineStr">
        <is>
          <t>CALL</t>
        </is>
      </c>
      <c r="AO66" s="24" t="inlineStr">
        <is>
          <t>QUALIFIED</t>
        </is>
      </c>
      <c r="AP66" s="24" t="inlineStr">
        <is>
          <t>wnba-dal</t>
        </is>
      </c>
      <c r="AQ66" s="24" t="inlineStr">
        <is>
          <t>Dallas Wings</t>
        </is>
      </c>
      <c r="AR66" s="24" t="inlineStr">
        <is>
          <t>Dallas Wings</t>
        </is>
      </c>
      <c r="AS66" s="24" t="inlineStr">
        <is>
          <t>wnba-was</t>
        </is>
      </c>
      <c r="AT66" s="24" t="inlineStr">
        <is>
          <t>Washington Mystics</t>
        </is>
      </c>
      <c r="AU66" s="24" t="inlineStr">
        <is>
          <t>Washington Mystics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7afd5274214b58b7efd7f7febc7be3ab33b92351cda5cc6403c0a39faea0cc8c</t>
        </is>
      </c>
      <c r="BB66" s="24" t="inlineStr">
        <is>
          <t>learned_lr</t>
        </is>
      </c>
      <c r="BC66" s="24" t="inlineStr">
        <is>
          <t>wnba-elo-trend-lr-v4</t>
        </is>
      </c>
      <c r="BD66" s="24" t="inlineStr">
        <is>
          <t>7afd5274214b58b7efd7f7febc7be3ab33b92351cda5cc6403c0a39faea0cc8c</t>
        </is>
      </c>
      <c r="BE66" s="24" t="inlineStr">
        <is>
          <t>0f848d940ea26816</t>
        </is>
      </c>
      <c r="BF66" s="24" t="inlineStr">
        <is>
          <t>1</t>
        </is>
      </c>
      <c r="BG66" s="24" t="inlineStr">
        <is>
          <t>wnba-elo-trend-lr-v4</t>
        </is>
      </c>
      <c r="BH66" s="24" t="inlineStr">
        <is>
          <t>2026-07-31T23:29:26.294036Z</t>
        </is>
      </c>
      <c r="BI66" s="24" t="inlineStr">
        <is>
          <t>["same_event","same_team_same_day","same_league_same_day"]</t>
        </is>
      </c>
      <c r="BJ66" s="25" t="n"/>
      <c r="BK66" s="26" t="n">
        <v>-150</v>
      </c>
      <c r="BL66" s="27" t="n">
        <v>1.666667</v>
      </c>
      <c r="BM66" s="28" t="n">
        <v>0.6</v>
      </c>
      <c r="BN66" s="28" t="n">
        <v>0.594059</v>
      </c>
      <c r="BO66" s="28" t="n"/>
      <c r="BP66" s="25" t="n"/>
      <c r="BQ66" s="27" t="n"/>
      <c r="BR66" s="28" t="n"/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inlineStr">
        <is>
          <t>0.4036949453</t>
        </is>
      </c>
      <c r="CD66" s="24" t="inlineStr">
        <is>
          <t>-0.615194</t>
        </is>
      </c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</row>
    <row r="67" ht="36" customHeight="1">
      <c r="A67" s="24" t="inlineStr">
        <is>
          <t>a2e6ce67dd9c4ecf</t>
        </is>
      </c>
      <c r="B67" s="24" t="inlineStr">
        <is>
          <t>2026-07-31T23:29:42.171549Z</t>
        </is>
      </c>
      <c r="C67" s="24" t="inlineStr">
        <is>
          <t>2026-07-31T21:38:00-0400</t>
        </is>
      </c>
      <c r="D67" s="24" t="inlineStr">
        <is>
          <t>401816344</t>
        </is>
      </c>
      <c r="E67" s="24" t="inlineStr">
        <is>
          <t>MLB</t>
        </is>
      </c>
      <c r="F67" s="24" t="inlineStr">
        <is>
          <t>Milwaukee Brewers</t>
        </is>
      </c>
      <c r="G67" s="24" t="inlineStr">
        <is>
          <t>Los Angeles Angels</t>
        </is>
      </c>
      <c r="H67" s="24" t="inlineStr">
        <is>
          <t>moneyline</t>
        </is>
      </c>
      <c r="I67" s="24" t="inlineStr">
        <is>
          <t>away</t>
        </is>
      </c>
      <c r="J67" s="25" t="n"/>
      <c r="K67" s="24" t="inlineStr">
        <is>
          <t>polymarket_us</t>
        </is>
      </c>
      <c r="L67" s="26" t="n">
        <v>-156</v>
      </c>
      <c r="M67" s="27" t="n">
        <v>1.641026</v>
      </c>
      <c r="N67" s="28" t="n">
        <v>0.609375</v>
      </c>
      <c r="O67" s="28" t="n">
        <v>0.623039</v>
      </c>
      <c r="P67" s="28" t="n"/>
      <c r="Q67" s="28" t="n">
        <v>0.013664</v>
      </c>
      <c r="R67" s="26" t="n">
        <v>28</v>
      </c>
      <c r="S67" s="29" t="n">
        <v>1.5</v>
      </c>
      <c r="T67" s="24" t="inlineStr">
        <is>
          <t>mlb-elo-trend-lr-v7</t>
        </is>
      </c>
      <c r="U67" s="24" t="inlineStr">
        <is>
          <t>settled</t>
        </is>
      </c>
      <c r="V67" s="24" t="inlineStr">
        <is>
          <t>win</t>
        </is>
      </c>
      <c r="W67" s="26" t="n">
        <v>6</v>
      </c>
      <c r="X67" s="26" t="n">
        <v>2</v>
      </c>
      <c r="Y67" s="25" t="n"/>
      <c r="Z67" s="26" t="n">
        <v>-156</v>
      </c>
      <c r="AA67" s="28" t="n">
        <v>0.61</v>
      </c>
      <c r="AB67" s="28" t="n">
        <v>0.000625</v>
      </c>
      <c r="AC67" s="30" t="n">
        <v>0.9615</v>
      </c>
      <c r="AD67" s="24" t="inlineStr">
        <is>
          <t>2026-08-01T05:33:40.292879Z</t>
        </is>
      </c>
      <c r="AE67" s="31" t="inlineStr">
        <is>
          <t>Learned LR call at threshold 0.6242; executable ask 0.6100 (aec-mlb-mil-laa-2026-07-31); model edge vs ask +0.0130.</t>
        </is>
      </c>
      <c r="AF67" s="31" t="inlineStr">
        <is>
          <t>Learned model; shadow-qualified via operator override.</t>
        </is>
      </c>
      <c r="AG67" s="24" t="inlineStr">
        <is>
          <t>not_applicable</t>
        </is>
      </c>
      <c r="AH67" s="24" t="n"/>
      <c r="AI67" s="31" t="n"/>
      <c r="AJ67" s="31" t="n"/>
      <c r="AK67" s="24" t="inlineStr">
        <is>
          <t>model_qualified</t>
        </is>
      </c>
      <c r="AL67" s="26" t="n">
        <v>3</v>
      </c>
      <c r="AM67" s="24" t="inlineStr">
        <is>
          <t>QUALIFIED_SHADOW_CALL</t>
        </is>
      </c>
      <c r="AN67" s="24" t="inlineStr">
        <is>
          <t>CALL</t>
        </is>
      </c>
      <c r="AO67" s="24" t="inlineStr">
        <is>
          <t>QUALIFIED</t>
        </is>
      </c>
      <c r="AP67" s="24" t="inlineStr">
        <is>
          <t>mlb-mil</t>
        </is>
      </c>
      <c r="AQ67" s="24" t="inlineStr">
        <is>
          <t>Milwaukee Brewers</t>
        </is>
      </c>
      <c r="AR67" s="24" t="inlineStr">
        <is>
          <t>Milwaukee Brewers</t>
        </is>
      </c>
      <c r="AS67" s="24" t="inlineStr">
        <is>
          <t>mlb-laa</t>
        </is>
      </c>
      <c r="AT67" s="24" t="inlineStr">
        <is>
          <t>Los Angeles Angels</t>
        </is>
      </c>
      <c r="AU67" s="24" t="inlineStr">
        <is>
          <t>Los Angeles Angels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464eef695bfbbdaa819ec6f5e4c5bd1068ed20b92915fb2677220ae91e20d8b6</t>
        </is>
      </c>
      <c r="BB67" s="24" t="inlineStr">
        <is>
          <t>learned_lr</t>
        </is>
      </c>
      <c r="BC67" s="24" t="inlineStr">
        <is>
          <t>mlb-elo-trend-lr-v7</t>
        </is>
      </c>
      <c r="BD67" s="24" t="inlineStr">
        <is>
          <t>464eef695bfbbdaa819ec6f5e4c5bd1068ed20b92915fb2677220ae91e20d8b6</t>
        </is>
      </c>
      <c r="BE67" s="24" t="inlineStr">
        <is>
          <t>536a32a342b89fa6</t>
        </is>
      </c>
      <c r="BF67" s="24" t="inlineStr">
        <is>
          <t>1</t>
        </is>
      </c>
      <c r="BG67" s="24" t="inlineStr">
        <is>
          <t>mlb-elo-trend-lr-v7</t>
        </is>
      </c>
      <c r="BH67" s="24" t="inlineStr">
        <is>
          <t>2026-07-31T23:29:19.944430Z</t>
        </is>
      </c>
      <c r="BI67" s="24" t="inlineStr">
        <is>
          <t>["same_event","same_team_same_day","same_league_same_day"]</t>
        </is>
      </c>
      <c r="BJ67" s="25" t="n"/>
      <c r="BK67" s="26" t="n">
        <v>-156</v>
      </c>
      <c r="BL67" s="27" t="n">
        <v>1.641026</v>
      </c>
      <c r="BM67" s="28" t="n">
        <v>0.609375</v>
      </c>
      <c r="BN67" s="28" t="n">
        <v>0.606965</v>
      </c>
      <c r="BO67" s="28" t="n"/>
      <c r="BP67" s="25" t="n"/>
      <c r="BQ67" s="27" t="n">
        <v>1.641026</v>
      </c>
      <c r="BR67" s="28" t="n">
        <v>0.61</v>
      </c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inlineStr">
        <is>
          <t>0.3355785191</t>
        </is>
      </c>
      <c r="CD67" s="24" t="inlineStr">
        <is>
          <t>-0.284241</t>
        </is>
      </c>
      <c r="CE67" s="24" t="inlineStr">
        <is>
          <t>1.01</t>
        </is>
      </c>
      <c r="CF67" s="24" t="inlineStr">
        <is>
          <t>1.0122</t>
        </is>
      </c>
      <c r="CG67" s="24" t="inlineStr">
        <is>
          <t>-0.4</t>
        </is>
      </c>
      <c r="CH67" s="24" t="n"/>
      <c r="CI67" s="24" t="n"/>
      <c r="CJ67" s="24" t="n"/>
      <c r="CK67" s="24" t="n"/>
      <c r="CL67" s="24" t="n"/>
      <c r="CM67" s="24" t="n"/>
      <c r="CN67" s="24" t="n"/>
      <c r="CO67" s="24" t="n"/>
    </row>
    <row r="68" ht="36" customHeight="1">
      <c r="A68" s="24" t="inlineStr">
        <is>
          <t>f87ad21d2fcd40e3</t>
        </is>
      </c>
      <c r="B68" s="24" t="inlineStr">
        <is>
          <t>2026-07-31T23:29:42.171549Z</t>
        </is>
      </c>
      <c r="C68" s="24" t="inlineStr">
        <is>
          <t>2026-07-31T22:00:00-0400</t>
        </is>
      </c>
      <c r="D68" s="24" t="inlineStr">
        <is>
          <t>401857104</t>
        </is>
      </c>
      <c r="E68" s="24" t="inlineStr">
        <is>
          <t>WNBA</t>
        </is>
      </c>
      <c r="F68" s="24" t="inlineStr">
        <is>
          <t>Indiana Fever</t>
        </is>
      </c>
      <c r="G68" s="24" t="inlineStr">
        <is>
          <t>Portland Fire</t>
        </is>
      </c>
      <c r="H68" s="24" t="inlineStr">
        <is>
          <t>moneyline</t>
        </is>
      </c>
      <c r="I68" s="24" t="inlineStr">
        <is>
          <t>away</t>
        </is>
      </c>
      <c r="J68" s="25" t="n"/>
      <c r="K68" s="24" t="inlineStr">
        <is>
          <t>polymarket_us</t>
        </is>
      </c>
      <c r="L68" s="26" t="n">
        <v>-300</v>
      </c>
      <c r="M68" s="27" t="n">
        <v>1.333333</v>
      </c>
      <c r="N68" s="28" t="n">
        <v>0.75</v>
      </c>
      <c r="O68" s="28" t="n">
        <v>0.650826</v>
      </c>
      <c r="P68" s="28" t="n"/>
      <c r="Q68" s="28" t="n">
        <v>-0.099174</v>
      </c>
      <c r="R68" s="26" t="n">
        <v>0</v>
      </c>
      <c r="S68" s="29" t="n">
        <v>1.75</v>
      </c>
      <c r="T68" s="24" t="inlineStr">
        <is>
          <t>wnba-elo-trend-lr-v4</t>
        </is>
      </c>
      <c r="U68" s="24" t="inlineStr">
        <is>
          <t>settled</t>
        </is>
      </c>
      <c r="V68" s="24" t="inlineStr">
        <is>
          <t>win</t>
        </is>
      </c>
      <c r="W68" s="26" t="n">
        <v>112</v>
      </c>
      <c r="X68" s="26" t="n">
        <v>98</v>
      </c>
      <c r="Y68" s="25" t="n"/>
      <c r="Z68" s="26" t="n"/>
      <c r="AA68" s="28" t="n"/>
      <c r="AB68" s="28" t="n"/>
      <c r="AC68" s="30" t="n">
        <v>0.5833</v>
      </c>
      <c r="AD68" s="24" t="inlineStr">
        <is>
          <t>2026-08-01T05:33:40.859943Z</t>
        </is>
      </c>
      <c r="AE68" s="31" t="inlineStr">
        <is>
          <t>Learned LR call at threshold 0.5001; executable ask 0.7500 (aec-wnba-ind-por-2026-07-31); model edge vs ask -0.0992. NOTE: wnba_availability_source_conflict unavailable for this game — defaulted to neutral, other features used normally.</t>
        </is>
      </c>
      <c r="AF68" s="31" t="inlineStr">
        <is>
          <t>Learned model; shadow-qualified via operator override.</t>
        </is>
      </c>
      <c r="AG68" s="24" t="inlineStr">
        <is>
          <t>not_applicable</t>
        </is>
      </c>
      <c r="AH68" s="24" t="n"/>
      <c r="AI68" s="31" t="n"/>
      <c r="AJ68" s="31" t="n"/>
      <c r="AK68" s="24" t="inlineStr">
        <is>
          <t>model_qualified</t>
        </is>
      </c>
      <c r="AL68" s="26" t="n">
        <v>3</v>
      </c>
      <c r="AM68" s="24" t="inlineStr">
        <is>
          <t>QUALIFIED_SHADOW_CALL</t>
        </is>
      </c>
      <c r="AN68" s="24" t="inlineStr">
        <is>
          <t>CALL</t>
        </is>
      </c>
      <c r="AO68" s="24" t="inlineStr">
        <is>
          <t>QUALIFIED</t>
        </is>
      </c>
      <c r="AP68" s="24" t="inlineStr">
        <is>
          <t>wnba-ind</t>
        </is>
      </c>
      <c r="AQ68" s="24" t="inlineStr">
        <is>
          <t>Indiana Fever</t>
        </is>
      </c>
      <c r="AR68" s="24" t="inlineStr">
        <is>
          <t>Indiana Fever</t>
        </is>
      </c>
      <c r="AS68" s="24" t="inlineStr">
        <is>
          <t>wnba-por</t>
        </is>
      </c>
      <c r="AT68" s="24" t="inlineStr">
        <is>
          <t>Portland Fire</t>
        </is>
      </c>
      <c r="AU68" s="24" t="inlineStr">
        <is>
          <t>Portland Fire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shadow_qualified</t>
        </is>
      </c>
      <c r="BA68" s="24" t="inlineStr">
        <is>
          <t>7afd5274214b58b7efd7f7febc7be3ab33b92351cda5cc6403c0a39faea0cc8c</t>
        </is>
      </c>
      <c r="BB68" s="24" t="inlineStr">
        <is>
          <t>learned_lr</t>
        </is>
      </c>
      <c r="BC68" s="24" t="inlineStr">
        <is>
          <t>wnba-elo-trend-lr-v4</t>
        </is>
      </c>
      <c r="BD68" s="24" t="inlineStr">
        <is>
          <t>7afd5274214b58b7efd7f7febc7be3ab33b92351cda5cc6403c0a39faea0cc8c</t>
        </is>
      </c>
      <c r="BE68" s="24" t="inlineStr">
        <is>
          <t>bcb9c02760c21728</t>
        </is>
      </c>
      <c r="BF68" s="24" t="inlineStr">
        <is>
          <t>1</t>
        </is>
      </c>
      <c r="BG68" s="24" t="inlineStr">
        <is>
          <t>wnba-elo-trend-lr-v4</t>
        </is>
      </c>
      <c r="BH68" s="24" t="inlineStr">
        <is>
          <t>2026-07-31T23:29:27.325378Z</t>
        </is>
      </c>
      <c r="BI68" s="24" t="inlineStr">
        <is>
          <t>["same_event","same_team_same_day","same_league_same_day"]</t>
        </is>
      </c>
      <c r="BJ68" s="25" t="n"/>
      <c r="BK68" s="26" t="n">
        <v>-300</v>
      </c>
      <c r="BL68" s="27" t="n">
        <v>1.333333</v>
      </c>
      <c r="BM68" s="28" t="n">
        <v>0.75</v>
      </c>
      <c r="BN68" s="28" t="n">
        <v>0.742574</v>
      </c>
      <c r="BO68" s="28" t="n"/>
      <c r="BP68" s="25" t="n"/>
      <c r="BQ68" s="27" t="n"/>
      <c r="BR68" s="28" t="n"/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inlineStr">
        <is>
          <t>0.2910587699</t>
        </is>
      </c>
      <c r="CD68" s="24" t="inlineStr">
        <is>
          <t>-7.416658</t>
        </is>
      </c>
      <c r="CE68" s="24" t="n"/>
      <c r="CF68" s="24" t="n"/>
      <c r="CG68" s="24" t="n"/>
      <c r="CH68" s="24" t="n"/>
      <c r="CI68" s="24" t="inlineStr">
        <is>
          <t>wnba_availability_source_conflict</t>
        </is>
      </c>
      <c r="CJ68" s="24" t="n"/>
      <c r="CK68" s="24" t="n"/>
      <c r="CL68" s="24" t="n"/>
      <c r="CM68" s="24" t="n"/>
      <c r="CN68" s="24" t="n"/>
      <c r="CO68" s="24" t="n"/>
    </row>
    <row r="69" ht="36" customHeight="1">
      <c r="A69" s="24" t="inlineStr">
        <is>
          <t>7a057b5796e04b28</t>
        </is>
      </c>
      <c r="B69" s="24" t="inlineStr">
        <is>
          <t>2026-07-31T23:29:42.171549Z</t>
        </is>
      </c>
      <c r="C69" s="24" t="inlineStr">
        <is>
          <t>2026-07-31T21:40:00-0400</t>
        </is>
      </c>
      <c r="D69" s="24" t="inlineStr">
        <is>
          <t>401816343</t>
        </is>
      </c>
      <c r="E69" s="24" t="inlineStr">
        <is>
          <t>MLB</t>
        </is>
      </c>
      <c r="F69" s="24" t="inlineStr">
        <is>
          <t>Detroit Tigers</t>
        </is>
      </c>
      <c r="G69" s="24" t="inlineStr">
        <is>
          <t>Athletics</t>
        </is>
      </c>
      <c r="H69" s="24" t="inlineStr">
        <is>
          <t>moneyline</t>
        </is>
      </c>
      <c r="I69" s="24" t="inlineStr">
        <is>
          <t>away</t>
        </is>
      </c>
      <c r="J69" s="25" t="n"/>
      <c r="K69" s="24" t="inlineStr">
        <is>
          <t>polymarket_us</t>
        </is>
      </c>
      <c r="L69" s="26" t="n">
        <v>-130</v>
      </c>
      <c r="M69" s="27" t="n">
        <v>1.769231</v>
      </c>
      <c r="N69" s="28" t="n">
        <v>0.565217</v>
      </c>
      <c r="O69" s="28" t="n">
        <v>0.557314</v>
      </c>
      <c r="P69" s="28" t="n"/>
      <c r="Q69" s="28" t="n">
        <v>-0.007903</v>
      </c>
      <c r="R69" s="26" t="n">
        <v>18</v>
      </c>
      <c r="S69" s="29" t="n">
        <v>1</v>
      </c>
      <c r="T69" s="24" t="inlineStr">
        <is>
          <t>mlb-elo-trend-lr-v7</t>
        </is>
      </c>
      <c r="U69" s="24" t="inlineStr">
        <is>
          <t>settled</t>
        </is>
      </c>
      <c r="V69" s="24" t="inlineStr">
        <is>
          <t>win</t>
        </is>
      </c>
      <c r="W69" s="26" t="n">
        <v>13</v>
      </c>
      <c r="X69" s="26" t="n">
        <v>1</v>
      </c>
      <c r="Y69" s="25" t="n"/>
      <c r="Z69" s="26" t="n">
        <v>-130</v>
      </c>
      <c r="AA69" s="28" t="n">
        <v>0.5649999999999999</v>
      </c>
      <c r="AB69" s="28" t="n">
        <v>-0.000217</v>
      </c>
      <c r="AC69" s="30" t="n">
        <v>0.7692</v>
      </c>
      <c r="AD69" s="24" t="inlineStr">
        <is>
          <t>2026-08-01T05:33:41.180045Z</t>
        </is>
      </c>
      <c r="AE69" s="31" t="inlineStr">
        <is>
          <t>Learned LR call at threshold 0.6242; executable ask 0.5650 (aec-mlb-det-ath-2026-07-31); model edge vs ask -0.0077.</t>
        </is>
      </c>
      <c r="AF69" s="31" t="inlineStr">
        <is>
          <t>Learned model; shadow-qualified via operator override.</t>
        </is>
      </c>
      <c r="AG69" s="24" t="inlineStr">
        <is>
          <t>not_applicable</t>
        </is>
      </c>
      <c r="AH69" s="24" t="n"/>
      <c r="AI69" s="31" t="n"/>
      <c r="AJ69" s="31" t="n"/>
      <c r="AK69" s="24" t="inlineStr">
        <is>
          <t>model_qualified</t>
        </is>
      </c>
      <c r="AL69" s="26" t="n">
        <v>3</v>
      </c>
      <c r="AM69" s="24" t="inlineStr">
        <is>
          <t>QUALIFIED_SHADOW_CALL</t>
        </is>
      </c>
      <c r="AN69" s="24" t="inlineStr">
        <is>
          <t>CALL</t>
        </is>
      </c>
      <c r="AO69" s="24" t="inlineStr">
        <is>
          <t>QUALIFIED</t>
        </is>
      </c>
      <c r="AP69" s="24" t="inlineStr">
        <is>
          <t>mlb-det</t>
        </is>
      </c>
      <c r="AQ69" s="24" t="inlineStr">
        <is>
          <t>Detroit Tigers</t>
        </is>
      </c>
      <c r="AR69" s="24" t="inlineStr">
        <is>
          <t>Detroit Tigers</t>
        </is>
      </c>
      <c r="AS69" s="24" t="inlineStr">
        <is>
          <t>mlb-ath</t>
        </is>
      </c>
      <c r="AT69" s="24" t="inlineStr">
        <is>
          <t>Athletics</t>
        </is>
      </c>
      <c r="AU69" s="24" t="inlineStr">
        <is>
          <t>Athletics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464eef695bfbbdaa819ec6f5e4c5bd1068ed20b92915fb2677220ae91e20d8b6</t>
        </is>
      </c>
      <c r="BB69" s="24" t="inlineStr">
        <is>
          <t>learned_lr</t>
        </is>
      </c>
      <c r="BC69" s="24" t="inlineStr">
        <is>
          <t>mlb-elo-trend-lr-v7</t>
        </is>
      </c>
      <c r="BD69" s="24" t="inlineStr">
        <is>
          <t>464eef695bfbbdaa819ec6f5e4c5bd1068ed20b92915fb2677220ae91e20d8b6</t>
        </is>
      </c>
      <c r="BE69" s="24" t="inlineStr">
        <is>
          <t>eaf96e9b22f1492f</t>
        </is>
      </c>
      <c r="BF69" s="24" t="inlineStr">
        <is>
          <t>1</t>
        </is>
      </c>
      <c r="BG69" s="24" t="inlineStr">
        <is>
          <t>mlb-elo-trend-lr-v7</t>
        </is>
      </c>
      <c r="BH69" s="24" t="inlineStr">
        <is>
          <t>2026-07-31T23:29:20.970194Z</t>
        </is>
      </c>
      <c r="BI69" s="24" t="inlineStr">
        <is>
          <t>["same_event","same_team_same_day","same_league_same_day"]</t>
        </is>
      </c>
      <c r="BJ69" s="25" t="n"/>
      <c r="BK69" s="26" t="n">
        <v>-130</v>
      </c>
      <c r="BL69" s="27" t="n">
        <v>1.769231</v>
      </c>
      <c r="BM69" s="28" t="n">
        <v>0.565217</v>
      </c>
      <c r="BN69" s="28" t="n">
        <v>0.562189</v>
      </c>
      <c r="BO69" s="28" t="n"/>
      <c r="BP69" s="25" t="n"/>
      <c r="BQ69" s="27" t="n">
        <v>1.769231</v>
      </c>
      <c r="BR69" s="28" t="n">
        <v>0.5649999999999999</v>
      </c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inlineStr">
        <is>
          <t>0.4303979443</t>
        </is>
      </c>
      <c r="CD69" s="24" t="inlineStr">
        <is>
          <t>-2.346854</t>
        </is>
      </c>
      <c r="CE69" s="24" t="inlineStr">
        <is>
          <t>1.153</t>
        </is>
      </c>
      <c r="CF69" s="24" t="inlineStr">
        <is>
          <t>1.0239</t>
        </is>
      </c>
      <c r="CG69" s="24" t="inlineStr">
        <is>
          <t>0.6</t>
        </is>
      </c>
      <c r="CH69" s="24" t="n"/>
      <c r="CI69" s="24" t="n"/>
      <c r="CJ69" s="24" t="n"/>
      <c r="CK69" s="24" t="n"/>
      <c r="CL69" s="24" t="n"/>
      <c r="CM69" s="24" t="n"/>
      <c r="CN69" s="24" t="n"/>
      <c r="CO69" s="24" t="n"/>
    </row>
    <row r="70" ht="36" customHeight="1">
      <c r="A70" s="24" t="inlineStr">
        <is>
          <t>6dda98bb166f4f4c</t>
        </is>
      </c>
      <c r="B70" s="24" t="inlineStr">
        <is>
          <t>2026-07-31T23:29:42.171549Z</t>
        </is>
      </c>
      <c r="C70" s="24" t="inlineStr">
        <is>
          <t>2026-07-31T21:45:00-0400</t>
        </is>
      </c>
      <c r="D70" s="24" t="inlineStr">
        <is>
          <t>401816346</t>
        </is>
      </c>
      <c r="E70" s="24" t="inlineStr">
        <is>
          <t>MLB</t>
        </is>
      </c>
      <c r="F70" s="24" t="inlineStr">
        <is>
          <t>San Francisco Giants</t>
        </is>
      </c>
      <c r="G70" s="24" t="inlineStr">
        <is>
          <t>San Diego Padres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-138</v>
      </c>
      <c r="M70" s="27" t="n">
        <v>1.724638</v>
      </c>
      <c r="N70" s="28" t="n">
        <v>0.579832</v>
      </c>
      <c r="O70" s="28" t="n">
        <v>0.594553</v>
      </c>
      <c r="P70" s="28" t="n"/>
      <c r="Q70" s="28" t="n">
        <v>0.014721</v>
      </c>
      <c r="R70" s="26" t="n">
        <v>29</v>
      </c>
      <c r="S70" s="29" t="n">
        <v>1.25</v>
      </c>
      <c r="T70" s="24" t="inlineStr">
        <is>
          <t>mlb-elo-trend-lr-v7</t>
        </is>
      </c>
      <c r="U70" s="24" t="inlineStr">
        <is>
          <t>settled</t>
        </is>
      </c>
      <c r="V70" s="24" t="inlineStr">
        <is>
          <t>win</t>
        </is>
      </c>
      <c r="W70" s="26" t="n">
        <v>0</v>
      </c>
      <c r="X70" s="26" t="n">
        <v>7</v>
      </c>
      <c r="Y70" s="25" t="n"/>
      <c r="Z70" s="26" t="n">
        <v>-138</v>
      </c>
      <c r="AA70" s="28" t="n">
        <v>0.58</v>
      </c>
      <c r="AB70" s="28" t="n">
        <v>0.000168</v>
      </c>
      <c r="AC70" s="30" t="n">
        <v>0.9058</v>
      </c>
      <c r="AD70" s="24" t="inlineStr">
        <is>
          <t>2026-08-01T05:33:41.504211Z</t>
        </is>
      </c>
      <c r="AE70" s="31" t="inlineStr">
        <is>
          <t>Learned LR call at threshold 0.6242; executable ask 0.5800 (aec-mlb-sf-sd-2026-07-31); model edge vs ask +0.0146.</t>
        </is>
      </c>
      <c r="AF70" s="31" t="inlineStr">
        <is>
          <t>Learned model; shadow-qualified via operator override.</t>
        </is>
      </c>
      <c r="AG70" s="24" t="inlineStr">
        <is>
          <t>not_applicable</t>
        </is>
      </c>
      <c r="AH70" s="24" t="n"/>
      <c r="AI70" s="31" t="n"/>
      <c r="AJ70" s="31" t="n"/>
      <c r="AK70" s="24" t="inlineStr">
        <is>
          <t>model_qualified</t>
        </is>
      </c>
      <c r="AL70" s="26" t="n">
        <v>3</v>
      </c>
      <c r="AM70" s="24" t="inlineStr">
        <is>
          <t>QUALIFIED_SHADOW_CALL</t>
        </is>
      </c>
      <c r="AN70" s="24" t="inlineStr">
        <is>
          <t>CALL</t>
        </is>
      </c>
      <c r="AO70" s="24" t="inlineStr">
        <is>
          <t>QUALIFIED</t>
        </is>
      </c>
      <c r="AP70" s="24" t="inlineStr">
        <is>
          <t>mlb-sf</t>
        </is>
      </c>
      <c r="AQ70" s="24" t="inlineStr">
        <is>
          <t>San Francisco Giants</t>
        </is>
      </c>
      <c r="AR70" s="24" t="inlineStr">
        <is>
          <t>San Francisco Giants</t>
        </is>
      </c>
      <c r="AS70" s="24" t="inlineStr">
        <is>
          <t>mlb-sd</t>
        </is>
      </c>
      <c r="AT70" s="24" t="inlineStr">
        <is>
          <t>San Diego Padres</t>
        </is>
      </c>
      <c r="AU70" s="24" t="inlineStr">
        <is>
          <t>San Diego Padres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464eef695bfbbdaa819ec6f5e4c5bd1068ed20b92915fb2677220ae91e20d8b6</t>
        </is>
      </c>
      <c r="BB70" s="24" t="inlineStr">
        <is>
          <t>learned_lr</t>
        </is>
      </c>
      <c r="BC70" s="24" t="inlineStr">
        <is>
          <t>mlb-elo-trend-lr-v7</t>
        </is>
      </c>
      <c r="BD70" s="24" t="inlineStr">
        <is>
          <t>464eef695bfbbdaa819ec6f5e4c5bd1068ed20b92915fb2677220ae91e20d8b6</t>
        </is>
      </c>
      <c r="BE70" s="24" t="inlineStr">
        <is>
          <t>9df16cb5c93b6892</t>
        </is>
      </c>
      <c r="BF70" s="24" t="inlineStr">
        <is>
          <t>1</t>
        </is>
      </c>
      <c r="BG70" s="24" t="inlineStr">
        <is>
          <t>mlb-elo-trend-lr-v7</t>
        </is>
      </c>
      <c r="BH70" s="24" t="inlineStr">
        <is>
          <t>2026-07-31T23:29:22.107755Z</t>
        </is>
      </c>
      <c r="BI70" s="24" t="inlineStr">
        <is>
          <t>["same_event","same_team_same_day","same_league_same_day"]</t>
        </is>
      </c>
      <c r="BJ70" s="25" t="n"/>
      <c r="BK70" s="26" t="n">
        <v>-138</v>
      </c>
      <c r="BL70" s="27" t="n">
        <v>1.724638</v>
      </c>
      <c r="BM70" s="28" t="n">
        <v>0.579832</v>
      </c>
      <c r="BN70" s="28" t="n">
        <v>0.577114</v>
      </c>
      <c r="BO70" s="28" t="n"/>
      <c r="BP70" s="25" t="n"/>
      <c r="BQ70" s="27" t="n">
        <v>1.724638</v>
      </c>
      <c r="BR70" s="28" t="n">
        <v>0.58</v>
      </c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inlineStr">
        <is>
          <t>0.5827558821</t>
        </is>
      </c>
      <c r="CD70" s="24" t="inlineStr">
        <is>
          <t>-1.601104</t>
        </is>
      </c>
      <c r="CE70" s="24" t="inlineStr">
        <is>
          <t>0.945</t>
        </is>
      </c>
      <c r="CF70" s="24" t="inlineStr">
        <is>
          <t>1.0049</t>
        </is>
      </c>
      <c r="CG70" s="24" t="inlineStr">
        <is>
          <t>-0.2</t>
        </is>
      </c>
      <c r="CH70" s="24" t="n"/>
      <c r="CI70" s="24" t="n"/>
      <c r="CJ70" s="24" t="n"/>
      <c r="CK70" s="24" t="n"/>
      <c r="CL70" s="24" t="n"/>
      <c r="CM70" s="24" t="n"/>
      <c r="CN70" s="24" t="n"/>
      <c r="CO70" s="24" t="n"/>
    </row>
    <row r="71" ht="36" customHeight="1">
      <c r="A71" s="24" t="inlineStr">
        <is>
          <t>3cc74c950ced43ef</t>
        </is>
      </c>
      <c r="B71" s="24" t="inlineStr">
        <is>
          <t>2026-07-31T23:29:42.171549Z</t>
        </is>
      </c>
      <c r="C71" s="24" t="inlineStr">
        <is>
          <t>2026-07-31T22:10:00-0400</t>
        </is>
      </c>
      <c r="D71" s="24" t="inlineStr">
        <is>
          <t>401816342</t>
        </is>
      </c>
      <c r="E71" s="24" t="inlineStr">
        <is>
          <t>MLB</t>
        </is>
      </c>
      <c r="F71" s="24" t="inlineStr">
        <is>
          <t>Boston Red Sox</t>
        </is>
      </c>
      <c r="G71" s="24" t="inlineStr">
        <is>
          <t>Los Angeles Dodgers</t>
        </is>
      </c>
      <c r="H71" s="24" t="inlineStr">
        <is>
          <t>moneyline</t>
        </is>
      </c>
      <c r="I71" s="24" t="inlineStr">
        <is>
          <t>home</t>
        </is>
      </c>
      <c r="J71" s="25" t="n"/>
      <c r="K71" s="24" t="inlineStr">
        <is>
          <t>polymarket_us</t>
        </is>
      </c>
      <c r="L71" s="26" t="n">
        <v>-125</v>
      </c>
      <c r="M71" s="27" t="n">
        <v>1.8</v>
      </c>
      <c r="N71" s="28" t="n">
        <v>0.555556</v>
      </c>
      <c r="O71" s="28" t="n">
        <v>0.564527</v>
      </c>
      <c r="P71" s="28" t="n"/>
      <c r="Q71" s="28" t="n">
        <v>0.008971</v>
      </c>
      <c r="R71" s="26" t="n">
        <v>26</v>
      </c>
      <c r="S71" s="29" t="n">
        <v>1</v>
      </c>
      <c r="T71" s="24" t="inlineStr">
        <is>
          <t>mlb-elo-trend-lr-v7</t>
        </is>
      </c>
      <c r="U71" s="24" t="inlineStr">
        <is>
          <t>settled</t>
        </is>
      </c>
      <c r="V71" s="24" t="inlineStr">
        <is>
          <t>loss</t>
        </is>
      </c>
      <c r="W71" s="26" t="n">
        <v>9</v>
      </c>
      <c r="X71" s="26" t="n">
        <v>4</v>
      </c>
      <c r="Y71" s="25" t="n"/>
      <c r="Z71" s="26" t="n">
        <v>-125</v>
      </c>
      <c r="AA71" s="28" t="n">
        <v>0.555</v>
      </c>
      <c r="AB71" s="28" t="n">
        <v>-0.000556</v>
      </c>
      <c r="AC71" s="30" t="n">
        <v>-1</v>
      </c>
      <c r="AD71" s="24" t="inlineStr">
        <is>
          <t>2026-08-01T05:33:41.816447Z</t>
        </is>
      </c>
      <c r="AE71" s="31" t="inlineStr">
        <is>
          <t>Learned LR call at threshold 0.6242; executable ask 0.5550 (aec-mlb-bos-lad-2026-07-31); model edge vs ask +0.0095.</t>
        </is>
      </c>
      <c r="AF71" s="31" t="inlineStr">
        <is>
          <t>Learned model; shadow-qualified via operator override.</t>
        </is>
      </c>
      <c r="AG71" s="24" t="inlineStr">
        <is>
          <t>review_required</t>
        </is>
      </c>
      <c r="AH71" s="24" t="n"/>
      <c r="AI71" s="31" t="n"/>
      <c r="AJ71" s="31" t="n"/>
      <c r="AK71" s="24" t="inlineStr">
        <is>
          <t>model_qualified</t>
        </is>
      </c>
      <c r="AL71" s="26" t="n">
        <v>3</v>
      </c>
      <c r="AM71" s="24" t="inlineStr">
        <is>
          <t>QUALIFIED_SHADOW_CALL</t>
        </is>
      </c>
      <c r="AN71" s="24" t="inlineStr">
        <is>
          <t>CALL</t>
        </is>
      </c>
      <c r="AO71" s="24" t="inlineStr">
        <is>
          <t>QUALIFIED</t>
        </is>
      </c>
      <c r="AP71" s="24" t="inlineStr">
        <is>
          <t>mlb-bos</t>
        </is>
      </c>
      <c r="AQ71" s="24" t="inlineStr">
        <is>
          <t>Boston Red Sox</t>
        </is>
      </c>
      <c r="AR71" s="24" t="inlineStr">
        <is>
          <t>Boston Red Sox</t>
        </is>
      </c>
      <c r="AS71" s="24" t="inlineStr">
        <is>
          <t>mlb-lad</t>
        </is>
      </c>
      <c r="AT71" s="24" t="inlineStr">
        <is>
          <t>Los Angeles Dodgers</t>
        </is>
      </c>
      <c r="AU71" s="24" t="inlineStr">
        <is>
          <t>Los Angeles Dodgers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shadow_qualified</t>
        </is>
      </c>
      <c r="BA71" s="24" t="inlineStr">
        <is>
          <t>464eef695bfbbdaa819ec6f5e4c5bd1068ed20b92915fb2677220ae91e20d8b6</t>
        </is>
      </c>
      <c r="BB71" s="24" t="inlineStr">
        <is>
          <t>learned_lr</t>
        </is>
      </c>
      <c r="BC71" s="24" t="inlineStr">
        <is>
          <t>mlb-elo-trend-lr-v7</t>
        </is>
      </c>
      <c r="BD71" s="24" t="inlineStr">
        <is>
          <t>464eef695bfbbdaa819ec6f5e4c5bd1068ed20b92915fb2677220ae91e20d8b6</t>
        </is>
      </c>
      <c r="BE71" s="24" t="inlineStr">
        <is>
          <t>eadca7460f5bd810</t>
        </is>
      </c>
      <c r="BF71" s="24" t="inlineStr">
        <is>
          <t>1</t>
        </is>
      </c>
      <c r="BG71" s="24" t="inlineStr">
        <is>
          <t>mlb-elo-trend-lr-v7</t>
        </is>
      </c>
      <c r="BH71" s="24" t="inlineStr">
        <is>
          <t>2026-07-31T23:29:23.984993Z</t>
        </is>
      </c>
      <c r="BI71" s="24" t="inlineStr">
        <is>
          <t>["same_event","same_team_same_day","same_league_same_day"]</t>
        </is>
      </c>
      <c r="BJ71" s="25" t="n"/>
      <c r="BK71" s="26" t="n">
        <v>-125</v>
      </c>
      <c r="BL71" s="27" t="n">
        <v>1.8</v>
      </c>
      <c r="BM71" s="28" t="n">
        <v>0.555556</v>
      </c>
      <c r="BN71" s="28" t="n">
        <v>0.552239</v>
      </c>
      <c r="BO71" s="28" t="n"/>
      <c r="BP71" s="25" t="n"/>
      <c r="BQ71" s="27" t="n">
        <v>1.8</v>
      </c>
      <c r="BR71" s="28" t="n">
        <v>0.555</v>
      </c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inlineStr">
        <is>
          <t>0.5626775445</t>
        </is>
      </c>
      <c r="CD71" s="24" t="inlineStr">
        <is>
          <t>0.365039</t>
        </is>
      </c>
      <c r="CE71" s="24" t="inlineStr">
        <is>
          <t>1.026</t>
        </is>
      </c>
      <c r="CF71" s="24" t="inlineStr">
        <is>
          <t>1.0057</t>
        </is>
      </c>
      <c r="CG71" s="24" t="inlineStr">
        <is>
          <t>2.2</t>
        </is>
      </c>
      <c r="CH71" s="24" t="n"/>
      <c r="CI71" s="24" t="n"/>
      <c r="CJ71" s="24" t="n"/>
      <c r="CK71" s="24" t="n"/>
      <c r="CL71" s="24" t="n"/>
      <c r="CM71" s="24" t="n"/>
      <c r="CN71" s="24" t="n"/>
      <c r="CO71" s="24" t="n"/>
    </row>
    <row r="72" ht="36" customHeight="1">
      <c r="A72" s="24" t="inlineStr">
        <is>
          <t>f094a2aadd8b4718</t>
        </is>
      </c>
      <c r="B72" s="24" t="inlineStr">
        <is>
          <t>2026-07-31T23:29:42.171549Z</t>
        </is>
      </c>
      <c r="C72" s="24" t="inlineStr">
        <is>
          <t>2026-07-31T22:10:00-0400</t>
        </is>
      </c>
      <c r="D72" s="24" t="inlineStr">
        <is>
          <t>401816345</t>
        </is>
      </c>
      <c r="E72" s="24" t="inlineStr">
        <is>
          <t>MLB</t>
        </is>
      </c>
      <c r="F72" s="24" t="inlineStr">
        <is>
          <t>Minnesota Twins</t>
        </is>
      </c>
      <c r="G72" s="24" t="inlineStr">
        <is>
          <t>Seattle Mariners</t>
        </is>
      </c>
      <c r="H72" s="24" t="inlineStr">
        <is>
          <t>moneyline</t>
        </is>
      </c>
      <c r="I72" s="24" t="inlineStr">
        <is>
          <t>home</t>
        </is>
      </c>
      <c r="J72" s="25" t="n"/>
      <c r="K72" s="24" t="inlineStr">
        <is>
          <t>polymarket_us</t>
        </is>
      </c>
      <c r="L72" s="26" t="n">
        <v>-156</v>
      </c>
      <c r="M72" s="27" t="n">
        <v>1.641026</v>
      </c>
      <c r="N72" s="28" t="n">
        <v>0.609375</v>
      </c>
      <c r="O72" s="28" t="n">
        <v>0.5951070000000001</v>
      </c>
      <c r="P72" s="28" t="n"/>
      <c r="Q72" s="28" t="n">
        <v>-0.014268</v>
      </c>
      <c r="R72" s="26" t="n">
        <v>14</v>
      </c>
      <c r="S72" s="29" t="n">
        <v>1.25</v>
      </c>
      <c r="T72" s="24" t="inlineStr">
        <is>
          <t>mlb-elo-trend-lr-v7</t>
        </is>
      </c>
      <c r="U72" s="24" t="inlineStr">
        <is>
          <t>settled</t>
        </is>
      </c>
      <c r="V72" s="24" t="inlineStr">
        <is>
          <t>loss</t>
        </is>
      </c>
      <c r="W72" s="26" t="n">
        <v>5</v>
      </c>
      <c r="X72" s="26" t="n">
        <v>3</v>
      </c>
      <c r="Y72" s="25" t="n"/>
      <c r="Z72" s="26" t="n">
        <v>-156</v>
      </c>
      <c r="AA72" s="28" t="n">
        <v>0.61</v>
      </c>
      <c r="AB72" s="28" t="n">
        <v>0.000625</v>
      </c>
      <c r="AC72" s="30" t="n">
        <v>-1.25</v>
      </c>
      <c r="AD72" s="24" t="inlineStr">
        <is>
          <t>2026-08-01T05:33:42.121088Z</t>
        </is>
      </c>
      <c r="AE72" s="31" t="inlineStr">
        <is>
          <t>Learned LR call at threshold 0.6242; executable ask 0.6100 (aec-mlb-min-sea-2026-07-31); model edge vs ask -0.0149.</t>
        </is>
      </c>
      <c r="AF72" s="31" t="inlineStr">
        <is>
          <t>Learned model; shadow-qualified via operator override.</t>
        </is>
      </c>
      <c r="AG72" s="24" t="inlineStr">
        <is>
          <t>review_required</t>
        </is>
      </c>
      <c r="AH72" s="24" t="n"/>
      <c r="AI72" s="31" t="n"/>
      <c r="AJ72" s="31" t="n"/>
      <c r="AK72" s="24" t="inlineStr">
        <is>
          <t>model_qualified</t>
        </is>
      </c>
      <c r="AL72" s="26" t="n">
        <v>3</v>
      </c>
      <c r="AM72" s="24" t="inlineStr">
        <is>
          <t>QUALIFIED_SHADOW_CALL</t>
        </is>
      </c>
      <c r="AN72" s="24" t="inlineStr">
        <is>
          <t>CALL</t>
        </is>
      </c>
      <c r="AO72" s="24" t="inlineStr">
        <is>
          <t>QUALIFIED</t>
        </is>
      </c>
      <c r="AP72" s="24" t="inlineStr">
        <is>
          <t>mlb-min</t>
        </is>
      </c>
      <c r="AQ72" s="24" t="inlineStr">
        <is>
          <t>Minnesota Twins</t>
        </is>
      </c>
      <c r="AR72" s="24" t="inlineStr">
        <is>
          <t>Minnesota Twins</t>
        </is>
      </c>
      <c r="AS72" s="24" t="inlineStr">
        <is>
          <t>mlb-sea</t>
        </is>
      </c>
      <c r="AT72" s="24" t="inlineStr">
        <is>
          <t>Seattle Mariners</t>
        </is>
      </c>
      <c r="AU72" s="24" t="inlineStr">
        <is>
          <t>Seattle Mariners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464eef695bfbbdaa819ec6f5e4c5bd1068ed20b92915fb2677220ae91e20d8b6</t>
        </is>
      </c>
      <c r="BB72" s="24" t="inlineStr">
        <is>
          <t>learned_lr</t>
        </is>
      </c>
      <c r="BC72" s="24" t="inlineStr">
        <is>
          <t>mlb-elo-trend-lr-v7</t>
        </is>
      </c>
      <c r="BD72" s="24" t="inlineStr">
        <is>
          <t>464eef695bfbbdaa819ec6f5e4c5bd1068ed20b92915fb2677220ae91e20d8b6</t>
        </is>
      </c>
      <c r="BE72" s="24" t="inlineStr">
        <is>
          <t>883ee144c0c8e904</t>
        </is>
      </c>
      <c r="BF72" s="24" t="inlineStr">
        <is>
          <t>1</t>
        </is>
      </c>
      <c r="BG72" s="24" t="inlineStr">
        <is>
          <t>mlb-elo-trend-lr-v7</t>
        </is>
      </c>
      <c r="BH72" s="24" t="inlineStr">
        <is>
          <t>2026-07-31T23:29:23.070250Z</t>
        </is>
      </c>
      <c r="BI72" s="24" t="inlineStr">
        <is>
          <t>["same_event","same_team_same_day","same_league_same_day"]</t>
        </is>
      </c>
      <c r="BJ72" s="25" t="n"/>
      <c r="BK72" s="26" t="n">
        <v>-156</v>
      </c>
      <c r="BL72" s="27" t="n">
        <v>1.641026</v>
      </c>
      <c r="BM72" s="28" t="n">
        <v>0.609375</v>
      </c>
      <c r="BN72" s="28" t="n">
        <v>0.606965</v>
      </c>
      <c r="BO72" s="28" t="n"/>
      <c r="BP72" s="25" t="n"/>
      <c r="BQ72" s="27" t="n">
        <v>1.641026</v>
      </c>
      <c r="BR72" s="28" t="n">
        <v>0.61</v>
      </c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inlineStr">
        <is>
          <t>0.5861386615</t>
        </is>
      </c>
      <c r="CD72" s="24" t="inlineStr">
        <is>
          <t>1.241555</t>
        </is>
      </c>
      <c r="CE72" s="24" t="inlineStr">
        <is>
          <t>0.936</t>
        </is>
      </c>
      <c r="CF72" s="24" t="inlineStr">
        <is>
          <t>1.0</t>
        </is>
      </c>
      <c r="CG72" s="24" t="inlineStr">
        <is>
          <t>1.4</t>
        </is>
      </c>
      <c r="CH72" s="24" t="n"/>
      <c r="CI72" s="24" t="n"/>
      <c r="CJ72" s="24" t="n"/>
      <c r="CK72" s="24" t="n"/>
      <c r="CL72" s="24" t="n"/>
      <c r="CM72" s="24" t="n"/>
      <c r="CN72" s="24" t="n"/>
      <c r="CO72" s="24" t="n"/>
    </row>
    <row r="73" ht="36" customHeight="1">
      <c r="A73" s="24" t="inlineStr">
        <is>
          <t>bcf76e7710a04234</t>
        </is>
      </c>
      <c r="B73" s="24" t="inlineStr">
        <is>
          <t>2026-07-31T23:29:57.351792Z</t>
        </is>
      </c>
      <c r="C73" s="24" t="inlineStr">
        <is>
          <t>2026-08-01T00:15Z</t>
        </is>
      </c>
      <c r="D73" s="24" t="inlineStr">
        <is>
          <t>401816340</t>
        </is>
      </c>
      <c r="E73" s="24" t="inlineStr">
        <is>
          <t>MLB</t>
        </is>
      </c>
      <c r="F73" s="24" t="inlineStr">
        <is>
          <t>Texas Rangers</t>
        </is>
      </c>
      <c r="G73" s="24" t="inlineStr">
        <is>
          <t>Houston Astros</t>
        </is>
      </c>
      <c r="H73" s="24" t="inlineStr">
        <is>
          <t>spread</t>
        </is>
      </c>
      <c r="I73" s="24" t="inlineStr">
        <is>
          <t>away</t>
        </is>
      </c>
      <c r="J73" s="25" t="n">
        <v>1.5</v>
      </c>
      <c r="K73" s="24" t="inlineStr">
        <is>
          <t>polymarket_us</t>
        </is>
      </c>
      <c r="L73" s="26" t="n">
        <v>-186</v>
      </c>
      <c r="M73" s="27" t="n">
        <v>1.537634</v>
      </c>
      <c r="N73" s="28" t="n">
        <v>0.65035</v>
      </c>
      <c r="O73" s="28" t="n">
        <v>0.554007</v>
      </c>
      <c r="P73" s="28" t="n">
        <v>0.05172</v>
      </c>
      <c r="Q73" s="28" t="n">
        <v>-0.096343</v>
      </c>
      <c r="R73" s="26" t="n">
        <v>0</v>
      </c>
      <c r="S73" s="29" t="n">
        <v>1</v>
      </c>
      <c r="T73" s="24" t="inlineStr">
        <is>
          <t>measured-edge-margin-v1</t>
        </is>
      </c>
      <c r="U73" s="24" t="inlineStr">
        <is>
          <t>settled</t>
        </is>
      </c>
      <c r="V73" s="24" t="inlineStr">
        <is>
          <t>loss</t>
        </is>
      </c>
      <c r="W73" s="26" t="n">
        <v>2</v>
      </c>
      <c r="X73" s="26" t="n">
        <v>11</v>
      </c>
      <c r="Y73" s="25" t="n">
        <v>1.5</v>
      </c>
      <c r="Z73" s="26" t="n">
        <v>-186</v>
      </c>
      <c r="AA73" s="28" t="n">
        <v>0.65</v>
      </c>
      <c r="AB73" s="28" t="n">
        <v>-0.00035</v>
      </c>
      <c r="AC73" s="30" t="n">
        <v>-1</v>
      </c>
      <c r="AD73" s="24" t="inlineStr">
        <is>
          <t>2026-08-01T05:33:42.415820Z</t>
        </is>
      </c>
      <c r="AE73" s="31" t="inlineStr">
        <is>
          <t>Measured Edge Margin: Trend Engine projected 4.51-4.59; raw selected-side p=0.6636, calibrated p=0.5540.</t>
        </is>
      </c>
      <c r="AF73" s="31" t="inlineStr">
        <is>
          <t>Research-only; lineup, bullpen, park, weather, xFIP, and wRC+ may be neutral fallbacks; market availability and BBO depth may change before first pitch.</t>
        </is>
      </c>
      <c r="AG73" s="24" t="inlineStr">
        <is>
          <t>review_required</t>
        </is>
      </c>
      <c r="AH73" s="24" t="n"/>
      <c r="AI73" s="31" t="n"/>
      <c r="AJ73" s="31" t="n"/>
      <c r="AK73" s="24" t="inlineStr">
        <is>
          <t>research_observation</t>
        </is>
      </c>
      <c r="AL73" s="26" t="n">
        <v>3</v>
      </c>
      <c r="AM73" s="24" t="inlineStr">
        <is>
          <t>RESEARCH_OBSERVATION</t>
        </is>
      </c>
      <c r="AN73" s="24" t="inlineStr">
        <is>
          <t>NO_CALL</t>
        </is>
      </c>
      <c r="AO73" s="24" t="inlineStr">
        <is>
          <t>NO_CALL_MODEL_UNVALIDATED</t>
        </is>
      </c>
      <c r="AP73" s="24" t="inlineStr">
        <is>
          <t>mlb-tex</t>
        </is>
      </c>
      <c r="AQ73" s="24" t="inlineStr">
        <is>
          <t>Texas Rangers</t>
        </is>
      </c>
      <c r="AR73" s="24" t="inlineStr">
        <is>
          <t>Texas Rangers</t>
        </is>
      </c>
      <c r="AS73" s="24" t="inlineStr">
        <is>
          <t>mlb-hou</t>
        </is>
      </c>
      <c r="AT73" s="24" t="inlineStr">
        <is>
          <t>Houston Astros</t>
        </is>
      </c>
      <c r="AU73" s="24" t="inlineStr">
        <is>
          <t>Houston Astros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research</t>
        </is>
      </c>
      <c r="BA73" s="24" t="inlineStr">
        <is>
          <t>2bc2ce55b0d39a20103f724bbddbde5394909acd49297f52665b596a0ae3ae8b</t>
        </is>
      </c>
      <c r="BB73" s="24" t="inlineStr">
        <is>
          <t>flat_probability_shrinkage_toward_half</t>
        </is>
      </c>
      <c r="BC73" s="24" t="inlineStr">
        <is>
          <t>measured-edge-margin-v1</t>
        </is>
      </c>
      <c r="BD73" s="24" t="inlineStr">
        <is>
          <t>2bc2ce55b0d39a20103f724bbddbde5394909acd49297f52665b596a0ae3ae8b</t>
        </is>
      </c>
      <c r="BE73" s="24" t="inlineStr">
        <is>
          <t>v3</t>
        </is>
      </c>
      <c r="BF73" s="24" t="inlineStr">
        <is>
          <t>1</t>
        </is>
      </c>
      <c r="BG73" s="24" t="inlineStr">
        <is>
          <t>measured-edge-paired-v1</t>
        </is>
      </c>
      <c r="BH73" s="24" t="inlineStr">
        <is>
          <t>2026-07-31T23:29:57.351792Z</t>
        </is>
      </c>
      <c r="BI73" s="24" t="inlineStr">
        <is>
          <t>["same_event","same_team_same_day","same_league_same_day"]</t>
        </is>
      </c>
      <c r="BJ73" s="25" t="n">
        <v>1.5</v>
      </c>
      <c r="BK73" s="26" t="n">
        <v>-186</v>
      </c>
      <c r="BL73" s="27" t="n">
        <v>1.537634</v>
      </c>
      <c r="BM73" s="28" t="n">
        <v>0.65035</v>
      </c>
      <c r="BN73" s="28" t="n">
        <v>0.646766</v>
      </c>
      <c r="BO73" s="28" t="n"/>
      <c r="BP73" s="25" t="n"/>
      <c r="BQ73" s="27" t="n">
        <v>1.537634</v>
      </c>
      <c r="BR73" s="28" t="n">
        <v>0.65</v>
      </c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</row>
    <row r="74" ht="36" customHeight="1">
      <c r="A74" s="24" t="inlineStr">
        <is>
          <t>c4e37775a1054297</t>
        </is>
      </c>
      <c r="B74" s="24" t="inlineStr">
        <is>
          <t>2026-07-31T23:29:57.351792Z</t>
        </is>
      </c>
      <c r="C74" s="24" t="inlineStr">
        <is>
          <t>2026-08-01T00:15Z</t>
        </is>
      </c>
      <c r="D74" s="24" t="inlineStr">
        <is>
          <t>401816340</t>
        </is>
      </c>
      <c r="E74" s="24" t="inlineStr">
        <is>
          <t>MLB</t>
        </is>
      </c>
      <c r="F74" s="24" t="inlineStr">
        <is>
          <t>Texas Rangers</t>
        </is>
      </c>
      <c r="G74" s="24" t="inlineStr">
        <is>
          <t>Houston Astros</t>
        </is>
      </c>
      <c r="H74" s="24" t="inlineStr">
        <is>
          <t>total</t>
        </is>
      </c>
      <c r="I74" s="24" t="inlineStr">
        <is>
          <t>over</t>
        </is>
      </c>
      <c r="J74" s="25" t="n">
        <v>7.5</v>
      </c>
      <c r="K74" s="24" t="inlineStr">
        <is>
          <t>polymarket_us</t>
        </is>
      </c>
      <c r="L74" s="26" t="n">
        <v>100</v>
      </c>
      <c r="M74" s="27" t="n">
        <v>2</v>
      </c>
      <c r="N74" s="28" t="n">
        <v>0.5</v>
      </c>
      <c r="O74" s="28" t="n">
        <v>0.585683</v>
      </c>
      <c r="P74" s="28" t="n">
        <v>0.05172</v>
      </c>
      <c r="Q74" s="28" t="n">
        <v>0.085683</v>
      </c>
      <c r="R74" s="26" t="n">
        <v>62</v>
      </c>
      <c r="S74" s="29" t="n">
        <v>1.25</v>
      </c>
      <c r="T74" s="24" t="inlineStr">
        <is>
          <t>measured-edge-totals-v1</t>
        </is>
      </c>
      <c r="U74" s="24" t="inlineStr">
        <is>
          <t>settled</t>
        </is>
      </c>
      <c r="V74" s="24" t="inlineStr">
        <is>
          <t>win</t>
        </is>
      </c>
      <c r="W74" s="26" t="n">
        <v>2</v>
      </c>
      <c r="X74" s="26" t="n">
        <v>11</v>
      </c>
      <c r="Y74" s="25" t="n">
        <v>7.5</v>
      </c>
      <c r="Z74" s="26" t="n">
        <v>100</v>
      </c>
      <c r="AA74" s="28" t="n">
        <v>0.5</v>
      </c>
      <c r="AB74" s="28" t="n">
        <v>0</v>
      </c>
      <c r="AC74" s="30" t="n">
        <v>1.25</v>
      </c>
      <c r="AD74" s="24" t="inlineStr">
        <is>
          <t>2026-08-01T05:33:42.712220Z</t>
        </is>
      </c>
      <c r="AE74" s="31" t="inlineStr">
        <is>
          <t>Measured Edge Totals: Trend Engine projected 4.51-4.59; raw selected-side p=0.6042, calibrated p=0.5857.</t>
        </is>
      </c>
      <c r="AF74" s="31" t="inlineStr">
        <is>
          <t>Research-only; lineup, bullpen, park, weather, xFIP, and wRC+ may be neutral fallbacks; market availability and BBO depth may change before first pitch.</t>
        </is>
      </c>
      <c r="AG74" s="24" t="inlineStr">
        <is>
          <t>not_applicable</t>
        </is>
      </c>
      <c r="AH74" s="24" t="n"/>
      <c r="AI74" s="31" t="n"/>
      <c r="AJ74" s="31" t="n"/>
      <c r="AK74" s="24" t="inlineStr">
        <is>
          <t>research_observation</t>
        </is>
      </c>
      <c r="AL74" s="26" t="n">
        <v>3</v>
      </c>
      <c r="AM74" s="24" t="inlineStr">
        <is>
          <t>RESEARCH_OBSERVATION</t>
        </is>
      </c>
      <c r="AN74" s="24" t="inlineStr">
        <is>
          <t>NO_CALL</t>
        </is>
      </c>
      <c r="AO74" s="24" t="inlineStr">
        <is>
          <t>NO_CALL_MODEL_UNVALIDATED</t>
        </is>
      </c>
      <c r="AP74" s="24" t="inlineStr">
        <is>
          <t>mlb-tex</t>
        </is>
      </c>
      <c r="AQ74" s="24" t="inlineStr">
        <is>
          <t>Texas Rangers</t>
        </is>
      </c>
      <c r="AR74" s="24" t="inlineStr">
        <is>
          <t>Texas Rangers</t>
        </is>
      </c>
      <c r="AS74" s="24" t="inlineStr">
        <is>
          <t>mlb-hou</t>
        </is>
      </c>
      <c r="AT74" s="24" t="inlineStr">
        <is>
          <t>Houston Astros</t>
        </is>
      </c>
      <c r="AU74" s="24" t="inlineStr">
        <is>
          <t>Houston Astros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research</t>
        </is>
      </c>
      <c r="BA74" s="24" t="inlineStr">
        <is>
          <t>cbc2c9bf5a9569a49e1902c816d96556d704cf10819ca3a9e927721685757d0b</t>
        </is>
      </c>
      <c r="BB74" s="24" t="inlineStr">
        <is>
          <t>flat_probability_shrinkage_toward_half</t>
        </is>
      </c>
      <c r="BC74" s="24" t="inlineStr">
        <is>
          <t>measured-edge-totals-v1</t>
        </is>
      </c>
      <c r="BD74" s="24" t="inlineStr">
        <is>
          <t>cbc2c9bf5a9569a49e1902c816d96556d704cf10819ca3a9e927721685757d0b</t>
        </is>
      </c>
      <c r="BE74" s="24" t="inlineStr">
        <is>
          <t>v3</t>
        </is>
      </c>
      <c r="BF74" s="24" t="inlineStr">
        <is>
          <t>1</t>
        </is>
      </c>
      <c r="BG74" s="24" t="inlineStr">
        <is>
          <t>measured-edge-paired-v1</t>
        </is>
      </c>
      <c r="BH74" s="24" t="inlineStr">
        <is>
          <t>2026-07-31T23:29:57.351792Z</t>
        </is>
      </c>
      <c r="BI74" s="24" t="inlineStr">
        <is>
          <t>["same_event","same_team_same_day","same_league_same_day"]</t>
        </is>
      </c>
      <c r="BJ74" s="25" t="n">
        <v>7.5</v>
      </c>
      <c r="BK74" s="26" t="n">
        <v>100</v>
      </c>
      <c r="BL74" s="27" t="n">
        <v>2</v>
      </c>
      <c r="BM74" s="28" t="n">
        <v>0.5</v>
      </c>
      <c r="BN74" s="28" t="n">
        <v>0.497512</v>
      </c>
      <c r="BO74" s="28" t="n"/>
      <c r="BP74" s="25" t="n"/>
      <c r="BQ74" s="27" t="n">
        <v>2</v>
      </c>
      <c r="BR74" s="28" t="n">
        <v>0.5</v>
      </c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</row>
    <row r="75" ht="36" customHeight="1">
      <c r="A75" s="24" t="inlineStr">
        <is>
          <t>d1c24f4002f14130</t>
        </is>
      </c>
      <c r="B75" s="24" t="inlineStr">
        <is>
          <t>2026-07-31T23:29:57.351792Z</t>
        </is>
      </c>
      <c r="C75" s="24" t="inlineStr">
        <is>
          <t>2026-08-01T00:40Z</t>
        </is>
      </c>
      <c r="D75" s="24" t="inlineStr">
        <is>
          <t>401816341</t>
        </is>
      </c>
      <c r="E75" s="24" t="inlineStr">
        <is>
          <t>MLB</t>
        </is>
      </c>
      <c r="F75" s="24" t="inlineStr">
        <is>
          <t>Kansas City Royals</t>
        </is>
      </c>
      <c r="G75" s="24" t="inlineStr">
        <is>
          <t>Colorado Rockies</t>
        </is>
      </c>
      <c r="H75" s="24" t="inlineStr">
        <is>
          <t>spread</t>
        </is>
      </c>
      <c r="I75" s="24" t="inlineStr">
        <is>
          <t>home</t>
        </is>
      </c>
      <c r="J75" s="25" t="n">
        <v>1.5</v>
      </c>
      <c r="K75" s="24" t="inlineStr">
        <is>
          <t>polymarket_us</t>
        </is>
      </c>
      <c r="L75" s="26" t="n">
        <v>-147</v>
      </c>
      <c r="M75" s="27" t="n">
        <v>1.680272</v>
      </c>
      <c r="N75" s="28" t="n">
        <v>0.5951419999999999</v>
      </c>
      <c r="O75" s="28" t="n">
        <v>0.553329</v>
      </c>
      <c r="P75" s="28" t="n">
        <v>0.042131</v>
      </c>
      <c r="Q75" s="28" t="n">
        <v>-0.041813</v>
      </c>
      <c r="R75" s="26" t="n">
        <v>4</v>
      </c>
      <c r="S75" s="29" t="n">
        <v>1</v>
      </c>
      <c r="T75" s="24" t="inlineStr">
        <is>
          <t>measured-edge-margin-v1</t>
        </is>
      </c>
      <c r="U75" s="24" t="inlineStr">
        <is>
          <t>settled</t>
        </is>
      </c>
      <c r="V75" s="24" t="inlineStr">
        <is>
          <t>win</t>
        </is>
      </c>
      <c r="W75" s="26" t="n">
        <v>1</v>
      </c>
      <c r="X75" s="26" t="n">
        <v>3</v>
      </c>
      <c r="Y75" s="25" t="n">
        <v>1.5</v>
      </c>
      <c r="Z75" s="26" t="n">
        <v>-147</v>
      </c>
      <c r="AA75" s="28" t="n">
        <v>0.595</v>
      </c>
      <c r="AB75" s="28" t="n">
        <v>-0.000142</v>
      </c>
      <c r="AC75" s="30" t="n">
        <v>0.6803</v>
      </c>
      <c r="AD75" s="24" t="inlineStr">
        <is>
          <t>2026-08-01T05:33:43.009062Z</t>
        </is>
      </c>
      <c r="AE75" s="31" t="inlineStr">
        <is>
          <t>Measured Edge Margin: Trend Engine projected 4.93-4.90; raw selected-side p=0.6602, calibrated p=0.5533.</t>
        </is>
      </c>
      <c r="AF75" s="31" t="inlineStr">
        <is>
          <t>Research-only; lineup, bullpen, park, weather, xFIP, and wRC+ may be neutral fallbacks; market availability and BBO depth may change before first pitch.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research_observation</t>
        </is>
      </c>
      <c r="AL75" s="26" t="n">
        <v>3</v>
      </c>
      <c r="AM75" s="24" t="inlineStr">
        <is>
          <t>RESEARCH_OBSERVATION</t>
        </is>
      </c>
      <c r="AN75" s="24" t="inlineStr">
        <is>
          <t>NO_CALL</t>
        </is>
      </c>
      <c r="AO75" s="24" t="inlineStr">
        <is>
          <t>NO_CALL_MODEL_UNVALIDATED</t>
        </is>
      </c>
      <c r="AP75" s="24" t="inlineStr">
        <is>
          <t>mlb-kc</t>
        </is>
      </c>
      <c r="AQ75" s="24" t="inlineStr">
        <is>
          <t>Kansas City Royals</t>
        </is>
      </c>
      <c r="AR75" s="24" t="inlineStr">
        <is>
          <t>Kansas City Royals</t>
        </is>
      </c>
      <c r="AS75" s="24" t="inlineStr">
        <is>
          <t>mlb-col</t>
        </is>
      </c>
      <c r="AT75" s="24" t="inlineStr">
        <is>
          <t>Colorado Rockies</t>
        </is>
      </c>
      <c r="AU75" s="24" t="inlineStr">
        <is>
          <t>Colorado Rockies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research</t>
        </is>
      </c>
      <c r="BA75" s="24" t="inlineStr">
        <is>
          <t>2bc2ce55b0d39a20103f724bbddbde5394909acd49297f52665b596a0ae3ae8b</t>
        </is>
      </c>
      <c r="BB75" s="24" t="inlineStr">
        <is>
          <t>flat_probability_shrinkage_toward_half</t>
        </is>
      </c>
      <c r="BC75" s="24" t="inlineStr">
        <is>
          <t>measured-edge-margin-v1</t>
        </is>
      </c>
      <c r="BD75" s="24" t="inlineStr">
        <is>
          <t>2bc2ce55b0d39a20103f724bbddbde5394909acd49297f52665b596a0ae3ae8b</t>
        </is>
      </c>
      <c r="BE75" s="24" t="inlineStr">
        <is>
          <t>v3</t>
        </is>
      </c>
      <c r="BF75" s="24" t="inlineStr">
        <is>
          <t>1</t>
        </is>
      </c>
      <c r="BG75" s="24" t="inlineStr">
        <is>
          <t>measured-edge-paired-v1</t>
        </is>
      </c>
      <c r="BH75" s="24" t="inlineStr">
        <is>
          <t>2026-07-31T23:29:57.351792Z</t>
        </is>
      </c>
      <c r="BI75" s="24" t="inlineStr">
        <is>
          <t>["same_event","same_team_same_day","same_league_same_day"]</t>
        </is>
      </c>
      <c r="BJ75" s="25" t="n">
        <v>1.5</v>
      </c>
      <c r="BK75" s="26" t="n">
        <v>-147</v>
      </c>
      <c r="BL75" s="27" t="n">
        <v>1.680272</v>
      </c>
      <c r="BM75" s="28" t="n">
        <v>0.5951419999999999</v>
      </c>
      <c r="BN75" s="28" t="n">
        <v>0.59204</v>
      </c>
      <c r="BO75" s="28" t="n"/>
      <c r="BP75" s="25" t="n"/>
      <c r="BQ75" s="27" t="n">
        <v>1.680272</v>
      </c>
      <c r="BR75" s="28" t="n">
        <v>0.595</v>
      </c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</row>
    <row r="76" ht="36" customHeight="1">
      <c r="A76" s="24" t="inlineStr">
        <is>
          <t>badc73ee4f424f71</t>
        </is>
      </c>
      <c r="B76" s="24" t="inlineStr">
        <is>
          <t>2026-07-31T23:29:57.351792Z</t>
        </is>
      </c>
      <c r="C76" s="24" t="inlineStr">
        <is>
          <t>2026-08-01T00:40Z</t>
        </is>
      </c>
      <c r="D76" s="24" t="inlineStr">
        <is>
          <t>401816341</t>
        </is>
      </c>
      <c r="E76" s="24" t="inlineStr">
        <is>
          <t>MLB</t>
        </is>
      </c>
      <c r="F76" s="24" t="inlineStr">
        <is>
          <t>Kansas City Royals</t>
        </is>
      </c>
      <c r="G76" s="24" t="inlineStr">
        <is>
          <t>Colorado Rockies</t>
        </is>
      </c>
      <c r="H76" s="24" t="inlineStr">
        <is>
          <t>total</t>
        </is>
      </c>
      <c r="I76" s="24" t="inlineStr">
        <is>
          <t>under</t>
        </is>
      </c>
      <c r="J76" s="25" t="n">
        <v>10.5</v>
      </c>
      <c r="K76" s="24" t="inlineStr">
        <is>
          <t>polymarket_us</t>
        </is>
      </c>
      <c r="L76" s="26" t="n">
        <v>120</v>
      </c>
      <c r="M76" s="27" t="n">
        <v>2.2</v>
      </c>
      <c r="N76" s="28" t="n">
        <v>0.454545</v>
      </c>
      <c r="O76" s="28" t="n">
        <v>0.577777</v>
      </c>
      <c r="P76" s="28" t="n">
        <v>0.042131</v>
      </c>
      <c r="Q76" s="28" t="n">
        <v>0.123232</v>
      </c>
      <c r="R76" s="26" t="n">
        <v>86</v>
      </c>
      <c r="S76" s="29" t="n">
        <v>1.25</v>
      </c>
      <c r="T76" s="24" t="inlineStr">
        <is>
          <t>measured-edge-totals-v1</t>
        </is>
      </c>
      <c r="U76" s="24" t="inlineStr">
        <is>
          <t>settled</t>
        </is>
      </c>
      <c r="V76" s="24" t="inlineStr">
        <is>
          <t>win</t>
        </is>
      </c>
      <c r="W76" s="26" t="n">
        <v>1</v>
      </c>
      <c r="X76" s="26" t="n">
        <v>3</v>
      </c>
      <c r="Y76" s="25" t="n">
        <v>10.5</v>
      </c>
      <c r="Z76" s="26" t="n">
        <v>120</v>
      </c>
      <c r="AA76" s="28" t="n">
        <v>0.455</v>
      </c>
      <c r="AB76" s="28" t="n">
        <v>0.000455</v>
      </c>
      <c r="AC76" s="30" t="n">
        <v>1.5</v>
      </c>
      <c r="AD76" s="24" t="inlineStr">
        <is>
          <t>2026-08-01T05:33:43.302748Z</t>
        </is>
      </c>
      <c r="AE76" s="31" t="inlineStr">
        <is>
          <t>Measured Edge Totals: Trend Engine projected 4.93-4.90; raw selected-side p=0.5961, calibrated p=0.5778.</t>
        </is>
      </c>
      <c r="AF76" s="31" t="inlineStr">
        <is>
          <t>Research-only; lineup, bullpen, park, weather, xFIP, and wRC+ may be neutral fallbacks; market availability and BBO depth may change before first pitch.</t>
        </is>
      </c>
      <c r="AG76" s="24" t="inlineStr">
        <is>
          <t>not_applicable</t>
        </is>
      </c>
      <c r="AH76" s="24" t="n"/>
      <c r="AI76" s="31" t="n"/>
      <c r="AJ76" s="31" t="n"/>
      <c r="AK76" s="24" t="inlineStr">
        <is>
          <t>research_observation</t>
        </is>
      </c>
      <c r="AL76" s="26" t="n">
        <v>3</v>
      </c>
      <c r="AM76" s="24" t="inlineStr">
        <is>
          <t>RESEARCH_OBSERVATION</t>
        </is>
      </c>
      <c r="AN76" s="24" t="inlineStr">
        <is>
          <t>NO_CALL</t>
        </is>
      </c>
      <c r="AO76" s="24" t="inlineStr">
        <is>
          <t>NO_CALL_MODEL_UNVALIDATED</t>
        </is>
      </c>
      <c r="AP76" s="24" t="inlineStr">
        <is>
          <t>mlb-kc</t>
        </is>
      </c>
      <c r="AQ76" s="24" t="inlineStr">
        <is>
          <t>Kansas City Royals</t>
        </is>
      </c>
      <c r="AR76" s="24" t="inlineStr">
        <is>
          <t>Kansas City Royals</t>
        </is>
      </c>
      <c r="AS76" s="24" t="inlineStr">
        <is>
          <t>mlb-col</t>
        </is>
      </c>
      <c r="AT76" s="24" t="inlineStr">
        <is>
          <t>Colorado Rockies</t>
        </is>
      </c>
      <c r="AU76" s="24" t="inlineStr">
        <is>
          <t>Colorado Rockies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research</t>
        </is>
      </c>
      <c r="BA76" s="24" t="inlineStr">
        <is>
          <t>cbc2c9bf5a9569a49e1902c816d96556d704cf10819ca3a9e927721685757d0b</t>
        </is>
      </c>
      <c r="BB76" s="24" t="inlineStr">
        <is>
          <t>flat_probability_shrinkage_toward_half</t>
        </is>
      </c>
      <c r="BC76" s="24" t="inlineStr">
        <is>
          <t>measured-edge-totals-v1</t>
        </is>
      </c>
      <c r="BD76" s="24" t="inlineStr">
        <is>
          <t>cbc2c9bf5a9569a49e1902c816d96556d704cf10819ca3a9e927721685757d0b</t>
        </is>
      </c>
      <c r="BE76" s="24" t="inlineStr">
        <is>
          <t>v3</t>
        </is>
      </c>
      <c r="BF76" s="24" t="inlineStr">
        <is>
          <t>1</t>
        </is>
      </c>
      <c r="BG76" s="24" t="inlineStr">
        <is>
          <t>measured-edge-paired-v1</t>
        </is>
      </c>
      <c r="BH76" s="24" t="inlineStr">
        <is>
          <t>2026-07-31T23:29:57.351792Z</t>
        </is>
      </c>
      <c r="BI76" s="24" t="inlineStr">
        <is>
          <t>["same_event","same_team_same_day","same_league_same_day"]</t>
        </is>
      </c>
      <c r="BJ76" s="25" t="n">
        <v>10.5</v>
      </c>
      <c r="BK76" s="26" t="n">
        <v>120</v>
      </c>
      <c r="BL76" s="27" t="n">
        <v>2.2</v>
      </c>
      <c r="BM76" s="28" t="n">
        <v>0.454545</v>
      </c>
      <c r="BN76" s="28" t="n">
        <v>0.452736</v>
      </c>
      <c r="BO76" s="28" t="n"/>
      <c r="BP76" s="25" t="n"/>
      <c r="BQ76" s="27" t="n">
        <v>2.2</v>
      </c>
      <c r="BR76" s="28" t="n">
        <v>0.455</v>
      </c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</row>
    <row r="77" ht="36" customHeight="1">
      <c r="A77" s="24" t="inlineStr">
        <is>
          <t>0cd03f9c80a4493d</t>
        </is>
      </c>
      <c r="B77" s="24" t="inlineStr">
        <is>
          <t>2026-07-31T23:29:57.351792Z</t>
        </is>
      </c>
      <c r="C77" s="24" t="inlineStr">
        <is>
          <t>2026-08-01T01:38Z</t>
        </is>
      </c>
      <c r="D77" s="24" t="inlineStr">
        <is>
          <t>401816344</t>
        </is>
      </c>
      <c r="E77" s="24" t="inlineStr">
        <is>
          <t>MLB</t>
        </is>
      </c>
      <c r="F77" s="24" t="inlineStr">
        <is>
          <t>Milwaukee Brewers</t>
        </is>
      </c>
      <c r="G77" s="24" t="inlineStr">
        <is>
          <t>Los Angeles Angels</t>
        </is>
      </c>
      <c r="H77" s="24" t="inlineStr">
        <is>
          <t>spread</t>
        </is>
      </c>
      <c r="I77" s="24" t="inlineStr">
        <is>
          <t>home</t>
        </is>
      </c>
      <c r="J77" s="25" t="n">
        <v>1.5</v>
      </c>
      <c r="K77" s="24" t="inlineStr">
        <is>
          <t>polymarket_us</t>
        </is>
      </c>
      <c r="L77" s="26" t="n">
        <v>-102</v>
      </c>
      <c r="M77" s="27" t="n">
        <v>1.980392</v>
      </c>
      <c r="N77" s="28" t="n">
        <v>0.50495</v>
      </c>
      <c r="O77" s="28" t="n">
        <v>0.549557</v>
      </c>
      <c r="P77" s="28" t="n">
        <v>0.042131</v>
      </c>
      <c r="Q77" s="28" t="n">
        <v>0.044607</v>
      </c>
      <c r="R77" s="26" t="n">
        <v>47</v>
      </c>
      <c r="S77" s="29" t="n">
        <v>1</v>
      </c>
      <c r="T77" s="24" t="inlineStr">
        <is>
          <t>measured-edge-margin-v1</t>
        </is>
      </c>
      <c r="U77" s="24" t="inlineStr">
        <is>
          <t>settled</t>
        </is>
      </c>
      <c r="V77" s="24" t="inlineStr">
        <is>
          <t>loss</t>
        </is>
      </c>
      <c r="W77" s="26" t="n">
        <v>6</v>
      </c>
      <c r="X77" s="26" t="n">
        <v>2</v>
      </c>
      <c r="Y77" s="25" t="n">
        <v>1.5</v>
      </c>
      <c r="Z77" s="26" t="n">
        <v>-102</v>
      </c>
      <c r="AA77" s="28" t="n">
        <v>0.505</v>
      </c>
      <c r="AB77" s="28" t="n">
        <v>5e-05</v>
      </c>
      <c r="AC77" s="30" t="n">
        <v>-1</v>
      </c>
      <c r="AD77" s="24" t="inlineStr">
        <is>
          <t>2026-08-01T05:33:43.643410Z</t>
        </is>
      </c>
      <c r="AE77" s="31" t="inlineStr">
        <is>
          <t>Measured Edge Margin: Trend Engine projected 4.91-4.65; raw selected-side p=0.6410, calibrated p=0.5496.</t>
        </is>
      </c>
      <c r="AF77" s="31" t="inlineStr">
        <is>
          <t>Research-only; lineup, bullpen, park, weather, xFIP, and wRC+ may be neutral fallbacks; market availability and BBO depth may change before first pitch.</t>
        </is>
      </c>
      <c r="AG77" s="24" t="inlineStr">
        <is>
          <t>review_required</t>
        </is>
      </c>
      <c r="AH77" s="24" t="n"/>
      <c r="AI77" s="31" t="n"/>
      <c r="AJ77" s="31" t="n"/>
      <c r="AK77" s="24" t="inlineStr">
        <is>
          <t>research_observation</t>
        </is>
      </c>
      <c r="AL77" s="26" t="n">
        <v>3</v>
      </c>
      <c r="AM77" s="24" t="inlineStr">
        <is>
          <t>RESEARCH_OBSERVATION</t>
        </is>
      </c>
      <c r="AN77" s="24" t="inlineStr">
        <is>
          <t>NO_CALL</t>
        </is>
      </c>
      <c r="AO77" s="24" t="inlineStr">
        <is>
          <t>NO_CALL_MODEL_UNVALIDATED</t>
        </is>
      </c>
      <c r="AP77" s="24" t="inlineStr">
        <is>
          <t>mlb-mil</t>
        </is>
      </c>
      <c r="AQ77" s="24" t="inlineStr">
        <is>
          <t>Milwaukee Brewers</t>
        </is>
      </c>
      <c r="AR77" s="24" t="inlineStr">
        <is>
          <t>Milwaukee Brewers</t>
        </is>
      </c>
      <c r="AS77" s="24" t="inlineStr">
        <is>
          <t>mlb-laa</t>
        </is>
      </c>
      <c r="AT77" s="24" t="inlineStr">
        <is>
          <t>Los Angeles Angels</t>
        </is>
      </c>
      <c r="AU77" s="24" t="inlineStr">
        <is>
          <t>Los Angeles Angels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research</t>
        </is>
      </c>
      <c r="BA77" s="24" t="inlineStr">
        <is>
          <t>2bc2ce55b0d39a20103f724bbddbde5394909acd49297f52665b596a0ae3ae8b</t>
        </is>
      </c>
      <c r="BB77" s="24" t="inlineStr">
        <is>
          <t>flat_probability_shrinkage_toward_half</t>
        </is>
      </c>
      <c r="BC77" s="24" t="inlineStr">
        <is>
          <t>measured-edge-margin-v1</t>
        </is>
      </c>
      <c r="BD77" s="24" t="inlineStr">
        <is>
          <t>2bc2ce55b0d39a20103f724bbddbde5394909acd49297f52665b596a0ae3ae8b</t>
        </is>
      </c>
      <c r="BE77" s="24" t="inlineStr">
        <is>
          <t>v3</t>
        </is>
      </c>
      <c r="BF77" s="24" t="inlineStr">
        <is>
          <t>1</t>
        </is>
      </c>
      <c r="BG77" s="24" t="inlineStr">
        <is>
          <t>measured-edge-paired-v1</t>
        </is>
      </c>
      <c r="BH77" s="24" t="inlineStr">
        <is>
          <t>2026-07-31T23:29:57.351792Z</t>
        </is>
      </c>
      <c r="BI77" s="24" t="inlineStr">
        <is>
          <t>["same_event","same_team_same_day","same_league_same_day"]</t>
        </is>
      </c>
      <c r="BJ77" s="25" t="n">
        <v>1.5</v>
      </c>
      <c r="BK77" s="26" t="n">
        <v>-102</v>
      </c>
      <c r="BL77" s="27" t="n">
        <v>1.980392</v>
      </c>
      <c r="BM77" s="28" t="n">
        <v>0.50495</v>
      </c>
      <c r="BN77" s="28" t="n">
        <v>0.502488</v>
      </c>
      <c r="BO77" s="28" t="n"/>
      <c r="BP77" s="25" t="n"/>
      <c r="BQ77" s="27" t="n">
        <v>1.980392</v>
      </c>
      <c r="BR77" s="28" t="n">
        <v>0.505</v>
      </c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</row>
    <row r="78" ht="36" customHeight="1">
      <c r="A78" s="24" t="inlineStr">
        <is>
          <t>c6610733e3444d69</t>
        </is>
      </c>
      <c r="B78" s="24" t="inlineStr">
        <is>
          <t>2026-07-31T23:29:57.351792Z</t>
        </is>
      </c>
      <c r="C78" s="24" t="inlineStr">
        <is>
          <t>2026-08-01T01:38Z</t>
        </is>
      </c>
      <c r="D78" s="24" t="inlineStr">
        <is>
          <t>401816344</t>
        </is>
      </c>
      <c r="E78" s="24" t="inlineStr">
        <is>
          <t>MLB</t>
        </is>
      </c>
      <c r="F78" s="24" t="inlineStr">
        <is>
          <t>Milwaukee Brewers</t>
        </is>
      </c>
      <c r="G78" s="24" t="inlineStr">
        <is>
          <t>Los Angeles Angels</t>
        </is>
      </c>
      <c r="H78" s="24" t="inlineStr">
        <is>
          <t>total</t>
        </is>
      </c>
      <c r="I78" s="24" t="inlineStr">
        <is>
          <t>over</t>
        </is>
      </c>
      <c r="J78" s="25" t="n">
        <v>8.5</v>
      </c>
      <c r="K78" s="24" t="inlineStr">
        <is>
          <t>polymarket_us</t>
        </is>
      </c>
      <c r="L78" s="26" t="n">
        <v>-120</v>
      </c>
      <c r="M78" s="27" t="n">
        <v>1.833333</v>
      </c>
      <c r="N78" s="28" t="n">
        <v>0.545455</v>
      </c>
      <c r="O78" s="28" t="n">
        <v>0.543969</v>
      </c>
      <c r="P78" s="28" t="n">
        <v>0.042131</v>
      </c>
      <c r="Q78" s="28" t="n">
        <v>-0.001486</v>
      </c>
      <c r="R78" s="26" t="n">
        <v>24</v>
      </c>
      <c r="S78" s="29" t="n">
        <v>1</v>
      </c>
      <c r="T78" s="24" t="inlineStr">
        <is>
          <t>measured-edge-totals-v1</t>
        </is>
      </c>
      <c r="U78" s="24" t="inlineStr">
        <is>
          <t>settled</t>
        </is>
      </c>
      <c r="V78" s="24" t="inlineStr">
        <is>
          <t>loss</t>
        </is>
      </c>
      <c r="W78" s="26" t="n">
        <v>6</v>
      </c>
      <c r="X78" s="26" t="n">
        <v>2</v>
      </c>
      <c r="Y78" s="25" t="n">
        <v>8.5</v>
      </c>
      <c r="Z78" s="26" t="n">
        <v>-120</v>
      </c>
      <c r="AA78" s="28" t="n">
        <v>0.545</v>
      </c>
      <c r="AB78" s="28" t="n">
        <v>-0.000455</v>
      </c>
      <c r="AC78" s="30" t="n">
        <v>-1</v>
      </c>
      <c r="AD78" s="24" t="inlineStr">
        <is>
          <t>2026-08-01T05:33:43.942073Z</t>
        </is>
      </c>
      <c r="AE78" s="31" t="inlineStr">
        <is>
          <t>Measured Edge Totals: Trend Engine projected 4.91-4.65; raw selected-side p=0.5613, calibrated p=0.5440.</t>
        </is>
      </c>
      <c r="AF78" s="31" t="inlineStr">
        <is>
          <t>Research-only; lineup, bullpen, park, weather, xFIP, and wRC+ may be neutral fallbacks; market availability and BBO depth may change before first pitch.</t>
        </is>
      </c>
      <c r="AG78" s="24" t="inlineStr">
        <is>
          <t>review_required</t>
        </is>
      </c>
      <c r="AH78" s="24" t="n"/>
      <c r="AI78" s="31" t="n"/>
      <c r="AJ78" s="31" t="n"/>
      <c r="AK78" s="24" t="inlineStr">
        <is>
          <t>research_observation</t>
        </is>
      </c>
      <c r="AL78" s="26" t="n">
        <v>3</v>
      </c>
      <c r="AM78" s="24" t="inlineStr">
        <is>
          <t>RESEARCH_OBSERVATION</t>
        </is>
      </c>
      <c r="AN78" s="24" t="inlineStr">
        <is>
          <t>NO_CALL</t>
        </is>
      </c>
      <c r="AO78" s="24" t="inlineStr">
        <is>
          <t>NO_CALL_MODEL_UNVALIDATED</t>
        </is>
      </c>
      <c r="AP78" s="24" t="inlineStr">
        <is>
          <t>mlb-mil</t>
        </is>
      </c>
      <c r="AQ78" s="24" t="inlineStr">
        <is>
          <t>Milwaukee Brewers</t>
        </is>
      </c>
      <c r="AR78" s="24" t="inlineStr">
        <is>
          <t>Milwaukee Brewers</t>
        </is>
      </c>
      <c r="AS78" s="24" t="inlineStr">
        <is>
          <t>mlb-laa</t>
        </is>
      </c>
      <c r="AT78" s="24" t="inlineStr">
        <is>
          <t>Los Angeles Angels</t>
        </is>
      </c>
      <c r="AU78" s="24" t="inlineStr">
        <is>
          <t>Los Angeles Angels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research</t>
        </is>
      </c>
      <c r="BA78" s="24" t="inlineStr">
        <is>
          <t>cbc2c9bf5a9569a49e1902c816d96556d704cf10819ca3a9e927721685757d0b</t>
        </is>
      </c>
      <c r="BB78" s="24" t="inlineStr">
        <is>
          <t>flat_probability_shrinkage_toward_half</t>
        </is>
      </c>
      <c r="BC78" s="24" t="inlineStr">
        <is>
          <t>measured-edge-totals-v1</t>
        </is>
      </c>
      <c r="BD78" s="24" t="inlineStr">
        <is>
          <t>cbc2c9bf5a9569a49e1902c816d96556d704cf10819ca3a9e927721685757d0b</t>
        </is>
      </c>
      <c r="BE78" s="24" t="inlineStr">
        <is>
          <t>v3</t>
        </is>
      </c>
      <c r="BF78" s="24" t="inlineStr">
        <is>
          <t>1</t>
        </is>
      </c>
      <c r="BG78" s="24" t="inlineStr">
        <is>
          <t>measured-edge-paired-v1</t>
        </is>
      </c>
      <c r="BH78" s="24" t="inlineStr">
        <is>
          <t>2026-07-31T23:29:57.351792Z</t>
        </is>
      </c>
      <c r="BI78" s="24" t="inlineStr">
        <is>
          <t>["same_event","same_team_same_day","same_league_same_day"]</t>
        </is>
      </c>
      <c r="BJ78" s="25" t="n">
        <v>8.5</v>
      </c>
      <c r="BK78" s="26" t="n">
        <v>-120</v>
      </c>
      <c r="BL78" s="27" t="n">
        <v>1.833333</v>
      </c>
      <c r="BM78" s="28" t="n">
        <v>0.545455</v>
      </c>
      <c r="BN78" s="28" t="n">
        <v>0.542289</v>
      </c>
      <c r="BO78" s="28" t="n"/>
      <c r="BP78" s="25" t="n"/>
      <c r="BQ78" s="27" t="n">
        <v>1.833333</v>
      </c>
      <c r="BR78" s="28" t="n">
        <v>0.545</v>
      </c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</row>
    <row r="79" ht="36" customHeight="1">
      <c r="A79" s="24" t="inlineStr">
        <is>
          <t>1daf7c1b3a3f48da</t>
        </is>
      </c>
      <c r="B79" s="24" t="inlineStr">
        <is>
          <t>2026-07-31T23:29:57.351792Z</t>
        </is>
      </c>
      <c r="C79" s="24" t="inlineStr">
        <is>
          <t>2026-08-01T01:40Z</t>
        </is>
      </c>
      <c r="D79" s="24" t="inlineStr">
        <is>
          <t>401816343</t>
        </is>
      </c>
      <c r="E79" s="24" t="inlineStr">
        <is>
          <t>MLB</t>
        </is>
      </c>
      <c r="F79" s="24" t="inlineStr">
        <is>
          <t>Detroit Tigers</t>
        </is>
      </c>
      <c r="G79" s="24" t="inlineStr">
        <is>
          <t>Athletics</t>
        </is>
      </c>
      <c r="H79" s="24" t="inlineStr">
        <is>
          <t>spread</t>
        </is>
      </c>
      <c r="I79" s="24" t="inlineStr">
        <is>
          <t>home</t>
        </is>
      </c>
      <c r="J79" s="25" t="n">
        <v>1.5</v>
      </c>
      <c r="K79" s="24" t="inlineStr">
        <is>
          <t>polymarket_us</t>
        </is>
      </c>
      <c r="L79" s="26" t="n">
        <v>-117</v>
      </c>
      <c r="M79" s="27" t="n">
        <v>1.854701</v>
      </c>
      <c r="N79" s="28" t="n">
        <v>0.539171</v>
      </c>
      <c r="O79" s="28" t="n">
        <v>0.541755</v>
      </c>
      <c r="P79" s="28" t="n">
        <v>0.042131</v>
      </c>
      <c r="Q79" s="28" t="n">
        <v>0.002584</v>
      </c>
      <c r="R79" s="26" t="n">
        <v>26</v>
      </c>
      <c r="S79" s="29" t="n">
        <v>1</v>
      </c>
      <c r="T79" s="24" t="inlineStr">
        <is>
          <t>measured-edge-margin-v1</t>
        </is>
      </c>
      <c r="U79" s="24" t="inlineStr">
        <is>
          <t>settled</t>
        </is>
      </c>
      <c r="V79" s="24" t="inlineStr">
        <is>
          <t>loss</t>
        </is>
      </c>
      <c r="W79" s="26" t="n">
        <v>13</v>
      </c>
      <c r="X79" s="26" t="n">
        <v>1</v>
      </c>
      <c r="Y79" s="25" t="n">
        <v>1.5</v>
      </c>
      <c r="Z79" s="26" t="n">
        <v>-117</v>
      </c>
      <c r="AA79" s="28" t="n">
        <v>0.54</v>
      </c>
      <c r="AB79" s="28" t="n">
        <v>0.000829</v>
      </c>
      <c r="AC79" s="30" t="n">
        <v>-1</v>
      </c>
      <c r="AD79" s="24" t="inlineStr">
        <is>
          <t>2026-08-01T05:33:44.245370Z</t>
        </is>
      </c>
      <c r="AE79" s="31" t="inlineStr">
        <is>
          <t>Measured Edge Margin: Trend Engine projected 5.24-4.63; raw selected-side p=0.6013, calibrated p=0.5418.</t>
        </is>
      </c>
      <c r="AF79" s="31" t="inlineStr">
        <is>
          <t>Research-only; lineup, bullpen, park, weather, xFIP, and wRC+ may be neutral fallbacks; market availability and BBO depth may change before first pitch.</t>
        </is>
      </c>
      <c r="AG79" s="24" t="inlineStr">
        <is>
          <t>review_required</t>
        </is>
      </c>
      <c r="AH79" s="24" t="n"/>
      <c r="AI79" s="31" t="n"/>
      <c r="AJ79" s="31" t="n"/>
      <c r="AK79" s="24" t="inlineStr">
        <is>
          <t>research_observation</t>
        </is>
      </c>
      <c r="AL79" s="26" t="n">
        <v>3</v>
      </c>
      <c r="AM79" s="24" t="inlineStr">
        <is>
          <t>RESEARCH_OBSERVATION</t>
        </is>
      </c>
      <c r="AN79" s="24" t="inlineStr">
        <is>
          <t>NO_CALL</t>
        </is>
      </c>
      <c r="AO79" s="24" t="inlineStr">
        <is>
          <t>NO_CALL_MODEL_UNVALIDATED</t>
        </is>
      </c>
      <c r="AP79" s="24" t="inlineStr">
        <is>
          <t>mlb-det</t>
        </is>
      </c>
      <c r="AQ79" s="24" t="inlineStr">
        <is>
          <t>Detroit Tigers</t>
        </is>
      </c>
      <c r="AR79" s="24" t="inlineStr">
        <is>
          <t>Detroit Tigers</t>
        </is>
      </c>
      <c r="AS79" s="24" t="inlineStr">
        <is>
          <t>mlb-ath</t>
        </is>
      </c>
      <c r="AT79" s="24" t="inlineStr">
        <is>
          <t>Athletics</t>
        </is>
      </c>
      <c r="AU79" s="24" t="inlineStr">
        <is>
          <t>Athletics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research</t>
        </is>
      </c>
      <c r="BA79" s="24" t="inlineStr">
        <is>
          <t>2bc2ce55b0d39a20103f724bbddbde5394909acd49297f52665b596a0ae3ae8b</t>
        </is>
      </c>
      <c r="BB79" s="24" t="inlineStr">
        <is>
          <t>flat_probability_shrinkage_toward_half</t>
        </is>
      </c>
      <c r="BC79" s="24" t="inlineStr">
        <is>
          <t>measured-edge-margin-v1</t>
        </is>
      </c>
      <c r="BD79" s="24" t="inlineStr">
        <is>
          <t>2bc2ce55b0d39a20103f724bbddbde5394909acd49297f52665b596a0ae3ae8b</t>
        </is>
      </c>
      <c r="BE79" s="24" t="inlineStr">
        <is>
          <t>v3</t>
        </is>
      </c>
      <c r="BF79" s="24" t="inlineStr">
        <is>
          <t>1</t>
        </is>
      </c>
      <c r="BG79" s="24" t="inlineStr">
        <is>
          <t>measured-edge-paired-v1</t>
        </is>
      </c>
      <c r="BH79" s="24" t="inlineStr">
        <is>
          <t>2026-07-31T23:29:57.351792Z</t>
        </is>
      </c>
      <c r="BI79" s="24" t="inlineStr">
        <is>
          <t>["same_event","same_team_same_day","same_league_same_day"]</t>
        </is>
      </c>
      <c r="BJ79" s="25" t="n">
        <v>1.5</v>
      </c>
      <c r="BK79" s="26" t="n">
        <v>-117</v>
      </c>
      <c r="BL79" s="27" t="n">
        <v>1.854701</v>
      </c>
      <c r="BM79" s="28" t="n">
        <v>0.539171</v>
      </c>
      <c r="BN79" s="28" t="n">
        <v>0.537313</v>
      </c>
      <c r="BO79" s="28" t="n"/>
      <c r="BP79" s="25" t="n"/>
      <c r="BQ79" s="27" t="n">
        <v>1.854701</v>
      </c>
      <c r="BR79" s="28" t="n">
        <v>0.54</v>
      </c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</row>
    <row r="80" ht="36" customHeight="1">
      <c r="A80" s="24" t="inlineStr">
        <is>
          <t>749fd1bc98e145c0</t>
        </is>
      </c>
      <c r="B80" s="24" t="inlineStr">
        <is>
          <t>2026-07-31T23:29:57.351792Z</t>
        </is>
      </c>
      <c r="C80" s="24" t="inlineStr">
        <is>
          <t>2026-08-01T01:40Z</t>
        </is>
      </c>
      <c r="D80" s="24" t="inlineStr">
        <is>
          <t>401816343</t>
        </is>
      </c>
      <c r="E80" s="24" t="inlineStr">
        <is>
          <t>MLB</t>
        </is>
      </c>
      <c r="F80" s="24" t="inlineStr">
        <is>
          <t>Detroit Tigers</t>
        </is>
      </c>
      <c r="G80" s="24" t="inlineStr">
        <is>
          <t>Athletics</t>
        </is>
      </c>
      <c r="H80" s="24" t="inlineStr">
        <is>
          <t>total</t>
        </is>
      </c>
      <c r="I80" s="24" t="inlineStr">
        <is>
          <t>under</t>
        </is>
      </c>
      <c r="J80" s="25" t="n">
        <v>10.5</v>
      </c>
      <c r="K80" s="24" t="inlineStr">
        <is>
          <t>polymarket_us</t>
        </is>
      </c>
      <c r="L80" s="26" t="n">
        <v>115</v>
      </c>
      <c r="M80" s="27" t="n">
        <v>2.15</v>
      </c>
      <c r="N80" s="28" t="n">
        <v>0.465116</v>
      </c>
      <c r="O80" s="28" t="n">
        <v>0.575933</v>
      </c>
      <c r="P80" s="28" t="n">
        <v>0.042131</v>
      </c>
      <c r="Q80" s="28" t="n">
        <v>0.110817</v>
      </c>
      <c r="R80" s="26" t="n">
        <v>80</v>
      </c>
      <c r="S80" s="29" t="n">
        <v>1.25</v>
      </c>
      <c r="T80" s="24" t="inlineStr">
        <is>
          <t>measured-edge-totals-v1</t>
        </is>
      </c>
      <c r="U80" s="24" t="inlineStr">
        <is>
          <t>settled</t>
        </is>
      </c>
      <c r="V80" s="24" t="inlineStr">
        <is>
          <t>loss</t>
        </is>
      </c>
      <c r="W80" s="26" t="n">
        <v>13</v>
      </c>
      <c r="X80" s="26" t="n">
        <v>1</v>
      </c>
      <c r="Y80" s="25" t="n">
        <v>10.5</v>
      </c>
      <c r="Z80" s="26" t="n">
        <v>115</v>
      </c>
      <c r="AA80" s="28" t="n">
        <v>0.465</v>
      </c>
      <c r="AB80" s="28" t="n">
        <v>-0.000116</v>
      </c>
      <c r="AC80" s="30" t="n">
        <v>-1.25</v>
      </c>
      <c r="AD80" s="24" t="inlineStr">
        <is>
          <t>2026-08-01T05:33:44.546852Z</t>
        </is>
      </c>
      <c r="AE80" s="31" t="inlineStr">
        <is>
          <t>Measured Edge Totals: Trend Engine projected 5.24-4.63; raw selected-side p=0.5942, calibrated p=0.5759.</t>
        </is>
      </c>
      <c r="AF80" s="31" t="inlineStr">
        <is>
          <t>Research-only; lineup, bullpen, park, weather, xFIP, and wRC+ may be neutral fallbacks; market availability and BBO depth may change before first pitch.</t>
        </is>
      </c>
      <c r="AG80" s="24" t="inlineStr">
        <is>
          <t>review_required</t>
        </is>
      </c>
      <c r="AH80" s="24" t="n"/>
      <c r="AI80" s="31" t="n"/>
      <c r="AJ80" s="31" t="n"/>
      <c r="AK80" s="24" t="inlineStr">
        <is>
          <t>research_observation</t>
        </is>
      </c>
      <c r="AL80" s="26" t="n">
        <v>3</v>
      </c>
      <c r="AM80" s="24" t="inlineStr">
        <is>
          <t>RESEARCH_OBSERVATION</t>
        </is>
      </c>
      <c r="AN80" s="24" t="inlineStr">
        <is>
          <t>NO_CALL</t>
        </is>
      </c>
      <c r="AO80" s="24" t="inlineStr">
        <is>
          <t>NO_CALL_MODEL_UNVALIDATED</t>
        </is>
      </c>
      <c r="AP80" s="24" t="inlineStr">
        <is>
          <t>mlb-det</t>
        </is>
      </c>
      <c r="AQ80" s="24" t="inlineStr">
        <is>
          <t>Detroit Tigers</t>
        </is>
      </c>
      <c r="AR80" s="24" t="inlineStr">
        <is>
          <t>Detroit Tigers</t>
        </is>
      </c>
      <c r="AS80" s="24" t="inlineStr">
        <is>
          <t>mlb-ath</t>
        </is>
      </c>
      <c r="AT80" s="24" t="inlineStr">
        <is>
          <t>Athletics</t>
        </is>
      </c>
      <c r="AU80" s="24" t="inlineStr">
        <is>
          <t>Athletics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research</t>
        </is>
      </c>
      <c r="BA80" s="24" t="inlineStr">
        <is>
          <t>cbc2c9bf5a9569a49e1902c816d96556d704cf10819ca3a9e927721685757d0b</t>
        </is>
      </c>
      <c r="BB80" s="24" t="inlineStr">
        <is>
          <t>flat_probability_shrinkage_toward_half</t>
        </is>
      </c>
      <c r="BC80" s="24" t="inlineStr">
        <is>
          <t>measured-edge-totals-v1</t>
        </is>
      </c>
      <c r="BD80" s="24" t="inlineStr">
        <is>
          <t>cbc2c9bf5a9569a49e1902c816d96556d704cf10819ca3a9e927721685757d0b</t>
        </is>
      </c>
      <c r="BE80" s="24" t="inlineStr">
        <is>
          <t>v3</t>
        </is>
      </c>
      <c r="BF80" s="24" t="inlineStr">
        <is>
          <t>1</t>
        </is>
      </c>
      <c r="BG80" s="24" t="inlineStr">
        <is>
          <t>measured-edge-paired-v1</t>
        </is>
      </c>
      <c r="BH80" s="24" t="inlineStr">
        <is>
          <t>2026-07-31T23:29:57.351792Z</t>
        </is>
      </c>
      <c r="BI80" s="24" t="inlineStr">
        <is>
          <t>["same_event","same_team_same_day","same_league_same_day"]</t>
        </is>
      </c>
      <c r="BJ80" s="25" t="n">
        <v>10.5</v>
      </c>
      <c r="BK80" s="26" t="n">
        <v>115</v>
      </c>
      <c r="BL80" s="27" t="n">
        <v>2.15</v>
      </c>
      <c r="BM80" s="28" t="n">
        <v>0.465116</v>
      </c>
      <c r="BN80" s="28" t="n">
        <v>0.462687</v>
      </c>
      <c r="BO80" s="28" t="n"/>
      <c r="BP80" s="25" t="n"/>
      <c r="BQ80" s="27" t="n">
        <v>2.15</v>
      </c>
      <c r="BR80" s="28" t="n">
        <v>0.465</v>
      </c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</row>
    <row r="81" ht="36" customHeight="1">
      <c r="A81" s="24" t="inlineStr">
        <is>
          <t>85aff6219f50457d</t>
        </is>
      </c>
      <c r="B81" s="24" t="inlineStr">
        <is>
          <t>2026-07-31T23:29:57.351792Z</t>
        </is>
      </c>
      <c r="C81" s="24" t="inlineStr">
        <is>
          <t>2026-08-01T01:45Z</t>
        </is>
      </c>
      <c r="D81" s="24" t="inlineStr">
        <is>
          <t>401816346</t>
        </is>
      </c>
      <c r="E81" s="24" t="inlineStr">
        <is>
          <t>MLB</t>
        </is>
      </c>
      <c r="F81" s="24" t="inlineStr">
        <is>
          <t>San Francisco Giants</t>
        </is>
      </c>
      <c r="G81" s="24" t="inlineStr">
        <is>
          <t>San Diego Padres</t>
        </is>
      </c>
      <c r="H81" s="24" t="inlineStr">
        <is>
          <t>spread</t>
        </is>
      </c>
      <c r="I81" s="24" t="inlineStr">
        <is>
          <t>away</t>
        </is>
      </c>
      <c r="J81" s="25" t="n">
        <v>1.5</v>
      </c>
      <c r="K81" s="24" t="inlineStr">
        <is>
          <t>polymarket_us</t>
        </is>
      </c>
      <c r="L81" s="26" t="n">
        <v>-153</v>
      </c>
      <c r="M81" s="27" t="n">
        <v>1.653595</v>
      </c>
      <c r="N81" s="28" t="n">
        <v>0.604743</v>
      </c>
      <c r="O81" s="28" t="n">
        <v>0.547277</v>
      </c>
      <c r="P81" s="28" t="n">
        <v>0.05172</v>
      </c>
      <c r="Q81" s="28" t="n">
        <v>-0.057466</v>
      </c>
      <c r="R81" s="26" t="n">
        <v>0</v>
      </c>
      <c r="S81" s="29" t="n">
        <v>1</v>
      </c>
      <c r="T81" s="24" t="inlineStr">
        <is>
          <t>measured-edge-margin-v1</t>
        </is>
      </c>
      <c r="U81" s="24" t="inlineStr">
        <is>
          <t>settled</t>
        </is>
      </c>
      <c r="V81" s="24" t="inlineStr">
        <is>
          <t>loss</t>
        </is>
      </c>
      <c r="W81" s="26" t="n">
        <v>0</v>
      </c>
      <c r="X81" s="26" t="n">
        <v>7</v>
      </c>
      <c r="Y81" s="25" t="n">
        <v>1.5</v>
      </c>
      <c r="Z81" s="26" t="n">
        <v>-153</v>
      </c>
      <c r="AA81" s="28" t="n">
        <v>0.605</v>
      </c>
      <c r="AB81" s="28" t="n">
        <v>0.000257</v>
      </c>
      <c r="AC81" s="30" t="n">
        <v>-1</v>
      </c>
      <c r="AD81" s="24" t="inlineStr">
        <is>
          <t>2026-08-01T05:33:44.866682Z</t>
        </is>
      </c>
      <c r="AE81" s="31" t="inlineStr">
        <is>
          <t>Measured Edge Margin: Trend Engine projected 4.29-4.73; raw selected-side p=0.6294, calibrated p=0.5473.</t>
        </is>
      </c>
      <c r="AF81" s="31" t="inlineStr">
        <is>
          <t>Research-only; lineup, bullpen, park, weather, xFIP, and wRC+ may be neutral fallbacks; market availability and BBO depth may change before first pitch.</t>
        </is>
      </c>
      <c r="AG81" s="24" t="inlineStr">
        <is>
          <t>review_required</t>
        </is>
      </c>
      <c r="AH81" s="24" t="n"/>
      <c r="AI81" s="31" t="n"/>
      <c r="AJ81" s="31" t="n"/>
      <c r="AK81" s="24" t="inlineStr">
        <is>
          <t>research_observation</t>
        </is>
      </c>
      <c r="AL81" s="26" t="n">
        <v>3</v>
      </c>
      <c r="AM81" s="24" t="inlineStr">
        <is>
          <t>RESEARCH_OBSERVATION</t>
        </is>
      </c>
      <c r="AN81" s="24" t="inlineStr">
        <is>
          <t>NO_CALL</t>
        </is>
      </c>
      <c r="AO81" s="24" t="inlineStr">
        <is>
          <t>NO_CALL_MODEL_UNVALIDATED</t>
        </is>
      </c>
      <c r="AP81" s="24" t="inlineStr">
        <is>
          <t>mlb-sf</t>
        </is>
      </c>
      <c r="AQ81" s="24" t="inlineStr">
        <is>
          <t>San Francisco Giants</t>
        </is>
      </c>
      <c r="AR81" s="24" t="inlineStr">
        <is>
          <t>San Francisco Giants</t>
        </is>
      </c>
      <c r="AS81" s="24" t="inlineStr">
        <is>
          <t>mlb-sd</t>
        </is>
      </c>
      <c r="AT81" s="24" t="inlineStr">
        <is>
          <t>San Diego Padres</t>
        </is>
      </c>
      <c r="AU81" s="24" t="inlineStr">
        <is>
          <t>San Diego Padres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research</t>
        </is>
      </c>
      <c r="BA81" s="24" t="inlineStr">
        <is>
          <t>2bc2ce55b0d39a20103f724bbddbde5394909acd49297f52665b596a0ae3ae8b</t>
        </is>
      </c>
      <c r="BB81" s="24" t="inlineStr">
        <is>
          <t>flat_probability_shrinkage_toward_half</t>
        </is>
      </c>
      <c r="BC81" s="24" t="inlineStr">
        <is>
          <t>measured-edge-margin-v1</t>
        </is>
      </c>
      <c r="BD81" s="24" t="inlineStr">
        <is>
          <t>2bc2ce55b0d39a20103f724bbddbde5394909acd49297f52665b596a0ae3ae8b</t>
        </is>
      </c>
      <c r="BE81" s="24" t="inlineStr">
        <is>
          <t>v3</t>
        </is>
      </c>
      <c r="BF81" s="24" t="inlineStr">
        <is>
          <t>1</t>
        </is>
      </c>
      <c r="BG81" s="24" t="inlineStr">
        <is>
          <t>measured-edge-paired-v1</t>
        </is>
      </c>
      <c r="BH81" s="24" t="inlineStr">
        <is>
          <t>2026-07-31T23:29:57.351792Z</t>
        </is>
      </c>
      <c r="BI81" s="24" t="inlineStr">
        <is>
          <t>["same_event","same_team_same_day","same_league_same_day"]</t>
        </is>
      </c>
      <c r="BJ81" s="25" t="n">
        <v>1.5</v>
      </c>
      <c r="BK81" s="26" t="n">
        <v>-153</v>
      </c>
      <c r="BL81" s="27" t="n">
        <v>1.653595</v>
      </c>
      <c r="BM81" s="28" t="n">
        <v>0.604743</v>
      </c>
      <c r="BN81" s="28" t="n">
        <v>0.60199</v>
      </c>
      <c r="BO81" s="28" t="n"/>
      <c r="BP81" s="25" t="n"/>
      <c r="BQ81" s="27" t="n">
        <v>1.653595</v>
      </c>
      <c r="BR81" s="28" t="n">
        <v>0.605</v>
      </c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</row>
    <row r="82" ht="36" customHeight="1">
      <c r="A82" s="24" t="inlineStr">
        <is>
          <t>8f72c0641b3f438a</t>
        </is>
      </c>
      <c r="B82" s="24" t="inlineStr">
        <is>
          <t>2026-07-31T23:29:57.351792Z</t>
        </is>
      </c>
      <c r="C82" s="24" t="inlineStr">
        <is>
          <t>2026-08-01T01:45Z</t>
        </is>
      </c>
      <c r="D82" s="24" t="inlineStr">
        <is>
          <t>401816346</t>
        </is>
      </c>
      <c r="E82" s="24" t="inlineStr">
        <is>
          <t>MLB</t>
        </is>
      </c>
      <c r="F82" s="24" t="inlineStr">
        <is>
          <t>San Francisco Giants</t>
        </is>
      </c>
      <c r="G82" s="24" t="inlineStr">
        <is>
          <t>San Diego Padres</t>
        </is>
      </c>
      <c r="H82" s="24" t="inlineStr">
        <is>
          <t>total</t>
        </is>
      </c>
      <c r="I82" s="24" t="inlineStr">
        <is>
          <t>over</t>
        </is>
      </c>
      <c r="J82" s="25" t="n">
        <v>8.5</v>
      </c>
      <c r="K82" s="24" t="inlineStr">
        <is>
          <t>polymarket_us</t>
        </is>
      </c>
      <c r="L82" s="26" t="n">
        <v>-104</v>
      </c>
      <c r="M82" s="27" t="n">
        <v>1.961538</v>
      </c>
      <c r="N82" s="28" t="n">
        <v>0.509804</v>
      </c>
      <c r="O82" s="28" t="n">
        <v>0.50565</v>
      </c>
      <c r="P82" s="28" t="n">
        <v>0.05172</v>
      </c>
      <c r="Q82" s="28" t="n">
        <v>-0.004154</v>
      </c>
      <c r="R82" s="26" t="n">
        <v>17</v>
      </c>
      <c r="S82" s="29" t="n">
        <v>1</v>
      </c>
      <c r="T82" s="24" t="inlineStr">
        <is>
          <t>measured-edge-totals-v1</t>
        </is>
      </c>
      <c r="U82" s="24" t="inlineStr">
        <is>
          <t>settled</t>
        </is>
      </c>
      <c r="V82" s="24" t="inlineStr">
        <is>
          <t>loss</t>
        </is>
      </c>
      <c r="W82" s="26" t="n">
        <v>0</v>
      </c>
      <c r="X82" s="26" t="n">
        <v>7</v>
      </c>
      <c r="Y82" s="25" t="n">
        <v>8.5</v>
      </c>
      <c r="Z82" s="26" t="n">
        <v>-104</v>
      </c>
      <c r="AA82" s="28" t="n">
        <v>0.51</v>
      </c>
      <c r="AB82" s="28" t="n">
        <v>0.000196</v>
      </c>
      <c r="AC82" s="30" t="n">
        <v>-1</v>
      </c>
      <c r="AD82" s="24" t="inlineStr">
        <is>
          <t>2026-08-01T05:33:45.178918Z</t>
        </is>
      </c>
      <c r="AE82" s="31" t="inlineStr">
        <is>
          <t>Measured Edge Totals: Trend Engine projected 4.29-4.73; raw selected-side p=0.5218, calibrated p=0.5056.</t>
        </is>
      </c>
      <c r="AF82" s="31" t="inlineStr">
        <is>
          <t>Research-only; lineup, bullpen, park, weather, xFIP, and wRC+ may be neutral fallbacks; market availability and BBO depth may change before first pitch.</t>
        </is>
      </c>
      <c r="AG82" s="24" t="inlineStr">
        <is>
          <t>review_required</t>
        </is>
      </c>
      <c r="AH82" s="24" t="n"/>
      <c r="AI82" s="31" t="n"/>
      <c r="AJ82" s="31" t="n"/>
      <c r="AK82" s="24" t="inlineStr">
        <is>
          <t>research_observation</t>
        </is>
      </c>
      <c r="AL82" s="26" t="n">
        <v>3</v>
      </c>
      <c r="AM82" s="24" t="inlineStr">
        <is>
          <t>RESEARCH_OBSERVATION</t>
        </is>
      </c>
      <c r="AN82" s="24" t="inlineStr">
        <is>
          <t>NO_CALL</t>
        </is>
      </c>
      <c r="AO82" s="24" t="inlineStr">
        <is>
          <t>NO_CALL_MODEL_UNVALIDATED</t>
        </is>
      </c>
      <c r="AP82" s="24" t="inlineStr">
        <is>
          <t>mlb-sf</t>
        </is>
      </c>
      <c r="AQ82" s="24" t="inlineStr">
        <is>
          <t>San Francisco Giants</t>
        </is>
      </c>
      <c r="AR82" s="24" t="inlineStr">
        <is>
          <t>San Francisco Giants</t>
        </is>
      </c>
      <c r="AS82" s="24" t="inlineStr">
        <is>
          <t>mlb-sd</t>
        </is>
      </c>
      <c r="AT82" s="24" t="inlineStr">
        <is>
          <t>San Diego Padres</t>
        </is>
      </c>
      <c r="AU82" s="24" t="inlineStr">
        <is>
          <t>San Diego Padres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research</t>
        </is>
      </c>
      <c r="BA82" s="24" t="inlineStr">
        <is>
          <t>cbc2c9bf5a9569a49e1902c816d96556d704cf10819ca3a9e927721685757d0b</t>
        </is>
      </c>
      <c r="BB82" s="24" t="inlineStr">
        <is>
          <t>flat_probability_shrinkage_toward_half</t>
        </is>
      </c>
      <c r="BC82" s="24" t="inlineStr">
        <is>
          <t>measured-edge-totals-v1</t>
        </is>
      </c>
      <c r="BD82" s="24" t="inlineStr">
        <is>
          <t>cbc2c9bf5a9569a49e1902c816d96556d704cf10819ca3a9e927721685757d0b</t>
        </is>
      </c>
      <c r="BE82" s="24" t="inlineStr">
        <is>
          <t>v3</t>
        </is>
      </c>
      <c r="BF82" s="24" t="inlineStr">
        <is>
          <t>1</t>
        </is>
      </c>
      <c r="BG82" s="24" t="inlineStr">
        <is>
          <t>measured-edge-paired-v1</t>
        </is>
      </c>
      <c r="BH82" s="24" t="inlineStr">
        <is>
          <t>2026-07-31T23:29:57.351792Z</t>
        </is>
      </c>
      <c r="BI82" s="24" t="inlineStr">
        <is>
          <t>["same_event","same_team_same_day","same_league_same_day"]</t>
        </is>
      </c>
      <c r="BJ82" s="25" t="n">
        <v>8.5</v>
      </c>
      <c r="BK82" s="26" t="n">
        <v>-104</v>
      </c>
      <c r="BL82" s="27" t="n">
        <v>1.961538</v>
      </c>
      <c r="BM82" s="28" t="n">
        <v>0.509804</v>
      </c>
      <c r="BN82" s="28" t="n">
        <v>0.507463</v>
      </c>
      <c r="BO82" s="28" t="n"/>
      <c r="BP82" s="25" t="n"/>
      <c r="BQ82" s="27" t="n">
        <v>1.961538</v>
      </c>
      <c r="BR82" s="28" t="n">
        <v>0.51</v>
      </c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</row>
    <row r="83" ht="36" customHeight="1">
      <c r="A83" s="24" t="inlineStr">
        <is>
          <t>332900b6d965481d</t>
        </is>
      </c>
      <c r="B83" s="24" t="inlineStr">
        <is>
          <t>2026-07-31T23:29:57.351792Z</t>
        </is>
      </c>
      <c r="C83" s="24" t="inlineStr">
        <is>
          <t>2026-08-01T02:10Z</t>
        </is>
      </c>
      <c r="D83" s="24" t="inlineStr">
        <is>
          <t>401816342</t>
        </is>
      </c>
      <c r="E83" s="24" t="inlineStr">
        <is>
          <t>MLB</t>
        </is>
      </c>
      <c r="F83" s="24" t="inlineStr">
        <is>
          <t>Boston Red Sox</t>
        </is>
      </c>
      <c r="G83" s="24" t="inlineStr">
        <is>
          <t>Los Angeles Dodgers</t>
        </is>
      </c>
      <c r="H83" s="24" t="inlineStr">
        <is>
          <t>spread</t>
        </is>
      </c>
      <c r="I83" s="24" t="inlineStr">
        <is>
          <t>away</t>
        </is>
      </c>
      <c r="J83" s="25" t="n">
        <v>1.5</v>
      </c>
      <c r="K83" s="24" t="inlineStr">
        <is>
          <t>polymarket_us</t>
        </is>
      </c>
      <c r="L83" s="26" t="n">
        <v>-178</v>
      </c>
      <c r="M83" s="27" t="n">
        <v>1.561798</v>
      </c>
      <c r="N83" s="28" t="n">
        <v>0.640288</v>
      </c>
      <c r="O83" s="28" t="n">
        <v>0.555903</v>
      </c>
      <c r="P83" s="28" t="n">
        <v>0.042131</v>
      </c>
      <c r="Q83" s="28" t="n">
        <v>-0.084385</v>
      </c>
      <c r="R83" s="26" t="n">
        <v>0</v>
      </c>
      <c r="S83" s="29" t="n">
        <v>1</v>
      </c>
      <c r="T83" s="24" t="inlineStr">
        <is>
          <t>measured-edge-margin-v1</t>
        </is>
      </c>
      <c r="U83" s="24" t="inlineStr">
        <is>
          <t>settled</t>
        </is>
      </c>
      <c r="V83" s="24" t="inlineStr">
        <is>
          <t>win</t>
        </is>
      </c>
      <c r="W83" s="26" t="n">
        <v>9</v>
      </c>
      <c r="X83" s="26" t="n">
        <v>4</v>
      </c>
      <c r="Y83" s="25" t="n">
        <v>1.5</v>
      </c>
      <c r="Z83" s="26" t="n">
        <v>-178</v>
      </c>
      <c r="AA83" s="28" t="n">
        <v>0.64</v>
      </c>
      <c r="AB83" s="28" t="n">
        <v>-0.000288</v>
      </c>
      <c r="AC83" s="30" t="n">
        <v>0.5618</v>
      </c>
      <c r="AD83" s="24" t="inlineStr">
        <is>
          <t>2026-08-01T05:33:45.473501Z</t>
        </is>
      </c>
      <c r="AE83" s="31" t="inlineStr">
        <is>
          <t>Measured Edge Margin: Trend Engine projected 4.51-4.43; raw selected-side p=0.6733, calibrated p=0.5559.</t>
        </is>
      </c>
      <c r="AF83" s="31" t="inlineStr">
        <is>
          <t>Research-only; lineup, bullpen, park, weather, xFIP, and wRC+ may be neutral fallbacks; market availability and BBO depth may change before first pitch.</t>
        </is>
      </c>
      <c r="AG83" s="24" t="inlineStr">
        <is>
          <t>not_applicable</t>
        </is>
      </c>
      <c r="AH83" s="24" t="n"/>
      <c r="AI83" s="31" t="n"/>
      <c r="AJ83" s="31" t="n"/>
      <c r="AK83" s="24" t="inlineStr">
        <is>
          <t>research_observation</t>
        </is>
      </c>
      <c r="AL83" s="26" t="n">
        <v>3</v>
      </c>
      <c r="AM83" s="24" t="inlineStr">
        <is>
          <t>RESEARCH_OBSERVATION</t>
        </is>
      </c>
      <c r="AN83" s="24" t="inlineStr">
        <is>
          <t>NO_CALL</t>
        </is>
      </c>
      <c r="AO83" s="24" t="inlineStr">
        <is>
          <t>NO_CALL_MODEL_UNVALIDATED</t>
        </is>
      </c>
      <c r="AP83" s="24" t="inlineStr">
        <is>
          <t>mlb-bos</t>
        </is>
      </c>
      <c r="AQ83" s="24" t="inlineStr">
        <is>
          <t>Boston Red Sox</t>
        </is>
      </c>
      <c r="AR83" s="24" t="inlineStr">
        <is>
          <t>Boston Red Sox</t>
        </is>
      </c>
      <c r="AS83" s="24" t="inlineStr">
        <is>
          <t>mlb-lad</t>
        </is>
      </c>
      <c r="AT83" s="24" t="inlineStr">
        <is>
          <t>Los Angeles Dodgers</t>
        </is>
      </c>
      <c r="AU83" s="24" t="inlineStr">
        <is>
          <t>Los Angeles Dodgers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research</t>
        </is>
      </c>
      <c r="BA83" s="24" t="inlineStr">
        <is>
          <t>2bc2ce55b0d39a20103f724bbddbde5394909acd49297f52665b596a0ae3ae8b</t>
        </is>
      </c>
      <c r="BB83" s="24" t="inlineStr">
        <is>
          <t>flat_probability_shrinkage_toward_half</t>
        </is>
      </c>
      <c r="BC83" s="24" t="inlineStr">
        <is>
          <t>measured-edge-margin-v1</t>
        </is>
      </c>
      <c r="BD83" s="24" t="inlineStr">
        <is>
          <t>2bc2ce55b0d39a20103f724bbddbde5394909acd49297f52665b596a0ae3ae8b</t>
        </is>
      </c>
      <c r="BE83" s="24" t="inlineStr">
        <is>
          <t>v3</t>
        </is>
      </c>
      <c r="BF83" s="24" t="inlineStr">
        <is>
          <t>1</t>
        </is>
      </c>
      <c r="BG83" s="24" t="inlineStr">
        <is>
          <t>measured-edge-paired-v1</t>
        </is>
      </c>
      <c r="BH83" s="24" t="inlineStr">
        <is>
          <t>2026-07-31T23:29:57.351792Z</t>
        </is>
      </c>
      <c r="BI83" s="24" t="inlineStr">
        <is>
          <t>["same_event","same_team_same_day","same_league_same_day"]</t>
        </is>
      </c>
      <c r="BJ83" s="25" t="n">
        <v>1.5</v>
      </c>
      <c r="BK83" s="26" t="n">
        <v>-178</v>
      </c>
      <c r="BL83" s="27" t="n">
        <v>1.561798</v>
      </c>
      <c r="BM83" s="28" t="n">
        <v>0.640288</v>
      </c>
      <c r="BN83" s="28" t="n">
        <v>0.636816</v>
      </c>
      <c r="BO83" s="28" t="n"/>
      <c r="BP83" s="25" t="n"/>
      <c r="BQ83" s="27" t="n">
        <v>1.561798</v>
      </c>
      <c r="BR83" s="28" t="n">
        <v>0.64</v>
      </c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</row>
    <row r="84" ht="36" customHeight="1">
      <c r="A84" s="24" t="inlineStr">
        <is>
          <t>7c1539ed2e204ea4</t>
        </is>
      </c>
      <c r="B84" s="24" t="inlineStr">
        <is>
          <t>2026-07-31T23:29:57.351792Z</t>
        </is>
      </c>
      <c r="C84" s="24" t="inlineStr">
        <is>
          <t>2026-08-01T02:10Z</t>
        </is>
      </c>
      <c r="D84" s="24" t="inlineStr">
        <is>
          <t>401816342</t>
        </is>
      </c>
      <c r="E84" s="24" t="inlineStr">
        <is>
          <t>MLB</t>
        </is>
      </c>
      <c r="F84" s="24" t="inlineStr">
        <is>
          <t>Boston Red Sox</t>
        </is>
      </c>
      <c r="G84" s="24" t="inlineStr">
        <is>
          <t>Los Angeles Dodgers</t>
        </is>
      </c>
      <c r="H84" s="24" t="inlineStr">
        <is>
          <t>total</t>
        </is>
      </c>
      <c r="I84" s="24" t="inlineStr">
        <is>
          <t>over</t>
        </is>
      </c>
      <c r="J84" s="25" t="n">
        <v>8.5</v>
      </c>
      <c r="K84" s="24" t="inlineStr">
        <is>
          <t>polymarket_us</t>
        </is>
      </c>
      <c r="L84" s="26" t="n">
        <v>113</v>
      </c>
      <c r="M84" s="27" t="n">
        <v>2.13</v>
      </c>
      <c r="N84" s="28" t="n">
        <v>0.469484</v>
      </c>
      <c r="O84" s="28" t="n">
        <v>0.492456</v>
      </c>
      <c r="P84" s="28" t="n">
        <v>0.042131</v>
      </c>
      <c r="Q84" s="28" t="n">
        <v>0.022972</v>
      </c>
      <c r="R84" s="26" t="n">
        <v>36</v>
      </c>
      <c r="S84" s="29" t="n">
        <v>1</v>
      </c>
      <c r="T84" s="24" t="inlineStr">
        <is>
          <t>measured-edge-totals-v1</t>
        </is>
      </c>
      <c r="U84" s="24" t="inlineStr">
        <is>
          <t>settled</t>
        </is>
      </c>
      <c r="V84" s="24" t="inlineStr">
        <is>
          <t>win</t>
        </is>
      </c>
      <c r="W84" s="26" t="n">
        <v>9</v>
      </c>
      <c r="X84" s="26" t="n">
        <v>4</v>
      </c>
      <c r="Y84" s="25" t="n">
        <v>8.5</v>
      </c>
      <c r="Z84" s="26" t="n">
        <v>113</v>
      </c>
      <c r="AA84" s="28" t="n">
        <v>0.47</v>
      </c>
      <c r="AB84" s="28" t="n">
        <v>0.000516</v>
      </c>
      <c r="AC84" s="30" t="n">
        <v>1.13</v>
      </c>
      <c r="AD84" s="24" t="inlineStr">
        <is>
          <t>2026-08-01T05:33:45.765690Z</t>
        </is>
      </c>
      <c r="AE84" s="31" t="inlineStr">
        <is>
          <t>Measured Edge Totals: Trend Engine projected 4.51-4.43; raw selected-side p=0.5081, calibrated p=0.4925.</t>
        </is>
      </c>
      <c r="AF84" s="31" t="inlineStr">
        <is>
          <t>Research-only; lineup, bullpen, park, weather, xFIP, and wRC+ may be neutral fallbacks; market availability and BBO depth may change before first pitch.</t>
        </is>
      </c>
      <c r="AG84" s="24" t="inlineStr">
        <is>
          <t>not_applicable</t>
        </is>
      </c>
      <c r="AH84" s="24" t="n"/>
      <c r="AI84" s="31" t="n"/>
      <c r="AJ84" s="31" t="n"/>
      <c r="AK84" s="24" t="inlineStr">
        <is>
          <t>research_observation</t>
        </is>
      </c>
      <c r="AL84" s="26" t="n">
        <v>3</v>
      </c>
      <c r="AM84" s="24" t="inlineStr">
        <is>
          <t>RESEARCH_OBSERVATION</t>
        </is>
      </c>
      <c r="AN84" s="24" t="inlineStr">
        <is>
          <t>NO_CALL</t>
        </is>
      </c>
      <c r="AO84" s="24" t="inlineStr">
        <is>
          <t>NO_CALL_MODEL_UNVALIDATED</t>
        </is>
      </c>
      <c r="AP84" s="24" t="inlineStr">
        <is>
          <t>mlb-bos</t>
        </is>
      </c>
      <c r="AQ84" s="24" t="inlineStr">
        <is>
          <t>Boston Red Sox</t>
        </is>
      </c>
      <c r="AR84" s="24" t="inlineStr">
        <is>
          <t>Boston Red Sox</t>
        </is>
      </c>
      <c r="AS84" s="24" t="inlineStr">
        <is>
          <t>mlb-lad</t>
        </is>
      </c>
      <c r="AT84" s="24" t="inlineStr">
        <is>
          <t>Los Angeles Dodgers</t>
        </is>
      </c>
      <c r="AU84" s="24" t="inlineStr">
        <is>
          <t>Los Angeles Dodgers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research</t>
        </is>
      </c>
      <c r="BA84" s="24" t="inlineStr">
        <is>
          <t>cbc2c9bf5a9569a49e1902c816d96556d704cf10819ca3a9e927721685757d0b</t>
        </is>
      </c>
      <c r="BB84" s="24" t="inlineStr">
        <is>
          <t>flat_probability_shrinkage_toward_half</t>
        </is>
      </c>
      <c r="BC84" s="24" t="inlineStr">
        <is>
          <t>measured-edge-totals-v1</t>
        </is>
      </c>
      <c r="BD84" s="24" t="inlineStr">
        <is>
          <t>cbc2c9bf5a9569a49e1902c816d96556d704cf10819ca3a9e927721685757d0b</t>
        </is>
      </c>
      <c r="BE84" s="24" t="inlineStr">
        <is>
          <t>v3</t>
        </is>
      </c>
      <c r="BF84" s="24" t="inlineStr">
        <is>
          <t>1</t>
        </is>
      </c>
      <c r="BG84" s="24" t="inlineStr">
        <is>
          <t>measured-edge-paired-v1</t>
        </is>
      </c>
      <c r="BH84" s="24" t="inlineStr">
        <is>
          <t>2026-07-31T23:29:57.351792Z</t>
        </is>
      </c>
      <c r="BI84" s="24" t="inlineStr">
        <is>
          <t>["same_event","same_team_same_day","same_league_same_day"]</t>
        </is>
      </c>
      <c r="BJ84" s="25" t="n">
        <v>8.5</v>
      </c>
      <c r="BK84" s="26" t="n">
        <v>113</v>
      </c>
      <c r="BL84" s="27" t="n">
        <v>2.13</v>
      </c>
      <c r="BM84" s="28" t="n">
        <v>0.469484</v>
      </c>
      <c r="BN84" s="28" t="n">
        <v>0.467662</v>
      </c>
      <c r="BO84" s="28" t="n"/>
      <c r="BP84" s="25" t="n"/>
      <c r="BQ84" s="27" t="n">
        <v>2.13</v>
      </c>
      <c r="BR84" s="28" t="n">
        <v>0.47</v>
      </c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</row>
    <row r="85" ht="36" customHeight="1">
      <c r="A85" s="24" t="inlineStr">
        <is>
          <t>1f026f8edb744cf0</t>
        </is>
      </c>
      <c r="B85" s="24" t="inlineStr">
        <is>
          <t>2026-07-31T23:29:57.351792Z</t>
        </is>
      </c>
      <c r="C85" s="24" t="inlineStr">
        <is>
          <t>2026-08-01T02:10Z</t>
        </is>
      </c>
      <c r="D85" s="24" t="inlineStr">
        <is>
          <t>401816345</t>
        </is>
      </c>
      <c r="E85" s="24" t="inlineStr">
        <is>
          <t>MLB</t>
        </is>
      </c>
      <c r="F85" s="24" t="inlineStr">
        <is>
          <t>Minnesota Twins</t>
        </is>
      </c>
      <c r="G85" s="24" t="inlineStr">
        <is>
          <t>Seattle Mariners</t>
        </is>
      </c>
      <c r="H85" s="24" t="inlineStr">
        <is>
          <t>spread</t>
        </is>
      </c>
      <c r="I85" s="24" t="inlineStr">
        <is>
          <t>away</t>
        </is>
      </c>
      <c r="J85" s="25" t="n">
        <v>1.5</v>
      </c>
      <c r="K85" s="24" t="inlineStr">
        <is>
          <t>polymarket_us</t>
        </is>
      </c>
      <c r="L85" s="26" t="n">
        <v>-138</v>
      </c>
      <c r="M85" s="27" t="n">
        <v>1.724638</v>
      </c>
      <c r="N85" s="28" t="n">
        <v>0.579832</v>
      </c>
      <c r="O85" s="28" t="n">
        <v>0.54319</v>
      </c>
      <c r="P85" s="28" t="n">
        <v>0.042131</v>
      </c>
      <c r="Q85" s="28" t="n">
        <v>-0.036642</v>
      </c>
      <c r="R85" s="26" t="n">
        <v>6</v>
      </c>
      <c r="S85" s="29" t="n">
        <v>1</v>
      </c>
      <c r="T85" s="24" t="inlineStr">
        <is>
          <t>measured-edge-margin-v1</t>
        </is>
      </c>
      <c r="U85" s="24" t="inlineStr">
        <is>
          <t>settled</t>
        </is>
      </c>
      <c r="V85" s="24" t="inlineStr">
        <is>
          <t>win</t>
        </is>
      </c>
      <c r="W85" s="26" t="n">
        <v>5</v>
      </c>
      <c r="X85" s="26" t="n">
        <v>3</v>
      </c>
      <c r="Y85" s="25" t="n">
        <v>1.5</v>
      </c>
      <c r="Z85" s="26" t="n">
        <v>-138</v>
      </c>
      <c r="AA85" s="28" t="n">
        <v>0.58</v>
      </c>
      <c r="AB85" s="28" t="n">
        <v>0.000168</v>
      </c>
      <c r="AC85" s="30" t="n">
        <v>0.7246</v>
      </c>
      <c r="AD85" s="24" t="inlineStr">
        <is>
          <t>2026-08-01T05:33:46.062823Z</t>
        </is>
      </c>
      <c r="AE85" s="31" t="inlineStr">
        <is>
          <t>Measured Edge Margin: Trend Engine projected 4.36-4.92; raw selected-side p=0.6086, calibrated p=0.5432.</t>
        </is>
      </c>
      <c r="AF85" s="31" t="inlineStr">
        <is>
          <t>Research-only; lineup, bullpen, park, weather, xFIP, and wRC+ may be neutral fallbacks; market availability and BBO depth may change before first pitch.</t>
        </is>
      </c>
      <c r="AG85" s="24" t="inlineStr">
        <is>
          <t>not_applicable</t>
        </is>
      </c>
      <c r="AH85" s="24" t="n"/>
      <c r="AI85" s="31" t="n"/>
      <c r="AJ85" s="31" t="n"/>
      <c r="AK85" s="24" t="inlineStr">
        <is>
          <t>research_observation</t>
        </is>
      </c>
      <c r="AL85" s="26" t="n">
        <v>3</v>
      </c>
      <c r="AM85" s="24" t="inlineStr">
        <is>
          <t>RESEARCH_OBSERVATION</t>
        </is>
      </c>
      <c r="AN85" s="24" t="inlineStr">
        <is>
          <t>NO_CALL</t>
        </is>
      </c>
      <c r="AO85" s="24" t="inlineStr">
        <is>
          <t>NO_CALL_MODEL_UNVALIDATED</t>
        </is>
      </c>
      <c r="AP85" s="24" t="inlineStr">
        <is>
          <t>mlb-min</t>
        </is>
      </c>
      <c r="AQ85" s="24" t="inlineStr">
        <is>
          <t>Minnesota Twins</t>
        </is>
      </c>
      <c r="AR85" s="24" t="inlineStr">
        <is>
          <t>Minnesota Twins</t>
        </is>
      </c>
      <c r="AS85" s="24" t="inlineStr">
        <is>
          <t>mlb-sea</t>
        </is>
      </c>
      <c r="AT85" s="24" t="inlineStr">
        <is>
          <t>Seattle Mariners</t>
        </is>
      </c>
      <c r="AU85" s="24" t="inlineStr">
        <is>
          <t>Seattle Mariners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research</t>
        </is>
      </c>
      <c r="BA85" s="24" t="inlineStr">
        <is>
          <t>2bc2ce55b0d39a20103f724bbddbde5394909acd49297f52665b596a0ae3ae8b</t>
        </is>
      </c>
      <c r="BB85" s="24" t="inlineStr">
        <is>
          <t>flat_probability_shrinkage_toward_half</t>
        </is>
      </c>
      <c r="BC85" s="24" t="inlineStr">
        <is>
          <t>measured-edge-margin-v1</t>
        </is>
      </c>
      <c r="BD85" s="24" t="inlineStr">
        <is>
          <t>2bc2ce55b0d39a20103f724bbddbde5394909acd49297f52665b596a0ae3ae8b</t>
        </is>
      </c>
      <c r="BE85" s="24" t="inlineStr">
        <is>
          <t>v3</t>
        </is>
      </c>
      <c r="BF85" s="24" t="inlineStr">
        <is>
          <t>1</t>
        </is>
      </c>
      <c r="BG85" s="24" t="inlineStr">
        <is>
          <t>measured-edge-paired-v1</t>
        </is>
      </c>
      <c r="BH85" s="24" t="inlineStr">
        <is>
          <t>2026-07-31T23:29:57.351792Z</t>
        </is>
      </c>
      <c r="BI85" s="24" t="inlineStr">
        <is>
          <t>["same_event","same_team_same_day","same_league_same_day"]</t>
        </is>
      </c>
      <c r="BJ85" s="25" t="n">
        <v>1.5</v>
      </c>
      <c r="BK85" s="26" t="n">
        <v>-138</v>
      </c>
      <c r="BL85" s="27" t="n">
        <v>1.724638</v>
      </c>
      <c r="BM85" s="28" t="n">
        <v>0.579832</v>
      </c>
      <c r="BN85" s="28" t="n">
        <v>0.577114</v>
      </c>
      <c r="BO85" s="28" t="n"/>
      <c r="BP85" s="25" t="n"/>
      <c r="BQ85" s="27" t="n">
        <v>1.724638</v>
      </c>
      <c r="BR85" s="28" t="n">
        <v>0.58</v>
      </c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</row>
    <row r="86" ht="36" customHeight="1">
      <c r="A86" s="24" t="inlineStr">
        <is>
          <t>fdb8dae6fb2c4054</t>
        </is>
      </c>
      <c r="B86" s="24" t="inlineStr">
        <is>
          <t>2026-07-31T23:29:57.351792Z</t>
        </is>
      </c>
      <c r="C86" s="24" t="inlineStr">
        <is>
          <t>2026-08-01T02:10Z</t>
        </is>
      </c>
      <c r="D86" s="24" t="inlineStr">
        <is>
          <t>401816345</t>
        </is>
      </c>
      <c r="E86" s="24" t="inlineStr">
        <is>
          <t>MLB</t>
        </is>
      </c>
      <c r="F86" s="24" t="inlineStr">
        <is>
          <t>Minnesota Twins</t>
        </is>
      </c>
      <c r="G86" s="24" t="inlineStr">
        <is>
          <t>Seattle Mariners</t>
        </is>
      </c>
      <c r="H86" s="24" t="inlineStr">
        <is>
          <t>total</t>
        </is>
      </c>
      <c r="I86" s="24" t="inlineStr">
        <is>
          <t>over</t>
        </is>
      </c>
      <c r="J86" s="25" t="n">
        <v>7.5</v>
      </c>
      <c r="K86" s="24" t="inlineStr">
        <is>
          <t>polymarket_us</t>
        </is>
      </c>
      <c r="L86" s="26" t="n">
        <v>-106</v>
      </c>
      <c r="M86" s="27" t="n">
        <v>1.943396</v>
      </c>
      <c r="N86" s="28" t="n">
        <v>0.514563</v>
      </c>
      <c r="O86" s="28" t="n">
        <v>0.588884</v>
      </c>
      <c r="P86" s="28" t="n">
        <v>0.042131</v>
      </c>
      <c r="Q86" s="28" t="n">
        <v>0.074321</v>
      </c>
      <c r="R86" s="26" t="n">
        <v>62</v>
      </c>
      <c r="S86" s="29" t="n">
        <v>1.25</v>
      </c>
      <c r="T86" s="24" t="inlineStr">
        <is>
          <t>measured-edge-totals-v1</t>
        </is>
      </c>
      <c r="U86" s="24" t="inlineStr">
        <is>
          <t>settled</t>
        </is>
      </c>
      <c r="V86" s="24" t="inlineStr">
        <is>
          <t>win</t>
        </is>
      </c>
      <c r="W86" s="26" t="n">
        <v>5</v>
      </c>
      <c r="X86" s="26" t="n">
        <v>3</v>
      </c>
      <c r="Y86" s="25" t="n">
        <v>7.5</v>
      </c>
      <c r="Z86" s="26" t="n">
        <v>-106</v>
      </c>
      <c r="AA86" s="28" t="n">
        <v>0.515</v>
      </c>
      <c r="AB86" s="28" t="n">
        <v>0.000437</v>
      </c>
      <c r="AC86" s="30" t="n">
        <v>1.1792</v>
      </c>
      <c r="AD86" s="24" t="inlineStr">
        <is>
          <t>2026-08-01T05:33:46.404912Z</t>
        </is>
      </c>
      <c r="AE86" s="31" t="inlineStr">
        <is>
          <t>Measured Edge Totals: Trend Engine projected 4.36-4.92; raw selected-side p=0.6076, calibrated p=0.5889.</t>
        </is>
      </c>
      <c r="AF86" s="31" t="inlineStr">
        <is>
          <t>Research-only; lineup, bullpen, park, weather, xFIP, and wRC+ may be neutral fallbacks; market availability and BBO depth may change before first pitch.</t>
        </is>
      </c>
      <c r="AG86" s="24" t="inlineStr">
        <is>
          <t>not_applicable</t>
        </is>
      </c>
      <c r="AH86" s="24" t="n"/>
      <c r="AI86" s="31" t="n"/>
      <c r="AJ86" s="31" t="n"/>
      <c r="AK86" s="24" t="inlineStr">
        <is>
          <t>research_observation</t>
        </is>
      </c>
      <c r="AL86" s="26" t="n">
        <v>3</v>
      </c>
      <c r="AM86" s="24" t="inlineStr">
        <is>
          <t>RESEARCH_OBSERVATION</t>
        </is>
      </c>
      <c r="AN86" s="24" t="inlineStr">
        <is>
          <t>NO_CALL</t>
        </is>
      </c>
      <c r="AO86" s="24" t="inlineStr">
        <is>
          <t>NO_CALL_MODEL_UNVALIDATED</t>
        </is>
      </c>
      <c r="AP86" s="24" t="inlineStr">
        <is>
          <t>mlb-min</t>
        </is>
      </c>
      <c r="AQ86" s="24" t="inlineStr">
        <is>
          <t>Minnesota Twins</t>
        </is>
      </c>
      <c r="AR86" s="24" t="inlineStr">
        <is>
          <t>Minnesota Twins</t>
        </is>
      </c>
      <c r="AS86" s="24" t="inlineStr">
        <is>
          <t>mlb-sea</t>
        </is>
      </c>
      <c r="AT86" s="24" t="inlineStr">
        <is>
          <t>Seattle Mariners</t>
        </is>
      </c>
      <c r="AU86" s="24" t="inlineStr">
        <is>
          <t>Seattle Mariners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research</t>
        </is>
      </c>
      <c r="BA86" s="24" t="inlineStr">
        <is>
          <t>cbc2c9bf5a9569a49e1902c816d96556d704cf10819ca3a9e927721685757d0b</t>
        </is>
      </c>
      <c r="BB86" s="24" t="inlineStr">
        <is>
          <t>flat_probability_shrinkage_toward_half</t>
        </is>
      </c>
      <c r="BC86" s="24" t="inlineStr">
        <is>
          <t>measured-edge-totals-v1</t>
        </is>
      </c>
      <c r="BD86" s="24" t="inlineStr">
        <is>
          <t>cbc2c9bf5a9569a49e1902c816d96556d704cf10819ca3a9e927721685757d0b</t>
        </is>
      </c>
      <c r="BE86" s="24" t="inlineStr">
        <is>
          <t>v3</t>
        </is>
      </c>
      <c r="BF86" s="24" t="inlineStr">
        <is>
          <t>1</t>
        </is>
      </c>
      <c r="BG86" s="24" t="inlineStr">
        <is>
          <t>measured-edge-paired-v1</t>
        </is>
      </c>
      <c r="BH86" s="24" t="inlineStr">
        <is>
          <t>2026-07-31T23:29:57.351792Z</t>
        </is>
      </c>
      <c r="BI86" s="24" t="inlineStr">
        <is>
          <t>["same_event","same_team_same_day","same_league_same_day"]</t>
        </is>
      </c>
      <c r="BJ86" s="25" t="n">
        <v>7.5</v>
      </c>
      <c r="BK86" s="26" t="n">
        <v>-106</v>
      </c>
      <c r="BL86" s="27" t="n">
        <v>1.943396</v>
      </c>
      <c r="BM86" s="28" t="n">
        <v>0.514563</v>
      </c>
      <c r="BN86" s="28" t="n">
        <v>0.5124379999999999</v>
      </c>
      <c r="BO86" s="28" t="n"/>
      <c r="BP86" s="25" t="n"/>
      <c r="BQ86" s="27" t="n">
        <v>1.943396</v>
      </c>
      <c r="BR86" s="28" t="n">
        <v>0.515</v>
      </c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</row>
    <row r="87" ht="36" customHeight="1">
      <c r="A87" s="24" t="inlineStr">
        <is>
          <t>3714d2fbafec4e5d</t>
        </is>
      </c>
      <c r="B87" s="24" t="inlineStr">
        <is>
          <t>2026-08-01T16:50:21.394933Z</t>
        </is>
      </c>
      <c r="C87" s="24" t="inlineStr">
        <is>
          <t>2026-08-01T13:00:00-0400</t>
        </is>
      </c>
      <c r="D87" s="24" t="inlineStr">
        <is>
          <t>401857105</t>
        </is>
      </c>
      <c r="E87" s="24" t="inlineStr">
        <is>
          <t>WNBA</t>
        </is>
      </c>
      <c r="F87" s="24" t="inlineStr">
        <is>
          <t>Las Vegas Aces</t>
        </is>
      </c>
      <c r="G87" s="24" t="inlineStr">
        <is>
          <t>Chicago Sky</t>
        </is>
      </c>
      <c r="H87" s="24" t="inlineStr">
        <is>
          <t>moneyline</t>
        </is>
      </c>
      <c r="I87" s="24" t="inlineStr">
        <is>
          <t>away</t>
        </is>
      </c>
      <c r="J87" s="25" t="n"/>
      <c r="K87" s="24" t="inlineStr">
        <is>
          <t>polymarket_us</t>
        </is>
      </c>
      <c r="L87" s="26" t="n">
        <v>-245</v>
      </c>
      <c r="M87" s="27" t="n">
        <v>1.408163</v>
      </c>
      <c r="N87" s="28" t="n">
        <v>0.710145</v>
      </c>
      <c r="O87" s="28" t="n">
        <v>0.646163</v>
      </c>
      <c r="P87" s="28" t="n"/>
      <c r="Q87" s="28" t="n">
        <v>-0.063982</v>
      </c>
      <c r="R87" s="26" t="n">
        <v>0</v>
      </c>
      <c r="S87" s="29" t="n">
        <v>1.75</v>
      </c>
      <c r="T87" s="24" t="inlineStr">
        <is>
          <t>wnba-elo-trend-lr-v4</t>
        </is>
      </c>
      <c r="U87" s="24" t="inlineStr">
        <is>
          <t>settled</t>
        </is>
      </c>
      <c r="V87" s="24" t="inlineStr">
        <is>
          <t>loss</t>
        </is>
      </c>
      <c r="W87" s="26" t="n">
        <v>83</v>
      </c>
      <c r="X87" s="26" t="n">
        <v>84</v>
      </c>
      <c r="Y87" s="25" t="n"/>
      <c r="Z87" s="26" t="n"/>
      <c r="AA87" s="28" t="n"/>
      <c r="AB87" s="28" t="n"/>
      <c r="AC87" s="30" t="n">
        <v>-1.75</v>
      </c>
      <c r="AD87" s="24" t="inlineStr">
        <is>
          <t>2026-08-01T20:13:05.677373Z</t>
        </is>
      </c>
      <c r="AE87" s="31" t="inlineStr">
        <is>
          <t>Learned LR call at threshold 0.5001; executable ask 0.7100 (aec-wnba-lv-chi-2026-08-01); model edge vs ask -0.0638.</t>
        </is>
      </c>
      <c r="AF87" s="31" t="inlineStr">
        <is>
          <t>Learned model; shadow-qualified via operator override.</t>
        </is>
      </c>
      <c r="AG87" s="24" t="inlineStr">
        <is>
          <t>review_required</t>
        </is>
      </c>
      <c r="AH87" s="24" t="n"/>
      <c r="AI87" s="31" t="n"/>
      <c r="AJ87" s="31" t="n"/>
      <c r="AK87" s="24" t="inlineStr">
        <is>
          <t>model_qualified</t>
        </is>
      </c>
      <c r="AL87" s="26" t="n">
        <v>3</v>
      </c>
      <c r="AM87" s="24" t="inlineStr">
        <is>
          <t>QUALIFIED_SHADOW_CALL</t>
        </is>
      </c>
      <c r="AN87" s="24" t="inlineStr">
        <is>
          <t>CALL</t>
        </is>
      </c>
      <c r="AO87" s="24" t="inlineStr">
        <is>
          <t>QUALIFIED</t>
        </is>
      </c>
      <c r="AP87" s="24" t="inlineStr">
        <is>
          <t>wnba-lva</t>
        </is>
      </c>
      <c r="AQ87" s="24" t="inlineStr">
        <is>
          <t>Las Vegas Aces</t>
        </is>
      </c>
      <c r="AR87" s="24" t="inlineStr">
        <is>
          <t>Las Vegas Aces</t>
        </is>
      </c>
      <c r="AS87" s="24" t="inlineStr">
        <is>
          <t>wnba-chi</t>
        </is>
      </c>
      <c r="AT87" s="24" t="inlineStr">
        <is>
          <t>Chicago Sky</t>
        </is>
      </c>
      <c r="AU87" s="24" t="inlineStr">
        <is>
          <t>Chicago Sky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7afd5274214b58b7efd7f7febc7be3ab33b92351cda5cc6403c0a39faea0cc8c</t>
        </is>
      </c>
      <c r="BB87" s="24" t="inlineStr">
        <is>
          <t>learned_lr</t>
        </is>
      </c>
      <c r="BC87" s="24" t="inlineStr">
        <is>
          <t>wnba-elo-trend-lr-v4</t>
        </is>
      </c>
      <c r="BD87" s="24" t="inlineStr">
        <is>
          <t>7afd5274214b58b7efd7f7febc7be3ab33b92351cda5cc6403c0a39faea0cc8c</t>
        </is>
      </c>
      <c r="BE87" s="24" t="inlineStr">
        <is>
          <t>51a2c72f2e141b8b</t>
        </is>
      </c>
      <c r="BF87" s="24" t="inlineStr">
        <is>
          <t>1</t>
        </is>
      </c>
      <c r="BG87" s="24" t="inlineStr">
        <is>
          <t>wnba-elo-trend-lr-v4</t>
        </is>
      </c>
      <c r="BH87" s="24" t="inlineStr">
        <is>
          <t>2026-08-01T16:49:04.221920Z</t>
        </is>
      </c>
      <c r="BI87" s="24" t="inlineStr">
        <is>
          <t>["same_event","same_team_same_day","same_league_same_day"]</t>
        </is>
      </c>
      <c r="BJ87" s="25" t="n"/>
      <c r="BK87" s="26" t="n">
        <v>-245</v>
      </c>
      <c r="BL87" s="27" t="n">
        <v>1.408163</v>
      </c>
      <c r="BM87" s="28" t="n">
        <v>0.710145</v>
      </c>
      <c r="BN87" s="28" t="n">
        <v>0.70297</v>
      </c>
      <c r="BO87" s="28" t="n"/>
      <c r="BP87" s="25" t="n"/>
      <c r="BQ87" s="27" t="n"/>
      <c r="BR87" s="28" t="n"/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inlineStr">
        <is>
          <t>0.317202935</t>
        </is>
      </c>
      <c r="CD87" s="24" t="inlineStr">
        <is>
          <t>4.001837</t>
        </is>
      </c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</row>
    <row r="88" ht="36" customHeight="1">
      <c r="A88" s="24" t="inlineStr">
        <is>
          <t>95dfdf1aeb5c4314</t>
        </is>
      </c>
      <c r="B88" s="24" t="inlineStr">
        <is>
          <t>2026-08-01T18:37:44.379324Z</t>
        </is>
      </c>
      <c r="C88" s="24" t="inlineStr">
        <is>
          <t>2026-08-01T15:00:00-0400</t>
        </is>
      </c>
      <c r="D88" s="24" t="inlineStr">
        <is>
          <t>401857106</t>
        </is>
      </c>
      <c r="E88" s="24" t="inlineStr">
        <is>
          <t>WNBA</t>
        </is>
      </c>
      <c r="F88" s="24" t="inlineStr">
        <is>
          <t>New York Liberty</t>
        </is>
      </c>
      <c r="G88" s="24" t="inlineStr">
        <is>
          <t>Phoenix Mercury</t>
        </is>
      </c>
      <c r="H88" s="24" t="inlineStr">
        <is>
          <t>moneyline</t>
        </is>
      </c>
      <c r="I88" s="24" t="inlineStr">
        <is>
          <t>away</t>
        </is>
      </c>
      <c r="J88" s="25" t="n"/>
      <c r="K88" s="24" t="inlineStr">
        <is>
          <t>polymarket_us</t>
        </is>
      </c>
      <c r="L88" s="26" t="n">
        <v>-144</v>
      </c>
      <c r="M88" s="27" t="n">
        <v>1.694444</v>
      </c>
      <c r="N88" s="28" t="n">
        <v>0.590164</v>
      </c>
      <c r="O88" s="28" t="n">
        <v>0.568764</v>
      </c>
      <c r="P88" s="28" t="n"/>
      <c r="Q88" s="28" t="n">
        <v>-0.0214</v>
      </c>
      <c r="R88" s="26" t="n">
        <v>12</v>
      </c>
      <c r="S88" s="29" t="n">
        <v>1.25</v>
      </c>
      <c r="T88" s="24" t="inlineStr">
        <is>
          <t>wnba-elo-trend-lr-v4</t>
        </is>
      </c>
      <c r="U88" s="24" t="inlineStr">
        <is>
          <t>settled</t>
        </is>
      </c>
      <c r="V88" s="24" t="inlineStr">
        <is>
          <t>win</t>
        </is>
      </c>
      <c r="W88" s="26" t="n">
        <v>94</v>
      </c>
      <c r="X88" s="26" t="n">
        <v>92</v>
      </c>
      <c r="Y88" s="25" t="n"/>
      <c r="Z88" s="26" t="n"/>
      <c r="AA88" s="28" t="n"/>
      <c r="AB88" s="28" t="n"/>
      <c r="AC88" s="30" t="n">
        <v>0.8681</v>
      </c>
      <c r="AD88" s="24" t="inlineStr">
        <is>
          <t>2026-08-01T21:25:18.148772Z</t>
        </is>
      </c>
      <c r="AE88" s="31" t="inlineStr">
        <is>
          <t>Learned LR call at threshold 0.5001; executable ask 0.5900 (aec-wnba-ny-phx-2026-08-01); model edge vs ask -0.0212. NOTE: NO_CALL_AVAILABILITY_PLAYER_UNMAPPED unavailable for this game — defaulted to neutral, other features used normally.</t>
        </is>
      </c>
      <c r="AF88" s="31" t="inlineStr">
        <is>
          <t>Learned model; shadow-qualified via operator override.</t>
        </is>
      </c>
      <c r="AG88" s="24" t="inlineStr">
        <is>
          <t>not_applicable</t>
        </is>
      </c>
      <c r="AH88" s="24" t="n"/>
      <c r="AI88" s="31" t="n"/>
      <c r="AJ88" s="31" t="n"/>
      <c r="AK88" s="24" t="inlineStr">
        <is>
          <t>model_qualified</t>
        </is>
      </c>
      <c r="AL88" s="26" t="n">
        <v>3</v>
      </c>
      <c r="AM88" s="24" t="inlineStr">
        <is>
          <t>QUALIFIED_SHADOW_CALL</t>
        </is>
      </c>
      <c r="AN88" s="24" t="inlineStr">
        <is>
          <t>CALL</t>
        </is>
      </c>
      <c r="AO88" s="24" t="inlineStr">
        <is>
          <t>QUALIFIED</t>
        </is>
      </c>
      <c r="AP88" s="24" t="inlineStr">
        <is>
          <t>wnba-nyl</t>
        </is>
      </c>
      <c r="AQ88" s="24" t="inlineStr">
        <is>
          <t>New York Liberty</t>
        </is>
      </c>
      <c r="AR88" s="24" t="inlineStr">
        <is>
          <t>New York Liberty</t>
        </is>
      </c>
      <c r="AS88" s="24" t="inlineStr">
        <is>
          <t>wnba-phx</t>
        </is>
      </c>
      <c r="AT88" s="24" t="inlineStr">
        <is>
          <t>Phoenix Mercury</t>
        </is>
      </c>
      <c r="AU88" s="24" t="inlineStr">
        <is>
          <t>Phoenix Mercury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7afd5274214b58b7efd7f7febc7be3ab33b92351cda5cc6403c0a39faea0cc8c</t>
        </is>
      </c>
      <c r="BB88" s="24" t="inlineStr">
        <is>
          <t>learned_lr</t>
        </is>
      </c>
      <c r="BC88" s="24" t="inlineStr">
        <is>
          <t>wnba-elo-trend-lr-v4</t>
        </is>
      </c>
      <c r="BD88" s="24" t="inlineStr">
        <is>
          <t>7afd5274214b58b7efd7f7febc7be3ab33b92351cda5cc6403c0a39faea0cc8c</t>
        </is>
      </c>
      <c r="BE88" s="24" t="inlineStr">
        <is>
          <t>bbef9e1b90cf700b</t>
        </is>
      </c>
      <c r="BF88" s="24" t="inlineStr">
        <is>
          <t>1</t>
        </is>
      </c>
      <c r="BG88" s="24" t="inlineStr">
        <is>
          <t>wnba-elo-trend-lr-v4</t>
        </is>
      </c>
      <c r="BH88" s="24" t="inlineStr">
        <is>
          <t>2026-08-01T18:36:36.294824Z</t>
        </is>
      </c>
      <c r="BI88" s="24" t="inlineStr">
        <is>
          <t>["same_event","same_team_same_day","same_league_same_day"]</t>
        </is>
      </c>
      <c r="BJ88" s="25" t="n"/>
      <c r="BK88" s="26" t="n">
        <v>-144</v>
      </c>
      <c r="BL88" s="27" t="n">
        <v>1.694444</v>
      </c>
      <c r="BM88" s="28" t="n">
        <v>0.590164</v>
      </c>
      <c r="BN88" s="28" t="n">
        <v>0.584158</v>
      </c>
      <c r="BO88" s="28" t="n"/>
      <c r="BP88" s="25" t="n"/>
      <c r="BQ88" s="27" t="n"/>
      <c r="BR88" s="28" t="n"/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inlineStr">
        <is>
          <t>0.4080094464</t>
        </is>
      </c>
      <c r="CD88" s="24" t="inlineStr">
        <is>
          <t>-5.162465</t>
        </is>
      </c>
      <c r="CE88" s="24" t="n"/>
      <c r="CF88" s="24" t="n"/>
      <c r="CG88" s="24" t="n"/>
      <c r="CH88" s="24" t="n"/>
      <c r="CI88" s="24" t="inlineStr">
        <is>
          <t>NO_CALL_AVAILABILITY_PLAYER_UNMAPPED</t>
        </is>
      </c>
      <c r="CJ88" s="24" t="n"/>
      <c r="CK88" s="24" t="n"/>
      <c r="CL88" s="24" t="n"/>
      <c r="CM88" s="24" t="n"/>
      <c r="CN88" s="24" t="n"/>
      <c r="CO88" s="24" t="n"/>
    </row>
    <row r="89" ht="36" customHeight="1">
      <c r="A89" s="24" t="inlineStr">
        <is>
          <t>090523d0258d47a7</t>
        </is>
      </c>
      <c r="B89" s="24" t="inlineStr">
        <is>
          <t>2026-08-01T18:37:44.379324Z</t>
        </is>
      </c>
      <c r="C89" s="24" t="inlineStr">
        <is>
          <t>2026-08-01T15:07:00-0400</t>
        </is>
      </c>
      <c r="D89" s="24" t="inlineStr">
        <is>
          <t>401816352</t>
        </is>
      </c>
      <c r="E89" s="24" t="inlineStr">
        <is>
          <t>MLB</t>
        </is>
      </c>
      <c r="F89" s="24" t="inlineStr">
        <is>
          <t>St. Louis Cardinals</t>
        </is>
      </c>
      <c r="G89" s="24" t="inlineStr">
        <is>
          <t>Toronto Blue Jays</t>
        </is>
      </c>
      <c r="H89" s="24" t="inlineStr">
        <is>
          <t>moneyline</t>
        </is>
      </c>
      <c r="I89" s="24" t="inlineStr">
        <is>
          <t>home</t>
        </is>
      </c>
      <c r="J89" s="25" t="n"/>
      <c r="K89" s="24" t="inlineStr">
        <is>
          <t>polymarket_us</t>
        </is>
      </c>
      <c r="L89" s="26" t="n">
        <v>-153</v>
      </c>
      <c r="M89" s="27" t="n">
        <v>1.653595</v>
      </c>
      <c r="N89" s="28" t="n">
        <v>0.604743</v>
      </c>
      <c r="O89" s="28" t="n">
        <v>0.5354640000000001</v>
      </c>
      <c r="P89" s="28" t="n"/>
      <c r="Q89" s="28" t="n">
        <v>-0.06927899999999999</v>
      </c>
      <c r="R89" s="26" t="n">
        <v>0</v>
      </c>
      <c r="S89" s="29" t="n">
        <v>1</v>
      </c>
      <c r="T89" s="24" t="inlineStr">
        <is>
          <t>mlb-elo-trend-lr-v7</t>
        </is>
      </c>
      <c r="U89" s="24" t="inlineStr">
        <is>
          <t>settled</t>
        </is>
      </c>
      <c r="V89" s="24" t="inlineStr">
        <is>
          <t>win</t>
        </is>
      </c>
      <c r="W89" s="26" t="n">
        <v>1</v>
      </c>
      <c r="X89" s="26" t="n">
        <v>5</v>
      </c>
      <c r="Y89" s="25" t="n"/>
      <c r="Z89" s="26" t="n">
        <v>-153</v>
      </c>
      <c r="AA89" s="28" t="n">
        <v>0.605</v>
      </c>
      <c r="AB89" s="28" t="n">
        <v>0.000257</v>
      </c>
      <c r="AC89" s="30" t="n">
        <v>0.6536</v>
      </c>
      <c r="AD89" s="24" t="inlineStr">
        <is>
          <t>2026-08-01T23:50:52.446031Z</t>
        </is>
      </c>
      <c r="AE89" s="31" t="inlineStr">
        <is>
          <t>Learned LR call at threshold 0.6242; executable ask 0.6050 (aec-mlb-stl-tor-2026-08-01); model edge vs ask -0.0695.</t>
        </is>
      </c>
      <c r="AF89" s="31" t="inlineStr">
        <is>
          <t>Learned model; shadow-qualified via operator override.</t>
        </is>
      </c>
      <c r="AG89" s="24" t="inlineStr">
        <is>
          <t>not_applicable</t>
        </is>
      </c>
      <c r="AH89" s="24" t="n"/>
      <c r="AI89" s="31" t="n"/>
      <c r="AJ89" s="31" t="n"/>
      <c r="AK89" s="24" t="inlineStr">
        <is>
          <t>model_qualified</t>
        </is>
      </c>
      <c r="AL89" s="26" t="n">
        <v>3</v>
      </c>
      <c r="AM89" s="24" t="inlineStr">
        <is>
          <t>QUALIFIED_SHADOW_CALL</t>
        </is>
      </c>
      <c r="AN89" s="24" t="inlineStr">
        <is>
          <t>CALL</t>
        </is>
      </c>
      <c r="AO89" s="24" t="inlineStr">
        <is>
          <t>QUALIFIED</t>
        </is>
      </c>
      <c r="AP89" s="24" t="inlineStr">
        <is>
          <t>mlb-stl</t>
        </is>
      </c>
      <c r="AQ89" s="24" t="inlineStr">
        <is>
          <t>St. Louis Cardinals</t>
        </is>
      </c>
      <c r="AR89" s="24" t="inlineStr">
        <is>
          <t>St. Louis Cardinals</t>
        </is>
      </c>
      <c r="AS89" s="24" t="inlineStr">
        <is>
          <t>mlb-tor</t>
        </is>
      </c>
      <c r="AT89" s="24" t="inlineStr">
        <is>
          <t>Toronto Blue Jays</t>
        </is>
      </c>
      <c r="AU89" s="24" t="inlineStr">
        <is>
          <t>Toronto Blue Jays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shadow_qualified</t>
        </is>
      </c>
      <c r="BA89" s="24" t="inlineStr">
        <is>
          <t>464eef695bfbbdaa819ec6f5e4c5bd1068ed20b92915fb2677220ae91e20d8b6</t>
        </is>
      </c>
      <c r="BB89" s="24" t="inlineStr">
        <is>
          <t>learned_lr</t>
        </is>
      </c>
      <c r="BC89" s="24" t="inlineStr">
        <is>
          <t>mlb-elo-trend-lr-v7</t>
        </is>
      </c>
      <c r="BD89" s="24" t="inlineStr">
        <is>
          <t>464eef695bfbbdaa819ec6f5e4c5bd1068ed20b92915fb2677220ae91e20d8b6</t>
        </is>
      </c>
      <c r="BE89" s="24" t="inlineStr">
        <is>
          <t>a0f0dfbb182ff37a</t>
        </is>
      </c>
      <c r="BF89" s="24" t="inlineStr">
        <is>
          <t>1</t>
        </is>
      </c>
      <c r="BG89" s="24" t="inlineStr">
        <is>
          <t>mlb-elo-trend-lr-v7</t>
        </is>
      </c>
      <c r="BH89" s="24" t="inlineStr">
        <is>
          <t>2026-08-01T18:36:19.970556Z</t>
        </is>
      </c>
      <c r="BI89" s="24" t="inlineStr">
        <is>
          <t>["same_event","same_team_same_day","same_league_same_day"]</t>
        </is>
      </c>
      <c r="BJ89" s="25" t="n"/>
      <c r="BK89" s="26" t="n">
        <v>-153</v>
      </c>
      <c r="BL89" s="27" t="n">
        <v>1.653595</v>
      </c>
      <c r="BM89" s="28" t="n">
        <v>0.604743</v>
      </c>
      <c r="BN89" s="28" t="n">
        <v>0.60199</v>
      </c>
      <c r="BO89" s="28" t="n"/>
      <c r="BP89" s="25" t="n"/>
      <c r="BQ89" s="27" t="n">
        <v>1.653595</v>
      </c>
      <c r="BR89" s="28" t="n">
        <v>0.605</v>
      </c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inlineStr">
        <is>
          <t>0.5579214953</t>
        </is>
      </c>
      <c r="CD89" s="24" t="inlineStr">
        <is>
          <t>0.999429</t>
        </is>
      </c>
      <c r="CE89" s="24" t="inlineStr">
        <is>
          <t>1.019</t>
        </is>
      </c>
      <c r="CF89" s="24" t="inlineStr">
        <is>
          <t>1.0</t>
        </is>
      </c>
      <c r="CG89" s="24" t="inlineStr">
        <is>
          <t>-1.4</t>
        </is>
      </c>
      <c r="CH89" s="24" t="n"/>
      <c r="CI89" s="24" t="n"/>
      <c r="CJ89" s="24" t="n"/>
      <c r="CK89" s="24" t="n"/>
      <c r="CL89" s="24" t="n"/>
      <c r="CM89" s="24" t="n"/>
      <c r="CN89" s="24" t="n"/>
      <c r="CO89" s="24" t="n"/>
    </row>
    <row r="90" ht="36" customHeight="1">
      <c r="A90" s="24" t="inlineStr">
        <is>
          <t>4b1679abe3c34170</t>
        </is>
      </c>
      <c r="B90" s="24" t="inlineStr">
        <is>
          <t>2026-08-01T18:37:44.379324Z</t>
        </is>
      </c>
      <c r="C90" s="24" t="inlineStr">
        <is>
          <t>2026-08-01T16:10:00-0400</t>
        </is>
      </c>
      <c r="D90" s="24" t="inlineStr">
        <is>
          <t>401816348</t>
        </is>
      </c>
      <c r="E90" s="24" t="inlineStr">
        <is>
          <t>MLB</t>
        </is>
      </c>
      <c r="F90" s="24" t="inlineStr">
        <is>
          <t>Chicago White Sox</t>
        </is>
      </c>
      <c r="G90" s="24" t="inlineStr">
        <is>
          <t>Tampa Bay Rays</t>
        </is>
      </c>
      <c r="H90" s="24" t="inlineStr">
        <is>
          <t>moneyline</t>
        </is>
      </c>
      <c r="I90" s="24" t="inlineStr">
        <is>
          <t>home</t>
        </is>
      </c>
      <c r="J90" s="25" t="n"/>
      <c r="K90" s="24" t="inlineStr">
        <is>
          <t>polymarket_us</t>
        </is>
      </c>
      <c r="L90" s="26" t="n">
        <v>-156</v>
      </c>
      <c r="M90" s="27" t="n">
        <v>1.641026</v>
      </c>
      <c r="N90" s="28" t="n">
        <v>0.609375</v>
      </c>
      <c r="O90" s="28" t="n">
        <v>0.558419</v>
      </c>
      <c r="P90" s="28" t="n"/>
      <c r="Q90" s="28" t="n">
        <v>-0.050956</v>
      </c>
      <c r="R90" s="26" t="n">
        <v>0</v>
      </c>
      <c r="S90" s="29" t="n">
        <v>1</v>
      </c>
      <c r="T90" s="24" t="inlineStr">
        <is>
          <t>mlb-elo-trend-lr-v7</t>
        </is>
      </c>
      <c r="U90" s="24" t="inlineStr">
        <is>
          <t>settled</t>
        </is>
      </c>
      <c r="V90" s="24" t="inlineStr">
        <is>
          <t>win</t>
        </is>
      </c>
      <c r="W90" s="26" t="n">
        <v>0</v>
      </c>
      <c r="X90" s="26" t="n">
        <v>1</v>
      </c>
      <c r="Y90" s="25" t="n"/>
      <c r="Z90" s="26" t="n">
        <v>-156</v>
      </c>
      <c r="AA90" s="28" t="n">
        <v>0.61</v>
      </c>
      <c r="AB90" s="28" t="n">
        <v>0.000625</v>
      </c>
      <c r="AC90" s="30" t="n">
        <v>0.641</v>
      </c>
      <c r="AD90" s="24" t="inlineStr">
        <is>
          <t>2026-08-01T23:50:53.182001Z</t>
        </is>
      </c>
      <c r="AE90" s="31" t="inlineStr">
        <is>
          <t>Learned LR call at threshold 0.6242; executable ask 0.6100 (aec-mlb-cws-tb-2026-08-01); model edge vs ask -0.0516.</t>
        </is>
      </c>
      <c r="AF90" s="31" t="inlineStr">
        <is>
          <t>Learned model; shadow-qualified via operator override.</t>
        </is>
      </c>
      <c r="AG90" s="24" t="inlineStr">
        <is>
          <t>not_applicable</t>
        </is>
      </c>
      <c r="AH90" s="24" t="n"/>
      <c r="AI90" s="31" t="n"/>
      <c r="AJ90" s="31" t="n"/>
      <c r="AK90" s="24" t="inlineStr">
        <is>
          <t>model_qualified</t>
        </is>
      </c>
      <c r="AL90" s="26" t="n">
        <v>3</v>
      </c>
      <c r="AM90" s="24" t="inlineStr">
        <is>
          <t>QUALIFIED_SHADOW_CALL</t>
        </is>
      </c>
      <c r="AN90" s="24" t="inlineStr">
        <is>
          <t>CALL</t>
        </is>
      </c>
      <c r="AO90" s="24" t="inlineStr">
        <is>
          <t>QUALIFIED</t>
        </is>
      </c>
      <c r="AP90" s="24" t="inlineStr">
        <is>
          <t>mlb-cws</t>
        </is>
      </c>
      <c r="AQ90" s="24" t="inlineStr">
        <is>
          <t>Chicago White Sox</t>
        </is>
      </c>
      <c r="AR90" s="24" t="inlineStr">
        <is>
          <t>Chicago White Sox</t>
        </is>
      </c>
      <c r="AS90" s="24" t="inlineStr">
        <is>
          <t>mlb-tb</t>
        </is>
      </c>
      <c r="AT90" s="24" t="inlineStr">
        <is>
          <t>Tampa Bay Rays</t>
        </is>
      </c>
      <c r="AU90" s="24" t="inlineStr">
        <is>
          <t>Tampa Bay Rays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shadow_qualified</t>
        </is>
      </c>
      <c r="BA90" s="24" t="inlineStr">
        <is>
          <t>464eef695bfbbdaa819ec6f5e4c5bd1068ed20b92915fb2677220ae91e20d8b6</t>
        </is>
      </c>
      <c r="BB90" s="24" t="inlineStr">
        <is>
          <t>learned_lr</t>
        </is>
      </c>
      <c r="BC90" s="24" t="inlineStr">
        <is>
          <t>mlb-elo-trend-lr-v7</t>
        </is>
      </c>
      <c r="BD90" s="24" t="inlineStr">
        <is>
          <t>464eef695bfbbdaa819ec6f5e4c5bd1068ed20b92915fb2677220ae91e20d8b6</t>
        </is>
      </c>
      <c r="BE90" s="24" t="inlineStr">
        <is>
          <t>ad676df45ee6e775</t>
        </is>
      </c>
      <c r="BF90" s="24" t="inlineStr">
        <is>
          <t>1</t>
        </is>
      </c>
      <c r="BG90" s="24" t="inlineStr">
        <is>
          <t>mlb-elo-trend-lr-v7</t>
        </is>
      </c>
      <c r="BH90" s="24" t="inlineStr">
        <is>
          <t>2026-08-01T18:36:22.182386Z</t>
        </is>
      </c>
      <c r="BI90" s="24" t="inlineStr">
        <is>
          <t>["same_event","same_team_same_day","same_league_same_day"]</t>
        </is>
      </c>
      <c r="BJ90" s="25" t="n"/>
      <c r="BK90" s="26" t="n">
        <v>-156</v>
      </c>
      <c r="BL90" s="27" t="n">
        <v>1.641026</v>
      </c>
      <c r="BM90" s="28" t="n">
        <v>0.609375</v>
      </c>
      <c r="BN90" s="28" t="n">
        <v>0.606965</v>
      </c>
      <c r="BO90" s="28" t="n"/>
      <c r="BP90" s="25" t="n"/>
      <c r="BQ90" s="27" t="n">
        <v>1.641026</v>
      </c>
      <c r="BR90" s="28" t="n">
        <v>0.61</v>
      </c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inlineStr">
        <is>
          <t>0.5468687943</t>
        </is>
      </c>
      <c r="CD90" s="24" t="inlineStr">
        <is>
          <t>-1.164825</t>
        </is>
      </c>
      <c r="CE90" s="24" t="inlineStr">
        <is>
          <t>0.965</t>
        </is>
      </c>
      <c r="CF90" s="24" t="inlineStr">
        <is>
          <t>1.0</t>
        </is>
      </c>
      <c r="CG90" s="24" t="inlineStr">
        <is>
          <t>-1.4</t>
        </is>
      </c>
      <c r="CH90" s="24" t="n"/>
      <c r="CI90" s="24" t="n"/>
      <c r="CJ90" s="24" t="n"/>
      <c r="CK90" s="24" t="n"/>
      <c r="CL90" s="24" t="n"/>
      <c r="CM90" s="24" t="n"/>
      <c r="CN90" s="24" t="n"/>
      <c r="CO90" s="24" t="n"/>
    </row>
    <row r="91" ht="36" customHeight="1">
      <c r="A91" s="24" t="inlineStr">
        <is>
          <t>ea6695362828438e</t>
        </is>
      </c>
      <c r="B91" s="24" t="inlineStr">
        <is>
          <t>2026-08-01T18:37:44.379324Z</t>
        </is>
      </c>
      <c r="C91" s="24" t="inlineStr">
        <is>
          <t>2026-08-01T16:10:00-0400</t>
        </is>
      </c>
      <c r="D91" s="24" t="inlineStr">
        <is>
          <t>401816349</t>
        </is>
      </c>
      <c r="E91" s="24" t="inlineStr">
        <is>
          <t>MLB</t>
        </is>
      </c>
      <c r="F91" s="24" t="inlineStr">
        <is>
          <t>Miami Marlins</t>
        </is>
      </c>
      <c r="G91" s="24" t="inlineStr">
        <is>
          <t>New York Mets</t>
        </is>
      </c>
      <c r="H91" s="24" t="inlineStr">
        <is>
          <t>moneyline</t>
        </is>
      </c>
      <c r="I91" s="24" t="inlineStr">
        <is>
          <t>home</t>
        </is>
      </c>
      <c r="J91" s="25" t="n"/>
      <c r="K91" s="24" t="inlineStr">
        <is>
          <t>polymarket_us</t>
        </is>
      </c>
      <c r="L91" s="26" t="n">
        <v>-122</v>
      </c>
      <c r="M91" s="27" t="n">
        <v>1.819672</v>
      </c>
      <c r="N91" s="28" t="n">
        <v>0.54955</v>
      </c>
      <c r="O91" s="28" t="n">
        <v>0.515788</v>
      </c>
      <c r="P91" s="28" t="n"/>
      <c r="Q91" s="28" t="n">
        <v>-0.033762</v>
      </c>
      <c r="R91" s="26" t="n">
        <v>4</v>
      </c>
      <c r="S91" s="29" t="n">
        <v>1</v>
      </c>
      <c r="T91" s="24" t="inlineStr">
        <is>
          <t>mlb-elo-trend-lr-v7</t>
        </is>
      </c>
      <c r="U91" s="24" t="inlineStr">
        <is>
          <t>settled</t>
        </is>
      </c>
      <c r="V91" s="24" t="inlineStr">
        <is>
          <t>loss</t>
        </is>
      </c>
      <c r="W91" s="26" t="n">
        <v>6</v>
      </c>
      <c r="X91" s="26" t="n">
        <v>2</v>
      </c>
      <c r="Y91" s="25" t="n"/>
      <c r="Z91" s="26" t="n">
        <v>-122</v>
      </c>
      <c r="AA91" s="28" t="n">
        <v>0.55</v>
      </c>
      <c r="AB91" s="28" t="n">
        <v>0.00045</v>
      </c>
      <c r="AC91" s="30" t="n">
        <v>-1</v>
      </c>
      <c r="AD91" s="24" t="inlineStr">
        <is>
          <t>2026-08-01T23:50:53.987612Z</t>
        </is>
      </c>
      <c r="AE91" s="31" t="inlineStr">
        <is>
          <t>Learned LR call at threshold 0.6242; executable ask 0.5500 (aec-mlb-mia-nym-2026-08-01); model edge vs ask -0.0342.</t>
        </is>
      </c>
      <c r="AF91" s="31" t="inlineStr">
        <is>
          <t>Learned model; shadow-qualified via operator override.</t>
        </is>
      </c>
      <c r="AG91" s="24" t="inlineStr">
        <is>
          <t>review_required</t>
        </is>
      </c>
      <c r="AH91" s="24" t="n"/>
      <c r="AI91" s="31" t="n"/>
      <c r="AJ91" s="31" t="n"/>
      <c r="AK91" s="24" t="inlineStr">
        <is>
          <t>model_qualified</t>
        </is>
      </c>
      <c r="AL91" s="26" t="n">
        <v>3</v>
      </c>
      <c r="AM91" s="24" t="inlineStr">
        <is>
          <t>QUALIFIED_SHADOW_CALL</t>
        </is>
      </c>
      <c r="AN91" s="24" t="inlineStr">
        <is>
          <t>CALL</t>
        </is>
      </c>
      <c r="AO91" s="24" t="inlineStr">
        <is>
          <t>QUALIFIED</t>
        </is>
      </c>
      <c r="AP91" s="24" t="inlineStr">
        <is>
          <t>mlb-mia</t>
        </is>
      </c>
      <c r="AQ91" s="24" t="inlineStr">
        <is>
          <t>Miami Marlins</t>
        </is>
      </c>
      <c r="AR91" s="24" t="inlineStr">
        <is>
          <t>Miami Marlins</t>
        </is>
      </c>
      <c r="AS91" s="24" t="inlineStr">
        <is>
          <t>mlb-nym</t>
        </is>
      </c>
      <c r="AT91" s="24" t="inlineStr">
        <is>
          <t>New York Mets</t>
        </is>
      </c>
      <c r="AU91" s="24" t="inlineStr">
        <is>
          <t>New York Mets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shadow_qualified</t>
        </is>
      </c>
      <c r="BA91" s="24" t="inlineStr">
        <is>
          <t>464eef695bfbbdaa819ec6f5e4c5bd1068ed20b92915fb2677220ae91e20d8b6</t>
        </is>
      </c>
      <c r="BB91" s="24" t="inlineStr">
        <is>
          <t>learned_lr</t>
        </is>
      </c>
      <c r="BC91" s="24" t="inlineStr">
        <is>
          <t>mlb-elo-trend-lr-v7</t>
        </is>
      </c>
      <c r="BD91" s="24" t="inlineStr">
        <is>
          <t>464eef695bfbbdaa819ec6f5e4c5bd1068ed20b92915fb2677220ae91e20d8b6</t>
        </is>
      </c>
      <c r="BE91" s="24" t="inlineStr">
        <is>
          <t>8e71ffd6fce569a4</t>
        </is>
      </c>
      <c r="BF91" s="24" t="inlineStr">
        <is>
          <t>1</t>
        </is>
      </c>
      <c r="BG91" s="24" t="inlineStr">
        <is>
          <t>mlb-elo-trend-lr-v7</t>
        </is>
      </c>
      <c r="BH91" s="24" t="inlineStr">
        <is>
          <t>2026-08-01T18:36:23.073759Z</t>
        </is>
      </c>
      <c r="BI91" s="24" t="inlineStr">
        <is>
          <t>["same_event","same_team_same_day","same_league_same_day"]</t>
        </is>
      </c>
      <c r="BJ91" s="25" t="n"/>
      <c r="BK91" s="26" t="n">
        <v>-122</v>
      </c>
      <c r="BL91" s="27" t="n">
        <v>1.819672</v>
      </c>
      <c r="BM91" s="28" t="n">
        <v>0.54955</v>
      </c>
      <c r="BN91" s="28" t="n">
        <v>0.547264</v>
      </c>
      <c r="BO91" s="28" t="n"/>
      <c r="BP91" s="25" t="n"/>
      <c r="BQ91" s="27" t="n">
        <v>1.819672</v>
      </c>
      <c r="BR91" s="28" t="n">
        <v>0.55</v>
      </c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inlineStr">
        <is>
          <t>0.5032110055</t>
        </is>
      </c>
      <c r="CD91" s="24" t="inlineStr">
        <is>
          <t>-0.346453</t>
        </is>
      </c>
      <c r="CE91" s="24" t="inlineStr">
        <is>
          <t>0.978</t>
        </is>
      </c>
      <c r="CF91" s="24" t="inlineStr">
        <is>
          <t>1.0209</t>
        </is>
      </c>
      <c r="CG91" s="24" t="inlineStr">
        <is>
          <t>-1.2</t>
        </is>
      </c>
      <c r="CH91" s="24" t="n"/>
      <c r="CI91" s="24" t="n"/>
      <c r="CJ91" s="24" t="n"/>
      <c r="CK91" s="24" t="n"/>
      <c r="CL91" s="24" t="n"/>
      <c r="CM91" s="24" t="n"/>
      <c r="CN91" s="24" t="n"/>
      <c r="CO91" s="24" t="n"/>
    </row>
    <row r="92" ht="36" customHeight="1">
      <c r="A92" s="24" t="inlineStr">
        <is>
          <t>d303a55c7be64746</t>
        </is>
      </c>
      <c r="B92" s="24" t="inlineStr">
        <is>
          <t>2026-08-01T18:37:44.379324Z</t>
        </is>
      </c>
      <c r="C92" s="24" t="inlineStr">
        <is>
          <t>2026-08-01T16:10:00-0400</t>
        </is>
      </c>
      <c r="D92" s="24" t="inlineStr">
        <is>
          <t>401816360</t>
        </is>
      </c>
      <c r="E92" s="24" t="inlineStr">
        <is>
          <t>MLB</t>
        </is>
      </c>
      <c r="F92" s="24" t="inlineStr">
        <is>
          <t>Minnesota Twins</t>
        </is>
      </c>
      <c r="G92" s="24" t="inlineStr">
        <is>
          <t>Seattle Mariners</t>
        </is>
      </c>
      <c r="H92" s="24" t="inlineStr">
        <is>
          <t>moneyline</t>
        </is>
      </c>
      <c r="I92" s="24" t="inlineStr">
        <is>
          <t>home</t>
        </is>
      </c>
      <c r="J92" s="25" t="n"/>
      <c r="K92" s="24" t="inlineStr">
        <is>
          <t>polymarket_us</t>
        </is>
      </c>
      <c r="L92" s="26" t="n">
        <v>-156</v>
      </c>
      <c r="M92" s="27" t="n">
        <v>1.641026</v>
      </c>
      <c r="N92" s="28" t="n">
        <v>0.609375</v>
      </c>
      <c r="O92" s="28" t="n">
        <v>0.591702</v>
      </c>
      <c r="P92" s="28" t="n"/>
      <c r="Q92" s="28" t="n">
        <v>-0.017673</v>
      </c>
      <c r="R92" s="26" t="n">
        <v>12</v>
      </c>
      <c r="S92" s="29" t="n">
        <v>1.25</v>
      </c>
      <c r="T92" s="24" t="inlineStr">
        <is>
          <t>mlb-elo-trend-lr-v7</t>
        </is>
      </c>
      <c r="U92" s="24" t="inlineStr">
        <is>
          <t>settled</t>
        </is>
      </c>
      <c r="V92" s="24" t="inlineStr">
        <is>
          <t>win</t>
        </is>
      </c>
      <c r="W92" s="26" t="n">
        <v>3</v>
      </c>
      <c r="X92" s="26" t="n">
        <v>4</v>
      </c>
      <c r="Y92" s="25" t="n"/>
      <c r="Z92" s="26" t="n">
        <v>-156</v>
      </c>
      <c r="AA92" s="28" t="n">
        <v>0.61</v>
      </c>
      <c r="AB92" s="28" t="n">
        <v>0.000625</v>
      </c>
      <c r="AC92" s="30" t="n">
        <v>0.8013</v>
      </c>
      <c r="AD92" s="24" t="inlineStr">
        <is>
          <t>2026-08-01T23:50:54.713841Z</t>
        </is>
      </c>
      <c r="AE92" s="31" t="inlineStr">
        <is>
          <t>Learned LR call at threshold 0.6242; executable ask 0.6100 (aec-mlb-min-sea-2026-08-01); model edge vs ask -0.0183.</t>
        </is>
      </c>
      <c r="AF92" s="31" t="inlineStr">
        <is>
          <t>Learned model; shadow-qualified via operator override.</t>
        </is>
      </c>
      <c r="AG92" s="24" t="inlineStr">
        <is>
          <t>not_applicable</t>
        </is>
      </c>
      <c r="AH92" s="24" t="n"/>
      <c r="AI92" s="31" t="n"/>
      <c r="AJ92" s="31" t="n"/>
      <c r="AK92" s="24" t="inlineStr">
        <is>
          <t>model_qualified</t>
        </is>
      </c>
      <c r="AL92" s="26" t="n">
        <v>3</v>
      </c>
      <c r="AM92" s="24" t="inlineStr">
        <is>
          <t>QUALIFIED_SHADOW_CALL</t>
        </is>
      </c>
      <c r="AN92" s="24" t="inlineStr">
        <is>
          <t>CALL</t>
        </is>
      </c>
      <c r="AO92" s="24" t="inlineStr">
        <is>
          <t>QUALIFIED</t>
        </is>
      </c>
      <c r="AP92" s="24" t="inlineStr">
        <is>
          <t>mlb-min</t>
        </is>
      </c>
      <c r="AQ92" s="24" t="inlineStr">
        <is>
          <t>Minnesota Twins</t>
        </is>
      </c>
      <c r="AR92" s="24" t="inlineStr">
        <is>
          <t>Minnesota Twins</t>
        </is>
      </c>
      <c r="AS92" s="24" t="inlineStr">
        <is>
          <t>mlb-sea</t>
        </is>
      </c>
      <c r="AT92" s="24" t="inlineStr">
        <is>
          <t>Seattle Mariners</t>
        </is>
      </c>
      <c r="AU92" s="24" t="inlineStr">
        <is>
          <t>Seattle Mariners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shadow_qualified</t>
        </is>
      </c>
      <c r="BA92" s="24" t="inlineStr">
        <is>
          <t>464eef695bfbbdaa819ec6f5e4c5bd1068ed20b92915fb2677220ae91e20d8b6</t>
        </is>
      </c>
      <c r="BB92" s="24" t="inlineStr">
        <is>
          <t>learned_lr</t>
        </is>
      </c>
      <c r="BC92" s="24" t="inlineStr">
        <is>
          <t>mlb-elo-trend-lr-v7</t>
        </is>
      </c>
      <c r="BD92" s="24" t="inlineStr">
        <is>
          <t>464eef695bfbbdaa819ec6f5e4c5bd1068ed20b92915fb2677220ae91e20d8b6</t>
        </is>
      </c>
      <c r="BE92" s="24" t="inlineStr">
        <is>
          <t>53175a4c13f251cb</t>
        </is>
      </c>
      <c r="BF92" s="24" t="inlineStr">
        <is>
          <t>1</t>
        </is>
      </c>
      <c r="BG92" s="24" t="inlineStr">
        <is>
          <t>mlb-elo-trend-lr-v7</t>
        </is>
      </c>
      <c r="BH92" s="24" t="inlineStr">
        <is>
          <t>2026-08-01T18:36:21.090185Z</t>
        </is>
      </c>
      <c r="BI92" s="24" t="inlineStr">
        <is>
          <t>["same_event","same_team_same_day","same_league_same_day"]</t>
        </is>
      </c>
      <c r="BJ92" s="25" t="n"/>
      <c r="BK92" s="26" t="n">
        <v>-156</v>
      </c>
      <c r="BL92" s="27" t="n">
        <v>1.641026</v>
      </c>
      <c r="BM92" s="28" t="n">
        <v>0.609375</v>
      </c>
      <c r="BN92" s="28" t="n">
        <v>0.606965</v>
      </c>
      <c r="BO92" s="28" t="n"/>
      <c r="BP92" s="25" t="n"/>
      <c r="BQ92" s="27" t="n">
        <v>1.641026</v>
      </c>
      <c r="BR92" s="28" t="n">
        <v>0.61</v>
      </c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inlineStr">
        <is>
          <t>0.578722894</t>
        </is>
      </c>
      <c r="CD92" s="24" t="inlineStr">
        <is>
          <t>0.628201</t>
        </is>
      </c>
      <c r="CE92" s="24" t="inlineStr">
        <is>
          <t>0.936</t>
        </is>
      </c>
      <c r="CF92" s="24" t="inlineStr">
        <is>
          <t>1.0</t>
        </is>
      </c>
      <c r="CG92" s="24" t="inlineStr">
        <is>
          <t>1.2</t>
        </is>
      </c>
      <c r="CH92" s="24" t="n"/>
      <c r="CI92" s="24" t="n"/>
      <c r="CJ92" s="24" t="n"/>
      <c r="CK92" s="24" t="n"/>
      <c r="CL92" s="24" t="n"/>
      <c r="CM92" s="24" t="n"/>
      <c r="CN92" s="24" t="n"/>
      <c r="CO92" s="24" t="n"/>
    </row>
    <row r="93" ht="36" customHeight="1">
      <c r="A93" s="24" t="inlineStr">
        <is>
          <t>dce89bd9695442a5</t>
        </is>
      </c>
      <c r="B93" s="24" t="inlineStr">
        <is>
          <t>2026-08-01T18:38:25.468461Z</t>
        </is>
      </c>
      <c r="C93" s="24" t="inlineStr">
        <is>
          <t>2026-08-01T19:07Z</t>
        </is>
      </c>
      <c r="D93" s="24" t="inlineStr">
        <is>
          <t>401816352</t>
        </is>
      </c>
      <c r="E93" s="24" t="inlineStr">
        <is>
          <t>MLB</t>
        </is>
      </c>
      <c r="F93" s="24" t="inlineStr">
        <is>
          <t>St. Louis Cardinals</t>
        </is>
      </c>
      <c r="G93" s="24" t="inlineStr">
        <is>
          <t>Toronto Blue Jays</t>
        </is>
      </c>
      <c r="H93" s="24" t="inlineStr">
        <is>
          <t>spread</t>
        </is>
      </c>
      <c r="I93" s="24" t="inlineStr">
        <is>
          <t>away</t>
        </is>
      </c>
      <c r="J93" s="25" t="n">
        <v>1.5</v>
      </c>
      <c r="K93" s="24" t="inlineStr">
        <is>
          <t>polymarket_us</t>
        </is>
      </c>
      <c r="L93" s="26" t="n">
        <v>-144</v>
      </c>
      <c r="M93" s="27" t="n">
        <v>1.694444</v>
      </c>
      <c r="N93" s="28" t="n">
        <v>0.590164</v>
      </c>
      <c r="O93" s="28" t="n">
        <v>0.5529849999999999</v>
      </c>
      <c r="P93" s="28" t="n">
        <v>0.05172</v>
      </c>
      <c r="Q93" s="28" t="n">
        <v>-0.037179</v>
      </c>
      <c r="R93" s="26" t="n">
        <v>0</v>
      </c>
      <c r="S93" s="29" t="n">
        <v>1</v>
      </c>
      <c r="T93" s="24" t="inlineStr">
        <is>
          <t>measured-edge-margin-v1</t>
        </is>
      </c>
      <c r="U93" s="24" t="inlineStr">
        <is>
          <t>settled</t>
        </is>
      </c>
      <c r="V93" s="24" t="inlineStr">
        <is>
          <t>loss</t>
        </is>
      </c>
      <c r="W93" s="26" t="n">
        <v>1</v>
      </c>
      <c r="X93" s="26" t="n">
        <v>5</v>
      </c>
      <c r="Y93" s="25" t="n">
        <v>1.5</v>
      </c>
      <c r="Z93" s="26" t="n">
        <v>-144</v>
      </c>
      <c r="AA93" s="28" t="n">
        <v>0.59</v>
      </c>
      <c r="AB93" s="28" t="n">
        <v>-0.000164</v>
      </c>
      <c r="AC93" s="30" t="n">
        <v>-1</v>
      </c>
      <c r="AD93" s="24" t="inlineStr">
        <is>
          <t>2026-08-01T23:50:55.435425Z</t>
        </is>
      </c>
      <c r="AE93" s="31" t="inlineStr">
        <is>
          <t>Measured Edge Margin: Trend Engine projected 4.64-4.73; raw selected-side p=0.6584, calibrated p=0.5530.</t>
        </is>
      </c>
      <c r="AF93" s="31" t="inlineStr">
        <is>
          <t>Research-only; lineup, bullpen, park, weather, xFIP, and wRC+ may be neutral fallbacks; market availability and BBO depth may change before first pitch.</t>
        </is>
      </c>
      <c r="AG93" s="24" t="inlineStr">
        <is>
          <t>review_required</t>
        </is>
      </c>
      <c r="AH93" s="24" t="n"/>
      <c r="AI93" s="31" t="n"/>
      <c r="AJ93" s="31" t="n"/>
      <c r="AK93" s="24" t="inlineStr">
        <is>
          <t>research_observation</t>
        </is>
      </c>
      <c r="AL93" s="26" t="n">
        <v>3</v>
      </c>
      <c r="AM93" s="24" t="inlineStr">
        <is>
          <t>RESEARCH_OBSERVATION</t>
        </is>
      </c>
      <c r="AN93" s="24" t="inlineStr">
        <is>
          <t>NO_CALL</t>
        </is>
      </c>
      <c r="AO93" s="24" t="inlineStr">
        <is>
          <t>NO_CALL_MODEL_UNVALIDATED</t>
        </is>
      </c>
      <c r="AP93" s="24" t="inlineStr">
        <is>
          <t>mlb-stl</t>
        </is>
      </c>
      <c r="AQ93" s="24" t="inlineStr">
        <is>
          <t>St. Louis Cardinals</t>
        </is>
      </c>
      <c r="AR93" s="24" t="inlineStr">
        <is>
          <t>St. Louis Cardinals</t>
        </is>
      </c>
      <c r="AS93" s="24" t="inlineStr">
        <is>
          <t>mlb-tor</t>
        </is>
      </c>
      <c r="AT93" s="24" t="inlineStr">
        <is>
          <t>Toronto Blue Jays</t>
        </is>
      </c>
      <c r="AU93" s="24" t="inlineStr">
        <is>
          <t>Toronto Blue Jays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research</t>
        </is>
      </c>
      <c r="BA93" s="24" t="inlineStr">
        <is>
          <t>2bc2ce55b0d39a20103f724bbddbde5394909acd49297f52665b596a0ae3ae8b</t>
        </is>
      </c>
      <c r="BB93" s="24" t="inlineStr">
        <is>
          <t>flat_probability_shrinkage_toward_half</t>
        </is>
      </c>
      <c r="BC93" s="24" t="inlineStr">
        <is>
          <t>measured-edge-margin-v1</t>
        </is>
      </c>
      <c r="BD93" s="24" t="inlineStr">
        <is>
          <t>2bc2ce55b0d39a20103f724bbddbde5394909acd49297f52665b596a0ae3ae8b</t>
        </is>
      </c>
      <c r="BE93" s="24" t="inlineStr">
        <is>
          <t>v3</t>
        </is>
      </c>
      <c r="BF93" s="24" t="inlineStr">
        <is>
          <t>1</t>
        </is>
      </c>
      <c r="BG93" s="24" t="inlineStr">
        <is>
          <t>measured-edge-paired-v1</t>
        </is>
      </c>
      <c r="BH93" s="24" t="inlineStr">
        <is>
          <t>2026-08-01T18:38:25.468461Z</t>
        </is>
      </c>
      <c r="BI93" s="24" t="inlineStr">
        <is>
          <t>["same_event","same_team_same_day","same_league_same_day"]</t>
        </is>
      </c>
      <c r="BJ93" s="25" t="n">
        <v>1.5</v>
      </c>
      <c r="BK93" s="26" t="n">
        <v>-144</v>
      </c>
      <c r="BL93" s="27" t="n">
        <v>1.694444</v>
      </c>
      <c r="BM93" s="28" t="n">
        <v>0.590164</v>
      </c>
      <c r="BN93" s="28" t="n">
        <v>0.5870649999999999</v>
      </c>
      <c r="BO93" s="28" t="n"/>
      <c r="BP93" s="25" t="n"/>
      <c r="BQ93" s="27" t="n">
        <v>1.694444</v>
      </c>
      <c r="BR93" s="28" t="n">
        <v>0.59</v>
      </c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</row>
    <row r="94" ht="36" customHeight="1">
      <c r="A94" s="24" t="inlineStr">
        <is>
          <t>fde80a4b2f894318</t>
        </is>
      </c>
      <c r="B94" s="24" t="inlineStr">
        <is>
          <t>2026-08-01T18:38:25.468461Z</t>
        </is>
      </c>
      <c r="C94" s="24" t="inlineStr">
        <is>
          <t>2026-08-01T19:07Z</t>
        </is>
      </c>
      <c r="D94" s="24" t="inlineStr">
        <is>
          <t>401816352</t>
        </is>
      </c>
      <c r="E94" s="24" t="inlineStr">
        <is>
          <t>MLB</t>
        </is>
      </c>
      <c r="F94" s="24" t="inlineStr">
        <is>
          <t>St. Louis Cardinals</t>
        </is>
      </c>
      <c r="G94" s="24" t="inlineStr">
        <is>
          <t>Toronto Blue Jays</t>
        </is>
      </c>
      <c r="H94" s="24" t="inlineStr">
        <is>
          <t>total</t>
        </is>
      </c>
      <c r="I94" s="24" t="inlineStr">
        <is>
          <t>over</t>
        </is>
      </c>
      <c r="J94" s="25" t="n">
        <v>8.5</v>
      </c>
      <c r="K94" s="24" t="inlineStr">
        <is>
          <t>polymarket_us</t>
        </is>
      </c>
      <c r="L94" s="26" t="n">
        <v>111</v>
      </c>
      <c r="M94" s="27" t="n">
        <v>2.11</v>
      </c>
      <c r="N94" s="28" t="n">
        <v>0.473934</v>
      </c>
      <c r="O94" s="28" t="n">
        <v>0.528302</v>
      </c>
      <c r="P94" s="28" t="n">
        <v>0.05172</v>
      </c>
      <c r="Q94" s="28" t="n">
        <v>0.054368</v>
      </c>
      <c r="R94" s="26" t="n">
        <v>46</v>
      </c>
      <c r="S94" s="29" t="n">
        <v>1</v>
      </c>
      <c r="T94" s="24" t="inlineStr">
        <is>
          <t>measured-edge-totals-v1</t>
        </is>
      </c>
      <c r="U94" s="24" t="inlineStr">
        <is>
          <t>settled</t>
        </is>
      </c>
      <c r="V94" s="24" t="inlineStr">
        <is>
          <t>loss</t>
        </is>
      </c>
      <c r="W94" s="26" t="n">
        <v>1</v>
      </c>
      <c r="X94" s="26" t="n">
        <v>5</v>
      </c>
      <c r="Y94" s="25" t="n">
        <v>8.5</v>
      </c>
      <c r="Z94" s="26" t="n">
        <v>111</v>
      </c>
      <c r="AA94" s="28" t="n">
        <v>0.475</v>
      </c>
      <c r="AB94" s="28" t="n">
        <v>0.001066</v>
      </c>
      <c r="AC94" s="30" t="n">
        <v>-1</v>
      </c>
      <c r="AD94" s="24" t="inlineStr">
        <is>
          <t>2026-08-01T23:50:56.176778Z</t>
        </is>
      </c>
      <c r="AE94" s="31" t="inlineStr">
        <is>
          <t>Measured Edge Totals: Trend Engine projected 4.64-4.73; raw selected-side p=0.5451, calibrated p=0.5283.</t>
        </is>
      </c>
      <c r="AF94" s="31" t="inlineStr">
        <is>
          <t>Research-only; lineup, bullpen, park, weather, xFIP, and wRC+ may be neutral fallbacks; market availability and BBO depth may change before first pitch.</t>
        </is>
      </c>
      <c r="AG94" s="24" t="inlineStr">
        <is>
          <t>review_required</t>
        </is>
      </c>
      <c r="AH94" s="24" t="n"/>
      <c r="AI94" s="31" t="n"/>
      <c r="AJ94" s="31" t="n"/>
      <c r="AK94" s="24" t="inlineStr">
        <is>
          <t>research_observation</t>
        </is>
      </c>
      <c r="AL94" s="26" t="n">
        <v>3</v>
      </c>
      <c r="AM94" s="24" t="inlineStr">
        <is>
          <t>RESEARCH_OBSERVATION</t>
        </is>
      </c>
      <c r="AN94" s="24" t="inlineStr">
        <is>
          <t>NO_CALL</t>
        </is>
      </c>
      <c r="AO94" s="24" t="inlineStr">
        <is>
          <t>NO_CALL_MODEL_UNVALIDATED</t>
        </is>
      </c>
      <c r="AP94" s="24" t="inlineStr">
        <is>
          <t>mlb-stl</t>
        </is>
      </c>
      <c r="AQ94" s="24" t="inlineStr">
        <is>
          <t>St. Louis Cardinals</t>
        </is>
      </c>
      <c r="AR94" s="24" t="inlineStr">
        <is>
          <t>St. Louis Cardinals</t>
        </is>
      </c>
      <c r="AS94" s="24" t="inlineStr">
        <is>
          <t>mlb-tor</t>
        </is>
      </c>
      <c r="AT94" s="24" t="inlineStr">
        <is>
          <t>Toronto Blue Jays</t>
        </is>
      </c>
      <c r="AU94" s="24" t="inlineStr">
        <is>
          <t>Toronto Blue Jays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research</t>
        </is>
      </c>
      <c r="BA94" s="24" t="inlineStr">
        <is>
          <t>cbc2c9bf5a9569a49e1902c816d96556d704cf10819ca3a9e927721685757d0b</t>
        </is>
      </c>
      <c r="BB94" s="24" t="inlineStr">
        <is>
          <t>flat_probability_shrinkage_toward_half</t>
        </is>
      </c>
      <c r="BC94" s="24" t="inlineStr">
        <is>
          <t>measured-edge-totals-v1</t>
        </is>
      </c>
      <c r="BD94" s="24" t="inlineStr">
        <is>
          <t>cbc2c9bf5a9569a49e1902c816d96556d704cf10819ca3a9e927721685757d0b</t>
        </is>
      </c>
      <c r="BE94" s="24" t="inlineStr">
        <is>
          <t>v3</t>
        </is>
      </c>
      <c r="BF94" s="24" t="inlineStr">
        <is>
          <t>1</t>
        </is>
      </c>
      <c r="BG94" s="24" t="inlineStr">
        <is>
          <t>measured-edge-paired-v1</t>
        </is>
      </c>
      <c r="BH94" s="24" t="inlineStr">
        <is>
          <t>2026-08-01T18:38:25.468461Z</t>
        </is>
      </c>
      <c r="BI94" s="24" t="inlineStr">
        <is>
          <t>["same_event","same_team_same_day","same_league_same_day"]</t>
        </is>
      </c>
      <c r="BJ94" s="25" t="n">
        <v>8.5</v>
      </c>
      <c r="BK94" s="26" t="n">
        <v>111</v>
      </c>
      <c r="BL94" s="27" t="n">
        <v>2.11</v>
      </c>
      <c r="BM94" s="28" t="n">
        <v>0.473934</v>
      </c>
      <c r="BN94" s="28" t="n">
        <v>0.472637</v>
      </c>
      <c r="BO94" s="28" t="n"/>
      <c r="BP94" s="25" t="n"/>
      <c r="BQ94" s="27" t="n">
        <v>2.11</v>
      </c>
      <c r="BR94" s="28" t="n">
        <v>0.475</v>
      </c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</row>
    <row r="95" ht="36" customHeight="1">
      <c r="A95" s="24" t="inlineStr">
        <is>
          <t>53a2e3a55ed248f0</t>
        </is>
      </c>
      <c r="B95" s="24" t="inlineStr">
        <is>
          <t>2026-08-01T18:38:25.468461Z</t>
        </is>
      </c>
      <c r="C95" s="24" t="inlineStr">
        <is>
          <t>2026-08-01T20:10Z</t>
        </is>
      </c>
      <c r="D95" s="24" t="inlineStr">
        <is>
          <t>401816348</t>
        </is>
      </c>
      <c r="E95" s="24" t="inlineStr">
        <is>
          <t>MLB</t>
        </is>
      </c>
      <c r="F95" s="24" t="inlineStr">
        <is>
          <t>Chicago White Sox</t>
        </is>
      </c>
      <c r="G95" s="24" t="inlineStr">
        <is>
          <t>Tampa Bay Rays</t>
        </is>
      </c>
      <c r="H95" s="24" t="inlineStr">
        <is>
          <t>spread</t>
        </is>
      </c>
      <c r="I95" s="24" t="inlineStr">
        <is>
          <t>away</t>
        </is>
      </c>
      <c r="J95" s="25" t="n">
        <v>1.5</v>
      </c>
      <c r="K95" s="24" t="inlineStr">
        <is>
          <t>polymarket_us</t>
        </is>
      </c>
      <c r="L95" s="26" t="n">
        <v>-135</v>
      </c>
      <c r="M95" s="27" t="n">
        <v>1.740741</v>
      </c>
      <c r="N95" s="28" t="n">
        <v>0.574468</v>
      </c>
      <c r="O95" s="28" t="n">
        <v>0.556866</v>
      </c>
      <c r="P95" s="28" t="n">
        <v>0.042131</v>
      </c>
      <c r="Q95" s="28" t="n">
        <v>-0.017602</v>
      </c>
      <c r="R95" s="26" t="n">
        <v>16</v>
      </c>
      <c r="S95" s="29" t="n">
        <v>1</v>
      </c>
      <c r="T95" s="24" t="inlineStr">
        <is>
          <t>measured-edge-margin-v1</t>
        </is>
      </c>
      <c r="U95" s="24" t="inlineStr">
        <is>
          <t>settled</t>
        </is>
      </c>
      <c r="V95" s="24" t="inlineStr">
        <is>
          <t>win</t>
        </is>
      </c>
      <c r="W95" s="26" t="n">
        <v>0</v>
      </c>
      <c r="X95" s="26" t="n">
        <v>1</v>
      </c>
      <c r="Y95" s="25" t="n">
        <v>1.5</v>
      </c>
      <c r="Z95" s="26" t="n">
        <v>-135</v>
      </c>
      <c r="AA95" s="28" t="n">
        <v>0.575</v>
      </c>
      <c r="AB95" s="28" t="n">
        <v>0.000532</v>
      </c>
      <c r="AC95" s="30" t="n">
        <v>0.7407</v>
      </c>
      <c r="AD95" s="24" t="inlineStr">
        <is>
          <t>2026-08-01T23:50:56.898718Z</t>
        </is>
      </c>
      <c r="AE95" s="31" t="inlineStr">
        <is>
          <t>Measured Edge Margin: Trend Engine projected 4.52-4.44; raw selected-side p=0.6782, calibrated p=0.5569.</t>
        </is>
      </c>
      <c r="AF95" s="31" t="inlineStr">
        <is>
          <t>Research-only; lineup, bullpen, park, weather, xFIP, and wRC+ may be neutral fallbacks; market availability and BBO depth may change before first pitch.</t>
        </is>
      </c>
      <c r="AG95" s="24" t="inlineStr">
        <is>
          <t>not_applicable</t>
        </is>
      </c>
      <c r="AH95" s="24" t="n"/>
      <c r="AI95" s="31" t="n"/>
      <c r="AJ95" s="31" t="n"/>
      <c r="AK95" s="24" t="inlineStr">
        <is>
          <t>research_observation</t>
        </is>
      </c>
      <c r="AL95" s="26" t="n">
        <v>3</v>
      </c>
      <c r="AM95" s="24" t="inlineStr">
        <is>
          <t>RESEARCH_OBSERVATION</t>
        </is>
      </c>
      <c r="AN95" s="24" t="inlineStr">
        <is>
          <t>NO_CALL</t>
        </is>
      </c>
      <c r="AO95" s="24" t="inlineStr">
        <is>
          <t>NO_CALL_MODEL_UNVALIDATED</t>
        </is>
      </c>
      <c r="AP95" s="24" t="inlineStr">
        <is>
          <t>mlb-cws</t>
        </is>
      </c>
      <c r="AQ95" s="24" t="inlineStr">
        <is>
          <t>Chicago White Sox</t>
        </is>
      </c>
      <c r="AR95" s="24" t="inlineStr">
        <is>
          <t>Chicago White Sox</t>
        </is>
      </c>
      <c r="AS95" s="24" t="inlineStr">
        <is>
          <t>mlb-tb</t>
        </is>
      </c>
      <c r="AT95" s="24" t="inlineStr">
        <is>
          <t>Tampa Bay Rays</t>
        </is>
      </c>
      <c r="AU95" s="24" t="inlineStr">
        <is>
          <t>Tampa Bay Rays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research</t>
        </is>
      </c>
      <c r="BA95" s="24" t="inlineStr">
        <is>
          <t>2bc2ce55b0d39a20103f724bbddbde5394909acd49297f52665b596a0ae3ae8b</t>
        </is>
      </c>
      <c r="BB95" s="24" t="inlineStr">
        <is>
          <t>flat_probability_shrinkage_toward_half</t>
        </is>
      </c>
      <c r="BC95" s="24" t="inlineStr">
        <is>
          <t>measured-edge-margin-v1</t>
        </is>
      </c>
      <c r="BD95" s="24" t="inlineStr">
        <is>
          <t>2bc2ce55b0d39a20103f724bbddbde5394909acd49297f52665b596a0ae3ae8b</t>
        </is>
      </c>
      <c r="BE95" s="24" t="inlineStr">
        <is>
          <t>v3</t>
        </is>
      </c>
      <c r="BF95" s="24" t="inlineStr">
        <is>
          <t>1</t>
        </is>
      </c>
      <c r="BG95" s="24" t="inlineStr">
        <is>
          <t>measured-edge-paired-v1</t>
        </is>
      </c>
      <c r="BH95" s="24" t="inlineStr">
        <is>
          <t>2026-08-01T18:38:25.468461Z</t>
        </is>
      </c>
      <c r="BI95" s="24" t="inlineStr">
        <is>
          <t>["same_event","same_team_same_day","same_league_same_day"]</t>
        </is>
      </c>
      <c r="BJ95" s="25" t="n">
        <v>1.5</v>
      </c>
      <c r="BK95" s="26" t="n">
        <v>-135</v>
      </c>
      <c r="BL95" s="27" t="n">
        <v>1.740741</v>
      </c>
      <c r="BM95" s="28" t="n">
        <v>0.574468</v>
      </c>
      <c r="BN95" s="28" t="n">
        <v>0.572139</v>
      </c>
      <c r="BO95" s="28" t="n"/>
      <c r="BP95" s="25" t="n"/>
      <c r="BQ95" s="27" t="n">
        <v>1.740741</v>
      </c>
      <c r="BR95" s="28" t="n">
        <v>0.575</v>
      </c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</row>
    <row r="96" ht="36" customHeight="1">
      <c r="A96" s="24" t="inlineStr">
        <is>
          <t>cc33b13ed9b840b9</t>
        </is>
      </c>
      <c r="B96" s="24" t="inlineStr">
        <is>
          <t>2026-08-01T18:38:25.468461Z</t>
        </is>
      </c>
      <c r="C96" s="24" t="inlineStr">
        <is>
          <t>2026-08-01T20:10Z</t>
        </is>
      </c>
      <c r="D96" s="24" t="inlineStr">
        <is>
          <t>401816348</t>
        </is>
      </c>
      <c r="E96" s="24" t="inlineStr">
        <is>
          <t>MLB</t>
        </is>
      </c>
      <c r="F96" s="24" t="inlineStr">
        <is>
          <t>Chicago White Sox</t>
        </is>
      </c>
      <c r="G96" s="24" t="inlineStr">
        <is>
          <t>Tampa Bay Rays</t>
        </is>
      </c>
      <c r="H96" s="24" t="inlineStr">
        <is>
          <t>total</t>
        </is>
      </c>
      <c r="I96" s="24" t="inlineStr">
        <is>
          <t>over</t>
        </is>
      </c>
      <c r="J96" s="25" t="n">
        <v>7.5</v>
      </c>
      <c r="K96" s="24" t="inlineStr">
        <is>
          <t>polymarket_us</t>
        </is>
      </c>
      <c r="L96" s="26" t="n">
        <v>100</v>
      </c>
      <c r="M96" s="27" t="n">
        <v>2</v>
      </c>
      <c r="N96" s="28" t="n">
        <v>0.5</v>
      </c>
      <c r="O96" s="28" t="n">
        <v>0.567639</v>
      </c>
      <c r="P96" s="28" t="n">
        <v>0.042131</v>
      </c>
      <c r="Q96" s="28" t="n">
        <v>0.067639</v>
      </c>
      <c r="R96" s="26" t="n">
        <v>59</v>
      </c>
      <c r="S96" s="29" t="n">
        <v>1.25</v>
      </c>
      <c r="T96" s="24" t="inlineStr">
        <is>
          <t>measured-edge-totals-v1</t>
        </is>
      </c>
      <c r="U96" s="24" t="inlineStr">
        <is>
          <t>settled</t>
        </is>
      </c>
      <c r="V96" s="24" t="inlineStr">
        <is>
          <t>loss</t>
        </is>
      </c>
      <c r="W96" s="26" t="n">
        <v>0</v>
      </c>
      <c r="X96" s="26" t="n">
        <v>1</v>
      </c>
      <c r="Y96" s="25" t="n">
        <v>7.5</v>
      </c>
      <c r="Z96" s="26" t="n">
        <v>100</v>
      </c>
      <c r="AA96" s="28" t="n">
        <v>0.5</v>
      </c>
      <c r="AB96" s="28" t="n">
        <v>0</v>
      </c>
      <c r="AC96" s="30" t="n">
        <v>-1.25</v>
      </c>
      <c r="AD96" s="24" t="inlineStr">
        <is>
          <t>2026-08-01T23:50:57.728981Z</t>
        </is>
      </c>
      <c r="AE96" s="31" t="inlineStr">
        <is>
          <t>Measured Edge Totals: Trend Engine projected 4.52-4.44; raw selected-side p=0.5857, calibrated p=0.5676.</t>
        </is>
      </c>
      <c r="AF96" s="31" t="inlineStr">
        <is>
          <t>Research-only; lineup, bullpen, park, weather, xFIP, and wRC+ may be neutral fallbacks; market availability and BBO depth may change before first pitch.</t>
        </is>
      </c>
      <c r="AG96" s="24" t="inlineStr">
        <is>
          <t>review_required</t>
        </is>
      </c>
      <c r="AH96" s="24" t="n"/>
      <c r="AI96" s="31" t="n"/>
      <c r="AJ96" s="31" t="n"/>
      <c r="AK96" s="24" t="inlineStr">
        <is>
          <t>research_observation</t>
        </is>
      </c>
      <c r="AL96" s="26" t="n">
        <v>3</v>
      </c>
      <c r="AM96" s="24" t="inlineStr">
        <is>
          <t>RESEARCH_OBSERVATION</t>
        </is>
      </c>
      <c r="AN96" s="24" t="inlineStr">
        <is>
          <t>NO_CALL</t>
        </is>
      </c>
      <c r="AO96" s="24" t="inlineStr">
        <is>
          <t>NO_CALL_MODEL_UNVALIDATED</t>
        </is>
      </c>
      <c r="AP96" s="24" t="inlineStr">
        <is>
          <t>mlb-cws</t>
        </is>
      </c>
      <c r="AQ96" s="24" t="inlineStr">
        <is>
          <t>Chicago White Sox</t>
        </is>
      </c>
      <c r="AR96" s="24" t="inlineStr">
        <is>
          <t>Chicago White Sox</t>
        </is>
      </c>
      <c r="AS96" s="24" t="inlineStr">
        <is>
          <t>mlb-tb</t>
        </is>
      </c>
      <c r="AT96" s="24" t="inlineStr">
        <is>
          <t>Tampa Bay Rays</t>
        </is>
      </c>
      <c r="AU96" s="24" t="inlineStr">
        <is>
          <t>Tampa Bay Rays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research</t>
        </is>
      </c>
      <c r="BA96" s="24" t="inlineStr">
        <is>
          <t>cbc2c9bf5a9569a49e1902c816d96556d704cf10819ca3a9e927721685757d0b</t>
        </is>
      </c>
      <c r="BB96" s="24" t="inlineStr">
        <is>
          <t>flat_probability_shrinkage_toward_half</t>
        </is>
      </c>
      <c r="BC96" s="24" t="inlineStr">
        <is>
          <t>measured-edge-totals-v1</t>
        </is>
      </c>
      <c r="BD96" s="24" t="inlineStr">
        <is>
          <t>cbc2c9bf5a9569a49e1902c816d96556d704cf10819ca3a9e927721685757d0b</t>
        </is>
      </c>
      <c r="BE96" s="24" t="inlineStr">
        <is>
          <t>v3</t>
        </is>
      </c>
      <c r="BF96" s="24" t="inlineStr">
        <is>
          <t>1</t>
        </is>
      </c>
      <c r="BG96" s="24" t="inlineStr">
        <is>
          <t>measured-edge-paired-v1</t>
        </is>
      </c>
      <c r="BH96" s="24" t="inlineStr">
        <is>
          <t>2026-08-01T18:38:25.468461Z</t>
        </is>
      </c>
      <c r="BI96" s="24" t="inlineStr">
        <is>
          <t>["same_event","same_team_same_day","same_league_same_day"]</t>
        </is>
      </c>
      <c r="BJ96" s="25" t="n">
        <v>7.5</v>
      </c>
      <c r="BK96" s="26" t="n">
        <v>100</v>
      </c>
      <c r="BL96" s="27" t="n">
        <v>2</v>
      </c>
      <c r="BM96" s="28" t="n">
        <v>0.5</v>
      </c>
      <c r="BN96" s="28" t="n">
        <v>0.497512</v>
      </c>
      <c r="BO96" s="28" t="n"/>
      <c r="BP96" s="25" t="n"/>
      <c r="BQ96" s="27" t="n">
        <v>2</v>
      </c>
      <c r="BR96" s="28" t="n">
        <v>0.5</v>
      </c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</row>
    <row r="97" ht="36" customHeight="1">
      <c r="A97" s="24" t="inlineStr">
        <is>
          <t>d3fdf8f34a1b4649</t>
        </is>
      </c>
      <c r="B97" s="24" t="inlineStr">
        <is>
          <t>2026-08-01T18:38:25.468461Z</t>
        </is>
      </c>
      <c r="C97" s="24" t="inlineStr">
        <is>
          <t>2026-08-01T20:10Z</t>
        </is>
      </c>
      <c r="D97" s="24" t="inlineStr">
        <is>
          <t>401816349</t>
        </is>
      </c>
      <c r="E97" s="24" t="inlineStr">
        <is>
          <t>MLB</t>
        </is>
      </c>
      <c r="F97" s="24" t="inlineStr">
        <is>
          <t>Miami Marlins</t>
        </is>
      </c>
      <c r="G97" s="24" t="inlineStr">
        <is>
          <t>New York Mets</t>
        </is>
      </c>
      <c r="H97" s="24" t="inlineStr">
        <is>
          <t>spread</t>
        </is>
      </c>
      <c r="I97" s="24" t="inlineStr">
        <is>
          <t>away</t>
        </is>
      </c>
      <c r="J97" s="25" t="n">
        <v>1.5</v>
      </c>
      <c r="K97" s="24" t="inlineStr">
        <is>
          <t>polymarket_us</t>
        </is>
      </c>
      <c r="L97" s="26" t="n">
        <v>-170</v>
      </c>
      <c r="M97" s="27" t="n">
        <v>1.588235</v>
      </c>
      <c r="N97" s="28" t="n">
        <v>0.62963</v>
      </c>
      <c r="O97" s="28" t="n">
        <v>0.544015</v>
      </c>
      <c r="P97" s="28" t="n">
        <v>0.05172</v>
      </c>
      <c r="Q97" s="28" t="n">
        <v>-0.085615</v>
      </c>
      <c r="R97" s="26" t="n">
        <v>0</v>
      </c>
      <c r="S97" s="29" t="n">
        <v>1</v>
      </c>
      <c r="T97" s="24" t="inlineStr">
        <is>
          <t>measured-edge-margin-v1</t>
        </is>
      </c>
      <c r="U97" s="24" t="inlineStr">
        <is>
          <t>settled</t>
        </is>
      </c>
      <c r="V97" s="24" t="inlineStr">
        <is>
          <t>win</t>
        </is>
      </c>
      <c r="W97" s="26" t="n">
        <v>6</v>
      </c>
      <c r="X97" s="26" t="n">
        <v>2</v>
      </c>
      <c r="Y97" s="25" t="n">
        <v>1.5</v>
      </c>
      <c r="Z97" s="26" t="n">
        <v>-170</v>
      </c>
      <c r="AA97" s="28" t="n">
        <v>0.63</v>
      </c>
      <c r="AB97" s="28" t="n">
        <v>0.00037</v>
      </c>
      <c r="AC97" s="30" t="n">
        <v>0.5881999999999999</v>
      </c>
      <c r="AD97" s="24" t="inlineStr">
        <is>
          <t>2026-08-01T23:50:58.540283Z</t>
        </is>
      </c>
      <c r="AE97" s="31" t="inlineStr">
        <is>
          <t>Measured Edge Margin: Trend Engine projected 4.21-4.73; raw selected-side p=0.6128, calibrated p=0.5440.</t>
        </is>
      </c>
      <c r="AF97" s="31" t="inlineStr">
        <is>
          <t>Research-only; lineup, bullpen, park, weather, xFIP, and wRC+ may be neutral fallbacks; market availability and BBO depth may change before first pitch.</t>
        </is>
      </c>
      <c r="AG97" s="24" t="inlineStr">
        <is>
          <t>not_applicable</t>
        </is>
      </c>
      <c r="AH97" s="24" t="n"/>
      <c r="AI97" s="31" t="n"/>
      <c r="AJ97" s="31" t="n"/>
      <c r="AK97" s="24" t="inlineStr">
        <is>
          <t>research_observation</t>
        </is>
      </c>
      <c r="AL97" s="26" t="n">
        <v>3</v>
      </c>
      <c r="AM97" s="24" t="inlineStr">
        <is>
          <t>RESEARCH_OBSERVATION</t>
        </is>
      </c>
      <c r="AN97" s="24" t="inlineStr">
        <is>
          <t>NO_CALL</t>
        </is>
      </c>
      <c r="AO97" s="24" t="inlineStr">
        <is>
          <t>NO_CALL_MODEL_UNVALIDATED</t>
        </is>
      </c>
      <c r="AP97" s="24" t="inlineStr">
        <is>
          <t>mlb-mia</t>
        </is>
      </c>
      <c r="AQ97" s="24" t="inlineStr">
        <is>
          <t>Miami Marlins</t>
        </is>
      </c>
      <c r="AR97" s="24" t="inlineStr">
        <is>
          <t>Miami Marlins</t>
        </is>
      </c>
      <c r="AS97" s="24" t="inlineStr">
        <is>
          <t>mlb-nym</t>
        </is>
      </c>
      <c r="AT97" s="24" t="inlineStr">
        <is>
          <t>New York Mets</t>
        </is>
      </c>
      <c r="AU97" s="24" t="inlineStr">
        <is>
          <t>New York Mets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research</t>
        </is>
      </c>
      <c r="BA97" s="24" t="inlineStr">
        <is>
          <t>2bc2ce55b0d39a20103f724bbddbde5394909acd49297f52665b596a0ae3ae8b</t>
        </is>
      </c>
      <c r="BB97" s="24" t="inlineStr">
        <is>
          <t>flat_probability_shrinkage_toward_half</t>
        </is>
      </c>
      <c r="BC97" s="24" t="inlineStr">
        <is>
          <t>measured-edge-margin-v1</t>
        </is>
      </c>
      <c r="BD97" s="24" t="inlineStr">
        <is>
          <t>2bc2ce55b0d39a20103f724bbddbde5394909acd49297f52665b596a0ae3ae8b</t>
        </is>
      </c>
      <c r="BE97" s="24" t="inlineStr">
        <is>
          <t>v3</t>
        </is>
      </c>
      <c r="BF97" s="24" t="inlineStr">
        <is>
          <t>1</t>
        </is>
      </c>
      <c r="BG97" s="24" t="inlineStr">
        <is>
          <t>measured-edge-paired-v1</t>
        </is>
      </c>
      <c r="BH97" s="24" t="inlineStr">
        <is>
          <t>2026-08-01T18:38:25.468461Z</t>
        </is>
      </c>
      <c r="BI97" s="24" t="inlineStr">
        <is>
          <t>["same_event","same_team_same_day","same_league_same_day"]</t>
        </is>
      </c>
      <c r="BJ97" s="25" t="n">
        <v>1.5</v>
      </c>
      <c r="BK97" s="26" t="n">
        <v>-170</v>
      </c>
      <c r="BL97" s="27" t="n">
        <v>1.588235</v>
      </c>
      <c r="BM97" s="28" t="n">
        <v>0.62963</v>
      </c>
      <c r="BN97" s="28" t="n">
        <v>0.626866</v>
      </c>
      <c r="BO97" s="28" t="n"/>
      <c r="BP97" s="25" t="n"/>
      <c r="BQ97" s="27" t="n">
        <v>1.588235</v>
      </c>
      <c r="BR97" s="28" t="n">
        <v>0.63</v>
      </c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</row>
    <row r="98" ht="36" customHeight="1">
      <c r="A98" s="24" t="inlineStr">
        <is>
          <t>31fc43af9c9848fa</t>
        </is>
      </c>
      <c r="B98" s="24" t="inlineStr">
        <is>
          <t>2026-08-01T18:38:25.468461Z</t>
        </is>
      </c>
      <c r="C98" s="24" t="inlineStr">
        <is>
          <t>2026-08-01T20:10Z</t>
        </is>
      </c>
      <c r="D98" s="24" t="inlineStr">
        <is>
          <t>401816349</t>
        </is>
      </c>
      <c r="E98" s="24" t="inlineStr">
        <is>
          <t>MLB</t>
        </is>
      </c>
      <c r="F98" s="24" t="inlineStr">
        <is>
          <t>Miami Marlins</t>
        </is>
      </c>
      <c r="G98" s="24" t="inlineStr">
        <is>
          <t>New York Mets</t>
        </is>
      </c>
      <c r="H98" s="24" t="inlineStr">
        <is>
          <t>total</t>
        </is>
      </c>
      <c r="I98" s="24" t="inlineStr">
        <is>
          <t>over</t>
        </is>
      </c>
      <c r="J98" s="25" t="n">
        <v>8.5</v>
      </c>
      <c r="K98" s="24" t="inlineStr">
        <is>
          <t>polymarket_us</t>
        </is>
      </c>
      <c r="L98" s="26" t="n">
        <v>-122</v>
      </c>
      <c r="M98" s="27" t="n">
        <v>1.819672</v>
      </c>
      <c r="N98" s="28" t="n">
        <v>0.54955</v>
      </c>
      <c r="O98" s="28" t="n">
        <v>0.488139</v>
      </c>
      <c r="P98" s="28" t="n">
        <v>0.05172</v>
      </c>
      <c r="Q98" s="28" t="n">
        <v>-0.061411</v>
      </c>
      <c r="R98" s="26" t="n">
        <v>0</v>
      </c>
      <c r="S98" s="29" t="n">
        <v>1</v>
      </c>
      <c r="T98" s="24" t="inlineStr">
        <is>
          <t>measured-edge-totals-v1</t>
        </is>
      </c>
      <c r="U98" s="24" t="inlineStr">
        <is>
          <t>settled</t>
        </is>
      </c>
      <c r="V98" s="24" t="inlineStr">
        <is>
          <t>loss</t>
        </is>
      </c>
      <c r="W98" s="26" t="n">
        <v>6</v>
      </c>
      <c r="X98" s="26" t="n">
        <v>2</v>
      </c>
      <c r="Y98" s="25" t="n">
        <v>8.5</v>
      </c>
      <c r="Z98" s="26" t="n">
        <v>-122</v>
      </c>
      <c r="AA98" s="28" t="n">
        <v>0.55</v>
      </c>
      <c r="AB98" s="28" t="n">
        <v>0.00045</v>
      </c>
      <c r="AC98" s="30" t="n">
        <v>-1</v>
      </c>
      <c r="AD98" s="24" t="inlineStr">
        <is>
          <t>2026-08-01T23:50:59.262224Z</t>
        </is>
      </c>
      <c r="AE98" s="31" t="inlineStr">
        <is>
          <t>Measured Edge Totals: Trend Engine projected 4.21-4.73; raw selected-side p=0.5037, calibrated p=0.4881.</t>
        </is>
      </c>
      <c r="AF98" s="31" t="inlineStr">
        <is>
          <t>Research-only; lineup, bullpen, park, weather, xFIP, and wRC+ may be neutral fallbacks; market availability and BBO depth may change before first pitch.</t>
        </is>
      </c>
      <c r="AG98" s="24" t="inlineStr">
        <is>
          <t>review_required</t>
        </is>
      </c>
      <c r="AH98" s="24" t="n"/>
      <c r="AI98" s="31" t="n"/>
      <c r="AJ98" s="31" t="n"/>
      <c r="AK98" s="24" t="inlineStr">
        <is>
          <t>research_observation</t>
        </is>
      </c>
      <c r="AL98" s="26" t="n">
        <v>3</v>
      </c>
      <c r="AM98" s="24" t="inlineStr">
        <is>
          <t>RESEARCH_OBSERVATION</t>
        </is>
      </c>
      <c r="AN98" s="24" t="inlineStr">
        <is>
          <t>NO_CALL</t>
        </is>
      </c>
      <c r="AO98" s="24" t="inlineStr">
        <is>
          <t>NO_CALL_MODEL_UNVALIDATED</t>
        </is>
      </c>
      <c r="AP98" s="24" t="inlineStr">
        <is>
          <t>mlb-mia</t>
        </is>
      </c>
      <c r="AQ98" s="24" t="inlineStr">
        <is>
          <t>Miami Marlins</t>
        </is>
      </c>
      <c r="AR98" s="24" t="inlineStr">
        <is>
          <t>Miami Marlins</t>
        </is>
      </c>
      <c r="AS98" s="24" t="inlineStr">
        <is>
          <t>mlb-nym</t>
        </is>
      </c>
      <c r="AT98" s="24" t="inlineStr">
        <is>
          <t>New York Mets</t>
        </is>
      </c>
      <c r="AU98" s="24" t="inlineStr">
        <is>
          <t>New York Mets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research</t>
        </is>
      </c>
      <c r="BA98" s="24" t="inlineStr">
        <is>
          <t>cbc2c9bf5a9569a49e1902c816d96556d704cf10819ca3a9e927721685757d0b</t>
        </is>
      </c>
      <c r="BB98" s="24" t="inlineStr">
        <is>
          <t>flat_probability_shrinkage_toward_half</t>
        </is>
      </c>
      <c r="BC98" s="24" t="inlineStr">
        <is>
          <t>measured-edge-totals-v1</t>
        </is>
      </c>
      <c r="BD98" s="24" t="inlineStr">
        <is>
          <t>cbc2c9bf5a9569a49e1902c816d96556d704cf10819ca3a9e927721685757d0b</t>
        </is>
      </c>
      <c r="BE98" s="24" t="inlineStr">
        <is>
          <t>v3</t>
        </is>
      </c>
      <c r="BF98" s="24" t="inlineStr">
        <is>
          <t>1</t>
        </is>
      </c>
      <c r="BG98" s="24" t="inlineStr">
        <is>
          <t>measured-edge-paired-v1</t>
        </is>
      </c>
      <c r="BH98" s="24" t="inlineStr">
        <is>
          <t>2026-08-01T18:38:25.468461Z</t>
        </is>
      </c>
      <c r="BI98" s="24" t="inlineStr">
        <is>
          <t>["same_event","same_team_same_day","same_league_same_day"]</t>
        </is>
      </c>
      <c r="BJ98" s="25" t="n">
        <v>8.5</v>
      </c>
      <c r="BK98" s="26" t="n">
        <v>-122</v>
      </c>
      <c r="BL98" s="27" t="n">
        <v>1.819672</v>
      </c>
      <c r="BM98" s="28" t="n">
        <v>0.54955</v>
      </c>
      <c r="BN98" s="28" t="n">
        <v>0.547264</v>
      </c>
      <c r="BO98" s="28" t="n"/>
      <c r="BP98" s="25" t="n"/>
      <c r="BQ98" s="27" t="n">
        <v>1.819672</v>
      </c>
      <c r="BR98" s="28" t="n">
        <v>0.55</v>
      </c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</row>
    <row r="99" ht="36" customHeight="1">
      <c r="A99" s="24" t="inlineStr">
        <is>
          <t>ec83628205ea4fed</t>
        </is>
      </c>
      <c r="B99" s="24" t="inlineStr">
        <is>
          <t>2026-08-01T18:38:25.468461Z</t>
        </is>
      </c>
      <c r="C99" s="24" t="inlineStr">
        <is>
          <t>2026-08-01T20:10Z</t>
        </is>
      </c>
      <c r="D99" s="24" t="inlineStr">
        <is>
          <t>401816360</t>
        </is>
      </c>
      <c r="E99" s="24" t="inlineStr">
        <is>
          <t>MLB</t>
        </is>
      </c>
      <c r="F99" s="24" t="inlineStr">
        <is>
          <t>Minnesota Twins</t>
        </is>
      </c>
      <c r="G99" s="24" t="inlineStr">
        <is>
          <t>Seattle Mariners</t>
        </is>
      </c>
      <c r="H99" s="24" t="inlineStr">
        <is>
          <t>spread</t>
        </is>
      </c>
      <c r="I99" s="24" t="inlineStr">
        <is>
          <t>away</t>
        </is>
      </c>
      <c r="J99" s="25" t="n">
        <v>1.5</v>
      </c>
      <c r="K99" s="24" t="inlineStr">
        <is>
          <t>polymarket_us</t>
        </is>
      </c>
      <c r="L99" s="26" t="n">
        <v>-144</v>
      </c>
      <c r="M99" s="27" t="n">
        <v>1.694444</v>
      </c>
      <c r="N99" s="28" t="n">
        <v>0.590164</v>
      </c>
      <c r="O99" s="28" t="n">
        <v>0.548643</v>
      </c>
      <c r="P99" s="28" t="n">
        <v>0.042131</v>
      </c>
      <c r="Q99" s="28" t="n">
        <v>-0.041521</v>
      </c>
      <c r="R99" s="26" t="n">
        <v>4</v>
      </c>
      <c r="S99" s="29" t="n">
        <v>1</v>
      </c>
      <c r="T99" s="24" t="inlineStr">
        <is>
          <t>measured-edge-margin-v1</t>
        </is>
      </c>
      <c r="U99" s="24" t="inlineStr">
        <is>
          <t>settled</t>
        </is>
      </c>
      <c r="V99" s="24" t="inlineStr">
        <is>
          <t>win</t>
        </is>
      </c>
      <c r="W99" s="26" t="n">
        <v>3</v>
      </c>
      <c r="X99" s="26" t="n">
        <v>4</v>
      </c>
      <c r="Y99" s="25" t="n">
        <v>1.5</v>
      </c>
      <c r="Z99" s="26" t="n">
        <v>-144</v>
      </c>
      <c r="AA99" s="28" t="n">
        <v>0.59</v>
      </c>
      <c r="AB99" s="28" t="n">
        <v>-0.000164</v>
      </c>
      <c r="AC99" s="30" t="n">
        <v>0.6944</v>
      </c>
      <c r="AD99" s="24" t="inlineStr">
        <is>
          <t>2026-08-01T23:50:59.981913Z</t>
        </is>
      </c>
      <c r="AE99" s="31" t="inlineStr">
        <is>
          <t>Measured Edge Margin: Trend Engine projected 4.36-4.68; raw selected-side p=0.6363, calibrated p=0.5486.</t>
        </is>
      </c>
      <c r="AF99" s="31" t="inlineStr">
        <is>
          <t>Research-only; lineup, bullpen, park, weather, xFIP, and wRC+ may be neutral fallbacks; market availability and BBO depth may change before first pitch.</t>
        </is>
      </c>
      <c r="AG99" s="24" t="inlineStr">
        <is>
          <t>not_applicable</t>
        </is>
      </c>
      <c r="AH99" s="24" t="n"/>
      <c r="AI99" s="31" t="n"/>
      <c r="AJ99" s="31" t="n"/>
      <c r="AK99" s="24" t="inlineStr">
        <is>
          <t>research_observation</t>
        </is>
      </c>
      <c r="AL99" s="26" t="n">
        <v>3</v>
      </c>
      <c r="AM99" s="24" t="inlineStr">
        <is>
          <t>RESEARCH_OBSERVATION</t>
        </is>
      </c>
      <c r="AN99" s="24" t="inlineStr">
        <is>
          <t>NO_CALL</t>
        </is>
      </c>
      <c r="AO99" s="24" t="inlineStr">
        <is>
          <t>NO_CALL_MODEL_UNVALIDATED</t>
        </is>
      </c>
      <c r="AP99" s="24" t="inlineStr">
        <is>
          <t>mlb-min</t>
        </is>
      </c>
      <c r="AQ99" s="24" t="inlineStr">
        <is>
          <t>Minnesota Twins</t>
        </is>
      </c>
      <c r="AR99" s="24" t="inlineStr">
        <is>
          <t>Minnesota Twins</t>
        </is>
      </c>
      <c r="AS99" s="24" t="inlineStr">
        <is>
          <t>mlb-sea</t>
        </is>
      </c>
      <c r="AT99" s="24" t="inlineStr">
        <is>
          <t>Seattle Mariners</t>
        </is>
      </c>
      <c r="AU99" s="24" t="inlineStr">
        <is>
          <t>Seattle Mariners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research</t>
        </is>
      </c>
      <c r="BA99" s="24" t="inlineStr">
        <is>
          <t>2bc2ce55b0d39a20103f724bbddbde5394909acd49297f52665b596a0ae3ae8b</t>
        </is>
      </c>
      <c r="BB99" s="24" t="inlineStr">
        <is>
          <t>flat_probability_shrinkage_toward_half</t>
        </is>
      </c>
      <c r="BC99" s="24" t="inlineStr">
        <is>
          <t>measured-edge-margin-v1</t>
        </is>
      </c>
      <c r="BD99" s="24" t="inlineStr">
        <is>
          <t>2bc2ce55b0d39a20103f724bbddbde5394909acd49297f52665b596a0ae3ae8b</t>
        </is>
      </c>
      <c r="BE99" s="24" t="inlineStr">
        <is>
          <t>v3</t>
        </is>
      </c>
      <c r="BF99" s="24" t="inlineStr">
        <is>
          <t>1</t>
        </is>
      </c>
      <c r="BG99" s="24" t="inlineStr">
        <is>
          <t>measured-edge-paired-v1</t>
        </is>
      </c>
      <c r="BH99" s="24" t="inlineStr">
        <is>
          <t>2026-08-01T18:38:25.468461Z</t>
        </is>
      </c>
      <c r="BI99" s="24" t="inlineStr">
        <is>
          <t>["same_event","same_team_same_day","same_league_same_day"]</t>
        </is>
      </c>
      <c r="BJ99" s="25" t="n">
        <v>1.5</v>
      </c>
      <c r="BK99" s="26" t="n">
        <v>-144</v>
      </c>
      <c r="BL99" s="27" t="n">
        <v>1.694444</v>
      </c>
      <c r="BM99" s="28" t="n">
        <v>0.590164</v>
      </c>
      <c r="BN99" s="28" t="n">
        <v>0.5870649999999999</v>
      </c>
      <c r="BO99" s="28" t="n"/>
      <c r="BP99" s="25" t="n"/>
      <c r="BQ99" s="27" t="n">
        <v>1.694444</v>
      </c>
      <c r="BR99" s="28" t="n">
        <v>0.59</v>
      </c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</row>
    <row r="100" ht="36" customHeight="1">
      <c r="A100" s="24" t="inlineStr">
        <is>
          <t>21428e43c77d4c5e</t>
        </is>
      </c>
      <c r="B100" s="24" t="inlineStr">
        <is>
          <t>2026-08-01T18:38:25.468461Z</t>
        </is>
      </c>
      <c r="C100" s="24" t="inlineStr">
        <is>
          <t>2026-08-01T20:10Z</t>
        </is>
      </c>
      <c r="D100" s="24" t="inlineStr">
        <is>
          <t>401816360</t>
        </is>
      </c>
      <c r="E100" s="24" t="inlineStr">
        <is>
          <t>MLB</t>
        </is>
      </c>
      <c r="F100" s="24" t="inlineStr">
        <is>
          <t>Minnesota Twins</t>
        </is>
      </c>
      <c r="G100" s="24" t="inlineStr">
        <is>
          <t>Seattle Mariners</t>
        </is>
      </c>
      <c r="H100" s="24" t="inlineStr">
        <is>
          <t>total</t>
        </is>
      </c>
      <c r="I100" s="24" t="inlineStr">
        <is>
          <t>over</t>
        </is>
      </c>
      <c r="J100" s="25" t="n">
        <v>7.5</v>
      </c>
      <c r="K100" s="24" t="inlineStr">
        <is>
          <t>polymarket_us</t>
        </is>
      </c>
      <c r="L100" s="26" t="n">
        <v>117</v>
      </c>
      <c r="M100" s="27" t="n">
        <v>2.17</v>
      </c>
      <c r="N100" s="28" t="n">
        <v>0.460829</v>
      </c>
      <c r="O100" s="28" t="n">
        <v>0.5787949999999999</v>
      </c>
      <c r="P100" s="28" t="n">
        <v>0.042131</v>
      </c>
      <c r="Q100" s="28" t="n">
        <v>0.117966</v>
      </c>
      <c r="R100" s="26" t="n">
        <v>84</v>
      </c>
      <c r="S100" s="29" t="n">
        <v>1.25</v>
      </c>
      <c r="T100" s="24" t="inlineStr">
        <is>
          <t>measured-edge-totals-v1</t>
        </is>
      </c>
      <c r="U100" s="24" t="inlineStr">
        <is>
          <t>settled</t>
        </is>
      </c>
      <c r="V100" s="24" t="inlineStr">
        <is>
          <t>loss</t>
        </is>
      </c>
      <c r="W100" s="26" t="n">
        <v>3</v>
      </c>
      <c r="X100" s="26" t="n">
        <v>4</v>
      </c>
      <c r="Y100" s="25" t="n">
        <v>7.5</v>
      </c>
      <c r="Z100" s="26" t="n">
        <v>117</v>
      </c>
      <c r="AA100" s="28" t="n">
        <v>0.46</v>
      </c>
      <c r="AB100" s="28" t="n">
        <v>-0.000829</v>
      </c>
      <c r="AC100" s="30" t="n">
        <v>-1.25</v>
      </c>
      <c r="AD100" s="24" t="inlineStr">
        <is>
          <t>2026-08-01T23:51:00.708985Z</t>
        </is>
      </c>
      <c r="AE100" s="31" t="inlineStr">
        <is>
          <t>Measured Edge Totals: Trend Engine projected 4.36-4.68; raw selected-side p=0.5971, calibrated p=0.5788.</t>
        </is>
      </c>
      <c r="AF100" s="31" t="inlineStr">
        <is>
          <t>Research-only; lineup, bullpen, park, weather, xFIP, and wRC+ may be neutral fallbacks; market availability and BBO depth may change before first pitch.</t>
        </is>
      </c>
      <c r="AG100" s="24" t="inlineStr">
        <is>
          <t>review_required</t>
        </is>
      </c>
      <c r="AH100" s="24" t="n"/>
      <c r="AI100" s="31" t="n"/>
      <c r="AJ100" s="31" t="n"/>
      <c r="AK100" s="24" t="inlineStr">
        <is>
          <t>research_observation</t>
        </is>
      </c>
      <c r="AL100" s="26" t="n">
        <v>3</v>
      </c>
      <c r="AM100" s="24" t="inlineStr">
        <is>
          <t>RESEARCH_OBSERVATION</t>
        </is>
      </c>
      <c r="AN100" s="24" t="inlineStr">
        <is>
          <t>NO_CALL</t>
        </is>
      </c>
      <c r="AO100" s="24" t="inlineStr">
        <is>
          <t>NO_CALL_MODEL_UNVALIDATED</t>
        </is>
      </c>
      <c r="AP100" s="24" t="inlineStr">
        <is>
          <t>mlb-min</t>
        </is>
      </c>
      <c r="AQ100" s="24" t="inlineStr">
        <is>
          <t>Minnesota Twins</t>
        </is>
      </c>
      <c r="AR100" s="24" t="inlineStr">
        <is>
          <t>Minnesota Twins</t>
        </is>
      </c>
      <c r="AS100" s="24" t="inlineStr">
        <is>
          <t>mlb-sea</t>
        </is>
      </c>
      <c r="AT100" s="24" t="inlineStr">
        <is>
          <t>Seattle Mariners</t>
        </is>
      </c>
      <c r="AU100" s="24" t="inlineStr">
        <is>
          <t>Seattle Mariners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research</t>
        </is>
      </c>
      <c r="BA100" s="24" t="inlineStr">
        <is>
          <t>cbc2c9bf5a9569a49e1902c816d96556d704cf10819ca3a9e927721685757d0b</t>
        </is>
      </c>
      <c r="BB100" s="24" t="inlineStr">
        <is>
          <t>flat_probability_shrinkage_toward_half</t>
        </is>
      </c>
      <c r="BC100" s="24" t="inlineStr">
        <is>
          <t>measured-edge-totals-v1</t>
        </is>
      </c>
      <c r="BD100" s="24" t="inlineStr">
        <is>
          <t>cbc2c9bf5a9569a49e1902c816d96556d704cf10819ca3a9e927721685757d0b</t>
        </is>
      </c>
      <c r="BE100" s="24" t="inlineStr">
        <is>
          <t>v3</t>
        </is>
      </c>
      <c r="BF100" s="24" t="inlineStr">
        <is>
          <t>1</t>
        </is>
      </c>
      <c r="BG100" s="24" t="inlineStr">
        <is>
          <t>measured-edge-paired-v1</t>
        </is>
      </c>
      <c r="BH100" s="24" t="inlineStr">
        <is>
          <t>2026-08-01T18:38:25.468461Z</t>
        </is>
      </c>
      <c r="BI100" s="24" t="inlineStr">
        <is>
          <t>["same_event","same_team_same_day","same_league_same_day"]</t>
        </is>
      </c>
      <c r="BJ100" s="25" t="n">
        <v>7.5</v>
      </c>
      <c r="BK100" s="26" t="n">
        <v>117</v>
      </c>
      <c r="BL100" s="27" t="n">
        <v>2.17</v>
      </c>
      <c r="BM100" s="28" t="n">
        <v>0.460829</v>
      </c>
      <c r="BN100" s="28" t="n">
        <v>0.457711</v>
      </c>
      <c r="BO100" s="28" t="n"/>
      <c r="BP100" s="25" t="n"/>
      <c r="BQ100" s="27" t="n">
        <v>2.17</v>
      </c>
      <c r="BR100" s="28" t="n">
        <v>0.46</v>
      </c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</row>
    <row r="101" ht="36" customHeight="1">
      <c r="A101" s="24" t="inlineStr">
        <is>
          <t>2469e3d27f3d4837</t>
        </is>
      </c>
      <c r="B101" s="24" t="inlineStr">
        <is>
          <t>2026-08-01T20:15:07.885436Z</t>
        </is>
      </c>
      <c r="C101" s="24" t="inlineStr">
        <is>
          <t>2026-08-01T18:40:00-0400</t>
        </is>
      </c>
      <c r="D101" s="24" t="inlineStr">
        <is>
          <t>401816351</t>
        </is>
      </c>
      <c r="E101" s="24" t="inlineStr">
        <is>
          <t>MLB</t>
        </is>
      </c>
      <c r="F101" s="24" t="inlineStr">
        <is>
          <t>Pittsburgh Pirates</t>
        </is>
      </c>
      <c r="G101" s="24" t="inlineStr">
        <is>
          <t>Cincinnati Reds</t>
        </is>
      </c>
      <c r="H101" s="24" t="inlineStr">
        <is>
          <t>moneyline</t>
        </is>
      </c>
      <c r="I101" s="24" t="inlineStr">
        <is>
          <t>away</t>
        </is>
      </c>
      <c r="J101" s="25" t="n"/>
      <c r="K101" s="24" t="inlineStr">
        <is>
          <t>polymarket_us</t>
        </is>
      </c>
      <c r="L101" s="26" t="n">
        <v>-113</v>
      </c>
      <c r="M101" s="27" t="n">
        <v>1.884956</v>
      </c>
      <c r="N101" s="28" t="n">
        <v>0.530516</v>
      </c>
      <c r="O101" s="28" t="n">
        <v>0.514401</v>
      </c>
      <c r="P101" s="28" t="n"/>
      <c r="Q101" s="28" t="n">
        <v>-0.016115</v>
      </c>
      <c r="R101" s="26" t="n">
        <v>14</v>
      </c>
      <c r="S101" s="29" t="n">
        <v>1</v>
      </c>
      <c r="T101" s="24" t="inlineStr">
        <is>
          <t>mlb-elo-trend-lr-v7</t>
        </is>
      </c>
      <c r="U101" s="24" t="inlineStr">
        <is>
          <t>settled</t>
        </is>
      </c>
      <c r="V101" s="24" t="inlineStr">
        <is>
          <t>win</t>
        </is>
      </c>
      <c r="W101" s="26" t="n">
        <v>4</v>
      </c>
      <c r="X101" s="26" t="n">
        <v>1</v>
      </c>
      <c r="Y101" s="25" t="n"/>
      <c r="Z101" s="26" t="n">
        <v>-113</v>
      </c>
      <c r="AA101" s="28" t="n">
        <v>0.53</v>
      </c>
      <c r="AB101" s="28" t="n">
        <v>-0.000516</v>
      </c>
      <c r="AC101" s="30" t="n">
        <v>0.885</v>
      </c>
      <c r="AD101" s="24" t="inlineStr">
        <is>
          <t>2026-08-02T03:25:53.630797Z</t>
        </is>
      </c>
      <c r="AE101" s="31" t="inlineStr">
        <is>
          <t>Learned LR call at threshold 0.6242; executable ask 0.5300 (aec-mlb-pit-cin-2026-08-01); model edge vs ask -0.0156.</t>
        </is>
      </c>
      <c r="AF101" s="31" t="inlineStr">
        <is>
          <t>Learned model; shadow-qualified via operator override.</t>
        </is>
      </c>
      <c r="AG101" s="24" t="inlineStr">
        <is>
          <t>not_applicable</t>
        </is>
      </c>
      <c r="AH101" s="24" t="n"/>
      <c r="AI101" s="31" t="n"/>
      <c r="AJ101" s="31" t="n"/>
      <c r="AK101" s="24" t="inlineStr">
        <is>
          <t>model_qualified</t>
        </is>
      </c>
      <c r="AL101" s="26" t="n">
        <v>3</v>
      </c>
      <c r="AM101" s="24" t="inlineStr">
        <is>
          <t>QUALIFIED_SHADOW_CALL</t>
        </is>
      </c>
      <c r="AN101" s="24" t="inlineStr">
        <is>
          <t>CALL</t>
        </is>
      </c>
      <c r="AO101" s="24" t="inlineStr">
        <is>
          <t>QUALIFIED</t>
        </is>
      </c>
      <c r="AP101" s="24" t="inlineStr">
        <is>
          <t>mlb-pit</t>
        </is>
      </c>
      <c r="AQ101" s="24" t="inlineStr">
        <is>
          <t>Pittsburgh Pirates</t>
        </is>
      </c>
      <c r="AR101" s="24" t="inlineStr">
        <is>
          <t>Pittsburgh Pirates</t>
        </is>
      </c>
      <c r="AS101" s="24" t="inlineStr">
        <is>
          <t>mlb-cin</t>
        </is>
      </c>
      <c r="AT101" s="24" t="inlineStr">
        <is>
          <t>Cincinnati Reds</t>
        </is>
      </c>
      <c r="AU101" s="24" t="inlineStr">
        <is>
          <t>Cincinnati Reds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shadow_qualified</t>
        </is>
      </c>
      <c r="BA101" s="24" t="inlineStr">
        <is>
          <t>464eef695bfbbdaa819ec6f5e4c5bd1068ed20b92915fb2677220ae91e20d8b6</t>
        </is>
      </c>
      <c r="BB101" s="24" t="inlineStr">
        <is>
          <t>learned_lr</t>
        </is>
      </c>
      <c r="BC101" s="24" t="inlineStr">
        <is>
          <t>mlb-elo-trend-lr-v7</t>
        </is>
      </c>
      <c r="BD101" s="24" t="inlineStr">
        <is>
          <t>464eef695bfbbdaa819ec6f5e4c5bd1068ed20b92915fb2677220ae91e20d8b6</t>
        </is>
      </c>
      <c r="BE101" s="24" t="inlineStr">
        <is>
          <t>8c1940db78503612</t>
        </is>
      </c>
      <c r="BF101" s="24" t="inlineStr">
        <is>
          <t>1</t>
        </is>
      </c>
      <c r="BG101" s="24" t="inlineStr">
        <is>
          <t>mlb-elo-trend-lr-v7</t>
        </is>
      </c>
      <c r="BH101" s="24" t="inlineStr">
        <is>
          <t>2026-08-01T20:14:06.422794Z</t>
        </is>
      </c>
      <c r="BI101" s="24" t="inlineStr">
        <is>
          <t>["same_event","same_team_same_day","same_league_same_day"]</t>
        </is>
      </c>
      <c r="BJ101" s="25" t="n"/>
      <c r="BK101" s="26" t="n">
        <v>-113</v>
      </c>
      <c r="BL101" s="27" t="n">
        <v>1.884956</v>
      </c>
      <c r="BM101" s="28" t="n">
        <v>0.530516</v>
      </c>
      <c r="BN101" s="28" t="n">
        <v>0.527363</v>
      </c>
      <c r="BO101" s="28" t="n"/>
      <c r="BP101" s="25" t="n"/>
      <c r="BQ101" s="27" t="n">
        <v>1.884956</v>
      </c>
      <c r="BR101" s="28" t="n">
        <v>0.53</v>
      </c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inlineStr">
        <is>
          <t>0.4970624032</t>
        </is>
      </c>
      <c r="CD101" s="24" t="inlineStr">
        <is>
          <t>1.00651</t>
        </is>
      </c>
      <c r="CE101" s="24" t="inlineStr">
        <is>
          <t>1.036</t>
        </is>
      </c>
      <c r="CF101" s="24" t="inlineStr">
        <is>
          <t>1.0084</t>
        </is>
      </c>
      <c r="CG101" s="24" t="inlineStr">
        <is>
          <t>-0.6</t>
        </is>
      </c>
      <c r="CH101" s="24" t="n"/>
      <c r="CI101" s="24" t="n"/>
      <c r="CJ101" s="24" t="n"/>
      <c r="CK101" s="24" t="n"/>
      <c r="CL101" s="24" t="n"/>
      <c r="CM101" s="24" t="n"/>
      <c r="CN101" s="24" t="n"/>
      <c r="CO101" s="24" t="n"/>
    </row>
    <row r="102" ht="36" customHeight="1">
      <c r="A102" s="24" t="inlineStr">
        <is>
          <t>bdb8ee06112d422a</t>
        </is>
      </c>
      <c r="B102" s="24" t="inlineStr">
        <is>
          <t>2026-08-01T20:15:07.885436Z</t>
        </is>
      </c>
      <c r="C102" s="24" t="inlineStr">
        <is>
          <t>2026-08-01T19:05:00-0400</t>
        </is>
      </c>
      <c r="D102" s="24" t="inlineStr">
        <is>
          <t>401816350</t>
        </is>
      </c>
      <c r="E102" s="24" t="inlineStr">
        <is>
          <t>MLB</t>
        </is>
      </c>
      <c r="F102" s="24" t="inlineStr">
        <is>
          <t>Philadelphia Phillies</t>
        </is>
      </c>
      <c r="G102" s="24" t="inlineStr">
        <is>
          <t>Baltimore Orioles</t>
        </is>
      </c>
      <c r="H102" s="24" t="inlineStr">
        <is>
          <t>moneyline</t>
        </is>
      </c>
      <c r="I102" s="24" t="inlineStr">
        <is>
          <t>away</t>
        </is>
      </c>
      <c r="J102" s="25" t="n"/>
      <c r="K102" s="24" t="inlineStr">
        <is>
          <t>polymarket_us</t>
        </is>
      </c>
      <c r="L102" s="26" t="n">
        <v>-138</v>
      </c>
      <c r="M102" s="27" t="n">
        <v>1.724638</v>
      </c>
      <c r="N102" s="28" t="n">
        <v>0.579832</v>
      </c>
      <c r="O102" s="28" t="n">
        <v>0.513137</v>
      </c>
      <c r="P102" s="28" t="n"/>
      <c r="Q102" s="28" t="n">
        <v>-0.066695</v>
      </c>
      <c r="R102" s="26" t="n">
        <v>0</v>
      </c>
      <c r="S102" s="29" t="n">
        <v>1</v>
      </c>
      <c r="T102" s="24" t="inlineStr">
        <is>
          <t>mlb-elo-trend-lr-v7</t>
        </is>
      </c>
      <c r="U102" s="24" t="inlineStr">
        <is>
          <t>settled</t>
        </is>
      </c>
      <c r="V102" s="24" t="inlineStr">
        <is>
          <t>win</t>
        </is>
      </c>
      <c r="W102" s="26" t="n">
        <v>5</v>
      </c>
      <c r="X102" s="26" t="n">
        <v>0</v>
      </c>
      <c r="Y102" s="25" t="n"/>
      <c r="Z102" s="26" t="n">
        <v>-138</v>
      </c>
      <c r="AA102" s="28" t="n">
        <v>0.58</v>
      </c>
      <c r="AB102" s="28" t="n">
        <v>0.000168</v>
      </c>
      <c r="AC102" s="30" t="n">
        <v>0.7246</v>
      </c>
      <c r="AD102" s="24" t="inlineStr">
        <is>
          <t>2026-08-02T03:25:54.081558Z</t>
        </is>
      </c>
      <c r="AE102" s="31" t="inlineStr">
        <is>
          <t>Learned LR call at threshold 0.6242; executable ask 0.5800 (aec-mlb-phi-bal-2026-08-01); model edge vs ask -0.0669.</t>
        </is>
      </c>
      <c r="AF102" s="31" t="inlineStr">
        <is>
          <t>Learned model; shadow-qualified via operator override.</t>
        </is>
      </c>
      <c r="AG102" s="24" t="inlineStr">
        <is>
          <t>not_applicable</t>
        </is>
      </c>
      <c r="AH102" s="24" t="n"/>
      <c r="AI102" s="31" t="n"/>
      <c r="AJ102" s="31" t="n"/>
      <c r="AK102" s="24" t="inlineStr">
        <is>
          <t>model_qualified</t>
        </is>
      </c>
      <c r="AL102" s="26" t="n">
        <v>3</v>
      </c>
      <c r="AM102" s="24" t="inlineStr">
        <is>
          <t>QUALIFIED_SHADOW_CALL</t>
        </is>
      </c>
      <c r="AN102" s="24" t="inlineStr">
        <is>
          <t>CALL</t>
        </is>
      </c>
      <c r="AO102" s="24" t="inlineStr">
        <is>
          <t>QUALIFIED</t>
        </is>
      </c>
      <c r="AP102" s="24" t="inlineStr">
        <is>
          <t>mlb-phi</t>
        </is>
      </c>
      <c r="AQ102" s="24" t="inlineStr">
        <is>
          <t>Philadelphia Phillies</t>
        </is>
      </c>
      <c r="AR102" s="24" t="inlineStr">
        <is>
          <t>Philadelphia Phillies</t>
        </is>
      </c>
      <c r="AS102" s="24" t="inlineStr">
        <is>
          <t>mlb-bal</t>
        </is>
      </c>
      <c r="AT102" s="24" t="inlineStr">
        <is>
          <t>Baltimore Orioles</t>
        </is>
      </c>
      <c r="AU102" s="24" t="inlineStr">
        <is>
          <t>Baltimore Orioles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shadow_qualified</t>
        </is>
      </c>
      <c r="BA102" s="24" t="inlineStr">
        <is>
          <t>464eef695bfbbdaa819ec6f5e4c5bd1068ed20b92915fb2677220ae91e20d8b6</t>
        </is>
      </c>
      <c r="BB102" s="24" t="inlineStr">
        <is>
          <t>learned_lr</t>
        </is>
      </c>
      <c r="BC102" s="24" t="inlineStr">
        <is>
          <t>mlb-elo-trend-lr-v7</t>
        </is>
      </c>
      <c r="BD102" s="24" t="inlineStr">
        <is>
          <t>464eef695bfbbdaa819ec6f5e4c5bd1068ed20b92915fb2677220ae91e20d8b6</t>
        </is>
      </c>
      <c r="BE102" s="24" t="inlineStr">
        <is>
          <t>d586eb6336d4b039</t>
        </is>
      </c>
      <c r="BF102" s="24" t="inlineStr">
        <is>
          <t>1</t>
        </is>
      </c>
      <c r="BG102" s="24" t="inlineStr">
        <is>
          <t>mlb-elo-trend-lr-v7</t>
        </is>
      </c>
      <c r="BH102" s="24" t="inlineStr">
        <is>
          <t>2026-08-01T20:14:07.264311Z</t>
        </is>
      </c>
      <c r="BI102" s="24" t="inlineStr">
        <is>
          <t>["same_event","same_team_same_day","same_league_same_day"]</t>
        </is>
      </c>
      <c r="BJ102" s="25" t="n"/>
      <c r="BK102" s="26" t="n">
        <v>-138</v>
      </c>
      <c r="BL102" s="27" t="n">
        <v>1.724638</v>
      </c>
      <c r="BM102" s="28" t="n">
        <v>0.579832</v>
      </c>
      <c r="BN102" s="28" t="n">
        <v>0.577114</v>
      </c>
      <c r="BO102" s="28" t="n"/>
      <c r="BP102" s="25" t="n"/>
      <c r="BQ102" s="27" t="n">
        <v>1.724638</v>
      </c>
      <c r="BR102" s="28" t="n">
        <v>0.58</v>
      </c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inlineStr">
        <is>
          <t>0.4932721792</t>
        </is>
      </c>
      <c r="CD102" s="24" t="inlineStr">
        <is>
          <t>1.020825</t>
        </is>
      </c>
      <c r="CE102" s="24" t="inlineStr">
        <is>
          <t>1.03</t>
        </is>
      </c>
      <c r="CF102" s="24" t="inlineStr">
        <is>
          <t>1.0145</t>
        </is>
      </c>
      <c r="CG102" s="24" t="inlineStr">
        <is>
          <t>1.6</t>
        </is>
      </c>
      <c r="CH102" s="24" t="n"/>
      <c r="CI102" s="24" t="n"/>
      <c r="CJ102" s="24" t="n"/>
      <c r="CK102" s="24" t="n"/>
      <c r="CL102" s="24" t="n"/>
      <c r="CM102" s="24" t="n"/>
      <c r="CN102" s="24" t="n"/>
      <c r="CO102" s="24" t="n"/>
    </row>
    <row r="103" ht="36" customHeight="1">
      <c r="A103" s="24" t="inlineStr">
        <is>
          <t>9afb3d9535a94f55</t>
        </is>
      </c>
      <c r="B103" s="24" t="inlineStr">
        <is>
          <t>2026-08-01T20:15:07.885436Z</t>
        </is>
      </c>
      <c r="C103" s="24" t="inlineStr">
        <is>
          <t>2026-08-01T19:10:00-0400</t>
        </is>
      </c>
      <c r="D103" s="24" t="inlineStr">
        <is>
          <t>401816355</t>
        </is>
      </c>
      <c r="E103" s="24" t="inlineStr">
        <is>
          <t>MLB</t>
        </is>
      </c>
      <c r="F103" s="24" t="inlineStr">
        <is>
          <t>Texas Rangers</t>
        </is>
      </c>
      <c r="G103" s="24" t="inlineStr">
        <is>
          <t>Houston Astros</t>
        </is>
      </c>
      <c r="H103" s="24" t="inlineStr">
        <is>
          <t>moneyline</t>
        </is>
      </c>
      <c r="I103" s="24" t="inlineStr">
        <is>
          <t>home</t>
        </is>
      </c>
      <c r="J103" s="25" t="n"/>
      <c r="K103" s="24" t="inlineStr">
        <is>
          <t>polymarket_us</t>
        </is>
      </c>
      <c r="L103" s="26" t="n">
        <v>115</v>
      </c>
      <c r="M103" s="27" t="n">
        <v>2.15</v>
      </c>
      <c r="N103" s="28" t="n">
        <v>0.465116</v>
      </c>
      <c r="O103" s="28" t="n">
        <v>0.542652</v>
      </c>
      <c r="P103" s="28" t="n"/>
      <c r="Q103" s="28" t="n">
        <v>0.07753599999999999</v>
      </c>
      <c r="R103" s="26" t="n">
        <v>60</v>
      </c>
      <c r="S103" s="29" t="n">
        <v>1</v>
      </c>
      <c r="T103" s="24" t="inlineStr">
        <is>
          <t>mlb-elo-trend-lr-v7</t>
        </is>
      </c>
      <c r="U103" s="24" t="inlineStr">
        <is>
          <t>settled</t>
        </is>
      </c>
      <c r="V103" s="24" t="inlineStr">
        <is>
          <t>win</t>
        </is>
      </c>
      <c r="W103" s="26" t="n">
        <v>4</v>
      </c>
      <c r="X103" s="26" t="n">
        <v>5</v>
      </c>
      <c r="Y103" s="25" t="n"/>
      <c r="Z103" s="26" t="n">
        <v>115</v>
      </c>
      <c r="AA103" s="28" t="n">
        <v>0.465</v>
      </c>
      <c r="AB103" s="28" t="n">
        <v>-0.000116</v>
      </c>
      <c r="AC103" s="30" t="n">
        <v>1.15</v>
      </c>
      <c r="AD103" s="24" t="inlineStr">
        <is>
          <t>2026-08-02T03:25:54.632517Z</t>
        </is>
      </c>
      <c r="AE103" s="31" t="inlineStr">
        <is>
          <t>Learned LR call at threshold 0.6242; executable ask 0.4650 (aec-mlb-tex-hou-2026-08-01); model edge vs ask +0.0777.</t>
        </is>
      </c>
      <c r="AF103" s="31" t="inlineStr">
        <is>
          <t>Learned model; shadow-qualified via operator override.</t>
        </is>
      </c>
      <c r="AG103" s="24" t="inlineStr">
        <is>
          <t>not_applicable</t>
        </is>
      </c>
      <c r="AH103" s="24" t="n"/>
      <c r="AI103" s="31" t="n"/>
      <c r="AJ103" s="31" t="n"/>
      <c r="AK103" s="24" t="inlineStr">
        <is>
          <t>model_qualified</t>
        </is>
      </c>
      <c r="AL103" s="26" t="n">
        <v>3</v>
      </c>
      <c r="AM103" s="24" t="inlineStr">
        <is>
          <t>QUALIFIED_SHADOW_CALL</t>
        </is>
      </c>
      <c r="AN103" s="24" t="inlineStr">
        <is>
          <t>CALL</t>
        </is>
      </c>
      <c r="AO103" s="24" t="inlineStr">
        <is>
          <t>QUALIFIED</t>
        </is>
      </c>
      <c r="AP103" s="24" t="inlineStr">
        <is>
          <t>mlb-tex</t>
        </is>
      </c>
      <c r="AQ103" s="24" t="inlineStr">
        <is>
          <t>Texas Rangers</t>
        </is>
      </c>
      <c r="AR103" s="24" t="inlineStr">
        <is>
          <t>Texas Rangers</t>
        </is>
      </c>
      <c r="AS103" s="24" t="inlineStr">
        <is>
          <t>mlb-hou</t>
        </is>
      </c>
      <c r="AT103" s="24" t="inlineStr">
        <is>
          <t>Houston Astros</t>
        </is>
      </c>
      <c r="AU103" s="24" t="inlineStr">
        <is>
          <t>Houston Astros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shadow_qualified</t>
        </is>
      </c>
      <c r="BA103" s="24" t="inlineStr">
        <is>
          <t>464eef695bfbbdaa819ec6f5e4c5bd1068ed20b92915fb2677220ae91e20d8b6</t>
        </is>
      </c>
      <c r="BB103" s="24" t="inlineStr">
        <is>
          <t>learned_lr</t>
        </is>
      </c>
      <c r="BC103" s="24" t="inlineStr">
        <is>
          <t>mlb-elo-trend-lr-v7</t>
        </is>
      </c>
      <c r="BD103" s="24" t="inlineStr">
        <is>
          <t>464eef695bfbbdaa819ec6f5e4c5bd1068ed20b92915fb2677220ae91e20d8b6</t>
        </is>
      </c>
      <c r="BE103" s="24" t="inlineStr">
        <is>
          <t>f2965fa6c6fef7a3</t>
        </is>
      </c>
      <c r="BF103" s="24" t="inlineStr">
        <is>
          <t>1</t>
        </is>
      </c>
      <c r="BG103" s="24" t="inlineStr">
        <is>
          <t>mlb-elo-trend-lr-v7</t>
        </is>
      </c>
      <c r="BH103" s="24" t="inlineStr">
        <is>
          <t>2026-08-01T20:14:08.292559Z</t>
        </is>
      </c>
      <c r="BI103" s="24" t="inlineStr">
        <is>
          <t>["same_event","same_team_same_day","same_league_same_day"]</t>
        </is>
      </c>
      <c r="BJ103" s="25" t="n"/>
      <c r="BK103" s="26" t="n">
        <v>115</v>
      </c>
      <c r="BL103" s="27" t="n">
        <v>2.15</v>
      </c>
      <c r="BM103" s="28" t="n">
        <v>0.465116</v>
      </c>
      <c r="BN103" s="28" t="n">
        <v>0.462687</v>
      </c>
      <c r="BO103" s="28" t="n"/>
      <c r="BP103" s="25" t="n"/>
      <c r="BQ103" s="27" t="n">
        <v>2.15</v>
      </c>
      <c r="BR103" s="28" t="n">
        <v>0.465</v>
      </c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inlineStr">
        <is>
          <t>0.5536392121</t>
        </is>
      </c>
      <c r="CD103" s="24" t="inlineStr">
        <is>
          <t>2.366358</t>
        </is>
      </c>
      <c r="CE103" s="24" t="inlineStr">
        <is>
          <t>0.956</t>
        </is>
      </c>
      <c r="CF103" s="24" t="inlineStr">
        <is>
          <t>1.0</t>
        </is>
      </c>
      <c r="CG103" s="24" t="inlineStr">
        <is>
          <t>0.6</t>
        </is>
      </c>
      <c r="CH103" s="24" t="n"/>
      <c r="CI103" s="24" t="n"/>
      <c r="CJ103" s="24" t="n"/>
      <c r="CK103" s="24" t="n"/>
      <c r="CL103" s="24" t="n"/>
      <c r="CM103" s="24" t="n"/>
      <c r="CN103" s="24" t="n"/>
      <c r="CO103" s="24" t="n"/>
    </row>
    <row r="104" ht="36" customHeight="1">
      <c r="A104" s="24" t="inlineStr">
        <is>
          <t>80decdff0e21477d</t>
        </is>
      </c>
      <c r="B104" s="24" t="inlineStr">
        <is>
          <t>2026-08-01T20:15:07.885436Z</t>
        </is>
      </c>
      <c r="C104" s="24" t="inlineStr">
        <is>
          <t>2026-08-01T19:15:00-0400</t>
        </is>
      </c>
      <c r="D104" s="24" t="inlineStr">
        <is>
          <t>401816347</t>
        </is>
      </c>
      <c r="E104" s="24" t="inlineStr">
        <is>
          <t>MLB</t>
        </is>
      </c>
      <c r="F104" s="24" t="inlineStr">
        <is>
          <t>Arizona Diamondbacks</t>
        </is>
      </c>
      <c r="G104" s="24" t="inlineStr">
        <is>
          <t>Cleveland Guardians</t>
        </is>
      </c>
      <c r="H104" s="24" t="inlineStr">
        <is>
          <t>moneyline</t>
        </is>
      </c>
      <c r="I104" s="24" t="inlineStr">
        <is>
          <t>home</t>
        </is>
      </c>
      <c r="J104" s="25" t="n"/>
      <c r="K104" s="24" t="inlineStr">
        <is>
          <t>polymarket_us</t>
        </is>
      </c>
      <c r="L104" s="26" t="n">
        <v>-163</v>
      </c>
      <c r="M104" s="27" t="n">
        <v>1.613497</v>
      </c>
      <c r="N104" s="28" t="n">
        <v>0.619772</v>
      </c>
      <c r="O104" s="28" t="n">
        <v>0.534072</v>
      </c>
      <c r="P104" s="28" t="n"/>
      <c r="Q104" s="28" t="n">
        <v>-0.0857</v>
      </c>
      <c r="R104" s="26" t="n">
        <v>0</v>
      </c>
      <c r="S104" s="29" t="n">
        <v>1</v>
      </c>
      <c r="T104" s="24" t="inlineStr">
        <is>
          <t>mlb-elo-trend-lr-v7</t>
        </is>
      </c>
      <c r="U104" s="24" t="inlineStr">
        <is>
          <t>settled</t>
        </is>
      </c>
      <c r="V104" s="24" t="inlineStr">
        <is>
          <t>loss</t>
        </is>
      </c>
      <c r="W104" s="26" t="n">
        <v>12</v>
      </c>
      <c r="X104" s="26" t="n">
        <v>8</v>
      </c>
      <c r="Y104" s="25" t="n"/>
      <c r="Z104" s="26" t="n">
        <v>-163</v>
      </c>
      <c r="AA104" s="28" t="n">
        <v>0.62</v>
      </c>
      <c r="AB104" s="28" t="n">
        <v>0.000228</v>
      </c>
      <c r="AC104" s="30" t="n">
        <v>-1</v>
      </c>
      <c r="AD104" s="24" t="inlineStr">
        <is>
          <t>2026-08-02T03:25:55.198220Z</t>
        </is>
      </c>
      <c r="AE104" s="31" t="inlineStr">
        <is>
          <t>Learned LR call at threshold 0.6242; executable ask 0.6200 (aec-mlb-az-cle-2026-08-01); model edge vs ask -0.0859.</t>
        </is>
      </c>
      <c r="AF104" s="31" t="inlineStr">
        <is>
          <t>Learned model; shadow-qualified via operator override.</t>
        </is>
      </c>
      <c r="AG104" s="24" t="inlineStr">
        <is>
          <t>review_required</t>
        </is>
      </c>
      <c r="AH104" s="24" t="n"/>
      <c r="AI104" s="31" t="n"/>
      <c r="AJ104" s="31" t="n"/>
      <c r="AK104" s="24" t="inlineStr">
        <is>
          <t>model_qualified</t>
        </is>
      </c>
      <c r="AL104" s="26" t="n">
        <v>3</v>
      </c>
      <c r="AM104" s="24" t="inlineStr">
        <is>
          <t>QUALIFIED_SHADOW_CALL</t>
        </is>
      </c>
      <c r="AN104" s="24" t="inlineStr">
        <is>
          <t>CALL</t>
        </is>
      </c>
      <c r="AO104" s="24" t="inlineStr">
        <is>
          <t>QUALIFIED</t>
        </is>
      </c>
      <c r="AP104" s="24" t="inlineStr">
        <is>
          <t>mlb-ari</t>
        </is>
      </c>
      <c r="AQ104" s="24" t="inlineStr">
        <is>
          <t>Arizona Diamondbacks</t>
        </is>
      </c>
      <c r="AR104" s="24" t="inlineStr">
        <is>
          <t>Arizona Diamondbacks</t>
        </is>
      </c>
      <c r="AS104" s="24" t="inlineStr">
        <is>
          <t>mlb-cle</t>
        </is>
      </c>
      <c r="AT104" s="24" t="inlineStr">
        <is>
          <t>Cleveland Guardians</t>
        </is>
      </c>
      <c r="AU104" s="24" t="inlineStr">
        <is>
          <t>Cleveland Guardians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464eef695bfbbdaa819ec6f5e4c5bd1068ed20b92915fb2677220ae91e20d8b6</t>
        </is>
      </c>
      <c r="BB104" s="24" t="inlineStr">
        <is>
          <t>learned_lr</t>
        </is>
      </c>
      <c r="BC104" s="24" t="inlineStr">
        <is>
          <t>mlb-elo-trend-lr-v7</t>
        </is>
      </c>
      <c r="BD104" s="24" t="inlineStr">
        <is>
          <t>464eef695bfbbdaa819ec6f5e4c5bd1068ed20b92915fb2677220ae91e20d8b6</t>
        </is>
      </c>
      <c r="BE104" s="24" t="inlineStr">
        <is>
          <t>5291b1c09a366ec8</t>
        </is>
      </c>
      <c r="BF104" s="24" t="inlineStr">
        <is>
          <t>1</t>
        </is>
      </c>
      <c r="BG104" s="24" t="inlineStr">
        <is>
          <t>mlb-elo-trend-lr-v7</t>
        </is>
      </c>
      <c r="BH104" s="24" t="inlineStr">
        <is>
          <t>2026-08-01T20:14:10.378899Z</t>
        </is>
      </c>
      <c r="BI104" s="24" t="inlineStr">
        <is>
          <t>["same_event","same_team_same_day","same_league_same_day"]</t>
        </is>
      </c>
      <c r="BJ104" s="25" t="n"/>
      <c r="BK104" s="26" t="n">
        <v>-163</v>
      </c>
      <c r="BL104" s="27" t="n">
        <v>1.613497</v>
      </c>
      <c r="BM104" s="28" t="n">
        <v>0.619772</v>
      </c>
      <c r="BN104" s="28" t="n">
        <v>0.616915</v>
      </c>
      <c r="BO104" s="28" t="n"/>
      <c r="BP104" s="25" t="n"/>
      <c r="BQ104" s="27" t="n">
        <v>1.613497</v>
      </c>
      <c r="BR104" s="28" t="n">
        <v>0.62</v>
      </c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inlineStr">
        <is>
          <t>0.5245055589</t>
        </is>
      </c>
      <c r="CD104" s="24" t="inlineStr">
        <is>
          <t>-0.916106</t>
        </is>
      </c>
      <c r="CE104" s="24" t="inlineStr">
        <is>
          <t>0.966</t>
        </is>
      </c>
      <c r="CF104" s="24" t="inlineStr">
        <is>
          <t>1.0098</t>
        </is>
      </c>
      <c r="CG104" s="24" t="inlineStr">
        <is>
          <t>-1.6</t>
        </is>
      </c>
      <c r="CH104" s="24" t="n"/>
      <c r="CI104" s="24" t="n"/>
      <c r="CJ104" s="24" t="n"/>
      <c r="CK104" s="24" t="n"/>
      <c r="CL104" s="24" t="n"/>
      <c r="CM104" s="24" t="n"/>
      <c r="CN104" s="24" t="n"/>
      <c r="CO104" s="24" t="n"/>
    </row>
    <row r="105" ht="36" customHeight="1">
      <c r="A105" s="24" t="inlineStr">
        <is>
          <t>826ef427778d489b</t>
        </is>
      </c>
      <c r="B105" s="24" t="inlineStr">
        <is>
          <t>2026-08-01T20:15:07.885436Z</t>
        </is>
      </c>
      <c r="C105" s="24" t="inlineStr">
        <is>
          <t>2026-08-01T19:15:00-0400</t>
        </is>
      </c>
      <c r="D105" s="24" t="inlineStr">
        <is>
          <t>401816353</t>
        </is>
      </c>
      <c r="E105" s="24" t="inlineStr">
        <is>
          <t>MLB</t>
        </is>
      </c>
      <c r="F105" s="24" t="inlineStr">
        <is>
          <t>Washington Nationals</t>
        </is>
      </c>
      <c r="G105" s="24" t="inlineStr">
        <is>
          <t>Atlanta Braves</t>
        </is>
      </c>
      <c r="H105" s="24" t="inlineStr">
        <is>
          <t>moneyline</t>
        </is>
      </c>
      <c r="I105" s="24" t="inlineStr">
        <is>
          <t>home</t>
        </is>
      </c>
      <c r="J105" s="25" t="n"/>
      <c r="K105" s="24" t="inlineStr">
        <is>
          <t>polymarket_us</t>
        </is>
      </c>
      <c r="L105" s="26" t="n">
        <v>-160</v>
      </c>
      <c r="M105" s="27" t="n">
        <v>1.625</v>
      </c>
      <c r="N105" s="28" t="n">
        <v>0.615385</v>
      </c>
      <c r="O105" s="28" t="n">
        <v>0.6128</v>
      </c>
      <c r="P105" s="28" t="n"/>
      <c r="Q105" s="28" t="n">
        <v>-0.002585</v>
      </c>
      <c r="R105" s="26" t="n">
        <v>20</v>
      </c>
      <c r="S105" s="29" t="n">
        <v>1.5</v>
      </c>
      <c r="T105" s="24" t="inlineStr">
        <is>
          <t>mlb-elo-trend-lr-v7</t>
        </is>
      </c>
      <c r="U105" s="24" t="inlineStr">
        <is>
          <t>settled</t>
        </is>
      </c>
      <c r="V105" s="24" t="inlineStr">
        <is>
          <t>win</t>
        </is>
      </c>
      <c r="W105" s="26" t="n">
        <v>3</v>
      </c>
      <c r="X105" s="26" t="n">
        <v>8</v>
      </c>
      <c r="Y105" s="25" t="n"/>
      <c r="Z105" s="26" t="n">
        <v>-160</v>
      </c>
      <c r="AA105" s="28" t="n">
        <v>0.615</v>
      </c>
      <c r="AB105" s="28" t="n">
        <v>-0.000385</v>
      </c>
      <c r="AC105" s="30" t="n">
        <v>0.9375</v>
      </c>
      <c r="AD105" s="24" t="inlineStr">
        <is>
          <t>2026-08-02T03:25:55.762276Z</t>
        </is>
      </c>
      <c r="AE105" s="31" t="inlineStr">
        <is>
          <t>Learned LR call at threshold 0.6242; executable ask 0.6150 (aec-mlb-wsh-atl-2026-08-01); model edge vs ask -0.0022.</t>
        </is>
      </c>
      <c r="AF105" s="31" t="inlineStr">
        <is>
          <t>Learned model; shadow-qualified via operator override.</t>
        </is>
      </c>
      <c r="AG105" s="24" t="inlineStr">
        <is>
          <t>not_applicable</t>
        </is>
      </c>
      <c r="AH105" s="24" t="n"/>
      <c r="AI105" s="31" t="n"/>
      <c r="AJ105" s="31" t="n"/>
      <c r="AK105" s="24" t="inlineStr">
        <is>
          <t>model_qualified</t>
        </is>
      </c>
      <c r="AL105" s="26" t="n">
        <v>3</v>
      </c>
      <c r="AM105" s="24" t="inlineStr">
        <is>
          <t>QUALIFIED_SHADOW_CALL</t>
        </is>
      </c>
      <c r="AN105" s="24" t="inlineStr">
        <is>
          <t>CALL</t>
        </is>
      </c>
      <c r="AO105" s="24" t="inlineStr">
        <is>
          <t>QUALIFIED</t>
        </is>
      </c>
      <c r="AP105" s="24" t="inlineStr">
        <is>
          <t>mlb-wsh</t>
        </is>
      </c>
      <c r="AQ105" s="24" t="inlineStr">
        <is>
          <t>Washington Nationals</t>
        </is>
      </c>
      <c r="AR105" s="24" t="inlineStr">
        <is>
          <t>Washington Nationals</t>
        </is>
      </c>
      <c r="AS105" s="24" t="inlineStr">
        <is>
          <t>mlb-atl</t>
        </is>
      </c>
      <c r="AT105" s="24" t="inlineStr">
        <is>
          <t>Atlanta Braves</t>
        </is>
      </c>
      <c r="AU105" s="24" t="inlineStr">
        <is>
          <t>Atlanta Braves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464eef695bfbbdaa819ec6f5e4c5bd1068ed20b92915fb2677220ae91e20d8b6</t>
        </is>
      </c>
      <c r="BB105" s="24" t="inlineStr">
        <is>
          <t>learned_lr</t>
        </is>
      </c>
      <c r="BC105" s="24" t="inlineStr">
        <is>
          <t>mlb-elo-trend-lr-v7</t>
        </is>
      </c>
      <c r="BD105" s="24" t="inlineStr">
        <is>
          <t>464eef695bfbbdaa819ec6f5e4c5bd1068ed20b92915fb2677220ae91e20d8b6</t>
        </is>
      </c>
      <c r="BE105" s="24" t="inlineStr">
        <is>
          <t>d766ec0b9c7d91f2</t>
        </is>
      </c>
      <c r="BF105" s="24" t="inlineStr">
        <is>
          <t>1</t>
        </is>
      </c>
      <c r="BG105" s="24" t="inlineStr">
        <is>
          <t>mlb-elo-trend-lr-v7</t>
        </is>
      </c>
      <c r="BH105" s="24" t="inlineStr">
        <is>
          <t>2026-08-01T20:14:11.394186Z</t>
        </is>
      </c>
      <c r="BI105" s="24" t="inlineStr">
        <is>
          <t>["same_event","same_team_same_day","same_league_same_day"]</t>
        </is>
      </c>
      <c r="BJ105" s="25" t="n"/>
      <c r="BK105" s="26" t="n">
        <v>-160</v>
      </c>
      <c r="BL105" s="27" t="n">
        <v>1.625</v>
      </c>
      <c r="BM105" s="28" t="n">
        <v>0.615385</v>
      </c>
      <c r="BN105" s="28" t="n">
        <v>0.61194</v>
      </c>
      <c r="BO105" s="28" t="n"/>
      <c r="BP105" s="25" t="n"/>
      <c r="BQ105" s="27" t="n">
        <v>1.625</v>
      </c>
      <c r="BR105" s="28" t="n">
        <v>0.615</v>
      </c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inlineStr">
        <is>
          <t>0.6266199013</t>
        </is>
      </c>
      <c r="CD105" s="24" t="inlineStr">
        <is>
          <t>0.430565</t>
        </is>
      </c>
      <c r="CE105" s="24" t="inlineStr">
        <is>
          <t>0.929</t>
        </is>
      </c>
      <c r="CF105" s="24" t="inlineStr">
        <is>
          <t>1.0145</t>
        </is>
      </c>
      <c r="CG105" s="24" t="inlineStr">
        <is>
          <t>-0.4</t>
        </is>
      </c>
      <c r="CH105" s="24" t="n"/>
      <c r="CI105" s="24" t="n"/>
      <c r="CJ105" s="24" t="n"/>
      <c r="CK105" s="24" t="n"/>
      <c r="CL105" s="24" t="n"/>
      <c r="CM105" s="24" t="n"/>
      <c r="CN105" s="24" t="n"/>
      <c r="CO105" s="24" t="n"/>
    </row>
    <row r="106" ht="36" customHeight="1">
      <c r="A106" s="24" t="inlineStr">
        <is>
          <t>33337a0a2b594340</t>
        </is>
      </c>
      <c r="B106" s="24" t="inlineStr">
        <is>
          <t>2026-08-01T20:15:07.885436Z</t>
        </is>
      </c>
      <c r="C106" s="24" t="inlineStr">
        <is>
          <t>2026-08-01T19:15:00-0400</t>
        </is>
      </c>
      <c r="D106" s="24" t="inlineStr">
        <is>
          <t>401816354</t>
        </is>
      </c>
      <c r="E106" s="24" t="inlineStr">
        <is>
          <t>MLB</t>
        </is>
      </c>
      <c r="F106" s="24" t="inlineStr">
        <is>
          <t>New York Yankees</t>
        </is>
      </c>
      <c r="G106" s="24" t="inlineStr">
        <is>
          <t>Chicago Cubs</t>
        </is>
      </c>
      <c r="H106" s="24" t="inlineStr">
        <is>
          <t>moneyline</t>
        </is>
      </c>
      <c r="I106" s="24" t="inlineStr">
        <is>
          <t>home</t>
        </is>
      </c>
      <c r="J106" s="25" t="n"/>
      <c r="K106" s="24" t="inlineStr">
        <is>
          <t>polymarket_us</t>
        </is>
      </c>
      <c r="L106" s="26" t="n">
        <v>-111</v>
      </c>
      <c r="M106" s="27" t="n">
        <v>1.900901</v>
      </c>
      <c r="N106" s="28" t="n">
        <v>0.526066</v>
      </c>
      <c r="O106" s="28" t="n">
        <v>0.546777</v>
      </c>
      <c r="P106" s="28" t="n"/>
      <c r="Q106" s="28" t="n">
        <v>0.020711</v>
      </c>
      <c r="R106" s="26" t="n">
        <v>32</v>
      </c>
      <c r="S106" s="29" t="n">
        <v>1</v>
      </c>
      <c r="T106" s="24" t="inlineStr">
        <is>
          <t>mlb-elo-trend-lr-v7</t>
        </is>
      </c>
      <c r="U106" s="24" t="inlineStr">
        <is>
          <t>settled</t>
        </is>
      </c>
      <c r="V106" s="24" t="inlineStr">
        <is>
          <t>win</t>
        </is>
      </c>
      <c r="W106" s="26" t="n">
        <v>2</v>
      </c>
      <c r="X106" s="26" t="n">
        <v>5</v>
      </c>
      <c r="Y106" s="25" t="n"/>
      <c r="Z106" s="26" t="n">
        <v>-111</v>
      </c>
      <c r="AA106" s="28" t="n">
        <v>0.525</v>
      </c>
      <c r="AB106" s="28" t="n">
        <v>-0.001066</v>
      </c>
      <c r="AC106" s="30" t="n">
        <v>0.9009</v>
      </c>
      <c r="AD106" s="24" t="inlineStr">
        <is>
          <t>2026-08-02T03:25:56.350258Z</t>
        </is>
      </c>
      <c r="AE106" s="31" t="inlineStr">
        <is>
          <t>Learned LR call at threshold 0.6242; executable ask 0.5250 (aec-mlb-nyy-chc-2026-08-01); model edge vs ask +0.0218.</t>
        </is>
      </c>
      <c r="AF106" s="31" t="inlineStr">
        <is>
          <t>Learned model; shadow-qualified via operator override.</t>
        </is>
      </c>
      <c r="AG106" s="24" t="inlineStr">
        <is>
          <t>not_applicable</t>
        </is>
      </c>
      <c r="AH106" s="24" t="n"/>
      <c r="AI106" s="31" t="n"/>
      <c r="AJ106" s="31" t="n"/>
      <c r="AK106" s="24" t="inlineStr">
        <is>
          <t>model_qualified</t>
        </is>
      </c>
      <c r="AL106" s="26" t="n">
        <v>3</v>
      </c>
      <c r="AM106" s="24" t="inlineStr">
        <is>
          <t>QUALIFIED_SHADOW_CALL</t>
        </is>
      </c>
      <c r="AN106" s="24" t="inlineStr">
        <is>
          <t>CALL</t>
        </is>
      </c>
      <c r="AO106" s="24" t="inlineStr">
        <is>
          <t>QUALIFIED</t>
        </is>
      </c>
      <c r="AP106" s="24" t="inlineStr">
        <is>
          <t>mlb-nyy</t>
        </is>
      </c>
      <c r="AQ106" s="24" t="inlineStr">
        <is>
          <t>New York Yankees</t>
        </is>
      </c>
      <c r="AR106" s="24" t="inlineStr">
        <is>
          <t>New York Yankees</t>
        </is>
      </c>
      <c r="AS106" s="24" t="inlineStr">
        <is>
          <t>mlb-chc</t>
        </is>
      </c>
      <c r="AT106" s="24" t="inlineStr">
        <is>
          <t>Chicago Cubs</t>
        </is>
      </c>
      <c r="AU106" s="24" t="inlineStr">
        <is>
          <t>Chicago Cubs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464eef695bfbbdaa819ec6f5e4c5bd1068ed20b92915fb2677220ae91e20d8b6</t>
        </is>
      </c>
      <c r="BB106" s="24" t="inlineStr">
        <is>
          <t>learned_lr</t>
        </is>
      </c>
      <c r="BC106" s="24" t="inlineStr">
        <is>
          <t>mlb-elo-trend-lr-v7</t>
        </is>
      </c>
      <c r="BD106" s="24" t="inlineStr">
        <is>
          <t>464eef695bfbbdaa819ec6f5e4c5bd1068ed20b92915fb2677220ae91e20d8b6</t>
        </is>
      </c>
      <c r="BE106" s="24" t="inlineStr">
        <is>
          <t>7cb47d99adfeb29c</t>
        </is>
      </c>
      <c r="BF106" s="24" t="inlineStr">
        <is>
          <t>1</t>
        </is>
      </c>
      <c r="BG106" s="24" t="inlineStr">
        <is>
          <t>mlb-elo-trend-lr-v7</t>
        </is>
      </c>
      <c r="BH106" s="24" t="inlineStr">
        <is>
          <t>2026-08-01T20:14:09.257400Z</t>
        </is>
      </c>
      <c r="BI106" s="24" t="inlineStr">
        <is>
          <t>["same_event","same_team_same_day","same_league_same_day"]</t>
        </is>
      </c>
      <c r="BJ106" s="25" t="n"/>
      <c r="BK106" s="26" t="n">
        <v>-111</v>
      </c>
      <c r="BL106" s="27" t="n">
        <v>1.900901</v>
      </c>
      <c r="BM106" s="28" t="n">
        <v>0.526066</v>
      </c>
      <c r="BN106" s="28" t="n">
        <v>0.522388</v>
      </c>
      <c r="BO106" s="28" t="n"/>
      <c r="BP106" s="25" t="n"/>
      <c r="BQ106" s="27" t="n">
        <v>1.900901</v>
      </c>
      <c r="BR106" s="28" t="n">
        <v>0.525</v>
      </c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inlineStr">
        <is>
          <t>0.5407844181</t>
        </is>
      </c>
      <c r="CD106" s="24" t="inlineStr">
        <is>
          <t>-0.04604</t>
        </is>
      </c>
      <c r="CE106" s="24" t="inlineStr">
        <is>
          <t>0.986</t>
        </is>
      </c>
      <c r="CF106" s="24" t="inlineStr">
        <is>
          <t>1.0117</t>
        </is>
      </c>
      <c r="CG106" s="24" t="inlineStr">
        <is>
          <t>-0.6</t>
        </is>
      </c>
      <c r="CH106" s="24" t="n"/>
      <c r="CI106" s="24" t="n"/>
      <c r="CJ106" s="24" t="n"/>
      <c r="CK106" s="24" t="n"/>
      <c r="CL106" s="24" t="n"/>
      <c r="CM106" s="24" t="n"/>
      <c r="CN106" s="24" t="n"/>
      <c r="CO106" s="24" t="n"/>
    </row>
    <row r="107" ht="36" customHeight="1">
      <c r="A107" s="24" t="inlineStr">
        <is>
          <t>4aa24f315791436a</t>
        </is>
      </c>
      <c r="B107" s="24" t="inlineStr">
        <is>
          <t>2026-08-01T20:15:41.530944Z</t>
        </is>
      </c>
      <c r="C107" s="24" t="inlineStr">
        <is>
          <t>2026-08-01T22:40Z</t>
        </is>
      </c>
      <c r="D107" s="24" t="inlineStr">
        <is>
          <t>401816351</t>
        </is>
      </c>
      <c r="E107" s="24" t="inlineStr">
        <is>
          <t>MLB</t>
        </is>
      </c>
      <c r="F107" s="24" t="inlineStr">
        <is>
          <t>Pittsburgh Pirates</t>
        </is>
      </c>
      <c r="G107" s="24" t="inlineStr">
        <is>
          <t>Cincinnati Reds</t>
        </is>
      </c>
      <c r="H107" s="24" t="inlineStr">
        <is>
          <t>spread</t>
        </is>
      </c>
      <c r="I107" s="24" t="inlineStr">
        <is>
          <t>home</t>
        </is>
      </c>
      <c r="J107" s="25" t="n">
        <v>1.5</v>
      </c>
      <c r="K107" s="24" t="inlineStr">
        <is>
          <t>polymarket_us</t>
        </is>
      </c>
      <c r="L107" s="26" t="n">
        <v>-147</v>
      </c>
      <c r="M107" s="27" t="n">
        <v>1.680272</v>
      </c>
      <c r="N107" s="28" t="n">
        <v>0.5951419999999999</v>
      </c>
      <c r="O107" s="28" t="n">
        <v>0.641669</v>
      </c>
      <c r="P107" s="28" t="n">
        <v>0.042131</v>
      </c>
      <c r="Q107" s="28" t="n">
        <v>0.046527</v>
      </c>
      <c r="R107" s="26" t="n">
        <v>48</v>
      </c>
      <c r="S107" s="29" t="n">
        <v>1.75</v>
      </c>
      <c r="T107" s="24" t="inlineStr">
        <is>
          <t>measured-edge-margin-v2</t>
        </is>
      </c>
      <c r="U107" s="24" t="inlineStr">
        <is>
          <t>settled</t>
        </is>
      </c>
      <c r="V107" s="24" t="inlineStr">
        <is>
          <t>loss</t>
        </is>
      </c>
      <c r="W107" s="26" t="n">
        <v>4</v>
      </c>
      <c r="X107" s="26" t="n">
        <v>1</v>
      </c>
      <c r="Y107" s="25" t="n">
        <v>1.5</v>
      </c>
      <c r="Z107" s="26" t="n">
        <v>-147</v>
      </c>
      <c r="AA107" s="28" t="n">
        <v>0.595</v>
      </c>
      <c r="AB107" s="28" t="n">
        <v>-0.000142</v>
      </c>
      <c r="AC107" s="30" t="n">
        <v>-1.75</v>
      </c>
      <c r="AD107" s="24" t="inlineStr">
        <is>
          <t>2026-08-02T03:25:57.031730Z</t>
        </is>
      </c>
      <c r="AE107" s="31" t="inlineStr">
        <is>
          <t>Measured Edge Margin: Trend Engine projected 4.48-5.03; raw selected-side p=0.7158, calibrated p=0.6417.</t>
        </is>
      </c>
      <c r="AF107" s="31" t="inlineStr">
        <is>
          <t>Research-only; lineup, bullpen, park, weather, xFIP, and wRC+ may be neutral fallbacks; market availability and BBO depth may change before first pitch.</t>
        </is>
      </c>
      <c r="AG107" s="24" t="inlineStr">
        <is>
          <t>review_required</t>
        </is>
      </c>
      <c r="AH107" s="24" t="n"/>
      <c r="AI107" s="31" t="n"/>
      <c r="AJ107" s="31" t="n"/>
      <c r="AK107" s="24" t="inlineStr">
        <is>
          <t>research_observation</t>
        </is>
      </c>
      <c r="AL107" s="26" t="n">
        <v>3</v>
      </c>
      <c r="AM107" s="24" t="inlineStr">
        <is>
          <t>RESEARCH_OBSERVATION</t>
        </is>
      </c>
      <c r="AN107" s="24" t="inlineStr">
        <is>
          <t>NO_CALL</t>
        </is>
      </c>
      <c r="AO107" s="24" t="inlineStr">
        <is>
          <t>NO_CALL_MODEL_UNVALIDATED</t>
        </is>
      </c>
      <c r="AP107" s="24" t="inlineStr">
        <is>
          <t>mlb-pit</t>
        </is>
      </c>
      <c r="AQ107" s="24" t="inlineStr">
        <is>
          <t>Pittsburgh Pirates</t>
        </is>
      </c>
      <c r="AR107" s="24" t="inlineStr">
        <is>
          <t>Pittsburgh Pirates</t>
        </is>
      </c>
      <c r="AS107" s="24" t="inlineStr">
        <is>
          <t>mlb-cin</t>
        </is>
      </c>
      <c r="AT107" s="24" t="inlineStr">
        <is>
          <t>Cincinnati Reds</t>
        </is>
      </c>
      <c r="AU107" s="24" t="inlineStr">
        <is>
          <t>Cincinnati Reds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research</t>
        </is>
      </c>
      <c r="BA107" s="24" t="inlineStr">
        <is>
          <t>8360b122264b796b0fb193095cfe4506c7e064e5f3f8c0a659aec41efd08dd25</t>
        </is>
      </c>
      <c r="BB107" s="24" t="inlineStr">
        <is>
          <t>flat_probability_shrinkage_toward_half</t>
        </is>
      </c>
      <c r="BC107" s="24" t="inlineStr">
        <is>
          <t>measured-edge-margin-v2</t>
        </is>
      </c>
      <c r="BD107" s="24" t="inlineStr">
        <is>
          <t>8360b122264b796b0fb193095cfe4506c7e064e5f3f8c0a659aec41efd08dd25</t>
        </is>
      </c>
      <c r="BE107" s="24" t="inlineStr">
        <is>
          <t>v3</t>
        </is>
      </c>
      <c r="BF107" s="24" t="inlineStr">
        <is>
          <t>1</t>
        </is>
      </c>
      <c r="BG107" s="24" t="inlineStr">
        <is>
          <t>measured-edge-paired-v1</t>
        </is>
      </c>
      <c r="BH107" s="24" t="inlineStr">
        <is>
          <t>2026-08-01T20:15:41.530944Z</t>
        </is>
      </c>
      <c r="BI107" s="24" t="inlineStr">
        <is>
          <t>["same_event","same_team_same_day","same_league_same_day"]</t>
        </is>
      </c>
      <c r="BJ107" s="25" t="n">
        <v>1.5</v>
      </c>
      <c r="BK107" s="26" t="n">
        <v>-147</v>
      </c>
      <c r="BL107" s="27" t="n">
        <v>1.680272</v>
      </c>
      <c r="BM107" s="28" t="n">
        <v>0.5951419999999999</v>
      </c>
      <c r="BN107" s="28" t="n">
        <v>0.59204</v>
      </c>
      <c r="BO107" s="28" t="n"/>
      <c r="BP107" s="25" t="n"/>
      <c r="BQ107" s="27" t="n">
        <v>1.680272</v>
      </c>
      <c r="BR107" s="28" t="n">
        <v>0.595</v>
      </c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</row>
    <row r="108" ht="36" customHeight="1">
      <c r="A108" s="24" t="inlineStr">
        <is>
          <t>f8042d9d33e049b2</t>
        </is>
      </c>
      <c r="B108" s="24" t="inlineStr">
        <is>
          <t>2026-08-01T20:15:41.530944Z</t>
        </is>
      </c>
      <c r="C108" s="24" t="inlineStr">
        <is>
          <t>2026-08-01T22:40Z</t>
        </is>
      </c>
      <c r="D108" s="24" t="inlineStr">
        <is>
          <t>401816351</t>
        </is>
      </c>
      <c r="E108" s="24" t="inlineStr">
        <is>
          <t>MLB</t>
        </is>
      </c>
      <c r="F108" s="24" t="inlineStr">
        <is>
          <t>Pittsburgh Pirates</t>
        </is>
      </c>
      <c r="G108" s="24" t="inlineStr">
        <is>
          <t>Cincinnati Reds</t>
        </is>
      </c>
      <c r="H108" s="24" t="inlineStr">
        <is>
          <t>total</t>
        </is>
      </c>
      <c r="I108" s="24" t="inlineStr">
        <is>
          <t>over</t>
        </is>
      </c>
      <c r="J108" s="25" t="n">
        <v>8.5</v>
      </c>
      <c r="K108" s="24" t="inlineStr">
        <is>
          <t>polymarket_us</t>
        </is>
      </c>
      <c r="L108" s="26" t="n">
        <v>106</v>
      </c>
      <c r="M108" s="27" t="n">
        <v>2.06</v>
      </c>
      <c r="N108" s="28" t="n">
        <v>0.485437</v>
      </c>
      <c r="O108" s="28" t="n">
        <v>0.529614</v>
      </c>
      <c r="P108" s="28" t="n">
        <v>0.042131</v>
      </c>
      <c r="Q108" s="28" t="n">
        <v>0.044177</v>
      </c>
      <c r="R108" s="26" t="n">
        <v>47</v>
      </c>
      <c r="S108" s="29" t="n">
        <v>1</v>
      </c>
      <c r="T108" s="24" t="inlineStr">
        <is>
          <t>measured-edge-totals-v2</t>
        </is>
      </c>
      <c r="U108" s="24" t="inlineStr">
        <is>
          <t>settled</t>
        </is>
      </c>
      <c r="V108" s="24" t="inlineStr">
        <is>
          <t>loss</t>
        </is>
      </c>
      <c r="W108" s="26" t="n">
        <v>4</v>
      </c>
      <c r="X108" s="26" t="n">
        <v>1</v>
      </c>
      <c r="Y108" s="25" t="n">
        <v>8.5</v>
      </c>
      <c r="Z108" s="26" t="n">
        <v>106</v>
      </c>
      <c r="AA108" s="28" t="n">
        <v>0.485</v>
      </c>
      <c r="AB108" s="28" t="n">
        <v>-0.000437</v>
      </c>
      <c r="AC108" s="30" t="n">
        <v>-1</v>
      </c>
      <c r="AD108" s="24" t="inlineStr">
        <is>
          <t>2026-08-02T03:25:57.664534Z</t>
        </is>
      </c>
      <c r="AE108" s="31" t="inlineStr">
        <is>
          <t>Measured Edge Totals: Trend Engine projected 4.48-5.03; raw selected-side p=0.5634, calibrated p=0.5296.</t>
        </is>
      </c>
      <c r="AF108" s="31" t="inlineStr">
        <is>
          <t>Research-only; lineup, bullpen, park, weather, xFIP, and wRC+ may be neutral fallbacks; market availability and BBO depth may change before first pitch.</t>
        </is>
      </c>
      <c r="AG108" s="24" t="inlineStr">
        <is>
          <t>review_required</t>
        </is>
      </c>
      <c r="AH108" s="24" t="n"/>
      <c r="AI108" s="31" t="n"/>
      <c r="AJ108" s="31" t="n"/>
      <c r="AK108" s="24" t="inlineStr">
        <is>
          <t>research_observation</t>
        </is>
      </c>
      <c r="AL108" s="26" t="n">
        <v>3</v>
      </c>
      <c r="AM108" s="24" t="inlineStr">
        <is>
          <t>RESEARCH_OBSERVATION</t>
        </is>
      </c>
      <c r="AN108" s="24" t="inlineStr">
        <is>
          <t>NO_CALL</t>
        </is>
      </c>
      <c r="AO108" s="24" t="inlineStr">
        <is>
          <t>NO_CALL_MODEL_UNVALIDATED</t>
        </is>
      </c>
      <c r="AP108" s="24" t="inlineStr">
        <is>
          <t>mlb-pit</t>
        </is>
      </c>
      <c r="AQ108" s="24" t="inlineStr">
        <is>
          <t>Pittsburgh Pirates</t>
        </is>
      </c>
      <c r="AR108" s="24" t="inlineStr">
        <is>
          <t>Pittsburgh Pirates</t>
        </is>
      </c>
      <c r="AS108" s="24" t="inlineStr">
        <is>
          <t>mlb-cin</t>
        </is>
      </c>
      <c r="AT108" s="24" t="inlineStr">
        <is>
          <t>Cincinnati Reds</t>
        </is>
      </c>
      <c r="AU108" s="24" t="inlineStr">
        <is>
          <t>Cincinnati Reds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research</t>
        </is>
      </c>
      <c r="BA108" s="24" t="inlineStr">
        <is>
          <t>433578016242b27f9c1c7132cc6b5a2bcc7dd1b0234590c12a944455a88e71bd</t>
        </is>
      </c>
      <c r="BB108" s="24" t="inlineStr">
        <is>
          <t>flat_probability_shrinkage_toward_half</t>
        </is>
      </c>
      <c r="BC108" s="24" t="inlineStr">
        <is>
          <t>measured-edge-totals-v2</t>
        </is>
      </c>
      <c r="BD108" s="24" t="inlineStr">
        <is>
          <t>433578016242b27f9c1c7132cc6b5a2bcc7dd1b0234590c12a944455a88e71bd</t>
        </is>
      </c>
      <c r="BE108" s="24" t="inlineStr">
        <is>
          <t>v3</t>
        </is>
      </c>
      <c r="BF108" s="24" t="inlineStr">
        <is>
          <t>1</t>
        </is>
      </c>
      <c r="BG108" s="24" t="inlineStr">
        <is>
          <t>measured-edge-paired-v1</t>
        </is>
      </c>
      <c r="BH108" s="24" t="inlineStr">
        <is>
          <t>2026-08-01T20:15:41.530944Z</t>
        </is>
      </c>
      <c r="BI108" s="24" t="inlineStr">
        <is>
          <t>["same_event","same_team_same_day","same_league_same_day"]</t>
        </is>
      </c>
      <c r="BJ108" s="25" t="n">
        <v>8.5</v>
      </c>
      <c r="BK108" s="26" t="n">
        <v>106</v>
      </c>
      <c r="BL108" s="27" t="n">
        <v>2.06</v>
      </c>
      <c r="BM108" s="28" t="n">
        <v>0.485437</v>
      </c>
      <c r="BN108" s="28" t="n">
        <v>0.482587</v>
      </c>
      <c r="BO108" s="28" t="n"/>
      <c r="BP108" s="25" t="n"/>
      <c r="BQ108" s="27" t="n">
        <v>2.06</v>
      </c>
      <c r="BR108" s="28" t="n">
        <v>0.485</v>
      </c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</row>
    <row r="109" ht="36" customHeight="1">
      <c r="A109" s="24" t="inlineStr">
        <is>
          <t>467a3dcd365542d4</t>
        </is>
      </c>
      <c r="B109" s="24" t="inlineStr">
        <is>
          <t>2026-08-01T20:15:41.530944Z</t>
        </is>
      </c>
      <c r="C109" s="24" t="inlineStr">
        <is>
          <t>2026-08-01T23:05Z</t>
        </is>
      </c>
      <c r="D109" s="24" t="inlineStr">
        <is>
          <t>401816350</t>
        </is>
      </c>
      <c r="E109" s="24" t="inlineStr">
        <is>
          <t>MLB</t>
        </is>
      </c>
      <c r="F109" s="24" t="inlineStr">
        <is>
          <t>Philadelphia Phillies</t>
        </is>
      </c>
      <c r="G109" s="24" t="inlineStr">
        <is>
          <t>Baltimore Orioles</t>
        </is>
      </c>
      <c r="H109" s="24" t="inlineStr">
        <is>
          <t>spread</t>
        </is>
      </c>
      <c r="I109" s="24" t="inlineStr">
        <is>
          <t>home</t>
        </is>
      </c>
      <c r="J109" s="25" t="n">
        <v>1.5</v>
      </c>
      <c r="K109" s="24" t="inlineStr">
        <is>
          <t>polymarket_us</t>
        </is>
      </c>
      <c r="L109" s="26" t="n">
        <v>-125</v>
      </c>
      <c r="M109" s="27" t="n">
        <v>1.8</v>
      </c>
      <c r="N109" s="28" t="n">
        <v>0.555556</v>
      </c>
      <c r="O109" s="28" t="n">
        <v>0.634813</v>
      </c>
      <c r="P109" s="28" t="n">
        <v>0.042131</v>
      </c>
      <c r="Q109" s="28" t="n">
        <v>0.07925699999999999</v>
      </c>
      <c r="R109" s="26" t="n">
        <v>64</v>
      </c>
      <c r="S109" s="29" t="n">
        <v>1.5</v>
      </c>
      <c r="T109" s="24" t="inlineStr">
        <is>
          <t>measured-edge-margin-v2</t>
        </is>
      </c>
      <c r="U109" s="24" t="inlineStr">
        <is>
          <t>settled</t>
        </is>
      </c>
      <c r="V109" s="24" t="inlineStr">
        <is>
          <t>loss</t>
        </is>
      </c>
      <c r="W109" s="26" t="n">
        <v>5</v>
      </c>
      <c r="X109" s="26" t="n">
        <v>0</v>
      </c>
      <c r="Y109" s="25" t="n">
        <v>1.5</v>
      </c>
      <c r="Z109" s="26" t="n">
        <v>-125</v>
      </c>
      <c r="AA109" s="28" t="n">
        <v>0.555</v>
      </c>
      <c r="AB109" s="28" t="n">
        <v>-0.000556</v>
      </c>
      <c r="AC109" s="30" t="n">
        <v>-1.5</v>
      </c>
      <c r="AD109" s="24" t="inlineStr">
        <is>
          <t>2026-08-02T03:25:58.270271Z</t>
        </is>
      </c>
      <c r="AE109" s="31" t="inlineStr">
        <is>
          <t>Measured Edge Margin: Trend Engine projected 4.43-4.91; raw selected-side p=0.7054, calibrated p=0.6348.</t>
        </is>
      </c>
      <c r="AF109" s="31" t="inlineStr">
        <is>
          <t>Research-only; lineup, bullpen, park, weather, xFIP, and wRC+ may be neutral fallbacks; market availability and BBO depth may change before first pitch.</t>
        </is>
      </c>
      <c r="AG109" s="24" t="inlineStr">
        <is>
          <t>review_required</t>
        </is>
      </c>
      <c r="AH109" s="24" t="n"/>
      <c r="AI109" s="31" t="n"/>
      <c r="AJ109" s="31" t="n"/>
      <c r="AK109" s="24" t="inlineStr">
        <is>
          <t>research_observation</t>
        </is>
      </c>
      <c r="AL109" s="26" t="n">
        <v>3</v>
      </c>
      <c r="AM109" s="24" t="inlineStr">
        <is>
          <t>RESEARCH_OBSERVATION</t>
        </is>
      </c>
      <c r="AN109" s="24" t="inlineStr">
        <is>
          <t>NO_CALL</t>
        </is>
      </c>
      <c r="AO109" s="24" t="inlineStr">
        <is>
          <t>NO_CALL_MODEL_UNVALIDATED</t>
        </is>
      </c>
      <c r="AP109" s="24" t="inlineStr">
        <is>
          <t>mlb-phi</t>
        </is>
      </c>
      <c r="AQ109" s="24" t="inlineStr">
        <is>
          <t>Philadelphia Phillies</t>
        </is>
      </c>
      <c r="AR109" s="24" t="inlineStr">
        <is>
          <t>Philadelphia Phillies</t>
        </is>
      </c>
      <c r="AS109" s="24" t="inlineStr">
        <is>
          <t>mlb-bal</t>
        </is>
      </c>
      <c r="AT109" s="24" t="inlineStr">
        <is>
          <t>Baltimore Orioles</t>
        </is>
      </c>
      <c r="AU109" s="24" t="inlineStr">
        <is>
          <t>Baltimore Orioles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research</t>
        </is>
      </c>
      <c r="BA109" s="24" t="inlineStr">
        <is>
          <t>8360b122264b796b0fb193095cfe4506c7e064e5f3f8c0a659aec41efd08dd25</t>
        </is>
      </c>
      <c r="BB109" s="24" t="inlineStr">
        <is>
          <t>flat_probability_shrinkage_toward_half</t>
        </is>
      </c>
      <c r="BC109" s="24" t="inlineStr">
        <is>
          <t>measured-edge-margin-v2</t>
        </is>
      </c>
      <c r="BD109" s="24" t="inlineStr">
        <is>
          <t>8360b122264b796b0fb193095cfe4506c7e064e5f3f8c0a659aec41efd08dd25</t>
        </is>
      </c>
      <c r="BE109" s="24" t="inlineStr">
        <is>
          <t>v3</t>
        </is>
      </c>
      <c r="BF109" s="24" t="inlineStr">
        <is>
          <t>1</t>
        </is>
      </c>
      <c r="BG109" s="24" t="inlineStr">
        <is>
          <t>measured-edge-paired-v1</t>
        </is>
      </c>
      <c r="BH109" s="24" t="inlineStr">
        <is>
          <t>2026-08-01T20:15:41.530944Z</t>
        </is>
      </c>
      <c r="BI109" s="24" t="inlineStr">
        <is>
          <t>["same_event","same_team_same_day","same_league_same_day"]</t>
        </is>
      </c>
      <c r="BJ109" s="25" t="n">
        <v>1.5</v>
      </c>
      <c r="BK109" s="26" t="n">
        <v>-125</v>
      </c>
      <c r="BL109" s="27" t="n">
        <v>1.8</v>
      </c>
      <c r="BM109" s="28" t="n">
        <v>0.555556</v>
      </c>
      <c r="BN109" s="28" t="n">
        <v>0.552239</v>
      </c>
      <c r="BO109" s="28" t="n"/>
      <c r="BP109" s="25" t="n"/>
      <c r="BQ109" s="27" t="n">
        <v>1.8</v>
      </c>
      <c r="BR109" s="28" t="n">
        <v>0.555</v>
      </c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</row>
    <row r="110" ht="36" customHeight="1">
      <c r="A110" s="24" t="inlineStr">
        <is>
          <t>524e6e93080f4caf</t>
        </is>
      </c>
      <c r="B110" s="24" t="inlineStr">
        <is>
          <t>2026-08-01T20:15:41.530944Z</t>
        </is>
      </c>
      <c r="C110" s="24" t="inlineStr">
        <is>
          <t>2026-08-01T23:05Z</t>
        </is>
      </c>
      <c r="D110" s="24" t="inlineStr">
        <is>
          <t>401816350</t>
        </is>
      </c>
      <c r="E110" s="24" t="inlineStr">
        <is>
          <t>MLB</t>
        </is>
      </c>
      <c r="F110" s="24" t="inlineStr">
        <is>
          <t>Philadelphia Phillies</t>
        </is>
      </c>
      <c r="G110" s="24" t="inlineStr">
        <is>
          <t>Baltimore Orioles</t>
        </is>
      </c>
      <c r="H110" s="24" t="inlineStr">
        <is>
          <t>total</t>
        </is>
      </c>
      <c r="I110" s="24" t="inlineStr">
        <is>
          <t>over</t>
        </is>
      </c>
      <c r="J110" s="25" t="n">
        <v>8.5</v>
      </c>
      <c r="K110" s="24" t="inlineStr">
        <is>
          <t>polymarket_us</t>
        </is>
      </c>
      <c r="L110" s="26" t="n">
        <v>111</v>
      </c>
      <c r="M110" s="27" t="n">
        <v>2.11</v>
      </c>
      <c r="N110" s="28" t="n">
        <v>0.473934</v>
      </c>
      <c r="O110" s="28" t="n">
        <v>0.523873</v>
      </c>
      <c r="P110" s="28" t="n">
        <v>0.042131</v>
      </c>
      <c r="Q110" s="28" t="n">
        <v>0.049939</v>
      </c>
      <c r="R110" s="26" t="n">
        <v>50</v>
      </c>
      <c r="S110" s="29" t="n">
        <v>1</v>
      </c>
      <c r="T110" s="24" t="inlineStr">
        <is>
          <t>measured-edge-totals-v2</t>
        </is>
      </c>
      <c r="U110" s="24" t="inlineStr">
        <is>
          <t>settled</t>
        </is>
      </c>
      <c r="V110" s="24" t="inlineStr">
        <is>
          <t>loss</t>
        </is>
      </c>
      <c r="W110" s="26" t="n">
        <v>5</v>
      </c>
      <c r="X110" s="26" t="n">
        <v>0</v>
      </c>
      <c r="Y110" s="25" t="n">
        <v>8.5</v>
      </c>
      <c r="Z110" s="26" t="n">
        <v>111</v>
      </c>
      <c r="AA110" s="28" t="n">
        <v>0.475</v>
      </c>
      <c r="AB110" s="28" t="n">
        <v>0.001066</v>
      </c>
      <c r="AC110" s="30" t="n">
        <v>-1</v>
      </c>
      <c r="AD110" s="24" t="inlineStr">
        <is>
          <t>2026-08-02T03:25:58.832776Z</t>
        </is>
      </c>
      <c r="AE110" s="31" t="inlineStr">
        <is>
          <t>Measured Edge Totals: Trend Engine projected 4.43-4.91; raw selected-side p=0.5466, calibrated p=0.5239.</t>
        </is>
      </c>
      <c r="AF110" s="31" t="inlineStr">
        <is>
          <t>Research-only; lineup, bullpen, park, weather, xFIP, and wRC+ may be neutral fallbacks; market availability and BBO depth may change before first pitch.</t>
        </is>
      </c>
      <c r="AG110" s="24" t="inlineStr">
        <is>
          <t>review_required</t>
        </is>
      </c>
      <c r="AH110" s="24" t="n"/>
      <c r="AI110" s="31" t="n"/>
      <c r="AJ110" s="31" t="n"/>
      <c r="AK110" s="24" t="inlineStr">
        <is>
          <t>research_observation</t>
        </is>
      </c>
      <c r="AL110" s="26" t="n">
        <v>3</v>
      </c>
      <c r="AM110" s="24" t="inlineStr">
        <is>
          <t>RESEARCH_OBSERVATION</t>
        </is>
      </c>
      <c r="AN110" s="24" t="inlineStr">
        <is>
          <t>NO_CALL</t>
        </is>
      </c>
      <c r="AO110" s="24" t="inlineStr">
        <is>
          <t>NO_CALL_MODEL_UNVALIDATED</t>
        </is>
      </c>
      <c r="AP110" s="24" t="inlineStr">
        <is>
          <t>mlb-phi</t>
        </is>
      </c>
      <c r="AQ110" s="24" t="inlineStr">
        <is>
          <t>Philadelphia Phillies</t>
        </is>
      </c>
      <c r="AR110" s="24" t="inlineStr">
        <is>
          <t>Philadelphia Phillies</t>
        </is>
      </c>
      <c r="AS110" s="24" t="inlineStr">
        <is>
          <t>mlb-bal</t>
        </is>
      </c>
      <c r="AT110" s="24" t="inlineStr">
        <is>
          <t>Baltimore Orioles</t>
        </is>
      </c>
      <c r="AU110" s="24" t="inlineStr">
        <is>
          <t>Baltimore Orioles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research</t>
        </is>
      </c>
      <c r="BA110" s="24" t="inlineStr">
        <is>
          <t>433578016242b27f9c1c7132cc6b5a2bcc7dd1b0234590c12a944455a88e71bd</t>
        </is>
      </c>
      <c r="BB110" s="24" t="inlineStr">
        <is>
          <t>flat_probability_shrinkage_toward_half</t>
        </is>
      </c>
      <c r="BC110" s="24" t="inlineStr">
        <is>
          <t>measured-edge-totals-v2</t>
        </is>
      </c>
      <c r="BD110" s="24" t="inlineStr">
        <is>
          <t>433578016242b27f9c1c7132cc6b5a2bcc7dd1b0234590c12a944455a88e71bd</t>
        </is>
      </c>
      <c r="BE110" s="24" t="inlineStr">
        <is>
          <t>v3</t>
        </is>
      </c>
      <c r="BF110" s="24" t="inlineStr">
        <is>
          <t>1</t>
        </is>
      </c>
      <c r="BG110" s="24" t="inlineStr">
        <is>
          <t>measured-edge-paired-v1</t>
        </is>
      </c>
      <c r="BH110" s="24" t="inlineStr">
        <is>
          <t>2026-08-01T20:15:41.530944Z</t>
        </is>
      </c>
      <c r="BI110" s="24" t="inlineStr">
        <is>
          <t>["same_event","same_team_same_day","same_league_same_day"]</t>
        </is>
      </c>
      <c r="BJ110" s="25" t="n">
        <v>8.5</v>
      </c>
      <c r="BK110" s="26" t="n">
        <v>111</v>
      </c>
      <c r="BL110" s="27" t="n">
        <v>2.11</v>
      </c>
      <c r="BM110" s="28" t="n">
        <v>0.473934</v>
      </c>
      <c r="BN110" s="28" t="n">
        <v>0.472637</v>
      </c>
      <c r="BO110" s="28" t="n"/>
      <c r="BP110" s="25" t="n"/>
      <c r="BQ110" s="27" t="n">
        <v>2.11</v>
      </c>
      <c r="BR110" s="28" t="n">
        <v>0.475</v>
      </c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</row>
    <row r="111" ht="36" customHeight="1">
      <c r="A111" s="24" t="inlineStr">
        <is>
          <t>a4bc30a0261348a3</t>
        </is>
      </c>
      <c r="B111" s="24" t="inlineStr">
        <is>
          <t>2026-08-01T20:15:41.530944Z</t>
        </is>
      </c>
      <c r="C111" s="24" t="inlineStr">
        <is>
          <t>2026-08-01T23:10Z</t>
        </is>
      </c>
      <c r="D111" s="24" t="inlineStr">
        <is>
          <t>401816355</t>
        </is>
      </c>
      <c r="E111" s="24" t="inlineStr">
        <is>
          <t>MLB</t>
        </is>
      </c>
      <c r="F111" s="24" t="inlineStr">
        <is>
          <t>Texas Rangers</t>
        </is>
      </c>
      <c r="G111" s="24" t="inlineStr">
        <is>
          <t>Houston Astros</t>
        </is>
      </c>
      <c r="H111" s="24" t="inlineStr">
        <is>
          <t>spread</t>
        </is>
      </c>
      <c r="I111" s="24" t="inlineStr">
        <is>
          <t>home</t>
        </is>
      </c>
      <c r="J111" s="25" t="n">
        <v>1.5</v>
      </c>
      <c r="K111" s="24" t="inlineStr">
        <is>
          <t>polymarket_us</t>
        </is>
      </c>
      <c r="L111" s="26" t="n">
        <v>-147</v>
      </c>
      <c r="M111" s="27" t="n">
        <v>1.680272</v>
      </c>
      <c r="N111" s="28" t="n">
        <v>0.5951419999999999</v>
      </c>
      <c r="O111" s="28" t="n">
        <v>0.599055</v>
      </c>
      <c r="P111" s="28" t="n">
        <v>0.05172</v>
      </c>
      <c r="Q111" s="28" t="n">
        <v>0.003913</v>
      </c>
      <c r="R111" s="26" t="n">
        <v>21</v>
      </c>
      <c r="S111" s="29" t="n">
        <v>1.25</v>
      </c>
      <c r="T111" s="24" t="inlineStr">
        <is>
          <t>measured-edge-margin-v2</t>
        </is>
      </c>
      <c r="U111" s="24" t="inlineStr">
        <is>
          <t>settled</t>
        </is>
      </c>
      <c r="V111" s="24" t="inlineStr">
        <is>
          <t>win</t>
        </is>
      </c>
      <c r="W111" s="26" t="n">
        <v>4</v>
      </c>
      <c r="X111" s="26" t="n">
        <v>5</v>
      </c>
      <c r="Y111" s="25" t="n">
        <v>1.5</v>
      </c>
      <c r="Z111" s="26" t="n">
        <v>-147</v>
      </c>
      <c r="AA111" s="28" t="n">
        <v>0.595</v>
      </c>
      <c r="AB111" s="28" t="n">
        <v>-0.000142</v>
      </c>
      <c r="AC111" s="30" t="n">
        <v>0.8502999999999999</v>
      </c>
      <c r="AD111" s="24" t="inlineStr">
        <is>
          <t>2026-08-02T03:25:59.357983Z</t>
        </is>
      </c>
      <c r="AE111" s="31" t="inlineStr">
        <is>
          <t>Measured Edge Margin: Trend Engine projected 4.79-4.61; raw selected-side p=0.6509, calibrated p=0.5991.</t>
        </is>
      </c>
      <c r="AF111" s="31" t="inlineStr">
        <is>
          <t>Research-only; lineup, bullpen, park, weather, xFIP, and wRC+ may be neutral fallbacks; market availability and BBO depth may change before first pitch.</t>
        </is>
      </c>
      <c r="AG111" s="24" t="inlineStr">
        <is>
          <t>not_applicable</t>
        </is>
      </c>
      <c r="AH111" s="24" t="n"/>
      <c r="AI111" s="31" t="n"/>
      <c r="AJ111" s="31" t="n"/>
      <c r="AK111" s="24" t="inlineStr">
        <is>
          <t>research_observation</t>
        </is>
      </c>
      <c r="AL111" s="26" t="n">
        <v>3</v>
      </c>
      <c r="AM111" s="24" t="inlineStr">
        <is>
          <t>RESEARCH_OBSERVATION</t>
        </is>
      </c>
      <c r="AN111" s="24" t="inlineStr">
        <is>
          <t>NO_CALL</t>
        </is>
      </c>
      <c r="AO111" s="24" t="inlineStr">
        <is>
          <t>NO_CALL_MODEL_UNVALIDATED</t>
        </is>
      </c>
      <c r="AP111" s="24" t="inlineStr">
        <is>
          <t>mlb-tex</t>
        </is>
      </c>
      <c r="AQ111" s="24" t="inlineStr">
        <is>
          <t>Texas Rangers</t>
        </is>
      </c>
      <c r="AR111" s="24" t="inlineStr">
        <is>
          <t>Texas Rangers</t>
        </is>
      </c>
      <c r="AS111" s="24" t="inlineStr">
        <is>
          <t>mlb-hou</t>
        </is>
      </c>
      <c r="AT111" s="24" t="inlineStr">
        <is>
          <t>Houston Astros</t>
        </is>
      </c>
      <c r="AU111" s="24" t="inlineStr">
        <is>
          <t>Houston Astros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research</t>
        </is>
      </c>
      <c r="BA111" s="24" t="inlineStr">
        <is>
          <t>8360b122264b796b0fb193095cfe4506c7e064e5f3f8c0a659aec41efd08dd25</t>
        </is>
      </c>
      <c r="BB111" s="24" t="inlineStr">
        <is>
          <t>flat_probability_shrinkage_toward_half</t>
        </is>
      </c>
      <c r="BC111" s="24" t="inlineStr">
        <is>
          <t>measured-edge-margin-v2</t>
        </is>
      </c>
      <c r="BD111" s="24" t="inlineStr">
        <is>
          <t>8360b122264b796b0fb193095cfe4506c7e064e5f3f8c0a659aec41efd08dd25</t>
        </is>
      </c>
      <c r="BE111" s="24" t="inlineStr">
        <is>
          <t>v3</t>
        </is>
      </c>
      <c r="BF111" s="24" t="inlineStr">
        <is>
          <t>1</t>
        </is>
      </c>
      <c r="BG111" s="24" t="inlineStr">
        <is>
          <t>measured-edge-paired-v1</t>
        </is>
      </c>
      <c r="BH111" s="24" t="inlineStr">
        <is>
          <t>2026-08-01T20:15:41.530944Z</t>
        </is>
      </c>
      <c r="BI111" s="24" t="inlineStr">
        <is>
          <t>["same_event","same_team_same_day","same_league_same_day"]</t>
        </is>
      </c>
      <c r="BJ111" s="25" t="n">
        <v>1.5</v>
      </c>
      <c r="BK111" s="26" t="n">
        <v>-147</v>
      </c>
      <c r="BL111" s="27" t="n">
        <v>1.680272</v>
      </c>
      <c r="BM111" s="28" t="n">
        <v>0.5951419999999999</v>
      </c>
      <c r="BN111" s="28" t="n">
        <v>0.59204</v>
      </c>
      <c r="BO111" s="28" t="n"/>
      <c r="BP111" s="25" t="n"/>
      <c r="BQ111" s="27" t="n">
        <v>1.680272</v>
      </c>
      <c r="BR111" s="28" t="n">
        <v>0.595</v>
      </c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</row>
    <row r="112" ht="36" customHeight="1">
      <c r="A112" s="24" t="inlineStr">
        <is>
          <t>a13b680f399c4008</t>
        </is>
      </c>
      <c r="B112" s="24" t="inlineStr">
        <is>
          <t>2026-08-01T20:15:41.530944Z</t>
        </is>
      </c>
      <c r="C112" s="24" t="inlineStr">
        <is>
          <t>2026-08-01T23:10Z</t>
        </is>
      </c>
      <c r="D112" s="24" t="inlineStr">
        <is>
          <t>401816355</t>
        </is>
      </c>
      <c r="E112" s="24" t="inlineStr">
        <is>
          <t>MLB</t>
        </is>
      </c>
      <c r="F112" s="24" t="inlineStr">
        <is>
          <t>Texas Rangers</t>
        </is>
      </c>
      <c r="G112" s="24" t="inlineStr">
        <is>
          <t>Houston Astros</t>
        </is>
      </c>
      <c r="H112" s="24" t="inlineStr">
        <is>
          <t>total</t>
        </is>
      </c>
      <c r="I112" s="24" t="inlineStr">
        <is>
          <t>over</t>
        </is>
      </c>
      <c r="J112" s="25" t="n">
        <v>8.5</v>
      </c>
      <c r="K112" s="24" t="inlineStr">
        <is>
          <t>polymarket_us</t>
        </is>
      </c>
      <c r="L112" s="26" t="n">
        <v>106</v>
      </c>
      <c r="M112" s="27" t="n">
        <v>2.06</v>
      </c>
      <c r="N112" s="28" t="n">
        <v>0.485437</v>
      </c>
      <c r="O112" s="28" t="n">
        <v>0.526641</v>
      </c>
      <c r="P112" s="28" t="n">
        <v>0.05172</v>
      </c>
      <c r="Q112" s="28" t="n">
        <v>0.041204</v>
      </c>
      <c r="R112" s="26" t="n">
        <v>40</v>
      </c>
      <c r="S112" s="29" t="n">
        <v>1</v>
      </c>
      <c r="T112" s="24" t="inlineStr">
        <is>
          <t>measured-edge-totals-v2</t>
        </is>
      </c>
      <c r="U112" s="24" t="inlineStr">
        <is>
          <t>settled</t>
        </is>
      </c>
      <c r="V112" s="24" t="inlineStr">
        <is>
          <t>win</t>
        </is>
      </c>
      <c r="W112" s="26" t="n">
        <v>4</v>
      </c>
      <c r="X112" s="26" t="n">
        <v>5</v>
      </c>
      <c r="Y112" s="25" t="n">
        <v>8.5</v>
      </c>
      <c r="Z112" s="26" t="n">
        <v>106</v>
      </c>
      <c r="AA112" s="28" t="n">
        <v>0.485</v>
      </c>
      <c r="AB112" s="28" t="n">
        <v>-0.000437</v>
      </c>
      <c r="AC112" s="30" t="n">
        <v>1.06</v>
      </c>
      <c r="AD112" s="24" t="inlineStr">
        <is>
          <t>2026-08-02T03:25:59.884982Z</t>
        </is>
      </c>
      <c r="AE112" s="31" t="inlineStr">
        <is>
          <t>Measured Edge Totals: Trend Engine projected 4.79-4.61; raw selected-side p=0.5547, calibrated p=0.5266.</t>
        </is>
      </c>
      <c r="AF112" s="31" t="inlineStr">
        <is>
          <t>Research-only; lineup, bullpen, park, weather, xFIP, and wRC+ may be neutral fallbacks; market availability and BBO depth may change before first pitch.</t>
        </is>
      </c>
      <c r="AG112" s="24" t="inlineStr">
        <is>
          <t>not_applicable</t>
        </is>
      </c>
      <c r="AH112" s="24" t="n"/>
      <c r="AI112" s="31" t="n"/>
      <c r="AJ112" s="31" t="n"/>
      <c r="AK112" s="24" t="inlineStr">
        <is>
          <t>research_observation</t>
        </is>
      </c>
      <c r="AL112" s="26" t="n">
        <v>3</v>
      </c>
      <c r="AM112" s="24" t="inlineStr">
        <is>
          <t>RESEARCH_OBSERVATION</t>
        </is>
      </c>
      <c r="AN112" s="24" t="inlineStr">
        <is>
          <t>NO_CALL</t>
        </is>
      </c>
      <c r="AO112" s="24" t="inlineStr">
        <is>
          <t>NO_CALL_MODEL_UNVALIDATED</t>
        </is>
      </c>
      <c r="AP112" s="24" t="inlineStr">
        <is>
          <t>mlb-tex</t>
        </is>
      </c>
      <c r="AQ112" s="24" t="inlineStr">
        <is>
          <t>Texas Rangers</t>
        </is>
      </c>
      <c r="AR112" s="24" t="inlineStr">
        <is>
          <t>Texas Rangers</t>
        </is>
      </c>
      <c r="AS112" s="24" t="inlineStr">
        <is>
          <t>mlb-hou</t>
        </is>
      </c>
      <c r="AT112" s="24" t="inlineStr">
        <is>
          <t>Houston Astros</t>
        </is>
      </c>
      <c r="AU112" s="24" t="inlineStr">
        <is>
          <t>Houston Astros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research</t>
        </is>
      </c>
      <c r="BA112" s="24" t="inlineStr">
        <is>
          <t>433578016242b27f9c1c7132cc6b5a2bcc7dd1b0234590c12a944455a88e71bd</t>
        </is>
      </c>
      <c r="BB112" s="24" t="inlineStr">
        <is>
          <t>flat_probability_shrinkage_toward_half</t>
        </is>
      </c>
      <c r="BC112" s="24" t="inlineStr">
        <is>
          <t>measured-edge-totals-v2</t>
        </is>
      </c>
      <c r="BD112" s="24" t="inlineStr">
        <is>
          <t>433578016242b27f9c1c7132cc6b5a2bcc7dd1b0234590c12a944455a88e71bd</t>
        </is>
      </c>
      <c r="BE112" s="24" t="inlineStr">
        <is>
          <t>v3</t>
        </is>
      </c>
      <c r="BF112" s="24" t="inlineStr">
        <is>
          <t>1</t>
        </is>
      </c>
      <c r="BG112" s="24" t="inlineStr">
        <is>
          <t>measured-edge-paired-v1</t>
        </is>
      </c>
      <c r="BH112" s="24" t="inlineStr">
        <is>
          <t>2026-08-01T20:15:41.530944Z</t>
        </is>
      </c>
      <c r="BI112" s="24" t="inlineStr">
        <is>
          <t>["same_event","same_team_same_day","same_league_same_day"]</t>
        </is>
      </c>
      <c r="BJ112" s="25" t="n">
        <v>8.5</v>
      </c>
      <c r="BK112" s="26" t="n">
        <v>106</v>
      </c>
      <c r="BL112" s="27" t="n">
        <v>2.06</v>
      </c>
      <c r="BM112" s="28" t="n">
        <v>0.485437</v>
      </c>
      <c r="BN112" s="28" t="n">
        <v>0.482587</v>
      </c>
      <c r="BO112" s="28" t="n"/>
      <c r="BP112" s="25" t="n"/>
      <c r="BQ112" s="27" t="n">
        <v>2.06</v>
      </c>
      <c r="BR112" s="28" t="n">
        <v>0.485</v>
      </c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</row>
    <row r="113" ht="36" customHeight="1">
      <c r="A113" s="24" t="inlineStr">
        <is>
          <t>025e6dfc254a4339</t>
        </is>
      </c>
      <c r="B113" s="24" t="inlineStr">
        <is>
          <t>2026-08-01T20:15:41.530944Z</t>
        </is>
      </c>
      <c r="C113" s="24" t="inlineStr">
        <is>
          <t>2026-08-01T23:15Z</t>
        </is>
      </c>
      <c r="D113" s="24" t="inlineStr">
        <is>
          <t>401816347</t>
        </is>
      </c>
      <c r="E113" s="24" t="inlineStr">
        <is>
          <t>MLB</t>
        </is>
      </c>
      <c r="F113" s="24" t="inlineStr">
        <is>
          <t>Arizona Diamondbacks</t>
        </is>
      </c>
      <c r="G113" s="24" t="inlineStr">
        <is>
          <t>Cleveland Guardians</t>
        </is>
      </c>
      <c r="H113" s="24" t="inlineStr">
        <is>
          <t>spread</t>
        </is>
      </c>
      <c r="I113" s="24" t="inlineStr">
        <is>
          <t>away</t>
        </is>
      </c>
      <c r="J113" s="25" t="n">
        <v>1.5</v>
      </c>
      <c r="K113" s="24" t="inlineStr">
        <is>
          <t>polymarket_us</t>
        </is>
      </c>
      <c r="L113" s="26" t="n">
        <v>-133</v>
      </c>
      <c r="M113" s="27" t="n">
        <v>1.75188</v>
      </c>
      <c r="N113" s="28" t="n">
        <v>0.570815</v>
      </c>
      <c r="O113" s="28" t="n">
        <v>0.567924</v>
      </c>
      <c r="P113" s="28" t="n">
        <v>0.05172</v>
      </c>
      <c r="Q113" s="28" t="n">
        <v>-0.002891</v>
      </c>
      <c r="R113" s="26" t="n">
        <v>18</v>
      </c>
      <c r="S113" s="29" t="n">
        <v>1</v>
      </c>
      <c r="T113" s="24" t="inlineStr">
        <is>
          <t>measured-edge-margin-v2</t>
        </is>
      </c>
      <c r="U113" s="24" t="inlineStr">
        <is>
          <t>settled</t>
        </is>
      </c>
      <c r="V113" s="24" t="inlineStr">
        <is>
          <t>win</t>
        </is>
      </c>
      <c r="W113" s="26" t="n">
        <v>12</v>
      </c>
      <c r="X113" s="26" t="n">
        <v>8</v>
      </c>
      <c r="Y113" s="25" t="n">
        <v>1.5</v>
      </c>
      <c r="Z113" s="26" t="n">
        <v>-133</v>
      </c>
      <c r="AA113" s="28" t="n">
        <v>0.57</v>
      </c>
      <c r="AB113" s="28" t="n">
        <v>-0.000815</v>
      </c>
      <c r="AC113" s="30" t="n">
        <v>0.7519</v>
      </c>
      <c r="AD113" s="24" t="inlineStr">
        <is>
          <t>2026-08-02T03:26:00.414987Z</t>
        </is>
      </c>
      <c r="AE113" s="31" t="inlineStr">
        <is>
          <t>Measured Edge Margin: Trend Engine projected 4.02-4.73; raw selected-side p=0.6035, calibrated p=0.5679.</t>
        </is>
      </c>
      <c r="AF113" s="31" t="inlineStr">
        <is>
          <t>Research-only; lineup, bullpen, park, weather, xFIP, and wRC+ may be neutral fallbacks; market availability and BBO depth may change before first pitch.</t>
        </is>
      </c>
      <c r="AG113" s="24" t="inlineStr">
        <is>
          <t>not_applicable</t>
        </is>
      </c>
      <c r="AH113" s="24" t="n"/>
      <c r="AI113" s="31" t="n"/>
      <c r="AJ113" s="31" t="n"/>
      <c r="AK113" s="24" t="inlineStr">
        <is>
          <t>research_observation</t>
        </is>
      </c>
      <c r="AL113" s="26" t="n">
        <v>3</v>
      </c>
      <c r="AM113" s="24" t="inlineStr">
        <is>
          <t>RESEARCH_OBSERVATION</t>
        </is>
      </c>
      <c r="AN113" s="24" t="inlineStr">
        <is>
          <t>NO_CALL</t>
        </is>
      </c>
      <c r="AO113" s="24" t="inlineStr">
        <is>
          <t>NO_CALL_MODEL_UNVALIDATED</t>
        </is>
      </c>
      <c r="AP113" s="24" t="inlineStr">
        <is>
          <t>mlb-ari</t>
        </is>
      </c>
      <c r="AQ113" s="24" t="inlineStr">
        <is>
          <t>Arizona Diamondbacks</t>
        </is>
      </c>
      <c r="AR113" s="24" t="inlineStr">
        <is>
          <t>Arizona Diamondbacks</t>
        </is>
      </c>
      <c r="AS113" s="24" t="inlineStr">
        <is>
          <t>mlb-cle</t>
        </is>
      </c>
      <c r="AT113" s="24" t="inlineStr">
        <is>
          <t>Cleveland Guardians</t>
        </is>
      </c>
      <c r="AU113" s="24" t="inlineStr">
        <is>
          <t>Cleveland Guardians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research</t>
        </is>
      </c>
      <c r="BA113" s="24" t="inlineStr">
        <is>
          <t>8360b122264b796b0fb193095cfe4506c7e064e5f3f8c0a659aec41efd08dd25</t>
        </is>
      </c>
      <c r="BB113" s="24" t="inlineStr">
        <is>
          <t>flat_probability_shrinkage_toward_half</t>
        </is>
      </c>
      <c r="BC113" s="24" t="inlineStr">
        <is>
          <t>measured-edge-margin-v2</t>
        </is>
      </c>
      <c r="BD113" s="24" t="inlineStr">
        <is>
          <t>8360b122264b796b0fb193095cfe4506c7e064e5f3f8c0a659aec41efd08dd25</t>
        </is>
      </c>
      <c r="BE113" s="24" t="inlineStr">
        <is>
          <t>v3</t>
        </is>
      </c>
      <c r="BF113" s="24" t="inlineStr">
        <is>
          <t>1</t>
        </is>
      </c>
      <c r="BG113" s="24" t="inlineStr">
        <is>
          <t>measured-edge-paired-v1</t>
        </is>
      </c>
      <c r="BH113" s="24" t="inlineStr">
        <is>
          <t>2026-08-01T20:15:41.530944Z</t>
        </is>
      </c>
      <c r="BI113" s="24" t="inlineStr">
        <is>
          <t>["same_event","same_team_same_day","same_league_same_day"]</t>
        </is>
      </c>
      <c r="BJ113" s="25" t="n">
        <v>1.5</v>
      </c>
      <c r="BK113" s="26" t="n">
        <v>-133</v>
      </c>
      <c r="BL113" s="27" t="n">
        <v>1.75188</v>
      </c>
      <c r="BM113" s="28" t="n">
        <v>0.570815</v>
      </c>
      <c r="BN113" s="28" t="n">
        <v>0.567164</v>
      </c>
      <c r="BO113" s="28" t="n"/>
      <c r="BP113" s="25" t="n"/>
      <c r="BQ113" s="27" t="n">
        <v>1.75188</v>
      </c>
      <c r="BR113" s="28" t="n">
        <v>0.57</v>
      </c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</row>
    <row r="114" ht="36" customHeight="1">
      <c r="A114" s="24" t="inlineStr">
        <is>
          <t>e7eb99b6b7d34a9d</t>
        </is>
      </c>
      <c r="B114" s="24" t="inlineStr">
        <is>
          <t>2026-08-01T20:15:41.530944Z</t>
        </is>
      </c>
      <c r="C114" s="24" t="inlineStr">
        <is>
          <t>2026-08-01T23:15Z</t>
        </is>
      </c>
      <c r="D114" s="24" t="inlineStr">
        <is>
          <t>401816347</t>
        </is>
      </c>
      <c r="E114" s="24" t="inlineStr">
        <is>
          <t>MLB</t>
        </is>
      </c>
      <c r="F114" s="24" t="inlineStr">
        <is>
          <t>Arizona Diamondbacks</t>
        </is>
      </c>
      <c r="G114" s="24" t="inlineStr">
        <is>
          <t>Cleveland Guardians</t>
        </is>
      </c>
      <c r="H114" s="24" t="inlineStr">
        <is>
          <t>total</t>
        </is>
      </c>
      <c r="I114" s="24" t="inlineStr">
        <is>
          <t>under</t>
        </is>
      </c>
      <c r="J114" s="25" t="n">
        <v>8.5</v>
      </c>
      <c r="K114" s="24" t="inlineStr">
        <is>
          <t>polymarket_us</t>
        </is>
      </c>
      <c r="L114" s="26" t="n">
        <v>-111</v>
      </c>
      <c r="M114" s="27" t="n">
        <v>1.900901</v>
      </c>
      <c r="N114" s="28" t="n">
        <v>0.526066</v>
      </c>
      <c r="O114" s="28" t="n">
        <v>0.509231</v>
      </c>
      <c r="P114" s="28" t="n">
        <v>0.05172</v>
      </c>
      <c r="Q114" s="28" t="n">
        <v>-0.016835</v>
      </c>
      <c r="R114" s="26" t="n">
        <v>11</v>
      </c>
      <c r="S114" s="29" t="n">
        <v>1</v>
      </c>
      <c r="T114" s="24" t="inlineStr">
        <is>
          <t>measured-edge-totals-v2</t>
        </is>
      </c>
      <c r="U114" s="24" t="inlineStr">
        <is>
          <t>settled</t>
        </is>
      </c>
      <c r="V114" s="24" t="inlineStr">
        <is>
          <t>loss</t>
        </is>
      </c>
      <c r="W114" s="26" t="n">
        <v>12</v>
      </c>
      <c r="X114" s="26" t="n">
        <v>8</v>
      </c>
      <c r="Y114" s="25" t="n">
        <v>8.5</v>
      </c>
      <c r="Z114" s="26" t="n">
        <v>-111</v>
      </c>
      <c r="AA114" s="28" t="n">
        <v>0.525</v>
      </c>
      <c r="AB114" s="28" t="n">
        <v>-0.001066</v>
      </c>
      <c r="AC114" s="30" t="n">
        <v>-1</v>
      </c>
      <c r="AD114" s="24" t="inlineStr">
        <is>
          <t>2026-08-02T03:26:00.966797Z</t>
        </is>
      </c>
      <c r="AE114" s="31" t="inlineStr">
        <is>
          <t>Measured Edge Totals: Trend Engine projected 4.02-4.73; raw selected-side p=0.5038, calibrated p=0.5092.</t>
        </is>
      </c>
      <c r="AF114" s="31" t="inlineStr">
        <is>
          <t>Research-only; lineup, bullpen, park, weather, xFIP, and wRC+ may be neutral fallbacks; market availability and BBO depth may change before first pitch.</t>
        </is>
      </c>
      <c r="AG114" s="24" t="inlineStr">
        <is>
          <t>review_required</t>
        </is>
      </c>
      <c r="AH114" s="24" t="n"/>
      <c r="AI114" s="31" t="n"/>
      <c r="AJ114" s="31" t="n"/>
      <c r="AK114" s="24" t="inlineStr">
        <is>
          <t>research_observation</t>
        </is>
      </c>
      <c r="AL114" s="26" t="n">
        <v>3</v>
      </c>
      <c r="AM114" s="24" t="inlineStr">
        <is>
          <t>RESEARCH_OBSERVATION</t>
        </is>
      </c>
      <c r="AN114" s="24" t="inlineStr">
        <is>
          <t>NO_CALL</t>
        </is>
      </c>
      <c r="AO114" s="24" t="inlineStr">
        <is>
          <t>NO_CALL_MODEL_UNVALIDATED</t>
        </is>
      </c>
      <c r="AP114" s="24" t="inlineStr">
        <is>
          <t>mlb-ari</t>
        </is>
      </c>
      <c r="AQ114" s="24" t="inlineStr">
        <is>
          <t>Arizona Diamondbacks</t>
        </is>
      </c>
      <c r="AR114" s="24" t="inlineStr">
        <is>
          <t>Arizona Diamondbacks</t>
        </is>
      </c>
      <c r="AS114" s="24" t="inlineStr">
        <is>
          <t>mlb-cle</t>
        </is>
      </c>
      <c r="AT114" s="24" t="inlineStr">
        <is>
          <t>Cleveland Guardians</t>
        </is>
      </c>
      <c r="AU114" s="24" t="inlineStr">
        <is>
          <t>Cleveland Guardians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research</t>
        </is>
      </c>
      <c r="BA114" s="24" t="inlineStr">
        <is>
          <t>433578016242b27f9c1c7132cc6b5a2bcc7dd1b0234590c12a944455a88e71bd</t>
        </is>
      </c>
      <c r="BB114" s="24" t="inlineStr">
        <is>
          <t>flat_probability_shrinkage_toward_half</t>
        </is>
      </c>
      <c r="BC114" s="24" t="inlineStr">
        <is>
          <t>measured-edge-totals-v2</t>
        </is>
      </c>
      <c r="BD114" s="24" t="inlineStr">
        <is>
          <t>433578016242b27f9c1c7132cc6b5a2bcc7dd1b0234590c12a944455a88e71bd</t>
        </is>
      </c>
      <c r="BE114" s="24" t="inlineStr">
        <is>
          <t>v3</t>
        </is>
      </c>
      <c r="BF114" s="24" t="inlineStr">
        <is>
          <t>1</t>
        </is>
      </c>
      <c r="BG114" s="24" t="inlineStr">
        <is>
          <t>measured-edge-paired-v1</t>
        </is>
      </c>
      <c r="BH114" s="24" t="inlineStr">
        <is>
          <t>2026-08-01T20:15:41.530944Z</t>
        </is>
      </c>
      <c r="BI114" s="24" t="inlineStr">
        <is>
          <t>["same_event","same_team_same_day","same_league_same_day"]</t>
        </is>
      </c>
      <c r="BJ114" s="25" t="n">
        <v>8.5</v>
      </c>
      <c r="BK114" s="26" t="n">
        <v>-111</v>
      </c>
      <c r="BL114" s="27" t="n">
        <v>1.900901</v>
      </c>
      <c r="BM114" s="28" t="n">
        <v>0.526066</v>
      </c>
      <c r="BN114" s="28" t="n">
        <v>0.522388</v>
      </c>
      <c r="BO114" s="28" t="n"/>
      <c r="BP114" s="25" t="n"/>
      <c r="BQ114" s="27" t="n">
        <v>1.900901</v>
      </c>
      <c r="BR114" s="28" t="n">
        <v>0.525</v>
      </c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</row>
    <row r="115" ht="36" customHeight="1">
      <c r="A115" s="24" t="inlineStr">
        <is>
          <t>c6abafb6682c4b30</t>
        </is>
      </c>
      <c r="B115" s="24" t="inlineStr">
        <is>
          <t>2026-08-01T20:15:41.530944Z</t>
        </is>
      </c>
      <c r="C115" s="24" t="inlineStr">
        <is>
          <t>2026-08-01T23:15Z</t>
        </is>
      </c>
      <c r="D115" s="24" t="inlineStr">
        <is>
          <t>401816353</t>
        </is>
      </c>
      <c r="E115" s="24" t="inlineStr">
        <is>
          <t>MLB</t>
        </is>
      </c>
      <c r="F115" s="24" t="inlineStr">
        <is>
          <t>Washington Nationals</t>
        </is>
      </c>
      <c r="G115" s="24" t="inlineStr">
        <is>
          <t>Atlanta Braves</t>
        </is>
      </c>
      <c r="H115" s="24" t="inlineStr">
        <is>
          <t>spread</t>
        </is>
      </c>
      <c r="I115" s="24" t="inlineStr">
        <is>
          <t>away</t>
        </is>
      </c>
      <c r="J115" s="25" t="n">
        <v>1.5</v>
      </c>
      <c r="K115" s="24" t="inlineStr">
        <is>
          <t>polymarket_us</t>
        </is>
      </c>
      <c r="L115" s="26" t="n">
        <v>-127</v>
      </c>
      <c r="M115" s="27" t="n">
        <v>1.787402</v>
      </c>
      <c r="N115" s="28" t="n">
        <v>0.5594710000000001</v>
      </c>
      <c r="O115" s="28" t="n">
        <v>0.571729</v>
      </c>
      <c r="P115" s="28" t="n">
        <v>0.042131</v>
      </c>
      <c r="Q115" s="28" t="n">
        <v>0.012258</v>
      </c>
      <c r="R115" s="26" t="n">
        <v>31</v>
      </c>
      <c r="S115" s="29" t="n">
        <v>1.25</v>
      </c>
      <c r="T115" s="24" t="inlineStr">
        <is>
          <t>measured-edge-margin-v2</t>
        </is>
      </c>
      <c r="U115" s="24" t="inlineStr">
        <is>
          <t>settled</t>
        </is>
      </c>
      <c r="V115" s="24" t="inlineStr">
        <is>
          <t>loss</t>
        </is>
      </c>
      <c r="W115" s="26" t="n">
        <v>3</v>
      </c>
      <c r="X115" s="26" t="n">
        <v>8</v>
      </c>
      <c r="Y115" s="25" t="n">
        <v>1.5</v>
      </c>
      <c r="Z115" s="26" t="n">
        <v>-127</v>
      </c>
      <c r="AA115" s="28" t="n">
        <v>0.5600000000000001</v>
      </c>
      <c r="AB115" s="28" t="n">
        <v>0.000529</v>
      </c>
      <c r="AC115" s="30" t="n">
        <v>-1.25</v>
      </c>
      <c r="AD115" s="24" t="inlineStr">
        <is>
          <t>2026-08-02T03:26:01.546903Z</t>
        </is>
      </c>
      <c r="AE115" s="31" t="inlineStr">
        <is>
          <t>Measured Edge Margin: Trend Engine projected 4.41-5.01; raw selected-side p=0.6092, calibrated p=0.5717.</t>
        </is>
      </c>
      <c r="AF115" s="31" t="inlineStr">
        <is>
          <t>Research-only; lineup, bullpen, park, weather, xFIP, and wRC+ may be neutral fallbacks; market availability and BBO depth may change before first pitch.</t>
        </is>
      </c>
      <c r="AG115" s="24" t="inlineStr">
        <is>
          <t>review_required</t>
        </is>
      </c>
      <c r="AH115" s="24" t="n"/>
      <c r="AI115" s="31" t="n"/>
      <c r="AJ115" s="31" t="n"/>
      <c r="AK115" s="24" t="inlineStr">
        <is>
          <t>research_observation</t>
        </is>
      </c>
      <c r="AL115" s="26" t="n">
        <v>3</v>
      </c>
      <c r="AM115" s="24" t="inlineStr">
        <is>
          <t>RESEARCH_OBSERVATION</t>
        </is>
      </c>
      <c r="AN115" s="24" t="inlineStr">
        <is>
          <t>NO_CALL</t>
        </is>
      </c>
      <c r="AO115" s="24" t="inlineStr">
        <is>
          <t>NO_CALL_MODEL_UNVALIDATED</t>
        </is>
      </c>
      <c r="AP115" s="24" t="inlineStr">
        <is>
          <t>mlb-wsh</t>
        </is>
      </c>
      <c r="AQ115" s="24" t="inlineStr">
        <is>
          <t>Washington Nationals</t>
        </is>
      </c>
      <c r="AR115" s="24" t="inlineStr">
        <is>
          <t>Washington Nationals</t>
        </is>
      </c>
      <c r="AS115" s="24" t="inlineStr">
        <is>
          <t>mlb-atl</t>
        </is>
      </c>
      <c r="AT115" s="24" t="inlineStr">
        <is>
          <t>Atlanta Braves</t>
        </is>
      </c>
      <c r="AU115" s="24" t="inlineStr">
        <is>
          <t>Atlanta Braves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research</t>
        </is>
      </c>
      <c r="BA115" s="24" t="inlineStr">
        <is>
          <t>8360b122264b796b0fb193095cfe4506c7e064e5f3f8c0a659aec41efd08dd25</t>
        </is>
      </c>
      <c r="BB115" s="24" t="inlineStr">
        <is>
          <t>flat_probability_shrinkage_toward_half</t>
        </is>
      </c>
      <c r="BC115" s="24" t="inlineStr">
        <is>
          <t>measured-edge-margin-v2</t>
        </is>
      </c>
      <c r="BD115" s="24" t="inlineStr">
        <is>
          <t>8360b122264b796b0fb193095cfe4506c7e064e5f3f8c0a659aec41efd08dd25</t>
        </is>
      </c>
      <c r="BE115" s="24" t="inlineStr">
        <is>
          <t>v3</t>
        </is>
      </c>
      <c r="BF115" s="24" t="inlineStr">
        <is>
          <t>1</t>
        </is>
      </c>
      <c r="BG115" s="24" t="inlineStr">
        <is>
          <t>measured-edge-paired-v1</t>
        </is>
      </c>
      <c r="BH115" s="24" t="inlineStr">
        <is>
          <t>2026-08-01T20:15:41.530944Z</t>
        </is>
      </c>
      <c r="BI115" s="24" t="inlineStr">
        <is>
          <t>["same_event","same_team_same_day","same_league_same_day"]</t>
        </is>
      </c>
      <c r="BJ115" s="25" t="n">
        <v>1.5</v>
      </c>
      <c r="BK115" s="26" t="n">
        <v>-127</v>
      </c>
      <c r="BL115" s="27" t="n">
        <v>1.787402</v>
      </c>
      <c r="BM115" s="28" t="n">
        <v>0.5594710000000001</v>
      </c>
      <c r="BN115" s="28" t="n">
        <v>0.557214</v>
      </c>
      <c r="BO115" s="28" t="n"/>
      <c r="BP115" s="25" t="n"/>
      <c r="BQ115" s="27" t="n">
        <v>1.787402</v>
      </c>
      <c r="BR115" s="28" t="n">
        <v>0.5600000000000001</v>
      </c>
      <c r="BS115" s="28" t="n"/>
      <c r="BT115" s="28" t="n"/>
      <c r="BU115" s="25" t="n"/>
      <c r="BV115" s="29" t="n"/>
      <c r="BW115" s="24" t="n"/>
      <c r="BX115" s="30" t="n"/>
      <c r="BY115" s="27" t="n"/>
      <c r="BZ115" s="24" t="n"/>
      <c r="CA115" s="31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</row>
    <row r="116" ht="36" customHeight="1">
      <c r="A116" s="24" t="inlineStr">
        <is>
          <t>6fb5c07d4adc473f</t>
        </is>
      </c>
      <c r="B116" s="24" t="inlineStr">
        <is>
          <t>2026-08-01T20:15:41.530944Z</t>
        </is>
      </c>
      <c r="C116" s="24" t="inlineStr">
        <is>
          <t>2026-08-01T23:15Z</t>
        </is>
      </c>
      <c r="D116" s="24" t="inlineStr">
        <is>
          <t>401816353</t>
        </is>
      </c>
      <c r="E116" s="24" t="inlineStr">
        <is>
          <t>MLB</t>
        </is>
      </c>
      <c r="F116" s="24" t="inlineStr">
        <is>
          <t>Washington Nationals</t>
        </is>
      </c>
      <c r="G116" s="24" t="inlineStr">
        <is>
          <t>Atlanta Braves</t>
        </is>
      </c>
      <c r="H116" s="24" t="inlineStr">
        <is>
          <t>total</t>
        </is>
      </c>
      <c r="I116" s="24" t="inlineStr">
        <is>
          <t>under</t>
        </is>
      </c>
      <c r="J116" s="25" t="n">
        <v>9.5</v>
      </c>
      <c r="K116" s="24" t="inlineStr">
        <is>
          <t>polymarket_us</t>
        </is>
      </c>
      <c r="L116" s="26" t="n">
        <v>-111</v>
      </c>
      <c r="M116" s="27" t="n">
        <v>1.900901</v>
      </c>
      <c r="N116" s="28" t="n">
        <v>0.526066</v>
      </c>
      <c r="O116" s="28" t="n">
        <v>0.527495</v>
      </c>
      <c r="P116" s="28" t="n">
        <v>0.042131</v>
      </c>
      <c r="Q116" s="28" t="n">
        <v>0.001429</v>
      </c>
      <c r="R116" s="26" t="n">
        <v>25</v>
      </c>
      <c r="S116" s="29" t="n">
        <v>1</v>
      </c>
      <c r="T116" s="24" t="inlineStr">
        <is>
          <t>measured-edge-totals-v2</t>
        </is>
      </c>
      <c r="U116" s="24" t="inlineStr">
        <is>
          <t>settled</t>
        </is>
      </c>
      <c r="V116" s="24" t="inlineStr">
        <is>
          <t>loss</t>
        </is>
      </c>
      <c r="W116" s="26" t="n">
        <v>3</v>
      </c>
      <c r="X116" s="26" t="n">
        <v>8</v>
      </c>
      <c r="Y116" s="25" t="n">
        <v>9.5</v>
      </c>
      <c r="Z116" s="26" t="n">
        <v>-111</v>
      </c>
      <c r="AA116" s="28" t="n">
        <v>0.525</v>
      </c>
      <c r="AB116" s="28" t="n">
        <v>-0.001066</v>
      </c>
      <c r="AC116" s="30" t="n">
        <v>-1</v>
      </c>
      <c r="AD116" s="24" t="inlineStr">
        <is>
          <t>2026-08-02T03:26:02.159533Z</t>
        </is>
      </c>
      <c r="AE116" s="31" t="inlineStr">
        <is>
          <t>Measured Edge Totals: Trend Engine projected 4.41-5.01; raw selected-side p=0.5572, calibrated p=0.5275.</t>
        </is>
      </c>
      <c r="AF116" s="31" t="inlineStr">
        <is>
          <t>Research-only; lineup, bullpen, park, weather, xFIP, and wRC+ may be neutral fallbacks; market availability and BBO depth may change before first pitch.</t>
        </is>
      </c>
      <c r="AG116" s="24" t="inlineStr">
        <is>
          <t>review_required</t>
        </is>
      </c>
      <c r="AH116" s="24" t="n"/>
      <c r="AI116" s="31" t="n"/>
      <c r="AJ116" s="31" t="n"/>
      <c r="AK116" s="24" t="inlineStr">
        <is>
          <t>research_observation</t>
        </is>
      </c>
      <c r="AL116" s="26" t="n">
        <v>3</v>
      </c>
      <c r="AM116" s="24" t="inlineStr">
        <is>
          <t>RESEARCH_OBSERVATION</t>
        </is>
      </c>
      <c r="AN116" s="24" t="inlineStr">
        <is>
          <t>NO_CALL</t>
        </is>
      </c>
      <c r="AO116" s="24" t="inlineStr">
        <is>
          <t>NO_CALL_MODEL_UNVALIDATED</t>
        </is>
      </c>
      <c r="AP116" s="24" t="inlineStr">
        <is>
          <t>mlb-wsh</t>
        </is>
      </c>
      <c r="AQ116" s="24" t="inlineStr">
        <is>
          <t>Washington Nationals</t>
        </is>
      </c>
      <c r="AR116" s="24" t="inlineStr">
        <is>
          <t>Washington Nationals</t>
        </is>
      </c>
      <c r="AS116" s="24" t="inlineStr">
        <is>
          <t>mlb-atl</t>
        </is>
      </c>
      <c r="AT116" s="24" t="inlineStr">
        <is>
          <t>Atlanta Braves</t>
        </is>
      </c>
      <c r="AU116" s="24" t="inlineStr">
        <is>
          <t>Atlanta Braves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research</t>
        </is>
      </c>
      <c r="BA116" s="24" t="inlineStr">
        <is>
          <t>433578016242b27f9c1c7132cc6b5a2bcc7dd1b0234590c12a944455a88e71bd</t>
        </is>
      </c>
      <c r="BB116" s="24" t="inlineStr">
        <is>
          <t>flat_probability_shrinkage_toward_half</t>
        </is>
      </c>
      <c r="BC116" s="24" t="inlineStr">
        <is>
          <t>measured-edge-totals-v2</t>
        </is>
      </c>
      <c r="BD116" s="24" t="inlineStr">
        <is>
          <t>433578016242b27f9c1c7132cc6b5a2bcc7dd1b0234590c12a944455a88e71bd</t>
        </is>
      </c>
      <c r="BE116" s="24" t="inlineStr">
        <is>
          <t>v3</t>
        </is>
      </c>
      <c r="BF116" s="24" t="inlineStr">
        <is>
          <t>1</t>
        </is>
      </c>
      <c r="BG116" s="24" t="inlineStr">
        <is>
          <t>measured-edge-paired-v1</t>
        </is>
      </c>
      <c r="BH116" s="24" t="inlineStr">
        <is>
          <t>2026-08-01T20:15:41.530944Z</t>
        </is>
      </c>
      <c r="BI116" s="24" t="inlineStr">
        <is>
          <t>["same_event","same_team_same_day","same_league_same_day"]</t>
        </is>
      </c>
      <c r="BJ116" s="25" t="n">
        <v>9.5</v>
      </c>
      <c r="BK116" s="26" t="n">
        <v>-111</v>
      </c>
      <c r="BL116" s="27" t="n">
        <v>1.900901</v>
      </c>
      <c r="BM116" s="28" t="n">
        <v>0.526066</v>
      </c>
      <c r="BN116" s="28" t="n">
        <v>0.522388</v>
      </c>
      <c r="BO116" s="28" t="n"/>
      <c r="BP116" s="25" t="n"/>
      <c r="BQ116" s="27" t="n">
        <v>1.900901</v>
      </c>
      <c r="BR116" s="28" t="n">
        <v>0.525</v>
      </c>
      <c r="BS116" s="28" t="n"/>
      <c r="BT116" s="28" t="n"/>
      <c r="BU116" s="25" t="n"/>
      <c r="BV116" s="29" t="n"/>
      <c r="BW116" s="24" t="n"/>
      <c r="BX116" s="30" t="n"/>
      <c r="BY116" s="27" t="n"/>
      <c r="BZ116" s="24" t="n"/>
      <c r="CA116" s="31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</row>
    <row r="117" ht="36" customHeight="1">
      <c r="A117" s="24" t="inlineStr">
        <is>
          <t>65c158a1a4f34697</t>
        </is>
      </c>
      <c r="B117" s="24" t="inlineStr">
        <is>
          <t>2026-08-01T20:15:41.530944Z</t>
        </is>
      </c>
      <c r="C117" s="24" t="inlineStr">
        <is>
          <t>2026-08-01T23:15Z</t>
        </is>
      </c>
      <c r="D117" s="24" t="inlineStr">
        <is>
          <t>401816354</t>
        </is>
      </c>
      <c r="E117" s="24" t="inlineStr">
        <is>
          <t>MLB</t>
        </is>
      </c>
      <c r="F117" s="24" t="inlineStr">
        <is>
          <t>New York Yankees</t>
        </is>
      </c>
      <c r="G117" s="24" t="inlineStr">
        <is>
          <t>Chicago Cubs</t>
        </is>
      </c>
      <c r="H117" s="24" t="inlineStr">
        <is>
          <t>spread</t>
        </is>
      </c>
      <c r="I117" s="24" t="inlineStr">
        <is>
          <t>home</t>
        </is>
      </c>
      <c r="J117" s="25" t="n">
        <v>1.5</v>
      </c>
      <c r="K117" s="24" t="inlineStr">
        <is>
          <t>polymarket_us</t>
        </is>
      </c>
      <c r="L117" s="26" t="n">
        <v>-194</v>
      </c>
      <c r="M117" s="27" t="n">
        <v>1.515464</v>
      </c>
      <c r="N117" s="28" t="n">
        <v>0.659864</v>
      </c>
      <c r="O117" s="28" t="n">
        <v>0.608372</v>
      </c>
      <c r="P117" s="28" t="n">
        <v>0.042131</v>
      </c>
      <c r="Q117" s="28" t="n">
        <v>-0.051492</v>
      </c>
      <c r="R117" s="26" t="n">
        <v>0</v>
      </c>
      <c r="S117" s="29" t="n">
        <v>1.5</v>
      </c>
      <c r="T117" s="24" t="inlineStr">
        <is>
          <t>measured-edge-margin-v2</t>
        </is>
      </c>
      <c r="U117" s="24" t="inlineStr">
        <is>
          <t>settled</t>
        </is>
      </c>
      <c r="V117" s="24" t="inlineStr">
        <is>
          <t>win</t>
        </is>
      </c>
      <c r="W117" s="26" t="n">
        <v>2</v>
      </c>
      <c r="X117" s="26" t="n">
        <v>5</v>
      </c>
      <c r="Y117" s="25" t="n">
        <v>1.5</v>
      </c>
      <c r="Z117" s="26" t="n">
        <v>-194</v>
      </c>
      <c r="AA117" s="28" t="n">
        <v>0.66</v>
      </c>
      <c r="AB117" s="28" t="n">
        <v>0.000136</v>
      </c>
      <c r="AC117" s="30" t="n">
        <v>0.7732</v>
      </c>
      <c r="AD117" s="24" t="inlineStr">
        <is>
          <t>2026-08-02T03:26:02.756178Z</t>
        </is>
      </c>
      <c r="AE117" s="31" t="inlineStr">
        <is>
          <t>Measured Edge Margin: Trend Engine projected 4.74-4.76; raw selected-side p=0.6651, calibrated p=0.6084.</t>
        </is>
      </c>
      <c r="AF117" s="31" t="inlineStr">
        <is>
          <t>Research-only; lineup, bullpen, park, weather, xFIP, and wRC+ may be neutral fallbacks; market availability and BBO depth may change before first pitch.</t>
        </is>
      </c>
      <c r="AG117" s="24" t="inlineStr">
        <is>
          <t>not_applicable</t>
        </is>
      </c>
      <c r="AH117" s="24" t="n"/>
      <c r="AI117" s="31" t="n"/>
      <c r="AJ117" s="31" t="n"/>
      <c r="AK117" s="24" t="inlineStr">
        <is>
          <t>research_observation</t>
        </is>
      </c>
      <c r="AL117" s="26" t="n">
        <v>3</v>
      </c>
      <c r="AM117" s="24" t="inlineStr">
        <is>
          <t>RESEARCH_OBSERVATION</t>
        </is>
      </c>
      <c r="AN117" s="24" t="inlineStr">
        <is>
          <t>NO_CALL</t>
        </is>
      </c>
      <c r="AO117" s="24" t="inlineStr">
        <is>
          <t>NO_CALL_MODEL_UNVALIDATED</t>
        </is>
      </c>
      <c r="AP117" s="24" t="inlineStr">
        <is>
          <t>mlb-nyy</t>
        </is>
      </c>
      <c r="AQ117" s="24" t="inlineStr">
        <is>
          <t>New York Yankees</t>
        </is>
      </c>
      <c r="AR117" s="24" t="inlineStr">
        <is>
          <t>New York Yankees</t>
        </is>
      </c>
      <c r="AS117" s="24" t="inlineStr">
        <is>
          <t>mlb-chc</t>
        </is>
      </c>
      <c r="AT117" s="24" t="inlineStr">
        <is>
          <t>Chicago Cubs</t>
        </is>
      </c>
      <c r="AU117" s="24" t="inlineStr">
        <is>
          <t>Chicago Cubs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research</t>
        </is>
      </c>
      <c r="BA117" s="24" t="inlineStr">
        <is>
          <t>8360b122264b796b0fb193095cfe4506c7e064e5f3f8c0a659aec41efd08dd25</t>
        </is>
      </c>
      <c r="BB117" s="24" t="inlineStr">
        <is>
          <t>flat_probability_shrinkage_toward_half</t>
        </is>
      </c>
      <c r="BC117" s="24" t="inlineStr">
        <is>
          <t>measured-edge-margin-v2</t>
        </is>
      </c>
      <c r="BD117" s="24" t="inlineStr">
        <is>
          <t>8360b122264b796b0fb193095cfe4506c7e064e5f3f8c0a659aec41efd08dd25</t>
        </is>
      </c>
      <c r="BE117" s="24" t="inlineStr">
        <is>
          <t>v3</t>
        </is>
      </c>
      <c r="BF117" s="24" t="inlineStr">
        <is>
          <t>1</t>
        </is>
      </c>
      <c r="BG117" s="24" t="inlineStr">
        <is>
          <t>measured-edge-paired-v1</t>
        </is>
      </c>
      <c r="BH117" s="24" t="inlineStr">
        <is>
          <t>2026-08-01T20:15:41.530944Z</t>
        </is>
      </c>
      <c r="BI117" s="24" t="inlineStr">
        <is>
          <t>["same_event","same_team_same_day","same_league_same_day"]</t>
        </is>
      </c>
      <c r="BJ117" s="25" t="n">
        <v>1.5</v>
      </c>
      <c r="BK117" s="26" t="n">
        <v>-194</v>
      </c>
      <c r="BL117" s="27" t="n">
        <v>1.515464</v>
      </c>
      <c r="BM117" s="28" t="n">
        <v>0.659864</v>
      </c>
      <c r="BN117" s="28" t="n">
        <v>0.656716</v>
      </c>
      <c r="BO117" s="28" t="n"/>
      <c r="BP117" s="25" t="n"/>
      <c r="BQ117" s="27" t="n">
        <v>1.515464</v>
      </c>
      <c r="BR117" s="28" t="n">
        <v>0.66</v>
      </c>
      <c r="BS117" s="28" t="n"/>
      <c r="BT117" s="28" t="n"/>
      <c r="BU117" s="25" t="n"/>
      <c r="BV117" s="29" t="n"/>
      <c r="BW117" s="24" t="n"/>
      <c r="BX117" s="30" t="n"/>
      <c r="BY117" s="27" t="n"/>
      <c r="BZ117" s="24" t="n"/>
      <c r="CA117" s="31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</row>
    <row r="118" ht="36" customHeight="1">
      <c r="A118" s="24" t="inlineStr">
        <is>
          <t>dccae496dc9d4020</t>
        </is>
      </c>
      <c r="B118" s="24" t="inlineStr">
        <is>
          <t>2026-08-01T20:15:41.530944Z</t>
        </is>
      </c>
      <c r="C118" s="24" t="inlineStr">
        <is>
          <t>2026-08-01T23:15Z</t>
        </is>
      </c>
      <c r="D118" s="24" t="inlineStr">
        <is>
          <t>401816354</t>
        </is>
      </c>
      <c r="E118" s="24" t="inlineStr">
        <is>
          <t>MLB</t>
        </is>
      </c>
      <c r="F118" s="24" t="inlineStr">
        <is>
          <t>New York Yankees</t>
        </is>
      </c>
      <c r="G118" s="24" t="inlineStr">
        <is>
          <t>Chicago Cubs</t>
        </is>
      </c>
      <c r="H118" s="24" t="inlineStr">
        <is>
          <t>total</t>
        </is>
      </c>
      <c r="I118" s="24" t="inlineStr">
        <is>
          <t>over</t>
        </is>
      </c>
      <c r="J118" s="25" t="n">
        <v>6.5</v>
      </c>
      <c r="K118" s="24" t="inlineStr">
        <is>
          <t>polymarket_us</t>
        </is>
      </c>
      <c r="L118" s="26" t="n">
        <v>113</v>
      </c>
      <c r="M118" s="27" t="n">
        <v>2.13</v>
      </c>
      <c r="N118" s="28" t="n">
        <v>0.469484</v>
      </c>
      <c r="O118" s="28" t="n">
        <v>0.592316</v>
      </c>
      <c r="P118" s="28" t="n">
        <v>0.042131</v>
      </c>
      <c r="Q118" s="28" t="n">
        <v>0.122832</v>
      </c>
      <c r="R118" s="26" t="n">
        <v>86</v>
      </c>
      <c r="S118" s="29" t="n">
        <v>1.25</v>
      </c>
      <c r="T118" s="24" t="inlineStr">
        <is>
          <t>measured-edge-totals-v2</t>
        </is>
      </c>
      <c r="U118" s="24" t="inlineStr">
        <is>
          <t>settled</t>
        </is>
      </c>
      <c r="V118" s="24" t="inlineStr">
        <is>
          <t>win</t>
        </is>
      </c>
      <c r="W118" s="26" t="n">
        <v>2</v>
      </c>
      <c r="X118" s="26" t="n">
        <v>5</v>
      </c>
      <c r="Y118" s="25" t="n">
        <v>6.5</v>
      </c>
      <c r="Z118" s="26" t="n">
        <v>113</v>
      </c>
      <c r="AA118" s="28" t="n">
        <v>0.47</v>
      </c>
      <c r="AB118" s="28" t="n">
        <v>0.000516</v>
      </c>
      <c r="AC118" s="30" t="n">
        <v>1.4125</v>
      </c>
      <c r="AD118" s="24" t="inlineStr">
        <is>
          <t>2026-08-02T03:26:03.339275Z</t>
        </is>
      </c>
      <c r="AE118" s="31" t="inlineStr">
        <is>
          <t>Measured Edge Totals: Trend Engine projected 4.74-4.76; raw selected-side p=0.7469, calibrated p=0.5923.</t>
        </is>
      </c>
      <c r="AF118" s="31" t="inlineStr">
        <is>
          <t>Research-only; lineup, bullpen, park, weather, xFIP, and wRC+ may be neutral fallbacks; market availability and BBO depth may change before first pitch.</t>
        </is>
      </c>
      <c r="AG118" s="24" t="inlineStr">
        <is>
          <t>not_applicable</t>
        </is>
      </c>
      <c r="AH118" s="24" t="n"/>
      <c r="AI118" s="31" t="n"/>
      <c r="AJ118" s="31" t="n"/>
      <c r="AK118" s="24" t="inlineStr">
        <is>
          <t>research_observation</t>
        </is>
      </c>
      <c r="AL118" s="26" t="n">
        <v>3</v>
      </c>
      <c r="AM118" s="24" t="inlineStr">
        <is>
          <t>RESEARCH_OBSERVATION</t>
        </is>
      </c>
      <c r="AN118" s="24" t="inlineStr">
        <is>
          <t>NO_CALL</t>
        </is>
      </c>
      <c r="AO118" s="24" t="inlineStr">
        <is>
          <t>NO_CALL_MODEL_UNVALIDATED</t>
        </is>
      </c>
      <c r="AP118" s="24" t="inlineStr">
        <is>
          <t>mlb-nyy</t>
        </is>
      </c>
      <c r="AQ118" s="24" t="inlineStr">
        <is>
          <t>New York Yankees</t>
        </is>
      </c>
      <c r="AR118" s="24" t="inlineStr">
        <is>
          <t>New York Yankees</t>
        </is>
      </c>
      <c r="AS118" s="24" t="inlineStr">
        <is>
          <t>mlb-chc</t>
        </is>
      </c>
      <c r="AT118" s="24" t="inlineStr">
        <is>
          <t>Chicago Cubs</t>
        </is>
      </c>
      <c r="AU118" s="24" t="inlineStr">
        <is>
          <t>Chicago Cubs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research</t>
        </is>
      </c>
      <c r="BA118" s="24" t="inlineStr">
        <is>
          <t>433578016242b27f9c1c7132cc6b5a2bcc7dd1b0234590c12a944455a88e71bd</t>
        </is>
      </c>
      <c r="BB118" s="24" t="inlineStr">
        <is>
          <t>flat_probability_shrinkage_toward_half</t>
        </is>
      </c>
      <c r="BC118" s="24" t="inlineStr">
        <is>
          <t>measured-edge-totals-v2</t>
        </is>
      </c>
      <c r="BD118" s="24" t="inlineStr">
        <is>
          <t>433578016242b27f9c1c7132cc6b5a2bcc7dd1b0234590c12a944455a88e71bd</t>
        </is>
      </c>
      <c r="BE118" s="24" t="inlineStr">
        <is>
          <t>v3</t>
        </is>
      </c>
      <c r="BF118" s="24" t="inlineStr">
        <is>
          <t>1</t>
        </is>
      </c>
      <c r="BG118" s="24" t="inlineStr">
        <is>
          <t>measured-edge-paired-v1</t>
        </is>
      </c>
      <c r="BH118" s="24" t="inlineStr">
        <is>
          <t>2026-08-01T20:15:41.530944Z</t>
        </is>
      </c>
      <c r="BI118" s="24" t="inlineStr">
        <is>
          <t>["same_event","same_team_same_day","same_league_same_day"]</t>
        </is>
      </c>
      <c r="BJ118" s="25" t="n">
        <v>6.5</v>
      </c>
      <c r="BK118" s="26" t="n">
        <v>113</v>
      </c>
      <c r="BL118" s="27" t="n">
        <v>2.13</v>
      </c>
      <c r="BM118" s="28" t="n">
        <v>0.469484</v>
      </c>
      <c r="BN118" s="28" t="n">
        <v>0.467662</v>
      </c>
      <c r="BO118" s="28" t="n"/>
      <c r="BP118" s="25" t="n"/>
      <c r="BQ118" s="27" t="n">
        <v>2.13</v>
      </c>
      <c r="BR118" s="28" t="n">
        <v>0.47</v>
      </c>
      <c r="BS118" s="28" t="n"/>
      <c r="BT118" s="28" t="n"/>
      <c r="BU118" s="25" t="n"/>
      <c r="BV118" s="29" t="n"/>
      <c r="BW118" s="24" t="n"/>
      <c r="BX118" s="30" t="n"/>
      <c r="BY118" s="27" t="n"/>
      <c r="BZ118" s="24" t="n"/>
      <c r="CA118" s="31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</row>
    <row r="119" ht="36" customHeight="1">
      <c r="A119" s="24" t="inlineStr">
        <is>
          <t>3b5841d83fef493f</t>
        </is>
      </c>
      <c r="B119" s="24" t="inlineStr">
        <is>
          <t>2026-08-01T23:52:21.502342Z</t>
        </is>
      </c>
      <c r="C119" s="24" t="inlineStr">
        <is>
          <t>2026-08-01T20:10:00-0400</t>
        </is>
      </c>
      <c r="D119" s="24" t="inlineStr">
        <is>
          <t>401816356</t>
        </is>
      </c>
      <c r="E119" s="24" t="inlineStr">
        <is>
          <t>MLB</t>
        </is>
      </c>
      <c r="F119" s="24" t="inlineStr">
        <is>
          <t>Kansas City Royals</t>
        </is>
      </c>
      <c r="G119" s="24" t="inlineStr">
        <is>
          <t>Colorado Rockies</t>
        </is>
      </c>
      <c r="H119" s="24" t="inlineStr">
        <is>
          <t>moneyline</t>
        </is>
      </c>
      <c r="I119" s="24" t="inlineStr">
        <is>
          <t>away</t>
        </is>
      </c>
      <c r="J119" s="25" t="n"/>
      <c r="K119" s="24" t="inlineStr">
        <is>
          <t>polymarket_us</t>
        </is>
      </c>
      <c r="L119" s="26" t="n">
        <v>115</v>
      </c>
      <c r="M119" s="27" t="n">
        <v>2.15</v>
      </c>
      <c r="N119" s="28" t="n">
        <v>0.465116</v>
      </c>
      <c r="O119" s="28" t="n">
        <v>0.59943</v>
      </c>
      <c r="P119" s="28" t="n"/>
      <c r="Q119" s="28" t="n">
        <v>0.134314</v>
      </c>
      <c r="R119" s="26" t="n">
        <v>88</v>
      </c>
      <c r="S119" s="29" t="n">
        <v>1.25</v>
      </c>
      <c r="T119" s="24" t="inlineStr">
        <is>
          <t>mlb-elo-trend-lr-v7</t>
        </is>
      </c>
      <c r="U119" s="24" t="inlineStr">
        <is>
          <t>settled</t>
        </is>
      </c>
      <c r="V119" s="24" t="inlineStr">
        <is>
          <t>loss</t>
        </is>
      </c>
      <c r="W119" s="26" t="n">
        <v>6</v>
      </c>
      <c r="X119" s="26" t="n">
        <v>12</v>
      </c>
      <c r="Y119" s="25" t="n"/>
      <c r="Z119" s="26" t="n">
        <v>115</v>
      </c>
      <c r="AA119" s="28" t="n">
        <v>0.465</v>
      </c>
      <c r="AB119" s="28" t="n">
        <v>-0.000116</v>
      </c>
      <c r="AC119" s="30" t="n">
        <v>-1.25</v>
      </c>
      <c r="AD119" s="24" t="inlineStr">
        <is>
          <t>2026-08-02T03:26:03.879357Z</t>
        </is>
      </c>
      <c r="AE119" s="31" t="inlineStr">
        <is>
          <t>Learned LR call at threshold 0.6242; executable ask 0.4650 (aec-mlb-kc-col-2026-08-01); model edge vs ask +0.1344.</t>
        </is>
      </c>
      <c r="AF119" s="31" t="inlineStr">
        <is>
          <t>Learned model; shadow-qualified via operator override.</t>
        </is>
      </c>
      <c r="AG119" s="24" t="inlineStr">
        <is>
          <t>review_required</t>
        </is>
      </c>
      <c r="AH119" s="24" t="n"/>
      <c r="AI119" s="31" t="n"/>
      <c r="AJ119" s="31" t="n"/>
      <c r="AK119" s="24" t="inlineStr">
        <is>
          <t>model_qualified</t>
        </is>
      </c>
      <c r="AL119" s="26" t="n">
        <v>3</v>
      </c>
      <c r="AM119" s="24" t="inlineStr">
        <is>
          <t>QUALIFIED_SHADOW_CALL</t>
        </is>
      </c>
      <c r="AN119" s="24" t="inlineStr">
        <is>
          <t>CALL</t>
        </is>
      </c>
      <c r="AO119" s="24" t="inlineStr">
        <is>
          <t>QUALIFIED</t>
        </is>
      </c>
      <c r="AP119" s="24" t="inlineStr">
        <is>
          <t>mlb-kc</t>
        </is>
      </c>
      <c r="AQ119" s="24" t="inlineStr">
        <is>
          <t>Kansas City Royals</t>
        </is>
      </c>
      <c r="AR119" s="24" t="inlineStr">
        <is>
          <t>Kansas City Royals</t>
        </is>
      </c>
      <c r="AS119" s="24" t="inlineStr">
        <is>
          <t>mlb-col</t>
        </is>
      </c>
      <c r="AT119" s="24" t="inlineStr">
        <is>
          <t>Colorado Rockies</t>
        </is>
      </c>
      <c r="AU119" s="24" t="inlineStr">
        <is>
          <t>Colorado Rockies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shadow_qualified</t>
        </is>
      </c>
      <c r="BA119" s="24" t="inlineStr">
        <is>
          <t>464eef695bfbbdaa819ec6f5e4c5bd1068ed20b92915fb2677220ae91e20d8b6</t>
        </is>
      </c>
      <c r="BB119" s="24" t="inlineStr">
        <is>
          <t>learned_lr</t>
        </is>
      </c>
      <c r="BC119" s="24" t="inlineStr">
        <is>
          <t>mlb-elo-trend-lr-v7</t>
        </is>
      </c>
      <c r="BD119" s="24" t="inlineStr">
        <is>
          <t>464eef695bfbbdaa819ec6f5e4c5bd1068ed20b92915fb2677220ae91e20d8b6</t>
        </is>
      </c>
      <c r="BE119" s="24" t="inlineStr">
        <is>
          <t>f816e731583b605d</t>
        </is>
      </c>
      <c r="BF119" s="24" t="inlineStr">
        <is>
          <t>1</t>
        </is>
      </c>
      <c r="BG119" s="24" t="inlineStr">
        <is>
          <t>mlb-elo-trend-lr-v7</t>
        </is>
      </c>
      <c r="BH119" s="24" t="inlineStr">
        <is>
          <t>2026-08-01T23:51:47.419062Z</t>
        </is>
      </c>
      <c r="BI119" s="24" t="inlineStr">
        <is>
          <t>["same_event","same_team_same_day","same_league_same_day"]</t>
        </is>
      </c>
      <c r="BJ119" s="25" t="n"/>
      <c r="BK119" s="26" t="n">
        <v>115</v>
      </c>
      <c r="BL119" s="27" t="n">
        <v>2.15</v>
      </c>
      <c r="BM119" s="28" t="n">
        <v>0.465116</v>
      </c>
      <c r="BN119" s="28" t="n">
        <v>0.462687</v>
      </c>
      <c r="BO119" s="28" t="n"/>
      <c r="BP119" s="25" t="n"/>
      <c r="BQ119" s="27" t="n">
        <v>2.15</v>
      </c>
      <c r="BR119" s="28" t="n">
        <v>0.465</v>
      </c>
      <c r="BS119" s="28" t="n"/>
      <c r="BT119" s="28" t="n"/>
      <c r="BU119" s="25" t="n"/>
      <c r="BV119" s="29" t="n"/>
      <c r="BW119" s="24" t="n"/>
      <c r="BX119" s="30" t="n"/>
      <c r="BY119" s="27" t="n"/>
      <c r="BZ119" s="24" t="n"/>
      <c r="CA119" s="31" t="n"/>
      <c r="CB119" s="24" t="n"/>
      <c r="CC119" s="24" t="inlineStr">
        <is>
          <t>0.4336227344</t>
        </is>
      </c>
      <c r="CD119" s="24" t="inlineStr">
        <is>
          <t>0.282629</t>
        </is>
      </c>
      <c r="CE119" s="24" t="inlineStr">
        <is>
          <t>1.193</t>
        </is>
      </c>
      <c r="CF119" s="24" t="inlineStr">
        <is>
          <t>1.0257</t>
        </is>
      </c>
      <c r="CG119" s="24" t="inlineStr">
        <is>
          <t>2.2</t>
        </is>
      </c>
      <c r="CH119" s="24" t="n"/>
      <c r="CI119" s="24" t="n"/>
      <c r="CJ119" s="24" t="n"/>
      <c r="CK119" s="24" t="n"/>
      <c r="CL119" s="24" t="n"/>
      <c r="CM119" s="24" t="n"/>
      <c r="CN119" s="24" t="n"/>
      <c r="CO119" s="24" t="n"/>
    </row>
    <row r="120" ht="36" customHeight="1">
      <c r="A120" s="24" t="inlineStr">
        <is>
          <t>49b9445418b14f77</t>
        </is>
      </c>
      <c r="B120" s="24" t="inlineStr">
        <is>
          <t>2026-08-01T23:52:21.502342Z</t>
        </is>
      </c>
      <c r="C120" s="24" t="inlineStr">
        <is>
          <t>2026-08-01T20:40:00-0400</t>
        </is>
      </c>
      <c r="D120" s="24" t="inlineStr">
        <is>
          <t>401816361</t>
        </is>
      </c>
      <c r="E120" s="24" t="inlineStr">
        <is>
          <t>MLB</t>
        </is>
      </c>
      <c r="F120" s="24" t="inlineStr">
        <is>
          <t>San Francisco Giants</t>
        </is>
      </c>
      <c r="G120" s="24" t="inlineStr">
        <is>
          <t>San Diego Padres</t>
        </is>
      </c>
      <c r="H120" s="24" t="inlineStr">
        <is>
          <t>moneyline</t>
        </is>
      </c>
      <c r="I120" s="24" t="inlineStr">
        <is>
          <t>home</t>
        </is>
      </c>
      <c r="J120" s="25" t="n"/>
      <c r="K120" s="24" t="inlineStr">
        <is>
          <t>polymarket_us</t>
        </is>
      </c>
      <c r="L120" s="26" t="n">
        <v>-141</v>
      </c>
      <c r="M120" s="27" t="n">
        <v>1.70922</v>
      </c>
      <c r="N120" s="28" t="n">
        <v>0.585062</v>
      </c>
      <c r="O120" s="28" t="n">
        <v>0.586302</v>
      </c>
      <c r="P120" s="28" t="n"/>
      <c r="Q120" s="28" t="n">
        <v>0.00124</v>
      </c>
      <c r="R120" s="26" t="n">
        <v>22</v>
      </c>
      <c r="S120" s="29" t="n">
        <v>1.25</v>
      </c>
      <c r="T120" s="24" t="inlineStr">
        <is>
          <t>mlb-elo-trend-lr-v7</t>
        </is>
      </c>
      <c r="U120" s="24" t="inlineStr">
        <is>
          <t>settled</t>
        </is>
      </c>
      <c r="V120" s="24" t="inlineStr">
        <is>
          <t>win</t>
        </is>
      </c>
      <c r="W120" s="26" t="n">
        <v>5</v>
      </c>
      <c r="X120" s="26" t="n">
        <v>6</v>
      </c>
      <c r="Y120" s="25" t="n"/>
      <c r="Z120" s="26" t="n">
        <v>-141</v>
      </c>
      <c r="AA120" s="28" t="n">
        <v>0.585</v>
      </c>
      <c r="AB120" s="28" t="n">
        <v>-6.2e-05</v>
      </c>
      <c r="AC120" s="30" t="n">
        <v>0.8865</v>
      </c>
      <c r="AD120" s="24" t="inlineStr">
        <is>
          <t>2026-08-02T04:26:12.354214Z</t>
        </is>
      </c>
      <c r="AE120" s="31" t="inlineStr">
        <is>
          <t>Learned LR call at threshold 0.6242; executable ask 0.5850 (aec-mlb-sf-sd-2026-08-01); model edge vs ask +0.0013.</t>
        </is>
      </c>
      <c r="AF120" s="31" t="inlineStr">
        <is>
          <t>Learned model; shadow-qualified via operator override.</t>
        </is>
      </c>
      <c r="AG120" s="24" t="inlineStr">
        <is>
          <t>not_applicable</t>
        </is>
      </c>
      <c r="AH120" s="24" t="n"/>
      <c r="AI120" s="31" t="n"/>
      <c r="AJ120" s="31" t="n"/>
      <c r="AK120" s="24" t="inlineStr">
        <is>
          <t>model_qualified</t>
        </is>
      </c>
      <c r="AL120" s="26" t="n">
        <v>3</v>
      </c>
      <c r="AM120" s="24" t="inlineStr">
        <is>
          <t>QUALIFIED_SHADOW_CALL</t>
        </is>
      </c>
      <c r="AN120" s="24" t="inlineStr">
        <is>
          <t>CALL</t>
        </is>
      </c>
      <c r="AO120" s="24" t="inlineStr">
        <is>
          <t>QUALIFIED</t>
        </is>
      </c>
      <c r="AP120" s="24" t="inlineStr">
        <is>
          <t>mlb-sf</t>
        </is>
      </c>
      <c r="AQ120" s="24" t="inlineStr">
        <is>
          <t>San Francisco Giants</t>
        </is>
      </c>
      <c r="AR120" s="24" t="inlineStr">
        <is>
          <t>San Francisco Giants</t>
        </is>
      </c>
      <c r="AS120" s="24" t="inlineStr">
        <is>
          <t>mlb-sd</t>
        </is>
      </c>
      <c r="AT120" s="24" t="inlineStr">
        <is>
          <t>San Diego Padres</t>
        </is>
      </c>
      <c r="AU120" s="24" t="inlineStr">
        <is>
          <t>San Diego Padres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shadow_qualified</t>
        </is>
      </c>
      <c r="BA120" s="24" t="inlineStr">
        <is>
          <t>464eef695bfbbdaa819ec6f5e4c5bd1068ed20b92915fb2677220ae91e20d8b6</t>
        </is>
      </c>
      <c r="BB120" s="24" t="inlineStr">
        <is>
          <t>learned_lr</t>
        </is>
      </c>
      <c r="BC120" s="24" t="inlineStr">
        <is>
          <t>mlb-elo-trend-lr-v7</t>
        </is>
      </c>
      <c r="BD120" s="24" t="inlineStr">
        <is>
          <t>464eef695bfbbdaa819ec6f5e4c5bd1068ed20b92915fb2677220ae91e20d8b6</t>
        </is>
      </c>
      <c r="BE120" s="24" t="inlineStr">
        <is>
          <t>3254957dc6cbdcf2</t>
        </is>
      </c>
      <c r="BF120" s="24" t="inlineStr">
        <is>
          <t>1</t>
        </is>
      </c>
      <c r="BG120" s="24" t="inlineStr">
        <is>
          <t>mlb-elo-trend-lr-v7</t>
        </is>
      </c>
      <c r="BH120" s="24" t="inlineStr">
        <is>
          <t>2026-08-01T23:51:48.315062Z</t>
        </is>
      </c>
      <c r="BI120" s="24" t="inlineStr">
        <is>
          <t>["same_event","same_team_same_day","same_league_same_day"]</t>
        </is>
      </c>
      <c r="BJ120" s="25" t="n"/>
      <c r="BK120" s="26" t="n">
        <v>-141</v>
      </c>
      <c r="BL120" s="27" t="n">
        <v>1.70922</v>
      </c>
      <c r="BM120" s="28" t="n">
        <v>0.585062</v>
      </c>
      <c r="BN120" s="28" t="n">
        <v>0.58209</v>
      </c>
      <c r="BO120" s="28" t="n"/>
      <c r="BP120" s="25" t="n"/>
      <c r="BQ120" s="27" t="n">
        <v>1.70922</v>
      </c>
      <c r="BR120" s="28" t="n">
        <v>0.585</v>
      </c>
      <c r="BS120" s="28" t="n"/>
      <c r="BT120" s="28" t="n"/>
      <c r="BU120" s="25" t="n"/>
      <c r="BV120" s="29" t="n"/>
      <c r="BW120" s="24" t="n"/>
      <c r="BX120" s="30" t="n"/>
      <c r="BY120" s="27" t="n"/>
      <c r="BZ120" s="24" t="n"/>
      <c r="CA120" s="31" t="n"/>
      <c r="CB120" s="24" t="n"/>
      <c r="CC120" s="24" t="inlineStr">
        <is>
          <t>0.5921899564</t>
        </is>
      </c>
      <c r="CD120" s="24" t="inlineStr">
        <is>
          <t>-0.027918</t>
        </is>
      </c>
      <c r="CE120" s="24" t="inlineStr">
        <is>
          <t>0.945</t>
        </is>
      </c>
      <c r="CF120" s="24" t="inlineStr">
        <is>
          <t>1.0097</t>
        </is>
      </c>
      <c r="CG120" s="24" t="inlineStr">
        <is>
          <t>-1.8</t>
        </is>
      </c>
      <c r="CH120" s="24" t="n"/>
      <c r="CI120" s="24" t="n"/>
      <c r="CJ120" s="24" t="n"/>
      <c r="CK120" s="24" t="n"/>
      <c r="CL120" s="24" t="n"/>
      <c r="CM120" s="24" t="n"/>
      <c r="CN120" s="24" t="n"/>
      <c r="CO120" s="24" t="n"/>
    </row>
    <row r="121" ht="36" customHeight="1">
      <c r="A121" s="24" t="inlineStr">
        <is>
          <t>dac17ac452fb4da5</t>
        </is>
      </c>
      <c r="B121" s="24" t="inlineStr">
        <is>
          <t>2026-08-01T23:52:21.502342Z</t>
        </is>
      </c>
      <c r="C121" s="24" t="inlineStr">
        <is>
          <t>2026-08-01T21:10:00-0400</t>
        </is>
      </c>
      <c r="D121" s="24" t="inlineStr">
        <is>
          <t>401816357</t>
        </is>
      </c>
      <c r="E121" s="24" t="inlineStr">
        <is>
          <t>MLB</t>
        </is>
      </c>
      <c r="F121" s="24" t="inlineStr">
        <is>
          <t>Boston Red Sox</t>
        </is>
      </c>
      <c r="G121" s="24" t="inlineStr">
        <is>
          <t>Los Angeles Dodgers</t>
        </is>
      </c>
      <c r="H121" s="24" t="inlineStr">
        <is>
          <t>moneyline</t>
        </is>
      </c>
      <c r="I121" s="24" t="inlineStr">
        <is>
          <t>home</t>
        </is>
      </c>
      <c r="J121" s="25" t="n"/>
      <c r="K121" s="24" t="inlineStr">
        <is>
          <t>polymarket_us</t>
        </is>
      </c>
      <c r="L121" s="26" t="n">
        <v>-167</v>
      </c>
      <c r="M121" s="27" t="n">
        <v>1.598802</v>
      </c>
      <c r="N121" s="28" t="n">
        <v>0.625468</v>
      </c>
      <c r="O121" s="28" t="n">
        <v>0.561639</v>
      </c>
      <c r="P121" s="28" t="n"/>
      <c r="Q121" s="28" t="n">
        <v>-0.063829</v>
      </c>
      <c r="R121" s="26" t="n">
        <v>0</v>
      </c>
      <c r="S121" s="29" t="n">
        <v>1</v>
      </c>
      <c r="T121" s="24" t="inlineStr">
        <is>
          <t>mlb-elo-trend-lr-v7</t>
        </is>
      </c>
      <c r="U121" s="24" t="inlineStr">
        <is>
          <t>settled</t>
        </is>
      </c>
      <c r="V121" s="24" t="inlineStr">
        <is>
          <t>loss</t>
        </is>
      </c>
      <c r="W121" s="26" t="n">
        <v>3</v>
      </c>
      <c r="X121" s="26" t="n">
        <v>2</v>
      </c>
      <c r="Y121" s="25" t="n"/>
      <c r="Z121" s="26" t="n">
        <v>-167</v>
      </c>
      <c r="AA121" s="28" t="n">
        <v>0.625</v>
      </c>
      <c r="AB121" s="28" t="n">
        <v>-0.000468</v>
      </c>
      <c r="AC121" s="30" t="n">
        <v>-1</v>
      </c>
      <c r="AD121" s="24" t="inlineStr">
        <is>
          <t>2026-08-02T03:26:04.410132Z</t>
        </is>
      </c>
      <c r="AE121" s="31" t="inlineStr">
        <is>
          <t>Learned LR call at threshold 0.6242; executable ask 0.6250 (aec-mlb-bos-lad-2026-08-01); model edge vs ask -0.0634.</t>
        </is>
      </c>
      <c r="AF121" s="31" t="inlineStr">
        <is>
          <t>Learned model; shadow-qualified via operator override.</t>
        </is>
      </c>
      <c r="AG121" s="24" t="inlineStr">
        <is>
          <t>review_required</t>
        </is>
      </c>
      <c r="AH121" s="24" t="n"/>
      <c r="AI121" s="31" t="n"/>
      <c r="AJ121" s="31" t="n"/>
      <c r="AK121" s="24" t="inlineStr">
        <is>
          <t>model_qualified</t>
        </is>
      </c>
      <c r="AL121" s="26" t="n">
        <v>3</v>
      </c>
      <c r="AM121" s="24" t="inlineStr">
        <is>
          <t>QUALIFIED_SHADOW_CALL</t>
        </is>
      </c>
      <c r="AN121" s="24" t="inlineStr">
        <is>
          <t>CALL</t>
        </is>
      </c>
      <c r="AO121" s="24" t="inlineStr">
        <is>
          <t>QUALIFIED</t>
        </is>
      </c>
      <c r="AP121" s="24" t="inlineStr">
        <is>
          <t>mlb-bos</t>
        </is>
      </c>
      <c r="AQ121" s="24" t="inlineStr">
        <is>
          <t>Boston Red Sox</t>
        </is>
      </c>
      <c r="AR121" s="24" t="inlineStr">
        <is>
          <t>Boston Red Sox</t>
        </is>
      </c>
      <c r="AS121" s="24" t="inlineStr">
        <is>
          <t>mlb-lad</t>
        </is>
      </c>
      <c r="AT121" s="24" t="inlineStr">
        <is>
          <t>Los Angeles Dodgers</t>
        </is>
      </c>
      <c r="AU121" s="24" t="inlineStr">
        <is>
          <t>Los Angeles Dodgers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shadow_qualified</t>
        </is>
      </c>
      <c r="BA121" s="24" t="inlineStr">
        <is>
          <t>464eef695bfbbdaa819ec6f5e4c5bd1068ed20b92915fb2677220ae91e20d8b6</t>
        </is>
      </c>
      <c r="BB121" s="24" t="inlineStr">
        <is>
          <t>learned_lr</t>
        </is>
      </c>
      <c r="BC121" s="24" t="inlineStr">
        <is>
          <t>mlb-elo-trend-lr-v7</t>
        </is>
      </c>
      <c r="BD121" s="24" t="inlineStr">
        <is>
          <t>464eef695bfbbdaa819ec6f5e4c5bd1068ed20b92915fb2677220ae91e20d8b6</t>
        </is>
      </c>
      <c r="BE121" s="24" t="inlineStr">
        <is>
          <t>066806f0bd99b27f</t>
        </is>
      </c>
      <c r="BF121" s="24" t="inlineStr">
        <is>
          <t>1</t>
        </is>
      </c>
      <c r="BG121" s="24" t="inlineStr">
        <is>
          <t>mlb-elo-trend-lr-v7</t>
        </is>
      </c>
      <c r="BH121" s="24" t="inlineStr">
        <is>
          <t>2026-08-01T23:51:49.237000Z</t>
        </is>
      </c>
      <c r="BI121" s="24" t="inlineStr">
        <is>
          <t>["same_event","same_team_same_day","same_league_same_day"]</t>
        </is>
      </c>
      <c r="BJ121" s="25" t="n"/>
      <c r="BK121" s="26" t="n">
        <v>-167</v>
      </c>
      <c r="BL121" s="27" t="n">
        <v>1.598802</v>
      </c>
      <c r="BM121" s="28" t="n">
        <v>0.625468</v>
      </c>
      <c r="BN121" s="28" t="n">
        <v>0.621891</v>
      </c>
      <c r="BO121" s="28" t="n"/>
      <c r="BP121" s="25" t="n"/>
      <c r="BQ121" s="27" t="n">
        <v>1.598802</v>
      </c>
      <c r="BR121" s="28" t="n">
        <v>0.625</v>
      </c>
      <c r="BS121" s="28" t="n"/>
      <c r="BT121" s="28" t="n"/>
      <c r="BU121" s="25" t="n"/>
      <c r="BV121" s="29" t="n"/>
      <c r="BW121" s="24" t="n"/>
      <c r="BX121" s="30" t="n"/>
      <c r="BY121" s="27" t="n"/>
      <c r="BZ121" s="24" t="n"/>
      <c r="CA121" s="31" t="n"/>
      <c r="CB121" s="24" t="n"/>
      <c r="CC121" s="24" t="inlineStr">
        <is>
          <t>0.5509882979</t>
        </is>
      </c>
      <c r="CD121" s="24" t="inlineStr">
        <is>
          <t>-0.724816</t>
        </is>
      </c>
      <c r="CE121" s="24" t="inlineStr">
        <is>
          <t>1.026</t>
        </is>
      </c>
      <c r="CF121" s="24" t="inlineStr">
        <is>
          <t>1.0134</t>
        </is>
      </c>
      <c r="CG121" s="24" t="inlineStr">
        <is>
          <t>2.4</t>
        </is>
      </c>
      <c r="CH121" s="24" t="n"/>
      <c r="CI121" s="24" t="n"/>
      <c r="CJ121" s="24" t="n"/>
      <c r="CK121" s="24" t="n"/>
      <c r="CL121" s="24" t="n"/>
      <c r="CM121" s="24" t="n"/>
      <c r="CN121" s="24" t="n"/>
      <c r="CO121" s="24" t="n"/>
    </row>
    <row r="122" ht="36" customHeight="1">
      <c r="A122" s="24" t="inlineStr">
        <is>
          <t>34961301f0b6462c</t>
        </is>
      </c>
      <c r="B122" s="24" t="inlineStr">
        <is>
          <t>2026-08-01T23:52:21.502342Z</t>
        </is>
      </c>
      <c r="C122" s="24" t="inlineStr">
        <is>
          <t>2026-08-01T21:38:00-0400</t>
        </is>
      </c>
      <c r="D122" s="24" t="inlineStr">
        <is>
          <t>401816359</t>
        </is>
      </c>
      <c r="E122" s="24" t="inlineStr">
        <is>
          <t>MLB</t>
        </is>
      </c>
      <c r="F122" s="24" t="inlineStr">
        <is>
          <t>Milwaukee Brewers</t>
        </is>
      </c>
      <c r="G122" s="24" t="inlineStr">
        <is>
          <t>Los Angeles Angels</t>
        </is>
      </c>
      <c r="H122" s="24" t="inlineStr">
        <is>
          <t>moneyline</t>
        </is>
      </c>
      <c r="I122" s="24" t="inlineStr">
        <is>
          <t>away</t>
        </is>
      </c>
      <c r="J122" s="25" t="n"/>
      <c r="K122" s="24" t="inlineStr">
        <is>
          <t>polymarket_us</t>
        </is>
      </c>
      <c r="L122" s="26" t="n">
        <v>-138</v>
      </c>
      <c r="M122" s="27" t="n">
        <v>1.724638</v>
      </c>
      <c r="N122" s="28" t="n">
        <v>0.579832</v>
      </c>
      <c r="O122" s="28" t="n">
        <v>0.623445</v>
      </c>
      <c r="P122" s="28" t="n"/>
      <c r="Q122" s="28" t="n">
        <v>0.043613</v>
      </c>
      <c r="R122" s="26" t="n">
        <v>43</v>
      </c>
      <c r="S122" s="29" t="n">
        <v>1.5</v>
      </c>
      <c r="T122" s="24" t="inlineStr">
        <is>
          <t>mlb-elo-trend-lr-v7</t>
        </is>
      </c>
      <c r="U122" s="24" t="inlineStr">
        <is>
          <t>settled</t>
        </is>
      </c>
      <c r="V122" s="24" t="inlineStr">
        <is>
          <t>win</t>
        </is>
      </c>
      <c r="W122" s="26" t="n">
        <v>3</v>
      </c>
      <c r="X122" s="26" t="n">
        <v>1</v>
      </c>
      <c r="Y122" s="25" t="n"/>
      <c r="Z122" s="26" t="n">
        <v>-138</v>
      </c>
      <c r="AA122" s="28" t="n">
        <v>0.58</v>
      </c>
      <c r="AB122" s="28" t="n">
        <v>0.000168</v>
      </c>
      <c r="AC122" s="30" t="n">
        <v>1.087</v>
      </c>
      <c r="AD122" s="24" t="inlineStr">
        <is>
          <t>2026-08-02T04:26:13.049162Z</t>
        </is>
      </c>
      <c r="AE122" s="31" t="inlineStr">
        <is>
          <t>Learned LR call at threshold 0.6242; executable ask 0.5800 (aec-mlb-mil-laa-2026-08-01); model edge vs ask +0.0434.</t>
        </is>
      </c>
      <c r="AF122" s="31" t="inlineStr">
        <is>
          <t>Learned model; shadow-qualified via operator override.</t>
        </is>
      </c>
      <c r="AG122" s="24" t="inlineStr">
        <is>
          <t>not_applicable</t>
        </is>
      </c>
      <c r="AH122" s="24" t="n"/>
      <c r="AI122" s="31" t="n"/>
      <c r="AJ122" s="31" t="n"/>
      <c r="AK122" s="24" t="inlineStr">
        <is>
          <t>model_qualified</t>
        </is>
      </c>
      <c r="AL122" s="26" t="n">
        <v>3</v>
      </c>
      <c r="AM122" s="24" t="inlineStr">
        <is>
          <t>QUALIFIED_SHADOW_CALL</t>
        </is>
      </c>
      <c r="AN122" s="24" t="inlineStr">
        <is>
          <t>CALL</t>
        </is>
      </c>
      <c r="AO122" s="24" t="inlineStr">
        <is>
          <t>QUALIFIED</t>
        </is>
      </c>
      <c r="AP122" s="24" t="inlineStr">
        <is>
          <t>mlb-mil</t>
        </is>
      </c>
      <c r="AQ122" s="24" t="inlineStr">
        <is>
          <t>Milwaukee Brewers</t>
        </is>
      </c>
      <c r="AR122" s="24" t="inlineStr">
        <is>
          <t>Milwaukee Brewers</t>
        </is>
      </c>
      <c r="AS122" s="24" t="inlineStr">
        <is>
          <t>mlb-laa</t>
        </is>
      </c>
      <c r="AT122" s="24" t="inlineStr">
        <is>
          <t>Los Angeles Angels</t>
        </is>
      </c>
      <c r="AU122" s="24" t="inlineStr">
        <is>
          <t>Los Angeles Angels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shadow_qualified</t>
        </is>
      </c>
      <c r="BA122" s="24" t="inlineStr">
        <is>
          <t>464eef695bfbbdaa819ec6f5e4c5bd1068ed20b92915fb2677220ae91e20d8b6</t>
        </is>
      </c>
      <c r="BB122" s="24" t="inlineStr">
        <is>
          <t>learned_lr</t>
        </is>
      </c>
      <c r="BC122" s="24" t="inlineStr">
        <is>
          <t>mlb-elo-trend-lr-v7</t>
        </is>
      </c>
      <c r="BD122" s="24" t="inlineStr">
        <is>
          <t>464eef695bfbbdaa819ec6f5e4c5bd1068ed20b92915fb2677220ae91e20d8b6</t>
        </is>
      </c>
      <c r="BE122" s="24" t="inlineStr">
        <is>
          <t>bf9d0c69dcbae233</t>
        </is>
      </c>
      <c r="BF122" s="24" t="inlineStr">
        <is>
          <t>1</t>
        </is>
      </c>
      <c r="BG122" s="24" t="inlineStr">
        <is>
          <t>mlb-elo-trend-lr-v7</t>
        </is>
      </c>
      <c r="BH122" s="24" t="inlineStr">
        <is>
          <t>2026-08-01T23:51:49.966869Z</t>
        </is>
      </c>
      <c r="BI122" s="24" t="inlineStr">
        <is>
          <t>["same_event","same_team_same_day","same_league_same_day"]</t>
        </is>
      </c>
      <c r="BJ122" s="25" t="n"/>
      <c r="BK122" s="26" t="n">
        <v>-138</v>
      </c>
      <c r="BL122" s="27" t="n">
        <v>1.724638</v>
      </c>
      <c r="BM122" s="28" t="n">
        <v>0.579832</v>
      </c>
      <c r="BN122" s="28" t="n">
        <v>0.577114</v>
      </c>
      <c r="BO122" s="28" t="n"/>
      <c r="BP122" s="25" t="n"/>
      <c r="BQ122" s="27" t="n">
        <v>1.724638</v>
      </c>
      <c r="BR122" s="28" t="n">
        <v>0.58</v>
      </c>
      <c r="BS122" s="28" t="n"/>
      <c r="BT122" s="28" t="n"/>
      <c r="BU122" s="25" t="n"/>
      <c r="BV122" s="29" t="n"/>
      <c r="BW122" s="24" t="n"/>
      <c r="BX122" s="30" t="n"/>
      <c r="BY122" s="27" t="n"/>
      <c r="BZ122" s="24" t="n"/>
      <c r="CA122" s="31" t="n"/>
      <c r="CB122" s="24" t="n"/>
      <c r="CC122" s="24" t="inlineStr">
        <is>
          <t>0.3303372609</t>
        </is>
      </c>
      <c r="CD122" s="24" t="inlineStr">
        <is>
          <t>-0.606627</t>
        </is>
      </c>
      <c r="CE122" s="24" t="inlineStr">
        <is>
          <t>1.01</t>
        </is>
      </c>
      <c r="CF122" s="24" t="inlineStr">
        <is>
          <t>1.0096</t>
        </is>
      </c>
      <c r="CG122" s="24" t="inlineStr">
        <is>
          <t>0.0</t>
        </is>
      </c>
      <c r="CH122" s="24" t="n"/>
      <c r="CI122" s="24" t="n"/>
      <c r="CJ122" s="24" t="n"/>
      <c r="CK122" s="24" t="n"/>
      <c r="CL122" s="24" t="n"/>
      <c r="CM122" s="24" t="n"/>
      <c r="CN122" s="24" t="n"/>
      <c r="CO122" s="24" t="n"/>
    </row>
    <row r="123" ht="36" customHeight="1">
      <c r="A123" s="24" t="inlineStr">
        <is>
          <t>906e1e669bac4779</t>
        </is>
      </c>
      <c r="B123" s="24" t="inlineStr">
        <is>
          <t>2026-08-01T23:52:21.502342Z</t>
        </is>
      </c>
      <c r="C123" s="24" t="inlineStr">
        <is>
          <t>2026-08-01T21:40:00-0400</t>
        </is>
      </c>
      <c r="D123" s="24" t="inlineStr">
        <is>
          <t>401816358</t>
        </is>
      </c>
      <c r="E123" s="24" t="inlineStr">
        <is>
          <t>MLB</t>
        </is>
      </c>
      <c r="F123" s="24" t="inlineStr">
        <is>
          <t>Detroit Tigers</t>
        </is>
      </c>
      <c r="G123" s="24" t="inlineStr">
        <is>
          <t>Athletics</t>
        </is>
      </c>
      <c r="H123" s="24" t="inlineStr">
        <is>
          <t>moneyline</t>
        </is>
      </c>
      <c r="I123" s="24" t="inlineStr">
        <is>
          <t>away</t>
        </is>
      </c>
      <c r="J123" s="25" t="n"/>
      <c r="K123" s="24" t="inlineStr">
        <is>
          <t>polymarket_us</t>
        </is>
      </c>
      <c r="L123" s="26" t="n">
        <v>-163</v>
      </c>
      <c r="M123" s="27" t="n">
        <v>1.613497</v>
      </c>
      <c r="N123" s="28" t="n">
        <v>0.619772</v>
      </c>
      <c r="O123" s="28" t="n">
        <v>0.55925</v>
      </c>
      <c r="P123" s="28" t="n"/>
      <c r="Q123" s="28" t="n">
        <v>-0.060522</v>
      </c>
      <c r="R123" s="26" t="n">
        <v>0</v>
      </c>
      <c r="S123" s="29" t="n">
        <v>1</v>
      </c>
      <c r="T123" s="24" t="inlineStr">
        <is>
          <t>mlb-elo-trend-lr-v7</t>
        </is>
      </c>
      <c r="U123" s="24" t="inlineStr">
        <is>
          <t>settled</t>
        </is>
      </c>
      <c r="V123" s="24" t="inlineStr">
        <is>
          <t>win</t>
        </is>
      </c>
      <c r="W123" s="26" t="n">
        <v>8</v>
      </c>
      <c r="X123" s="26" t="n">
        <v>6</v>
      </c>
      <c r="Y123" s="25" t="n"/>
      <c r="Z123" s="26" t="n">
        <v>-163</v>
      </c>
      <c r="AA123" s="28" t="n">
        <v>0.62</v>
      </c>
      <c r="AB123" s="28" t="n">
        <v>0.000228</v>
      </c>
      <c r="AC123" s="30" t="n">
        <v>0.6135</v>
      </c>
      <c r="AD123" s="24" t="inlineStr">
        <is>
          <t>2026-08-02T05:39:16.890092Z</t>
        </is>
      </c>
      <c r="AE123" s="31" t="inlineStr">
        <is>
          <t>Learned LR call at threshold 0.6242; executable ask 0.6200 (aec-mlb-det-ath-2026-08-01); model edge vs ask -0.0607.</t>
        </is>
      </c>
      <c r="AF123" s="31" t="inlineStr">
        <is>
          <t>Learned model; shadow-qualified via operator override.</t>
        </is>
      </c>
      <c r="AG123" s="24" t="inlineStr">
        <is>
          <t>not_applicable</t>
        </is>
      </c>
      <c r="AH123" s="24" t="n"/>
      <c r="AI123" s="31" t="n"/>
      <c r="AJ123" s="31" t="n"/>
      <c r="AK123" s="24" t="inlineStr">
        <is>
          <t>model_qualified</t>
        </is>
      </c>
      <c r="AL123" s="26" t="n">
        <v>3</v>
      </c>
      <c r="AM123" s="24" t="inlineStr">
        <is>
          <t>QUALIFIED_SHADOW_CALL</t>
        </is>
      </c>
      <c r="AN123" s="24" t="inlineStr">
        <is>
          <t>CALL</t>
        </is>
      </c>
      <c r="AO123" s="24" t="inlineStr">
        <is>
          <t>QUALIFIED</t>
        </is>
      </c>
      <c r="AP123" s="24" t="inlineStr">
        <is>
          <t>mlb-det</t>
        </is>
      </c>
      <c r="AQ123" s="24" t="inlineStr">
        <is>
          <t>Detroit Tigers</t>
        </is>
      </c>
      <c r="AR123" s="24" t="inlineStr">
        <is>
          <t>Detroit Tigers</t>
        </is>
      </c>
      <c r="AS123" s="24" t="inlineStr">
        <is>
          <t>mlb-ath</t>
        </is>
      </c>
      <c r="AT123" s="24" t="inlineStr">
        <is>
          <t>Athletics</t>
        </is>
      </c>
      <c r="AU123" s="24" t="inlineStr">
        <is>
          <t>Athletics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shadow_qualified</t>
        </is>
      </c>
      <c r="BA123" s="24" t="inlineStr">
        <is>
          <t>464eef695bfbbdaa819ec6f5e4c5bd1068ed20b92915fb2677220ae91e20d8b6</t>
        </is>
      </c>
      <c r="BB123" s="24" t="inlineStr">
        <is>
          <t>learned_lr</t>
        </is>
      </c>
      <c r="BC123" s="24" t="inlineStr">
        <is>
          <t>mlb-elo-trend-lr-v7</t>
        </is>
      </c>
      <c r="BD123" s="24" t="inlineStr">
        <is>
          <t>464eef695bfbbdaa819ec6f5e4c5bd1068ed20b92915fb2677220ae91e20d8b6</t>
        </is>
      </c>
      <c r="BE123" s="24" t="inlineStr">
        <is>
          <t>c336d1fbc170b694</t>
        </is>
      </c>
      <c r="BF123" s="24" t="inlineStr">
        <is>
          <t>1</t>
        </is>
      </c>
      <c r="BG123" s="24" t="inlineStr">
        <is>
          <t>mlb-elo-trend-lr-v7</t>
        </is>
      </c>
      <c r="BH123" s="24" t="inlineStr">
        <is>
          <t>2026-08-01T23:51:51.085087Z</t>
        </is>
      </c>
      <c r="BI123" s="24" t="inlineStr">
        <is>
          <t>["same_event","same_team_same_day","same_league_same_day"]</t>
        </is>
      </c>
      <c r="BJ123" s="25" t="n"/>
      <c r="BK123" s="26" t="n">
        <v>-163</v>
      </c>
      <c r="BL123" s="27" t="n">
        <v>1.613497</v>
      </c>
      <c r="BM123" s="28" t="n">
        <v>0.619772</v>
      </c>
      <c r="BN123" s="28" t="n">
        <v>0.616915</v>
      </c>
      <c r="BO123" s="28" t="n"/>
      <c r="BP123" s="25" t="n"/>
      <c r="BQ123" s="27" t="n">
        <v>1.613497</v>
      </c>
      <c r="BR123" s="28" t="n">
        <v>0.62</v>
      </c>
      <c r="BS123" s="28" t="n"/>
      <c r="BT123" s="28" t="n"/>
      <c r="BU123" s="25" t="n"/>
      <c r="BV123" s="29" t="n"/>
      <c r="BW123" s="24" t="n"/>
      <c r="BX123" s="30" t="n"/>
      <c r="BY123" s="27" t="n"/>
      <c r="BZ123" s="24" t="n"/>
      <c r="CA123" s="31" t="n"/>
      <c r="CB123" s="24" t="n"/>
      <c r="CC123" s="24" t="inlineStr">
        <is>
          <t>0.4182489247</t>
        </is>
      </c>
      <c r="CD123" s="24" t="inlineStr">
        <is>
          <t>-3.451557</t>
        </is>
      </c>
      <c r="CE123" s="24" t="inlineStr">
        <is>
          <t>1.153</t>
        </is>
      </c>
      <c r="CF123" s="24" t="inlineStr">
        <is>
          <t>1.0254</t>
        </is>
      </c>
      <c r="CG123" s="24" t="inlineStr">
        <is>
          <t>1.0</t>
        </is>
      </c>
      <c r="CH123" s="24" t="n"/>
      <c r="CI123" s="24" t="n"/>
      <c r="CJ123" s="24" t="n"/>
      <c r="CK123" s="24" t="n"/>
      <c r="CL123" s="24" t="n"/>
      <c r="CM123" s="24" t="n"/>
      <c r="CN123" s="24" t="n"/>
      <c r="CO123" s="24" t="n"/>
    </row>
    <row r="124" ht="36" customHeight="1">
      <c r="A124" s="24" t="inlineStr">
        <is>
          <t>a8302dcd85cc4351</t>
        </is>
      </c>
      <c r="B124" s="24" t="inlineStr">
        <is>
          <t>2026-08-01T23:52:39.479166Z</t>
        </is>
      </c>
      <c r="C124" s="24" t="inlineStr">
        <is>
          <t>2026-08-02T00:10Z</t>
        </is>
      </c>
      <c r="D124" s="24" t="inlineStr">
        <is>
          <t>401816356</t>
        </is>
      </c>
      <c r="E124" s="24" t="inlineStr">
        <is>
          <t>MLB</t>
        </is>
      </c>
      <c r="F124" s="24" t="inlineStr">
        <is>
          <t>Kansas City Royals</t>
        </is>
      </c>
      <c r="G124" s="24" t="inlineStr">
        <is>
          <t>Colorado Rockies</t>
        </is>
      </c>
      <c r="H124" s="24" t="inlineStr">
        <is>
          <t>spread</t>
        </is>
      </c>
      <c r="I124" s="24" t="inlineStr">
        <is>
          <t>away</t>
        </is>
      </c>
      <c r="J124" s="25" t="n">
        <v>1.5</v>
      </c>
      <c r="K124" s="24" t="inlineStr">
        <is>
          <t>polymarket_us</t>
        </is>
      </c>
      <c r="L124" s="26" t="n">
        <v>-167</v>
      </c>
      <c r="M124" s="27" t="n">
        <v>1.598802</v>
      </c>
      <c r="N124" s="28" t="n">
        <v>0.625468</v>
      </c>
      <c r="O124" s="28" t="n">
        <v>0.608274</v>
      </c>
      <c r="P124" s="28" t="n">
        <v>0.042131</v>
      </c>
      <c r="Q124" s="28" t="n">
        <v>-0.017194</v>
      </c>
      <c r="R124" s="26" t="n">
        <v>16</v>
      </c>
      <c r="S124" s="29" t="n">
        <v>1.5</v>
      </c>
      <c r="T124" s="24" t="inlineStr">
        <is>
          <t>measured-edge-margin-v2</t>
        </is>
      </c>
      <c r="U124" s="24" t="inlineStr">
        <is>
          <t>settled</t>
        </is>
      </c>
      <c r="V124" s="24" t="inlineStr">
        <is>
          <t>loss</t>
        </is>
      </c>
      <c r="W124" s="26" t="n">
        <v>6</v>
      </c>
      <c r="X124" s="26" t="n">
        <v>12</v>
      </c>
      <c r="Y124" s="25" t="n">
        <v>1.5</v>
      </c>
      <c r="Z124" s="26" t="n">
        <v>-167</v>
      </c>
      <c r="AA124" s="28" t="n">
        <v>0.625</v>
      </c>
      <c r="AB124" s="28" t="n">
        <v>-0.000468</v>
      </c>
      <c r="AC124" s="30" t="n">
        <v>-1.5</v>
      </c>
      <c r="AD124" s="24" t="inlineStr">
        <is>
          <t>2026-08-02T03:26:04.987733Z</t>
        </is>
      </c>
      <c r="AE124" s="31" t="inlineStr">
        <is>
          <t>Measured Edge Margin: Trend Engine projected 5.10-5.03; raw selected-side p=0.6650, calibrated p=0.6083.</t>
        </is>
      </c>
      <c r="AF124" s="31" t="inlineStr">
        <is>
          <t>Research-only; lineup, bullpen, park, weather, xFIP, and wRC+ may be neutral fallbacks; market availability and BBO depth may change before first pitch.</t>
        </is>
      </c>
      <c r="AG124" s="24" t="inlineStr">
        <is>
          <t>review_required</t>
        </is>
      </c>
      <c r="AH124" s="24" t="n"/>
      <c r="AI124" s="31" t="n"/>
      <c r="AJ124" s="31" t="n"/>
      <c r="AK124" s="24" t="inlineStr">
        <is>
          <t>research_observation</t>
        </is>
      </c>
      <c r="AL124" s="26" t="n">
        <v>3</v>
      </c>
      <c r="AM124" s="24" t="inlineStr">
        <is>
          <t>RESEARCH_OBSERVATION</t>
        </is>
      </c>
      <c r="AN124" s="24" t="inlineStr">
        <is>
          <t>NO_CALL</t>
        </is>
      </c>
      <c r="AO124" s="24" t="inlineStr">
        <is>
          <t>NO_CALL_MODEL_UNVALIDATED</t>
        </is>
      </c>
      <c r="AP124" s="24" t="inlineStr">
        <is>
          <t>mlb-kc</t>
        </is>
      </c>
      <c r="AQ124" s="24" t="inlineStr">
        <is>
          <t>Kansas City Royals</t>
        </is>
      </c>
      <c r="AR124" s="24" t="inlineStr">
        <is>
          <t>Kansas City Royals</t>
        </is>
      </c>
      <c r="AS124" s="24" t="inlineStr">
        <is>
          <t>mlb-col</t>
        </is>
      </c>
      <c r="AT124" s="24" t="inlineStr">
        <is>
          <t>Colorado Rockies</t>
        </is>
      </c>
      <c r="AU124" s="24" t="inlineStr">
        <is>
          <t>Colorado Rockies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research</t>
        </is>
      </c>
      <c r="BA124" s="24" t="inlineStr">
        <is>
          <t>8360b122264b796b0fb193095cfe4506c7e064e5f3f8c0a659aec41efd08dd25</t>
        </is>
      </c>
      <c r="BB124" s="24" t="inlineStr">
        <is>
          <t>flat_probability_shrinkage_toward_half</t>
        </is>
      </c>
      <c r="BC124" s="24" t="inlineStr">
        <is>
          <t>measured-edge-margin-v2</t>
        </is>
      </c>
      <c r="BD124" s="24" t="inlineStr">
        <is>
          <t>8360b122264b796b0fb193095cfe4506c7e064e5f3f8c0a659aec41efd08dd25</t>
        </is>
      </c>
      <c r="BE124" s="24" t="inlineStr">
        <is>
          <t>v3</t>
        </is>
      </c>
      <c r="BF124" s="24" t="inlineStr">
        <is>
          <t>1</t>
        </is>
      </c>
      <c r="BG124" s="24" t="inlineStr">
        <is>
          <t>measured-edge-paired-v1</t>
        </is>
      </c>
      <c r="BH124" s="24" t="inlineStr">
        <is>
          <t>2026-08-01T23:52:39.479166Z</t>
        </is>
      </c>
      <c r="BI124" s="24" t="inlineStr">
        <is>
          <t>["same_event","same_team_same_day","same_league_same_day"]</t>
        </is>
      </c>
      <c r="BJ124" s="25" t="n">
        <v>1.5</v>
      </c>
      <c r="BK124" s="26" t="n">
        <v>-167</v>
      </c>
      <c r="BL124" s="27" t="n">
        <v>1.598802</v>
      </c>
      <c r="BM124" s="28" t="n">
        <v>0.625468</v>
      </c>
      <c r="BN124" s="28" t="n">
        <v>0.621891</v>
      </c>
      <c r="BO124" s="28" t="n"/>
      <c r="BP124" s="25" t="n"/>
      <c r="BQ124" s="27" t="n">
        <v>1.598802</v>
      </c>
      <c r="BR124" s="28" t="n">
        <v>0.625</v>
      </c>
      <c r="BS124" s="28" t="n"/>
      <c r="BT124" s="28" t="n"/>
      <c r="BU124" s="25" t="n"/>
      <c r="BV124" s="29" t="n"/>
      <c r="BW124" s="24" t="n"/>
      <c r="BX124" s="30" t="n"/>
      <c r="BY124" s="27" t="n"/>
      <c r="BZ124" s="24" t="n"/>
      <c r="CA124" s="31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</row>
    <row r="125" ht="36" customHeight="1">
      <c r="A125" s="24" t="inlineStr">
        <is>
          <t>0f21a302528244cc</t>
        </is>
      </c>
      <c r="B125" s="24" t="inlineStr">
        <is>
          <t>2026-08-01T23:52:39.479166Z</t>
        </is>
      </c>
      <c r="C125" s="24" t="inlineStr">
        <is>
          <t>2026-08-02T00:10Z</t>
        </is>
      </c>
      <c r="D125" s="24" t="inlineStr">
        <is>
          <t>401816356</t>
        </is>
      </c>
      <c r="E125" s="24" t="inlineStr">
        <is>
          <t>MLB</t>
        </is>
      </c>
      <c r="F125" s="24" t="inlineStr">
        <is>
          <t>Kansas City Royals</t>
        </is>
      </c>
      <c r="G125" s="24" t="inlineStr">
        <is>
          <t>Colorado Rockies</t>
        </is>
      </c>
      <c r="H125" s="24" t="inlineStr">
        <is>
          <t>total</t>
        </is>
      </c>
      <c r="I125" s="24" t="inlineStr">
        <is>
          <t>under</t>
        </is>
      </c>
      <c r="J125" s="25" t="n">
        <v>11.5</v>
      </c>
      <c r="K125" s="24" t="inlineStr">
        <is>
          <t>polymarket_us</t>
        </is>
      </c>
      <c r="L125" s="26" t="n">
        <v>100</v>
      </c>
      <c r="M125" s="27" t="n">
        <v>2</v>
      </c>
      <c r="N125" s="28" t="n">
        <v>0.5</v>
      </c>
      <c r="O125" s="28" t="n">
        <v>0.561409</v>
      </c>
      <c r="P125" s="28" t="n">
        <v>0.042131</v>
      </c>
      <c r="Q125" s="28" t="n">
        <v>0.061409</v>
      </c>
      <c r="R125" s="26" t="n">
        <v>55</v>
      </c>
      <c r="S125" s="29" t="n">
        <v>1.25</v>
      </c>
      <c r="T125" s="24" t="inlineStr">
        <is>
          <t>measured-edge-totals-v2</t>
        </is>
      </c>
      <c r="U125" s="24" t="inlineStr">
        <is>
          <t>settled</t>
        </is>
      </c>
      <c r="V125" s="24" t="inlineStr">
        <is>
          <t>loss</t>
        </is>
      </c>
      <c r="W125" s="26" t="n">
        <v>6</v>
      </c>
      <c r="X125" s="26" t="n">
        <v>12</v>
      </c>
      <c r="Y125" s="25" t="n">
        <v>11.5</v>
      </c>
      <c r="Z125" s="26" t="n">
        <v>100</v>
      </c>
      <c r="AA125" s="28" t="n">
        <v>0.5</v>
      </c>
      <c r="AB125" s="28" t="n">
        <v>0</v>
      </c>
      <c r="AC125" s="30" t="n">
        <v>-1.25</v>
      </c>
      <c r="AD125" s="24" t="inlineStr">
        <is>
          <t>2026-08-02T03:26:05.548958Z</t>
        </is>
      </c>
      <c r="AE125" s="31" t="inlineStr">
        <is>
          <t>Measured Edge Totals: Trend Engine projected 5.10-5.03; raw selected-side p=0.6564, calibrated p=0.5614.</t>
        </is>
      </c>
      <c r="AF125" s="31" t="inlineStr">
        <is>
          <t>Research-only; lineup, bullpen, park, weather, xFIP, and wRC+ may be neutral fallbacks; market availability and BBO depth may change before first pitch.</t>
        </is>
      </c>
      <c r="AG125" s="24" t="inlineStr">
        <is>
          <t>review_required</t>
        </is>
      </c>
      <c r="AH125" s="24" t="n"/>
      <c r="AI125" s="31" t="n"/>
      <c r="AJ125" s="31" t="n"/>
      <c r="AK125" s="24" t="inlineStr">
        <is>
          <t>research_observation</t>
        </is>
      </c>
      <c r="AL125" s="26" t="n">
        <v>3</v>
      </c>
      <c r="AM125" s="24" t="inlineStr">
        <is>
          <t>RESEARCH_OBSERVATION</t>
        </is>
      </c>
      <c r="AN125" s="24" t="inlineStr">
        <is>
          <t>NO_CALL</t>
        </is>
      </c>
      <c r="AO125" s="24" t="inlineStr">
        <is>
          <t>NO_CALL_MODEL_UNVALIDATED</t>
        </is>
      </c>
      <c r="AP125" s="24" t="inlineStr">
        <is>
          <t>mlb-kc</t>
        </is>
      </c>
      <c r="AQ125" s="24" t="inlineStr">
        <is>
          <t>Kansas City Royals</t>
        </is>
      </c>
      <c r="AR125" s="24" t="inlineStr">
        <is>
          <t>Kansas City Royals</t>
        </is>
      </c>
      <c r="AS125" s="24" t="inlineStr">
        <is>
          <t>mlb-col</t>
        </is>
      </c>
      <c r="AT125" s="24" t="inlineStr">
        <is>
          <t>Colorado Rockies</t>
        </is>
      </c>
      <c r="AU125" s="24" t="inlineStr">
        <is>
          <t>Colorado Rockies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research</t>
        </is>
      </c>
      <c r="BA125" s="24" t="inlineStr">
        <is>
          <t>433578016242b27f9c1c7132cc6b5a2bcc7dd1b0234590c12a944455a88e71bd</t>
        </is>
      </c>
      <c r="BB125" s="24" t="inlineStr">
        <is>
          <t>flat_probability_shrinkage_toward_half</t>
        </is>
      </c>
      <c r="BC125" s="24" t="inlineStr">
        <is>
          <t>measured-edge-totals-v2</t>
        </is>
      </c>
      <c r="BD125" s="24" t="inlineStr">
        <is>
          <t>433578016242b27f9c1c7132cc6b5a2bcc7dd1b0234590c12a944455a88e71bd</t>
        </is>
      </c>
      <c r="BE125" s="24" t="inlineStr">
        <is>
          <t>v3</t>
        </is>
      </c>
      <c r="BF125" s="24" t="inlineStr">
        <is>
          <t>1</t>
        </is>
      </c>
      <c r="BG125" s="24" t="inlineStr">
        <is>
          <t>measured-edge-paired-v1</t>
        </is>
      </c>
      <c r="BH125" s="24" t="inlineStr">
        <is>
          <t>2026-08-01T23:52:39.479166Z</t>
        </is>
      </c>
      <c r="BI125" s="24" t="inlineStr">
        <is>
          <t>["same_event","same_team_same_day","same_league_same_day"]</t>
        </is>
      </c>
      <c r="BJ125" s="25" t="n">
        <v>11.5</v>
      </c>
      <c r="BK125" s="26" t="n">
        <v>100</v>
      </c>
      <c r="BL125" s="27" t="n">
        <v>2</v>
      </c>
      <c r="BM125" s="28" t="n">
        <v>0.5</v>
      </c>
      <c r="BN125" s="28" t="n">
        <v>0.497512</v>
      </c>
      <c r="BO125" s="28" t="n"/>
      <c r="BP125" s="25" t="n"/>
      <c r="BQ125" s="27" t="n">
        <v>2</v>
      </c>
      <c r="BR125" s="28" t="n">
        <v>0.5</v>
      </c>
      <c r="BS125" s="28" t="n"/>
      <c r="BT125" s="28" t="n"/>
      <c r="BU125" s="25" t="n"/>
      <c r="BV125" s="29" t="n"/>
      <c r="BW125" s="24" t="n"/>
      <c r="BX125" s="30" t="n"/>
      <c r="BY125" s="27" t="n"/>
      <c r="BZ125" s="24" t="n"/>
      <c r="CA125" s="31" t="n"/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</row>
    <row r="126" ht="36" customHeight="1">
      <c r="A126" s="24" t="inlineStr">
        <is>
          <t>cd2d9862386a4efc</t>
        </is>
      </c>
      <c r="B126" s="24" t="inlineStr">
        <is>
          <t>2026-08-01T23:52:39.479166Z</t>
        </is>
      </c>
      <c r="C126" s="24" t="inlineStr">
        <is>
          <t>2026-08-02T00:40Z</t>
        </is>
      </c>
      <c r="D126" s="24" t="inlineStr">
        <is>
          <t>401816361</t>
        </is>
      </c>
      <c r="E126" s="24" t="inlineStr">
        <is>
          <t>MLB</t>
        </is>
      </c>
      <c r="F126" s="24" t="inlineStr">
        <is>
          <t>San Francisco Giants</t>
        </is>
      </c>
      <c r="G126" s="24" t="inlineStr">
        <is>
          <t>San Diego Padres</t>
        </is>
      </c>
      <c r="H126" s="24" t="inlineStr">
        <is>
          <t>spread</t>
        </is>
      </c>
      <c r="I126" s="24" t="inlineStr">
        <is>
          <t>away</t>
        </is>
      </c>
      <c r="J126" s="25" t="n">
        <v>1.5</v>
      </c>
      <c r="K126" s="24" t="inlineStr">
        <is>
          <t>polymarket_us</t>
        </is>
      </c>
      <c r="L126" s="26" t="n">
        <v>-153</v>
      </c>
      <c r="M126" s="27" t="n">
        <v>1.653595</v>
      </c>
      <c r="N126" s="28" t="n">
        <v>0.604743</v>
      </c>
      <c r="O126" s="28" t="n">
        <v>0.621429</v>
      </c>
      <c r="P126" s="28" t="n">
        <v>0.042131</v>
      </c>
      <c r="Q126" s="28" t="n">
        <v>0.016686</v>
      </c>
      <c r="R126" s="26" t="n">
        <v>33</v>
      </c>
      <c r="S126" s="29" t="n">
        <v>1.5</v>
      </c>
      <c r="T126" s="24" t="inlineStr">
        <is>
          <t>measured-edge-margin-v2</t>
        </is>
      </c>
      <c r="U126" s="24" t="inlineStr">
        <is>
          <t>settled</t>
        </is>
      </c>
      <c r="V126" s="24" t="inlineStr">
        <is>
          <t>win</t>
        </is>
      </c>
      <c r="W126" s="26" t="n">
        <v>5</v>
      </c>
      <c r="X126" s="26" t="n">
        <v>6</v>
      </c>
      <c r="Y126" s="25" t="n">
        <v>1.5</v>
      </c>
      <c r="Z126" s="26" t="n">
        <v>-153</v>
      </c>
      <c r="AA126" s="28" t="n">
        <v>0.605</v>
      </c>
      <c r="AB126" s="28" t="n">
        <v>0.000257</v>
      </c>
      <c r="AC126" s="30" t="n">
        <v>0.9804</v>
      </c>
      <c r="AD126" s="24" t="inlineStr">
        <is>
          <t>2026-08-02T04:26:13.568842Z</t>
        </is>
      </c>
      <c r="AE126" s="31" t="inlineStr">
        <is>
          <t>Measured Edge Margin: Trend Engine projected 4.97-4.72; raw selected-side p=0.6850, calibrated p=0.6214.</t>
        </is>
      </c>
      <c r="AF126" s="31" t="inlineStr">
        <is>
          <t>Research-only; lineup, bullpen, park, weather, xFIP, and wRC+ may be neutral fallbacks; market availability and BBO depth may change before first pitch.</t>
        </is>
      </c>
      <c r="AG126" s="24" t="inlineStr">
        <is>
          <t>not_applicable</t>
        </is>
      </c>
      <c r="AH126" s="24" t="n"/>
      <c r="AI126" s="31" t="n"/>
      <c r="AJ126" s="31" t="n"/>
      <c r="AK126" s="24" t="inlineStr">
        <is>
          <t>research_observation</t>
        </is>
      </c>
      <c r="AL126" s="26" t="n">
        <v>3</v>
      </c>
      <c r="AM126" s="24" t="inlineStr">
        <is>
          <t>RESEARCH_OBSERVATION</t>
        </is>
      </c>
      <c r="AN126" s="24" t="inlineStr">
        <is>
          <t>NO_CALL</t>
        </is>
      </c>
      <c r="AO126" s="24" t="inlineStr">
        <is>
          <t>NO_CALL_MODEL_UNVALIDATED</t>
        </is>
      </c>
      <c r="AP126" s="24" t="inlineStr">
        <is>
          <t>mlb-sf</t>
        </is>
      </c>
      <c r="AQ126" s="24" t="inlineStr">
        <is>
          <t>San Francisco Giants</t>
        </is>
      </c>
      <c r="AR126" s="24" t="inlineStr">
        <is>
          <t>San Francisco Giants</t>
        </is>
      </c>
      <c r="AS126" s="24" t="inlineStr">
        <is>
          <t>mlb-sd</t>
        </is>
      </c>
      <c r="AT126" s="24" t="inlineStr">
        <is>
          <t>San Diego Padres</t>
        </is>
      </c>
      <c r="AU126" s="24" t="inlineStr">
        <is>
          <t>San Diego Padres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research</t>
        </is>
      </c>
      <c r="BA126" s="24" t="inlineStr">
        <is>
          <t>8360b122264b796b0fb193095cfe4506c7e064e5f3f8c0a659aec41efd08dd25</t>
        </is>
      </c>
      <c r="BB126" s="24" t="inlineStr">
        <is>
          <t>flat_probability_shrinkage_toward_half</t>
        </is>
      </c>
      <c r="BC126" s="24" t="inlineStr">
        <is>
          <t>measured-edge-margin-v2</t>
        </is>
      </c>
      <c r="BD126" s="24" t="inlineStr">
        <is>
          <t>8360b122264b796b0fb193095cfe4506c7e064e5f3f8c0a659aec41efd08dd25</t>
        </is>
      </c>
      <c r="BE126" s="24" t="inlineStr">
        <is>
          <t>v3</t>
        </is>
      </c>
      <c r="BF126" s="24" t="inlineStr">
        <is>
          <t>1</t>
        </is>
      </c>
      <c r="BG126" s="24" t="inlineStr">
        <is>
          <t>measured-edge-paired-v1</t>
        </is>
      </c>
      <c r="BH126" s="24" t="inlineStr">
        <is>
          <t>2026-08-01T23:52:39.479166Z</t>
        </is>
      </c>
      <c r="BI126" s="24" t="inlineStr">
        <is>
          <t>["same_event","same_team_same_day","same_league_same_day"]</t>
        </is>
      </c>
      <c r="BJ126" s="25" t="n">
        <v>1.5</v>
      </c>
      <c r="BK126" s="26" t="n">
        <v>-153</v>
      </c>
      <c r="BL126" s="27" t="n">
        <v>1.653595</v>
      </c>
      <c r="BM126" s="28" t="n">
        <v>0.604743</v>
      </c>
      <c r="BN126" s="28" t="n">
        <v>0.60199</v>
      </c>
      <c r="BO126" s="28" t="n"/>
      <c r="BP126" s="25" t="n"/>
      <c r="BQ126" s="27" t="n">
        <v>1.653595</v>
      </c>
      <c r="BR126" s="28" t="n">
        <v>0.605</v>
      </c>
      <c r="BS126" s="28" t="n"/>
      <c r="BT126" s="28" t="n"/>
      <c r="BU126" s="25" t="n"/>
      <c r="BV126" s="29" t="n"/>
      <c r="BW126" s="24" t="n"/>
      <c r="BX126" s="30" t="n"/>
      <c r="BY126" s="27" t="n"/>
      <c r="BZ126" s="24" t="n"/>
      <c r="CA126" s="31" t="n"/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</row>
    <row r="127" ht="36" customHeight="1">
      <c r="A127" s="24" t="inlineStr">
        <is>
          <t>460d3ac964b54fb9</t>
        </is>
      </c>
      <c r="B127" s="24" t="inlineStr">
        <is>
          <t>2026-08-01T23:52:39.479166Z</t>
        </is>
      </c>
      <c r="C127" s="24" t="inlineStr">
        <is>
          <t>2026-08-02T00:40Z</t>
        </is>
      </c>
      <c r="D127" s="24" t="inlineStr">
        <is>
          <t>401816361</t>
        </is>
      </c>
      <c r="E127" s="24" t="inlineStr">
        <is>
          <t>MLB</t>
        </is>
      </c>
      <c r="F127" s="24" t="inlineStr">
        <is>
          <t>San Francisco Giants</t>
        </is>
      </c>
      <c r="G127" s="24" t="inlineStr">
        <is>
          <t>San Diego Padres</t>
        </is>
      </c>
      <c r="H127" s="24" t="inlineStr">
        <is>
          <t>total</t>
        </is>
      </c>
      <c r="I127" s="24" t="inlineStr">
        <is>
          <t>over</t>
        </is>
      </c>
      <c r="J127" s="25" t="n">
        <v>8.5</v>
      </c>
      <c r="K127" s="24" t="inlineStr">
        <is>
          <t>polymarket_us</t>
        </is>
      </c>
      <c r="L127" s="26" t="n">
        <v>108</v>
      </c>
      <c r="M127" s="27" t="n">
        <v>2.08</v>
      </c>
      <c r="N127" s="28" t="n">
        <v>0.480769</v>
      </c>
      <c r="O127" s="28" t="n">
        <v>0.5338000000000001</v>
      </c>
      <c r="P127" s="28" t="n">
        <v>0.042131</v>
      </c>
      <c r="Q127" s="28" t="n">
        <v>0.053031</v>
      </c>
      <c r="R127" s="26" t="n">
        <v>51</v>
      </c>
      <c r="S127" s="29" t="n">
        <v>1</v>
      </c>
      <c r="T127" s="24" t="inlineStr">
        <is>
          <t>measured-edge-totals-v2</t>
        </is>
      </c>
      <c r="U127" s="24" t="inlineStr">
        <is>
          <t>settled</t>
        </is>
      </c>
      <c r="V127" s="24" t="inlineStr">
        <is>
          <t>win</t>
        </is>
      </c>
      <c r="W127" s="26" t="n">
        <v>5</v>
      </c>
      <c r="X127" s="26" t="n">
        <v>6</v>
      </c>
      <c r="Y127" s="25" t="n">
        <v>8.5</v>
      </c>
      <c r="Z127" s="26" t="n">
        <v>108</v>
      </c>
      <c r="AA127" s="28" t="n">
        <v>0.48</v>
      </c>
      <c r="AB127" s="28" t="n">
        <v>-0.000769</v>
      </c>
      <c r="AC127" s="30" t="n">
        <v>1.08</v>
      </c>
      <c r="AD127" s="24" t="inlineStr">
        <is>
          <t>2026-08-02T04:26:14.039588Z</t>
        </is>
      </c>
      <c r="AE127" s="31" t="inlineStr">
        <is>
          <t>Measured Edge Totals: Trend Engine projected 4.97-4.72; raw selected-side p=0.5756, calibrated p=0.5338.</t>
        </is>
      </c>
      <c r="AF127" s="31" t="inlineStr">
        <is>
          <t>Research-only; lineup, bullpen, park, weather, xFIP, and wRC+ may be neutral fallbacks; market availability and BBO depth may change before first pitch.</t>
        </is>
      </c>
      <c r="AG127" s="24" t="inlineStr">
        <is>
          <t>not_applicable</t>
        </is>
      </c>
      <c r="AH127" s="24" t="n"/>
      <c r="AI127" s="31" t="n"/>
      <c r="AJ127" s="31" t="n"/>
      <c r="AK127" s="24" t="inlineStr">
        <is>
          <t>research_observation</t>
        </is>
      </c>
      <c r="AL127" s="26" t="n">
        <v>3</v>
      </c>
      <c r="AM127" s="24" t="inlineStr">
        <is>
          <t>RESEARCH_OBSERVATION</t>
        </is>
      </c>
      <c r="AN127" s="24" t="inlineStr">
        <is>
          <t>NO_CALL</t>
        </is>
      </c>
      <c r="AO127" s="24" t="inlineStr">
        <is>
          <t>NO_CALL_MODEL_UNVALIDATED</t>
        </is>
      </c>
      <c r="AP127" s="24" t="inlineStr">
        <is>
          <t>mlb-sf</t>
        </is>
      </c>
      <c r="AQ127" s="24" t="inlineStr">
        <is>
          <t>San Francisco Giants</t>
        </is>
      </c>
      <c r="AR127" s="24" t="inlineStr">
        <is>
          <t>San Francisco Giants</t>
        </is>
      </c>
      <c r="AS127" s="24" t="inlineStr">
        <is>
          <t>mlb-sd</t>
        </is>
      </c>
      <c r="AT127" s="24" t="inlineStr">
        <is>
          <t>San Diego Padres</t>
        </is>
      </c>
      <c r="AU127" s="24" t="inlineStr">
        <is>
          <t>San Diego Padres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research</t>
        </is>
      </c>
      <c r="BA127" s="24" t="inlineStr">
        <is>
          <t>433578016242b27f9c1c7132cc6b5a2bcc7dd1b0234590c12a944455a88e71bd</t>
        </is>
      </c>
      <c r="BB127" s="24" t="inlineStr">
        <is>
          <t>flat_probability_shrinkage_toward_half</t>
        </is>
      </c>
      <c r="BC127" s="24" t="inlineStr">
        <is>
          <t>measured-edge-totals-v2</t>
        </is>
      </c>
      <c r="BD127" s="24" t="inlineStr">
        <is>
          <t>433578016242b27f9c1c7132cc6b5a2bcc7dd1b0234590c12a944455a88e71bd</t>
        </is>
      </c>
      <c r="BE127" s="24" t="inlineStr">
        <is>
          <t>v3</t>
        </is>
      </c>
      <c r="BF127" s="24" t="inlineStr">
        <is>
          <t>1</t>
        </is>
      </c>
      <c r="BG127" s="24" t="inlineStr">
        <is>
          <t>measured-edge-paired-v1</t>
        </is>
      </c>
      <c r="BH127" s="24" t="inlineStr">
        <is>
          <t>2026-08-01T23:52:39.479166Z</t>
        </is>
      </c>
      <c r="BI127" s="24" t="inlineStr">
        <is>
          <t>["same_event","same_team_same_day","same_league_same_day"]</t>
        </is>
      </c>
      <c r="BJ127" s="25" t="n">
        <v>8.5</v>
      </c>
      <c r="BK127" s="26" t="n">
        <v>108</v>
      </c>
      <c r="BL127" s="27" t="n">
        <v>2.08</v>
      </c>
      <c r="BM127" s="28" t="n">
        <v>0.480769</v>
      </c>
      <c r="BN127" s="28" t="n">
        <v>0.477612</v>
      </c>
      <c r="BO127" s="28" t="n"/>
      <c r="BP127" s="25" t="n"/>
      <c r="BQ127" s="27" t="n">
        <v>2.08</v>
      </c>
      <c r="BR127" s="28" t="n">
        <v>0.48</v>
      </c>
      <c r="BS127" s="28" t="n"/>
      <c r="BT127" s="28" t="n"/>
      <c r="BU127" s="25" t="n"/>
      <c r="BV127" s="29" t="n"/>
      <c r="BW127" s="24" t="n"/>
      <c r="BX127" s="30" t="n"/>
      <c r="BY127" s="27" t="n"/>
      <c r="BZ127" s="24" t="n"/>
      <c r="CA127" s="31" t="n"/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</row>
    <row r="128" ht="36" customHeight="1">
      <c r="A128" s="24" t="inlineStr">
        <is>
          <t>33bd68b7d7af45d1</t>
        </is>
      </c>
      <c r="B128" s="24" t="inlineStr">
        <is>
          <t>2026-08-01T23:52:39.479166Z</t>
        </is>
      </c>
      <c r="C128" s="24" t="inlineStr">
        <is>
          <t>2026-08-02T01:10Z</t>
        </is>
      </c>
      <c r="D128" s="24" t="inlineStr">
        <is>
          <t>401816357</t>
        </is>
      </c>
      <c r="E128" s="24" t="inlineStr">
        <is>
          <t>MLB</t>
        </is>
      </c>
      <c r="F128" s="24" t="inlineStr">
        <is>
          <t>Boston Red Sox</t>
        </is>
      </c>
      <c r="G128" s="24" t="inlineStr">
        <is>
          <t>Los Angeles Dodgers</t>
        </is>
      </c>
      <c r="H128" s="24" t="inlineStr">
        <is>
          <t>spread</t>
        </is>
      </c>
      <c r="I128" s="24" t="inlineStr">
        <is>
          <t>away</t>
        </is>
      </c>
      <c r="J128" s="25" t="n">
        <v>1.5</v>
      </c>
      <c r="K128" s="24" t="inlineStr">
        <is>
          <t>polymarket_us</t>
        </is>
      </c>
      <c r="L128" s="26" t="n">
        <v>-138</v>
      </c>
      <c r="M128" s="27" t="n">
        <v>1.724638</v>
      </c>
      <c r="N128" s="28" t="n">
        <v>0.579832</v>
      </c>
      <c r="O128" s="28" t="n">
        <v>0.5855399999999999</v>
      </c>
      <c r="P128" s="28" t="n">
        <v>0.042131</v>
      </c>
      <c r="Q128" s="28" t="n">
        <v>0.005708</v>
      </c>
      <c r="R128" s="26" t="n">
        <v>28</v>
      </c>
      <c r="S128" s="29" t="n">
        <v>1.25</v>
      </c>
      <c r="T128" s="24" t="inlineStr">
        <is>
          <t>measured-edge-margin-v2</t>
        </is>
      </c>
      <c r="U128" s="24" t="inlineStr">
        <is>
          <t>settled</t>
        </is>
      </c>
      <c r="V128" s="24" t="inlineStr">
        <is>
          <t>win</t>
        </is>
      </c>
      <c r="W128" s="26" t="n">
        <v>3</v>
      </c>
      <c r="X128" s="26" t="n">
        <v>2</v>
      </c>
      <c r="Y128" s="25" t="n">
        <v>1.5</v>
      </c>
      <c r="Z128" s="26" t="n">
        <v>-138</v>
      </c>
      <c r="AA128" s="28" t="n">
        <v>0.58</v>
      </c>
      <c r="AB128" s="28" t="n">
        <v>0.000168</v>
      </c>
      <c r="AC128" s="30" t="n">
        <v>0.9058</v>
      </c>
      <c r="AD128" s="24" t="inlineStr">
        <is>
          <t>2026-08-02T03:26:06.086063Z</t>
        </is>
      </c>
      <c r="AE128" s="31" t="inlineStr">
        <is>
          <t>Measured Edge Margin: Trend Engine projected 4.26-4.73; raw selected-side p=0.6303, calibrated p=0.5855.</t>
        </is>
      </c>
      <c r="AF128" s="31" t="inlineStr">
        <is>
          <t>Research-only; lineup, bullpen, park, weather, xFIP, and wRC+ may be neutral fallbacks; market availability and BBO depth may change before first pitch.</t>
        </is>
      </c>
      <c r="AG128" s="24" t="inlineStr">
        <is>
          <t>not_applicable</t>
        </is>
      </c>
      <c r="AH128" s="24" t="n"/>
      <c r="AI128" s="31" t="n"/>
      <c r="AJ128" s="31" t="n"/>
      <c r="AK128" s="24" t="inlineStr">
        <is>
          <t>research_observation</t>
        </is>
      </c>
      <c r="AL128" s="26" t="n">
        <v>3</v>
      </c>
      <c r="AM128" s="24" t="inlineStr">
        <is>
          <t>RESEARCH_OBSERVATION</t>
        </is>
      </c>
      <c r="AN128" s="24" t="inlineStr">
        <is>
          <t>NO_CALL</t>
        </is>
      </c>
      <c r="AO128" s="24" t="inlineStr">
        <is>
          <t>NO_CALL_MODEL_UNVALIDATED</t>
        </is>
      </c>
      <c r="AP128" s="24" t="inlineStr">
        <is>
          <t>mlb-bos</t>
        </is>
      </c>
      <c r="AQ128" s="24" t="inlineStr">
        <is>
          <t>Boston Red Sox</t>
        </is>
      </c>
      <c r="AR128" s="24" t="inlineStr">
        <is>
          <t>Boston Red Sox</t>
        </is>
      </c>
      <c r="AS128" s="24" t="inlineStr">
        <is>
          <t>mlb-lad</t>
        </is>
      </c>
      <c r="AT128" s="24" t="inlineStr">
        <is>
          <t>Los Angeles Dodgers</t>
        </is>
      </c>
      <c r="AU128" s="24" t="inlineStr">
        <is>
          <t>Los Angeles Dodgers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research</t>
        </is>
      </c>
      <c r="BA128" s="24" t="inlineStr">
        <is>
          <t>8360b122264b796b0fb193095cfe4506c7e064e5f3f8c0a659aec41efd08dd25</t>
        </is>
      </c>
      <c r="BB128" s="24" t="inlineStr">
        <is>
          <t>flat_probability_shrinkage_toward_half</t>
        </is>
      </c>
      <c r="BC128" s="24" t="inlineStr">
        <is>
          <t>measured-edge-margin-v2</t>
        </is>
      </c>
      <c r="BD128" s="24" t="inlineStr">
        <is>
          <t>8360b122264b796b0fb193095cfe4506c7e064e5f3f8c0a659aec41efd08dd25</t>
        </is>
      </c>
      <c r="BE128" s="24" t="inlineStr">
        <is>
          <t>v3</t>
        </is>
      </c>
      <c r="BF128" s="24" t="inlineStr">
        <is>
          <t>1</t>
        </is>
      </c>
      <c r="BG128" s="24" t="inlineStr">
        <is>
          <t>measured-edge-paired-v1</t>
        </is>
      </c>
      <c r="BH128" s="24" t="inlineStr">
        <is>
          <t>2026-08-01T23:52:39.479166Z</t>
        </is>
      </c>
      <c r="BI128" s="24" t="inlineStr">
        <is>
          <t>["same_event","same_team_same_day","same_league_same_day"]</t>
        </is>
      </c>
      <c r="BJ128" s="25" t="n">
        <v>1.5</v>
      </c>
      <c r="BK128" s="26" t="n">
        <v>-138</v>
      </c>
      <c r="BL128" s="27" t="n">
        <v>1.724638</v>
      </c>
      <c r="BM128" s="28" t="n">
        <v>0.579832</v>
      </c>
      <c r="BN128" s="28" t="n">
        <v>0.577114</v>
      </c>
      <c r="BO128" s="28" t="n"/>
      <c r="BP128" s="25" t="n"/>
      <c r="BQ128" s="27" t="n">
        <v>1.724638</v>
      </c>
      <c r="BR128" s="28" t="n">
        <v>0.58</v>
      </c>
      <c r="BS128" s="28" t="n"/>
      <c r="BT128" s="28" t="n"/>
      <c r="BU128" s="25" t="n"/>
      <c r="BV128" s="29" t="n"/>
      <c r="BW128" s="24" t="n"/>
      <c r="BX128" s="30" t="n"/>
      <c r="BY128" s="27" t="n"/>
      <c r="BZ128" s="24" t="n"/>
      <c r="CA128" s="31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</row>
    <row r="129" ht="36" customHeight="1">
      <c r="A129" s="24" t="inlineStr">
        <is>
          <t>fd4b348108b34346</t>
        </is>
      </c>
      <c r="B129" s="24" t="inlineStr">
        <is>
          <t>2026-08-01T23:52:39.479166Z</t>
        </is>
      </c>
      <c r="C129" s="24" t="inlineStr">
        <is>
          <t>2026-08-02T01:10Z</t>
        </is>
      </c>
      <c r="D129" s="24" t="inlineStr">
        <is>
          <t>401816357</t>
        </is>
      </c>
      <c r="E129" s="24" t="inlineStr">
        <is>
          <t>MLB</t>
        </is>
      </c>
      <c r="F129" s="24" t="inlineStr">
        <is>
          <t>Boston Red Sox</t>
        </is>
      </c>
      <c r="G129" s="24" t="inlineStr">
        <is>
          <t>Los Angeles Dodgers</t>
        </is>
      </c>
      <c r="H129" s="24" t="inlineStr">
        <is>
          <t>total</t>
        </is>
      </c>
      <c r="I129" s="24" t="inlineStr">
        <is>
          <t>over</t>
        </is>
      </c>
      <c r="J129" s="25" t="n">
        <v>7.5</v>
      </c>
      <c r="K129" s="24" t="inlineStr">
        <is>
          <t>polymarket_us</t>
        </is>
      </c>
      <c r="L129" s="26" t="n">
        <v>117</v>
      </c>
      <c r="M129" s="27" t="n">
        <v>2.17</v>
      </c>
      <c r="N129" s="28" t="n">
        <v>0.460829</v>
      </c>
      <c r="O129" s="28" t="n">
        <v>0.536875</v>
      </c>
      <c r="P129" s="28" t="n">
        <v>0.042131</v>
      </c>
      <c r="Q129" s="28" t="n">
        <v>0.076046</v>
      </c>
      <c r="R129" s="26" t="n">
        <v>63</v>
      </c>
      <c r="S129" s="29" t="n">
        <v>1</v>
      </c>
      <c r="T129" s="24" t="inlineStr">
        <is>
          <t>measured-edge-totals-v2</t>
        </is>
      </c>
      <c r="U129" s="24" t="inlineStr">
        <is>
          <t>settled</t>
        </is>
      </c>
      <c r="V129" s="24" t="inlineStr">
        <is>
          <t>loss</t>
        </is>
      </c>
      <c r="W129" s="26" t="n">
        <v>3</v>
      </c>
      <c r="X129" s="26" t="n">
        <v>2</v>
      </c>
      <c r="Y129" s="25" t="n">
        <v>7.5</v>
      </c>
      <c r="Z129" s="26" t="n">
        <v>117</v>
      </c>
      <c r="AA129" s="28" t="n">
        <v>0.46</v>
      </c>
      <c r="AB129" s="28" t="n">
        <v>-0.000829</v>
      </c>
      <c r="AC129" s="30" t="n">
        <v>-1</v>
      </c>
      <c r="AD129" s="24" t="inlineStr">
        <is>
          <t>2026-08-02T03:26:06.617227Z</t>
        </is>
      </c>
      <c r="AE129" s="31" t="inlineStr">
        <is>
          <t>Measured Edge Totals: Trend Engine projected 4.26-4.73; raw selected-side p=0.5847, calibrated p=0.5369.</t>
        </is>
      </c>
      <c r="AF129" s="31" t="inlineStr">
        <is>
          <t>Research-only; lineup, bullpen, park, weather, xFIP, and wRC+ may be neutral fallbacks; market availability and BBO depth may change before first pitch.</t>
        </is>
      </c>
      <c r="AG129" s="24" t="inlineStr">
        <is>
          <t>review_required</t>
        </is>
      </c>
      <c r="AH129" s="24" t="n"/>
      <c r="AI129" s="31" t="n"/>
      <c r="AJ129" s="31" t="n"/>
      <c r="AK129" s="24" t="inlineStr">
        <is>
          <t>research_observation</t>
        </is>
      </c>
      <c r="AL129" s="26" t="n">
        <v>3</v>
      </c>
      <c r="AM129" s="24" t="inlineStr">
        <is>
          <t>RESEARCH_OBSERVATION</t>
        </is>
      </c>
      <c r="AN129" s="24" t="inlineStr">
        <is>
          <t>NO_CALL</t>
        </is>
      </c>
      <c r="AO129" s="24" t="inlineStr">
        <is>
          <t>NO_CALL_MODEL_UNVALIDATED</t>
        </is>
      </c>
      <c r="AP129" s="24" t="inlineStr">
        <is>
          <t>mlb-bos</t>
        </is>
      </c>
      <c r="AQ129" s="24" t="inlineStr">
        <is>
          <t>Boston Red Sox</t>
        </is>
      </c>
      <c r="AR129" s="24" t="inlineStr">
        <is>
          <t>Boston Red Sox</t>
        </is>
      </c>
      <c r="AS129" s="24" t="inlineStr">
        <is>
          <t>mlb-lad</t>
        </is>
      </c>
      <c r="AT129" s="24" t="inlineStr">
        <is>
          <t>Los Angeles Dodgers</t>
        </is>
      </c>
      <c r="AU129" s="24" t="inlineStr">
        <is>
          <t>Los Angeles Dodgers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research</t>
        </is>
      </c>
      <c r="BA129" s="24" t="inlineStr">
        <is>
          <t>433578016242b27f9c1c7132cc6b5a2bcc7dd1b0234590c12a944455a88e71bd</t>
        </is>
      </c>
      <c r="BB129" s="24" t="inlineStr">
        <is>
          <t>flat_probability_shrinkage_toward_half</t>
        </is>
      </c>
      <c r="BC129" s="24" t="inlineStr">
        <is>
          <t>measured-edge-totals-v2</t>
        </is>
      </c>
      <c r="BD129" s="24" t="inlineStr">
        <is>
          <t>433578016242b27f9c1c7132cc6b5a2bcc7dd1b0234590c12a944455a88e71bd</t>
        </is>
      </c>
      <c r="BE129" s="24" t="inlineStr">
        <is>
          <t>v3</t>
        </is>
      </c>
      <c r="BF129" s="24" t="inlineStr">
        <is>
          <t>1</t>
        </is>
      </c>
      <c r="BG129" s="24" t="inlineStr">
        <is>
          <t>measured-edge-paired-v1</t>
        </is>
      </c>
      <c r="BH129" s="24" t="inlineStr">
        <is>
          <t>2026-08-01T23:52:39.479166Z</t>
        </is>
      </c>
      <c r="BI129" s="24" t="inlineStr">
        <is>
          <t>["same_event","same_team_same_day","same_league_same_day"]</t>
        </is>
      </c>
      <c r="BJ129" s="25" t="n">
        <v>7.5</v>
      </c>
      <c r="BK129" s="26" t="n">
        <v>117</v>
      </c>
      <c r="BL129" s="27" t="n">
        <v>2.17</v>
      </c>
      <c r="BM129" s="28" t="n">
        <v>0.460829</v>
      </c>
      <c r="BN129" s="28" t="n">
        <v>0.457711</v>
      </c>
      <c r="BO129" s="28" t="n"/>
      <c r="BP129" s="25" t="n"/>
      <c r="BQ129" s="27" t="n">
        <v>2.17</v>
      </c>
      <c r="BR129" s="28" t="n">
        <v>0.46</v>
      </c>
      <c r="BS129" s="28" t="n"/>
      <c r="BT129" s="28" t="n"/>
      <c r="BU129" s="25" t="n"/>
      <c r="BV129" s="29" t="n"/>
      <c r="BW129" s="24" t="n"/>
      <c r="BX129" s="30" t="n"/>
      <c r="BY129" s="27" t="n"/>
      <c r="BZ129" s="24" t="n"/>
      <c r="CA129" s="31" t="n"/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  <c r="CL129" s="24" t="n"/>
      <c r="CM129" s="24" t="n"/>
      <c r="CN129" s="24" t="n"/>
      <c r="CO129" s="24" t="n"/>
    </row>
    <row r="130" ht="36" customHeight="1">
      <c r="A130" s="24" t="inlineStr">
        <is>
          <t>a68808b3454d43b2</t>
        </is>
      </c>
      <c r="B130" s="24" t="inlineStr">
        <is>
          <t>2026-08-01T23:52:39.479166Z</t>
        </is>
      </c>
      <c r="C130" s="24" t="inlineStr">
        <is>
          <t>2026-08-02T01:38Z</t>
        </is>
      </c>
      <c r="D130" s="24" t="inlineStr">
        <is>
          <t>401816359</t>
        </is>
      </c>
      <c r="E130" s="24" t="inlineStr">
        <is>
          <t>MLB</t>
        </is>
      </c>
      <c r="F130" s="24" t="inlineStr">
        <is>
          <t>Milwaukee Brewers</t>
        </is>
      </c>
      <c r="G130" s="24" t="inlineStr">
        <is>
          <t>Los Angeles Angels</t>
        </is>
      </c>
      <c r="H130" s="24" t="inlineStr">
        <is>
          <t>spread</t>
        </is>
      </c>
      <c r="I130" s="24" t="inlineStr">
        <is>
          <t>home</t>
        </is>
      </c>
      <c r="J130" s="25" t="n">
        <v>1.5</v>
      </c>
      <c r="K130" s="24" t="inlineStr">
        <is>
          <t>polymarket_us</t>
        </is>
      </c>
      <c r="L130" s="26" t="n">
        <v>-117</v>
      </c>
      <c r="M130" s="27" t="n">
        <v>1.854701</v>
      </c>
      <c r="N130" s="28" t="n">
        <v>0.539171</v>
      </c>
      <c r="O130" s="28" t="n">
        <v>0.6323530000000001</v>
      </c>
      <c r="P130" s="28" t="n">
        <v>0.042131</v>
      </c>
      <c r="Q130" s="28" t="n">
        <v>0.093182</v>
      </c>
      <c r="R130" s="26" t="n">
        <v>71</v>
      </c>
      <c r="S130" s="29" t="n">
        <v>1.5</v>
      </c>
      <c r="T130" s="24" t="inlineStr">
        <is>
          <t>measured-edge-margin-v2</t>
        </is>
      </c>
      <c r="U130" s="24" t="inlineStr">
        <is>
          <t>settled</t>
        </is>
      </c>
      <c r="V130" s="24" t="inlineStr">
        <is>
          <t>loss</t>
        </is>
      </c>
      <c r="W130" s="26" t="n">
        <v>3</v>
      </c>
      <c r="X130" s="26" t="n">
        <v>1</v>
      </c>
      <c r="Y130" s="25" t="n">
        <v>1.5</v>
      </c>
      <c r="Z130" s="26" t="n">
        <v>-117</v>
      </c>
      <c r="AA130" s="28" t="n">
        <v>0.54</v>
      </c>
      <c r="AB130" s="28" t="n">
        <v>0.000829</v>
      </c>
      <c r="AC130" s="30" t="n">
        <v>-1.5</v>
      </c>
      <c r="AD130" s="24" t="inlineStr">
        <is>
          <t>2026-08-02T04:26:14.595420Z</t>
        </is>
      </c>
      <c r="AE130" s="31" t="inlineStr">
        <is>
          <t>Measured Edge Margin: Trend Engine projected 4.46-4.83; raw selected-side p=0.7016, calibrated p=0.6324.</t>
        </is>
      </c>
      <c r="AF130" s="31" t="inlineStr">
        <is>
          <t>Research-only; lineup, bullpen, park, weather, xFIP, and wRC+ may be neutral fallbacks; market availability and BBO depth may change before first pitch.</t>
        </is>
      </c>
      <c r="AG130" s="24" t="inlineStr">
        <is>
          <t>review_required</t>
        </is>
      </c>
      <c r="AH130" s="24" t="n"/>
      <c r="AI130" s="31" t="n"/>
      <c r="AJ130" s="31" t="n"/>
      <c r="AK130" s="24" t="inlineStr">
        <is>
          <t>research_observation</t>
        </is>
      </c>
      <c r="AL130" s="26" t="n">
        <v>3</v>
      </c>
      <c r="AM130" s="24" t="inlineStr">
        <is>
          <t>RESEARCH_OBSERVATION</t>
        </is>
      </c>
      <c r="AN130" s="24" t="inlineStr">
        <is>
          <t>NO_CALL</t>
        </is>
      </c>
      <c r="AO130" s="24" t="inlineStr">
        <is>
          <t>NO_CALL_MODEL_UNVALIDATED</t>
        </is>
      </c>
      <c r="AP130" s="24" t="inlineStr">
        <is>
          <t>mlb-mil</t>
        </is>
      </c>
      <c r="AQ130" s="24" t="inlineStr">
        <is>
          <t>Milwaukee Brewers</t>
        </is>
      </c>
      <c r="AR130" s="24" t="inlineStr">
        <is>
          <t>Milwaukee Brewers</t>
        </is>
      </c>
      <c r="AS130" s="24" t="inlineStr">
        <is>
          <t>mlb-laa</t>
        </is>
      </c>
      <c r="AT130" s="24" t="inlineStr">
        <is>
          <t>Los Angeles Angels</t>
        </is>
      </c>
      <c r="AU130" s="24" t="inlineStr">
        <is>
          <t>Los Angeles Angels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research</t>
        </is>
      </c>
      <c r="BA130" s="24" t="inlineStr">
        <is>
          <t>8360b122264b796b0fb193095cfe4506c7e064e5f3f8c0a659aec41efd08dd25</t>
        </is>
      </c>
      <c r="BB130" s="24" t="inlineStr">
        <is>
          <t>flat_probability_shrinkage_toward_half</t>
        </is>
      </c>
      <c r="BC130" s="24" t="inlineStr">
        <is>
          <t>measured-edge-margin-v2</t>
        </is>
      </c>
      <c r="BD130" s="24" t="inlineStr">
        <is>
          <t>8360b122264b796b0fb193095cfe4506c7e064e5f3f8c0a659aec41efd08dd25</t>
        </is>
      </c>
      <c r="BE130" s="24" t="inlineStr">
        <is>
          <t>v3</t>
        </is>
      </c>
      <c r="BF130" s="24" t="inlineStr">
        <is>
          <t>1</t>
        </is>
      </c>
      <c r="BG130" s="24" t="inlineStr">
        <is>
          <t>measured-edge-paired-v1</t>
        </is>
      </c>
      <c r="BH130" s="24" t="inlineStr">
        <is>
          <t>2026-08-01T23:52:39.479166Z</t>
        </is>
      </c>
      <c r="BI130" s="24" t="inlineStr">
        <is>
          <t>["same_event","same_team_same_day","same_league_same_day"]</t>
        </is>
      </c>
      <c r="BJ130" s="25" t="n">
        <v>1.5</v>
      </c>
      <c r="BK130" s="26" t="n">
        <v>-117</v>
      </c>
      <c r="BL130" s="27" t="n">
        <v>1.854701</v>
      </c>
      <c r="BM130" s="28" t="n">
        <v>0.539171</v>
      </c>
      <c r="BN130" s="28" t="n">
        <v>0.537313</v>
      </c>
      <c r="BO130" s="28" t="n"/>
      <c r="BP130" s="25" t="n"/>
      <c r="BQ130" s="27" t="n">
        <v>1.854701</v>
      </c>
      <c r="BR130" s="28" t="n">
        <v>0.54</v>
      </c>
      <c r="BS130" s="28" t="n"/>
      <c r="BT130" s="28" t="n"/>
      <c r="BU130" s="25" t="n"/>
      <c r="BV130" s="29" t="n"/>
      <c r="BW130" s="24" t="n"/>
      <c r="BX130" s="30" t="n"/>
      <c r="BY130" s="27" t="n"/>
      <c r="BZ130" s="24" t="n"/>
      <c r="CA130" s="31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</row>
    <row r="131" ht="36" customHeight="1">
      <c r="A131" s="24" t="inlineStr">
        <is>
          <t>2476d7cf9c294516</t>
        </is>
      </c>
      <c r="B131" s="24" t="inlineStr">
        <is>
          <t>2026-08-01T23:52:39.479166Z</t>
        </is>
      </c>
      <c r="C131" s="24" t="inlineStr">
        <is>
          <t>2026-08-02T01:38Z</t>
        </is>
      </c>
      <c r="D131" s="24" t="inlineStr">
        <is>
          <t>401816359</t>
        </is>
      </c>
      <c r="E131" s="24" t="inlineStr">
        <is>
          <t>MLB</t>
        </is>
      </c>
      <c r="F131" s="24" t="inlineStr">
        <is>
          <t>Milwaukee Brewers</t>
        </is>
      </c>
      <c r="G131" s="24" t="inlineStr">
        <is>
          <t>Los Angeles Angels</t>
        </is>
      </c>
      <c r="H131" s="24" t="inlineStr">
        <is>
          <t>total</t>
        </is>
      </c>
      <c r="I131" s="24" t="inlineStr">
        <is>
          <t>over</t>
        </is>
      </c>
      <c r="J131" s="25" t="n">
        <v>8.5</v>
      </c>
      <c r="K131" s="24" t="inlineStr">
        <is>
          <t>polymarket_us</t>
        </is>
      </c>
      <c r="L131" s="26" t="n">
        <v>-120</v>
      </c>
      <c r="M131" s="27" t="n">
        <v>1.833333</v>
      </c>
      <c r="N131" s="28" t="n">
        <v>0.545455</v>
      </c>
      <c r="O131" s="28" t="n">
        <v>0.521054</v>
      </c>
      <c r="P131" s="28" t="n">
        <v>0.042131</v>
      </c>
      <c r="Q131" s="28" t="n">
        <v>-0.024401</v>
      </c>
      <c r="R131" s="26" t="n">
        <v>13</v>
      </c>
      <c r="S131" s="29" t="n">
        <v>1</v>
      </c>
      <c r="T131" s="24" t="inlineStr">
        <is>
          <t>measured-edge-totals-v2</t>
        </is>
      </c>
      <c r="U131" s="24" t="inlineStr">
        <is>
          <t>settled</t>
        </is>
      </c>
      <c r="V131" s="24" t="inlineStr">
        <is>
          <t>loss</t>
        </is>
      </c>
      <c r="W131" s="26" t="n">
        <v>3</v>
      </c>
      <c r="X131" s="26" t="n">
        <v>1</v>
      </c>
      <c r="Y131" s="25" t="n">
        <v>8.5</v>
      </c>
      <c r="Z131" s="26" t="n">
        <v>-120</v>
      </c>
      <c r="AA131" s="28" t="n">
        <v>0.545</v>
      </c>
      <c r="AB131" s="28" t="n">
        <v>-0.000455</v>
      </c>
      <c r="AC131" s="30" t="n">
        <v>-1</v>
      </c>
      <c r="AD131" s="24" t="inlineStr">
        <is>
          <t>2026-08-02T04:26:15.051688Z</t>
        </is>
      </c>
      <c r="AE131" s="31" t="inlineStr">
        <is>
          <t>Measured Edge Totals: Trend Engine projected 4.46-4.83; raw selected-side p=0.5383, calibrated p=0.5211.</t>
        </is>
      </c>
      <c r="AF131" s="31" t="inlineStr">
        <is>
          <t>Research-only; lineup, bullpen, park, weather, xFIP, and wRC+ may be neutral fallbacks; market availability and BBO depth may change before first pitch.</t>
        </is>
      </c>
      <c r="AG131" s="24" t="inlineStr">
        <is>
          <t>review_required</t>
        </is>
      </c>
      <c r="AH131" s="24" t="n"/>
      <c r="AI131" s="31" t="n"/>
      <c r="AJ131" s="31" t="n"/>
      <c r="AK131" s="24" t="inlineStr">
        <is>
          <t>research_observation</t>
        </is>
      </c>
      <c r="AL131" s="26" t="n">
        <v>3</v>
      </c>
      <c r="AM131" s="24" t="inlineStr">
        <is>
          <t>RESEARCH_OBSERVATION</t>
        </is>
      </c>
      <c r="AN131" s="24" t="inlineStr">
        <is>
          <t>NO_CALL</t>
        </is>
      </c>
      <c r="AO131" s="24" t="inlineStr">
        <is>
          <t>NO_CALL_MODEL_UNVALIDATED</t>
        </is>
      </c>
      <c r="AP131" s="24" t="inlineStr">
        <is>
          <t>mlb-mil</t>
        </is>
      </c>
      <c r="AQ131" s="24" t="inlineStr">
        <is>
          <t>Milwaukee Brewers</t>
        </is>
      </c>
      <c r="AR131" s="24" t="inlineStr">
        <is>
          <t>Milwaukee Brewers</t>
        </is>
      </c>
      <c r="AS131" s="24" t="inlineStr">
        <is>
          <t>mlb-laa</t>
        </is>
      </c>
      <c r="AT131" s="24" t="inlineStr">
        <is>
          <t>Los Angeles Angels</t>
        </is>
      </c>
      <c r="AU131" s="24" t="inlineStr">
        <is>
          <t>Los Angeles Angels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research</t>
        </is>
      </c>
      <c r="BA131" s="24" t="inlineStr">
        <is>
          <t>433578016242b27f9c1c7132cc6b5a2bcc7dd1b0234590c12a944455a88e71bd</t>
        </is>
      </c>
      <c r="BB131" s="24" t="inlineStr">
        <is>
          <t>flat_probability_shrinkage_toward_half</t>
        </is>
      </c>
      <c r="BC131" s="24" t="inlineStr">
        <is>
          <t>measured-edge-totals-v2</t>
        </is>
      </c>
      <c r="BD131" s="24" t="inlineStr">
        <is>
          <t>433578016242b27f9c1c7132cc6b5a2bcc7dd1b0234590c12a944455a88e71bd</t>
        </is>
      </c>
      <c r="BE131" s="24" t="inlineStr">
        <is>
          <t>v3</t>
        </is>
      </c>
      <c r="BF131" s="24" t="inlineStr">
        <is>
          <t>1</t>
        </is>
      </c>
      <c r="BG131" s="24" t="inlineStr">
        <is>
          <t>measured-edge-paired-v1</t>
        </is>
      </c>
      <c r="BH131" s="24" t="inlineStr">
        <is>
          <t>2026-08-01T23:52:39.479166Z</t>
        </is>
      </c>
      <c r="BI131" s="24" t="inlineStr">
        <is>
          <t>["same_event","same_team_same_day","same_league_same_day"]</t>
        </is>
      </c>
      <c r="BJ131" s="25" t="n">
        <v>8.5</v>
      </c>
      <c r="BK131" s="26" t="n">
        <v>-120</v>
      </c>
      <c r="BL131" s="27" t="n">
        <v>1.833333</v>
      </c>
      <c r="BM131" s="28" t="n">
        <v>0.545455</v>
      </c>
      <c r="BN131" s="28" t="n">
        <v>0.542289</v>
      </c>
      <c r="BO131" s="28" t="n"/>
      <c r="BP131" s="25" t="n"/>
      <c r="BQ131" s="27" t="n">
        <v>1.833333</v>
      </c>
      <c r="BR131" s="28" t="n">
        <v>0.545</v>
      </c>
      <c r="BS131" s="28" t="n"/>
      <c r="BT131" s="28" t="n"/>
      <c r="BU131" s="25" t="n"/>
      <c r="BV131" s="29" t="n"/>
      <c r="BW131" s="24" t="n"/>
      <c r="BX131" s="30" t="n"/>
      <c r="BY131" s="27" t="n"/>
      <c r="BZ131" s="24" t="n"/>
      <c r="CA131" s="31" t="n"/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</row>
    <row r="132" ht="36" customHeight="1">
      <c r="A132" s="24" t="inlineStr">
        <is>
          <t>6c913b248fc5448c</t>
        </is>
      </c>
      <c r="B132" s="24" t="inlineStr">
        <is>
          <t>2026-08-01T23:52:39.479166Z</t>
        </is>
      </c>
      <c r="C132" s="24" t="inlineStr">
        <is>
          <t>2026-08-02T01:40Z</t>
        </is>
      </c>
      <c r="D132" s="24" t="inlineStr">
        <is>
          <t>401816358</t>
        </is>
      </c>
      <c r="E132" s="24" t="inlineStr">
        <is>
          <t>MLB</t>
        </is>
      </c>
      <c r="F132" s="24" t="inlineStr">
        <is>
          <t>Detroit Tigers</t>
        </is>
      </c>
      <c r="G132" s="24" t="inlineStr">
        <is>
          <t>Athletics</t>
        </is>
      </c>
      <c r="H132" s="24" t="inlineStr">
        <is>
          <t>spread</t>
        </is>
      </c>
      <c r="I132" s="24" t="inlineStr">
        <is>
          <t>home</t>
        </is>
      </c>
      <c r="J132" s="25" t="n">
        <v>1.5</v>
      </c>
      <c r="K132" s="24" t="inlineStr">
        <is>
          <t>polymarket_us</t>
        </is>
      </c>
      <c r="L132" s="26" t="n">
        <v>106</v>
      </c>
      <c r="M132" s="27" t="n">
        <v>2.06</v>
      </c>
      <c r="N132" s="28" t="n">
        <v>0.485437</v>
      </c>
      <c r="O132" s="28" t="n">
        <v>0.605321</v>
      </c>
      <c r="P132" s="28" t="n">
        <v>0.042131</v>
      </c>
      <c r="Q132" s="28" t="n">
        <v>0.119884</v>
      </c>
      <c r="R132" s="26" t="n">
        <v>85</v>
      </c>
      <c r="S132" s="29" t="n">
        <v>1.5</v>
      </c>
      <c r="T132" s="24" t="inlineStr">
        <is>
          <t>measured-edge-margin-v2</t>
        </is>
      </c>
      <c r="U132" s="24" t="inlineStr">
        <is>
          <t>settled</t>
        </is>
      </c>
      <c r="V132" s="24" t="inlineStr">
        <is>
          <t>loss</t>
        </is>
      </c>
      <c r="W132" s="26" t="n">
        <v>8</v>
      </c>
      <c r="X132" s="26" t="n">
        <v>6</v>
      </c>
      <c r="Y132" s="25" t="n">
        <v>1.5</v>
      </c>
      <c r="Z132" s="26" t="n">
        <v>106</v>
      </c>
      <c r="AA132" s="28" t="n">
        <v>0.485</v>
      </c>
      <c r="AB132" s="28" t="n">
        <v>-0.000437</v>
      </c>
      <c r="AC132" s="30" t="n">
        <v>-1.5</v>
      </c>
      <c r="AD132" s="24" t="inlineStr">
        <is>
          <t>2026-08-02T05:39:17.917036Z</t>
        </is>
      </c>
      <c r="AE132" s="31" t="inlineStr">
        <is>
          <t>Measured Edge Margin: Trend Engine projected 5.11-5.12; raw selected-side p=0.6604, calibrated p=0.6053.</t>
        </is>
      </c>
      <c r="AF132" s="31" t="inlineStr">
        <is>
          <t>Research-only; lineup, bullpen, park, weather, xFIP, and wRC+ may be neutral fallbacks; market availability and BBO depth may change before first pitch.</t>
        </is>
      </c>
      <c r="AG132" s="24" t="inlineStr">
        <is>
          <t>review_required</t>
        </is>
      </c>
      <c r="AH132" s="24" t="n"/>
      <c r="AI132" s="31" t="n"/>
      <c r="AJ132" s="31" t="n"/>
      <c r="AK132" s="24" t="inlineStr">
        <is>
          <t>research_observation</t>
        </is>
      </c>
      <c r="AL132" s="26" t="n">
        <v>3</v>
      </c>
      <c r="AM132" s="24" t="inlineStr">
        <is>
          <t>RESEARCH_OBSERVATION</t>
        </is>
      </c>
      <c r="AN132" s="24" t="inlineStr">
        <is>
          <t>NO_CALL</t>
        </is>
      </c>
      <c r="AO132" s="24" t="inlineStr">
        <is>
          <t>NO_CALL_MODEL_UNVALIDATED</t>
        </is>
      </c>
      <c r="AP132" s="24" t="inlineStr">
        <is>
          <t>mlb-det</t>
        </is>
      </c>
      <c r="AQ132" s="24" t="inlineStr">
        <is>
          <t>Detroit Tigers</t>
        </is>
      </c>
      <c r="AR132" s="24" t="inlineStr">
        <is>
          <t>Detroit Tigers</t>
        </is>
      </c>
      <c r="AS132" s="24" t="inlineStr">
        <is>
          <t>mlb-ath</t>
        </is>
      </c>
      <c r="AT132" s="24" t="inlineStr">
        <is>
          <t>Athletics</t>
        </is>
      </c>
      <c r="AU132" s="24" t="inlineStr">
        <is>
          <t>Athletics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research</t>
        </is>
      </c>
      <c r="BA132" s="24" t="inlineStr">
        <is>
          <t>8360b122264b796b0fb193095cfe4506c7e064e5f3f8c0a659aec41efd08dd25</t>
        </is>
      </c>
      <c r="BB132" s="24" t="inlineStr">
        <is>
          <t>flat_probability_shrinkage_toward_half</t>
        </is>
      </c>
      <c r="BC132" s="24" t="inlineStr">
        <is>
          <t>measured-edge-margin-v2</t>
        </is>
      </c>
      <c r="BD132" s="24" t="inlineStr">
        <is>
          <t>8360b122264b796b0fb193095cfe4506c7e064e5f3f8c0a659aec41efd08dd25</t>
        </is>
      </c>
      <c r="BE132" s="24" t="inlineStr">
        <is>
          <t>v3</t>
        </is>
      </c>
      <c r="BF132" s="24" t="inlineStr">
        <is>
          <t>1</t>
        </is>
      </c>
      <c r="BG132" s="24" t="inlineStr">
        <is>
          <t>measured-edge-paired-v1</t>
        </is>
      </c>
      <c r="BH132" s="24" t="inlineStr">
        <is>
          <t>2026-08-01T23:52:39.479166Z</t>
        </is>
      </c>
      <c r="BI132" s="24" t="inlineStr">
        <is>
          <t>["same_event","same_team_same_day","same_league_same_day"]</t>
        </is>
      </c>
      <c r="BJ132" s="25" t="n">
        <v>1.5</v>
      </c>
      <c r="BK132" s="26" t="n">
        <v>106</v>
      </c>
      <c r="BL132" s="27" t="n">
        <v>2.06</v>
      </c>
      <c r="BM132" s="28" t="n">
        <v>0.485437</v>
      </c>
      <c r="BN132" s="28" t="n">
        <v>0.482587</v>
      </c>
      <c r="BO132" s="28" t="n"/>
      <c r="BP132" s="25" t="n"/>
      <c r="BQ132" s="27" t="n">
        <v>2.06</v>
      </c>
      <c r="BR132" s="28" t="n">
        <v>0.485</v>
      </c>
      <c r="BS132" s="28" t="n"/>
      <c r="BT132" s="28" t="n"/>
      <c r="BU132" s="25" t="n"/>
      <c r="BV132" s="29" t="n"/>
      <c r="BW132" s="24" t="n"/>
      <c r="BX132" s="30" t="n"/>
      <c r="BY132" s="27" t="n"/>
      <c r="BZ132" s="24" t="n"/>
      <c r="CA132" s="31" t="n"/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</row>
    <row r="133" ht="36" customHeight="1">
      <c r="A133" s="24" t="inlineStr">
        <is>
          <t>76c280e71b0f4b3b</t>
        </is>
      </c>
      <c r="B133" s="24" t="inlineStr">
        <is>
          <t>2026-08-01T23:52:39.479166Z</t>
        </is>
      </c>
      <c r="C133" s="24" t="inlineStr">
        <is>
          <t>2026-08-02T01:40Z</t>
        </is>
      </c>
      <c r="D133" s="24" t="inlineStr">
        <is>
          <t>401816358</t>
        </is>
      </c>
      <c r="E133" s="24" t="inlineStr">
        <is>
          <t>MLB</t>
        </is>
      </c>
      <c r="F133" s="24" t="inlineStr">
        <is>
          <t>Detroit Tigers</t>
        </is>
      </c>
      <c r="G133" s="24" t="inlineStr">
        <is>
          <t>Athletics</t>
        </is>
      </c>
      <c r="H133" s="24" t="inlineStr">
        <is>
          <t>total</t>
        </is>
      </c>
      <c r="I133" s="24" t="inlineStr">
        <is>
          <t>under</t>
        </is>
      </c>
      <c r="J133" s="25" t="n">
        <v>10.5</v>
      </c>
      <c r="K133" s="24" t="inlineStr">
        <is>
          <t>polymarket_us</t>
        </is>
      </c>
      <c r="L133" s="26" t="n">
        <v>-108</v>
      </c>
      <c r="M133" s="27" t="n">
        <v>1.925926</v>
      </c>
      <c r="N133" s="28" t="n">
        <v>0.519231</v>
      </c>
      <c r="O133" s="28" t="n">
        <v>0.526846</v>
      </c>
      <c r="P133" s="28" t="n">
        <v>0.042131</v>
      </c>
      <c r="Q133" s="28" t="n">
        <v>0.007615</v>
      </c>
      <c r="R133" s="26" t="n">
        <v>29</v>
      </c>
      <c r="S133" s="29" t="n">
        <v>1</v>
      </c>
      <c r="T133" s="24" t="inlineStr">
        <is>
          <t>measured-edge-totals-v2</t>
        </is>
      </c>
      <c r="U133" s="24" t="inlineStr">
        <is>
          <t>settled</t>
        </is>
      </c>
      <c r="V133" s="24" t="inlineStr">
        <is>
          <t>loss</t>
        </is>
      </c>
      <c r="W133" s="26" t="n">
        <v>8</v>
      </c>
      <c r="X133" s="26" t="n">
        <v>6</v>
      </c>
      <c r="Y133" s="25" t="n">
        <v>10.5</v>
      </c>
      <c r="Z133" s="26" t="n">
        <v>-108</v>
      </c>
      <c r="AA133" s="28" t="n">
        <v>0.52</v>
      </c>
      <c r="AB133" s="28" t="n">
        <v>0.000769</v>
      </c>
      <c r="AC133" s="30" t="n">
        <v>-1</v>
      </c>
      <c r="AD133" s="24" t="inlineStr">
        <is>
          <t>2026-08-02T05:39:18.942737Z</t>
        </is>
      </c>
      <c r="AE133" s="31" t="inlineStr">
        <is>
          <t>Measured Edge Totals: Trend Engine projected 5.11-5.12; raw selected-side p=0.5553, calibrated p=0.5268.</t>
        </is>
      </c>
      <c r="AF133" s="31" t="inlineStr">
        <is>
          <t>Research-only; lineup, bullpen, park, weather, xFIP, and wRC+ may be neutral fallbacks; market availability and BBO depth may change before first pitch.</t>
        </is>
      </c>
      <c r="AG133" s="24" t="inlineStr">
        <is>
          <t>review_required</t>
        </is>
      </c>
      <c r="AH133" s="24" t="n"/>
      <c r="AI133" s="31" t="n"/>
      <c r="AJ133" s="31" t="n"/>
      <c r="AK133" s="24" t="inlineStr">
        <is>
          <t>research_observation</t>
        </is>
      </c>
      <c r="AL133" s="26" t="n">
        <v>3</v>
      </c>
      <c r="AM133" s="24" t="inlineStr">
        <is>
          <t>RESEARCH_OBSERVATION</t>
        </is>
      </c>
      <c r="AN133" s="24" t="inlineStr">
        <is>
          <t>NO_CALL</t>
        </is>
      </c>
      <c r="AO133" s="24" t="inlineStr">
        <is>
          <t>NO_CALL_MODEL_UNVALIDATED</t>
        </is>
      </c>
      <c r="AP133" s="24" t="inlineStr">
        <is>
          <t>mlb-det</t>
        </is>
      </c>
      <c r="AQ133" s="24" t="inlineStr">
        <is>
          <t>Detroit Tigers</t>
        </is>
      </c>
      <c r="AR133" s="24" t="inlineStr">
        <is>
          <t>Detroit Tigers</t>
        </is>
      </c>
      <c r="AS133" s="24" t="inlineStr">
        <is>
          <t>mlb-ath</t>
        </is>
      </c>
      <c r="AT133" s="24" t="inlineStr">
        <is>
          <t>Athletics</t>
        </is>
      </c>
      <c r="AU133" s="24" t="inlineStr">
        <is>
          <t>Athletics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research</t>
        </is>
      </c>
      <c r="BA133" s="24" t="inlineStr">
        <is>
          <t>433578016242b27f9c1c7132cc6b5a2bcc7dd1b0234590c12a944455a88e71bd</t>
        </is>
      </c>
      <c r="BB133" s="24" t="inlineStr">
        <is>
          <t>flat_probability_shrinkage_toward_half</t>
        </is>
      </c>
      <c r="BC133" s="24" t="inlineStr">
        <is>
          <t>measured-edge-totals-v2</t>
        </is>
      </c>
      <c r="BD133" s="24" t="inlineStr">
        <is>
          <t>433578016242b27f9c1c7132cc6b5a2bcc7dd1b0234590c12a944455a88e71bd</t>
        </is>
      </c>
      <c r="BE133" s="24" t="inlineStr">
        <is>
          <t>v3</t>
        </is>
      </c>
      <c r="BF133" s="24" t="inlineStr">
        <is>
          <t>1</t>
        </is>
      </c>
      <c r="BG133" s="24" t="inlineStr">
        <is>
          <t>measured-edge-paired-v1</t>
        </is>
      </c>
      <c r="BH133" s="24" t="inlineStr">
        <is>
          <t>2026-08-01T23:52:39.479166Z</t>
        </is>
      </c>
      <c r="BI133" s="24" t="inlineStr">
        <is>
          <t>["same_event","same_team_same_day","same_league_same_day"]</t>
        </is>
      </c>
      <c r="BJ133" s="25" t="n">
        <v>10.5</v>
      </c>
      <c r="BK133" s="26" t="n">
        <v>-108</v>
      </c>
      <c r="BL133" s="27" t="n">
        <v>1.925926</v>
      </c>
      <c r="BM133" s="28" t="n">
        <v>0.519231</v>
      </c>
      <c r="BN133" s="28" t="n">
        <v>0.517413</v>
      </c>
      <c r="BO133" s="28" t="n"/>
      <c r="BP133" s="25" t="n"/>
      <c r="BQ133" s="27" t="n">
        <v>1.925926</v>
      </c>
      <c r="BR133" s="28" t="n">
        <v>0.52</v>
      </c>
      <c r="BS133" s="28" t="n"/>
      <c r="BT133" s="28" t="n"/>
      <c r="BU133" s="25" t="n"/>
      <c r="BV133" s="29" t="n"/>
      <c r="BW133" s="24" t="n"/>
      <c r="BX133" s="30" t="n"/>
      <c r="BY133" s="27" t="n"/>
      <c r="BZ133" s="24" t="n"/>
      <c r="CA133" s="31" t="n"/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</row>
    <row r="134" ht="36" customHeight="1">
      <c r="A134" s="24" t="inlineStr">
        <is>
          <t>c5cc4fbf72d94454</t>
        </is>
      </c>
      <c r="B134" s="24" t="inlineStr">
        <is>
          <t>2026-08-02T07:12:10.920987Z</t>
        </is>
      </c>
      <c r="C134" s="24" t="inlineStr">
        <is>
          <t>2026-08-02T13:00:00-0400</t>
        </is>
      </c>
      <c r="D134" s="24" t="inlineStr">
        <is>
          <t>401857107</t>
        </is>
      </c>
      <c r="E134" s="24" t="inlineStr">
        <is>
          <t>WNBA</t>
        </is>
      </c>
      <c r="F134" s="24" t="inlineStr">
        <is>
          <t>Indiana Fever</t>
        </is>
      </c>
      <c r="G134" s="24" t="inlineStr">
        <is>
          <t>Minnesota Lynx</t>
        </is>
      </c>
      <c r="H134" s="24" t="inlineStr">
        <is>
          <t>moneyline</t>
        </is>
      </c>
      <c r="I134" s="24" t="inlineStr">
        <is>
          <t>home</t>
        </is>
      </c>
      <c r="J134" s="25" t="n"/>
      <c r="K134" s="24" t="inlineStr">
        <is>
          <t>polymarket_us</t>
        </is>
      </c>
      <c r="L134" s="26" t="n">
        <v>-203</v>
      </c>
      <c r="M134" s="27" t="n">
        <v>1.492611</v>
      </c>
      <c r="N134" s="28" t="n">
        <v>0.669967</v>
      </c>
      <c r="O134" s="28" t="n">
        <v>0.643489</v>
      </c>
      <c r="P134" s="28" t="n"/>
      <c r="Q134" s="28" t="n">
        <v>-0.026478</v>
      </c>
      <c r="R134" s="26" t="n">
        <v>10</v>
      </c>
      <c r="S134" s="29" t="n">
        <v>1.5</v>
      </c>
      <c r="T134" s="24" t="inlineStr">
        <is>
          <t>wnba-elo-trend-lr-v4</t>
        </is>
      </c>
      <c r="U134" s="24" t="inlineStr">
        <is>
          <t>open</t>
        </is>
      </c>
      <c r="V134" s="24" t="n"/>
      <c r="W134" s="26" t="n"/>
      <c r="X134" s="26" t="n"/>
      <c r="Y134" s="25" t="n"/>
      <c r="Z134" s="26" t="n"/>
      <c r="AA134" s="28" t="n"/>
      <c r="AB134" s="28" t="n"/>
      <c r="AC134" s="30" t="n"/>
      <c r="AD134" s="24" t="n"/>
      <c r="AE134" s="31" t="inlineStr">
        <is>
          <t>Learned LR call at threshold 0.5001; executable ask 0.6700 (aec-wnba-ind-min-2026-08-02); model edge vs ask -0.0265. NOTE: NO_CALL_AVAILABILITY_PLAYER_UNMAPPED unavailable for this game — defaulted to neutral, other features used normally.</t>
        </is>
      </c>
      <c r="AF134" s="31" t="inlineStr">
        <is>
          <t>Learned model; shadow-qualified via operator override.</t>
        </is>
      </c>
      <c r="AG134" s="24" t="inlineStr">
        <is>
          <t>not_applicable</t>
        </is>
      </c>
      <c r="AH134" s="24" t="n"/>
      <c r="AI134" s="31" t="n"/>
      <c r="AJ134" s="31" t="n"/>
      <c r="AK134" s="24" t="inlineStr">
        <is>
          <t>model_qualified</t>
        </is>
      </c>
      <c r="AL134" s="26" t="n">
        <v>3</v>
      </c>
      <c r="AM134" s="24" t="inlineStr">
        <is>
          <t>QUALIFIED_SHADOW_CALL</t>
        </is>
      </c>
      <c r="AN134" s="24" t="inlineStr">
        <is>
          <t>CALL</t>
        </is>
      </c>
      <c r="AO134" s="24" t="inlineStr">
        <is>
          <t>QUALIFIED</t>
        </is>
      </c>
      <c r="AP134" s="24" t="inlineStr">
        <is>
          <t>wnba-ind</t>
        </is>
      </c>
      <c r="AQ134" s="24" t="inlineStr">
        <is>
          <t>Indiana Fever</t>
        </is>
      </c>
      <c r="AR134" s="24" t="inlineStr">
        <is>
          <t>Indiana Fever</t>
        </is>
      </c>
      <c r="AS134" s="24" t="inlineStr">
        <is>
          <t>wnba-min</t>
        </is>
      </c>
      <c r="AT134" s="24" t="inlineStr">
        <is>
          <t>Minnesota Lynx</t>
        </is>
      </c>
      <c r="AU134" s="24" t="inlineStr">
        <is>
          <t>Minnesota Lynx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shadow_qualified</t>
        </is>
      </c>
      <c r="BA134" s="24" t="inlineStr">
        <is>
          <t>7afd5274214b58b7efd7f7febc7be3ab33b92351cda5cc6403c0a39faea0cc8c</t>
        </is>
      </c>
      <c r="BB134" s="24" t="inlineStr">
        <is>
          <t>learned_lr</t>
        </is>
      </c>
      <c r="BC134" s="24" t="inlineStr">
        <is>
          <t>wnba-elo-trend-lr-v4</t>
        </is>
      </c>
      <c r="BD134" s="24" t="inlineStr">
        <is>
          <t>7afd5274214b58b7efd7f7febc7be3ab33b92351cda5cc6403c0a39faea0cc8c</t>
        </is>
      </c>
      <c r="BE134" s="24" t="inlineStr">
        <is>
          <t>cb6d856341c7efe7</t>
        </is>
      </c>
      <c r="BF134" s="24" t="inlineStr">
        <is>
          <t>1</t>
        </is>
      </c>
      <c r="BG134" s="24" t="inlineStr">
        <is>
          <t>wnba-elo-trend-lr-v4</t>
        </is>
      </c>
      <c r="BH134" s="24" t="inlineStr">
        <is>
          <t>2026-08-02T07:11:17.717034Z</t>
        </is>
      </c>
      <c r="BI134" s="24" t="inlineStr">
        <is>
          <t>["same_event","same_team_same_day","same_league_same_day"]</t>
        </is>
      </c>
      <c r="BJ134" s="25" t="n"/>
      <c r="BK134" s="26" t="n">
        <v>-203</v>
      </c>
      <c r="BL134" s="27" t="n">
        <v>1.492611</v>
      </c>
      <c r="BM134" s="28" t="n">
        <v>0.669967</v>
      </c>
      <c r="BN134" s="28" t="n">
        <v>0.663366</v>
      </c>
      <c r="BO134" s="28" t="n"/>
      <c r="BP134" s="25" t="n"/>
      <c r="BQ134" s="27" t="n"/>
      <c r="BR134" s="28" t="n"/>
      <c r="BS134" s="28" t="n"/>
      <c r="BT134" s="28" t="n"/>
      <c r="BU134" s="25" t="n"/>
      <c r="BV134" s="29" t="n"/>
      <c r="BW134" s="24" t="n"/>
      <c r="BX134" s="30" t="n"/>
      <c r="BY134" s="27" t="n"/>
      <c r="BZ134" s="24" t="n"/>
      <c r="CA134" s="31" t="n"/>
      <c r="CB134" s="24" t="n"/>
      <c r="CC134" s="24" t="inlineStr">
        <is>
          <t>0.6810434571</t>
        </is>
      </c>
      <c r="CD134" s="24" t="inlineStr">
        <is>
          <t>-4.330577</t>
        </is>
      </c>
      <c r="CE134" s="24" t="n"/>
      <c r="CF134" s="24" t="n"/>
      <c r="CG134" s="24" t="n"/>
      <c r="CH134" s="24" t="n"/>
      <c r="CI134" s="24" t="inlineStr">
        <is>
          <t>NO_CALL_AVAILABILITY_PLAYER_UNMAPPED</t>
        </is>
      </c>
      <c r="CJ134" s="24" t="n"/>
      <c r="CK134" s="24" t="n"/>
      <c r="CL134" s="24" t="n"/>
      <c r="CM134" s="24" t="n"/>
      <c r="CN134" s="24" t="n"/>
      <c r="CO134" s="24" t="n"/>
    </row>
    <row r="135" ht="36" customHeight="1">
      <c r="A135" s="24" t="inlineStr">
        <is>
          <t>5d4e31a9e08a43d0</t>
        </is>
      </c>
      <c r="B135" s="24" t="inlineStr">
        <is>
          <t>2026-08-02T07:12:10.920987Z</t>
        </is>
      </c>
      <c r="C135" s="24" t="inlineStr">
        <is>
          <t>2026-08-02T13:35:00-0400</t>
        </is>
      </c>
      <c r="D135" s="24" t="inlineStr">
        <is>
          <t>401816365</t>
        </is>
      </c>
      <c r="E135" s="24" t="inlineStr">
        <is>
          <t>MLB</t>
        </is>
      </c>
      <c r="F135" s="24" t="inlineStr">
        <is>
          <t>Philadelphia Phillies</t>
        </is>
      </c>
      <c r="G135" s="24" t="inlineStr">
        <is>
          <t>Baltimore Orioles</t>
        </is>
      </c>
      <c r="H135" s="24" t="inlineStr">
        <is>
          <t>moneyline</t>
        </is>
      </c>
      <c r="I135" s="24" t="inlineStr">
        <is>
          <t>away</t>
        </is>
      </c>
      <c r="J135" s="25" t="n"/>
      <c r="K135" s="24" t="inlineStr">
        <is>
          <t>polymarket_us</t>
        </is>
      </c>
      <c r="L135" s="26" t="n">
        <v>-127</v>
      </c>
      <c r="M135" s="27" t="n">
        <v>1.787402</v>
      </c>
      <c r="N135" s="28" t="n">
        <v>0.5594710000000001</v>
      </c>
      <c r="O135" s="28" t="n">
        <v>0.510265</v>
      </c>
      <c r="P135" s="28" t="n"/>
      <c r="Q135" s="28" t="n">
        <v>-0.049206</v>
      </c>
      <c r="R135" s="26" t="n">
        <v>0</v>
      </c>
      <c r="S135" s="29" t="n">
        <v>1</v>
      </c>
      <c r="T135" s="24" t="inlineStr">
        <is>
          <t>mlb-elo-trend-lr-v7</t>
        </is>
      </c>
      <c r="U135" s="24" t="inlineStr">
        <is>
          <t>open</t>
        </is>
      </c>
      <c r="V135" s="24" t="n"/>
      <c r="W135" s="26" t="n"/>
      <c r="X135" s="26" t="n"/>
      <c r="Y135" s="25" t="n"/>
      <c r="Z135" s="26" t="n"/>
      <c r="AA135" s="28" t="n"/>
      <c r="AB135" s="28" t="n"/>
      <c r="AC135" s="30" t="n"/>
      <c r="AD135" s="24" t="n"/>
      <c r="AE135" s="31" t="inlineStr">
        <is>
          <t>Learned LR call at threshold 0.6242; executable ask 0.5600 (aec-mlb-phi-bal-2026-08-02); model edge vs ask -0.0497.</t>
        </is>
      </c>
      <c r="AF135" s="31" t="inlineStr">
        <is>
          <t>Learned model; shadow-qualified via operator override.</t>
        </is>
      </c>
      <c r="AG135" s="24" t="inlineStr">
        <is>
          <t>not_applicable</t>
        </is>
      </c>
      <c r="AH135" s="24" t="n"/>
      <c r="AI135" s="31" t="n"/>
      <c r="AJ135" s="31" t="n"/>
      <c r="AK135" s="24" t="inlineStr">
        <is>
          <t>model_qualified</t>
        </is>
      </c>
      <c r="AL135" s="26" t="n">
        <v>3</v>
      </c>
      <c r="AM135" s="24" t="inlineStr">
        <is>
          <t>QUALIFIED_SHADOW_CALL</t>
        </is>
      </c>
      <c r="AN135" s="24" t="inlineStr">
        <is>
          <t>CALL</t>
        </is>
      </c>
      <c r="AO135" s="24" t="inlineStr">
        <is>
          <t>QUALIFIED</t>
        </is>
      </c>
      <c r="AP135" s="24" t="inlineStr">
        <is>
          <t>mlb-phi</t>
        </is>
      </c>
      <c r="AQ135" s="24" t="inlineStr">
        <is>
          <t>Philadelphia Phillies</t>
        </is>
      </c>
      <c r="AR135" s="24" t="inlineStr">
        <is>
          <t>Philadelphia Phillies</t>
        </is>
      </c>
      <c r="AS135" s="24" t="inlineStr">
        <is>
          <t>mlb-bal</t>
        </is>
      </c>
      <c r="AT135" s="24" t="inlineStr">
        <is>
          <t>Baltimore Orioles</t>
        </is>
      </c>
      <c r="AU135" s="24" t="inlineStr">
        <is>
          <t>Baltimore Orioles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shadow_qualified</t>
        </is>
      </c>
      <c r="BA135" s="24" t="inlineStr">
        <is>
          <t>464eef695bfbbdaa819ec6f5e4c5bd1068ed20b92915fb2677220ae91e20d8b6</t>
        </is>
      </c>
      <c r="BB135" s="24" t="inlineStr">
        <is>
          <t>learned_lr</t>
        </is>
      </c>
      <c r="BC135" s="24" t="inlineStr">
        <is>
          <t>mlb-elo-trend-lr-v7</t>
        </is>
      </c>
      <c r="BD135" s="24" t="inlineStr">
        <is>
          <t>464eef695bfbbdaa819ec6f5e4c5bd1068ed20b92915fb2677220ae91e20d8b6</t>
        </is>
      </c>
      <c r="BE135" s="24" t="inlineStr">
        <is>
          <t>ddb4f7d0b87c8828</t>
        </is>
      </c>
      <c r="BF135" s="24" t="inlineStr">
        <is>
          <t>1</t>
        </is>
      </c>
      <c r="BG135" s="24" t="inlineStr">
        <is>
          <t>mlb-elo-trend-lr-v7</t>
        </is>
      </c>
      <c r="BH135" s="24" t="inlineStr">
        <is>
          <t>2026-08-02T07:11:02.839017Z</t>
        </is>
      </c>
      <c r="BI135" s="24" t="inlineStr">
        <is>
          <t>["same_event","same_team_same_day","same_league_same_day"]</t>
        </is>
      </c>
      <c r="BJ135" s="25" t="n"/>
      <c r="BK135" s="26" t="n">
        <v>-127</v>
      </c>
      <c r="BL135" s="27" t="n">
        <v>1.787402</v>
      </c>
      <c r="BM135" s="28" t="n">
        <v>0.5594710000000001</v>
      </c>
      <c r="BN135" s="28" t="n">
        <v>0.557214</v>
      </c>
      <c r="BO135" s="28" t="n"/>
      <c r="BP135" s="25" t="n"/>
      <c r="BQ135" s="27" t="n"/>
      <c r="BR135" s="28" t="n"/>
      <c r="BS135" s="28" t="n"/>
      <c r="BT135" s="28" t="n"/>
      <c r="BU135" s="25" t="n"/>
      <c r="BV135" s="29" t="n"/>
      <c r="BW135" s="24" t="n"/>
      <c r="BX135" s="30" t="n"/>
      <c r="BY135" s="27" t="n"/>
      <c r="BZ135" s="24" t="n"/>
      <c r="CA135" s="31" t="n"/>
      <c r="CB135" s="24" t="n"/>
      <c r="CC135" s="24" t="inlineStr">
        <is>
          <t>0.4831243511</t>
        </is>
      </c>
      <c r="CD135" s="24" t="inlineStr">
        <is>
          <t>-0.050102</t>
        </is>
      </c>
      <c r="CE135" s="24" t="inlineStr">
        <is>
          <t>1.03</t>
        </is>
      </c>
      <c r="CF135" s="24" t="inlineStr">
        <is>
          <t>1.021</t>
        </is>
      </c>
      <c r="CG135" s="24" t="inlineStr">
        <is>
          <t>2.8</t>
        </is>
      </c>
      <c r="CH135" s="24" t="n"/>
      <c r="CI135" s="24" t="n"/>
      <c r="CJ135" s="24" t="n"/>
      <c r="CK135" s="24" t="n"/>
      <c r="CL135" s="24" t="n"/>
      <c r="CM135" s="24" t="n"/>
      <c r="CN135" s="24" t="n"/>
      <c r="CO135" s="24" t="n"/>
    </row>
    <row r="136" ht="36" customHeight="1">
      <c r="A136" s="24" t="inlineStr">
        <is>
          <t>7a8f508157344849</t>
        </is>
      </c>
      <c r="B136" s="24" t="inlineStr">
        <is>
          <t>2026-08-02T07:12:10.920987Z</t>
        </is>
      </c>
      <c r="C136" s="24" t="inlineStr">
        <is>
          <t>2026-08-02T15:30:00-0400</t>
        </is>
      </c>
      <c r="D136" s="24" t="inlineStr">
        <is>
          <t>401857108</t>
        </is>
      </c>
      <c r="E136" s="24" t="inlineStr">
        <is>
          <t>WNBA</t>
        </is>
      </c>
      <c r="F136" s="24" t="inlineStr">
        <is>
          <t>Los Angeles Sparks</t>
        </is>
      </c>
      <c r="G136" s="24" t="inlineStr">
        <is>
          <t>Portland Fire</t>
        </is>
      </c>
      <c r="H136" s="24" t="inlineStr">
        <is>
          <t>moneyline</t>
        </is>
      </c>
      <c r="I136" s="24" t="inlineStr">
        <is>
          <t>home</t>
        </is>
      </c>
      <c r="J136" s="25" t="n"/>
      <c r="K136" s="24" t="inlineStr">
        <is>
          <t>polymarket_us</t>
        </is>
      </c>
      <c r="L136" s="26" t="n">
        <v>100</v>
      </c>
      <c r="M136" s="27" t="n">
        <v>2</v>
      </c>
      <c r="N136" s="28" t="n">
        <v>0.5</v>
      </c>
      <c r="O136" s="28" t="n">
        <v>0.57112</v>
      </c>
      <c r="P136" s="28" t="n"/>
      <c r="Q136" s="28" t="n">
        <v>0.07112</v>
      </c>
      <c r="R136" s="26" t="n">
        <v>58</v>
      </c>
      <c r="S136" s="29" t="n">
        <v>1.25</v>
      </c>
      <c r="T136" s="24" t="inlineStr">
        <is>
          <t>wnba-elo-trend-lr-v4</t>
        </is>
      </c>
      <c r="U136" s="24" t="inlineStr">
        <is>
          <t>open</t>
        </is>
      </c>
      <c r="V136" s="24" t="n"/>
      <c r="W136" s="26" t="n"/>
      <c r="X136" s="26" t="n"/>
      <c r="Y136" s="25" t="n"/>
      <c r="Z136" s="26" t="n"/>
      <c r="AA136" s="28" t="n"/>
      <c r="AB136" s="28" t="n"/>
      <c r="AC136" s="30" t="n"/>
      <c r="AD136" s="24" t="n"/>
      <c r="AE136" s="31" t="inlineStr">
        <is>
          <t>Learned LR call at threshold 0.5001; executable ask 0.5000 (aec-wnba-la-por-2026-08-02); model edge vs ask +0.0711.</t>
        </is>
      </c>
      <c r="AF136" s="31" t="inlineStr">
        <is>
          <t>Learned model; shadow-qualified via operator override.</t>
        </is>
      </c>
      <c r="AG136" s="24" t="inlineStr">
        <is>
          <t>not_applicable</t>
        </is>
      </c>
      <c r="AH136" s="24" t="n"/>
      <c r="AI136" s="31" t="n"/>
      <c r="AJ136" s="31" t="n"/>
      <c r="AK136" s="24" t="inlineStr">
        <is>
          <t>model_qualified</t>
        </is>
      </c>
      <c r="AL136" s="26" t="n">
        <v>3</v>
      </c>
      <c r="AM136" s="24" t="inlineStr">
        <is>
          <t>QUALIFIED_SHADOW_CALL</t>
        </is>
      </c>
      <c r="AN136" s="24" t="inlineStr">
        <is>
          <t>CALL</t>
        </is>
      </c>
      <c r="AO136" s="24" t="inlineStr">
        <is>
          <t>QUALIFIED</t>
        </is>
      </c>
      <c r="AP136" s="24" t="inlineStr">
        <is>
          <t>wnba-las</t>
        </is>
      </c>
      <c r="AQ136" s="24" t="inlineStr">
        <is>
          <t>Los Angeles Sparks</t>
        </is>
      </c>
      <c r="AR136" s="24" t="inlineStr">
        <is>
          <t>Los Angeles Sparks</t>
        </is>
      </c>
      <c r="AS136" s="24" t="inlineStr">
        <is>
          <t>wnba-por</t>
        </is>
      </c>
      <c r="AT136" s="24" t="inlineStr">
        <is>
          <t>Portland Fire</t>
        </is>
      </c>
      <c r="AU136" s="24" t="inlineStr">
        <is>
          <t>Portland Fire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shadow_qualified</t>
        </is>
      </c>
      <c r="BA136" s="24" t="inlineStr">
        <is>
          <t>7afd5274214b58b7efd7f7febc7be3ab33b92351cda5cc6403c0a39faea0cc8c</t>
        </is>
      </c>
      <c r="BB136" s="24" t="inlineStr">
        <is>
          <t>learned_lr</t>
        </is>
      </c>
      <c r="BC136" s="24" t="inlineStr">
        <is>
          <t>wnba-elo-trend-lr-v4</t>
        </is>
      </c>
      <c r="BD136" s="24" t="inlineStr">
        <is>
          <t>7afd5274214b58b7efd7f7febc7be3ab33b92351cda5cc6403c0a39faea0cc8c</t>
        </is>
      </c>
      <c r="BE136" s="24" t="inlineStr">
        <is>
          <t>58d7c01d51192db8</t>
        </is>
      </c>
      <c r="BF136" s="24" t="inlineStr">
        <is>
          <t>1</t>
        </is>
      </c>
      <c r="BG136" s="24" t="inlineStr">
        <is>
          <t>wnba-elo-trend-lr-v4</t>
        </is>
      </c>
      <c r="BH136" s="24" t="inlineStr">
        <is>
          <t>2026-08-02T07:11:18.670669Z</t>
        </is>
      </c>
      <c r="BI136" s="24" t="inlineStr">
        <is>
          <t>["same_event","same_team_same_day","same_league_same_day"]</t>
        </is>
      </c>
      <c r="BJ136" s="25" t="n"/>
      <c r="BK136" s="26" t="n">
        <v>100</v>
      </c>
      <c r="BL136" s="27" t="n">
        <v>2</v>
      </c>
      <c r="BM136" s="28" t="n">
        <v>0.5</v>
      </c>
      <c r="BN136" s="28" t="n">
        <v>0.49505</v>
      </c>
      <c r="BO136" s="28" t="n"/>
      <c r="BP136" s="25" t="n"/>
      <c r="BQ136" s="27" t="n"/>
      <c r="BR136" s="28" t="n"/>
      <c r="BS136" s="28" t="n"/>
      <c r="BT136" s="28" t="n"/>
      <c r="BU136" s="25" t="n"/>
      <c r="BV136" s="29" t="n"/>
      <c r="BW136" s="24" t="n"/>
      <c r="BX136" s="30" t="n"/>
      <c r="BY136" s="27" t="n"/>
      <c r="BZ136" s="24" t="n"/>
      <c r="CA136" s="31" t="n"/>
      <c r="CB136" s="24" t="n"/>
      <c r="CC136" s="24" t="inlineStr">
        <is>
          <t>0.5937045717</t>
        </is>
      </c>
      <c r="CD136" s="24" t="inlineStr">
        <is>
          <t>-1.420483</t>
        </is>
      </c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</row>
    <row r="137" ht="36" customHeight="1">
      <c r="A137" s="24" t="inlineStr">
        <is>
          <t>79d6afc1fc4746e2</t>
        </is>
      </c>
      <c r="B137" s="24" t="inlineStr">
        <is>
          <t>2026-08-02T07:12:10.920987Z</t>
        </is>
      </c>
      <c r="C137" s="24" t="inlineStr">
        <is>
          <t>2026-08-02T13:35:00-0400</t>
        </is>
      </c>
      <c r="D137" s="24" t="inlineStr">
        <is>
          <t>401816368</t>
        </is>
      </c>
      <c r="E137" s="24" t="inlineStr">
        <is>
          <t>MLB</t>
        </is>
      </c>
      <c r="F137" s="24" t="inlineStr">
        <is>
          <t>Washington Nationals</t>
        </is>
      </c>
      <c r="G137" s="24" t="inlineStr">
        <is>
          <t>Atlanta Braves</t>
        </is>
      </c>
      <c r="H137" s="24" t="inlineStr">
        <is>
          <t>moneyline</t>
        </is>
      </c>
      <c r="I137" s="24" t="inlineStr">
        <is>
          <t>home</t>
        </is>
      </c>
      <c r="J137" s="25" t="n"/>
      <c r="K137" s="24" t="inlineStr">
        <is>
          <t>polymarket_us</t>
        </is>
      </c>
      <c r="L137" s="26" t="n">
        <v>-117</v>
      </c>
      <c r="M137" s="27" t="n">
        <v>1.854701</v>
      </c>
      <c r="N137" s="28" t="n">
        <v>0.539171</v>
      </c>
      <c r="O137" s="28" t="n">
        <v>0.600347</v>
      </c>
      <c r="P137" s="28" t="n"/>
      <c r="Q137" s="28" t="n">
        <v>0.061176</v>
      </c>
      <c r="R137" s="26" t="n">
        <v>52</v>
      </c>
      <c r="S137" s="29" t="n">
        <v>1.25</v>
      </c>
      <c r="T137" s="24" t="inlineStr">
        <is>
          <t>mlb-elo-trend-lr-v7</t>
        </is>
      </c>
      <c r="U137" s="24" t="inlineStr">
        <is>
          <t>open</t>
        </is>
      </c>
      <c r="V137" s="24" t="n"/>
      <c r="W137" s="26" t="n"/>
      <c r="X137" s="26" t="n"/>
      <c r="Y137" s="25" t="n"/>
      <c r="Z137" s="26" t="n"/>
      <c r="AA137" s="28" t="n"/>
      <c r="AB137" s="28" t="n"/>
      <c r="AC137" s="30" t="n"/>
      <c r="AD137" s="24" t="n"/>
      <c r="AE137" s="31" t="inlineStr">
        <is>
          <t>Learned LR call at threshold 0.6242; executable ask 0.5400 (aec-mlb-wsh-atl-2026-08-02); model edge vs ask +0.0603.</t>
        </is>
      </c>
      <c r="AF137" s="31" t="inlineStr">
        <is>
          <t>Learned model; shadow-qualified via operator override.</t>
        </is>
      </c>
      <c r="AG137" s="24" t="inlineStr">
        <is>
          <t>not_applicable</t>
        </is>
      </c>
      <c r="AH137" s="24" t="n"/>
      <c r="AI137" s="31" t="n"/>
      <c r="AJ137" s="31" t="n"/>
      <c r="AK137" s="24" t="inlineStr">
        <is>
          <t>model_qualified</t>
        </is>
      </c>
      <c r="AL137" s="26" t="n">
        <v>3</v>
      </c>
      <c r="AM137" s="24" t="inlineStr">
        <is>
          <t>QUALIFIED_SHADOW_CALL</t>
        </is>
      </c>
      <c r="AN137" s="24" t="inlineStr">
        <is>
          <t>CALL</t>
        </is>
      </c>
      <c r="AO137" s="24" t="inlineStr">
        <is>
          <t>QUALIFIED</t>
        </is>
      </c>
      <c r="AP137" s="24" t="inlineStr">
        <is>
          <t>mlb-wsh</t>
        </is>
      </c>
      <c r="AQ137" s="24" t="inlineStr">
        <is>
          <t>Washington Nationals</t>
        </is>
      </c>
      <c r="AR137" s="24" t="inlineStr">
        <is>
          <t>Washington Nationals</t>
        </is>
      </c>
      <c r="AS137" s="24" t="inlineStr">
        <is>
          <t>mlb-atl</t>
        </is>
      </c>
      <c r="AT137" s="24" t="inlineStr">
        <is>
          <t>Atlanta Braves</t>
        </is>
      </c>
      <c r="AU137" s="24" t="inlineStr">
        <is>
          <t>Atlanta Braves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shadow_qualified</t>
        </is>
      </c>
      <c r="BA137" s="24" t="inlineStr">
        <is>
          <t>464eef695bfbbdaa819ec6f5e4c5bd1068ed20b92915fb2677220ae91e20d8b6</t>
        </is>
      </c>
      <c r="BB137" s="24" t="inlineStr">
        <is>
          <t>learned_lr</t>
        </is>
      </c>
      <c r="BC137" s="24" t="inlineStr">
        <is>
          <t>mlb-elo-trend-lr-v7</t>
        </is>
      </c>
      <c r="BD137" s="24" t="inlineStr">
        <is>
          <t>464eef695bfbbdaa819ec6f5e4c5bd1068ed20b92915fb2677220ae91e20d8b6</t>
        </is>
      </c>
      <c r="BE137" s="24" t="inlineStr">
        <is>
          <t>5a8b8f0237e0f7f7</t>
        </is>
      </c>
      <c r="BF137" s="24" t="inlineStr">
        <is>
          <t>1</t>
        </is>
      </c>
      <c r="BG137" s="24" t="inlineStr">
        <is>
          <t>mlb-elo-trend-lr-v7</t>
        </is>
      </c>
      <c r="BH137" s="24" t="inlineStr">
        <is>
          <t>2026-08-02T07:11:03.921396Z</t>
        </is>
      </c>
      <c r="BI137" s="24" t="inlineStr">
        <is>
          <t>["same_event","same_team_same_day","same_league_same_day"]</t>
        </is>
      </c>
      <c r="BJ137" s="25" t="n"/>
      <c r="BK137" s="26" t="n">
        <v>-117</v>
      </c>
      <c r="BL137" s="27" t="n">
        <v>1.854701</v>
      </c>
      <c r="BM137" s="28" t="n">
        <v>0.539171</v>
      </c>
      <c r="BN137" s="28" t="n">
        <v>0.537313</v>
      </c>
      <c r="BO137" s="28" t="n"/>
      <c r="BP137" s="25" t="n"/>
      <c r="BQ137" s="27" t="n"/>
      <c r="BR137" s="28" t="n"/>
      <c r="BS137" s="28" t="n"/>
      <c r="BT137" s="28" t="n"/>
      <c r="BU137" s="25" t="n"/>
      <c r="BV137" s="29" t="n"/>
      <c r="BW137" s="24" t="n"/>
      <c r="BX137" s="30" t="n"/>
      <c r="BY137" s="27" t="n"/>
      <c r="BZ137" s="24" t="n"/>
      <c r="CA137" s="31" t="n"/>
      <c r="CB137" s="24" t="n"/>
      <c r="CC137" s="24" t="inlineStr">
        <is>
          <t>0.6335187094</t>
        </is>
      </c>
      <c r="CD137" s="24" t="inlineStr">
        <is>
          <t>1.061773</t>
        </is>
      </c>
      <c r="CE137" s="24" t="inlineStr">
        <is>
          <t>0.929</t>
        </is>
      </c>
      <c r="CF137" s="24" t="inlineStr">
        <is>
          <t>1.0206</t>
        </is>
      </c>
      <c r="CG137" s="24" t="inlineStr">
        <is>
          <t>-3.6</t>
        </is>
      </c>
      <c r="CH137" s="24" t="n"/>
      <c r="CI137" s="24" t="n"/>
      <c r="CJ137" s="24" t="n"/>
      <c r="CK137" s="24" t="n"/>
      <c r="CL137" s="24" t="n"/>
      <c r="CM137" s="24" t="n"/>
      <c r="CN137" s="24" t="n"/>
      <c r="CO137" s="24" t="n"/>
    </row>
    <row r="138" ht="36" customHeight="1">
      <c r="A138" s="24" t="inlineStr">
        <is>
          <t>18adc888433f43af</t>
        </is>
      </c>
      <c r="B138" s="24" t="inlineStr">
        <is>
          <t>2026-08-02T07:12:10.920987Z</t>
        </is>
      </c>
      <c r="C138" s="24" t="inlineStr">
        <is>
          <t>2026-08-02T19:00:00-0400</t>
        </is>
      </c>
      <c r="D138" s="24" t="inlineStr">
        <is>
          <t>401857109</t>
        </is>
      </c>
      <c r="E138" s="24" t="inlineStr">
        <is>
          <t>WNBA</t>
        </is>
      </c>
      <c r="F138" s="24" t="inlineStr">
        <is>
          <t>Connecticut Sun</t>
        </is>
      </c>
      <c r="G138" s="24" t="inlineStr">
        <is>
          <t>Dallas Wings</t>
        </is>
      </c>
      <c r="H138" s="24" t="inlineStr">
        <is>
          <t>moneyline</t>
        </is>
      </c>
      <c r="I138" s="24" t="inlineStr">
        <is>
          <t>home</t>
        </is>
      </c>
      <c r="J138" s="25" t="n"/>
      <c r="K138" s="24" t="inlineStr">
        <is>
          <t>polymarket_us</t>
        </is>
      </c>
      <c r="L138" s="26" t="n">
        <v>-525</v>
      </c>
      <c r="M138" s="27" t="n">
        <v>1.190476</v>
      </c>
      <c r="N138" s="28" t="n">
        <v>0.84</v>
      </c>
      <c r="O138" s="28" t="n">
        <v>0.758559</v>
      </c>
      <c r="P138" s="28" t="n"/>
      <c r="Q138" s="28" t="n">
        <v>-0.081441</v>
      </c>
      <c r="R138" s="26" t="n">
        <v>0</v>
      </c>
      <c r="S138" s="29" t="n">
        <v>2</v>
      </c>
      <c r="T138" s="24" t="inlineStr">
        <is>
          <t>wnba-elo-trend-lr-v4</t>
        </is>
      </c>
      <c r="U138" s="24" t="inlineStr">
        <is>
          <t>open</t>
        </is>
      </c>
      <c r="V138" s="24" t="n"/>
      <c r="W138" s="26" t="n"/>
      <c r="X138" s="26" t="n"/>
      <c r="Y138" s="25" t="n"/>
      <c r="Z138" s="26" t="n"/>
      <c r="AA138" s="28" t="n"/>
      <c r="AB138" s="28" t="n"/>
      <c r="AC138" s="30" t="n"/>
      <c r="AD138" s="24" t="n"/>
      <c r="AE138" s="31" t="inlineStr">
        <is>
          <t>Learned LR call at threshold 0.5001; executable ask 0.8400 (aec-wnba-conn-dal-2026-08-02); model edge vs ask -0.0814. NOTE: NO_CALL_AVAILABILITY_PLAYER_UNMAPPED unavailable for this game — defaulted to neutral, other features used normally.</t>
        </is>
      </c>
      <c r="AF138" s="31" t="inlineStr">
        <is>
          <t>Learned model; shadow-qualified via operator override.</t>
        </is>
      </c>
      <c r="AG138" s="24" t="inlineStr">
        <is>
          <t>not_applicable</t>
        </is>
      </c>
      <c r="AH138" s="24" t="n"/>
      <c r="AI138" s="31" t="n"/>
      <c r="AJ138" s="31" t="n"/>
      <c r="AK138" s="24" t="inlineStr">
        <is>
          <t>model_qualified</t>
        </is>
      </c>
      <c r="AL138" s="26" t="n">
        <v>3</v>
      </c>
      <c r="AM138" s="24" t="inlineStr">
        <is>
          <t>QUALIFIED_SHADOW_CALL</t>
        </is>
      </c>
      <c r="AN138" s="24" t="inlineStr">
        <is>
          <t>CALL</t>
        </is>
      </c>
      <c r="AO138" s="24" t="inlineStr">
        <is>
          <t>QUALIFIED</t>
        </is>
      </c>
      <c r="AP138" s="24" t="inlineStr">
        <is>
          <t>wnba-con</t>
        </is>
      </c>
      <c r="AQ138" s="24" t="inlineStr">
        <is>
          <t>Connecticut Sun</t>
        </is>
      </c>
      <c r="AR138" s="24" t="inlineStr">
        <is>
          <t>Connecticut Sun</t>
        </is>
      </c>
      <c r="AS138" s="24" t="inlineStr">
        <is>
          <t>wnba-dal</t>
        </is>
      </c>
      <c r="AT138" s="24" t="inlineStr">
        <is>
          <t>Dallas Wings</t>
        </is>
      </c>
      <c r="AU138" s="24" t="inlineStr">
        <is>
          <t>Dallas Wings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shadow_qualified</t>
        </is>
      </c>
      <c r="BA138" s="24" t="inlineStr">
        <is>
          <t>7afd5274214b58b7efd7f7febc7be3ab33b92351cda5cc6403c0a39faea0cc8c</t>
        </is>
      </c>
      <c r="BB138" s="24" t="inlineStr">
        <is>
          <t>learned_lr</t>
        </is>
      </c>
      <c r="BC138" s="24" t="inlineStr">
        <is>
          <t>wnba-elo-trend-lr-v4</t>
        </is>
      </c>
      <c r="BD138" s="24" t="inlineStr">
        <is>
          <t>7afd5274214b58b7efd7f7febc7be3ab33b92351cda5cc6403c0a39faea0cc8c</t>
        </is>
      </c>
      <c r="BE138" s="24" t="inlineStr">
        <is>
          <t>9c0c7cfe02317de7</t>
        </is>
      </c>
      <c r="BF138" s="24" t="inlineStr">
        <is>
          <t>1</t>
        </is>
      </c>
      <c r="BG138" s="24" t="inlineStr">
        <is>
          <t>wnba-elo-trend-lr-v4</t>
        </is>
      </c>
      <c r="BH138" s="24" t="inlineStr">
        <is>
          <t>2026-08-02T07:11:20.306110Z</t>
        </is>
      </c>
      <c r="BI138" s="24" t="inlineStr">
        <is>
          <t>["same_event","same_team_same_day","same_league_same_day"]</t>
        </is>
      </c>
      <c r="BJ138" s="25" t="n"/>
      <c r="BK138" s="26" t="n">
        <v>-525</v>
      </c>
      <c r="BL138" s="27" t="n">
        <v>1.190476</v>
      </c>
      <c r="BM138" s="28" t="n">
        <v>0.84</v>
      </c>
      <c r="BN138" s="28" t="n">
        <v>0.831683</v>
      </c>
      <c r="BO138" s="28" t="n"/>
      <c r="BP138" s="25" t="n"/>
      <c r="BQ138" s="27" t="n"/>
      <c r="BR138" s="28" t="n"/>
      <c r="BS138" s="28" t="n"/>
      <c r="BT138" s="28" t="n"/>
      <c r="BU138" s="25" t="n"/>
      <c r="BV138" s="29" t="n"/>
      <c r="BW138" s="24" t="n"/>
      <c r="BX138" s="30" t="n"/>
      <c r="BY138" s="27" t="n"/>
      <c r="BZ138" s="24" t="n"/>
      <c r="CA138" s="31" t="n"/>
      <c r="CB138" s="24" t="n"/>
      <c r="CC138" s="24" t="inlineStr">
        <is>
          <t>0.8648169599</t>
        </is>
      </c>
      <c r="CD138" s="24" t="inlineStr">
        <is>
          <t>-2.14749</t>
        </is>
      </c>
      <c r="CE138" s="24" t="n"/>
      <c r="CF138" s="24" t="n"/>
      <c r="CG138" s="24" t="n"/>
      <c r="CH138" s="24" t="n"/>
      <c r="CI138" s="24" t="inlineStr">
        <is>
          <t>NO_CALL_AVAILABILITY_PLAYER_UNMAPPED</t>
        </is>
      </c>
      <c r="CJ138" s="24" t="n"/>
      <c r="CK138" s="24" t="n"/>
      <c r="CL138" s="24" t="n"/>
      <c r="CM138" s="24" t="n"/>
      <c r="CN138" s="24" t="n"/>
      <c r="CO138" s="24" t="n"/>
    </row>
    <row r="139" ht="36" customHeight="1">
      <c r="A139" s="24" t="inlineStr">
        <is>
          <t>1a4d0e4b3c3b4548</t>
        </is>
      </c>
      <c r="B139" s="24" t="inlineStr">
        <is>
          <t>2026-08-02T07:12:10.920987Z</t>
        </is>
      </c>
      <c r="C139" s="24" t="inlineStr">
        <is>
          <t>2026-08-02T13:37:00-0400</t>
        </is>
      </c>
      <c r="D139" s="24" t="inlineStr">
        <is>
          <t>401816367</t>
        </is>
      </c>
      <c r="E139" s="24" t="inlineStr">
        <is>
          <t>MLB</t>
        </is>
      </c>
      <c r="F139" s="24" t="inlineStr">
        <is>
          <t>St. Louis Cardinals</t>
        </is>
      </c>
      <c r="G139" s="24" t="inlineStr">
        <is>
          <t>Toronto Blue Jays</t>
        </is>
      </c>
      <c r="H139" s="24" t="inlineStr">
        <is>
          <t>moneyline</t>
        </is>
      </c>
      <c r="I139" s="24" t="inlineStr">
        <is>
          <t>home</t>
        </is>
      </c>
      <c r="J139" s="25" t="n"/>
      <c r="K139" s="24" t="inlineStr">
        <is>
          <t>polymarket_us</t>
        </is>
      </c>
      <c r="L139" s="26" t="n">
        <v>-108</v>
      </c>
      <c r="M139" s="27" t="n">
        <v>1.925926</v>
      </c>
      <c r="N139" s="28" t="n">
        <v>0.519231</v>
      </c>
      <c r="O139" s="28" t="n">
        <v>0.536276</v>
      </c>
      <c r="P139" s="28" t="n"/>
      <c r="Q139" s="28" t="n">
        <v>0.017045</v>
      </c>
      <c r="R139" s="26" t="n">
        <v>29</v>
      </c>
      <c r="S139" s="29" t="n">
        <v>1</v>
      </c>
      <c r="T139" s="24" t="inlineStr">
        <is>
          <t>mlb-elo-trend-lr-v7</t>
        </is>
      </c>
      <c r="U139" s="24" t="inlineStr">
        <is>
          <t>open</t>
        </is>
      </c>
      <c r="V139" s="24" t="n"/>
      <c r="W139" s="26" t="n"/>
      <c r="X139" s="26" t="n"/>
      <c r="Y139" s="25" t="n"/>
      <c r="Z139" s="26" t="n"/>
      <c r="AA139" s="28" t="n"/>
      <c r="AB139" s="28" t="n"/>
      <c r="AC139" s="30" t="n"/>
      <c r="AD139" s="24" t="n"/>
      <c r="AE139" s="31" t="inlineStr">
        <is>
          <t>Learned LR call at threshold 0.6242; executable ask 0.5200 (aec-mlb-stl-tor-2026-08-02); model edge vs ask +0.0163.</t>
        </is>
      </c>
      <c r="AF139" s="31" t="inlineStr">
        <is>
          <t>Learned model; shadow-qualified via operator override.</t>
        </is>
      </c>
      <c r="AG139" s="24" t="inlineStr">
        <is>
          <t>not_applicable</t>
        </is>
      </c>
      <c r="AH139" s="24" t="n"/>
      <c r="AI139" s="31" t="n"/>
      <c r="AJ139" s="31" t="n"/>
      <c r="AK139" s="24" t="inlineStr">
        <is>
          <t>model_qualified</t>
        </is>
      </c>
      <c r="AL139" s="26" t="n">
        <v>3</v>
      </c>
      <c r="AM139" s="24" t="inlineStr">
        <is>
          <t>QUALIFIED_SHADOW_CALL</t>
        </is>
      </c>
      <c r="AN139" s="24" t="inlineStr">
        <is>
          <t>CALL</t>
        </is>
      </c>
      <c r="AO139" s="24" t="inlineStr">
        <is>
          <t>QUALIFIED</t>
        </is>
      </c>
      <c r="AP139" s="24" t="inlineStr">
        <is>
          <t>mlb-stl</t>
        </is>
      </c>
      <c r="AQ139" s="24" t="inlineStr">
        <is>
          <t>St. Louis Cardinals</t>
        </is>
      </c>
      <c r="AR139" s="24" t="inlineStr">
        <is>
          <t>St. Louis Cardinals</t>
        </is>
      </c>
      <c r="AS139" s="24" t="inlineStr">
        <is>
          <t>mlb-tor</t>
        </is>
      </c>
      <c r="AT139" s="24" t="inlineStr">
        <is>
          <t>Toronto Blue Jays</t>
        </is>
      </c>
      <c r="AU139" s="24" t="inlineStr">
        <is>
          <t>Toronto Blue Jays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shadow_qualified</t>
        </is>
      </c>
      <c r="BA139" s="24" t="inlineStr">
        <is>
          <t>464eef695bfbbdaa819ec6f5e4c5bd1068ed20b92915fb2677220ae91e20d8b6</t>
        </is>
      </c>
      <c r="BB139" s="24" t="inlineStr">
        <is>
          <t>learned_lr</t>
        </is>
      </c>
      <c r="BC139" s="24" t="inlineStr">
        <is>
          <t>mlb-elo-trend-lr-v7</t>
        </is>
      </c>
      <c r="BD139" s="24" t="inlineStr">
        <is>
          <t>464eef695bfbbdaa819ec6f5e4c5bd1068ed20b92915fb2677220ae91e20d8b6</t>
        </is>
      </c>
      <c r="BE139" s="24" t="inlineStr">
        <is>
          <t>429c13d4c562f5e8</t>
        </is>
      </c>
      <c r="BF139" s="24" t="inlineStr">
        <is>
          <t>1</t>
        </is>
      </c>
      <c r="BG139" s="24" t="inlineStr">
        <is>
          <t>mlb-elo-trend-lr-v7</t>
        </is>
      </c>
      <c r="BH139" s="24" t="inlineStr">
        <is>
          <t>2026-08-02T07:11:04.884951Z</t>
        </is>
      </c>
      <c r="BI139" s="24" t="inlineStr">
        <is>
          <t>["same_event","same_team_same_day","same_league_same_day"]</t>
        </is>
      </c>
      <c r="BJ139" s="25" t="n"/>
      <c r="BK139" s="26" t="n">
        <v>-108</v>
      </c>
      <c r="BL139" s="27" t="n">
        <v>1.925926</v>
      </c>
      <c r="BM139" s="28" t="n">
        <v>0.519231</v>
      </c>
      <c r="BN139" s="28" t="n">
        <v>0.517413</v>
      </c>
      <c r="BO139" s="28" t="n"/>
      <c r="BP139" s="25" t="n"/>
      <c r="BQ139" s="27" t="n"/>
      <c r="BR139" s="28" t="n"/>
      <c r="BS139" s="28" t="n"/>
      <c r="BT139" s="28" t="n"/>
      <c r="BU139" s="25" t="n"/>
      <c r="BV139" s="29" t="n"/>
      <c r="BW139" s="24" t="n"/>
      <c r="BX139" s="30" t="n"/>
      <c r="BY139" s="27" t="n"/>
      <c r="BZ139" s="24" t="n"/>
      <c r="CA139" s="31" t="n"/>
      <c r="CB139" s="24" t="n"/>
      <c r="CC139" s="24" t="inlineStr">
        <is>
          <t>0.5658417148</t>
        </is>
      </c>
      <c r="CD139" s="24" t="inlineStr">
        <is>
          <t>1.499161</t>
        </is>
      </c>
      <c r="CE139" s="24" t="inlineStr">
        <is>
          <t>1.019</t>
        </is>
      </c>
      <c r="CF139" s="24" t="inlineStr">
        <is>
          <t>1.0</t>
        </is>
      </c>
      <c r="CG139" s="24" t="inlineStr">
        <is>
          <t>-2.0</t>
        </is>
      </c>
      <c r="CH139" s="24" t="n"/>
      <c r="CI139" s="24" t="n"/>
      <c r="CJ139" s="24" t="n"/>
      <c r="CK139" s="24" t="n"/>
      <c r="CL139" s="24" t="n"/>
      <c r="CM139" s="24" t="n"/>
      <c r="CN139" s="24" t="n"/>
      <c r="CO139" s="24" t="n"/>
    </row>
    <row r="140" ht="36" customHeight="1">
      <c r="A140" s="24" t="inlineStr">
        <is>
          <t>407bc99297bb4c5d</t>
        </is>
      </c>
      <c r="B140" s="24" t="inlineStr">
        <is>
          <t>2026-08-02T07:12:10.920987Z</t>
        </is>
      </c>
      <c r="C140" s="24" t="inlineStr">
        <is>
          <t>2026-08-02T20:30:00-0400</t>
        </is>
      </c>
      <c r="D140" s="24" t="inlineStr">
        <is>
          <t>401857110</t>
        </is>
      </c>
      <c r="E140" s="24" t="inlineStr">
        <is>
          <t>WNBA</t>
        </is>
      </c>
      <c r="F140" s="24" t="inlineStr">
        <is>
          <t>Toronto Tempo</t>
        </is>
      </c>
      <c r="G140" s="24" t="inlineStr">
        <is>
          <t>Golden State Valkyries</t>
        </is>
      </c>
      <c r="H140" s="24" t="inlineStr">
        <is>
          <t>moneyline</t>
        </is>
      </c>
      <c r="I140" s="24" t="inlineStr">
        <is>
          <t>home</t>
        </is>
      </c>
      <c r="J140" s="25" t="n"/>
      <c r="K140" s="24" t="inlineStr">
        <is>
          <t>polymarket_us</t>
        </is>
      </c>
      <c r="L140" s="26" t="n">
        <v>-669</v>
      </c>
      <c r="M140" s="27" t="n">
        <v>1.149477</v>
      </c>
      <c r="N140" s="28" t="n">
        <v>0.869961</v>
      </c>
      <c r="O140" s="28" t="n">
        <v>0.772803</v>
      </c>
      <c r="P140" s="28" t="n"/>
      <c r="Q140" s="28" t="n">
        <v>-0.09715799999999999</v>
      </c>
      <c r="R140" s="26" t="n">
        <v>0</v>
      </c>
      <c r="S140" s="29" t="n">
        <v>2</v>
      </c>
      <c r="T140" s="24" t="inlineStr">
        <is>
          <t>wnba-elo-trend-lr-v4</t>
        </is>
      </c>
      <c r="U140" s="24" t="inlineStr">
        <is>
          <t>open</t>
        </is>
      </c>
      <c r="V140" s="24" t="n"/>
      <c r="W140" s="26" t="n"/>
      <c r="X140" s="26" t="n"/>
      <c r="Y140" s="25" t="n"/>
      <c r="Z140" s="26" t="n"/>
      <c r="AA140" s="28" t="n"/>
      <c r="AB140" s="28" t="n"/>
      <c r="AC140" s="30" t="n"/>
      <c r="AD140" s="24" t="n"/>
      <c r="AE140" s="31" t="inlineStr">
        <is>
          <t>Learned LR call at threshold 0.5001; executable ask 0.8700 (aec-wnba-tor-gsv-2026-08-02); model edge vs ask -0.0972. NOTE: NO_CALL_AVAILABILITY_PLAYER_UNMAPPED unavailable for this game — defaulted to neutral, other features used normally.</t>
        </is>
      </c>
      <c r="AF140" s="31" t="inlineStr">
        <is>
          <t>Learned model; shadow-qualified via operator override.</t>
        </is>
      </c>
      <c r="AG140" s="24" t="inlineStr">
        <is>
          <t>not_applicable</t>
        </is>
      </c>
      <c r="AH140" s="24" t="n"/>
      <c r="AI140" s="31" t="n"/>
      <c r="AJ140" s="31" t="n"/>
      <c r="AK140" s="24" t="inlineStr">
        <is>
          <t>model_qualified</t>
        </is>
      </c>
      <c r="AL140" s="26" t="n">
        <v>3</v>
      </c>
      <c r="AM140" s="24" t="inlineStr">
        <is>
          <t>QUALIFIED_SHADOW_CALL</t>
        </is>
      </c>
      <c r="AN140" s="24" t="inlineStr">
        <is>
          <t>CALL</t>
        </is>
      </c>
      <c r="AO140" s="24" t="inlineStr">
        <is>
          <t>QUALIFIED</t>
        </is>
      </c>
      <c r="AP140" s="24" t="inlineStr">
        <is>
          <t>wnba-tor</t>
        </is>
      </c>
      <c r="AQ140" s="24" t="inlineStr">
        <is>
          <t>Toronto Tempo</t>
        </is>
      </c>
      <c r="AR140" s="24" t="inlineStr">
        <is>
          <t>Toronto Tempo</t>
        </is>
      </c>
      <c r="AS140" s="24" t="inlineStr">
        <is>
          <t>wnba-gsv</t>
        </is>
      </c>
      <c r="AT140" s="24" t="inlineStr">
        <is>
          <t>Golden State Valkyries</t>
        </is>
      </c>
      <c r="AU140" s="24" t="inlineStr">
        <is>
          <t>Golden State Valkyries</t>
        </is>
      </c>
      <c r="AV140" s="24" t="n"/>
      <c r="AW140" s="24" t="n"/>
      <c r="AX140" s="24" t="inlineStr">
        <is>
          <t>statistical_model</t>
        </is>
      </c>
      <c r="AY140" s="24" t="n"/>
      <c r="AZ140" s="24" t="inlineStr">
        <is>
          <t>shadow_qualified</t>
        </is>
      </c>
      <c r="BA140" s="24" t="inlineStr">
        <is>
          <t>7afd5274214b58b7efd7f7febc7be3ab33b92351cda5cc6403c0a39faea0cc8c</t>
        </is>
      </c>
      <c r="BB140" s="24" t="inlineStr">
        <is>
          <t>learned_lr</t>
        </is>
      </c>
      <c r="BC140" s="24" t="inlineStr">
        <is>
          <t>wnba-elo-trend-lr-v4</t>
        </is>
      </c>
      <c r="BD140" s="24" t="inlineStr">
        <is>
          <t>7afd5274214b58b7efd7f7febc7be3ab33b92351cda5cc6403c0a39faea0cc8c</t>
        </is>
      </c>
      <c r="BE140" s="24" t="inlineStr">
        <is>
          <t>c1ef9fc1d2a3714a</t>
        </is>
      </c>
      <c r="BF140" s="24" t="inlineStr">
        <is>
          <t>1</t>
        </is>
      </c>
      <c r="BG140" s="24" t="inlineStr">
        <is>
          <t>wnba-elo-trend-lr-v4</t>
        </is>
      </c>
      <c r="BH140" s="24" t="inlineStr">
        <is>
          <t>2026-08-02T07:11:21.289872Z</t>
        </is>
      </c>
      <c r="BI140" s="24" t="inlineStr">
        <is>
          <t>["same_event","same_team_same_day","same_league_same_day"]</t>
        </is>
      </c>
      <c r="BJ140" s="25" t="n"/>
      <c r="BK140" s="26" t="n">
        <v>-669</v>
      </c>
      <c r="BL140" s="27" t="n">
        <v>1.149477</v>
      </c>
      <c r="BM140" s="28" t="n">
        <v>0.869961</v>
      </c>
      <c r="BN140" s="28" t="n">
        <v>0.861386</v>
      </c>
      <c r="BO140" s="28" t="n"/>
      <c r="BP140" s="25" t="n"/>
      <c r="BQ140" s="27" t="n"/>
      <c r="BR140" s="28" t="n"/>
      <c r="BS140" s="28" t="n"/>
      <c r="BT140" s="28" t="n"/>
      <c r="BU140" s="25" t="n"/>
      <c r="BV140" s="29" t="n"/>
      <c r="BW140" s="24" t="n"/>
      <c r="BX140" s="30" t="n"/>
      <c r="BY140" s="27" t="n"/>
      <c r="BZ140" s="24" t="n"/>
      <c r="CA140" s="31" t="n"/>
      <c r="CB140" s="24" t="n"/>
      <c r="CC140" s="24" t="inlineStr">
        <is>
          <t>0.8973864278</t>
        </is>
      </c>
      <c r="CD140" s="24" t="inlineStr">
        <is>
          <t>2.248193</t>
        </is>
      </c>
      <c r="CE140" s="24" t="n"/>
      <c r="CF140" s="24" t="n"/>
      <c r="CG140" s="24" t="n"/>
      <c r="CH140" s="24" t="n"/>
      <c r="CI140" s="24" t="inlineStr">
        <is>
          <t>NO_CALL_AVAILABILITY_PLAYER_UNMAPPED</t>
        </is>
      </c>
      <c r="CJ140" s="24" t="n"/>
      <c r="CK140" s="24" t="n"/>
      <c r="CL140" s="24" t="n"/>
      <c r="CM140" s="24" t="n"/>
      <c r="CN140" s="24" t="n"/>
      <c r="CO140" s="24" t="n"/>
    </row>
    <row r="141" ht="36" customHeight="1">
      <c r="A141" s="24" t="inlineStr">
        <is>
          <t>5abb308247ea4956</t>
        </is>
      </c>
      <c r="B141" s="24" t="inlineStr">
        <is>
          <t>2026-08-02T07:12:10.920987Z</t>
        </is>
      </c>
      <c r="C141" s="24" t="inlineStr">
        <is>
          <t>2026-08-02T13:40:00-0400</t>
        </is>
      </c>
      <c r="D141" s="24" t="inlineStr">
        <is>
          <t>401816362</t>
        </is>
      </c>
      <c r="E141" s="24" t="inlineStr">
        <is>
          <t>MLB</t>
        </is>
      </c>
      <c r="F141" s="24" t="inlineStr">
        <is>
          <t>Arizona Diamondbacks</t>
        </is>
      </c>
      <c r="G141" s="24" t="inlineStr">
        <is>
          <t>Cleveland Guardians</t>
        </is>
      </c>
      <c r="H141" s="24" t="inlineStr">
        <is>
          <t>moneyline</t>
        </is>
      </c>
      <c r="I141" s="24" t="inlineStr">
        <is>
          <t>home</t>
        </is>
      </c>
      <c r="J141" s="25" t="n"/>
      <c r="K141" s="24" t="inlineStr">
        <is>
          <t>polymarket_us</t>
        </is>
      </c>
      <c r="L141" s="26" t="n">
        <v>-135</v>
      </c>
      <c r="M141" s="27" t="n">
        <v>1.740741</v>
      </c>
      <c r="N141" s="28" t="n">
        <v>0.574468</v>
      </c>
      <c r="O141" s="28" t="n">
        <v>0.542333</v>
      </c>
      <c r="P141" s="28" t="n"/>
      <c r="Q141" s="28" t="n">
        <v>-0.032135</v>
      </c>
      <c r="R141" s="26" t="n">
        <v>5</v>
      </c>
      <c r="S141" s="29" t="n">
        <v>1</v>
      </c>
      <c r="T141" s="24" t="inlineStr">
        <is>
          <t>mlb-elo-trend-lr-v7</t>
        </is>
      </c>
      <c r="U141" s="24" t="inlineStr">
        <is>
          <t>open</t>
        </is>
      </c>
      <c r="V141" s="24" t="n"/>
      <c r="W141" s="26" t="n"/>
      <c r="X141" s="26" t="n"/>
      <c r="Y141" s="25" t="n"/>
      <c r="Z141" s="26" t="n"/>
      <c r="AA141" s="28" t="n"/>
      <c r="AB141" s="28" t="n"/>
      <c r="AC141" s="30" t="n"/>
      <c r="AD141" s="24" t="n"/>
      <c r="AE141" s="31" t="inlineStr">
        <is>
          <t>Learned LR call at threshold 0.6242; executable ask 0.5750 (aec-mlb-az-cle-2026-08-02); model edge vs ask -0.0327.</t>
        </is>
      </c>
      <c r="AF141" s="31" t="inlineStr">
        <is>
          <t>Learned model; shadow-qualified via operator override.</t>
        </is>
      </c>
      <c r="AG141" s="24" t="inlineStr">
        <is>
          <t>not_applicable</t>
        </is>
      </c>
      <c r="AH141" s="24" t="n"/>
      <c r="AI141" s="31" t="n"/>
      <c r="AJ141" s="31" t="n"/>
      <c r="AK141" s="24" t="inlineStr">
        <is>
          <t>model_qualified</t>
        </is>
      </c>
      <c r="AL141" s="26" t="n">
        <v>3</v>
      </c>
      <c r="AM141" s="24" t="inlineStr">
        <is>
          <t>QUALIFIED_SHADOW_CALL</t>
        </is>
      </c>
      <c r="AN141" s="24" t="inlineStr">
        <is>
          <t>CALL</t>
        </is>
      </c>
      <c r="AO141" s="24" t="inlineStr">
        <is>
          <t>QUALIFIED</t>
        </is>
      </c>
      <c r="AP141" s="24" t="inlineStr">
        <is>
          <t>mlb-ari</t>
        </is>
      </c>
      <c r="AQ141" s="24" t="inlineStr">
        <is>
          <t>Arizona Diamondbacks</t>
        </is>
      </c>
      <c r="AR141" s="24" t="inlineStr">
        <is>
          <t>Arizona Diamondbacks</t>
        </is>
      </c>
      <c r="AS141" s="24" t="inlineStr">
        <is>
          <t>mlb-cle</t>
        </is>
      </c>
      <c r="AT141" s="24" t="inlineStr">
        <is>
          <t>Cleveland Guardians</t>
        </is>
      </c>
      <c r="AU141" s="24" t="inlineStr">
        <is>
          <t>Cleveland Guardians</t>
        </is>
      </c>
      <c r="AV141" s="24" t="n"/>
      <c r="AW141" s="24" t="n"/>
      <c r="AX141" s="24" t="inlineStr">
        <is>
          <t>statistical_model</t>
        </is>
      </c>
      <c r="AY141" s="24" t="n"/>
      <c r="AZ141" s="24" t="inlineStr">
        <is>
          <t>shadow_qualified</t>
        </is>
      </c>
      <c r="BA141" s="24" t="inlineStr">
        <is>
          <t>464eef695bfbbdaa819ec6f5e4c5bd1068ed20b92915fb2677220ae91e20d8b6</t>
        </is>
      </c>
      <c r="BB141" s="24" t="inlineStr">
        <is>
          <t>learned_lr</t>
        </is>
      </c>
      <c r="BC141" s="24" t="inlineStr">
        <is>
          <t>mlb-elo-trend-lr-v7</t>
        </is>
      </c>
      <c r="BD141" s="24" t="inlineStr">
        <is>
          <t>464eef695bfbbdaa819ec6f5e4c5bd1068ed20b92915fb2677220ae91e20d8b6</t>
        </is>
      </c>
      <c r="BE141" s="24" t="inlineStr">
        <is>
          <t>8082ba852600e9f8</t>
        </is>
      </c>
      <c r="BF141" s="24" t="inlineStr">
        <is>
          <t>1</t>
        </is>
      </c>
      <c r="BG141" s="24" t="inlineStr">
        <is>
          <t>mlb-elo-trend-lr-v7</t>
        </is>
      </c>
      <c r="BH141" s="24" t="inlineStr">
        <is>
          <t>2026-08-02T07:11:05.948352Z</t>
        </is>
      </c>
      <c r="BI141" s="24" t="inlineStr">
        <is>
          <t>["same_event","same_team_same_day","same_league_same_day"]</t>
        </is>
      </c>
      <c r="BJ141" s="25" t="n"/>
      <c r="BK141" s="26" t="n">
        <v>-135</v>
      </c>
      <c r="BL141" s="27" t="n">
        <v>1.740741</v>
      </c>
      <c r="BM141" s="28" t="n">
        <v>0.574468</v>
      </c>
      <c r="BN141" s="28" t="n">
        <v>0.572139</v>
      </c>
      <c r="BO141" s="28" t="n"/>
      <c r="BP141" s="25" t="n"/>
      <c r="BQ141" s="27" t="n"/>
      <c r="BR141" s="28" t="n"/>
      <c r="BS141" s="28" t="n"/>
      <c r="BT141" s="28" t="n"/>
      <c r="BU141" s="25" t="n"/>
      <c r="BV141" s="29" t="n"/>
      <c r="BW141" s="24" t="n"/>
      <c r="BX141" s="30" t="n"/>
      <c r="BY141" s="27" t="n"/>
      <c r="BZ141" s="24" t="n"/>
      <c r="CA141" s="31" t="n"/>
      <c r="CB141" s="24" t="n"/>
      <c r="CC141" s="24" t="inlineStr">
        <is>
          <t>0.5147263352</t>
        </is>
      </c>
      <c r="CD141" s="24" t="inlineStr">
        <is>
          <t>-1.620545</t>
        </is>
      </c>
      <c r="CE141" s="24" t="inlineStr">
        <is>
          <t>0.966</t>
        </is>
      </c>
      <c r="CF141" s="24" t="inlineStr">
        <is>
          <t>1.0052</t>
        </is>
      </c>
      <c r="CG141" s="24" t="inlineStr">
        <is>
          <t>1.0</t>
        </is>
      </c>
      <c r="CH141" s="24" t="n"/>
      <c r="CI141" s="24" t="n"/>
      <c r="CJ141" s="24" t="n"/>
      <c r="CK141" s="24" t="n"/>
      <c r="CL141" s="24" t="n"/>
      <c r="CM141" s="24" t="n"/>
      <c r="CN141" s="24" t="n"/>
      <c r="CO141" s="24" t="n"/>
    </row>
    <row r="142" ht="36" customHeight="1">
      <c r="A142" s="24" t="inlineStr">
        <is>
          <t>2751717f31eb4059</t>
        </is>
      </c>
      <c r="B142" s="24" t="inlineStr">
        <is>
          <t>2026-08-02T07:12:10.920987Z</t>
        </is>
      </c>
      <c r="C142" s="24" t="inlineStr">
        <is>
          <t>2026-08-02T13:40:00-0400</t>
        </is>
      </c>
      <c r="D142" s="24" t="inlineStr">
        <is>
          <t>401816363</t>
        </is>
      </c>
      <c r="E142" s="24" t="inlineStr">
        <is>
          <t>MLB</t>
        </is>
      </c>
      <c r="F142" s="24" t="inlineStr">
        <is>
          <t>Chicago White Sox</t>
        </is>
      </c>
      <c r="G142" s="24" t="inlineStr">
        <is>
          <t>Tampa Bay Rays</t>
        </is>
      </c>
      <c r="H142" s="24" t="inlineStr">
        <is>
          <t>moneyline</t>
        </is>
      </c>
      <c r="I142" s="24" t="inlineStr">
        <is>
          <t>home</t>
        </is>
      </c>
      <c r="J142" s="25" t="n"/>
      <c r="K142" s="24" t="inlineStr">
        <is>
          <t>polymarket_us</t>
        </is>
      </c>
      <c r="L142" s="26" t="n">
        <v>-138</v>
      </c>
      <c r="M142" s="27" t="n">
        <v>1.724638</v>
      </c>
      <c r="N142" s="28" t="n">
        <v>0.579832</v>
      </c>
      <c r="O142" s="28" t="n">
        <v>0.565508</v>
      </c>
      <c r="P142" s="28" t="n"/>
      <c r="Q142" s="28" t="n">
        <v>-0.014324</v>
      </c>
      <c r="R142" s="26" t="n">
        <v>14</v>
      </c>
      <c r="S142" s="29" t="n">
        <v>1</v>
      </c>
      <c r="T142" s="24" t="inlineStr">
        <is>
          <t>mlb-elo-trend-lr-v7</t>
        </is>
      </c>
      <c r="U142" s="24" t="inlineStr">
        <is>
          <t>open</t>
        </is>
      </c>
      <c r="V142" s="24" t="n"/>
      <c r="W142" s="26" t="n"/>
      <c r="X142" s="26" t="n"/>
      <c r="Y142" s="25" t="n"/>
      <c r="Z142" s="26" t="n"/>
      <c r="AA142" s="28" t="n"/>
      <c r="AB142" s="28" t="n"/>
      <c r="AC142" s="30" t="n"/>
      <c r="AD142" s="24" t="n"/>
      <c r="AE142" s="31" t="inlineStr">
        <is>
          <t>Learned LR call at threshold 0.6242; executable ask 0.5800 (aec-mlb-cws-tb-2026-08-02); model edge vs ask -0.0145.</t>
        </is>
      </c>
      <c r="AF142" s="31" t="inlineStr">
        <is>
          <t>Learned model; shadow-qualified via operator override.</t>
        </is>
      </c>
      <c r="AG142" s="24" t="inlineStr">
        <is>
          <t>not_applicable</t>
        </is>
      </c>
      <c r="AH142" s="24" t="n"/>
      <c r="AI142" s="31" t="n"/>
      <c r="AJ142" s="31" t="n"/>
      <c r="AK142" s="24" t="inlineStr">
        <is>
          <t>model_qualified</t>
        </is>
      </c>
      <c r="AL142" s="26" t="n">
        <v>3</v>
      </c>
      <c r="AM142" s="24" t="inlineStr">
        <is>
          <t>QUALIFIED_SHADOW_CALL</t>
        </is>
      </c>
      <c r="AN142" s="24" t="inlineStr">
        <is>
          <t>CALL</t>
        </is>
      </c>
      <c r="AO142" s="24" t="inlineStr">
        <is>
          <t>QUALIFIED</t>
        </is>
      </c>
      <c r="AP142" s="24" t="inlineStr">
        <is>
          <t>mlb-cws</t>
        </is>
      </c>
      <c r="AQ142" s="24" t="inlineStr">
        <is>
          <t>Chicago White Sox</t>
        </is>
      </c>
      <c r="AR142" s="24" t="inlineStr">
        <is>
          <t>Chicago White Sox</t>
        </is>
      </c>
      <c r="AS142" s="24" t="inlineStr">
        <is>
          <t>mlb-tb</t>
        </is>
      </c>
      <c r="AT142" s="24" t="inlineStr">
        <is>
          <t>Tampa Bay Rays</t>
        </is>
      </c>
      <c r="AU142" s="24" t="inlineStr">
        <is>
          <t>Tampa Bay Rays</t>
        </is>
      </c>
      <c r="AV142" s="24" t="n"/>
      <c r="AW142" s="24" t="n"/>
      <c r="AX142" s="24" t="inlineStr">
        <is>
          <t>statistical_model</t>
        </is>
      </c>
      <c r="AY142" s="24" t="n"/>
      <c r="AZ142" s="24" t="inlineStr">
        <is>
          <t>shadow_qualified</t>
        </is>
      </c>
      <c r="BA142" s="24" t="inlineStr">
        <is>
          <t>464eef695bfbbdaa819ec6f5e4c5bd1068ed20b92915fb2677220ae91e20d8b6</t>
        </is>
      </c>
      <c r="BB142" s="24" t="inlineStr">
        <is>
          <t>learned_lr</t>
        </is>
      </c>
      <c r="BC142" s="24" t="inlineStr">
        <is>
          <t>mlb-elo-trend-lr-v7</t>
        </is>
      </c>
      <c r="BD142" s="24" t="inlineStr">
        <is>
          <t>464eef695bfbbdaa819ec6f5e4c5bd1068ed20b92915fb2677220ae91e20d8b6</t>
        </is>
      </c>
      <c r="BE142" s="24" t="inlineStr">
        <is>
          <t>adafae297aed5d6c</t>
        </is>
      </c>
      <c r="BF142" s="24" t="inlineStr">
        <is>
          <t>1</t>
        </is>
      </c>
      <c r="BG142" s="24" t="inlineStr">
        <is>
          <t>mlb-elo-trend-lr-v7</t>
        </is>
      </c>
      <c r="BH142" s="24" t="inlineStr">
        <is>
          <t>2026-08-02T07:11:08.776580Z</t>
        </is>
      </c>
      <c r="BI142" s="24" t="inlineStr">
        <is>
          <t>["same_event","same_team_same_day","same_league_same_day"]</t>
        </is>
      </c>
      <c r="BJ142" s="25" t="n"/>
      <c r="BK142" s="26" t="n">
        <v>-138</v>
      </c>
      <c r="BL142" s="27" t="n">
        <v>1.724638</v>
      </c>
      <c r="BM142" s="28" t="n">
        <v>0.579832</v>
      </c>
      <c r="BN142" s="28" t="n">
        <v>0.577114</v>
      </c>
      <c r="BO142" s="28" t="n"/>
      <c r="BP142" s="25" t="n"/>
      <c r="BQ142" s="27" t="n"/>
      <c r="BR142" s="28" t="n"/>
      <c r="BS142" s="28" t="n"/>
      <c r="BT142" s="28" t="n"/>
      <c r="BU142" s="25" t="n"/>
      <c r="BV142" s="29" t="n"/>
      <c r="BW142" s="24" t="n"/>
      <c r="BX142" s="30" t="n"/>
      <c r="BY142" s="27" t="n"/>
      <c r="BZ142" s="24" t="n"/>
      <c r="CA142" s="31" t="n"/>
      <c r="CB142" s="24" t="n"/>
      <c r="CC142" s="24" t="inlineStr">
        <is>
          <t>0.5503982216</t>
        </is>
      </c>
      <c r="CD142" s="24" t="inlineStr">
        <is>
          <t>-0.597101</t>
        </is>
      </c>
      <c r="CE142" s="24" t="inlineStr">
        <is>
          <t>0.965</t>
        </is>
      </c>
      <c r="CF142" s="24" t="inlineStr">
        <is>
          <t>1.0</t>
        </is>
      </c>
      <c r="CG142" s="24" t="inlineStr">
        <is>
          <t>0.2</t>
        </is>
      </c>
      <c r="CH142" s="24" t="n"/>
      <c r="CI142" s="24" t="n"/>
      <c r="CJ142" s="24" t="n"/>
      <c r="CK142" s="24" t="n"/>
      <c r="CL142" s="24" t="n"/>
      <c r="CM142" s="24" t="n"/>
      <c r="CN142" s="24" t="n"/>
      <c r="CO142" s="24" t="n"/>
    </row>
    <row r="143" ht="36" customHeight="1">
      <c r="A143" s="24" t="inlineStr">
        <is>
          <t>a6f1e315fecb4898</t>
        </is>
      </c>
      <c r="B143" s="24" t="inlineStr">
        <is>
          <t>2026-08-02T07:12:10.920987Z</t>
        </is>
      </c>
      <c r="C143" s="24" t="inlineStr">
        <is>
          <t>2026-08-02T13:40:00-0400</t>
        </is>
      </c>
      <c r="D143" s="24" t="inlineStr">
        <is>
          <t>401816364</t>
        </is>
      </c>
      <c r="E143" s="24" t="inlineStr">
        <is>
          <t>MLB</t>
        </is>
      </c>
      <c r="F143" s="24" t="inlineStr">
        <is>
          <t>Miami Marlins</t>
        </is>
      </c>
      <c r="G143" s="24" t="inlineStr">
        <is>
          <t>New York Mets</t>
        </is>
      </c>
      <c r="H143" s="24" t="inlineStr">
        <is>
          <t>moneyline</t>
        </is>
      </c>
      <c r="I143" s="24" t="inlineStr">
        <is>
          <t>home</t>
        </is>
      </c>
      <c r="J143" s="25" t="n"/>
      <c r="K143" s="24" t="inlineStr">
        <is>
          <t>polymarket_us</t>
        </is>
      </c>
      <c r="L143" s="26" t="n">
        <v>108</v>
      </c>
      <c r="M143" s="27" t="n">
        <v>2.08</v>
      </c>
      <c r="N143" s="28" t="n">
        <v>0.480769</v>
      </c>
      <c r="O143" s="28" t="n">
        <v>0.519194</v>
      </c>
      <c r="P143" s="28" t="n"/>
      <c r="Q143" s="28" t="n">
        <v>0.038425</v>
      </c>
      <c r="R143" s="26" t="n">
        <v>41</v>
      </c>
      <c r="S143" s="29" t="n">
        <v>1</v>
      </c>
      <c r="T143" s="24" t="inlineStr">
        <is>
          <t>mlb-elo-trend-lr-v7</t>
        </is>
      </c>
      <c r="U143" s="24" t="inlineStr">
        <is>
          <t>open</t>
        </is>
      </c>
      <c r="V143" s="24" t="n"/>
      <c r="W143" s="26" t="n"/>
      <c r="X143" s="26" t="n"/>
      <c r="Y143" s="25" t="n"/>
      <c r="Z143" s="26" t="n"/>
      <c r="AA143" s="28" t="n"/>
      <c r="AB143" s="28" t="n"/>
      <c r="AC143" s="30" t="n"/>
      <c r="AD143" s="24" t="n"/>
      <c r="AE143" s="31" t="inlineStr">
        <is>
          <t>Learned LR call at threshold 0.6242; executable ask 0.4800 (aec-mlb-mia-nym-2026-08-02); model edge vs ask +0.0392.</t>
        </is>
      </c>
      <c r="AF143" s="31" t="inlineStr">
        <is>
          <t>Learned model; shadow-qualified via operator override.</t>
        </is>
      </c>
      <c r="AG143" s="24" t="inlineStr">
        <is>
          <t>not_applicable</t>
        </is>
      </c>
      <c r="AH143" s="24" t="n"/>
      <c r="AI143" s="31" t="n"/>
      <c r="AJ143" s="31" t="n"/>
      <c r="AK143" s="24" t="inlineStr">
        <is>
          <t>model_qualified</t>
        </is>
      </c>
      <c r="AL143" s="26" t="n">
        <v>3</v>
      </c>
      <c r="AM143" s="24" t="inlineStr">
        <is>
          <t>QUALIFIED_SHADOW_CALL</t>
        </is>
      </c>
      <c r="AN143" s="24" t="inlineStr">
        <is>
          <t>CALL</t>
        </is>
      </c>
      <c r="AO143" s="24" t="inlineStr">
        <is>
          <t>QUALIFIED</t>
        </is>
      </c>
      <c r="AP143" s="24" t="inlineStr">
        <is>
          <t>mlb-mia</t>
        </is>
      </c>
      <c r="AQ143" s="24" t="inlineStr">
        <is>
          <t>Miami Marlins</t>
        </is>
      </c>
      <c r="AR143" s="24" t="inlineStr">
        <is>
          <t>Miami Marlins</t>
        </is>
      </c>
      <c r="AS143" s="24" t="inlineStr">
        <is>
          <t>mlb-nym</t>
        </is>
      </c>
      <c r="AT143" s="24" t="inlineStr">
        <is>
          <t>New York Mets</t>
        </is>
      </c>
      <c r="AU143" s="24" t="inlineStr">
        <is>
          <t>New York Mets</t>
        </is>
      </c>
      <c r="AV143" s="24" t="n"/>
      <c r="AW143" s="24" t="n"/>
      <c r="AX143" s="24" t="inlineStr">
        <is>
          <t>statistical_model</t>
        </is>
      </c>
      <c r="AY143" s="24" t="n"/>
      <c r="AZ143" s="24" t="inlineStr">
        <is>
          <t>shadow_qualified</t>
        </is>
      </c>
      <c r="BA143" s="24" t="inlineStr">
        <is>
          <t>464eef695bfbbdaa819ec6f5e4c5bd1068ed20b92915fb2677220ae91e20d8b6</t>
        </is>
      </c>
      <c r="BB143" s="24" t="inlineStr">
        <is>
          <t>learned_lr</t>
        </is>
      </c>
      <c r="BC143" s="24" t="inlineStr">
        <is>
          <t>mlb-elo-trend-lr-v7</t>
        </is>
      </c>
      <c r="BD143" s="24" t="inlineStr">
        <is>
          <t>464eef695bfbbdaa819ec6f5e4c5bd1068ed20b92915fb2677220ae91e20d8b6</t>
        </is>
      </c>
      <c r="BE143" s="24" t="inlineStr">
        <is>
          <t>2d38d059d757eb9e</t>
        </is>
      </c>
      <c r="BF143" s="24" t="inlineStr">
        <is>
          <t>1</t>
        </is>
      </c>
      <c r="BG143" s="24" t="inlineStr">
        <is>
          <t>mlb-elo-trend-lr-v7</t>
        </is>
      </c>
      <c r="BH143" s="24" t="inlineStr">
        <is>
          <t>2026-08-02T07:11:07.556434Z</t>
        </is>
      </c>
      <c r="BI143" s="24" t="inlineStr">
        <is>
          <t>["same_event","same_team_same_day","same_league_same_day"]</t>
        </is>
      </c>
      <c r="BJ143" s="25" t="n"/>
      <c r="BK143" s="26" t="n">
        <v>108</v>
      </c>
      <c r="BL143" s="27" t="n">
        <v>2.08</v>
      </c>
      <c r="BM143" s="28" t="n">
        <v>0.480769</v>
      </c>
      <c r="BN143" s="28" t="n">
        <v>0.477612</v>
      </c>
      <c r="BO143" s="28" t="n"/>
      <c r="BP143" s="25" t="n"/>
      <c r="BQ143" s="27" t="n"/>
      <c r="BR143" s="28" t="n"/>
      <c r="BS143" s="28" t="n"/>
      <c r="BT143" s="28" t="n"/>
      <c r="BU143" s="25" t="n"/>
      <c r="BV143" s="29" t="n"/>
      <c r="BW143" s="24" t="n"/>
      <c r="BX143" s="30" t="n"/>
      <c r="BY143" s="27" t="n"/>
      <c r="BZ143" s="24" t="n"/>
      <c r="CA143" s="31" t="n"/>
      <c r="CB143" s="24" t="n"/>
      <c r="CC143" s="24" t="inlineStr">
        <is>
          <t>0.4938777222</t>
        </is>
      </c>
      <c r="CD143" s="24" t="inlineStr">
        <is>
          <t>-0.998113</t>
        </is>
      </c>
      <c r="CE143" s="24" t="inlineStr">
        <is>
          <t>0.978</t>
        </is>
      </c>
      <c r="CF143" s="24" t="inlineStr">
        <is>
          <t>1.0227</t>
        </is>
      </c>
      <c r="CG143" s="24" t="inlineStr">
        <is>
          <t>0.4</t>
        </is>
      </c>
      <c r="CH143" s="24" t="n"/>
      <c r="CI143" s="24" t="n"/>
      <c r="CJ143" s="24" t="n"/>
      <c r="CK143" s="24" t="n"/>
      <c r="CL143" s="24" t="n"/>
      <c r="CM143" s="24" t="n"/>
      <c r="CN143" s="24" t="n"/>
      <c r="CO143" s="24" t="n"/>
    </row>
    <row r="144" ht="36" customHeight="1">
      <c r="A144" s="24" t="inlineStr">
        <is>
          <t>9cfe550b2b8d45f2</t>
        </is>
      </c>
      <c r="B144" s="24" t="inlineStr">
        <is>
          <t>2026-08-02T07:12:10.920987Z</t>
        </is>
      </c>
      <c r="C144" s="24" t="inlineStr">
        <is>
          <t>2026-08-02T13:40:00-0400</t>
        </is>
      </c>
      <c r="D144" s="24" t="inlineStr">
        <is>
          <t>401816366</t>
        </is>
      </c>
      <c r="E144" s="24" t="inlineStr">
        <is>
          <t>MLB</t>
        </is>
      </c>
      <c r="F144" s="24" t="inlineStr">
        <is>
          <t>Pittsburgh Pirates</t>
        </is>
      </c>
      <c r="G144" s="24" t="inlineStr">
        <is>
          <t>Cincinnati Reds</t>
        </is>
      </c>
      <c r="H144" s="24" t="inlineStr">
        <is>
          <t>moneyline</t>
        </is>
      </c>
      <c r="I144" s="24" t="inlineStr">
        <is>
          <t>away</t>
        </is>
      </c>
      <c r="J144" s="25" t="n"/>
      <c r="K144" s="24" t="inlineStr">
        <is>
          <t>polymarket_us</t>
        </is>
      </c>
      <c r="L144" s="26" t="n">
        <v>138</v>
      </c>
      <c r="M144" s="27" t="n">
        <v>2.38</v>
      </c>
      <c r="N144" s="28" t="n">
        <v>0.420168</v>
      </c>
      <c r="O144" s="28" t="n">
        <v>0.51845</v>
      </c>
      <c r="P144" s="28" t="n"/>
      <c r="Q144" s="28" t="n">
        <v>0.09828199999999999</v>
      </c>
      <c r="R144" s="26" t="n">
        <v>70</v>
      </c>
      <c r="S144" s="29" t="n">
        <v>1</v>
      </c>
      <c r="T144" s="24" t="inlineStr">
        <is>
          <t>mlb-elo-trend-lr-v7</t>
        </is>
      </c>
      <c r="U144" s="24" t="inlineStr">
        <is>
          <t>open</t>
        </is>
      </c>
      <c r="V144" s="24" t="n"/>
      <c r="W144" s="26" t="n"/>
      <c r="X144" s="26" t="n"/>
      <c r="Y144" s="25" t="n"/>
      <c r="Z144" s="26" t="n"/>
      <c r="AA144" s="28" t="n"/>
      <c r="AB144" s="28" t="n"/>
      <c r="AC144" s="30" t="n"/>
      <c r="AD144" s="24" t="n"/>
      <c r="AE144" s="31" t="inlineStr">
        <is>
          <t>Learned LR call at threshold 0.6242; executable ask 0.4200 (aec-mlb-pit-cin-2026-08-02); model edge vs ask +0.0984.</t>
        </is>
      </c>
      <c r="AF144" s="31" t="inlineStr">
        <is>
          <t>Learned model; shadow-qualified via operator override.</t>
        </is>
      </c>
      <c r="AG144" s="24" t="inlineStr">
        <is>
          <t>not_applicable</t>
        </is>
      </c>
      <c r="AH144" s="24" t="n"/>
      <c r="AI144" s="31" t="n"/>
      <c r="AJ144" s="31" t="n"/>
      <c r="AK144" s="24" t="inlineStr">
        <is>
          <t>model_qualified</t>
        </is>
      </c>
      <c r="AL144" s="26" t="n">
        <v>3</v>
      </c>
      <c r="AM144" s="24" t="inlineStr">
        <is>
          <t>QUALIFIED_SHADOW_CALL</t>
        </is>
      </c>
      <c r="AN144" s="24" t="inlineStr">
        <is>
          <t>CALL</t>
        </is>
      </c>
      <c r="AO144" s="24" t="inlineStr">
        <is>
          <t>QUALIFIED</t>
        </is>
      </c>
      <c r="AP144" s="24" t="inlineStr">
        <is>
          <t>mlb-pit</t>
        </is>
      </c>
      <c r="AQ144" s="24" t="inlineStr">
        <is>
          <t>Pittsburgh Pirates</t>
        </is>
      </c>
      <c r="AR144" s="24" t="inlineStr">
        <is>
          <t>Pittsburgh Pirates</t>
        </is>
      </c>
      <c r="AS144" s="24" t="inlineStr">
        <is>
          <t>mlb-cin</t>
        </is>
      </c>
      <c r="AT144" s="24" t="inlineStr">
        <is>
          <t>Cincinnati Reds</t>
        </is>
      </c>
      <c r="AU144" s="24" t="inlineStr">
        <is>
          <t>Cincinnati Reds</t>
        </is>
      </c>
      <c r="AV144" s="24" t="n"/>
      <c r="AW144" s="24" t="n"/>
      <c r="AX144" s="24" t="inlineStr">
        <is>
          <t>statistical_model</t>
        </is>
      </c>
      <c r="AY144" s="24" t="n"/>
      <c r="AZ144" s="24" t="inlineStr">
        <is>
          <t>shadow_qualified</t>
        </is>
      </c>
      <c r="BA144" s="24" t="inlineStr">
        <is>
          <t>464eef695bfbbdaa819ec6f5e4c5bd1068ed20b92915fb2677220ae91e20d8b6</t>
        </is>
      </c>
      <c r="BB144" s="24" t="inlineStr">
        <is>
          <t>learned_lr</t>
        </is>
      </c>
      <c r="BC144" s="24" t="inlineStr">
        <is>
          <t>mlb-elo-trend-lr-v7</t>
        </is>
      </c>
      <c r="BD144" s="24" t="inlineStr">
        <is>
          <t>464eef695bfbbdaa819ec6f5e4c5bd1068ed20b92915fb2677220ae91e20d8b6</t>
        </is>
      </c>
      <c r="BE144" s="24" t="inlineStr">
        <is>
          <t>ddeca2e105ed897c</t>
        </is>
      </c>
      <c r="BF144" s="24" t="inlineStr">
        <is>
          <t>1</t>
        </is>
      </c>
      <c r="BG144" s="24" t="inlineStr">
        <is>
          <t>mlb-elo-trend-lr-v7</t>
        </is>
      </c>
      <c r="BH144" s="24" t="inlineStr">
        <is>
          <t>2026-08-02T07:11:06.897751Z</t>
        </is>
      </c>
      <c r="BI144" s="24" t="inlineStr">
        <is>
          <t>["same_event","same_team_same_day","same_league_same_day"]</t>
        </is>
      </c>
      <c r="BJ144" s="25" t="n"/>
      <c r="BK144" s="26" t="n">
        <v>138</v>
      </c>
      <c r="BL144" s="27" t="n">
        <v>2.38</v>
      </c>
      <c r="BM144" s="28" t="n">
        <v>0.420168</v>
      </c>
      <c r="BN144" s="28" t="n">
        <v>0.41791</v>
      </c>
      <c r="BO144" s="28" t="n"/>
      <c r="BP144" s="25" t="n"/>
      <c r="BQ144" s="27" t="n"/>
      <c r="BR144" s="28" t="n"/>
      <c r="BS144" s="28" t="n"/>
      <c r="BT144" s="28" t="n"/>
      <c r="BU144" s="25" t="n"/>
      <c r="BV144" s="29" t="n"/>
      <c r="BW144" s="24" t="n"/>
      <c r="BX144" s="30" t="n"/>
      <c r="BY144" s="27" t="n"/>
      <c r="BZ144" s="24" t="n"/>
      <c r="CA144" s="31" t="n"/>
      <c r="CB144" s="24" t="n"/>
      <c r="CC144" s="24" t="inlineStr">
        <is>
          <t>0.4891381657</t>
        </is>
      </c>
      <c r="CD144" s="24" t="inlineStr">
        <is>
          <t>0.471311</t>
        </is>
      </c>
      <c r="CE144" s="24" t="inlineStr">
        <is>
          <t>1.036</t>
        </is>
      </c>
      <c r="CF144" s="24" t="inlineStr">
        <is>
          <t>1.003</t>
        </is>
      </c>
      <c r="CG144" s="24" t="inlineStr">
        <is>
          <t>-0.8</t>
        </is>
      </c>
      <c r="CH144" s="24" t="n"/>
      <c r="CI144" s="24" t="n"/>
      <c r="CJ144" s="24" t="n"/>
      <c r="CK144" s="24" t="n"/>
      <c r="CL144" s="24" t="n"/>
      <c r="CM144" s="24" t="n"/>
      <c r="CN144" s="24" t="n"/>
      <c r="CO144" s="24" t="n"/>
    </row>
    <row r="145" ht="36" customHeight="1">
      <c r="A145" s="24" t="inlineStr">
        <is>
          <t>dbf17318f3b04172</t>
        </is>
      </c>
      <c r="B145" s="24" t="inlineStr">
        <is>
          <t>2026-08-02T07:12:10.920987Z</t>
        </is>
      </c>
      <c r="C145" s="24" t="inlineStr">
        <is>
          <t>2026-08-02T14:10:00-0400</t>
        </is>
      </c>
      <c r="D145" s="24" t="inlineStr">
        <is>
          <t>401816370</t>
        </is>
      </c>
      <c r="E145" s="24" t="inlineStr">
        <is>
          <t>MLB</t>
        </is>
      </c>
      <c r="F145" s="24" t="inlineStr">
        <is>
          <t>Texas Rangers</t>
        </is>
      </c>
      <c r="G145" s="24" t="inlineStr">
        <is>
          <t>Houston Astros</t>
        </is>
      </c>
      <c r="H145" s="24" t="inlineStr">
        <is>
          <t>moneyline</t>
        </is>
      </c>
      <c r="I145" s="24" t="inlineStr">
        <is>
          <t>home</t>
        </is>
      </c>
      <c r="J145" s="25" t="n"/>
      <c r="K145" s="24" t="inlineStr">
        <is>
          <t>polymarket_us</t>
        </is>
      </c>
      <c r="L145" s="26" t="n">
        <v>-115</v>
      </c>
      <c r="M145" s="27" t="n">
        <v>1.869565</v>
      </c>
      <c r="N145" s="28" t="n">
        <v>0.534884</v>
      </c>
      <c r="O145" s="28" t="n">
        <v>0.538187</v>
      </c>
      <c r="P145" s="28" t="n"/>
      <c r="Q145" s="28" t="n">
        <v>0.003303</v>
      </c>
      <c r="R145" s="26" t="n">
        <v>23</v>
      </c>
      <c r="S145" s="29" t="n">
        <v>1</v>
      </c>
      <c r="T145" s="24" t="inlineStr">
        <is>
          <t>mlb-elo-trend-lr-v7</t>
        </is>
      </c>
      <c r="U145" s="24" t="inlineStr">
        <is>
          <t>open</t>
        </is>
      </c>
      <c r="V145" s="24" t="n"/>
      <c r="W145" s="26" t="n"/>
      <c r="X145" s="26" t="n"/>
      <c r="Y145" s="25" t="n"/>
      <c r="Z145" s="26" t="n"/>
      <c r="AA145" s="28" t="n"/>
      <c r="AB145" s="28" t="n"/>
      <c r="AC145" s="30" t="n"/>
      <c r="AD145" s="24" t="n"/>
      <c r="AE145" s="31" t="inlineStr">
        <is>
          <t>Learned LR call at threshold 0.6242; executable ask 0.5350 (aec-mlb-tex-hou-2026-08-02); model edge vs ask +0.0032.</t>
        </is>
      </c>
      <c r="AF145" s="31" t="inlineStr">
        <is>
          <t>Learned model; shadow-qualified via operator override.</t>
        </is>
      </c>
      <c r="AG145" s="24" t="inlineStr">
        <is>
          <t>not_applicable</t>
        </is>
      </c>
      <c r="AH145" s="24" t="n"/>
      <c r="AI145" s="31" t="n"/>
      <c r="AJ145" s="31" t="n"/>
      <c r="AK145" s="24" t="inlineStr">
        <is>
          <t>model_qualified</t>
        </is>
      </c>
      <c r="AL145" s="26" t="n">
        <v>3</v>
      </c>
      <c r="AM145" s="24" t="inlineStr">
        <is>
          <t>QUALIFIED_SHADOW_CALL</t>
        </is>
      </c>
      <c r="AN145" s="24" t="inlineStr">
        <is>
          <t>CALL</t>
        </is>
      </c>
      <c r="AO145" s="24" t="inlineStr">
        <is>
          <t>QUALIFIED</t>
        </is>
      </c>
      <c r="AP145" s="24" t="inlineStr">
        <is>
          <t>mlb-tex</t>
        </is>
      </c>
      <c r="AQ145" s="24" t="inlineStr">
        <is>
          <t>Texas Rangers</t>
        </is>
      </c>
      <c r="AR145" s="24" t="inlineStr">
        <is>
          <t>Texas Rangers</t>
        </is>
      </c>
      <c r="AS145" s="24" t="inlineStr">
        <is>
          <t>mlb-hou</t>
        </is>
      </c>
      <c r="AT145" s="24" t="inlineStr">
        <is>
          <t>Houston Astros</t>
        </is>
      </c>
      <c r="AU145" s="24" t="inlineStr">
        <is>
          <t>Houston Astros</t>
        </is>
      </c>
      <c r="AV145" s="24" t="n"/>
      <c r="AW145" s="24" t="n"/>
      <c r="AX145" s="24" t="inlineStr">
        <is>
          <t>statistical_model</t>
        </is>
      </c>
      <c r="AY145" s="24" t="n"/>
      <c r="AZ145" s="24" t="inlineStr">
        <is>
          <t>shadow_qualified</t>
        </is>
      </c>
      <c r="BA145" s="24" t="inlineStr">
        <is>
          <t>464eef695bfbbdaa819ec6f5e4c5bd1068ed20b92915fb2677220ae91e20d8b6</t>
        </is>
      </c>
      <c r="BB145" s="24" t="inlineStr">
        <is>
          <t>learned_lr</t>
        </is>
      </c>
      <c r="BC145" s="24" t="inlineStr">
        <is>
          <t>mlb-elo-trend-lr-v7</t>
        </is>
      </c>
      <c r="BD145" s="24" t="inlineStr">
        <is>
          <t>464eef695bfbbdaa819ec6f5e4c5bd1068ed20b92915fb2677220ae91e20d8b6</t>
        </is>
      </c>
      <c r="BE145" s="24" t="inlineStr">
        <is>
          <t>2d42dfba300c1668</t>
        </is>
      </c>
      <c r="BF145" s="24" t="inlineStr">
        <is>
          <t>1</t>
        </is>
      </c>
      <c r="BG145" s="24" t="inlineStr">
        <is>
          <t>mlb-elo-trend-lr-v7</t>
        </is>
      </c>
      <c r="BH145" s="24" t="inlineStr">
        <is>
          <t>2026-08-02T07:11:09.528742Z</t>
        </is>
      </c>
      <c r="BI145" s="24" t="inlineStr">
        <is>
          <t>["same_event","same_team_same_day","same_league_same_day"]</t>
        </is>
      </c>
      <c r="BJ145" s="25" t="n"/>
      <c r="BK145" s="26" t="n">
        <v>-115</v>
      </c>
      <c r="BL145" s="27" t="n">
        <v>1.869565</v>
      </c>
      <c r="BM145" s="28" t="n">
        <v>0.534884</v>
      </c>
      <c r="BN145" s="28" t="n">
        <v>0.532338</v>
      </c>
      <c r="BO145" s="28" t="n"/>
      <c r="BP145" s="25" t="n"/>
      <c r="BQ145" s="27" t="n"/>
      <c r="BR145" s="28" t="n"/>
      <c r="BS145" s="28" t="n"/>
      <c r="BT145" s="28" t="n"/>
      <c r="BU145" s="25" t="n"/>
      <c r="BV145" s="29" t="n"/>
      <c r="BW145" s="24" t="n"/>
      <c r="BX145" s="30" t="n"/>
      <c r="BY145" s="27" t="n"/>
      <c r="BZ145" s="24" t="n"/>
      <c r="CA145" s="31" t="n"/>
      <c r="CB145" s="24" t="n"/>
      <c r="CC145" s="24" t="inlineStr">
        <is>
          <t>0.5570987062</t>
        </is>
      </c>
      <c r="CD145" s="24" t="inlineStr">
        <is>
          <t>1.976345</t>
        </is>
      </c>
      <c r="CE145" s="24" t="inlineStr">
        <is>
          <t>0.956</t>
        </is>
      </c>
      <c r="CF145" s="24" t="inlineStr">
        <is>
          <t>1.0</t>
        </is>
      </c>
      <c r="CG145" s="24" t="inlineStr">
        <is>
          <t>-1.4</t>
        </is>
      </c>
      <c r="CH145" s="24" t="n"/>
      <c r="CI145" s="24" t="n"/>
      <c r="CJ145" s="24" t="n"/>
      <c r="CK145" s="24" t="n"/>
      <c r="CL145" s="24" t="n"/>
      <c r="CM145" s="24" t="n"/>
      <c r="CN145" s="24" t="n"/>
      <c r="CO145" s="24" t="n"/>
    </row>
    <row r="146" ht="36" customHeight="1">
      <c r="A146" s="24" t="inlineStr">
        <is>
          <t>0e889584bda548c1</t>
        </is>
      </c>
      <c r="B146" s="24" t="inlineStr">
        <is>
          <t>2026-08-02T07:12:10.920987Z</t>
        </is>
      </c>
      <c r="C146" s="24" t="inlineStr">
        <is>
          <t>2026-08-02T14:20:00-0400</t>
        </is>
      </c>
      <c r="D146" s="24" t="inlineStr">
        <is>
          <t>401816369</t>
        </is>
      </c>
      <c r="E146" s="24" t="inlineStr">
        <is>
          <t>MLB</t>
        </is>
      </c>
      <c r="F146" s="24" t="inlineStr">
        <is>
          <t>New York Yankees</t>
        </is>
      </c>
      <c r="G146" s="24" t="inlineStr">
        <is>
          <t>Chicago Cubs</t>
        </is>
      </c>
      <c r="H146" s="24" t="inlineStr">
        <is>
          <t>moneyline</t>
        </is>
      </c>
      <c r="I146" s="24" t="inlineStr">
        <is>
          <t>home</t>
        </is>
      </c>
      <c r="J146" s="25" t="n"/>
      <c r="K146" s="24" t="inlineStr">
        <is>
          <t>polymarket_us</t>
        </is>
      </c>
      <c r="L146" s="26" t="n">
        <v>115</v>
      </c>
      <c r="M146" s="27" t="n">
        <v>2.15</v>
      </c>
      <c r="N146" s="28" t="n">
        <v>0.465116</v>
      </c>
      <c r="O146" s="28" t="n">
        <v>0.549412</v>
      </c>
      <c r="P146" s="28" t="n"/>
      <c r="Q146" s="28" t="n">
        <v>0.084296</v>
      </c>
      <c r="R146" s="26" t="n">
        <v>63</v>
      </c>
      <c r="S146" s="29" t="n">
        <v>1</v>
      </c>
      <c r="T146" s="24" t="inlineStr">
        <is>
          <t>mlb-elo-trend-lr-v7</t>
        </is>
      </c>
      <c r="U146" s="24" t="inlineStr">
        <is>
          <t>open</t>
        </is>
      </c>
      <c r="V146" s="24" t="n"/>
      <c r="W146" s="26" t="n"/>
      <c r="X146" s="26" t="n"/>
      <c r="Y146" s="25" t="n"/>
      <c r="Z146" s="26" t="n"/>
      <c r="AA146" s="28" t="n"/>
      <c r="AB146" s="28" t="n"/>
      <c r="AC146" s="30" t="n"/>
      <c r="AD146" s="24" t="n"/>
      <c r="AE146" s="31" t="inlineStr">
        <is>
          <t>Learned LR call at threshold 0.6242; executable ask 0.4650 (aec-mlb-nyy-chc-2026-08-02); model edge vs ask +0.0844.</t>
        </is>
      </c>
      <c r="AF146" s="31" t="inlineStr">
        <is>
          <t>Learned model; shadow-qualified via operator override.</t>
        </is>
      </c>
      <c r="AG146" s="24" t="inlineStr">
        <is>
          <t>not_applicable</t>
        </is>
      </c>
      <c r="AH146" s="24" t="n"/>
      <c r="AI146" s="31" t="n"/>
      <c r="AJ146" s="31" t="n"/>
      <c r="AK146" s="24" t="inlineStr">
        <is>
          <t>model_qualified</t>
        </is>
      </c>
      <c r="AL146" s="26" t="n">
        <v>3</v>
      </c>
      <c r="AM146" s="24" t="inlineStr">
        <is>
          <t>QUALIFIED_SHADOW_CALL</t>
        </is>
      </c>
      <c r="AN146" s="24" t="inlineStr">
        <is>
          <t>CALL</t>
        </is>
      </c>
      <c r="AO146" s="24" t="inlineStr">
        <is>
          <t>QUALIFIED</t>
        </is>
      </c>
      <c r="AP146" s="24" t="inlineStr">
        <is>
          <t>mlb-nyy</t>
        </is>
      </c>
      <c r="AQ146" s="24" t="inlineStr">
        <is>
          <t>New York Yankees</t>
        </is>
      </c>
      <c r="AR146" s="24" t="inlineStr">
        <is>
          <t>New York Yankees</t>
        </is>
      </c>
      <c r="AS146" s="24" t="inlineStr">
        <is>
          <t>mlb-chc</t>
        </is>
      </c>
      <c r="AT146" s="24" t="inlineStr">
        <is>
          <t>Chicago Cubs</t>
        </is>
      </c>
      <c r="AU146" s="24" t="inlineStr">
        <is>
          <t>Chicago Cubs</t>
        </is>
      </c>
      <c r="AV146" s="24" t="n"/>
      <c r="AW146" s="24" t="n"/>
      <c r="AX146" s="24" t="inlineStr">
        <is>
          <t>statistical_model</t>
        </is>
      </c>
      <c r="AY146" s="24" t="n"/>
      <c r="AZ146" s="24" t="inlineStr">
        <is>
          <t>shadow_qualified</t>
        </is>
      </c>
      <c r="BA146" s="24" t="inlineStr">
        <is>
          <t>464eef695bfbbdaa819ec6f5e4c5bd1068ed20b92915fb2677220ae91e20d8b6</t>
        </is>
      </c>
      <c r="BB146" s="24" t="inlineStr">
        <is>
          <t>learned_lr</t>
        </is>
      </c>
      <c r="BC146" s="24" t="inlineStr">
        <is>
          <t>mlb-elo-trend-lr-v7</t>
        </is>
      </c>
      <c r="BD146" s="24" t="inlineStr">
        <is>
          <t>464eef695bfbbdaa819ec6f5e4c5bd1068ed20b92915fb2677220ae91e20d8b6</t>
        </is>
      </c>
      <c r="BE146" s="24" t="inlineStr">
        <is>
          <t>a08edee3cd28001e</t>
        </is>
      </c>
      <c r="BF146" s="24" t="inlineStr">
        <is>
          <t>1</t>
        </is>
      </c>
      <c r="BG146" s="24" t="inlineStr">
        <is>
          <t>mlb-elo-trend-lr-v7</t>
        </is>
      </c>
      <c r="BH146" s="24" t="inlineStr">
        <is>
          <t>2026-08-02T07:11:10.401780Z</t>
        </is>
      </c>
      <c r="BI146" s="24" t="inlineStr">
        <is>
          <t>["same_event","same_team_same_day","same_league_same_day"]</t>
        </is>
      </c>
      <c r="BJ146" s="25" t="n"/>
      <c r="BK146" s="26" t="n">
        <v>115</v>
      </c>
      <c r="BL146" s="27" t="n">
        <v>2.15</v>
      </c>
      <c r="BM146" s="28" t="n">
        <v>0.465116</v>
      </c>
      <c r="BN146" s="28" t="n">
        <v>0.462687</v>
      </c>
      <c r="BO146" s="28" t="n"/>
      <c r="BP146" s="25" t="n"/>
      <c r="BQ146" s="27" t="n"/>
      <c r="BR146" s="28" t="n"/>
      <c r="BS146" s="28" t="n"/>
      <c r="BT146" s="28" t="n"/>
      <c r="BU146" s="25" t="n"/>
      <c r="BV146" s="29" t="n"/>
      <c r="BW146" s="24" t="n"/>
      <c r="BX146" s="30" t="n"/>
      <c r="BY146" s="27" t="n"/>
      <c r="BZ146" s="24" t="n"/>
      <c r="CA146" s="31" t="n"/>
      <c r="CB146" s="24" t="n"/>
      <c r="CC146" s="24" t="inlineStr">
        <is>
          <t>0.5479631024</t>
        </is>
      </c>
      <c r="CD146" s="24" t="inlineStr">
        <is>
          <t>0.358864</t>
        </is>
      </c>
      <c r="CE146" s="24" t="inlineStr">
        <is>
          <t>0.986</t>
        </is>
      </c>
      <c r="CF146" s="24" t="inlineStr">
        <is>
          <t>1.0103</t>
        </is>
      </c>
      <c r="CG146" s="24" t="inlineStr">
        <is>
          <t>-0.8</t>
        </is>
      </c>
      <c r="CH146" s="24" t="n"/>
      <c r="CI146" s="24" t="n"/>
      <c r="CJ146" s="24" t="n"/>
      <c r="CK146" s="24" t="n"/>
      <c r="CL146" s="24" t="n"/>
      <c r="CM146" s="24" t="n"/>
      <c r="CN146" s="24" t="n"/>
      <c r="CO146" s="24" t="n"/>
    </row>
    <row r="147" ht="36" customHeight="1">
      <c r="A147" s="24" t="inlineStr">
        <is>
          <t>d3cc2a684a754d13</t>
        </is>
      </c>
      <c r="B147" s="24" t="inlineStr">
        <is>
          <t>2026-08-02T07:12:10.920987Z</t>
        </is>
      </c>
      <c r="C147" s="24" t="inlineStr">
        <is>
          <t>2026-08-02T15:10:00-0400</t>
        </is>
      </c>
      <c r="D147" s="24" t="inlineStr">
        <is>
          <t>401816371</t>
        </is>
      </c>
      <c r="E147" s="24" t="inlineStr">
        <is>
          <t>MLB</t>
        </is>
      </c>
      <c r="F147" s="24" t="inlineStr">
        <is>
          <t>Kansas City Royals</t>
        </is>
      </c>
      <c r="G147" s="24" t="inlineStr">
        <is>
          <t>Colorado Rockies</t>
        </is>
      </c>
      <c r="H147" s="24" t="inlineStr">
        <is>
          <t>moneyline</t>
        </is>
      </c>
      <c r="I147" s="24" t="inlineStr">
        <is>
          <t>away</t>
        </is>
      </c>
      <c r="J147" s="25" t="n"/>
      <c r="K147" s="24" t="inlineStr">
        <is>
          <t>polymarket_us</t>
        </is>
      </c>
      <c r="L147" s="26" t="n">
        <v>104</v>
      </c>
      <c r="M147" s="27" t="n">
        <v>2.04</v>
      </c>
      <c r="N147" s="28" t="n">
        <v>0.490196</v>
      </c>
      <c r="O147" s="28" t="n">
        <v>0.5999989999999999</v>
      </c>
      <c r="P147" s="28" t="n"/>
      <c r="Q147" s="28" t="n">
        <v>0.109803</v>
      </c>
      <c r="R147" s="26" t="n">
        <v>76</v>
      </c>
      <c r="S147" s="29" t="n">
        <v>1.25</v>
      </c>
      <c r="T147" s="24" t="inlineStr">
        <is>
          <t>mlb-elo-trend-lr-v7</t>
        </is>
      </c>
      <c r="U147" s="24" t="inlineStr">
        <is>
          <t>open</t>
        </is>
      </c>
      <c r="V147" s="24" t="n"/>
      <c r="W147" s="26" t="n"/>
      <c r="X147" s="26" t="n"/>
      <c r="Y147" s="25" t="n"/>
      <c r="Z147" s="26" t="n"/>
      <c r="AA147" s="28" t="n"/>
      <c r="AB147" s="28" t="n"/>
      <c r="AC147" s="30" t="n"/>
      <c r="AD147" s="24" t="n"/>
      <c r="AE147" s="31" t="inlineStr">
        <is>
          <t>Learned LR call at threshold 0.6242; executable ask 0.4900 (aec-mlb-kc-col-2026-08-02); model edge vs ask +0.1100.</t>
        </is>
      </c>
      <c r="AF147" s="31" t="inlineStr">
        <is>
          <t>Learned model; shadow-qualified via operator override.</t>
        </is>
      </c>
      <c r="AG147" s="24" t="inlineStr">
        <is>
          <t>not_applicable</t>
        </is>
      </c>
      <c r="AH147" s="24" t="n"/>
      <c r="AI147" s="31" t="n"/>
      <c r="AJ147" s="31" t="n"/>
      <c r="AK147" s="24" t="inlineStr">
        <is>
          <t>model_qualified</t>
        </is>
      </c>
      <c r="AL147" s="26" t="n">
        <v>3</v>
      </c>
      <c r="AM147" s="24" t="inlineStr">
        <is>
          <t>QUALIFIED_SHADOW_CALL</t>
        </is>
      </c>
      <c r="AN147" s="24" t="inlineStr">
        <is>
          <t>CALL</t>
        </is>
      </c>
      <c r="AO147" s="24" t="inlineStr">
        <is>
          <t>QUALIFIED</t>
        </is>
      </c>
      <c r="AP147" s="24" t="inlineStr">
        <is>
          <t>mlb-kc</t>
        </is>
      </c>
      <c r="AQ147" s="24" t="inlineStr">
        <is>
          <t>Kansas City Royals</t>
        </is>
      </c>
      <c r="AR147" s="24" t="inlineStr">
        <is>
          <t>Kansas City Royals</t>
        </is>
      </c>
      <c r="AS147" s="24" t="inlineStr">
        <is>
          <t>mlb-col</t>
        </is>
      </c>
      <c r="AT147" s="24" t="inlineStr">
        <is>
          <t>Colorado Rockies</t>
        </is>
      </c>
      <c r="AU147" s="24" t="inlineStr">
        <is>
          <t>Colorado Rockies</t>
        </is>
      </c>
      <c r="AV147" s="24" t="n"/>
      <c r="AW147" s="24" t="n"/>
      <c r="AX147" s="24" t="inlineStr">
        <is>
          <t>statistical_model</t>
        </is>
      </c>
      <c r="AY147" s="24" t="n"/>
      <c r="AZ147" s="24" t="inlineStr">
        <is>
          <t>shadow_qualified</t>
        </is>
      </c>
      <c r="BA147" s="24" t="inlineStr">
        <is>
          <t>464eef695bfbbdaa819ec6f5e4c5bd1068ed20b92915fb2677220ae91e20d8b6</t>
        </is>
      </c>
      <c r="BB147" s="24" t="inlineStr">
        <is>
          <t>learned_lr</t>
        </is>
      </c>
      <c r="BC147" s="24" t="inlineStr">
        <is>
          <t>mlb-elo-trend-lr-v7</t>
        </is>
      </c>
      <c r="BD147" s="24" t="inlineStr">
        <is>
          <t>464eef695bfbbdaa819ec6f5e4c5bd1068ed20b92915fb2677220ae91e20d8b6</t>
        </is>
      </c>
      <c r="BE147" s="24" t="inlineStr">
        <is>
          <t>8a8f8b72edb34435</t>
        </is>
      </c>
      <c r="BF147" s="24" t="inlineStr">
        <is>
          <t>1</t>
        </is>
      </c>
      <c r="BG147" s="24" t="inlineStr">
        <is>
          <t>mlb-elo-trend-lr-v7</t>
        </is>
      </c>
      <c r="BH147" s="24" t="inlineStr">
        <is>
          <t>2026-08-02T07:11:11.443231Z</t>
        </is>
      </c>
      <c r="BI147" s="24" t="inlineStr">
        <is>
          <t>["same_event","same_team_same_day","same_league_same_day"]</t>
        </is>
      </c>
      <c r="BJ147" s="25" t="n"/>
      <c r="BK147" s="26" t="n">
        <v>104</v>
      </c>
      <c r="BL147" s="27" t="n">
        <v>2.04</v>
      </c>
      <c r="BM147" s="28" t="n">
        <v>0.490196</v>
      </c>
      <c r="BN147" s="28" t="n">
        <v>0.487562</v>
      </c>
      <c r="BO147" s="28" t="n"/>
      <c r="BP147" s="25" t="n"/>
      <c r="BQ147" s="27" t="n"/>
      <c r="BR147" s="28" t="n"/>
      <c r="BS147" s="28" t="n"/>
      <c r="BT147" s="28" t="n"/>
      <c r="BU147" s="25" t="n"/>
      <c r="BV147" s="29" t="n"/>
      <c r="BW147" s="24" t="n"/>
      <c r="BX147" s="30" t="n"/>
      <c r="BY147" s="27" t="n"/>
      <c r="BZ147" s="24" t="n"/>
      <c r="CA147" s="31" t="n"/>
      <c r="CB147" s="24" t="n"/>
      <c r="CC147" s="24" t="inlineStr">
        <is>
          <t>0.4463973804</t>
        </is>
      </c>
      <c r="CD147" s="24" t="inlineStr">
        <is>
          <t>1.55286</t>
        </is>
      </c>
      <c r="CE147" s="24" t="inlineStr">
        <is>
          <t>1.193</t>
        </is>
      </c>
      <c r="CF147" s="24" t="inlineStr">
        <is>
          <t>1.0303</t>
        </is>
      </c>
      <c r="CG147" s="24" t="inlineStr">
        <is>
          <t>1.4</t>
        </is>
      </c>
      <c r="CH147" s="24" t="n"/>
      <c r="CI147" s="24" t="n"/>
      <c r="CJ147" s="24" t="n"/>
      <c r="CK147" s="24" t="n"/>
      <c r="CL147" s="24" t="n"/>
      <c r="CM147" s="24" t="n"/>
      <c r="CN147" s="24" t="n"/>
      <c r="CO147" s="24" t="n"/>
    </row>
    <row r="148" ht="36" customHeight="1">
      <c r="A148" s="24" t="inlineStr">
        <is>
          <t>4c2b96cd3d92494b</t>
        </is>
      </c>
      <c r="B148" s="24" t="inlineStr">
        <is>
          <t>2026-08-02T07:12:10.920987Z</t>
        </is>
      </c>
      <c r="C148" s="24" t="inlineStr">
        <is>
          <t>2026-08-02T15:15:00-0400</t>
        </is>
      </c>
      <c r="D148" s="24" t="inlineStr">
        <is>
          <t>401816374</t>
        </is>
      </c>
      <c r="E148" s="24" t="inlineStr">
        <is>
          <t>MLB</t>
        </is>
      </c>
      <c r="F148" s="24" t="inlineStr">
        <is>
          <t>Milwaukee Brewers</t>
        </is>
      </c>
      <c r="G148" s="24" t="inlineStr">
        <is>
          <t>Los Angeles Angels</t>
        </is>
      </c>
      <c r="H148" s="24" t="inlineStr">
        <is>
          <t>moneyline</t>
        </is>
      </c>
      <c r="I148" s="24" t="inlineStr">
        <is>
          <t>away</t>
        </is>
      </c>
      <c r="J148" s="25" t="n"/>
      <c r="K148" s="24" t="inlineStr">
        <is>
          <t>polymarket_us</t>
        </is>
      </c>
      <c r="L148" s="26" t="n">
        <v>-217</v>
      </c>
      <c r="M148" s="27" t="n">
        <v>1.460829</v>
      </c>
      <c r="N148" s="28" t="n">
        <v>0.684543</v>
      </c>
      <c r="O148" s="28" t="n">
        <v>0.625617</v>
      </c>
      <c r="P148" s="28" t="n"/>
      <c r="Q148" s="28" t="n">
        <v>-0.058926</v>
      </c>
      <c r="R148" s="26" t="n">
        <v>0</v>
      </c>
      <c r="S148" s="29" t="n">
        <v>1.5</v>
      </c>
      <c r="T148" s="24" t="inlineStr">
        <is>
          <t>mlb-elo-trend-lr-v7</t>
        </is>
      </c>
      <c r="U148" s="24" t="inlineStr">
        <is>
          <t>open</t>
        </is>
      </c>
      <c r="V148" s="24" t="n"/>
      <c r="W148" s="26" t="n"/>
      <c r="X148" s="26" t="n"/>
      <c r="Y148" s="25" t="n"/>
      <c r="Z148" s="26" t="n"/>
      <c r="AA148" s="28" t="n"/>
      <c r="AB148" s="28" t="n"/>
      <c r="AC148" s="30" t="n"/>
      <c r="AD148" s="24" t="n"/>
      <c r="AE148" s="31" t="inlineStr">
        <is>
          <t>Learned LR call at threshold 0.6242; executable ask 0.6850 (aec-mlb-mil-laa-2026-08-02); model edge vs ask -0.0594.</t>
        </is>
      </c>
      <c r="AF148" s="31" t="inlineStr">
        <is>
          <t>Learned model; shadow-qualified via operator override.</t>
        </is>
      </c>
      <c r="AG148" s="24" t="inlineStr">
        <is>
          <t>not_applicable</t>
        </is>
      </c>
      <c r="AH148" s="24" t="n"/>
      <c r="AI148" s="31" t="n"/>
      <c r="AJ148" s="31" t="n"/>
      <c r="AK148" s="24" t="inlineStr">
        <is>
          <t>model_qualified</t>
        </is>
      </c>
      <c r="AL148" s="26" t="n">
        <v>3</v>
      </c>
      <c r="AM148" s="24" t="inlineStr">
        <is>
          <t>QUALIFIED_SHADOW_CALL</t>
        </is>
      </c>
      <c r="AN148" s="24" t="inlineStr">
        <is>
          <t>CALL</t>
        </is>
      </c>
      <c r="AO148" s="24" t="inlineStr">
        <is>
          <t>QUALIFIED</t>
        </is>
      </c>
      <c r="AP148" s="24" t="inlineStr">
        <is>
          <t>mlb-mil</t>
        </is>
      </c>
      <c r="AQ148" s="24" t="inlineStr">
        <is>
          <t>Milwaukee Brewers</t>
        </is>
      </c>
      <c r="AR148" s="24" t="inlineStr">
        <is>
          <t>Milwaukee Brewers</t>
        </is>
      </c>
      <c r="AS148" s="24" t="inlineStr">
        <is>
          <t>mlb-laa</t>
        </is>
      </c>
      <c r="AT148" s="24" t="inlineStr">
        <is>
          <t>Los Angeles Angels</t>
        </is>
      </c>
      <c r="AU148" s="24" t="inlineStr">
        <is>
          <t>Los Angeles Angels</t>
        </is>
      </c>
      <c r="AV148" s="24" t="n"/>
      <c r="AW148" s="24" t="n"/>
      <c r="AX148" s="24" t="inlineStr">
        <is>
          <t>statistical_model</t>
        </is>
      </c>
      <c r="AY148" s="24" t="n"/>
      <c r="AZ148" s="24" t="inlineStr">
        <is>
          <t>shadow_qualified</t>
        </is>
      </c>
      <c r="BA148" s="24" t="inlineStr">
        <is>
          <t>464eef695bfbbdaa819ec6f5e4c5bd1068ed20b92915fb2677220ae91e20d8b6</t>
        </is>
      </c>
      <c r="BB148" s="24" t="inlineStr">
        <is>
          <t>learned_lr</t>
        </is>
      </c>
      <c r="BC148" s="24" t="inlineStr">
        <is>
          <t>mlb-elo-trend-lr-v7</t>
        </is>
      </c>
      <c r="BD148" s="24" t="inlineStr">
        <is>
          <t>464eef695bfbbdaa819ec6f5e4c5bd1068ed20b92915fb2677220ae91e20d8b6</t>
        </is>
      </c>
      <c r="BE148" s="24" t="inlineStr">
        <is>
          <t>b4ef4d89871f7ba6</t>
        </is>
      </c>
      <c r="BF148" s="24" t="inlineStr">
        <is>
          <t>1</t>
        </is>
      </c>
      <c r="BG148" s="24" t="inlineStr">
        <is>
          <t>mlb-elo-trend-lr-v7</t>
        </is>
      </c>
      <c r="BH148" s="24" t="inlineStr">
        <is>
          <t>2026-08-02T07:11:12.131172Z</t>
        </is>
      </c>
      <c r="BI148" s="24" t="inlineStr">
        <is>
          <t>["same_event","same_team_same_day","same_league_same_day"]</t>
        </is>
      </c>
      <c r="BJ148" s="25" t="n"/>
      <c r="BK148" s="26" t="n">
        <v>-217</v>
      </c>
      <c r="BL148" s="27" t="n">
        <v>1.460829</v>
      </c>
      <c r="BM148" s="28" t="n">
        <v>0.684543</v>
      </c>
      <c r="BN148" s="28" t="n">
        <v>0.681592</v>
      </c>
      <c r="BO148" s="28" t="n"/>
      <c r="BP148" s="25" t="n"/>
      <c r="BQ148" s="27" t="n"/>
      <c r="BR148" s="28" t="n"/>
      <c r="BS148" s="28" t="n"/>
      <c r="BT148" s="28" t="n"/>
      <c r="BU148" s="25" t="n"/>
      <c r="BV148" s="29" t="n"/>
      <c r="BW148" s="24" t="n"/>
      <c r="BX148" s="30" t="n"/>
      <c r="BY148" s="27" t="n"/>
      <c r="BZ148" s="24" t="n"/>
      <c r="CA148" s="31" t="n"/>
      <c r="CB148" s="24" t="n"/>
      <c r="CC148" s="24" t="inlineStr">
        <is>
          <t>0.3268450055</t>
        </is>
      </c>
      <c r="CD148" s="24" t="inlineStr">
        <is>
          <t>-0.59379</t>
        </is>
      </c>
      <c r="CE148" s="24" t="inlineStr">
        <is>
          <t>1.01</t>
        </is>
      </c>
      <c r="CF148" s="24" t="inlineStr">
        <is>
          <t>1.0177</t>
        </is>
      </c>
      <c r="CG148" s="24" t="inlineStr">
        <is>
          <t>0.2</t>
        </is>
      </c>
      <c r="CH148" s="24" t="n"/>
      <c r="CI148" s="24" t="n"/>
      <c r="CJ148" s="24" t="n"/>
      <c r="CK148" s="24" t="n"/>
      <c r="CL148" s="24" t="n"/>
      <c r="CM148" s="24" t="n"/>
      <c r="CN148" s="24" t="n"/>
      <c r="CO148" s="24" t="n"/>
    </row>
    <row r="149" ht="36" customHeight="1">
      <c r="A149" s="24" t="inlineStr">
        <is>
          <t>d24cc6fafa2f4671</t>
        </is>
      </c>
      <c r="B149" s="24" t="inlineStr">
        <is>
          <t>2026-08-02T07:12:10.920987Z</t>
        </is>
      </c>
      <c r="C149" s="24" t="inlineStr">
        <is>
          <t>2026-08-02T16:05:00-0400</t>
        </is>
      </c>
      <c r="D149" s="24" t="inlineStr">
        <is>
          <t>401816373</t>
        </is>
      </c>
      <c r="E149" s="24" t="inlineStr">
        <is>
          <t>MLB</t>
        </is>
      </c>
      <c r="F149" s="24" t="inlineStr">
        <is>
          <t>Detroit Tigers</t>
        </is>
      </c>
      <c r="G149" s="24" t="inlineStr">
        <is>
          <t>Athletics</t>
        </is>
      </c>
      <c r="H149" s="24" t="inlineStr">
        <is>
          <t>moneyline</t>
        </is>
      </c>
      <c r="I149" s="24" t="inlineStr">
        <is>
          <t>away</t>
        </is>
      </c>
      <c r="J149" s="25" t="n"/>
      <c r="K149" s="24" t="inlineStr">
        <is>
          <t>polymarket_us</t>
        </is>
      </c>
      <c r="L149" s="26" t="n">
        <v>-106</v>
      </c>
      <c r="M149" s="27" t="n">
        <v>1.943396</v>
      </c>
      <c r="N149" s="28" t="n">
        <v>0.514563</v>
      </c>
      <c r="O149" s="28" t="n">
        <v>0.559493</v>
      </c>
      <c r="P149" s="28" t="n"/>
      <c r="Q149" s="28" t="n">
        <v>0.04493</v>
      </c>
      <c r="R149" s="26" t="n">
        <v>44</v>
      </c>
      <c r="S149" s="29" t="n">
        <v>1</v>
      </c>
      <c r="T149" s="24" t="inlineStr">
        <is>
          <t>mlb-elo-trend-lr-v7</t>
        </is>
      </c>
      <c r="U149" s="24" t="inlineStr">
        <is>
          <t>open</t>
        </is>
      </c>
      <c r="V149" s="24" t="n"/>
      <c r="W149" s="26" t="n"/>
      <c r="X149" s="26" t="n"/>
      <c r="Y149" s="25" t="n"/>
      <c r="Z149" s="26" t="n"/>
      <c r="AA149" s="28" t="n"/>
      <c r="AB149" s="28" t="n"/>
      <c r="AC149" s="30" t="n"/>
      <c r="AD149" s="24" t="n"/>
      <c r="AE149" s="31" t="inlineStr">
        <is>
          <t>Learned LR call at threshold 0.6242; executable ask 0.5150 (aec-mlb-det-ath-2026-08-02); model edge vs ask +0.0445.</t>
        </is>
      </c>
      <c r="AF149" s="31" t="inlineStr">
        <is>
          <t>Learned model; shadow-qualified via operator override.</t>
        </is>
      </c>
      <c r="AG149" s="24" t="inlineStr">
        <is>
          <t>not_applicable</t>
        </is>
      </c>
      <c r="AH149" s="24" t="n"/>
      <c r="AI149" s="31" t="n"/>
      <c r="AJ149" s="31" t="n"/>
      <c r="AK149" s="24" t="inlineStr">
        <is>
          <t>model_qualified</t>
        </is>
      </c>
      <c r="AL149" s="26" t="n">
        <v>3</v>
      </c>
      <c r="AM149" s="24" t="inlineStr">
        <is>
          <t>QUALIFIED_SHADOW_CALL</t>
        </is>
      </c>
      <c r="AN149" s="24" t="inlineStr">
        <is>
          <t>CALL</t>
        </is>
      </c>
      <c r="AO149" s="24" t="inlineStr">
        <is>
          <t>QUALIFIED</t>
        </is>
      </c>
      <c r="AP149" s="24" t="inlineStr">
        <is>
          <t>mlb-det</t>
        </is>
      </c>
      <c r="AQ149" s="24" t="inlineStr">
        <is>
          <t>Detroit Tigers</t>
        </is>
      </c>
      <c r="AR149" s="24" t="inlineStr">
        <is>
          <t>Detroit Tigers</t>
        </is>
      </c>
      <c r="AS149" s="24" t="inlineStr">
        <is>
          <t>mlb-ath</t>
        </is>
      </c>
      <c r="AT149" s="24" t="inlineStr">
        <is>
          <t>Athletics</t>
        </is>
      </c>
      <c r="AU149" s="24" t="inlineStr">
        <is>
          <t>Athletics</t>
        </is>
      </c>
      <c r="AV149" s="24" t="n"/>
      <c r="AW149" s="24" t="n"/>
      <c r="AX149" s="24" t="inlineStr">
        <is>
          <t>statistical_model</t>
        </is>
      </c>
      <c r="AY149" s="24" t="n"/>
      <c r="AZ149" s="24" t="inlineStr">
        <is>
          <t>shadow_qualified</t>
        </is>
      </c>
      <c r="BA149" s="24" t="inlineStr">
        <is>
          <t>464eef695bfbbdaa819ec6f5e4c5bd1068ed20b92915fb2677220ae91e20d8b6</t>
        </is>
      </c>
      <c r="BB149" s="24" t="inlineStr">
        <is>
          <t>learned_lr</t>
        </is>
      </c>
      <c r="BC149" s="24" t="inlineStr">
        <is>
          <t>mlb-elo-trend-lr-v7</t>
        </is>
      </c>
      <c r="BD149" s="24" t="inlineStr">
        <is>
          <t>464eef695bfbbdaa819ec6f5e4c5bd1068ed20b92915fb2677220ae91e20d8b6</t>
        </is>
      </c>
      <c r="BE149" s="24" t="inlineStr">
        <is>
          <t>00e7038bac98b145</t>
        </is>
      </c>
      <c r="BF149" s="24" t="inlineStr">
        <is>
          <t>1</t>
        </is>
      </c>
      <c r="BG149" s="24" t="inlineStr">
        <is>
          <t>mlb-elo-trend-lr-v7</t>
        </is>
      </c>
      <c r="BH149" s="24" t="inlineStr">
        <is>
          <t>2026-08-02T07:11:13.443758Z</t>
        </is>
      </c>
      <c r="BI149" s="24" t="inlineStr">
        <is>
          <t>["same_event","same_team_same_day","same_league_same_day"]</t>
        </is>
      </c>
      <c r="BJ149" s="25" t="n"/>
      <c r="BK149" s="26" t="n">
        <v>-106</v>
      </c>
      <c r="BL149" s="27" t="n">
        <v>1.943396</v>
      </c>
      <c r="BM149" s="28" t="n">
        <v>0.514563</v>
      </c>
      <c r="BN149" s="28" t="n">
        <v>0.5124379999999999</v>
      </c>
      <c r="BO149" s="28" t="n"/>
      <c r="BP149" s="25" t="n"/>
      <c r="BQ149" s="27" t="n"/>
      <c r="BR149" s="28" t="n"/>
      <c r="BS149" s="28" t="n"/>
      <c r="BT149" s="28" t="n"/>
      <c r="BU149" s="25" t="n"/>
      <c r="BV149" s="29" t="n"/>
      <c r="BW149" s="24" t="n"/>
      <c r="BX149" s="30" t="n"/>
      <c r="BY149" s="27" t="n"/>
      <c r="BZ149" s="24" t="n"/>
      <c r="CA149" s="31" t="n"/>
      <c r="CB149" s="24" t="n"/>
      <c r="CC149" s="24" t="inlineStr">
        <is>
          <t>0.4182489247</t>
        </is>
      </c>
      <c r="CD149" s="24" t="inlineStr">
        <is>
          <t>-3.449013</t>
        </is>
      </c>
      <c r="CE149" s="24" t="inlineStr">
        <is>
          <t>1.153</t>
        </is>
      </c>
      <c r="CF149" s="24" t="inlineStr">
        <is>
          <t>1.0298</t>
        </is>
      </c>
      <c r="CG149" s="24" t="inlineStr">
        <is>
          <t>1.0</t>
        </is>
      </c>
      <c r="CH149" s="24" t="n"/>
      <c r="CI149" s="24" t="n"/>
      <c r="CJ149" s="24" t="n"/>
      <c r="CK149" s="24" t="n"/>
      <c r="CL149" s="24" t="n"/>
      <c r="CM149" s="24" t="n"/>
      <c r="CN149" s="24" t="n"/>
      <c r="CO149" s="24" t="n"/>
    </row>
    <row r="150" ht="36" customHeight="1">
      <c r="A150" s="24" t="inlineStr">
        <is>
          <t>2cb74c9d3fd64bcf</t>
        </is>
      </c>
      <c r="B150" s="24" t="inlineStr">
        <is>
          <t>2026-08-02T07:12:10.920987Z</t>
        </is>
      </c>
      <c r="C150" s="24" t="inlineStr">
        <is>
          <t>2026-08-02T16:10:00-0400</t>
        </is>
      </c>
      <c r="D150" s="24" t="inlineStr">
        <is>
          <t>401816375</t>
        </is>
      </c>
      <c r="E150" s="24" t="inlineStr">
        <is>
          <t>MLB</t>
        </is>
      </c>
      <c r="F150" s="24" t="inlineStr">
        <is>
          <t>Minnesota Twins</t>
        </is>
      </c>
      <c r="G150" s="24" t="inlineStr">
        <is>
          <t>Seattle Mariners</t>
        </is>
      </c>
      <c r="H150" s="24" t="inlineStr">
        <is>
          <t>moneyline</t>
        </is>
      </c>
      <c r="I150" s="24" t="inlineStr">
        <is>
          <t>home</t>
        </is>
      </c>
      <c r="J150" s="25" t="n"/>
      <c r="K150" s="24" t="inlineStr">
        <is>
          <t>polymarket_us</t>
        </is>
      </c>
      <c r="L150" s="26" t="n">
        <v>-127</v>
      </c>
      <c r="M150" s="27" t="n">
        <v>1.787402</v>
      </c>
      <c r="N150" s="28" t="n">
        <v>0.5594710000000001</v>
      </c>
      <c r="O150" s="28" t="n">
        <v>0.596425</v>
      </c>
      <c r="P150" s="28" t="n"/>
      <c r="Q150" s="28" t="n">
        <v>0.036954</v>
      </c>
      <c r="R150" s="26" t="n">
        <v>40</v>
      </c>
      <c r="S150" s="29" t="n">
        <v>1.25</v>
      </c>
      <c r="T150" s="24" t="inlineStr">
        <is>
          <t>mlb-elo-trend-lr-v7</t>
        </is>
      </c>
      <c r="U150" s="24" t="inlineStr">
        <is>
          <t>open</t>
        </is>
      </c>
      <c r="V150" s="24" t="n"/>
      <c r="W150" s="26" t="n"/>
      <c r="X150" s="26" t="n"/>
      <c r="Y150" s="25" t="n"/>
      <c r="Z150" s="26" t="n"/>
      <c r="AA150" s="28" t="n"/>
      <c r="AB150" s="28" t="n"/>
      <c r="AC150" s="30" t="n"/>
      <c r="AD150" s="24" t="n"/>
      <c r="AE150" s="31" t="inlineStr">
        <is>
          <t>Learned LR call at threshold 0.6242; executable ask 0.5600 (aec-mlb-min-sea-2026-08-02); model edge vs ask +0.0364.</t>
        </is>
      </c>
      <c r="AF150" s="31" t="inlineStr">
        <is>
          <t>Learned model; shadow-qualified via operator override.</t>
        </is>
      </c>
      <c r="AG150" s="24" t="inlineStr">
        <is>
          <t>not_applicable</t>
        </is>
      </c>
      <c r="AH150" s="24" t="n"/>
      <c r="AI150" s="31" t="n"/>
      <c r="AJ150" s="31" t="n"/>
      <c r="AK150" s="24" t="inlineStr">
        <is>
          <t>model_qualified</t>
        </is>
      </c>
      <c r="AL150" s="26" t="n">
        <v>3</v>
      </c>
      <c r="AM150" s="24" t="inlineStr">
        <is>
          <t>QUALIFIED_SHADOW_CALL</t>
        </is>
      </c>
      <c r="AN150" s="24" t="inlineStr">
        <is>
          <t>CALL</t>
        </is>
      </c>
      <c r="AO150" s="24" t="inlineStr">
        <is>
          <t>QUALIFIED</t>
        </is>
      </c>
      <c r="AP150" s="24" t="inlineStr">
        <is>
          <t>mlb-min</t>
        </is>
      </c>
      <c r="AQ150" s="24" t="inlineStr">
        <is>
          <t>Minnesota Twins</t>
        </is>
      </c>
      <c r="AR150" s="24" t="inlineStr">
        <is>
          <t>Minnesota Twins</t>
        </is>
      </c>
      <c r="AS150" s="24" t="inlineStr">
        <is>
          <t>mlb-sea</t>
        </is>
      </c>
      <c r="AT150" s="24" t="inlineStr">
        <is>
          <t>Seattle Mariners</t>
        </is>
      </c>
      <c r="AU150" s="24" t="inlineStr">
        <is>
          <t>Seattle Mariners</t>
        </is>
      </c>
      <c r="AV150" s="24" t="n"/>
      <c r="AW150" s="24" t="n"/>
      <c r="AX150" s="24" t="inlineStr">
        <is>
          <t>statistical_model</t>
        </is>
      </c>
      <c r="AY150" s="24" t="n"/>
      <c r="AZ150" s="24" t="inlineStr">
        <is>
          <t>shadow_qualified</t>
        </is>
      </c>
      <c r="BA150" s="24" t="inlineStr">
        <is>
          <t>464eef695bfbbdaa819ec6f5e4c5bd1068ed20b92915fb2677220ae91e20d8b6</t>
        </is>
      </c>
      <c r="BB150" s="24" t="inlineStr">
        <is>
          <t>learned_lr</t>
        </is>
      </c>
      <c r="BC150" s="24" t="inlineStr">
        <is>
          <t>mlb-elo-trend-lr-v7</t>
        </is>
      </c>
      <c r="BD150" s="24" t="inlineStr">
        <is>
          <t>464eef695bfbbdaa819ec6f5e4c5bd1068ed20b92915fb2677220ae91e20d8b6</t>
        </is>
      </c>
      <c r="BE150" s="24" t="inlineStr">
        <is>
          <t>e58bfb84888a3f7a</t>
        </is>
      </c>
      <c r="BF150" s="24" t="inlineStr">
        <is>
          <t>1</t>
        </is>
      </c>
      <c r="BG150" s="24" t="inlineStr">
        <is>
          <t>mlb-elo-trend-lr-v7</t>
        </is>
      </c>
      <c r="BH150" s="24" t="inlineStr">
        <is>
          <t>2026-08-02T07:11:15.238873Z</t>
        </is>
      </c>
      <c r="BI150" s="24" t="inlineStr">
        <is>
          <t>["same_event","same_team_same_day","same_league_same_day"]</t>
        </is>
      </c>
      <c r="BJ150" s="25" t="n"/>
      <c r="BK150" s="26" t="n">
        <v>-127</v>
      </c>
      <c r="BL150" s="27" t="n">
        <v>1.787402</v>
      </c>
      <c r="BM150" s="28" t="n">
        <v>0.5594710000000001</v>
      </c>
      <c r="BN150" s="28" t="n">
        <v>0.557214</v>
      </c>
      <c r="BO150" s="28" t="n"/>
      <c r="BP150" s="25" t="n"/>
      <c r="BQ150" s="27" t="n"/>
      <c r="BR150" s="28" t="n"/>
      <c r="BS150" s="28" t="n"/>
      <c r="BT150" s="28" t="n"/>
      <c r="BU150" s="25" t="n"/>
      <c r="BV150" s="29" t="n"/>
      <c r="BW150" s="24" t="n"/>
      <c r="BX150" s="30" t="n"/>
      <c r="BY150" s="27" t="n"/>
      <c r="BZ150" s="24" t="n"/>
      <c r="CA150" s="31" t="n"/>
      <c r="CB150" s="24" t="n"/>
      <c r="CC150" s="24" t="inlineStr">
        <is>
          <t>0.5819178739</t>
        </is>
      </c>
      <c r="CD150" s="24" t="inlineStr">
        <is>
          <t>0.703281</t>
        </is>
      </c>
      <c r="CE150" s="24" t="inlineStr">
        <is>
          <t>0.936</t>
        </is>
      </c>
      <c r="CF150" s="24" t="inlineStr">
        <is>
          <t>1.0</t>
        </is>
      </c>
      <c r="CG150" s="24" t="inlineStr">
        <is>
          <t>1.8</t>
        </is>
      </c>
      <c r="CH150" s="24" t="n"/>
      <c r="CI150" s="24" t="n"/>
      <c r="CJ150" s="24" t="n"/>
      <c r="CK150" s="24" t="n"/>
      <c r="CL150" s="24" t="n"/>
      <c r="CM150" s="24" t="n"/>
      <c r="CN150" s="24" t="n"/>
      <c r="CO150" s="24" t="n"/>
    </row>
    <row r="151" ht="36" customHeight="1">
      <c r="A151" s="24" t="inlineStr">
        <is>
          <t>62f4495bc07841de</t>
        </is>
      </c>
      <c r="B151" s="24" t="inlineStr">
        <is>
          <t>2026-08-02T07:12:10.920987Z</t>
        </is>
      </c>
      <c r="C151" s="24" t="inlineStr">
        <is>
          <t>2026-08-02T16:10:00-0400</t>
        </is>
      </c>
      <c r="D151" s="24" t="inlineStr">
        <is>
          <t>401816376</t>
        </is>
      </c>
      <c r="E151" s="24" t="inlineStr">
        <is>
          <t>MLB</t>
        </is>
      </c>
      <c r="F151" s="24" t="inlineStr">
        <is>
          <t>San Francisco Giants</t>
        </is>
      </c>
      <c r="G151" s="24" t="inlineStr">
        <is>
          <t>San Diego Padres</t>
        </is>
      </c>
      <c r="H151" s="24" t="inlineStr">
        <is>
          <t>moneyline</t>
        </is>
      </c>
      <c r="I151" s="24" t="inlineStr">
        <is>
          <t>home</t>
        </is>
      </c>
      <c r="J151" s="25" t="n"/>
      <c r="K151" s="24" t="inlineStr">
        <is>
          <t>polymarket_us</t>
        </is>
      </c>
      <c r="L151" s="26" t="n">
        <v>-138</v>
      </c>
      <c r="M151" s="27" t="n">
        <v>1.724638</v>
      </c>
      <c r="N151" s="28" t="n">
        <v>0.579832</v>
      </c>
      <c r="O151" s="28" t="n">
        <v>0.589015</v>
      </c>
      <c r="P151" s="28" t="n"/>
      <c r="Q151" s="28" t="n">
        <v>0.009183</v>
      </c>
      <c r="R151" s="26" t="n">
        <v>26</v>
      </c>
      <c r="S151" s="29" t="n">
        <v>1.25</v>
      </c>
      <c r="T151" s="24" t="inlineStr">
        <is>
          <t>mlb-elo-trend-lr-v7</t>
        </is>
      </c>
      <c r="U151" s="24" t="inlineStr">
        <is>
          <t>open</t>
        </is>
      </c>
      <c r="V151" s="24" t="n"/>
      <c r="W151" s="26" t="n"/>
      <c r="X151" s="26" t="n"/>
      <c r="Y151" s="25" t="n"/>
      <c r="Z151" s="26" t="n"/>
      <c r="AA151" s="28" t="n"/>
      <c r="AB151" s="28" t="n"/>
      <c r="AC151" s="30" t="n"/>
      <c r="AD151" s="24" t="n"/>
      <c r="AE151" s="31" t="inlineStr">
        <is>
          <t>Learned LR call at threshold 0.6242; executable ask 0.5800 (aec-mlb-sf-sd-2026-08-02); model edge vs ask +0.0090.</t>
        </is>
      </c>
      <c r="AF151" s="31" t="inlineStr">
        <is>
          <t>Learned model; shadow-qualified via operator override.</t>
        </is>
      </c>
      <c r="AG151" s="24" t="inlineStr">
        <is>
          <t>not_applicable</t>
        </is>
      </c>
      <c r="AH151" s="24" t="n"/>
      <c r="AI151" s="31" t="n"/>
      <c r="AJ151" s="31" t="n"/>
      <c r="AK151" s="24" t="inlineStr">
        <is>
          <t>model_qualified</t>
        </is>
      </c>
      <c r="AL151" s="26" t="n">
        <v>3</v>
      </c>
      <c r="AM151" s="24" t="inlineStr">
        <is>
          <t>QUALIFIED_SHADOW_CALL</t>
        </is>
      </c>
      <c r="AN151" s="24" t="inlineStr">
        <is>
          <t>CALL</t>
        </is>
      </c>
      <c r="AO151" s="24" t="inlineStr">
        <is>
          <t>QUALIFIED</t>
        </is>
      </c>
      <c r="AP151" s="24" t="inlineStr">
        <is>
          <t>mlb-sf</t>
        </is>
      </c>
      <c r="AQ151" s="24" t="inlineStr">
        <is>
          <t>San Francisco Giants</t>
        </is>
      </c>
      <c r="AR151" s="24" t="inlineStr">
        <is>
          <t>San Francisco Giants</t>
        </is>
      </c>
      <c r="AS151" s="24" t="inlineStr">
        <is>
          <t>mlb-sd</t>
        </is>
      </c>
      <c r="AT151" s="24" t="inlineStr">
        <is>
          <t>San Diego Padres</t>
        </is>
      </c>
      <c r="AU151" s="24" t="inlineStr">
        <is>
          <t>San Diego Padres</t>
        </is>
      </c>
      <c r="AV151" s="24" t="n"/>
      <c r="AW151" s="24" t="n"/>
      <c r="AX151" s="24" t="inlineStr">
        <is>
          <t>statistical_model</t>
        </is>
      </c>
      <c r="AY151" s="24" t="n"/>
      <c r="AZ151" s="24" t="inlineStr">
        <is>
          <t>shadow_qualified</t>
        </is>
      </c>
      <c r="BA151" s="24" t="inlineStr">
        <is>
          <t>464eef695bfbbdaa819ec6f5e4c5bd1068ed20b92915fb2677220ae91e20d8b6</t>
        </is>
      </c>
      <c r="BB151" s="24" t="inlineStr">
        <is>
          <t>learned_lr</t>
        </is>
      </c>
      <c r="BC151" s="24" t="inlineStr">
        <is>
          <t>mlb-elo-trend-lr-v7</t>
        </is>
      </c>
      <c r="BD151" s="24" t="inlineStr">
        <is>
          <t>464eef695bfbbdaa819ec6f5e4c5bd1068ed20b92915fb2677220ae91e20d8b6</t>
        </is>
      </c>
      <c r="BE151" s="24" t="inlineStr">
        <is>
          <t>c332f3cd0c06de36</t>
        </is>
      </c>
      <c r="BF151" s="24" t="inlineStr">
        <is>
          <t>1</t>
        </is>
      </c>
      <c r="BG151" s="24" t="inlineStr">
        <is>
          <t>mlb-elo-trend-lr-v7</t>
        </is>
      </c>
      <c r="BH151" s="24" t="inlineStr">
        <is>
          <t>2026-08-02T07:11:14.354504Z</t>
        </is>
      </c>
      <c r="BI151" s="24" t="inlineStr">
        <is>
          <t>["same_event","same_team_same_day","same_league_same_day"]</t>
        </is>
      </c>
      <c r="BJ151" s="25" t="n"/>
      <c r="BK151" s="26" t="n">
        <v>-138</v>
      </c>
      <c r="BL151" s="27" t="n">
        <v>1.724638</v>
      </c>
      <c r="BM151" s="28" t="n">
        <v>0.579832</v>
      </c>
      <c r="BN151" s="28" t="n">
        <v>0.577114</v>
      </c>
      <c r="BO151" s="28" t="n"/>
      <c r="BP151" s="25" t="n"/>
      <c r="BQ151" s="27" t="n"/>
      <c r="BR151" s="28" t="n"/>
      <c r="BS151" s="28" t="n"/>
      <c r="BT151" s="28" t="n"/>
      <c r="BU151" s="25" t="n"/>
      <c r="BV151" s="29" t="n"/>
      <c r="BW151" s="24" t="n"/>
      <c r="BX151" s="30" t="n"/>
      <c r="BY151" s="27" t="n"/>
      <c r="BZ151" s="24" t="n"/>
      <c r="CA151" s="31" t="n"/>
      <c r="CB151" s="24" t="n"/>
      <c r="CC151" s="24" t="inlineStr">
        <is>
          <t>0.5952401601</t>
        </is>
      </c>
      <c r="CD151" s="24" t="inlineStr">
        <is>
          <t>0.046644</t>
        </is>
      </c>
      <c r="CE151" s="24" t="inlineStr">
        <is>
          <t>0.945</t>
        </is>
      </c>
      <c r="CF151" s="24" t="inlineStr">
        <is>
          <t>1.0122</t>
        </is>
      </c>
      <c r="CG151" s="24" t="inlineStr">
        <is>
          <t>-1.6</t>
        </is>
      </c>
      <c r="CH151" s="24" t="n"/>
      <c r="CI151" s="24" t="n"/>
      <c r="CJ151" s="24" t="n"/>
      <c r="CK151" s="24" t="n"/>
      <c r="CL151" s="24" t="n"/>
      <c r="CM151" s="24" t="n"/>
      <c r="CN151" s="24" t="n"/>
      <c r="CO151" s="24" t="n"/>
    </row>
    <row r="152" ht="36" customHeight="1">
      <c r="A152" s="24" t="inlineStr">
        <is>
          <t>9b1bd9a3e7c64463</t>
        </is>
      </c>
      <c r="B152" s="24" t="inlineStr">
        <is>
          <t>2026-08-02T07:12:10.920987Z</t>
        </is>
      </c>
      <c r="C152" s="24" t="inlineStr">
        <is>
          <t>2026-08-02T19:20:00-0400</t>
        </is>
      </c>
      <c r="D152" s="24" t="inlineStr">
        <is>
          <t>401816372</t>
        </is>
      </c>
      <c r="E152" s="24" t="inlineStr">
        <is>
          <t>MLB</t>
        </is>
      </c>
      <c r="F152" s="24" t="inlineStr">
        <is>
          <t>Boston Red Sox</t>
        </is>
      </c>
      <c r="G152" s="24" t="inlineStr">
        <is>
          <t>Los Angeles Dodgers</t>
        </is>
      </c>
      <c r="H152" s="24" t="inlineStr">
        <is>
          <t>moneyline</t>
        </is>
      </c>
      <c r="I152" s="24" t="inlineStr">
        <is>
          <t>home</t>
        </is>
      </c>
      <c r="J152" s="25" t="n"/>
      <c r="K152" s="24" t="inlineStr">
        <is>
          <t>polymarket_us</t>
        </is>
      </c>
      <c r="L152" s="26" t="n">
        <v>-150</v>
      </c>
      <c r="M152" s="27" t="n">
        <v>1.666667</v>
      </c>
      <c r="N152" s="28" t="n">
        <v>0.6</v>
      </c>
      <c r="O152" s="28" t="n">
        <v>0.559402</v>
      </c>
      <c r="P152" s="28" t="n"/>
      <c r="Q152" s="28" t="n">
        <v>-0.040598</v>
      </c>
      <c r="R152" s="26" t="n">
        <v>1</v>
      </c>
      <c r="S152" s="29" t="n">
        <v>1</v>
      </c>
      <c r="T152" s="24" t="inlineStr">
        <is>
          <t>mlb-elo-trend-lr-v7</t>
        </is>
      </c>
      <c r="U152" s="24" t="inlineStr">
        <is>
          <t>open</t>
        </is>
      </c>
      <c r="V152" s="24" t="n"/>
      <c r="W152" s="26" t="n"/>
      <c r="X152" s="26" t="n"/>
      <c r="Y152" s="25" t="n"/>
      <c r="Z152" s="26" t="n"/>
      <c r="AA152" s="28" t="n"/>
      <c r="AB152" s="28" t="n"/>
      <c r="AC152" s="30" t="n"/>
      <c r="AD152" s="24" t="n"/>
      <c r="AE152" s="31" t="inlineStr">
        <is>
          <t>Learned LR call at threshold 0.6242; executable ask 0.6000 (aec-mlb-bos-lad-2026-08-02); model edge vs ask -0.0406.</t>
        </is>
      </c>
      <c r="AF152" s="31" t="inlineStr">
        <is>
          <t>Learned model; shadow-qualified via operator override.</t>
        </is>
      </c>
      <c r="AG152" s="24" t="inlineStr">
        <is>
          <t>not_applicable</t>
        </is>
      </c>
      <c r="AH152" s="24" t="n"/>
      <c r="AI152" s="31" t="n"/>
      <c r="AJ152" s="31" t="n"/>
      <c r="AK152" s="24" t="inlineStr">
        <is>
          <t>model_qualified</t>
        </is>
      </c>
      <c r="AL152" s="26" t="n">
        <v>3</v>
      </c>
      <c r="AM152" s="24" t="inlineStr">
        <is>
          <t>QUALIFIED_SHADOW_CALL</t>
        </is>
      </c>
      <c r="AN152" s="24" t="inlineStr">
        <is>
          <t>CALL</t>
        </is>
      </c>
      <c r="AO152" s="24" t="inlineStr">
        <is>
          <t>QUALIFIED</t>
        </is>
      </c>
      <c r="AP152" s="24" t="inlineStr">
        <is>
          <t>mlb-bos</t>
        </is>
      </c>
      <c r="AQ152" s="24" t="inlineStr">
        <is>
          <t>Boston Red Sox</t>
        </is>
      </c>
      <c r="AR152" s="24" t="inlineStr">
        <is>
          <t>Boston Red Sox</t>
        </is>
      </c>
      <c r="AS152" s="24" t="inlineStr">
        <is>
          <t>mlb-lad</t>
        </is>
      </c>
      <c r="AT152" s="24" t="inlineStr">
        <is>
          <t>Los Angeles Dodgers</t>
        </is>
      </c>
      <c r="AU152" s="24" t="inlineStr">
        <is>
          <t>Los Angeles Dodgers</t>
        </is>
      </c>
      <c r="AV152" s="24" t="n"/>
      <c r="AW152" s="24" t="n"/>
      <c r="AX152" s="24" t="inlineStr">
        <is>
          <t>statistical_model</t>
        </is>
      </c>
      <c r="AY152" s="24" t="n"/>
      <c r="AZ152" s="24" t="inlineStr">
        <is>
          <t>shadow_qualified</t>
        </is>
      </c>
      <c r="BA152" s="24" t="inlineStr">
        <is>
          <t>464eef695bfbbdaa819ec6f5e4c5bd1068ed20b92915fb2677220ae91e20d8b6</t>
        </is>
      </c>
      <c r="BB152" s="24" t="inlineStr">
        <is>
          <t>learned_lr</t>
        </is>
      </c>
      <c r="BC152" s="24" t="inlineStr">
        <is>
          <t>mlb-elo-trend-lr-v7</t>
        </is>
      </c>
      <c r="BD152" s="24" t="inlineStr">
        <is>
          <t>464eef695bfbbdaa819ec6f5e4c5bd1068ed20b92915fb2677220ae91e20d8b6</t>
        </is>
      </c>
      <c r="BE152" s="24" t="inlineStr">
        <is>
          <t>eb0d325be4c32457</t>
        </is>
      </c>
      <c r="BF152" s="24" t="inlineStr">
        <is>
          <t>1</t>
        </is>
      </c>
      <c r="BG152" s="24" t="inlineStr">
        <is>
          <t>mlb-elo-trend-lr-v7</t>
        </is>
      </c>
      <c r="BH152" s="24" t="inlineStr">
        <is>
          <t>2026-08-02T07:11:16.250112Z</t>
        </is>
      </c>
      <c r="BI152" s="24" t="inlineStr">
        <is>
          <t>["same_event","same_team_same_day","same_league_same_day"]</t>
        </is>
      </c>
      <c r="BJ152" s="25" t="n"/>
      <c r="BK152" s="26" t="n">
        <v>-150</v>
      </c>
      <c r="BL152" s="27" t="n">
        <v>1.666667</v>
      </c>
      <c r="BM152" s="28" t="n">
        <v>0.6</v>
      </c>
      <c r="BN152" s="28" t="n">
        <v>0.597015</v>
      </c>
      <c r="BO152" s="28" t="n"/>
      <c r="BP152" s="25" t="n"/>
      <c r="BQ152" s="27" t="n"/>
      <c r="BR152" s="28" t="n"/>
      <c r="BS152" s="28" t="n"/>
      <c r="BT152" s="28" t="n"/>
      <c r="BU152" s="25" t="n"/>
      <c r="BV152" s="29" t="n"/>
      <c r="BW152" s="24" t="n"/>
      <c r="BX152" s="30" t="n"/>
      <c r="BY152" s="27" t="n"/>
      <c r="BZ152" s="24" t="n"/>
      <c r="CA152" s="31" t="n"/>
      <c r="CB152" s="24" t="n"/>
      <c r="CC152" s="24" t="inlineStr">
        <is>
          <t>0.5465616607</t>
        </is>
      </c>
      <c r="CD152" s="24" t="inlineStr">
        <is>
          <t>-0.812713</t>
        </is>
      </c>
      <c r="CE152" s="24" t="inlineStr">
        <is>
          <t>1.026</t>
        </is>
      </c>
      <c r="CF152" s="24" t="inlineStr">
        <is>
          <t>1.0168</t>
        </is>
      </c>
      <c r="CG152" s="24" t="inlineStr">
        <is>
          <t>2.6</t>
        </is>
      </c>
      <c r="CH152" s="24" t="n"/>
      <c r="CI152" s="24" t="n"/>
      <c r="CJ152" s="24" t="n"/>
      <c r="CK152" s="24" t="n"/>
      <c r="CL152" s="24" t="n"/>
      <c r="CM152" s="24" t="n"/>
      <c r="CN152" s="24" t="n"/>
      <c r="CO152" s="24" t="n"/>
    </row>
    <row r="153" ht="36" customHeight="1">
      <c r="A153" s="24" t="inlineStr">
        <is>
          <t>078aa36bb2ab4520</t>
        </is>
      </c>
      <c r="B153" s="24" t="inlineStr">
        <is>
          <t>2026-08-02T07:12:44.561466Z</t>
        </is>
      </c>
      <c r="C153" s="24" t="inlineStr">
        <is>
          <t>2026-08-02T17:35Z</t>
        </is>
      </c>
      <c r="D153" s="24" t="inlineStr">
        <is>
          <t>401816365</t>
        </is>
      </c>
      <c r="E153" s="24" t="inlineStr">
        <is>
          <t>MLB</t>
        </is>
      </c>
      <c r="F153" s="24" t="inlineStr">
        <is>
          <t>Philadelphia Phillies</t>
        </is>
      </c>
      <c r="G153" s="24" t="inlineStr">
        <is>
          <t>Baltimore Orioles</t>
        </is>
      </c>
      <c r="H153" s="24" t="inlineStr">
        <is>
          <t>spread</t>
        </is>
      </c>
      <c r="I153" s="24" t="inlineStr">
        <is>
          <t>home</t>
        </is>
      </c>
      <c r="J153" s="25" t="n">
        <v>1.5</v>
      </c>
      <c r="K153" s="24" t="inlineStr">
        <is>
          <t>polymarket_us</t>
        </is>
      </c>
      <c r="L153" s="26" t="n">
        <v>-138</v>
      </c>
      <c r="M153" s="27" t="n">
        <v>1.724638</v>
      </c>
      <c r="N153" s="28" t="n">
        <v>0.579832</v>
      </c>
      <c r="O153" s="28" t="n">
        <v>0.613785</v>
      </c>
      <c r="P153" s="28" t="n">
        <v>0.042131</v>
      </c>
      <c r="Q153" s="28" t="n">
        <v>0.033953</v>
      </c>
      <c r="R153" s="26" t="n">
        <v>42</v>
      </c>
      <c r="S153" s="29" t="n">
        <v>1.5</v>
      </c>
      <c r="T153" s="24" t="inlineStr">
        <is>
          <t>measured-edge-margin-v2</t>
        </is>
      </c>
      <c r="U153" s="24" t="inlineStr">
        <is>
          <t>open</t>
        </is>
      </c>
      <c r="V153" s="24" t="n"/>
      <c r="W153" s="26" t="n"/>
      <c r="X153" s="26" t="n"/>
      <c r="Y153" s="25" t="n"/>
      <c r="Z153" s="26" t="n"/>
      <c r="AA153" s="28" t="n"/>
      <c r="AB153" s="28" t="n"/>
      <c r="AC153" s="30" t="n"/>
      <c r="AD153" s="24" t="n"/>
      <c r="AE153" s="31" t="inlineStr">
        <is>
          <t>Measured Edge Margin: Trend Engine projected 4.52-4.52; raw selected-side p=0.6734, calibrated p=0.6138.</t>
        </is>
      </c>
      <c r="AF153" s="31" t="inlineStr">
        <is>
          <t>Research-only; lineup, bullpen, park, weather, xFIP, and wRC+ may be neutral fallbacks; market availability and BBO depth may change before first pitch.</t>
        </is>
      </c>
      <c r="AG153" s="24" t="inlineStr">
        <is>
          <t>not_applicable</t>
        </is>
      </c>
      <c r="AH153" s="24" t="n"/>
      <c r="AI153" s="31" t="n"/>
      <c r="AJ153" s="31" t="n"/>
      <c r="AK153" s="24" t="inlineStr">
        <is>
          <t>research_observation</t>
        </is>
      </c>
      <c r="AL153" s="26" t="n">
        <v>3</v>
      </c>
      <c r="AM153" s="24" t="inlineStr">
        <is>
          <t>RESEARCH_OBSERVATION</t>
        </is>
      </c>
      <c r="AN153" s="24" t="inlineStr">
        <is>
          <t>NO_CALL</t>
        </is>
      </c>
      <c r="AO153" s="24" t="inlineStr">
        <is>
          <t>NO_CALL_MODEL_UNVALIDATED</t>
        </is>
      </c>
      <c r="AP153" s="24" t="inlineStr">
        <is>
          <t>mlb-phi</t>
        </is>
      </c>
      <c r="AQ153" s="24" t="inlineStr">
        <is>
          <t>Philadelphia Phillies</t>
        </is>
      </c>
      <c r="AR153" s="24" t="inlineStr">
        <is>
          <t>Philadelphia Phillies</t>
        </is>
      </c>
      <c r="AS153" s="24" t="inlineStr">
        <is>
          <t>mlb-bal</t>
        </is>
      </c>
      <c r="AT153" s="24" t="inlineStr">
        <is>
          <t>Baltimore Orioles</t>
        </is>
      </c>
      <c r="AU153" s="24" t="inlineStr">
        <is>
          <t>Baltimore Orioles</t>
        </is>
      </c>
      <c r="AV153" s="24" t="n"/>
      <c r="AW153" s="24" t="n"/>
      <c r="AX153" s="24" t="inlineStr">
        <is>
          <t>statistical_model</t>
        </is>
      </c>
      <c r="AY153" s="24" t="n"/>
      <c r="AZ153" s="24" t="inlineStr">
        <is>
          <t>research</t>
        </is>
      </c>
      <c r="BA153" s="24" t="inlineStr">
        <is>
          <t>8360b122264b796b0fb193095cfe4506c7e064e5f3f8c0a659aec41efd08dd25</t>
        </is>
      </c>
      <c r="BB153" s="24" t="inlineStr">
        <is>
          <t>flat_probability_shrinkage_toward_half</t>
        </is>
      </c>
      <c r="BC153" s="24" t="inlineStr">
        <is>
          <t>measured-edge-margin-v2</t>
        </is>
      </c>
      <c r="BD153" s="24" t="inlineStr">
        <is>
          <t>8360b122264b796b0fb193095cfe4506c7e064e5f3f8c0a659aec41efd08dd25</t>
        </is>
      </c>
      <c r="BE153" s="24" t="inlineStr">
        <is>
          <t>v3</t>
        </is>
      </c>
      <c r="BF153" s="24" t="inlineStr">
        <is>
          <t>1</t>
        </is>
      </c>
      <c r="BG153" s="24" t="inlineStr">
        <is>
          <t>measured-edge-paired-v1</t>
        </is>
      </c>
      <c r="BH153" s="24" t="inlineStr">
        <is>
          <t>2026-08-02T07:12:44.561466Z</t>
        </is>
      </c>
      <c r="BI153" s="24" t="inlineStr">
        <is>
          <t>["same_event","same_team_same_day","same_league_same_day"]</t>
        </is>
      </c>
      <c r="BJ153" s="25" t="n">
        <v>1.5</v>
      </c>
      <c r="BK153" s="26" t="n">
        <v>-138</v>
      </c>
      <c r="BL153" s="27" t="n">
        <v>1.724638</v>
      </c>
      <c r="BM153" s="28" t="n">
        <v>0.579832</v>
      </c>
      <c r="BN153" s="28" t="n">
        <v>0.577114</v>
      </c>
      <c r="BO153" s="28" t="n"/>
      <c r="BP153" s="25" t="n"/>
      <c r="BQ153" s="27" t="n"/>
      <c r="BR153" s="28" t="n"/>
      <c r="BS153" s="28" t="n"/>
      <c r="BT153" s="28" t="n"/>
      <c r="BU153" s="25" t="n"/>
      <c r="BV153" s="29" t="n"/>
      <c r="BW153" s="24" t="n"/>
      <c r="BX153" s="30" t="n"/>
      <c r="BY153" s="27" t="n"/>
      <c r="BZ153" s="24" t="n"/>
      <c r="CA153" s="31" t="n"/>
      <c r="CB153" s="24" t="n"/>
      <c r="CC153" s="24" t="n"/>
      <c r="CD153" s="24" t="n"/>
      <c r="CE153" s="24" t="n"/>
      <c r="CF153" s="24" t="n"/>
      <c r="CG153" s="24" t="n"/>
      <c r="CH153" s="24" t="n"/>
      <c r="CI153" s="24" t="n"/>
      <c r="CJ153" s="24" t="n"/>
      <c r="CK153" s="24" t="n"/>
      <c r="CL153" s="24" t="n"/>
      <c r="CM153" s="24" t="n"/>
      <c r="CN153" s="24" t="n"/>
      <c r="CO153" s="24" t="n"/>
    </row>
    <row r="154" ht="36" customHeight="1">
      <c r="A154" s="24" t="inlineStr">
        <is>
          <t>01da5bdcf3d84064</t>
        </is>
      </c>
      <c r="B154" s="24" t="inlineStr">
        <is>
          <t>2026-08-02T07:12:44.561466Z</t>
        </is>
      </c>
      <c r="C154" s="24" t="inlineStr">
        <is>
          <t>2026-08-02T17:35Z</t>
        </is>
      </c>
      <c r="D154" s="24" t="inlineStr">
        <is>
          <t>401816365</t>
        </is>
      </c>
      <c r="E154" s="24" t="inlineStr">
        <is>
          <t>MLB</t>
        </is>
      </c>
      <c r="F154" s="24" t="inlineStr">
        <is>
          <t>Philadelphia Phillies</t>
        </is>
      </c>
      <c r="G154" s="24" t="inlineStr">
        <is>
          <t>Baltimore Orioles</t>
        </is>
      </c>
      <c r="H154" s="24" t="inlineStr">
        <is>
          <t>total</t>
        </is>
      </c>
      <c r="I154" s="24" t="inlineStr">
        <is>
          <t>over</t>
        </is>
      </c>
      <c r="J154" s="25" t="n">
        <v>7.5</v>
      </c>
      <c r="K154" s="24" t="inlineStr">
        <is>
          <t>polymarket_us</t>
        </is>
      </c>
      <c r="L154" s="26" t="n">
        <v>-111</v>
      </c>
      <c r="M154" s="27" t="n">
        <v>1.900901</v>
      </c>
      <c r="N154" s="28" t="n">
        <v>0.526066</v>
      </c>
      <c r="O154" s="28" t="n">
        <v>0.537985</v>
      </c>
      <c r="P154" s="28" t="n">
        <v>0.042131</v>
      </c>
      <c r="Q154" s="28" t="n">
        <v>0.011919</v>
      </c>
      <c r="R154" s="26" t="n">
        <v>31</v>
      </c>
      <c r="S154" s="29" t="n">
        <v>1</v>
      </c>
      <c r="T154" s="24" t="inlineStr">
        <is>
          <t>measured-edge-totals-v2</t>
        </is>
      </c>
      <c r="U154" s="24" t="inlineStr">
        <is>
          <t>open</t>
        </is>
      </c>
      <c r="V154" s="24" t="n"/>
      <c r="W154" s="26" t="n"/>
      <c r="X154" s="26" t="n"/>
      <c r="Y154" s="25" t="n"/>
      <c r="Z154" s="26" t="n"/>
      <c r="AA154" s="28" t="n"/>
      <c r="AB154" s="28" t="n"/>
      <c r="AC154" s="30" t="n"/>
      <c r="AD154" s="24" t="n"/>
      <c r="AE154" s="31" t="inlineStr">
        <is>
          <t>Measured Edge Totals: Trend Engine projected 4.52-4.52; raw selected-side p=0.5879, calibrated p=0.5380.</t>
        </is>
      </c>
      <c r="AF154" s="31" t="inlineStr">
        <is>
          <t>Research-only; lineup, bullpen, park, weather, xFIP, and wRC+ may be neutral fallbacks; market availability and BBO depth may change before first pitch.</t>
        </is>
      </c>
      <c r="AG154" s="24" t="inlineStr">
        <is>
          <t>not_applicable</t>
        </is>
      </c>
      <c r="AH154" s="24" t="n"/>
      <c r="AI154" s="31" t="n"/>
      <c r="AJ154" s="31" t="n"/>
      <c r="AK154" s="24" t="inlineStr">
        <is>
          <t>research_observation</t>
        </is>
      </c>
      <c r="AL154" s="26" t="n">
        <v>3</v>
      </c>
      <c r="AM154" s="24" t="inlineStr">
        <is>
          <t>RESEARCH_OBSERVATION</t>
        </is>
      </c>
      <c r="AN154" s="24" t="inlineStr">
        <is>
          <t>NO_CALL</t>
        </is>
      </c>
      <c r="AO154" s="24" t="inlineStr">
        <is>
          <t>NO_CALL_MODEL_UNVALIDATED</t>
        </is>
      </c>
      <c r="AP154" s="24" t="inlineStr">
        <is>
          <t>mlb-phi</t>
        </is>
      </c>
      <c r="AQ154" s="24" t="inlineStr">
        <is>
          <t>Philadelphia Phillies</t>
        </is>
      </c>
      <c r="AR154" s="24" t="inlineStr">
        <is>
          <t>Philadelphia Phillies</t>
        </is>
      </c>
      <c r="AS154" s="24" t="inlineStr">
        <is>
          <t>mlb-bal</t>
        </is>
      </c>
      <c r="AT154" s="24" t="inlineStr">
        <is>
          <t>Baltimore Orioles</t>
        </is>
      </c>
      <c r="AU154" s="24" t="inlineStr">
        <is>
          <t>Baltimore Orioles</t>
        </is>
      </c>
      <c r="AV154" s="24" t="n"/>
      <c r="AW154" s="24" t="n"/>
      <c r="AX154" s="24" t="inlineStr">
        <is>
          <t>statistical_model</t>
        </is>
      </c>
      <c r="AY154" s="24" t="n"/>
      <c r="AZ154" s="24" t="inlineStr">
        <is>
          <t>research</t>
        </is>
      </c>
      <c r="BA154" s="24" t="inlineStr">
        <is>
          <t>433578016242b27f9c1c7132cc6b5a2bcc7dd1b0234590c12a944455a88e71bd</t>
        </is>
      </c>
      <c r="BB154" s="24" t="inlineStr">
        <is>
          <t>flat_probability_shrinkage_toward_half</t>
        </is>
      </c>
      <c r="BC154" s="24" t="inlineStr">
        <is>
          <t>measured-edge-totals-v2</t>
        </is>
      </c>
      <c r="BD154" s="24" t="inlineStr">
        <is>
          <t>433578016242b27f9c1c7132cc6b5a2bcc7dd1b0234590c12a944455a88e71bd</t>
        </is>
      </c>
      <c r="BE154" s="24" t="inlineStr">
        <is>
          <t>v3</t>
        </is>
      </c>
      <c r="BF154" s="24" t="inlineStr">
        <is>
          <t>1</t>
        </is>
      </c>
      <c r="BG154" s="24" t="inlineStr">
        <is>
          <t>measured-edge-paired-v1</t>
        </is>
      </c>
      <c r="BH154" s="24" t="inlineStr">
        <is>
          <t>2026-08-02T07:12:44.561466Z</t>
        </is>
      </c>
      <c r="BI154" s="24" t="inlineStr">
        <is>
          <t>["same_event","same_team_same_day","same_league_same_day"]</t>
        </is>
      </c>
      <c r="BJ154" s="25" t="n">
        <v>7.5</v>
      </c>
      <c r="BK154" s="26" t="n">
        <v>-111</v>
      </c>
      <c r="BL154" s="27" t="n">
        <v>1.900901</v>
      </c>
      <c r="BM154" s="28" t="n">
        <v>0.526066</v>
      </c>
      <c r="BN154" s="28" t="n">
        <v>0.522388</v>
      </c>
      <c r="BO154" s="28" t="n"/>
      <c r="BP154" s="25" t="n"/>
      <c r="BQ154" s="27" t="n"/>
      <c r="BR154" s="28" t="n"/>
      <c r="BS154" s="28" t="n"/>
      <c r="BT154" s="28" t="n"/>
      <c r="BU154" s="25" t="n"/>
      <c r="BV154" s="29" t="n"/>
      <c r="BW154" s="24" t="n"/>
      <c r="BX154" s="30" t="n"/>
      <c r="BY154" s="27" t="n"/>
      <c r="BZ154" s="24" t="n"/>
      <c r="CA154" s="31" t="n"/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</row>
    <row r="155" ht="36" customHeight="1">
      <c r="A155" s="24" t="inlineStr">
        <is>
          <t>4496f2eb6d614af5</t>
        </is>
      </c>
      <c r="B155" s="24" t="inlineStr">
        <is>
          <t>2026-08-02T07:12:44.561466Z</t>
        </is>
      </c>
      <c r="C155" s="24" t="inlineStr">
        <is>
          <t>2026-08-02T17:37Z</t>
        </is>
      </c>
      <c r="D155" s="24" t="inlineStr">
        <is>
          <t>401816367</t>
        </is>
      </c>
      <c r="E155" s="24" t="inlineStr">
        <is>
          <t>MLB</t>
        </is>
      </c>
      <c r="F155" s="24" t="inlineStr">
        <is>
          <t>St. Louis Cardinals</t>
        </is>
      </c>
      <c r="G155" s="24" t="inlineStr">
        <is>
          <t>Toronto Blue Jays</t>
        </is>
      </c>
      <c r="H155" s="24" t="inlineStr">
        <is>
          <t>spread</t>
        </is>
      </c>
      <c r="I155" s="24" t="inlineStr">
        <is>
          <t>home</t>
        </is>
      </c>
      <c r="J155" s="25" t="n">
        <v>1.5</v>
      </c>
      <c r="K155" s="24" t="inlineStr">
        <is>
          <t>polymarket_us</t>
        </is>
      </c>
      <c r="L155" s="26" t="n">
        <v>-170</v>
      </c>
      <c r="M155" s="27" t="n">
        <v>1.588235</v>
      </c>
      <c r="N155" s="28" t="n">
        <v>0.62963</v>
      </c>
      <c r="O155" s="28" t="n">
        <v>0.572549</v>
      </c>
      <c r="P155" s="28" t="n">
        <v>0.05172</v>
      </c>
      <c r="Q155" s="28" t="n">
        <v>-0.057081</v>
      </c>
      <c r="R155" s="26" t="n">
        <v>0</v>
      </c>
      <c r="S155" s="29" t="n">
        <v>1.25</v>
      </c>
      <c r="T155" s="24" t="inlineStr">
        <is>
          <t>measured-edge-margin-v2</t>
        </is>
      </c>
      <c r="U155" s="24" t="inlineStr">
        <is>
          <t>open</t>
        </is>
      </c>
      <c r="V155" s="24" t="n"/>
      <c r="W155" s="26" t="n"/>
      <c r="X155" s="26" t="n"/>
      <c r="Y155" s="25" t="n"/>
      <c r="Z155" s="26" t="n"/>
      <c r="AA155" s="28" t="n"/>
      <c r="AB155" s="28" t="n"/>
      <c r="AC155" s="30" t="n"/>
      <c r="AD155" s="24" t="n"/>
      <c r="AE155" s="31" t="inlineStr">
        <is>
          <t>Measured Edge Margin: Trend Engine projected 5.24-4.76; raw selected-side p=0.6105, calibrated p=0.5725.</t>
        </is>
      </c>
      <c r="AF155" s="31" t="inlineStr">
        <is>
          <t>Research-only; lineup, bullpen, park, weather, xFIP, and wRC+ may be neutral fallbacks; market availability and BBO depth may change before first pitch.</t>
        </is>
      </c>
      <c r="AG155" s="24" t="inlineStr">
        <is>
          <t>not_applicable</t>
        </is>
      </c>
      <c r="AH155" s="24" t="n"/>
      <c r="AI155" s="31" t="n"/>
      <c r="AJ155" s="31" t="n"/>
      <c r="AK155" s="24" t="inlineStr">
        <is>
          <t>research_observation</t>
        </is>
      </c>
      <c r="AL155" s="26" t="n">
        <v>3</v>
      </c>
      <c r="AM155" s="24" t="inlineStr">
        <is>
          <t>RESEARCH_OBSERVATION</t>
        </is>
      </c>
      <c r="AN155" s="24" t="inlineStr">
        <is>
          <t>NO_CALL</t>
        </is>
      </c>
      <c r="AO155" s="24" t="inlineStr">
        <is>
          <t>NO_CALL_MODEL_UNVALIDATED</t>
        </is>
      </c>
      <c r="AP155" s="24" t="inlineStr">
        <is>
          <t>mlb-stl</t>
        </is>
      </c>
      <c r="AQ155" s="24" t="inlineStr">
        <is>
          <t>St. Louis Cardinals</t>
        </is>
      </c>
      <c r="AR155" s="24" t="inlineStr">
        <is>
          <t>St. Louis Cardinals</t>
        </is>
      </c>
      <c r="AS155" s="24" t="inlineStr">
        <is>
          <t>mlb-tor</t>
        </is>
      </c>
      <c r="AT155" s="24" t="inlineStr">
        <is>
          <t>Toronto Blue Jays</t>
        </is>
      </c>
      <c r="AU155" s="24" t="inlineStr">
        <is>
          <t>Toronto Blue Jays</t>
        </is>
      </c>
      <c r="AV155" s="24" t="n"/>
      <c r="AW155" s="24" t="n"/>
      <c r="AX155" s="24" t="inlineStr">
        <is>
          <t>statistical_model</t>
        </is>
      </c>
      <c r="AY155" s="24" t="n"/>
      <c r="AZ155" s="24" t="inlineStr">
        <is>
          <t>research</t>
        </is>
      </c>
      <c r="BA155" s="24" t="inlineStr">
        <is>
          <t>8360b122264b796b0fb193095cfe4506c7e064e5f3f8c0a659aec41efd08dd25</t>
        </is>
      </c>
      <c r="BB155" s="24" t="inlineStr">
        <is>
          <t>flat_probability_shrinkage_toward_half</t>
        </is>
      </c>
      <c r="BC155" s="24" t="inlineStr">
        <is>
          <t>measured-edge-margin-v2</t>
        </is>
      </c>
      <c r="BD155" s="24" t="inlineStr">
        <is>
          <t>8360b122264b796b0fb193095cfe4506c7e064e5f3f8c0a659aec41efd08dd25</t>
        </is>
      </c>
      <c r="BE155" s="24" t="inlineStr">
        <is>
          <t>v3</t>
        </is>
      </c>
      <c r="BF155" s="24" t="inlineStr">
        <is>
          <t>1</t>
        </is>
      </c>
      <c r="BG155" s="24" t="inlineStr">
        <is>
          <t>measured-edge-paired-v1</t>
        </is>
      </c>
      <c r="BH155" s="24" t="inlineStr">
        <is>
          <t>2026-08-02T07:12:44.561466Z</t>
        </is>
      </c>
      <c r="BI155" s="24" t="inlineStr">
        <is>
          <t>["same_event","same_team_same_day","same_league_same_day"]</t>
        </is>
      </c>
      <c r="BJ155" s="25" t="n">
        <v>1.5</v>
      </c>
      <c r="BK155" s="26" t="n">
        <v>-170</v>
      </c>
      <c r="BL155" s="27" t="n">
        <v>1.588235</v>
      </c>
      <c r="BM155" s="28" t="n">
        <v>0.62963</v>
      </c>
      <c r="BN155" s="28" t="n">
        <v>0.626866</v>
      </c>
      <c r="BO155" s="28" t="n"/>
      <c r="BP155" s="25" t="n"/>
      <c r="BQ155" s="27" t="n"/>
      <c r="BR155" s="28" t="n"/>
      <c r="BS155" s="28" t="n"/>
      <c r="BT155" s="28" t="n"/>
      <c r="BU155" s="25" t="n"/>
      <c r="BV155" s="29" t="n"/>
      <c r="BW155" s="24" t="n"/>
      <c r="BX155" s="30" t="n"/>
      <c r="BY155" s="27" t="n"/>
      <c r="BZ155" s="24" t="n"/>
      <c r="CA155" s="31" t="n"/>
      <c r="CB155" s="24" t="n"/>
      <c r="CC155" s="24" t="n"/>
      <c r="CD155" s="24" t="n"/>
      <c r="CE155" s="24" t="n"/>
      <c r="CF155" s="24" t="n"/>
      <c r="CG155" s="24" t="n"/>
      <c r="CH155" s="24" t="n"/>
      <c r="CI155" s="24" t="n"/>
      <c r="CJ155" s="24" t="n"/>
      <c r="CK155" s="24" t="n"/>
      <c r="CL155" s="24" t="n"/>
      <c r="CM155" s="24" t="n"/>
      <c r="CN155" s="24" t="n"/>
      <c r="CO155" s="24" t="n"/>
    </row>
    <row r="156" ht="36" customHeight="1">
      <c r="A156" s="24" t="inlineStr">
        <is>
          <t>5ddf3d557d4f4574</t>
        </is>
      </c>
      <c r="B156" s="24" t="inlineStr">
        <is>
          <t>2026-08-02T07:12:44.561466Z</t>
        </is>
      </c>
      <c r="C156" s="24" t="inlineStr">
        <is>
          <t>2026-08-02T17:37Z</t>
        </is>
      </c>
      <c r="D156" s="24" t="inlineStr">
        <is>
          <t>401816367</t>
        </is>
      </c>
      <c r="E156" s="24" t="inlineStr">
        <is>
          <t>MLB</t>
        </is>
      </c>
      <c r="F156" s="24" t="inlineStr">
        <is>
          <t>St. Louis Cardinals</t>
        </is>
      </c>
      <c r="G156" s="24" t="inlineStr">
        <is>
          <t>Toronto Blue Jays</t>
        </is>
      </c>
      <c r="H156" s="24" t="inlineStr">
        <is>
          <t>total</t>
        </is>
      </c>
      <c r="I156" s="24" t="inlineStr">
        <is>
          <t>under</t>
        </is>
      </c>
      <c r="J156" s="25" t="n">
        <v>9.5</v>
      </c>
      <c r="K156" s="24" t="inlineStr">
        <is>
          <t>polymarket_us</t>
        </is>
      </c>
      <c r="L156" s="26" t="n">
        <v>-125</v>
      </c>
      <c r="M156" s="27" t="n">
        <v>1.8</v>
      </c>
      <c r="N156" s="28" t="n">
        <v>0.555556</v>
      </c>
      <c r="O156" s="28" t="n">
        <v>0.510034</v>
      </c>
      <c r="P156" s="28" t="n">
        <v>0.05172</v>
      </c>
      <c r="Q156" s="28" t="n">
        <v>-0.045522</v>
      </c>
      <c r="R156" s="26" t="n">
        <v>0</v>
      </c>
      <c r="S156" s="29" t="n">
        <v>1</v>
      </c>
      <c r="T156" s="24" t="inlineStr">
        <is>
          <t>measured-edge-totals-v2</t>
        </is>
      </c>
      <c r="U156" s="24" t="inlineStr">
        <is>
          <t>open</t>
        </is>
      </c>
      <c r="V156" s="24" t="n"/>
      <c r="W156" s="26" t="n"/>
      <c r="X156" s="26" t="n"/>
      <c r="Y156" s="25" t="n"/>
      <c r="Z156" s="26" t="n"/>
      <c r="AA156" s="28" t="n"/>
      <c r="AB156" s="28" t="n"/>
      <c r="AC156" s="30" t="n"/>
      <c r="AD156" s="24" t="n"/>
      <c r="AE156" s="31" t="inlineStr">
        <is>
          <t>Measured Edge Totals: Trend Engine projected 5.24-4.76; raw selected-side p=0.5061, calibrated p=0.5100.</t>
        </is>
      </c>
      <c r="AF156" s="31" t="inlineStr">
        <is>
          <t>Research-only; lineup, bullpen, park, weather, xFIP, and wRC+ may be neutral fallbacks; market availability and BBO depth may change before first pitch.</t>
        </is>
      </c>
      <c r="AG156" s="24" t="inlineStr">
        <is>
          <t>not_applicable</t>
        </is>
      </c>
      <c r="AH156" s="24" t="n"/>
      <c r="AI156" s="31" t="n"/>
      <c r="AJ156" s="31" t="n"/>
      <c r="AK156" s="24" t="inlineStr">
        <is>
          <t>research_observation</t>
        </is>
      </c>
      <c r="AL156" s="26" t="n">
        <v>3</v>
      </c>
      <c r="AM156" s="24" t="inlineStr">
        <is>
          <t>RESEARCH_OBSERVATION</t>
        </is>
      </c>
      <c r="AN156" s="24" t="inlineStr">
        <is>
          <t>NO_CALL</t>
        </is>
      </c>
      <c r="AO156" s="24" t="inlineStr">
        <is>
          <t>NO_CALL_MODEL_UNVALIDATED</t>
        </is>
      </c>
      <c r="AP156" s="24" t="inlineStr">
        <is>
          <t>mlb-stl</t>
        </is>
      </c>
      <c r="AQ156" s="24" t="inlineStr">
        <is>
          <t>St. Louis Cardinals</t>
        </is>
      </c>
      <c r="AR156" s="24" t="inlineStr">
        <is>
          <t>St. Louis Cardinals</t>
        </is>
      </c>
      <c r="AS156" s="24" t="inlineStr">
        <is>
          <t>mlb-tor</t>
        </is>
      </c>
      <c r="AT156" s="24" t="inlineStr">
        <is>
          <t>Toronto Blue Jays</t>
        </is>
      </c>
      <c r="AU156" s="24" t="inlineStr">
        <is>
          <t>Toronto Blue Jays</t>
        </is>
      </c>
      <c r="AV156" s="24" t="n"/>
      <c r="AW156" s="24" t="n"/>
      <c r="AX156" s="24" t="inlineStr">
        <is>
          <t>statistical_model</t>
        </is>
      </c>
      <c r="AY156" s="24" t="n"/>
      <c r="AZ156" s="24" t="inlineStr">
        <is>
          <t>research</t>
        </is>
      </c>
      <c r="BA156" s="24" t="inlineStr">
        <is>
          <t>433578016242b27f9c1c7132cc6b5a2bcc7dd1b0234590c12a944455a88e71bd</t>
        </is>
      </c>
      <c r="BB156" s="24" t="inlineStr">
        <is>
          <t>flat_probability_shrinkage_toward_half</t>
        </is>
      </c>
      <c r="BC156" s="24" t="inlineStr">
        <is>
          <t>measured-edge-totals-v2</t>
        </is>
      </c>
      <c r="BD156" s="24" t="inlineStr">
        <is>
          <t>433578016242b27f9c1c7132cc6b5a2bcc7dd1b0234590c12a944455a88e71bd</t>
        </is>
      </c>
      <c r="BE156" s="24" t="inlineStr">
        <is>
          <t>v3</t>
        </is>
      </c>
      <c r="BF156" s="24" t="inlineStr">
        <is>
          <t>1</t>
        </is>
      </c>
      <c r="BG156" s="24" t="inlineStr">
        <is>
          <t>measured-edge-paired-v1</t>
        </is>
      </c>
      <c r="BH156" s="24" t="inlineStr">
        <is>
          <t>2026-08-02T07:12:44.561466Z</t>
        </is>
      </c>
      <c r="BI156" s="24" t="inlineStr">
        <is>
          <t>["same_event","same_team_same_day","same_league_same_day"]</t>
        </is>
      </c>
      <c r="BJ156" s="25" t="n">
        <v>9.5</v>
      </c>
      <c r="BK156" s="26" t="n">
        <v>-125</v>
      </c>
      <c r="BL156" s="27" t="n">
        <v>1.8</v>
      </c>
      <c r="BM156" s="28" t="n">
        <v>0.555556</v>
      </c>
      <c r="BN156" s="28" t="n">
        <v>0.552239</v>
      </c>
      <c r="BO156" s="28" t="n"/>
      <c r="BP156" s="25" t="n"/>
      <c r="BQ156" s="27" t="n"/>
      <c r="BR156" s="28" t="n"/>
      <c r="BS156" s="28" t="n"/>
      <c r="BT156" s="28" t="n"/>
      <c r="BU156" s="25" t="n"/>
      <c r="BV156" s="29" t="n"/>
      <c r="BW156" s="24" t="n"/>
      <c r="BX156" s="30" t="n"/>
      <c r="BY156" s="27" t="n"/>
      <c r="BZ156" s="24" t="n"/>
      <c r="CA156" s="31" t="n"/>
      <c r="CB156" s="24" t="n"/>
      <c r="CC156" s="24" t="n"/>
      <c r="CD156" s="24" t="n"/>
      <c r="CE156" s="24" t="n"/>
      <c r="CF156" s="24" t="n"/>
      <c r="CG156" s="24" t="n"/>
      <c r="CH156" s="24" t="n"/>
      <c r="CI156" s="24" t="n"/>
      <c r="CJ156" s="24" t="n"/>
      <c r="CK156" s="24" t="n"/>
      <c r="CL156" s="24" t="n"/>
      <c r="CM156" s="24" t="n"/>
      <c r="CN156" s="24" t="n"/>
      <c r="CO156" s="24" t="n"/>
    </row>
    <row r="157" ht="36" customHeight="1">
      <c r="A157" s="24" t="inlineStr">
        <is>
          <t>a59b10ac192d4010</t>
        </is>
      </c>
      <c r="B157" s="24" t="inlineStr">
        <is>
          <t>2026-08-02T07:12:44.561466Z</t>
        </is>
      </c>
      <c r="C157" s="24" t="inlineStr">
        <is>
          <t>2026-08-02T17:40Z</t>
        </is>
      </c>
      <c r="D157" s="24" t="inlineStr">
        <is>
          <t>401816362</t>
        </is>
      </c>
      <c r="E157" s="24" t="inlineStr">
        <is>
          <t>MLB</t>
        </is>
      </c>
      <c r="F157" s="24" t="inlineStr">
        <is>
          <t>Arizona Diamondbacks</t>
        </is>
      </c>
      <c r="G157" s="24" t="inlineStr">
        <is>
          <t>Cleveland Guardians</t>
        </is>
      </c>
      <c r="H157" s="24" t="inlineStr">
        <is>
          <t>spread</t>
        </is>
      </c>
      <c r="I157" s="24" t="inlineStr">
        <is>
          <t>away</t>
        </is>
      </c>
      <c r="J157" s="25" t="n">
        <v>1.5</v>
      </c>
      <c r="K157" s="24" t="inlineStr">
        <is>
          <t>polymarket_us</t>
        </is>
      </c>
      <c r="L157" s="26" t="n">
        <v>-160</v>
      </c>
      <c r="M157" s="27" t="n">
        <v>1.625</v>
      </c>
      <c r="N157" s="28" t="n">
        <v>0.615385</v>
      </c>
      <c r="O157" s="28" t="n">
        <v>0.604928</v>
      </c>
      <c r="P157" s="28" t="n">
        <v>0.042131</v>
      </c>
      <c r="Q157" s="28" t="n">
        <v>-0.010457</v>
      </c>
      <c r="R157" s="26" t="n">
        <v>19</v>
      </c>
      <c r="S157" s="29" t="n">
        <v>1.5</v>
      </c>
      <c r="T157" s="24" t="inlineStr">
        <is>
          <t>measured-edge-margin-v2</t>
        </is>
      </c>
      <c r="U157" s="24" t="inlineStr">
        <is>
          <t>open</t>
        </is>
      </c>
      <c r="V157" s="24" t="n"/>
      <c r="W157" s="26" t="n"/>
      <c r="X157" s="26" t="n"/>
      <c r="Y157" s="25" t="n"/>
      <c r="Z157" s="26" t="n"/>
      <c r="AA157" s="28" t="n"/>
      <c r="AB157" s="28" t="n"/>
      <c r="AC157" s="30" t="n"/>
      <c r="AD157" s="24" t="n"/>
      <c r="AE157" s="31" t="inlineStr">
        <is>
          <t>Measured Edge Margin: Trend Engine projected 4.39-4.52; raw selected-side p=0.6599, calibrated p=0.6049.</t>
        </is>
      </c>
      <c r="AF157" s="31" t="inlineStr">
        <is>
          <t>Research-only; lineup, bullpen, park, weather, xFIP, and wRC+ may be neutral fallbacks; market availability and BBO depth may change before first pitch.</t>
        </is>
      </c>
      <c r="AG157" s="24" t="inlineStr">
        <is>
          <t>not_applicable</t>
        </is>
      </c>
      <c r="AH157" s="24" t="n"/>
      <c r="AI157" s="31" t="n"/>
      <c r="AJ157" s="31" t="n"/>
      <c r="AK157" s="24" t="inlineStr">
        <is>
          <t>research_observation</t>
        </is>
      </c>
      <c r="AL157" s="26" t="n">
        <v>3</v>
      </c>
      <c r="AM157" s="24" t="inlineStr">
        <is>
          <t>RESEARCH_OBSERVATION</t>
        </is>
      </c>
      <c r="AN157" s="24" t="inlineStr">
        <is>
          <t>NO_CALL</t>
        </is>
      </c>
      <c r="AO157" s="24" t="inlineStr">
        <is>
          <t>NO_CALL_MODEL_UNVALIDATED</t>
        </is>
      </c>
      <c r="AP157" s="24" t="inlineStr">
        <is>
          <t>mlb-ari</t>
        </is>
      </c>
      <c r="AQ157" s="24" t="inlineStr">
        <is>
          <t>Arizona Diamondbacks</t>
        </is>
      </c>
      <c r="AR157" s="24" t="inlineStr">
        <is>
          <t>Arizona Diamondbacks</t>
        </is>
      </c>
      <c r="AS157" s="24" t="inlineStr">
        <is>
          <t>mlb-cle</t>
        </is>
      </c>
      <c r="AT157" s="24" t="inlineStr">
        <is>
          <t>Cleveland Guardians</t>
        </is>
      </c>
      <c r="AU157" s="24" t="inlineStr">
        <is>
          <t>Cleveland Guardians</t>
        </is>
      </c>
      <c r="AV157" s="24" t="n"/>
      <c r="AW157" s="24" t="n"/>
      <c r="AX157" s="24" t="inlineStr">
        <is>
          <t>statistical_model</t>
        </is>
      </c>
      <c r="AY157" s="24" t="n"/>
      <c r="AZ157" s="24" t="inlineStr">
        <is>
          <t>research</t>
        </is>
      </c>
      <c r="BA157" s="24" t="inlineStr">
        <is>
          <t>8360b122264b796b0fb193095cfe4506c7e064e5f3f8c0a659aec41efd08dd25</t>
        </is>
      </c>
      <c r="BB157" s="24" t="inlineStr">
        <is>
          <t>flat_probability_shrinkage_toward_half</t>
        </is>
      </c>
      <c r="BC157" s="24" t="inlineStr">
        <is>
          <t>measured-edge-margin-v2</t>
        </is>
      </c>
      <c r="BD157" s="24" t="inlineStr">
        <is>
          <t>8360b122264b796b0fb193095cfe4506c7e064e5f3f8c0a659aec41efd08dd25</t>
        </is>
      </c>
      <c r="BE157" s="24" t="inlineStr">
        <is>
          <t>v3</t>
        </is>
      </c>
      <c r="BF157" s="24" t="inlineStr">
        <is>
          <t>1</t>
        </is>
      </c>
      <c r="BG157" s="24" t="inlineStr">
        <is>
          <t>measured-edge-paired-v1</t>
        </is>
      </c>
      <c r="BH157" s="24" t="inlineStr">
        <is>
          <t>2026-08-02T07:12:44.561466Z</t>
        </is>
      </c>
      <c r="BI157" s="24" t="inlineStr">
        <is>
          <t>["same_event","same_team_same_day","same_league_same_day"]</t>
        </is>
      </c>
      <c r="BJ157" s="25" t="n">
        <v>1.5</v>
      </c>
      <c r="BK157" s="26" t="n">
        <v>-160</v>
      </c>
      <c r="BL157" s="27" t="n">
        <v>1.625</v>
      </c>
      <c r="BM157" s="28" t="n">
        <v>0.615385</v>
      </c>
      <c r="BN157" s="28" t="n">
        <v>0.61194</v>
      </c>
      <c r="BO157" s="28" t="n"/>
      <c r="BP157" s="25" t="n"/>
      <c r="BQ157" s="27" t="n"/>
      <c r="BR157" s="28" t="n"/>
      <c r="BS157" s="28" t="n"/>
      <c r="BT157" s="28" t="n"/>
      <c r="BU157" s="25" t="n"/>
      <c r="BV157" s="29" t="n"/>
      <c r="BW157" s="24" t="n"/>
      <c r="BX157" s="30" t="n"/>
      <c r="BY157" s="27" t="n"/>
      <c r="BZ157" s="24" t="n"/>
      <c r="CA157" s="31" t="n"/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  <c r="CL157" s="24" t="n"/>
      <c r="CM157" s="24" t="n"/>
      <c r="CN157" s="24" t="n"/>
      <c r="CO157" s="24" t="n"/>
    </row>
    <row r="158" ht="36" customHeight="1">
      <c r="A158" s="24" t="inlineStr">
        <is>
          <t>ec055a248c144078</t>
        </is>
      </c>
      <c r="B158" s="24" t="inlineStr">
        <is>
          <t>2026-08-02T07:12:44.561466Z</t>
        </is>
      </c>
      <c r="C158" s="24" t="inlineStr">
        <is>
          <t>2026-08-02T17:40Z</t>
        </is>
      </c>
      <c r="D158" s="24" t="inlineStr">
        <is>
          <t>401816362</t>
        </is>
      </c>
      <c r="E158" s="24" t="inlineStr">
        <is>
          <t>MLB</t>
        </is>
      </c>
      <c r="F158" s="24" t="inlineStr">
        <is>
          <t>Arizona Diamondbacks</t>
        </is>
      </c>
      <c r="G158" s="24" t="inlineStr">
        <is>
          <t>Cleveland Guardians</t>
        </is>
      </c>
      <c r="H158" s="24" t="inlineStr">
        <is>
          <t>total</t>
        </is>
      </c>
      <c r="I158" s="24" t="inlineStr">
        <is>
          <t>over</t>
        </is>
      </c>
      <c r="J158" s="25" t="n">
        <v>7.5</v>
      </c>
      <c r="K158" s="24" t="inlineStr">
        <is>
          <t>polymarket_us</t>
        </is>
      </c>
      <c r="L158" s="26" t="n">
        <v>-117</v>
      </c>
      <c r="M158" s="27" t="n">
        <v>1.854701</v>
      </c>
      <c r="N158" s="28" t="n">
        <v>0.539171</v>
      </c>
      <c r="O158" s="28" t="n">
        <v>0.537268</v>
      </c>
      <c r="P158" s="28" t="n">
        <v>0.042131</v>
      </c>
      <c r="Q158" s="28" t="n">
        <v>-0.001903</v>
      </c>
      <c r="R158" s="26" t="n">
        <v>24</v>
      </c>
      <c r="S158" s="29" t="n">
        <v>1</v>
      </c>
      <c r="T158" s="24" t="inlineStr">
        <is>
          <t>measured-edge-totals-v2</t>
        </is>
      </c>
      <c r="U158" s="24" t="inlineStr">
        <is>
          <t>open</t>
        </is>
      </c>
      <c r="V158" s="24" t="n"/>
      <c r="W158" s="26" t="n"/>
      <c r="X158" s="26" t="n"/>
      <c r="Y158" s="25" t="n"/>
      <c r="Z158" s="26" t="n"/>
      <c r="AA158" s="28" t="n"/>
      <c r="AB158" s="28" t="n"/>
      <c r="AC158" s="30" t="n"/>
      <c r="AD158" s="24" t="n"/>
      <c r="AE158" s="31" t="inlineStr">
        <is>
          <t>Measured Edge Totals: Trend Engine projected 4.39-4.52; raw selected-side p=0.5858, calibrated p=0.5373.</t>
        </is>
      </c>
      <c r="AF158" s="31" t="inlineStr">
        <is>
          <t>Research-only; lineup, bullpen, park, weather, xFIP, and wRC+ may be neutral fallbacks; market availability and BBO depth may change before first pitch.</t>
        </is>
      </c>
      <c r="AG158" s="24" t="inlineStr">
        <is>
          <t>not_applicable</t>
        </is>
      </c>
      <c r="AH158" s="24" t="n"/>
      <c r="AI158" s="31" t="n"/>
      <c r="AJ158" s="31" t="n"/>
      <c r="AK158" s="24" t="inlineStr">
        <is>
          <t>research_observation</t>
        </is>
      </c>
      <c r="AL158" s="26" t="n">
        <v>3</v>
      </c>
      <c r="AM158" s="24" t="inlineStr">
        <is>
          <t>RESEARCH_OBSERVATION</t>
        </is>
      </c>
      <c r="AN158" s="24" t="inlineStr">
        <is>
          <t>NO_CALL</t>
        </is>
      </c>
      <c r="AO158" s="24" t="inlineStr">
        <is>
          <t>NO_CALL_MODEL_UNVALIDATED</t>
        </is>
      </c>
      <c r="AP158" s="24" t="inlineStr">
        <is>
          <t>mlb-ari</t>
        </is>
      </c>
      <c r="AQ158" s="24" t="inlineStr">
        <is>
          <t>Arizona Diamondbacks</t>
        </is>
      </c>
      <c r="AR158" s="24" t="inlineStr">
        <is>
          <t>Arizona Diamondbacks</t>
        </is>
      </c>
      <c r="AS158" s="24" t="inlineStr">
        <is>
          <t>mlb-cle</t>
        </is>
      </c>
      <c r="AT158" s="24" t="inlineStr">
        <is>
          <t>Cleveland Guardians</t>
        </is>
      </c>
      <c r="AU158" s="24" t="inlineStr">
        <is>
          <t>Cleveland Guardians</t>
        </is>
      </c>
      <c r="AV158" s="24" t="n"/>
      <c r="AW158" s="24" t="n"/>
      <c r="AX158" s="24" t="inlineStr">
        <is>
          <t>statistical_model</t>
        </is>
      </c>
      <c r="AY158" s="24" t="n"/>
      <c r="AZ158" s="24" t="inlineStr">
        <is>
          <t>research</t>
        </is>
      </c>
      <c r="BA158" s="24" t="inlineStr">
        <is>
          <t>433578016242b27f9c1c7132cc6b5a2bcc7dd1b0234590c12a944455a88e71bd</t>
        </is>
      </c>
      <c r="BB158" s="24" t="inlineStr">
        <is>
          <t>flat_probability_shrinkage_toward_half</t>
        </is>
      </c>
      <c r="BC158" s="24" t="inlineStr">
        <is>
          <t>measured-edge-totals-v2</t>
        </is>
      </c>
      <c r="BD158" s="24" t="inlineStr">
        <is>
          <t>433578016242b27f9c1c7132cc6b5a2bcc7dd1b0234590c12a944455a88e71bd</t>
        </is>
      </c>
      <c r="BE158" s="24" t="inlineStr">
        <is>
          <t>v3</t>
        </is>
      </c>
      <c r="BF158" s="24" t="inlineStr">
        <is>
          <t>1</t>
        </is>
      </c>
      <c r="BG158" s="24" t="inlineStr">
        <is>
          <t>measured-edge-paired-v1</t>
        </is>
      </c>
      <c r="BH158" s="24" t="inlineStr">
        <is>
          <t>2026-08-02T07:12:44.561466Z</t>
        </is>
      </c>
      <c r="BI158" s="24" t="inlineStr">
        <is>
          <t>["same_event","same_team_same_day","same_league_same_day"]</t>
        </is>
      </c>
      <c r="BJ158" s="25" t="n">
        <v>7.5</v>
      </c>
      <c r="BK158" s="26" t="n">
        <v>-117</v>
      </c>
      <c r="BL158" s="27" t="n">
        <v>1.854701</v>
      </c>
      <c r="BM158" s="28" t="n">
        <v>0.539171</v>
      </c>
      <c r="BN158" s="28" t="n">
        <v>0.537313</v>
      </c>
      <c r="BO158" s="28" t="n"/>
      <c r="BP158" s="25" t="n"/>
      <c r="BQ158" s="27" t="n"/>
      <c r="BR158" s="28" t="n"/>
      <c r="BS158" s="28" t="n"/>
      <c r="BT158" s="28" t="n"/>
      <c r="BU158" s="25" t="n"/>
      <c r="BV158" s="29" t="n"/>
      <c r="BW158" s="24" t="n"/>
      <c r="BX158" s="30" t="n"/>
      <c r="BY158" s="27" t="n"/>
      <c r="BZ158" s="24" t="n"/>
      <c r="CA158" s="31" t="n"/>
      <c r="CB158" s="24" t="n"/>
      <c r="CC158" s="24" t="n"/>
      <c r="CD158" s="24" t="n"/>
      <c r="CE158" s="24" t="n"/>
      <c r="CF158" s="24" t="n"/>
      <c r="CG158" s="24" t="n"/>
      <c r="CH158" s="24" t="n"/>
      <c r="CI158" s="24" t="n"/>
      <c r="CJ158" s="24" t="n"/>
      <c r="CK158" s="24" t="n"/>
      <c r="CL158" s="24" t="n"/>
      <c r="CM158" s="24" t="n"/>
      <c r="CN158" s="24" t="n"/>
      <c r="CO158" s="24" t="n"/>
    </row>
    <row r="159" ht="36" customHeight="1">
      <c r="A159" s="24" t="inlineStr">
        <is>
          <t>cca6c9c74ca340b5</t>
        </is>
      </c>
      <c r="B159" s="24" t="inlineStr">
        <is>
          <t>2026-08-02T07:12:44.561466Z</t>
        </is>
      </c>
      <c r="C159" s="24" t="inlineStr">
        <is>
          <t>2026-08-02T17:40Z</t>
        </is>
      </c>
      <c r="D159" s="24" t="inlineStr">
        <is>
          <t>401816363</t>
        </is>
      </c>
      <c r="E159" s="24" t="inlineStr">
        <is>
          <t>MLB</t>
        </is>
      </c>
      <c r="F159" s="24" t="inlineStr">
        <is>
          <t>Chicago White Sox</t>
        </is>
      </c>
      <c r="G159" s="24" t="inlineStr">
        <is>
          <t>Tampa Bay Rays</t>
        </is>
      </c>
      <c r="H159" s="24" t="inlineStr">
        <is>
          <t>spread</t>
        </is>
      </c>
      <c r="I159" s="24" t="inlineStr">
        <is>
          <t>away</t>
        </is>
      </c>
      <c r="J159" s="25" t="n">
        <v>1.5</v>
      </c>
      <c r="K159" s="24" t="inlineStr">
        <is>
          <t>polymarket_us</t>
        </is>
      </c>
      <c r="L159" s="26" t="n">
        <v>-160</v>
      </c>
      <c r="M159" s="27" t="n">
        <v>1.625</v>
      </c>
      <c r="N159" s="28" t="n">
        <v>0.615385</v>
      </c>
      <c r="O159" s="28" t="n">
        <v>0.602074</v>
      </c>
      <c r="P159" s="28" t="n">
        <v>0.042131</v>
      </c>
      <c r="Q159" s="28" t="n">
        <v>-0.013311</v>
      </c>
      <c r="R159" s="26" t="n">
        <v>18</v>
      </c>
      <c r="S159" s="29" t="n">
        <v>1.5</v>
      </c>
      <c r="T159" s="24" t="inlineStr">
        <is>
          <t>measured-edge-margin-v2</t>
        </is>
      </c>
      <c r="U159" s="24" t="inlineStr">
        <is>
          <t>open</t>
        </is>
      </c>
      <c r="V159" s="24" t="n"/>
      <c r="W159" s="26" t="n"/>
      <c r="X159" s="26" t="n"/>
      <c r="Y159" s="25" t="n"/>
      <c r="Z159" s="26" t="n"/>
      <c r="AA159" s="28" t="n"/>
      <c r="AB159" s="28" t="n"/>
      <c r="AC159" s="30" t="n"/>
      <c r="AD159" s="24" t="n"/>
      <c r="AE159" s="31" t="inlineStr">
        <is>
          <t>Measured Edge Margin: Trend Engine projected 4.47-4.63; raw selected-side p=0.6555, calibrated p=0.6021.</t>
        </is>
      </c>
      <c r="AF159" s="31" t="inlineStr">
        <is>
          <t>Research-only; lineup, bullpen, park, weather, xFIP, and wRC+ may be neutral fallbacks; market availability and BBO depth may change before first pitch.</t>
        </is>
      </c>
      <c r="AG159" s="24" t="inlineStr">
        <is>
          <t>not_applicable</t>
        </is>
      </c>
      <c r="AH159" s="24" t="n"/>
      <c r="AI159" s="31" t="n"/>
      <c r="AJ159" s="31" t="n"/>
      <c r="AK159" s="24" t="inlineStr">
        <is>
          <t>research_observation</t>
        </is>
      </c>
      <c r="AL159" s="26" t="n">
        <v>3</v>
      </c>
      <c r="AM159" s="24" t="inlineStr">
        <is>
          <t>RESEARCH_OBSERVATION</t>
        </is>
      </c>
      <c r="AN159" s="24" t="inlineStr">
        <is>
          <t>NO_CALL</t>
        </is>
      </c>
      <c r="AO159" s="24" t="inlineStr">
        <is>
          <t>NO_CALL_MODEL_UNVALIDATED</t>
        </is>
      </c>
      <c r="AP159" s="24" t="inlineStr">
        <is>
          <t>mlb-cws</t>
        </is>
      </c>
      <c r="AQ159" s="24" t="inlineStr">
        <is>
          <t>Chicago White Sox</t>
        </is>
      </c>
      <c r="AR159" s="24" t="inlineStr">
        <is>
          <t>Chicago White Sox</t>
        </is>
      </c>
      <c r="AS159" s="24" t="inlineStr">
        <is>
          <t>mlb-tb</t>
        </is>
      </c>
      <c r="AT159" s="24" t="inlineStr">
        <is>
          <t>Tampa Bay Rays</t>
        </is>
      </c>
      <c r="AU159" s="24" t="inlineStr">
        <is>
          <t>Tampa Bay Rays</t>
        </is>
      </c>
      <c r="AV159" s="24" t="n"/>
      <c r="AW159" s="24" t="n"/>
      <c r="AX159" s="24" t="inlineStr">
        <is>
          <t>statistical_model</t>
        </is>
      </c>
      <c r="AY159" s="24" t="n"/>
      <c r="AZ159" s="24" t="inlineStr">
        <is>
          <t>research</t>
        </is>
      </c>
      <c r="BA159" s="24" t="inlineStr">
        <is>
          <t>8360b122264b796b0fb193095cfe4506c7e064e5f3f8c0a659aec41efd08dd25</t>
        </is>
      </c>
      <c r="BB159" s="24" t="inlineStr">
        <is>
          <t>flat_probability_shrinkage_toward_half</t>
        </is>
      </c>
      <c r="BC159" s="24" t="inlineStr">
        <is>
          <t>measured-edge-margin-v2</t>
        </is>
      </c>
      <c r="BD159" s="24" t="inlineStr">
        <is>
          <t>8360b122264b796b0fb193095cfe4506c7e064e5f3f8c0a659aec41efd08dd25</t>
        </is>
      </c>
      <c r="BE159" s="24" t="inlineStr">
        <is>
          <t>v3</t>
        </is>
      </c>
      <c r="BF159" s="24" t="inlineStr">
        <is>
          <t>1</t>
        </is>
      </c>
      <c r="BG159" s="24" t="inlineStr">
        <is>
          <t>measured-edge-paired-v1</t>
        </is>
      </c>
      <c r="BH159" s="24" t="inlineStr">
        <is>
          <t>2026-08-02T07:12:44.561466Z</t>
        </is>
      </c>
      <c r="BI159" s="24" t="inlineStr">
        <is>
          <t>["same_event","same_team_same_day","same_league_same_day"]</t>
        </is>
      </c>
      <c r="BJ159" s="25" t="n">
        <v>1.5</v>
      </c>
      <c r="BK159" s="26" t="n">
        <v>-160</v>
      </c>
      <c r="BL159" s="27" t="n">
        <v>1.625</v>
      </c>
      <c r="BM159" s="28" t="n">
        <v>0.615385</v>
      </c>
      <c r="BN159" s="28" t="n">
        <v>0.61194</v>
      </c>
      <c r="BO159" s="28" t="n"/>
      <c r="BP159" s="25" t="n"/>
      <c r="BQ159" s="27" t="n"/>
      <c r="BR159" s="28" t="n"/>
      <c r="BS159" s="28" t="n"/>
      <c r="BT159" s="28" t="n"/>
      <c r="BU159" s="25" t="n"/>
      <c r="BV159" s="29" t="n"/>
      <c r="BW159" s="24" t="n"/>
      <c r="BX159" s="30" t="n"/>
      <c r="BY159" s="27" t="n"/>
      <c r="BZ159" s="24" t="n"/>
      <c r="CA159" s="31" t="n"/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  <c r="CL159" s="24" t="n"/>
      <c r="CM159" s="24" t="n"/>
      <c r="CN159" s="24" t="n"/>
      <c r="CO159" s="24" t="n"/>
    </row>
    <row r="160" ht="36" customHeight="1">
      <c r="A160" s="24" t="inlineStr">
        <is>
          <t>f10621d536a646e7</t>
        </is>
      </c>
      <c r="B160" s="24" t="inlineStr">
        <is>
          <t>2026-08-02T07:12:44.561466Z</t>
        </is>
      </c>
      <c r="C160" s="24" t="inlineStr">
        <is>
          <t>2026-08-02T17:40Z</t>
        </is>
      </c>
      <c r="D160" s="24" t="inlineStr">
        <is>
          <t>401816363</t>
        </is>
      </c>
      <c r="E160" s="24" t="inlineStr">
        <is>
          <t>MLB</t>
        </is>
      </c>
      <c r="F160" s="24" t="inlineStr">
        <is>
          <t>Chicago White Sox</t>
        </is>
      </c>
      <c r="G160" s="24" t="inlineStr">
        <is>
          <t>Tampa Bay Rays</t>
        </is>
      </c>
      <c r="H160" s="24" t="inlineStr">
        <is>
          <t>total</t>
        </is>
      </c>
      <c r="I160" s="24" t="inlineStr">
        <is>
          <t>over</t>
        </is>
      </c>
      <c r="J160" s="25" t="n">
        <v>7.5</v>
      </c>
      <c r="K160" s="24" t="inlineStr">
        <is>
          <t>polymarket_us</t>
        </is>
      </c>
      <c r="L160" s="26" t="n">
        <v>-106</v>
      </c>
      <c r="M160" s="27" t="n">
        <v>1.943396</v>
      </c>
      <c r="N160" s="28" t="n">
        <v>0.514563</v>
      </c>
      <c r="O160" s="28" t="n">
        <v>0.539233</v>
      </c>
      <c r="P160" s="28" t="n">
        <v>0.042131</v>
      </c>
      <c r="Q160" s="28" t="n">
        <v>0.02467</v>
      </c>
      <c r="R160" s="26" t="n">
        <v>37</v>
      </c>
      <c r="S160" s="29" t="n">
        <v>1</v>
      </c>
      <c r="T160" s="24" t="inlineStr">
        <is>
          <t>measured-edge-totals-v2</t>
        </is>
      </c>
      <c r="U160" s="24" t="inlineStr">
        <is>
          <t>open</t>
        </is>
      </c>
      <c r="V160" s="24" t="n"/>
      <c r="W160" s="26" t="n"/>
      <c r="X160" s="26" t="n"/>
      <c r="Y160" s="25" t="n"/>
      <c r="Z160" s="26" t="n"/>
      <c r="AA160" s="28" t="n"/>
      <c r="AB160" s="28" t="n"/>
      <c r="AC160" s="30" t="n"/>
      <c r="AD160" s="24" t="n"/>
      <c r="AE160" s="31" t="inlineStr">
        <is>
          <t>Measured Edge Totals: Trend Engine projected 4.47-4.63; raw selected-side p=0.5916, calibrated p=0.5392.</t>
        </is>
      </c>
      <c r="AF160" s="31" t="inlineStr">
        <is>
          <t>Research-only; lineup, bullpen, park, weather, xFIP, and wRC+ may be neutral fallbacks; market availability and BBO depth may change before first pitch.</t>
        </is>
      </c>
      <c r="AG160" s="24" t="inlineStr">
        <is>
          <t>not_applicable</t>
        </is>
      </c>
      <c r="AH160" s="24" t="n"/>
      <c r="AI160" s="31" t="n"/>
      <c r="AJ160" s="31" t="n"/>
      <c r="AK160" s="24" t="inlineStr">
        <is>
          <t>research_observation</t>
        </is>
      </c>
      <c r="AL160" s="26" t="n">
        <v>3</v>
      </c>
      <c r="AM160" s="24" t="inlineStr">
        <is>
          <t>RESEARCH_OBSERVATION</t>
        </is>
      </c>
      <c r="AN160" s="24" t="inlineStr">
        <is>
          <t>NO_CALL</t>
        </is>
      </c>
      <c r="AO160" s="24" t="inlineStr">
        <is>
          <t>NO_CALL_MODEL_UNVALIDATED</t>
        </is>
      </c>
      <c r="AP160" s="24" t="inlineStr">
        <is>
          <t>mlb-cws</t>
        </is>
      </c>
      <c r="AQ160" s="24" t="inlineStr">
        <is>
          <t>Chicago White Sox</t>
        </is>
      </c>
      <c r="AR160" s="24" t="inlineStr">
        <is>
          <t>Chicago White Sox</t>
        </is>
      </c>
      <c r="AS160" s="24" t="inlineStr">
        <is>
          <t>mlb-tb</t>
        </is>
      </c>
      <c r="AT160" s="24" t="inlineStr">
        <is>
          <t>Tampa Bay Rays</t>
        </is>
      </c>
      <c r="AU160" s="24" t="inlineStr">
        <is>
          <t>Tampa Bay Rays</t>
        </is>
      </c>
      <c r="AV160" s="24" t="n"/>
      <c r="AW160" s="24" t="n"/>
      <c r="AX160" s="24" t="inlineStr">
        <is>
          <t>statistical_model</t>
        </is>
      </c>
      <c r="AY160" s="24" t="n"/>
      <c r="AZ160" s="24" t="inlineStr">
        <is>
          <t>research</t>
        </is>
      </c>
      <c r="BA160" s="24" t="inlineStr">
        <is>
          <t>433578016242b27f9c1c7132cc6b5a2bcc7dd1b0234590c12a944455a88e71bd</t>
        </is>
      </c>
      <c r="BB160" s="24" t="inlineStr">
        <is>
          <t>flat_probability_shrinkage_toward_half</t>
        </is>
      </c>
      <c r="BC160" s="24" t="inlineStr">
        <is>
          <t>measured-edge-totals-v2</t>
        </is>
      </c>
      <c r="BD160" s="24" t="inlineStr">
        <is>
          <t>433578016242b27f9c1c7132cc6b5a2bcc7dd1b0234590c12a944455a88e71bd</t>
        </is>
      </c>
      <c r="BE160" s="24" t="inlineStr">
        <is>
          <t>v3</t>
        </is>
      </c>
      <c r="BF160" s="24" t="inlineStr">
        <is>
          <t>1</t>
        </is>
      </c>
      <c r="BG160" s="24" t="inlineStr">
        <is>
          <t>measured-edge-paired-v1</t>
        </is>
      </c>
      <c r="BH160" s="24" t="inlineStr">
        <is>
          <t>2026-08-02T07:12:44.561466Z</t>
        </is>
      </c>
      <c r="BI160" s="24" t="inlineStr">
        <is>
          <t>["same_event","same_team_same_day","same_league_same_day"]</t>
        </is>
      </c>
      <c r="BJ160" s="25" t="n">
        <v>7.5</v>
      </c>
      <c r="BK160" s="26" t="n">
        <v>-106</v>
      </c>
      <c r="BL160" s="27" t="n">
        <v>1.943396</v>
      </c>
      <c r="BM160" s="28" t="n">
        <v>0.514563</v>
      </c>
      <c r="BN160" s="28" t="n">
        <v>0.5124379999999999</v>
      </c>
      <c r="BO160" s="28" t="n"/>
      <c r="BP160" s="25" t="n"/>
      <c r="BQ160" s="27" t="n"/>
      <c r="BR160" s="28" t="n"/>
      <c r="BS160" s="28" t="n"/>
      <c r="BT160" s="28" t="n"/>
      <c r="BU160" s="25" t="n"/>
      <c r="BV160" s="29" t="n"/>
      <c r="BW160" s="24" t="n"/>
      <c r="BX160" s="30" t="n"/>
      <c r="BY160" s="27" t="n"/>
      <c r="BZ160" s="24" t="n"/>
      <c r="CA160" s="31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</row>
    <row r="161" ht="36" customHeight="1">
      <c r="A161" s="24" t="inlineStr">
        <is>
          <t>6c28ba57551a4fd0</t>
        </is>
      </c>
      <c r="B161" s="24" t="inlineStr">
        <is>
          <t>2026-08-02T07:12:44.561466Z</t>
        </is>
      </c>
      <c r="C161" s="24" t="inlineStr">
        <is>
          <t>2026-08-02T17:40Z</t>
        </is>
      </c>
      <c r="D161" s="24" t="inlineStr">
        <is>
          <t>401816364</t>
        </is>
      </c>
      <c r="E161" s="24" t="inlineStr">
        <is>
          <t>MLB</t>
        </is>
      </c>
      <c r="F161" s="24" t="inlineStr">
        <is>
          <t>Miami Marlins</t>
        </is>
      </c>
      <c r="G161" s="24" t="inlineStr">
        <is>
          <t>New York Mets</t>
        </is>
      </c>
      <c r="H161" s="24" t="inlineStr">
        <is>
          <t>spread</t>
        </is>
      </c>
      <c r="I161" s="24" t="inlineStr">
        <is>
          <t>home</t>
        </is>
      </c>
      <c r="J161" s="25" t="n">
        <v>1.5</v>
      </c>
      <c r="K161" s="24" t="inlineStr">
        <is>
          <t>polymarket_us</t>
        </is>
      </c>
      <c r="L161" s="26" t="n">
        <v>-150</v>
      </c>
      <c r="M161" s="27" t="n">
        <v>1.666667</v>
      </c>
      <c r="N161" s="28" t="n">
        <v>0.6</v>
      </c>
      <c r="O161" s="28" t="n">
        <v>0.611325</v>
      </c>
      <c r="P161" s="28" t="n">
        <v>0.05172</v>
      </c>
      <c r="Q161" s="28" t="n">
        <v>0.011325</v>
      </c>
      <c r="R161" s="26" t="n">
        <v>25</v>
      </c>
      <c r="S161" s="29" t="n">
        <v>1.5</v>
      </c>
      <c r="T161" s="24" t="inlineStr">
        <is>
          <t>measured-edge-margin-v2</t>
        </is>
      </c>
      <c r="U161" s="24" t="inlineStr">
        <is>
          <t>open</t>
        </is>
      </c>
      <c r="V161" s="24" t="n"/>
      <c r="W161" s="26" t="n"/>
      <c r="X161" s="26" t="n"/>
      <c r="Y161" s="25" t="n"/>
      <c r="Z161" s="26" t="n"/>
      <c r="AA161" s="28" t="n"/>
      <c r="AB161" s="28" t="n"/>
      <c r="AC161" s="30" t="n"/>
      <c r="AD161" s="24" t="n"/>
      <c r="AE161" s="31" t="inlineStr">
        <is>
          <t>Measured Edge Margin: Trend Engine projected 4.52-4.47; raw selected-side p=0.6696, calibrated p=0.6113.</t>
        </is>
      </c>
      <c r="AF161" s="31" t="inlineStr">
        <is>
          <t>Research-only; lineup, bullpen, park, weather, xFIP, and wRC+ may be neutral fallbacks; market availability and BBO depth may change before first pitch.</t>
        </is>
      </c>
      <c r="AG161" s="24" t="inlineStr">
        <is>
          <t>not_applicable</t>
        </is>
      </c>
      <c r="AH161" s="24" t="n"/>
      <c r="AI161" s="31" t="n"/>
      <c r="AJ161" s="31" t="n"/>
      <c r="AK161" s="24" t="inlineStr">
        <is>
          <t>research_observation</t>
        </is>
      </c>
      <c r="AL161" s="26" t="n">
        <v>3</v>
      </c>
      <c r="AM161" s="24" t="inlineStr">
        <is>
          <t>RESEARCH_OBSERVATION</t>
        </is>
      </c>
      <c r="AN161" s="24" t="inlineStr">
        <is>
          <t>NO_CALL</t>
        </is>
      </c>
      <c r="AO161" s="24" t="inlineStr">
        <is>
          <t>NO_CALL_MODEL_UNVALIDATED</t>
        </is>
      </c>
      <c r="AP161" s="24" t="inlineStr">
        <is>
          <t>mlb-mia</t>
        </is>
      </c>
      <c r="AQ161" s="24" t="inlineStr">
        <is>
          <t>Miami Marlins</t>
        </is>
      </c>
      <c r="AR161" s="24" t="inlineStr">
        <is>
          <t>Miami Marlins</t>
        </is>
      </c>
      <c r="AS161" s="24" t="inlineStr">
        <is>
          <t>mlb-nym</t>
        </is>
      </c>
      <c r="AT161" s="24" t="inlineStr">
        <is>
          <t>New York Mets</t>
        </is>
      </c>
      <c r="AU161" s="24" t="inlineStr">
        <is>
          <t>New York Mets</t>
        </is>
      </c>
      <c r="AV161" s="24" t="n"/>
      <c r="AW161" s="24" t="n"/>
      <c r="AX161" s="24" t="inlineStr">
        <is>
          <t>statistical_model</t>
        </is>
      </c>
      <c r="AY161" s="24" t="n"/>
      <c r="AZ161" s="24" t="inlineStr">
        <is>
          <t>research</t>
        </is>
      </c>
      <c r="BA161" s="24" t="inlineStr">
        <is>
          <t>8360b122264b796b0fb193095cfe4506c7e064e5f3f8c0a659aec41efd08dd25</t>
        </is>
      </c>
      <c r="BB161" s="24" t="inlineStr">
        <is>
          <t>flat_probability_shrinkage_toward_half</t>
        </is>
      </c>
      <c r="BC161" s="24" t="inlineStr">
        <is>
          <t>measured-edge-margin-v2</t>
        </is>
      </c>
      <c r="BD161" s="24" t="inlineStr">
        <is>
          <t>8360b122264b796b0fb193095cfe4506c7e064e5f3f8c0a659aec41efd08dd25</t>
        </is>
      </c>
      <c r="BE161" s="24" t="inlineStr">
        <is>
          <t>v3</t>
        </is>
      </c>
      <c r="BF161" s="24" t="inlineStr">
        <is>
          <t>1</t>
        </is>
      </c>
      <c r="BG161" s="24" t="inlineStr">
        <is>
          <t>measured-edge-paired-v1</t>
        </is>
      </c>
      <c r="BH161" s="24" t="inlineStr">
        <is>
          <t>2026-08-02T07:12:44.561466Z</t>
        </is>
      </c>
      <c r="BI161" s="24" t="inlineStr">
        <is>
          <t>["same_event","same_team_same_day","same_league_same_day"]</t>
        </is>
      </c>
      <c r="BJ161" s="25" t="n">
        <v>1.5</v>
      </c>
      <c r="BK161" s="26" t="n">
        <v>-150</v>
      </c>
      <c r="BL161" s="27" t="n">
        <v>1.666667</v>
      </c>
      <c r="BM161" s="28" t="n">
        <v>0.6</v>
      </c>
      <c r="BN161" s="28" t="n">
        <v>0.597015</v>
      </c>
      <c r="BO161" s="28" t="n"/>
      <c r="BP161" s="25" t="n"/>
      <c r="BQ161" s="27" t="n"/>
      <c r="BR161" s="28" t="n"/>
      <c r="BS161" s="28" t="n"/>
      <c r="BT161" s="28" t="n"/>
      <c r="BU161" s="25" t="n"/>
      <c r="BV161" s="29" t="n"/>
      <c r="BW161" s="24" t="n"/>
      <c r="BX161" s="30" t="n"/>
      <c r="BY161" s="27" t="n"/>
      <c r="BZ161" s="24" t="n"/>
      <c r="CA161" s="31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24" t="n"/>
      <c r="CN161" s="24" t="n"/>
      <c r="CO161" s="24" t="n"/>
    </row>
    <row r="162" ht="36" customHeight="1">
      <c r="A162" s="24" t="inlineStr">
        <is>
          <t>7806dcc79f0e44d9</t>
        </is>
      </c>
      <c r="B162" s="24" t="inlineStr">
        <is>
          <t>2026-08-02T07:12:44.561466Z</t>
        </is>
      </c>
      <c r="C162" s="24" t="inlineStr">
        <is>
          <t>2026-08-02T17:40Z</t>
        </is>
      </c>
      <c r="D162" s="24" t="inlineStr">
        <is>
          <t>401816364</t>
        </is>
      </c>
      <c r="E162" s="24" t="inlineStr">
        <is>
          <t>MLB</t>
        </is>
      </c>
      <c r="F162" s="24" t="inlineStr">
        <is>
          <t>Miami Marlins</t>
        </is>
      </c>
      <c r="G162" s="24" t="inlineStr">
        <is>
          <t>New York Mets</t>
        </is>
      </c>
      <c r="H162" s="24" t="inlineStr">
        <is>
          <t>total</t>
        </is>
      </c>
      <c r="I162" s="24" t="inlineStr">
        <is>
          <t>over</t>
        </is>
      </c>
      <c r="J162" s="25" t="n">
        <v>8.5</v>
      </c>
      <c r="K162" s="24" t="inlineStr">
        <is>
          <t>polymarket_us</t>
        </is>
      </c>
      <c r="L162" s="26" t="n">
        <v>-111</v>
      </c>
      <c r="M162" s="27" t="n">
        <v>1.900901</v>
      </c>
      <c r="N162" s="28" t="n">
        <v>0.526066</v>
      </c>
      <c r="O162" s="28" t="n">
        <v>0.51287</v>
      </c>
      <c r="P162" s="28" t="n">
        <v>0.05172</v>
      </c>
      <c r="Q162" s="28" t="n">
        <v>-0.013196</v>
      </c>
      <c r="R162" s="26" t="n">
        <v>12</v>
      </c>
      <c r="S162" s="29" t="n">
        <v>1</v>
      </c>
      <c r="T162" s="24" t="inlineStr">
        <is>
          <t>measured-edge-totals-v2</t>
        </is>
      </c>
      <c r="U162" s="24" t="inlineStr">
        <is>
          <t>open</t>
        </is>
      </c>
      <c r="V162" s="24" t="n"/>
      <c r="W162" s="26" t="n"/>
      <c r="X162" s="26" t="n"/>
      <c r="Y162" s="25" t="n"/>
      <c r="Z162" s="26" t="n"/>
      <c r="AA162" s="28" t="n"/>
      <c r="AB162" s="28" t="n"/>
      <c r="AC162" s="30" t="n"/>
      <c r="AD162" s="24" t="n"/>
      <c r="AE162" s="31" t="inlineStr">
        <is>
          <t>Measured Edge Totals: Trend Engine projected 4.52-4.47; raw selected-side p=0.5144, calibrated p=0.5129.</t>
        </is>
      </c>
      <c r="AF162" s="31" t="inlineStr">
        <is>
          <t>Research-only; lineup, bullpen, park, weather, xFIP, and wRC+ may be neutral fallbacks; market availability and BBO depth may change before first pitch.</t>
        </is>
      </c>
      <c r="AG162" s="24" t="inlineStr">
        <is>
          <t>not_applicable</t>
        </is>
      </c>
      <c r="AH162" s="24" t="n"/>
      <c r="AI162" s="31" t="n"/>
      <c r="AJ162" s="31" t="n"/>
      <c r="AK162" s="24" t="inlineStr">
        <is>
          <t>research_observation</t>
        </is>
      </c>
      <c r="AL162" s="26" t="n">
        <v>3</v>
      </c>
      <c r="AM162" s="24" t="inlineStr">
        <is>
          <t>RESEARCH_OBSERVATION</t>
        </is>
      </c>
      <c r="AN162" s="24" t="inlineStr">
        <is>
          <t>NO_CALL</t>
        </is>
      </c>
      <c r="AO162" s="24" t="inlineStr">
        <is>
          <t>NO_CALL_MODEL_UNVALIDATED</t>
        </is>
      </c>
      <c r="AP162" s="24" t="inlineStr">
        <is>
          <t>mlb-mia</t>
        </is>
      </c>
      <c r="AQ162" s="24" t="inlineStr">
        <is>
          <t>Miami Marlins</t>
        </is>
      </c>
      <c r="AR162" s="24" t="inlineStr">
        <is>
          <t>Miami Marlins</t>
        </is>
      </c>
      <c r="AS162" s="24" t="inlineStr">
        <is>
          <t>mlb-nym</t>
        </is>
      </c>
      <c r="AT162" s="24" t="inlineStr">
        <is>
          <t>New York Mets</t>
        </is>
      </c>
      <c r="AU162" s="24" t="inlineStr">
        <is>
          <t>New York Mets</t>
        </is>
      </c>
      <c r="AV162" s="24" t="n"/>
      <c r="AW162" s="24" t="n"/>
      <c r="AX162" s="24" t="inlineStr">
        <is>
          <t>statistical_model</t>
        </is>
      </c>
      <c r="AY162" s="24" t="n"/>
      <c r="AZ162" s="24" t="inlineStr">
        <is>
          <t>research</t>
        </is>
      </c>
      <c r="BA162" s="24" t="inlineStr">
        <is>
          <t>433578016242b27f9c1c7132cc6b5a2bcc7dd1b0234590c12a944455a88e71bd</t>
        </is>
      </c>
      <c r="BB162" s="24" t="inlineStr">
        <is>
          <t>flat_probability_shrinkage_toward_half</t>
        </is>
      </c>
      <c r="BC162" s="24" t="inlineStr">
        <is>
          <t>measured-edge-totals-v2</t>
        </is>
      </c>
      <c r="BD162" s="24" t="inlineStr">
        <is>
          <t>433578016242b27f9c1c7132cc6b5a2bcc7dd1b0234590c12a944455a88e71bd</t>
        </is>
      </c>
      <c r="BE162" s="24" t="inlineStr">
        <is>
          <t>v3</t>
        </is>
      </c>
      <c r="BF162" s="24" t="inlineStr">
        <is>
          <t>1</t>
        </is>
      </c>
      <c r="BG162" s="24" t="inlineStr">
        <is>
          <t>measured-edge-paired-v1</t>
        </is>
      </c>
      <c r="BH162" s="24" t="inlineStr">
        <is>
          <t>2026-08-02T07:12:44.561466Z</t>
        </is>
      </c>
      <c r="BI162" s="24" t="inlineStr">
        <is>
          <t>["same_event","same_team_same_day","same_league_same_day"]</t>
        </is>
      </c>
      <c r="BJ162" s="25" t="n">
        <v>8.5</v>
      </c>
      <c r="BK162" s="26" t="n">
        <v>-111</v>
      </c>
      <c r="BL162" s="27" t="n">
        <v>1.900901</v>
      </c>
      <c r="BM162" s="28" t="n">
        <v>0.526066</v>
      </c>
      <c r="BN162" s="28" t="n">
        <v>0.522388</v>
      </c>
      <c r="BO162" s="28" t="n"/>
      <c r="BP162" s="25" t="n"/>
      <c r="BQ162" s="27" t="n"/>
      <c r="BR162" s="28" t="n"/>
      <c r="BS162" s="28" t="n"/>
      <c r="BT162" s="28" t="n"/>
      <c r="BU162" s="25" t="n"/>
      <c r="BV162" s="29" t="n"/>
      <c r="BW162" s="24" t="n"/>
      <c r="BX162" s="30" t="n"/>
      <c r="BY162" s="27" t="n"/>
      <c r="BZ162" s="24" t="n"/>
      <c r="CA162" s="31" t="n"/>
      <c r="CB162" s="24" t="n"/>
      <c r="CC162" s="24" t="n"/>
      <c r="CD162" s="24" t="n"/>
      <c r="CE162" s="24" t="n"/>
      <c r="CF162" s="24" t="n"/>
      <c r="CG162" s="24" t="n"/>
      <c r="CH162" s="24" t="n"/>
      <c r="CI162" s="24" t="n"/>
      <c r="CJ162" s="24" t="n"/>
      <c r="CK162" s="24" t="n"/>
      <c r="CL162" s="24" t="n"/>
      <c r="CM162" s="24" t="n"/>
      <c r="CN162" s="24" t="n"/>
      <c r="CO162" s="24" t="n"/>
    </row>
    <row r="163" ht="36" customHeight="1">
      <c r="A163" s="24" t="inlineStr">
        <is>
          <t>a362b4c4fdc84417</t>
        </is>
      </c>
      <c r="B163" s="24" t="inlineStr">
        <is>
          <t>2026-08-02T07:12:44.561466Z</t>
        </is>
      </c>
      <c r="C163" s="24" t="inlineStr">
        <is>
          <t>2026-08-02T17:40Z</t>
        </is>
      </c>
      <c r="D163" s="24" t="inlineStr">
        <is>
          <t>401816366</t>
        </is>
      </c>
      <c r="E163" s="24" t="inlineStr">
        <is>
          <t>MLB</t>
        </is>
      </c>
      <c r="F163" s="24" t="inlineStr">
        <is>
          <t>Pittsburgh Pirates</t>
        </is>
      </c>
      <c r="G163" s="24" t="inlineStr">
        <is>
          <t>Cincinnati Reds</t>
        </is>
      </c>
      <c r="H163" s="24" t="inlineStr">
        <is>
          <t>spread</t>
        </is>
      </c>
      <c r="I163" s="24" t="inlineStr">
        <is>
          <t>away</t>
        </is>
      </c>
      <c r="J163" s="25" t="n">
        <v>1.5</v>
      </c>
      <c r="K163" s="24" t="inlineStr">
        <is>
          <t>polymarket_us</t>
        </is>
      </c>
      <c r="L163" s="26" t="n">
        <v>-150</v>
      </c>
      <c r="M163" s="27" t="n">
        <v>1.666667</v>
      </c>
      <c r="N163" s="28" t="n">
        <v>0.6</v>
      </c>
      <c r="O163" s="28" t="n">
        <v>0.57537</v>
      </c>
      <c r="P163" s="28" t="n">
        <v>0.042131</v>
      </c>
      <c r="Q163" s="28" t="n">
        <v>-0.02463</v>
      </c>
      <c r="R163" s="26" t="n">
        <v>12</v>
      </c>
      <c r="S163" s="29" t="n">
        <v>1.25</v>
      </c>
      <c r="T163" s="24" t="inlineStr">
        <is>
          <t>measured-edge-margin-v2</t>
        </is>
      </c>
      <c r="U163" s="24" t="inlineStr">
        <is>
          <t>open</t>
        </is>
      </c>
      <c r="V163" s="24" t="n"/>
      <c r="W163" s="26" t="n"/>
      <c r="X163" s="26" t="n"/>
      <c r="Y163" s="25" t="n"/>
      <c r="Z163" s="26" t="n"/>
      <c r="AA163" s="28" t="n"/>
      <c r="AB163" s="28" t="n"/>
      <c r="AC163" s="30" t="n"/>
      <c r="AD163" s="24" t="n"/>
      <c r="AE163" s="31" t="inlineStr">
        <is>
          <t>Measured Edge Margin: Trend Engine projected 4.31-4.86; raw selected-side p=0.6148, calibrated p=0.5754.</t>
        </is>
      </c>
      <c r="AF163" s="31" t="inlineStr">
        <is>
          <t>Research-only; lineup, bullpen, park, weather, xFIP, and wRC+ may be neutral fallbacks; market availability and BBO depth may change before first pitch.</t>
        </is>
      </c>
      <c r="AG163" s="24" t="inlineStr">
        <is>
          <t>not_applicable</t>
        </is>
      </c>
      <c r="AH163" s="24" t="n"/>
      <c r="AI163" s="31" t="n"/>
      <c r="AJ163" s="31" t="n"/>
      <c r="AK163" s="24" t="inlineStr">
        <is>
          <t>research_observation</t>
        </is>
      </c>
      <c r="AL163" s="26" t="n">
        <v>3</v>
      </c>
      <c r="AM163" s="24" t="inlineStr">
        <is>
          <t>RESEARCH_OBSERVATION</t>
        </is>
      </c>
      <c r="AN163" s="24" t="inlineStr">
        <is>
          <t>NO_CALL</t>
        </is>
      </c>
      <c r="AO163" s="24" t="inlineStr">
        <is>
          <t>NO_CALL_MODEL_UNVALIDATED</t>
        </is>
      </c>
      <c r="AP163" s="24" t="inlineStr">
        <is>
          <t>mlb-pit</t>
        </is>
      </c>
      <c r="AQ163" s="24" t="inlineStr">
        <is>
          <t>Pittsburgh Pirates</t>
        </is>
      </c>
      <c r="AR163" s="24" t="inlineStr">
        <is>
          <t>Pittsburgh Pirates</t>
        </is>
      </c>
      <c r="AS163" s="24" t="inlineStr">
        <is>
          <t>mlb-cin</t>
        </is>
      </c>
      <c r="AT163" s="24" t="inlineStr">
        <is>
          <t>Cincinnati Reds</t>
        </is>
      </c>
      <c r="AU163" s="24" t="inlineStr">
        <is>
          <t>Cincinnati Reds</t>
        </is>
      </c>
      <c r="AV163" s="24" t="n"/>
      <c r="AW163" s="24" t="n"/>
      <c r="AX163" s="24" t="inlineStr">
        <is>
          <t>statistical_model</t>
        </is>
      </c>
      <c r="AY163" s="24" t="n"/>
      <c r="AZ163" s="24" t="inlineStr">
        <is>
          <t>research</t>
        </is>
      </c>
      <c r="BA163" s="24" t="inlineStr">
        <is>
          <t>8360b122264b796b0fb193095cfe4506c7e064e5f3f8c0a659aec41efd08dd25</t>
        </is>
      </c>
      <c r="BB163" s="24" t="inlineStr">
        <is>
          <t>flat_probability_shrinkage_toward_half</t>
        </is>
      </c>
      <c r="BC163" s="24" t="inlineStr">
        <is>
          <t>measured-edge-margin-v2</t>
        </is>
      </c>
      <c r="BD163" s="24" t="inlineStr">
        <is>
          <t>8360b122264b796b0fb193095cfe4506c7e064e5f3f8c0a659aec41efd08dd25</t>
        </is>
      </c>
      <c r="BE163" s="24" t="inlineStr">
        <is>
          <t>v3</t>
        </is>
      </c>
      <c r="BF163" s="24" t="inlineStr">
        <is>
          <t>1</t>
        </is>
      </c>
      <c r="BG163" s="24" t="inlineStr">
        <is>
          <t>measured-edge-paired-v1</t>
        </is>
      </c>
      <c r="BH163" s="24" t="inlineStr">
        <is>
          <t>2026-08-02T07:12:44.561466Z</t>
        </is>
      </c>
      <c r="BI163" s="24" t="inlineStr">
        <is>
          <t>["same_event","same_team_same_day","same_league_same_day"]</t>
        </is>
      </c>
      <c r="BJ163" s="25" t="n">
        <v>1.5</v>
      </c>
      <c r="BK163" s="26" t="n">
        <v>-150</v>
      </c>
      <c r="BL163" s="27" t="n">
        <v>1.666667</v>
      </c>
      <c r="BM163" s="28" t="n">
        <v>0.6</v>
      </c>
      <c r="BN163" s="28" t="n">
        <v>0.597015</v>
      </c>
      <c r="BO163" s="28" t="n"/>
      <c r="BP163" s="25" t="n"/>
      <c r="BQ163" s="27" t="n"/>
      <c r="BR163" s="28" t="n"/>
      <c r="BS163" s="28" t="n"/>
      <c r="BT163" s="28" t="n"/>
      <c r="BU163" s="25" t="n"/>
      <c r="BV163" s="29" t="n"/>
      <c r="BW163" s="24" t="n"/>
      <c r="BX163" s="30" t="n"/>
      <c r="BY163" s="27" t="n"/>
      <c r="BZ163" s="24" t="n"/>
      <c r="CA163" s="31" t="n"/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</row>
    <row r="164" ht="36" customHeight="1">
      <c r="A164" s="24" t="inlineStr">
        <is>
          <t>d9b01478f9a84f75</t>
        </is>
      </c>
      <c r="B164" s="24" t="inlineStr">
        <is>
          <t>2026-08-02T07:12:44.561466Z</t>
        </is>
      </c>
      <c r="C164" s="24" t="inlineStr">
        <is>
          <t>2026-08-02T17:40Z</t>
        </is>
      </c>
      <c r="D164" s="24" t="inlineStr">
        <is>
          <t>401816366</t>
        </is>
      </c>
      <c r="E164" s="24" t="inlineStr">
        <is>
          <t>MLB</t>
        </is>
      </c>
      <c r="F164" s="24" t="inlineStr">
        <is>
          <t>Pittsburgh Pirates</t>
        </is>
      </c>
      <c r="G164" s="24" t="inlineStr">
        <is>
          <t>Cincinnati Reds</t>
        </is>
      </c>
      <c r="H164" s="24" t="inlineStr">
        <is>
          <t>total</t>
        </is>
      </c>
      <c r="I164" s="24" t="inlineStr">
        <is>
          <t>over</t>
        </is>
      </c>
      <c r="J164" s="25" t="n">
        <v>8.5</v>
      </c>
      <c r="K164" s="24" t="inlineStr">
        <is>
          <t>polymarket_us</t>
        </is>
      </c>
      <c r="L164" s="26" t="n">
        <v>106</v>
      </c>
      <c r="M164" s="27" t="n">
        <v>2.06</v>
      </c>
      <c r="N164" s="28" t="n">
        <v>0.485437</v>
      </c>
      <c r="O164" s="28" t="n">
        <v>0.519021</v>
      </c>
      <c r="P164" s="28" t="n">
        <v>0.042131</v>
      </c>
      <c r="Q164" s="28" t="n">
        <v>0.033584</v>
      </c>
      <c r="R164" s="26" t="n">
        <v>42</v>
      </c>
      <c r="S164" s="29" t="n">
        <v>1</v>
      </c>
      <c r="T164" s="24" t="inlineStr">
        <is>
          <t>measured-edge-totals-v2</t>
        </is>
      </c>
      <c r="U164" s="24" t="inlineStr">
        <is>
          <t>open</t>
        </is>
      </c>
      <c r="V164" s="24" t="n"/>
      <c r="W164" s="26" t="n"/>
      <c r="X164" s="26" t="n"/>
      <c r="Y164" s="25" t="n"/>
      <c r="Z164" s="26" t="n"/>
      <c r="AA164" s="28" t="n"/>
      <c r="AB164" s="28" t="n"/>
      <c r="AC164" s="30" t="n"/>
      <c r="AD164" s="24" t="n"/>
      <c r="AE164" s="31" t="inlineStr">
        <is>
          <t>Measured Edge Totals: Trend Engine projected 4.31-4.86; raw selected-side p=0.5324, calibrated p=0.5190.</t>
        </is>
      </c>
      <c r="AF164" s="31" t="inlineStr">
        <is>
          <t>Research-only; lineup, bullpen, park, weather, xFIP, and wRC+ may be neutral fallbacks; market availability and BBO depth may change before first pitch.</t>
        </is>
      </c>
      <c r="AG164" s="24" t="inlineStr">
        <is>
          <t>not_applicable</t>
        </is>
      </c>
      <c r="AH164" s="24" t="n"/>
      <c r="AI164" s="31" t="n"/>
      <c r="AJ164" s="31" t="n"/>
      <c r="AK164" s="24" t="inlineStr">
        <is>
          <t>research_observation</t>
        </is>
      </c>
      <c r="AL164" s="26" t="n">
        <v>3</v>
      </c>
      <c r="AM164" s="24" t="inlineStr">
        <is>
          <t>RESEARCH_OBSERVATION</t>
        </is>
      </c>
      <c r="AN164" s="24" t="inlineStr">
        <is>
          <t>NO_CALL</t>
        </is>
      </c>
      <c r="AO164" s="24" t="inlineStr">
        <is>
          <t>NO_CALL_MODEL_UNVALIDATED</t>
        </is>
      </c>
      <c r="AP164" s="24" t="inlineStr">
        <is>
          <t>mlb-pit</t>
        </is>
      </c>
      <c r="AQ164" s="24" t="inlineStr">
        <is>
          <t>Pittsburgh Pirates</t>
        </is>
      </c>
      <c r="AR164" s="24" t="inlineStr">
        <is>
          <t>Pittsburgh Pirates</t>
        </is>
      </c>
      <c r="AS164" s="24" t="inlineStr">
        <is>
          <t>mlb-cin</t>
        </is>
      </c>
      <c r="AT164" s="24" t="inlineStr">
        <is>
          <t>Cincinnati Reds</t>
        </is>
      </c>
      <c r="AU164" s="24" t="inlineStr">
        <is>
          <t>Cincinnati Reds</t>
        </is>
      </c>
      <c r="AV164" s="24" t="n"/>
      <c r="AW164" s="24" t="n"/>
      <c r="AX164" s="24" t="inlineStr">
        <is>
          <t>statistical_model</t>
        </is>
      </c>
      <c r="AY164" s="24" t="n"/>
      <c r="AZ164" s="24" t="inlineStr">
        <is>
          <t>research</t>
        </is>
      </c>
      <c r="BA164" s="24" t="inlineStr">
        <is>
          <t>433578016242b27f9c1c7132cc6b5a2bcc7dd1b0234590c12a944455a88e71bd</t>
        </is>
      </c>
      <c r="BB164" s="24" t="inlineStr">
        <is>
          <t>flat_probability_shrinkage_toward_half</t>
        </is>
      </c>
      <c r="BC164" s="24" t="inlineStr">
        <is>
          <t>measured-edge-totals-v2</t>
        </is>
      </c>
      <c r="BD164" s="24" t="inlineStr">
        <is>
          <t>433578016242b27f9c1c7132cc6b5a2bcc7dd1b0234590c12a944455a88e71bd</t>
        </is>
      </c>
      <c r="BE164" s="24" t="inlineStr">
        <is>
          <t>v3</t>
        </is>
      </c>
      <c r="BF164" s="24" t="inlineStr">
        <is>
          <t>1</t>
        </is>
      </c>
      <c r="BG164" s="24" t="inlineStr">
        <is>
          <t>measured-edge-paired-v1</t>
        </is>
      </c>
      <c r="BH164" s="24" t="inlineStr">
        <is>
          <t>2026-08-02T07:12:44.561466Z</t>
        </is>
      </c>
      <c r="BI164" s="24" t="inlineStr">
        <is>
          <t>["same_event","same_team_same_day","same_league_same_day"]</t>
        </is>
      </c>
      <c r="BJ164" s="25" t="n">
        <v>8.5</v>
      </c>
      <c r="BK164" s="26" t="n">
        <v>106</v>
      </c>
      <c r="BL164" s="27" t="n">
        <v>2.06</v>
      </c>
      <c r="BM164" s="28" t="n">
        <v>0.485437</v>
      </c>
      <c r="BN164" s="28" t="n">
        <v>0.482587</v>
      </c>
      <c r="BO164" s="28" t="n"/>
      <c r="BP164" s="25" t="n"/>
      <c r="BQ164" s="27" t="n"/>
      <c r="BR164" s="28" t="n"/>
      <c r="BS164" s="28" t="n"/>
      <c r="BT164" s="28" t="n"/>
      <c r="BU164" s="25" t="n"/>
      <c r="BV164" s="29" t="n"/>
      <c r="BW164" s="24" t="n"/>
      <c r="BX164" s="30" t="n"/>
      <c r="BY164" s="27" t="n"/>
      <c r="BZ164" s="24" t="n"/>
      <c r="CA164" s="31" t="n"/>
      <c r="CB164" s="24" t="n"/>
      <c r="CC164" s="24" t="n"/>
      <c r="CD164" s="24" t="n"/>
      <c r="CE164" s="24" t="n"/>
      <c r="CF164" s="24" t="n"/>
      <c r="CG164" s="24" t="n"/>
      <c r="CH164" s="24" t="n"/>
      <c r="CI164" s="24" t="n"/>
      <c r="CJ164" s="24" t="n"/>
      <c r="CK164" s="24" t="n"/>
      <c r="CL164" s="24" t="n"/>
      <c r="CM164" s="24" t="n"/>
      <c r="CN164" s="24" t="n"/>
      <c r="CO164" s="24" t="n"/>
    </row>
    <row r="165" ht="36" customHeight="1">
      <c r="A165" s="24" t="inlineStr">
        <is>
          <t>f5a51297d21a4272</t>
        </is>
      </c>
      <c r="B165" s="24" t="inlineStr">
        <is>
          <t>2026-08-02T07:12:44.561466Z</t>
        </is>
      </c>
      <c r="C165" s="24" t="inlineStr">
        <is>
          <t>2026-08-02T18:10Z</t>
        </is>
      </c>
      <c r="D165" s="24" t="inlineStr">
        <is>
          <t>401816370</t>
        </is>
      </c>
      <c r="E165" s="24" t="inlineStr">
        <is>
          <t>MLB</t>
        </is>
      </c>
      <c r="F165" s="24" t="inlineStr">
        <is>
          <t>Texas Rangers</t>
        </is>
      </c>
      <c r="G165" s="24" t="inlineStr">
        <is>
          <t>Houston Astros</t>
        </is>
      </c>
      <c r="H165" s="24" t="inlineStr">
        <is>
          <t>spread</t>
        </is>
      </c>
      <c r="I165" s="24" t="inlineStr">
        <is>
          <t>away</t>
        </is>
      </c>
      <c r="J165" s="25" t="n">
        <v>1.5</v>
      </c>
      <c r="K165" s="24" t="inlineStr">
        <is>
          <t>polymarket_us</t>
        </is>
      </c>
      <c r="L165" s="26" t="n">
        <v>-178</v>
      </c>
      <c r="M165" s="27" t="n">
        <v>1.561798</v>
      </c>
      <c r="N165" s="28" t="n">
        <v>0.640288</v>
      </c>
      <c r="O165" s="28" t="n">
        <v>0.580521</v>
      </c>
      <c r="P165" s="28" t="n">
        <v>0.042131</v>
      </c>
      <c r="Q165" s="28" t="n">
        <v>-0.059767</v>
      </c>
      <c r="R165" s="26" t="n">
        <v>0</v>
      </c>
      <c r="S165" s="29" t="n">
        <v>1.25</v>
      </c>
      <c r="T165" s="24" t="inlineStr">
        <is>
          <t>measured-edge-margin-v2</t>
        </is>
      </c>
      <c r="U165" s="24" t="inlineStr">
        <is>
          <t>open</t>
        </is>
      </c>
      <c r="V165" s="24" t="n"/>
      <c r="W165" s="26" t="n"/>
      <c r="X165" s="26" t="n"/>
      <c r="Y165" s="25" t="n"/>
      <c r="Z165" s="26" t="n"/>
      <c r="AA165" s="28" t="n"/>
      <c r="AB165" s="28" t="n"/>
      <c r="AC165" s="30" t="n"/>
      <c r="AD165" s="24" t="n"/>
      <c r="AE165" s="31" t="inlineStr">
        <is>
          <t>Measured Edge Margin: Trend Engine projected 4.10-4.64; raw selected-side p=0.6227, calibrated p=0.5805.</t>
        </is>
      </c>
      <c r="AF165" s="31" t="inlineStr">
        <is>
          <t>Research-only; lineup, bullpen, park, weather, xFIP, and wRC+ may be neutral fallbacks; market availability and BBO depth may change before first pitch.</t>
        </is>
      </c>
      <c r="AG165" s="24" t="inlineStr">
        <is>
          <t>not_applicable</t>
        </is>
      </c>
      <c r="AH165" s="24" t="n"/>
      <c r="AI165" s="31" t="n"/>
      <c r="AJ165" s="31" t="n"/>
      <c r="AK165" s="24" t="inlineStr">
        <is>
          <t>research_observation</t>
        </is>
      </c>
      <c r="AL165" s="26" t="n">
        <v>3</v>
      </c>
      <c r="AM165" s="24" t="inlineStr">
        <is>
          <t>RESEARCH_OBSERVATION</t>
        </is>
      </c>
      <c r="AN165" s="24" t="inlineStr">
        <is>
          <t>NO_CALL</t>
        </is>
      </c>
      <c r="AO165" s="24" t="inlineStr">
        <is>
          <t>NO_CALL_MODEL_UNVALIDATED</t>
        </is>
      </c>
      <c r="AP165" s="24" t="inlineStr">
        <is>
          <t>mlb-tex</t>
        </is>
      </c>
      <c r="AQ165" s="24" t="inlineStr">
        <is>
          <t>Texas Rangers</t>
        </is>
      </c>
      <c r="AR165" s="24" t="inlineStr">
        <is>
          <t>Texas Rangers</t>
        </is>
      </c>
      <c r="AS165" s="24" t="inlineStr">
        <is>
          <t>mlb-hou</t>
        </is>
      </c>
      <c r="AT165" s="24" t="inlineStr">
        <is>
          <t>Houston Astros</t>
        </is>
      </c>
      <c r="AU165" s="24" t="inlineStr">
        <is>
          <t>Houston Astros</t>
        </is>
      </c>
      <c r="AV165" s="24" t="n"/>
      <c r="AW165" s="24" t="n"/>
      <c r="AX165" s="24" t="inlineStr">
        <is>
          <t>statistical_model</t>
        </is>
      </c>
      <c r="AY165" s="24" t="n"/>
      <c r="AZ165" s="24" t="inlineStr">
        <is>
          <t>research</t>
        </is>
      </c>
      <c r="BA165" s="24" t="inlineStr">
        <is>
          <t>8360b122264b796b0fb193095cfe4506c7e064e5f3f8c0a659aec41efd08dd25</t>
        </is>
      </c>
      <c r="BB165" s="24" t="inlineStr">
        <is>
          <t>flat_probability_shrinkage_toward_half</t>
        </is>
      </c>
      <c r="BC165" s="24" t="inlineStr">
        <is>
          <t>measured-edge-margin-v2</t>
        </is>
      </c>
      <c r="BD165" s="24" t="inlineStr">
        <is>
          <t>8360b122264b796b0fb193095cfe4506c7e064e5f3f8c0a659aec41efd08dd25</t>
        </is>
      </c>
      <c r="BE165" s="24" t="inlineStr">
        <is>
          <t>v3</t>
        </is>
      </c>
      <c r="BF165" s="24" t="inlineStr">
        <is>
          <t>1</t>
        </is>
      </c>
      <c r="BG165" s="24" t="inlineStr">
        <is>
          <t>measured-edge-paired-v1</t>
        </is>
      </c>
      <c r="BH165" s="24" t="inlineStr">
        <is>
          <t>2026-08-02T07:12:44.561466Z</t>
        </is>
      </c>
      <c r="BI165" s="24" t="inlineStr">
        <is>
          <t>["same_event","same_team_same_day","same_league_same_day"]</t>
        </is>
      </c>
      <c r="BJ165" s="25" t="n">
        <v>1.5</v>
      </c>
      <c r="BK165" s="26" t="n">
        <v>-178</v>
      </c>
      <c r="BL165" s="27" t="n">
        <v>1.561798</v>
      </c>
      <c r="BM165" s="28" t="n">
        <v>0.640288</v>
      </c>
      <c r="BN165" s="28" t="n">
        <v>0.636816</v>
      </c>
      <c r="BO165" s="28" t="n"/>
      <c r="BP165" s="25" t="n"/>
      <c r="BQ165" s="27" t="n"/>
      <c r="BR165" s="28" t="n"/>
      <c r="BS165" s="28" t="n"/>
      <c r="BT165" s="28" t="n"/>
      <c r="BU165" s="25" t="n"/>
      <c r="BV165" s="29" t="n"/>
      <c r="BW165" s="24" t="n"/>
      <c r="BX165" s="30" t="n"/>
      <c r="BY165" s="27" t="n"/>
      <c r="BZ165" s="24" t="n"/>
      <c r="CA165" s="31" t="n"/>
      <c r="CB165" s="24" t="n"/>
      <c r="CC165" s="24" t="n"/>
      <c r="CD165" s="24" t="n"/>
      <c r="CE165" s="24" t="n"/>
      <c r="CF165" s="24" t="n"/>
      <c r="CG165" s="24" t="n"/>
      <c r="CH165" s="24" t="n"/>
      <c r="CI165" s="24" t="n"/>
      <c r="CJ165" s="24" t="n"/>
      <c r="CK165" s="24" t="n"/>
      <c r="CL165" s="24" t="n"/>
      <c r="CM165" s="24" t="n"/>
      <c r="CN165" s="24" t="n"/>
      <c r="CO165" s="24" t="n"/>
    </row>
    <row r="166" ht="36" customHeight="1">
      <c r="A166" s="24" t="inlineStr">
        <is>
          <t>8cb7ff179f6342c7</t>
        </is>
      </c>
      <c r="B166" s="24" t="inlineStr">
        <is>
          <t>2026-08-02T07:12:44.561466Z</t>
        </is>
      </c>
      <c r="C166" s="24" t="inlineStr">
        <is>
          <t>2026-08-02T18:10Z</t>
        </is>
      </c>
      <c r="D166" s="24" t="inlineStr">
        <is>
          <t>401816370</t>
        </is>
      </c>
      <c r="E166" s="24" t="inlineStr">
        <is>
          <t>MLB</t>
        </is>
      </c>
      <c r="F166" s="24" t="inlineStr">
        <is>
          <t>Texas Rangers</t>
        </is>
      </c>
      <c r="G166" s="24" t="inlineStr">
        <is>
          <t>Houston Astros</t>
        </is>
      </c>
      <c r="H166" s="24" t="inlineStr">
        <is>
          <t>total</t>
        </is>
      </c>
      <c r="I166" s="24" t="inlineStr">
        <is>
          <t>under</t>
        </is>
      </c>
      <c r="J166" s="25" t="n">
        <v>8.5</v>
      </c>
      <c r="K166" s="24" t="inlineStr">
        <is>
          <t>polymarket_us</t>
        </is>
      </c>
      <c r="L166" s="26" t="n">
        <v>111</v>
      </c>
      <c r="M166" s="27" t="n">
        <v>2.11</v>
      </c>
      <c r="N166" s="28" t="n">
        <v>0.473934</v>
      </c>
      <c r="O166" s="28" t="n">
        <v>0.509419</v>
      </c>
      <c r="P166" s="28" t="n">
        <v>0.042131</v>
      </c>
      <c r="Q166" s="28" t="n">
        <v>0.035485</v>
      </c>
      <c r="R166" s="26" t="n">
        <v>42</v>
      </c>
      <c r="S166" s="29" t="n">
        <v>1</v>
      </c>
      <c r="T166" s="24" t="inlineStr">
        <is>
          <t>measured-edge-totals-v2</t>
        </is>
      </c>
      <c r="U166" s="24" t="inlineStr">
        <is>
          <t>open</t>
        </is>
      </c>
      <c r="V166" s="24" t="n"/>
      <c r="W166" s="26" t="n"/>
      <c r="X166" s="26" t="n"/>
      <c r="Y166" s="25" t="n"/>
      <c r="Z166" s="26" t="n"/>
      <c r="AA166" s="28" t="n"/>
      <c r="AB166" s="28" t="n"/>
      <c r="AC166" s="30" t="n"/>
      <c r="AD166" s="24" t="n"/>
      <c r="AE166" s="31" t="inlineStr">
        <is>
          <t>Measured Edge Totals: Trend Engine projected 4.10-4.64; raw selected-side p=0.5043, calibrated p=0.5094.</t>
        </is>
      </c>
      <c r="AF166" s="31" t="inlineStr">
        <is>
          <t>Research-only; lineup, bullpen, park, weather, xFIP, and wRC+ may be neutral fallbacks; market availability and BBO depth may change before first pitch.</t>
        </is>
      </c>
      <c r="AG166" s="24" t="inlineStr">
        <is>
          <t>not_applicable</t>
        </is>
      </c>
      <c r="AH166" s="24" t="n"/>
      <c r="AI166" s="31" t="n"/>
      <c r="AJ166" s="31" t="n"/>
      <c r="AK166" s="24" t="inlineStr">
        <is>
          <t>research_observation</t>
        </is>
      </c>
      <c r="AL166" s="26" t="n">
        <v>3</v>
      </c>
      <c r="AM166" s="24" t="inlineStr">
        <is>
          <t>RESEARCH_OBSERVATION</t>
        </is>
      </c>
      <c r="AN166" s="24" t="inlineStr">
        <is>
          <t>NO_CALL</t>
        </is>
      </c>
      <c r="AO166" s="24" t="inlineStr">
        <is>
          <t>NO_CALL_MODEL_UNVALIDATED</t>
        </is>
      </c>
      <c r="AP166" s="24" t="inlineStr">
        <is>
          <t>mlb-tex</t>
        </is>
      </c>
      <c r="AQ166" s="24" t="inlineStr">
        <is>
          <t>Texas Rangers</t>
        </is>
      </c>
      <c r="AR166" s="24" t="inlineStr">
        <is>
          <t>Texas Rangers</t>
        </is>
      </c>
      <c r="AS166" s="24" t="inlineStr">
        <is>
          <t>mlb-hou</t>
        </is>
      </c>
      <c r="AT166" s="24" t="inlineStr">
        <is>
          <t>Houston Astros</t>
        </is>
      </c>
      <c r="AU166" s="24" t="inlineStr">
        <is>
          <t>Houston Astros</t>
        </is>
      </c>
      <c r="AV166" s="24" t="n"/>
      <c r="AW166" s="24" t="n"/>
      <c r="AX166" s="24" t="inlineStr">
        <is>
          <t>statistical_model</t>
        </is>
      </c>
      <c r="AY166" s="24" t="n"/>
      <c r="AZ166" s="24" t="inlineStr">
        <is>
          <t>research</t>
        </is>
      </c>
      <c r="BA166" s="24" t="inlineStr">
        <is>
          <t>433578016242b27f9c1c7132cc6b5a2bcc7dd1b0234590c12a944455a88e71bd</t>
        </is>
      </c>
      <c r="BB166" s="24" t="inlineStr">
        <is>
          <t>flat_probability_shrinkage_toward_half</t>
        </is>
      </c>
      <c r="BC166" s="24" t="inlineStr">
        <is>
          <t>measured-edge-totals-v2</t>
        </is>
      </c>
      <c r="BD166" s="24" t="inlineStr">
        <is>
          <t>433578016242b27f9c1c7132cc6b5a2bcc7dd1b0234590c12a944455a88e71bd</t>
        </is>
      </c>
      <c r="BE166" s="24" t="inlineStr">
        <is>
          <t>v3</t>
        </is>
      </c>
      <c r="BF166" s="24" t="inlineStr">
        <is>
          <t>1</t>
        </is>
      </c>
      <c r="BG166" s="24" t="inlineStr">
        <is>
          <t>measured-edge-paired-v1</t>
        </is>
      </c>
      <c r="BH166" s="24" t="inlineStr">
        <is>
          <t>2026-08-02T07:12:44.561466Z</t>
        </is>
      </c>
      <c r="BI166" s="24" t="inlineStr">
        <is>
          <t>["same_event","same_team_same_day","same_league_same_day"]</t>
        </is>
      </c>
      <c r="BJ166" s="25" t="n">
        <v>8.5</v>
      </c>
      <c r="BK166" s="26" t="n">
        <v>111</v>
      </c>
      <c r="BL166" s="27" t="n">
        <v>2.11</v>
      </c>
      <c r="BM166" s="28" t="n">
        <v>0.473934</v>
      </c>
      <c r="BN166" s="28" t="n">
        <v>0.472637</v>
      </c>
      <c r="BO166" s="28" t="n"/>
      <c r="BP166" s="25" t="n"/>
      <c r="BQ166" s="27" t="n"/>
      <c r="BR166" s="28" t="n"/>
      <c r="BS166" s="28" t="n"/>
      <c r="BT166" s="28" t="n"/>
      <c r="BU166" s="25" t="n"/>
      <c r="BV166" s="29" t="n"/>
      <c r="BW166" s="24" t="n"/>
      <c r="BX166" s="30" t="n"/>
      <c r="BY166" s="27" t="n"/>
      <c r="BZ166" s="24" t="n"/>
      <c r="CA166" s="31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24" t="n"/>
      <c r="CN166" s="24" t="n"/>
      <c r="CO166" s="24" t="n"/>
    </row>
    <row r="167" ht="36" customHeight="1">
      <c r="A167" s="24" t="inlineStr">
        <is>
          <t>36f82871b4654938</t>
        </is>
      </c>
      <c r="B167" s="24" t="inlineStr">
        <is>
          <t>2026-08-02T07:12:44.561466Z</t>
        </is>
      </c>
      <c r="C167" s="24" t="inlineStr">
        <is>
          <t>2026-08-02T18:20Z</t>
        </is>
      </c>
      <c r="D167" s="24" t="inlineStr">
        <is>
          <t>401816369</t>
        </is>
      </c>
      <c r="E167" s="24" t="inlineStr">
        <is>
          <t>MLB</t>
        </is>
      </c>
      <c r="F167" s="24" t="inlineStr">
        <is>
          <t>New York Yankees</t>
        </is>
      </c>
      <c r="G167" s="24" t="inlineStr">
        <is>
          <t>Chicago Cubs</t>
        </is>
      </c>
      <c r="H167" s="24" t="inlineStr">
        <is>
          <t>spread</t>
        </is>
      </c>
      <c r="I167" s="24" t="inlineStr">
        <is>
          <t>home</t>
        </is>
      </c>
      <c r="J167" s="25" t="n">
        <v>1.5</v>
      </c>
      <c r="K167" s="24" t="inlineStr">
        <is>
          <t>polymarket_us</t>
        </is>
      </c>
      <c r="L167" s="26" t="n">
        <v>-156</v>
      </c>
      <c r="M167" s="27" t="n">
        <v>1.641026</v>
      </c>
      <c r="N167" s="28" t="n">
        <v>0.609375</v>
      </c>
      <c r="O167" s="28" t="n">
        <v>0.608864</v>
      </c>
      <c r="P167" s="28" t="n">
        <v>0.042131</v>
      </c>
      <c r="Q167" s="28" t="n">
        <v>-0.000511</v>
      </c>
      <c r="R167" s="26" t="n">
        <v>24</v>
      </c>
      <c r="S167" s="29" t="n">
        <v>1.5</v>
      </c>
      <c r="T167" s="24" t="inlineStr">
        <is>
          <t>measured-edge-margin-v2</t>
        </is>
      </c>
      <c r="U167" s="24" t="inlineStr">
        <is>
          <t>open</t>
        </is>
      </c>
      <c r="V167" s="24" t="n"/>
      <c r="W167" s="26" t="n"/>
      <c r="X167" s="26" t="n"/>
      <c r="Y167" s="25" t="n"/>
      <c r="Z167" s="26" t="n"/>
      <c r="AA167" s="28" t="n"/>
      <c r="AB167" s="28" t="n"/>
      <c r="AC167" s="30" t="n"/>
      <c r="AD167" s="24" t="n"/>
      <c r="AE167" s="31" t="inlineStr">
        <is>
          <t>Measured Edge Margin: Trend Engine projected 4.57-4.52; raw selected-side p=0.6659, calibrated p=0.6089.</t>
        </is>
      </c>
      <c r="AF167" s="31" t="inlineStr">
        <is>
          <t>Research-only; lineup, bullpen, park, weather, xFIP, and wRC+ may be neutral fallbacks; market availability and BBO depth may change before first pitch.</t>
        </is>
      </c>
      <c r="AG167" s="24" t="inlineStr">
        <is>
          <t>not_applicable</t>
        </is>
      </c>
      <c r="AH167" s="24" t="n"/>
      <c r="AI167" s="31" t="n"/>
      <c r="AJ167" s="31" t="n"/>
      <c r="AK167" s="24" t="inlineStr">
        <is>
          <t>research_observation</t>
        </is>
      </c>
      <c r="AL167" s="26" t="n">
        <v>3</v>
      </c>
      <c r="AM167" s="24" t="inlineStr">
        <is>
          <t>RESEARCH_OBSERVATION</t>
        </is>
      </c>
      <c r="AN167" s="24" t="inlineStr">
        <is>
          <t>NO_CALL</t>
        </is>
      </c>
      <c r="AO167" s="24" t="inlineStr">
        <is>
          <t>NO_CALL_MODEL_UNVALIDATED</t>
        </is>
      </c>
      <c r="AP167" s="24" t="inlineStr">
        <is>
          <t>mlb-nyy</t>
        </is>
      </c>
      <c r="AQ167" s="24" t="inlineStr">
        <is>
          <t>New York Yankees</t>
        </is>
      </c>
      <c r="AR167" s="24" t="inlineStr">
        <is>
          <t>New York Yankees</t>
        </is>
      </c>
      <c r="AS167" s="24" t="inlineStr">
        <is>
          <t>mlb-chc</t>
        </is>
      </c>
      <c r="AT167" s="24" t="inlineStr">
        <is>
          <t>Chicago Cubs</t>
        </is>
      </c>
      <c r="AU167" s="24" t="inlineStr">
        <is>
          <t>Chicago Cubs</t>
        </is>
      </c>
      <c r="AV167" s="24" t="n"/>
      <c r="AW167" s="24" t="n"/>
      <c r="AX167" s="24" t="inlineStr">
        <is>
          <t>statistical_model</t>
        </is>
      </c>
      <c r="AY167" s="24" t="n"/>
      <c r="AZ167" s="24" t="inlineStr">
        <is>
          <t>research</t>
        </is>
      </c>
      <c r="BA167" s="24" t="inlineStr">
        <is>
          <t>8360b122264b796b0fb193095cfe4506c7e064e5f3f8c0a659aec41efd08dd25</t>
        </is>
      </c>
      <c r="BB167" s="24" t="inlineStr">
        <is>
          <t>flat_probability_shrinkage_toward_half</t>
        </is>
      </c>
      <c r="BC167" s="24" t="inlineStr">
        <is>
          <t>measured-edge-margin-v2</t>
        </is>
      </c>
      <c r="BD167" s="24" t="inlineStr">
        <is>
          <t>8360b122264b796b0fb193095cfe4506c7e064e5f3f8c0a659aec41efd08dd25</t>
        </is>
      </c>
      <c r="BE167" s="24" t="inlineStr">
        <is>
          <t>v3</t>
        </is>
      </c>
      <c r="BF167" s="24" t="inlineStr">
        <is>
          <t>1</t>
        </is>
      </c>
      <c r="BG167" s="24" t="inlineStr">
        <is>
          <t>measured-edge-paired-v1</t>
        </is>
      </c>
      <c r="BH167" s="24" t="inlineStr">
        <is>
          <t>2026-08-02T07:12:44.561466Z</t>
        </is>
      </c>
      <c r="BI167" s="24" t="inlineStr">
        <is>
          <t>["same_event","same_team_same_day","same_league_same_day"]</t>
        </is>
      </c>
      <c r="BJ167" s="25" t="n">
        <v>1.5</v>
      </c>
      <c r="BK167" s="26" t="n">
        <v>-156</v>
      </c>
      <c r="BL167" s="27" t="n">
        <v>1.641026</v>
      </c>
      <c r="BM167" s="28" t="n">
        <v>0.609375</v>
      </c>
      <c r="BN167" s="28" t="n">
        <v>0.606965</v>
      </c>
      <c r="BO167" s="28" t="n"/>
      <c r="BP167" s="25" t="n"/>
      <c r="BQ167" s="27" t="n"/>
      <c r="BR167" s="28" t="n"/>
      <c r="BS167" s="28" t="n"/>
      <c r="BT167" s="28" t="n"/>
      <c r="BU167" s="25" t="n"/>
      <c r="BV167" s="29" t="n"/>
      <c r="BW167" s="24" t="n"/>
      <c r="BX167" s="30" t="n"/>
      <c r="BY167" s="27" t="n"/>
      <c r="BZ167" s="24" t="n"/>
      <c r="CA167" s="31" t="n"/>
      <c r="CB167" s="24" t="n"/>
      <c r="CC167" s="24" t="n"/>
      <c r="CD167" s="24" t="n"/>
      <c r="CE167" s="24" t="n"/>
      <c r="CF167" s="24" t="n"/>
      <c r="CG167" s="24" t="n"/>
      <c r="CH167" s="24" t="n"/>
      <c r="CI167" s="24" t="n"/>
      <c r="CJ167" s="24" t="n"/>
      <c r="CK167" s="24" t="n"/>
      <c r="CL167" s="24" t="n"/>
      <c r="CM167" s="24" t="n"/>
      <c r="CN167" s="24" t="n"/>
      <c r="CO167" s="24" t="n"/>
    </row>
    <row r="168" ht="36" customHeight="1">
      <c r="A168" s="24" t="inlineStr">
        <is>
          <t>1ada589f9f0e41a0</t>
        </is>
      </c>
      <c r="B168" s="24" t="inlineStr">
        <is>
          <t>2026-08-02T07:12:44.561466Z</t>
        </is>
      </c>
      <c r="C168" s="24" t="inlineStr">
        <is>
          <t>2026-08-02T18:20Z</t>
        </is>
      </c>
      <c r="D168" s="24" t="inlineStr">
        <is>
          <t>401816369</t>
        </is>
      </c>
      <c r="E168" s="24" t="inlineStr">
        <is>
          <t>MLB</t>
        </is>
      </c>
      <c r="F168" s="24" t="inlineStr">
        <is>
          <t>New York Yankees</t>
        </is>
      </c>
      <c r="G168" s="24" t="inlineStr">
        <is>
          <t>Chicago Cubs</t>
        </is>
      </c>
      <c r="H168" s="24" t="inlineStr">
        <is>
          <t>total</t>
        </is>
      </c>
      <c r="I168" s="24" t="inlineStr">
        <is>
          <t>over</t>
        </is>
      </c>
      <c r="J168" s="25" t="n">
        <v>6.5</v>
      </c>
      <c r="K168" s="24" t="inlineStr">
        <is>
          <t>polymarket_us</t>
        </is>
      </c>
      <c r="L168" s="26" t="n">
        <v>-106</v>
      </c>
      <c r="M168" s="27" t="n">
        <v>1.943396</v>
      </c>
      <c r="N168" s="28" t="n">
        <v>0.514563</v>
      </c>
      <c r="O168" s="28" t="n">
        <v>0.582372</v>
      </c>
      <c r="P168" s="28" t="n">
        <v>0.042131</v>
      </c>
      <c r="Q168" s="28" t="n">
        <v>0.06780899999999999</v>
      </c>
      <c r="R168" s="26" t="n">
        <v>59</v>
      </c>
      <c r="S168" s="29" t="n">
        <v>1.25</v>
      </c>
      <c r="T168" s="24" t="inlineStr">
        <is>
          <t>measured-edge-totals-v2</t>
        </is>
      </c>
      <c r="U168" s="24" t="inlineStr">
        <is>
          <t>open</t>
        </is>
      </c>
      <c r="V168" s="24" t="n"/>
      <c r="W168" s="26" t="n"/>
      <c r="X168" s="26" t="n"/>
      <c r="Y168" s="25" t="n"/>
      <c r="Z168" s="26" t="n"/>
      <c r="AA168" s="28" t="n"/>
      <c r="AB168" s="28" t="n"/>
      <c r="AC168" s="30" t="n"/>
      <c r="AD168" s="24" t="n"/>
      <c r="AE168" s="31" t="inlineStr">
        <is>
          <t>Measured Edge Totals: Trend Engine projected 4.57-4.52; raw selected-side p=0.7178, calibrated p=0.5824.</t>
        </is>
      </c>
      <c r="AF168" s="31" t="inlineStr">
        <is>
          <t>Research-only; lineup, bullpen, park, weather, xFIP, and wRC+ may be neutral fallbacks; market availability and BBO depth may change before first pitch.</t>
        </is>
      </c>
      <c r="AG168" s="24" t="inlineStr">
        <is>
          <t>not_applicable</t>
        </is>
      </c>
      <c r="AH168" s="24" t="n"/>
      <c r="AI168" s="31" t="n"/>
      <c r="AJ168" s="31" t="n"/>
      <c r="AK168" s="24" t="inlineStr">
        <is>
          <t>research_observation</t>
        </is>
      </c>
      <c r="AL168" s="26" t="n">
        <v>3</v>
      </c>
      <c r="AM168" s="24" t="inlineStr">
        <is>
          <t>RESEARCH_OBSERVATION</t>
        </is>
      </c>
      <c r="AN168" s="24" t="inlineStr">
        <is>
          <t>NO_CALL</t>
        </is>
      </c>
      <c r="AO168" s="24" t="inlineStr">
        <is>
          <t>NO_CALL_MODEL_UNVALIDATED</t>
        </is>
      </c>
      <c r="AP168" s="24" t="inlineStr">
        <is>
          <t>mlb-nyy</t>
        </is>
      </c>
      <c r="AQ168" s="24" t="inlineStr">
        <is>
          <t>New York Yankees</t>
        </is>
      </c>
      <c r="AR168" s="24" t="inlineStr">
        <is>
          <t>New York Yankees</t>
        </is>
      </c>
      <c r="AS168" s="24" t="inlineStr">
        <is>
          <t>mlb-chc</t>
        </is>
      </c>
      <c r="AT168" s="24" t="inlineStr">
        <is>
          <t>Chicago Cubs</t>
        </is>
      </c>
      <c r="AU168" s="24" t="inlineStr">
        <is>
          <t>Chicago Cubs</t>
        </is>
      </c>
      <c r="AV168" s="24" t="n"/>
      <c r="AW168" s="24" t="n"/>
      <c r="AX168" s="24" t="inlineStr">
        <is>
          <t>statistical_model</t>
        </is>
      </c>
      <c r="AY168" s="24" t="n"/>
      <c r="AZ168" s="24" t="inlineStr">
        <is>
          <t>research</t>
        </is>
      </c>
      <c r="BA168" s="24" t="inlineStr">
        <is>
          <t>433578016242b27f9c1c7132cc6b5a2bcc7dd1b0234590c12a944455a88e71bd</t>
        </is>
      </c>
      <c r="BB168" s="24" t="inlineStr">
        <is>
          <t>flat_probability_shrinkage_toward_half</t>
        </is>
      </c>
      <c r="BC168" s="24" t="inlineStr">
        <is>
          <t>measured-edge-totals-v2</t>
        </is>
      </c>
      <c r="BD168" s="24" t="inlineStr">
        <is>
          <t>433578016242b27f9c1c7132cc6b5a2bcc7dd1b0234590c12a944455a88e71bd</t>
        </is>
      </c>
      <c r="BE168" s="24" t="inlineStr">
        <is>
          <t>v3</t>
        </is>
      </c>
      <c r="BF168" s="24" t="inlineStr">
        <is>
          <t>1</t>
        </is>
      </c>
      <c r="BG168" s="24" t="inlineStr">
        <is>
          <t>measured-edge-paired-v1</t>
        </is>
      </c>
      <c r="BH168" s="24" t="inlineStr">
        <is>
          <t>2026-08-02T07:12:44.561466Z</t>
        </is>
      </c>
      <c r="BI168" s="24" t="inlineStr">
        <is>
          <t>["same_event","same_team_same_day","same_league_same_day"]</t>
        </is>
      </c>
      <c r="BJ168" s="25" t="n">
        <v>6.5</v>
      </c>
      <c r="BK168" s="26" t="n">
        <v>-106</v>
      </c>
      <c r="BL168" s="27" t="n">
        <v>1.943396</v>
      </c>
      <c r="BM168" s="28" t="n">
        <v>0.514563</v>
      </c>
      <c r="BN168" s="28" t="n">
        <v>0.5124379999999999</v>
      </c>
      <c r="BO168" s="28" t="n"/>
      <c r="BP168" s="25" t="n"/>
      <c r="BQ168" s="27" t="n"/>
      <c r="BR168" s="28" t="n"/>
      <c r="BS168" s="28" t="n"/>
      <c r="BT168" s="28" t="n"/>
      <c r="BU168" s="25" t="n"/>
      <c r="BV168" s="29" t="n"/>
      <c r="BW168" s="24" t="n"/>
      <c r="BX168" s="30" t="n"/>
      <c r="BY168" s="27" t="n"/>
      <c r="BZ168" s="24" t="n"/>
      <c r="CA168" s="31" t="n"/>
      <c r="CB168" s="24" t="n"/>
      <c r="CC168" s="24" t="n"/>
      <c r="CD168" s="24" t="n"/>
      <c r="CE168" s="24" t="n"/>
      <c r="CF168" s="24" t="n"/>
      <c r="CG168" s="24" t="n"/>
      <c r="CH168" s="24" t="n"/>
      <c r="CI168" s="24" t="n"/>
      <c r="CJ168" s="24" t="n"/>
      <c r="CK168" s="24" t="n"/>
      <c r="CL168" s="24" t="n"/>
      <c r="CM168" s="24" t="n"/>
      <c r="CN168" s="24" t="n"/>
      <c r="CO168" s="24" t="n"/>
    </row>
    <row r="169" ht="36" customHeight="1">
      <c r="A169" s="24" t="inlineStr">
        <is>
          <t>03e1fbb5a19d452f</t>
        </is>
      </c>
      <c r="B169" s="24" t="inlineStr">
        <is>
          <t>2026-08-02T07:12:44.561466Z</t>
        </is>
      </c>
      <c r="C169" s="24" t="inlineStr">
        <is>
          <t>2026-08-02T19:10Z</t>
        </is>
      </c>
      <c r="D169" s="24" t="inlineStr">
        <is>
          <t>401816371</t>
        </is>
      </c>
      <c r="E169" s="24" t="inlineStr">
        <is>
          <t>MLB</t>
        </is>
      </c>
      <c r="F169" s="24" t="inlineStr">
        <is>
          <t>Kansas City Royals</t>
        </is>
      </c>
      <c r="G169" s="24" t="inlineStr">
        <is>
          <t>Colorado Rockies</t>
        </is>
      </c>
      <c r="H169" s="24" t="inlineStr">
        <is>
          <t>spread</t>
        </is>
      </c>
      <c r="I169" s="24" t="inlineStr">
        <is>
          <t>home</t>
        </is>
      </c>
      <c r="J169" s="25" t="n">
        <v>1.5</v>
      </c>
      <c r="K169" s="24" t="inlineStr">
        <is>
          <t>polymarket_us</t>
        </is>
      </c>
      <c r="L169" s="26" t="n">
        <v>-156</v>
      </c>
      <c r="M169" s="27" t="n">
        <v>1.641026</v>
      </c>
      <c r="N169" s="28" t="n">
        <v>0.609375</v>
      </c>
      <c r="O169" s="28" t="n">
        <v>0.586983</v>
      </c>
      <c r="P169" s="28" t="n">
        <v>0.042131</v>
      </c>
      <c r="Q169" s="28" t="n">
        <v>-0.022392</v>
      </c>
      <c r="R169" s="26" t="n">
        <v>14</v>
      </c>
      <c r="S169" s="29" t="n">
        <v>1.25</v>
      </c>
      <c r="T169" s="24" t="inlineStr">
        <is>
          <t>measured-edge-margin-v2</t>
        </is>
      </c>
      <c r="U169" s="24" t="inlineStr">
        <is>
          <t>open</t>
        </is>
      </c>
      <c r="V169" s="24" t="n"/>
      <c r="W169" s="26" t="n"/>
      <c r="X169" s="26" t="n"/>
      <c r="Y169" s="25" t="n"/>
      <c r="Z169" s="26" t="n"/>
      <c r="AA169" s="28" t="n"/>
      <c r="AB169" s="28" t="n"/>
      <c r="AC169" s="30" t="n"/>
      <c r="AD169" s="24" t="n"/>
      <c r="AE169" s="31" t="inlineStr">
        <is>
          <t>Measured Edge Margin: Trend Engine projected 5.19-4.94; raw selected-side p=0.6325, calibrated p=0.5870.</t>
        </is>
      </c>
      <c r="AF169" s="31" t="inlineStr">
        <is>
          <t>Research-only; lineup, bullpen, park, weather, xFIP, and wRC+ may be neutral fallbacks; market availability and BBO depth may change before first pitch.</t>
        </is>
      </c>
      <c r="AG169" s="24" t="inlineStr">
        <is>
          <t>not_applicable</t>
        </is>
      </c>
      <c r="AH169" s="24" t="n"/>
      <c r="AI169" s="31" t="n"/>
      <c r="AJ169" s="31" t="n"/>
      <c r="AK169" s="24" t="inlineStr">
        <is>
          <t>research_observation</t>
        </is>
      </c>
      <c r="AL169" s="26" t="n">
        <v>3</v>
      </c>
      <c r="AM169" s="24" t="inlineStr">
        <is>
          <t>RESEARCH_OBSERVATION</t>
        </is>
      </c>
      <c r="AN169" s="24" t="inlineStr">
        <is>
          <t>NO_CALL</t>
        </is>
      </c>
      <c r="AO169" s="24" t="inlineStr">
        <is>
          <t>NO_CALL_MODEL_UNVALIDATED</t>
        </is>
      </c>
      <c r="AP169" s="24" t="inlineStr">
        <is>
          <t>mlb-kc</t>
        </is>
      </c>
      <c r="AQ169" s="24" t="inlineStr">
        <is>
          <t>Kansas City Royals</t>
        </is>
      </c>
      <c r="AR169" s="24" t="inlineStr">
        <is>
          <t>Kansas City Royals</t>
        </is>
      </c>
      <c r="AS169" s="24" t="inlineStr">
        <is>
          <t>mlb-col</t>
        </is>
      </c>
      <c r="AT169" s="24" t="inlineStr">
        <is>
          <t>Colorado Rockies</t>
        </is>
      </c>
      <c r="AU169" s="24" t="inlineStr">
        <is>
          <t>Colorado Rockies</t>
        </is>
      </c>
      <c r="AV169" s="24" t="n"/>
      <c r="AW169" s="24" t="n"/>
      <c r="AX169" s="24" t="inlineStr">
        <is>
          <t>statistical_model</t>
        </is>
      </c>
      <c r="AY169" s="24" t="n"/>
      <c r="AZ169" s="24" t="inlineStr">
        <is>
          <t>research</t>
        </is>
      </c>
      <c r="BA169" s="24" t="inlineStr">
        <is>
          <t>8360b122264b796b0fb193095cfe4506c7e064e5f3f8c0a659aec41efd08dd25</t>
        </is>
      </c>
      <c r="BB169" s="24" t="inlineStr">
        <is>
          <t>flat_probability_shrinkage_toward_half</t>
        </is>
      </c>
      <c r="BC169" s="24" t="inlineStr">
        <is>
          <t>measured-edge-margin-v2</t>
        </is>
      </c>
      <c r="BD169" s="24" t="inlineStr">
        <is>
          <t>8360b122264b796b0fb193095cfe4506c7e064e5f3f8c0a659aec41efd08dd25</t>
        </is>
      </c>
      <c r="BE169" s="24" t="inlineStr">
        <is>
          <t>v3</t>
        </is>
      </c>
      <c r="BF169" s="24" t="inlineStr">
        <is>
          <t>1</t>
        </is>
      </c>
      <c r="BG169" s="24" t="inlineStr">
        <is>
          <t>measured-edge-paired-v1</t>
        </is>
      </c>
      <c r="BH169" s="24" t="inlineStr">
        <is>
          <t>2026-08-02T07:12:44.561466Z</t>
        </is>
      </c>
      <c r="BI169" s="24" t="inlineStr">
        <is>
          <t>["same_event","same_team_same_day","same_league_same_day"]</t>
        </is>
      </c>
      <c r="BJ169" s="25" t="n">
        <v>1.5</v>
      </c>
      <c r="BK169" s="26" t="n">
        <v>-156</v>
      </c>
      <c r="BL169" s="27" t="n">
        <v>1.641026</v>
      </c>
      <c r="BM169" s="28" t="n">
        <v>0.609375</v>
      </c>
      <c r="BN169" s="28" t="n">
        <v>0.606965</v>
      </c>
      <c r="BO169" s="28" t="n"/>
      <c r="BP169" s="25" t="n"/>
      <c r="BQ169" s="27" t="n"/>
      <c r="BR169" s="28" t="n"/>
      <c r="BS169" s="28" t="n"/>
      <c r="BT169" s="28" t="n"/>
      <c r="BU169" s="25" t="n"/>
      <c r="BV169" s="29" t="n"/>
      <c r="BW169" s="24" t="n"/>
      <c r="BX169" s="30" t="n"/>
      <c r="BY169" s="27" t="n"/>
      <c r="BZ169" s="24" t="n"/>
      <c r="CA169" s="31" t="n"/>
      <c r="CB169" s="24" t="n"/>
      <c r="CC169" s="24" t="n"/>
      <c r="CD169" s="24" t="n"/>
      <c r="CE169" s="24" t="n"/>
      <c r="CF169" s="24" t="n"/>
      <c r="CG169" s="24" t="n"/>
      <c r="CH169" s="24" t="n"/>
      <c r="CI169" s="24" t="n"/>
      <c r="CJ169" s="24" t="n"/>
      <c r="CK169" s="24" t="n"/>
      <c r="CL169" s="24" t="n"/>
      <c r="CM169" s="24" t="n"/>
      <c r="CN169" s="24" t="n"/>
      <c r="CO169" s="24" t="n"/>
    </row>
    <row r="170" ht="36" customHeight="1">
      <c r="A170" s="24" t="inlineStr">
        <is>
          <t>783371d561c04b99</t>
        </is>
      </c>
      <c r="B170" s="24" t="inlineStr">
        <is>
          <t>2026-08-02T07:12:44.561466Z</t>
        </is>
      </c>
      <c r="C170" s="24" t="inlineStr">
        <is>
          <t>2026-08-02T19:10Z</t>
        </is>
      </c>
      <c r="D170" s="24" t="inlineStr">
        <is>
          <t>401816371</t>
        </is>
      </c>
      <c r="E170" s="24" t="inlineStr">
        <is>
          <t>MLB</t>
        </is>
      </c>
      <c r="F170" s="24" t="inlineStr">
        <is>
          <t>Kansas City Royals</t>
        </is>
      </c>
      <c r="G170" s="24" t="inlineStr">
        <is>
          <t>Colorado Rockies</t>
        </is>
      </c>
      <c r="H170" s="24" t="inlineStr">
        <is>
          <t>total</t>
        </is>
      </c>
      <c r="I170" s="24" t="inlineStr">
        <is>
          <t>under</t>
        </is>
      </c>
      <c r="J170" s="25" t="n">
        <v>12.5</v>
      </c>
      <c r="K170" s="24" t="inlineStr">
        <is>
          <t>polymarket_us</t>
        </is>
      </c>
      <c r="L170" s="26" t="n">
        <v>-106</v>
      </c>
      <c r="M170" s="27" t="n">
        <v>1.943396</v>
      </c>
      <c r="N170" s="28" t="n">
        <v>0.514563</v>
      </c>
      <c r="O170" s="28" t="n">
        <v>0.581381</v>
      </c>
      <c r="P170" s="28" t="n">
        <v>0.042131</v>
      </c>
      <c r="Q170" s="28" t="n">
        <v>0.066818</v>
      </c>
      <c r="R170" s="26" t="n">
        <v>58</v>
      </c>
      <c r="S170" s="29" t="n">
        <v>1.25</v>
      </c>
      <c r="T170" s="24" t="inlineStr">
        <is>
          <t>measured-edge-totals-v2</t>
        </is>
      </c>
      <c r="U170" s="24" t="inlineStr">
        <is>
          <t>open</t>
        </is>
      </c>
      <c r="V170" s="24" t="n"/>
      <c r="W170" s="26" t="n"/>
      <c r="X170" s="26" t="n"/>
      <c r="Y170" s="25" t="n"/>
      <c r="Z170" s="26" t="n"/>
      <c r="AA170" s="28" t="n"/>
      <c r="AB170" s="28" t="n"/>
      <c r="AC170" s="30" t="n"/>
      <c r="AD170" s="24" t="n"/>
      <c r="AE170" s="31" t="inlineStr">
        <is>
          <t>Measured Edge Totals: Trend Engine projected 5.19-4.94; raw selected-side p=0.7149, calibrated p=0.5814.</t>
        </is>
      </c>
      <c r="AF170" s="31" t="inlineStr">
        <is>
          <t>Research-only; lineup, bullpen, park, weather, xFIP, and wRC+ may be neutral fallbacks; market availability and BBO depth may change before first pitch.</t>
        </is>
      </c>
      <c r="AG170" s="24" t="inlineStr">
        <is>
          <t>not_applicable</t>
        </is>
      </c>
      <c r="AH170" s="24" t="n"/>
      <c r="AI170" s="31" t="n"/>
      <c r="AJ170" s="31" t="n"/>
      <c r="AK170" s="24" t="inlineStr">
        <is>
          <t>research_observation</t>
        </is>
      </c>
      <c r="AL170" s="26" t="n">
        <v>3</v>
      </c>
      <c r="AM170" s="24" t="inlineStr">
        <is>
          <t>RESEARCH_OBSERVATION</t>
        </is>
      </c>
      <c r="AN170" s="24" t="inlineStr">
        <is>
          <t>NO_CALL</t>
        </is>
      </c>
      <c r="AO170" s="24" t="inlineStr">
        <is>
          <t>NO_CALL_MODEL_UNVALIDATED</t>
        </is>
      </c>
      <c r="AP170" s="24" t="inlineStr">
        <is>
          <t>mlb-kc</t>
        </is>
      </c>
      <c r="AQ170" s="24" t="inlineStr">
        <is>
          <t>Kansas City Royals</t>
        </is>
      </c>
      <c r="AR170" s="24" t="inlineStr">
        <is>
          <t>Kansas City Royals</t>
        </is>
      </c>
      <c r="AS170" s="24" t="inlineStr">
        <is>
          <t>mlb-col</t>
        </is>
      </c>
      <c r="AT170" s="24" t="inlineStr">
        <is>
          <t>Colorado Rockies</t>
        </is>
      </c>
      <c r="AU170" s="24" t="inlineStr">
        <is>
          <t>Colorado Rockies</t>
        </is>
      </c>
      <c r="AV170" s="24" t="n"/>
      <c r="AW170" s="24" t="n"/>
      <c r="AX170" s="24" t="inlineStr">
        <is>
          <t>statistical_model</t>
        </is>
      </c>
      <c r="AY170" s="24" t="n"/>
      <c r="AZ170" s="24" t="inlineStr">
        <is>
          <t>research</t>
        </is>
      </c>
      <c r="BA170" s="24" t="inlineStr">
        <is>
          <t>433578016242b27f9c1c7132cc6b5a2bcc7dd1b0234590c12a944455a88e71bd</t>
        </is>
      </c>
      <c r="BB170" s="24" t="inlineStr">
        <is>
          <t>flat_probability_shrinkage_toward_half</t>
        </is>
      </c>
      <c r="BC170" s="24" t="inlineStr">
        <is>
          <t>measured-edge-totals-v2</t>
        </is>
      </c>
      <c r="BD170" s="24" t="inlineStr">
        <is>
          <t>433578016242b27f9c1c7132cc6b5a2bcc7dd1b0234590c12a944455a88e71bd</t>
        </is>
      </c>
      <c r="BE170" s="24" t="inlineStr">
        <is>
          <t>v3</t>
        </is>
      </c>
      <c r="BF170" s="24" t="inlineStr">
        <is>
          <t>1</t>
        </is>
      </c>
      <c r="BG170" s="24" t="inlineStr">
        <is>
          <t>measured-edge-paired-v1</t>
        </is>
      </c>
      <c r="BH170" s="24" t="inlineStr">
        <is>
          <t>2026-08-02T07:12:44.561466Z</t>
        </is>
      </c>
      <c r="BI170" s="24" t="inlineStr">
        <is>
          <t>["same_event","same_team_same_day","same_league_same_day"]</t>
        </is>
      </c>
      <c r="BJ170" s="25" t="n">
        <v>12.5</v>
      </c>
      <c r="BK170" s="26" t="n">
        <v>-106</v>
      </c>
      <c r="BL170" s="27" t="n">
        <v>1.943396</v>
      </c>
      <c r="BM170" s="28" t="n">
        <v>0.514563</v>
      </c>
      <c r="BN170" s="28" t="n">
        <v>0.5124379999999999</v>
      </c>
      <c r="BO170" s="28" t="n"/>
      <c r="BP170" s="25" t="n"/>
      <c r="BQ170" s="27" t="n"/>
      <c r="BR170" s="28" t="n"/>
      <c r="BS170" s="28" t="n"/>
      <c r="BT170" s="28" t="n"/>
      <c r="BU170" s="25" t="n"/>
      <c r="BV170" s="29" t="n"/>
      <c r="BW170" s="24" t="n"/>
      <c r="BX170" s="30" t="n"/>
      <c r="BY170" s="27" t="n"/>
      <c r="BZ170" s="24" t="n"/>
      <c r="CA170" s="31" t="n"/>
      <c r="CB170" s="24" t="n"/>
      <c r="CC170" s="24" t="n"/>
      <c r="CD170" s="24" t="n"/>
      <c r="CE170" s="24" t="n"/>
      <c r="CF170" s="24" t="n"/>
      <c r="CG170" s="24" t="n"/>
      <c r="CH170" s="24" t="n"/>
      <c r="CI170" s="24" t="n"/>
      <c r="CJ170" s="24" t="n"/>
      <c r="CK170" s="24" t="n"/>
      <c r="CL170" s="24" t="n"/>
      <c r="CM170" s="24" t="n"/>
      <c r="CN170" s="24" t="n"/>
      <c r="CO170" s="24" t="n"/>
    </row>
    <row r="171" ht="36" customHeight="1">
      <c r="A171" s="24" t="inlineStr">
        <is>
          <t>b7549529bf0d4e26</t>
        </is>
      </c>
      <c r="B171" s="24" t="inlineStr">
        <is>
          <t>2026-08-02T07:12:44.561466Z</t>
        </is>
      </c>
      <c r="C171" s="24" t="inlineStr">
        <is>
          <t>2026-08-02T19:15Z</t>
        </is>
      </c>
      <c r="D171" s="24" t="inlineStr">
        <is>
          <t>401816374</t>
        </is>
      </c>
      <c r="E171" s="24" t="inlineStr">
        <is>
          <t>MLB</t>
        </is>
      </c>
      <c r="F171" s="24" t="inlineStr">
        <is>
          <t>Milwaukee Brewers</t>
        </is>
      </c>
      <c r="G171" s="24" t="inlineStr">
        <is>
          <t>Los Angeles Angels</t>
        </is>
      </c>
      <c r="H171" s="24" t="inlineStr">
        <is>
          <t>spread</t>
        </is>
      </c>
      <c r="I171" s="24" t="inlineStr">
        <is>
          <t>home</t>
        </is>
      </c>
      <c r="J171" s="25" t="n">
        <v>1.5</v>
      </c>
      <c r="K171" s="24" t="inlineStr">
        <is>
          <t>polymarket_us</t>
        </is>
      </c>
      <c r="L171" s="26" t="n">
        <v>122</v>
      </c>
      <c r="M171" s="27" t="n">
        <v>2.22</v>
      </c>
      <c r="N171" s="28" t="n">
        <v>0.45045</v>
      </c>
      <c r="O171" s="28" t="n">
        <v>0.599613</v>
      </c>
      <c r="P171" s="28" t="n">
        <v>0.042131</v>
      </c>
      <c r="Q171" s="28" t="n">
        <v>0.149163</v>
      </c>
      <c r="R171" s="26" t="n">
        <v>99</v>
      </c>
      <c r="S171" s="29" t="n">
        <v>1.5</v>
      </c>
      <c r="T171" s="24" t="inlineStr">
        <is>
          <t>measured-edge-margin-v2</t>
        </is>
      </c>
      <c r="U171" s="24" t="inlineStr">
        <is>
          <t>open</t>
        </is>
      </c>
      <c r="V171" s="24" t="n"/>
      <c r="W171" s="26" t="n"/>
      <c r="X171" s="26" t="n"/>
      <c r="Y171" s="25" t="n"/>
      <c r="Z171" s="26" t="n"/>
      <c r="AA171" s="28" t="n"/>
      <c r="AB171" s="28" t="n"/>
      <c r="AC171" s="30" t="n"/>
      <c r="AD171" s="24" t="n"/>
      <c r="AE171" s="31" t="inlineStr">
        <is>
          <t>Measured Edge Margin: Trend Engine projected 4.33-4.07; raw selected-side p=0.6518, calibrated p=0.5996.</t>
        </is>
      </c>
      <c r="AF171" s="31" t="inlineStr">
        <is>
          <t>Research-only; lineup, bullpen, park, weather, xFIP, and wRC+ may be neutral fallbacks; market availability and BBO depth may change before first pitch.</t>
        </is>
      </c>
      <c r="AG171" s="24" t="inlineStr">
        <is>
          <t>not_applicable</t>
        </is>
      </c>
      <c r="AH171" s="24" t="n"/>
      <c r="AI171" s="31" t="n"/>
      <c r="AJ171" s="31" t="n"/>
      <c r="AK171" s="24" t="inlineStr">
        <is>
          <t>research_observation</t>
        </is>
      </c>
      <c r="AL171" s="26" t="n">
        <v>3</v>
      </c>
      <c r="AM171" s="24" t="inlineStr">
        <is>
          <t>RESEARCH_OBSERVATION</t>
        </is>
      </c>
      <c r="AN171" s="24" t="inlineStr">
        <is>
          <t>NO_CALL</t>
        </is>
      </c>
      <c r="AO171" s="24" t="inlineStr">
        <is>
          <t>NO_CALL_MODEL_UNVALIDATED</t>
        </is>
      </c>
      <c r="AP171" s="24" t="inlineStr">
        <is>
          <t>mlb-mil</t>
        </is>
      </c>
      <c r="AQ171" s="24" t="inlineStr">
        <is>
          <t>Milwaukee Brewers</t>
        </is>
      </c>
      <c r="AR171" s="24" t="inlineStr">
        <is>
          <t>Milwaukee Brewers</t>
        </is>
      </c>
      <c r="AS171" s="24" t="inlineStr">
        <is>
          <t>mlb-laa</t>
        </is>
      </c>
      <c r="AT171" s="24" t="inlineStr">
        <is>
          <t>Los Angeles Angels</t>
        </is>
      </c>
      <c r="AU171" s="24" t="inlineStr">
        <is>
          <t>Los Angeles Angels</t>
        </is>
      </c>
      <c r="AV171" s="24" t="n"/>
      <c r="AW171" s="24" t="n"/>
      <c r="AX171" s="24" t="inlineStr">
        <is>
          <t>statistical_model</t>
        </is>
      </c>
      <c r="AY171" s="24" t="n"/>
      <c r="AZ171" s="24" t="inlineStr">
        <is>
          <t>research</t>
        </is>
      </c>
      <c r="BA171" s="24" t="inlineStr">
        <is>
          <t>8360b122264b796b0fb193095cfe4506c7e064e5f3f8c0a659aec41efd08dd25</t>
        </is>
      </c>
      <c r="BB171" s="24" t="inlineStr">
        <is>
          <t>flat_probability_shrinkage_toward_half</t>
        </is>
      </c>
      <c r="BC171" s="24" t="inlineStr">
        <is>
          <t>measured-edge-margin-v2</t>
        </is>
      </c>
      <c r="BD171" s="24" t="inlineStr">
        <is>
          <t>8360b122264b796b0fb193095cfe4506c7e064e5f3f8c0a659aec41efd08dd25</t>
        </is>
      </c>
      <c r="BE171" s="24" t="inlineStr">
        <is>
          <t>v3</t>
        </is>
      </c>
      <c r="BF171" s="24" t="inlineStr">
        <is>
          <t>1</t>
        </is>
      </c>
      <c r="BG171" s="24" t="inlineStr">
        <is>
          <t>measured-edge-paired-v1</t>
        </is>
      </c>
      <c r="BH171" s="24" t="inlineStr">
        <is>
          <t>2026-08-02T07:12:44.561466Z</t>
        </is>
      </c>
      <c r="BI171" s="24" t="inlineStr">
        <is>
          <t>["same_event","same_team_same_day","same_league_same_day"]</t>
        </is>
      </c>
      <c r="BJ171" s="25" t="n">
        <v>1.5</v>
      </c>
      <c r="BK171" s="26" t="n">
        <v>122</v>
      </c>
      <c r="BL171" s="27" t="n">
        <v>2.22</v>
      </c>
      <c r="BM171" s="28" t="n">
        <v>0.45045</v>
      </c>
      <c r="BN171" s="28" t="n">
        <v>0.447761</v>
      </c>
      <c r="BO171" s="28" t="n"/>
      <c r="BP171" s="25" t="n"/>
      <c r="BQ171" s="27" t="n"/>
      <c r="BR171" s="28" t="n"/>
      <c r="BS171" s="28" t="n"/>
      <c r="BT171" s="28" t="n"/>
      <c r="BU171" s="25" t="n"/>
      <c r="BV171" s="29" t="n"/>
      <c r="BW171" s="24" t="n"/>
      <c r="BX171" s="30" t="n"/>
      <c r="BY171" s="27" t="n"/>
      <c r="BZ171" s="24" t="n"/>
      <c r="CA171" s="31" t="n"/>
      <c r="CB171" s="24" t="n"/>
      <c r="CC171" s="24" t="n"/>
      <c r="CD171" s="24" t="n"/>
      <c r="CE171" s="24" t="n"/>
      <c r="CF171" s="24" t="n"/>
      <c r="CG171" s="24" t="n"/>
      <c r="CH171" s="24" t="n"/>
      <c r="CI171" s="24" t="n"/>
      <c r="CJ171" s="24" t="n"/>
      <c r="CK171" s="24" t="n"/>
      <c r="CL171" s="24" t="n"/>
      <c r="CM171" s="24" t="n"/>
      <c r="CN171" s="24" t="n"/>
      <c r="CO171" s="24" t="n"/>
    </row>
    <row r="172" ht="36" customHeight="1">
      <c r="A172" s="24" t="inlineStr">
        <is>
          <t>d7286d0a4a5447d7</t>
        </is>
      </c>
      <c r="B172" s="24" t="inlineStr">
        <is>
          <t>2026-08-02T07:12:44.561466Z</t>
        </is>
      </c>
      <c r="C172" s="24" t="inlineStr">
        <is>
          <t>2026-08-02T19:15Z</t>
        </is>
      </c>
      <c r="D172" s="24" t="inlineStr">
        <is>
          <t>401816374</t>
        </is>
      </c>
      <c r="E172" s="24" t="inlineStr">
        <is>
          <t>MLB</t>
        </is>
      </c>
      <c r="F172" s="24" t="inlineStr">
        <is>
          <t>Milwaukee Brewers</t>
        </is>
      </c>
      <c r="G172" s="24" t="inlineStr">
        <is>
          <t>Los Angeles Angels</t>
        </is>
      </c>
      <c r="H172" s="24" t="inlineStr">
        <is>
          <t>total</t>
        </is>
      </c>
      <c r="I172" s="24" t="inlineStr">
        <is>
          <t>over</t>
        </is>
      </c>
      <c r="J172" s="25" t="n">
        <v>7.5</v>
      </c>
      <c r="K172" s="24" t="inlineStr">
        <is>
          <t>polymarket_us</t>
        </is>
      </c>
      <c r="L172" s="26" t="n">
        <v>-108</v>
      </c>
      <c r="M172" s="27" t="n">
        <v>1.925926</v>
      </c>
      <c r="N172" s="28" t="n">
        <v>0.519231</v>
      </c>
      <c r="O172" s="28" t="n">
        <v>0.520268</v>
      </c>
      <c r="P172" s="28" t="n">
        <v>0.042131</v>
      </c>
      <c r="Q172" s="28" t="n">
        <v>0.001037</v>
      </c>
      <c r="R172" s="26" t="n">
        <v>25</v>
      </c>
      <c r="S172" s="29" t="n">
        <v>1</v>
      </c>
      <c r="T172" s="24" t="inlineStr">
        <is>
          <t>measured-edge-totals-v2</t>
        </is>
      </c>
      <c r="U172" s="24" t="inlineStr">
        <is>
          <t>open</t>
        </is>
      </c>
      <c r="V172" s="24" t="n"/>
      <c r="W172" s="26" t="n"/>
      <c r="X172" s="26" t="n"/>
      <c r="Y172" s="25" t="n"/>
      <c r="Z172" s="26" t="n"/>
      <c r="AA172" s="28" t="n"/>
      <c r="AB172" s="28" t="n"/>
      <c r="AC172" s="30" t="n"/>
      <c r="AD172" s="24" t="n"/>
      <c r="AE172" s="31" t="inlineStr">
        <is>
          <t>Measured Edge Totals: Trend Engine projected 4.33-4.07; raw selected-side p=0.5361, calibrated p=0.5203.</t>
        </is>
      </c>
      <c r="AF172" s="31" t="inlineStr">
        <is>
          <t>Research-only; lineup, bullpen, park, weather, xFIP, and wRC+ may be neutral fallbacks; market availability and BBO depth may change before first pitch.</t>
        </is>
      </c>
      <c r="AG172" s="24" t="inlineStr">
        <is>
          <t>not_applicable</t>
        </is>
      </c>
      <c r="AH172" s="24" t="n"/>
      <c r="AI172" s="31" t="n"/>
      <c r="AJ172" s="31" t="n"/>
      <c r="AK172" s="24" t="inlineStr">
        <is>
          <t>research_observation</t>
        </is>
      </c>
      <c r="AL172" s="26" t="n">
        <v>3</v>
      </c>
      <c r="AM172" s="24" t="inlineStr">
        <is>
          <t>RESEARCH_OBSERVATION</t>
        </is>
      </c>
      <c r="AN172" s="24" t="inlineStr">
        <is>
          <t>NO_CALL</t>
        </is>
      </c>
      <c r="AO172" s="24" t="inlineStr">
        <is>
          <t>NO_CALL_MODEL_UNVALIDATED</t>
        </is>
      </c>
      <c r="AP172" s="24" t="inlineStr">
        <is>
          <t>mlb-mil</t>
        </is>
      </c>
      <c r="AQ172" s="24" t="inlineStr">
        <is>
          <t>Milwaukee Brewers</t>
        </is>
      </c>
      <c r="AR172" s="24" t="inlineStr">
        <is>
          <t>Milwaukee Brewers</t>
        </is>
      </c>
      <c r="AS172" s="24" t="inlineStr">
        <is>
          <t>mlb-laa</t>
        </is>
      </c>
      <c r="AT172" s="24" t="inlineStr">
        <is>
          <t>Los Angeles Angels</t>
        </is>
      </c>
      <c r="AU172" s="24" t="inlineStr">
        <is>
          <t>Los Angeles Angels</t>
        </is>
      </c>
      <c r="AV172" s="24" t="n"/>
      <c r="AW172" s="24" t="n"/>
      <c r="AX172" s="24" t="inlineStr">
        <is>
          <t>statistical_model</t>
        </is>
      </c>
      <c r="AY172" s="24" t="n"/>
      <c r="AZ172" s="24" t="inlineStr">
        <is>
          <t>research</t>
        </is>
      </c>
      <c r="BA172" s="24" t="inlineStr">
        <is>
          <t>433578016242b27f9c1c7132cc6b5a2bcc7dd1b0234590c12a944455a88e71bd</t>
        </is>
      </c>
      <c r="BB172" s="24" t="inlineStr">
        <is>
          <t>flat_probability_shrinkage_toward_half</t>
        </is>
      </c>
      <c r="BC172" s="24" t="inlineStr">
        <is>
          <t>measured-edge-totals-v2</t>
        </is>
      </c>
      <c r="BD172" s="24" t="inlineStr">
        <is>
          <t>433578016242b27f9c1c7132cc6b5a2bcc7dd1b0234590c12a944455a88e71bd</t>
        </is>
      </c>
      <c r="BE172" s="24" t="inlineStr">
        <is>
          <t>v3</t>
        </is>
      </c>
      <c r="BF172" s="24" t="inlineStr">
        <is>
          <t>1</t>
        </is>
      </c>
      <c r="BG172" s="24" t="inlineStr">
        <is>
          <t>measured-edge-paired-v1</t>
        </is>
      </c>
      <c r="BH172" s="24" t="inlineStr">
        <is>
          <t>2026-08-02T07:12:44.561466Z</t>
        </is>
      </c>
      <c r="BI172" s="24" t="inlineStr">
        <is>
          <t>["same_event","same_team_same_day","same_league_same_day"]</t>
        </is>
      </c>
      <c r="BJ172" s="25" t="n">
        <v>7.5</v>
      </c>
      <c r="BK172" s="26" t="n">
        <v>-108</v>
      </c>
      <c r="BL172" s="27" t="n">
        <v>1.925926</v>
      </c>
      <c r="BM172" s="28" t="n">
        <v>0.519231</v>
      </c>
      <c r="BN172" s="28" t="n">
        <v>0.517413</v>
      </c>
      <c r="BO172" s="28" t="n"/>
      <c r="BP172" s="25" t="n"/>
      <c r="BQ172" s="27" t="n"/>
      <c r="BR172" s="28" t="n"/>
      <c r="BS172" s="28" t="n"/>
      <c r="BT172" s="28" t="n"/>
      <c r="BU172" s="25" t="n"/>
      <c r="BV172" s="29" t="n"/>
      <c r="BW172" s="24" t="n"/>
      <c r="BX172" s="30" t="n"/>
      <c r="BY172" s="27" t="n"/>
      <c r="BZ172" s="24" t="n"/>
      <c r="CA172" s="31" t="n"/>
      <c r="CB172" s="24" t="n"/>
      <c r="CC172" s="24" t="n"/>
      <c r="CD172" s="24" t="n"/>
      <c r="CE172" s="24" t="n"/>
      <c r="CF172" s="24" t="n"/>
      <c r="CG172" s="24" t="n"/>
      <c r="CH172" s="24" t="n"/>
      <c r="CI172" s="24" t="n"/>
      <c r="CJ172" s="24" t="n"/>
      <c r="CK172" s="24" t="n"/>
      <c r="CL172" s="24" t="n"/>
      <c r="CM172" s="24" t="n"/>
      <c r="CN172" s="24" t="n"/>
      <c r="CO172" s="24" t="n"/>
    </row>
    <row r="173" ht="36" customHeight="1">
      <c r="A173" s="24" t="inlineStr">
        <is>
          <t>fa32400389b34365</t>
        </is>
      </c>
      <c r="B173" s="24" t="inlineStr">
        <is>
          <t>2026-08-02T07:12:44.561466Z</t>
        </is>
      </c>
      <c r="C173" s="24" t="inlineStr">
        <is>
          <t>2026-08-02T20:05Z</t>
        </is>
      </c>
      <c r="D173" s="24" t="inlineStr">
        <is>
          <t>401816373</t>
        </is>
      </c>
      <c r="E173" s="24" t="inlineStr">
        <is>
          <t>MLB</t>
        </is>
      </c>
      <c r="F173" s="24" t="inlineStr">
        <is>
          <t>Detroit Tigers</t>
        </is>
      </c>
      <c r="G173" s="24" t="inlineStr">
        <is>
          <t>Athletics</t>
        </is>
      </c>
      <c r="H173" s="24" t="inlineStr">
        <is>
          <t>spread</t>
        </is>
      </c>
      <c r="I173" s="24" t="inlineStr">
        <is>
          <t>home</t>
        </is>
      </c>
      <c r="J173" s="25" t="n">
        <v>1.5</v>
      </c>
      <c r="K173" s="24" t="inlineStr">
        <is>
          <t>polymarket_us</t>
        </is>
      </c>
      <c r="L173" s="26" t="n">
        <v>-147</v>
      </c>
      <c r="M173" s="27" t="n">
        <v>1.680272</v>
      </c>
      <c r="N173" s="28" t="n">
        <v>0.5951419999999999</v>
      </c>
      <c r="O173" s="28" t="n">
        <v>0.598859</v>
      </c>
      <c r="P173" s="28" t="n">
        <v>0.042131</v>
      </c>
      <c r="Q173" s="28" t="n">
        <v>0.003717</v>
      </c>
      <c r="R173" s="26" t="n">
        <v>27</v>
      </c>
      <c r="S173" s="29" t="n">
        <v>1.5</v>
      </c>
      <c r="T173" s="24" t="inlineStr">
        <is>
          <t>measured-edge-margin-v2</t>
        </is>
      </c>
      <c r="U173" s="24" t="inlineStr">
        <is>
          <t>open</t>
        </is>
      </c>
      <c r="V173" s="24" t="n"/>
      <c r="W173" s="26" t="n"/>
      <c r="X173" s="26" t="n"/>
      <c r="Y173" s="25" t="n"/>
      <c r="Z173" s="26" t="n"/>
      <c r="AA173" s="28" t="n"/>
      <c r="AB173" s="28" t="n"/>
      <c r="AC173" s="30" t="n"/>
      <c r="AD173" s="24" t="n"/>
      <c r="AE173" s="31" t="inlineStr">
        <is>
          <t>Measured Edge Margin: Trend Engine projected 4.86-4.74; raw selected-side p=0.6506, calibrated p=0.5989.</t>
        </is>
      </c>
      <c r="AF173" s="31" t="inlineStr">
        <is>
          <t>Research-only; lineup, bullpen, park, weather, xFIP, and wRC+ may be neutral fallbacks; market availability and BBO depth may change before first pitch.</t>
        </is>
      </c>
      <c r="AG173" s="24" t="inlineStr">
        <is>
          <t>not_applicable</t>
        </is>
      </c>
      <c r="AH173" s="24" t="n"/>
      <c r="AI173" s="31" t="n"/>
      <c r="AJ173" s="31" t="n"/>
      <c r="AK173" s="24" t="inlineStr">
        <is>
          <t>research_observation</t>
        </is>
      </c>
      <c r="AL173" s="26" t="n">
        <v>3</v>
      </c>
      <c r="AM173" s="24" t="inlineStr">
        <is>
          <t>RESEARCH_OBSERVATION</t>
        </is>
      </c>
      <c r="AN173" s="24" t="inlineStr">
        <is>
          <t>NO_CALL</t>
        </is>
      </c>
      <c r="AO173" s="24" t="inlineStr">
        <is>
          <t>NO_CALL_MODEL_UNVALIDATED</t>
        </is>
      </c>
      <c r="AP173" s="24" t="inlineStr">
        <is>
          <t>mlb-det</t>
        </is>
      </c>
      <c r="AQ173" s="24" t="inlineStr">
        <is>
          <t>Detroit Tigers</t>
        </is>
      </c>
      <c r="AR173" s="24" t="inlineStr">
        <is>
          <t>Detroit Tigers</t>
        </is>
      </c>
      <c r="AS173" s="24" t="inlineStr">
        <is>
          <t>mlb-ath</t>
        </is>
      </c>
      <c r="AT173" s="24" t="inlineStr">
        <is>
          <t>Athletics</t>
        </is>
      </c>
      <c r="AU173" s="24" t="inlineStr">
        <is>
          <t>Athletics</t>
        </is>
      </c>
      <c r="AV173" s="24" t="n"/>
      <c r="AW173" s="24" t="n"/>
      <c r="AX173" s="24" t="inlineStr">
        <is>
          <t>statistical_model</t>
        </is>
      </c>
      <c r="AY173" s="24" t="n"/>
      <c r="AZ173" s="24" t="inlineStr">
        <is>
          <t>research</t>
        </is>
      </c>
      <c r="BA173" s="24" t="inlineStr">
        <is>
          <t>8360b122264b796b0fb193095cfe4506c7e064e5f3f8c0a659aec41efd08dd25</t>
        </is>
      </c>
      <c r="BB173" s="24" t="inlineStr">
        <is>
          <t>flat_probability_shrinkage_toward_half</t>
        </is>
      </c>
      <c r="BC173" s="24" t="inlineStr">
        <is>
          <t>measured-edge-margin-v2</t>
        </is>
      </c>
      <c r="BD173" s="24" t="inlineStr">
        <is>
          <t>8360b122264b796b0fb193095cfe4506c7e064e5f3f8c0a659aec41efd08dd25</t>
        </is>
      </c>
      <c r="BE173" s="24" t="inlineStr">
        <is>
          <t>v3</t>
        </is>
      </c>
      <c r="BF173" s="24" t="inlineStr">
        <is>
          <t>1</t>
        </is>
      </c>
      <c r="BG173" s="24" t="inlineStr">
        <is>
          <t>measured-edge-paired-v1</t>
        </is>
      </c>
      <c r="BH173" s="24" t="inlineStr">
        <is>
          <t>2026-08-02T07:12:44.561466Z</t>
        </is>
      </c>
      <c r="BI173" s="24" t="inlineStr">
        <is>
          <t>["same_event","same_team_same_day","same_league_same_day"]</t>
        </is>
      </c>
      <c r="BJ173" s="25" t="n">
        <v>1.5</v>
      </c>
      <c r="BK173" s="26" t="n">
        <v>-147</v>
      </c>
      <c r="BL173" s="27" t="n">
        <v>1.680272</v>
      </c>
      <c r="BM173" s="28" t="n">
        <v>0.5951419999999999</v>
      </c>
      <c r="BN173" s="28" t="n">
        <v>0.59204</v>
      </c>
      <c r="BO173" s="28" t="n"/>
      <c r="BP173" s="25" t="n"/>
      <c r="BQ173" s="27" t="n"/>
      <c r="BR173" s="28" t="n"/>
      <c r="BS173" s="28" t="n"/>
      <c r="BT173" s="28" t="n"/>
      <c r="BU173" s="25" t="n"/>
      <c r="BV173" s="29" t="n"/>
      <c r="BW173" s="24" t="n"/>
      <c r="BX173" s="30" t="n"/>
      <c r="BY173" s="27" t="n"/>
      <c r="BZ173" s="24" t="n"/>
      <c r="CA173" s="31" t="n"/>
      <c r="CB173" s="24" t="n"/>
      <c r="CC173" s="24" t="n"/>
      <c r="CD173" s="24" t="n"/>
      <c r="CE173" s="24" t="n"/>
      <c r="CF173" s="24" t="n"/>
      <c r="CG173" s="24" t="n"/>
      <c r="CH173" s="24" t="n"/>
      <c r="CI173" s="24" t="n"/>
      <c r="CJ173" s="24" t="n"/>
      <c r="CK173" s="24" t="n"/>
      <c r="CL173" s="24" t="n"/>
      <c r="CM173" s="24" t="n"/>
      <c r="CN173" s="24" t="n"/>
      <c r="CO173" s="24" t="n"/>
    </row>
    <row r="174" ht="36" customHeight="1">
      <c r="A174" s="24" t="inlineStr">
        <is>
          <t>d0d74634187e4468</t>
        </is>
      </c>
      <c r="B174" s="24" t="inlineStr">
        <is>
          <t>2026-08-02T07:12:44.561466Z</t>
        </is>
      </c>
      <c r="C174" s="24" t="inlineStr">
        <is>
          <t>2026-08-02T20:05Z</t>
        </is>
      </c>
      <c r="D174" s="24" t="inlineStr">
        <is>
          <t>401816373</t>
        </is>
      </c>
      <c r="E174" s="24" t="inlineStr">
        <is>
          <t>MLB</t>
        </is>
      </c>
      <c r="F174" s="24" t="inlineStr">
        <is>
          <t>Detroit Tigers</t>
        </is>
      </c>
      <c r="G174" s="24" t="inlineStr">
        <is>
          <t>Athletics</t>
        </is>
      </c>
      <c r="H174" s="24" t="inlineStr">
        <is>
          <t>total</t>
        </is>
      </c>
      <c r="I174" s="24" t="inlineStr">
        <is>
          <t>under</t>
        </is>
      </c>
      <c r="J174" s="25" t="n">
        <v>11.5</v>
      </c>
      <c r="K174" s="24" t="inlineStr">
        <is>
          <t>polymarket_us</t>
        </is>
      </c>
      <c r="L174" s="26" t="n">
        <v>-117</v>
      </c>
      <c r="M174" s="27" t="n">
        <v>1.854701</v>
      </c>
      <c r="N174" s="28" t="n">
        <v>0.539171</v>
      </c>
      <c r="O174" s="28" t="n">
        <v>0.5763239999999999</v>
      </c>
      <c r="P174" s="28" t="n">
        <v>0.042131</v>
      </c>
      <c r="Q174" s="28" t="n">
        <v>0.037153</v>
      </c>
      <c r="R174" s="26" t="n">
        <v>43</v>
      </c>
      <c r="S174" s="29" t="n">
        <v>1.25</v>
      </c>
      <c r="T174" s="24" t="inlineStr">
        <is>
          <t>measured-edge-totals-v2</t>
        </is>
      </c>
      <c r="U174" s="24" t="inlineStr">
        <is>
          <t>open</t>
        </is>
      </c>
      <c r="V174" s="24" t="n"/>
      <c r="W174" s="26" t="n"/>
      <c r="X174" s="26" t="n"/>
      <c r="Y174" s="25" t="n"/>
      <c r="Z174" s="26" t="n"/>
      <c r="AA174" s="28" t="n"/>
      <c r="AB174" s="28" t="n"/>
      <c r="AC174" s="30" t="n"/>
      <c r="AD174" s="24" t="n"/>
      <c r="AE174" s="31" t="inlineStr">
        <is>
          <t>Measured Edge Totals: Trend Engine projected 4.86-4.74; raw selected-side p=0.7001, calibrated p=0.5763.</t>
        </is>
      </c>
      <c r="AF174" s="31" t="inlineStr">
        <is>
          <t>Research-only; lineup, bullpen, park, weather, xFIP, and wRC+ may be neutral fallbacks; market availability and BBO depth may change before first pitch.</t>
        </is>
      </c>
      <c r="AG174" s="24" t="inlineStr">
        <is>
          <t>not_applicable</t>
        </is>
      </c>
      <c r="AH174" s="24" t="n"/>
      <c r="AI174" s="31" t="n"/>
      <c r="AJ174" s="31" t="n"/>
      <c r="AK174" s="24" t="inlineStr">
        <is>
          <t>research_observation</t>
        </is>
      </c>
      <c r="AL174" s="26" t="n">
        <v>3</v>
      </c>
      <c r="AM174" s="24" t="inlineStr">
        <is>
          <t>RESEARCH_OBSERVATION</t>
        </is>
      </c>
      <c r="AN174" s="24" t="inlineStr">
        <is>
          <t>NO_CALL</t>
        </is>
      </c>
      <c r="AO174" s="24" t="inlineStr">
        <is>
          <t>NO_CALL_MODEL_UNVALIDATED</t>
        </is>
      </c>
      <c r="AP174" s="24" t="inlineStr">
        <is>
          <t>mlb-det</t>
        </is>
      </c>
      <c r="AQ174" s="24" t="inlineStr">
        <is>
          <t>Detroit Tigers</t>
        </is>
      </c>
      <c r="AR174" s="24" t="inlineStr">
        <is>
          <t>Detroit Tigers</t>
        </is>
      </c>
      <c r="AS174" s="24" t="inlineStr">
        <is>
          <t>mlb-ath</t>
        </is>
      </c>
      <c r="AT174" s="24" t="inlineStr">
        <is>
          <t>Athletics</t>
        </is>
      </c>
      <c r="AU174" s="24" t="inlineStr">
        <is>
          <t>Athletics</t>
        </is>
      </c>
      <c r="AV174" s="24" t="n"/>
      <c r="AW174" s="24" t="n"/>
      <c r="AX174" s="24" t="inlineStr">
        <is>
          <t>statistical_model</t>
        </is>
      </c>
      <c r="AY174" s="24" t="n"/>
      <c r="AZ174" s="24" t="inlineStr">
        <is>
          <t>research</t>
        </is>
      </c>
      <c r="BA174" s="24" t="inlineStr">
        <is>
          <t>433578016242b27f9c1c7132cc6b5a2bcc7dd1b0234590c12a944455a88e71bd</t>
        </is>
      </c>
      <c r="BB174" s="24" t="inlineStr">
        <is>
          <t>flat_probability_shrinkage_toward_half</t>
        </is>
      </c>
      <c r="BC174" s="24" t="inlineStr">
        <is>
          <t>measured-edge-totals-v2</t>
        </is>
      </c>
      <c r="BD174" s="24" t="inlineStr">
        <is>
          <t>433578016242b27f9c1c7132cc6b5a2bcc7dd1b0234590c12a944455a88e71bd</t>
        </is>
      </c>
      <c r="BE174" s="24" t="inlineStr">
        <is>
          <t>v3</t>
        </is>
      </c>
      <c r="BF174" s="24" t="inlineStr">
        <is>
          <t>1</t>
        </is>
      </c>
      <c r="BG174" s="24" t="inlineStr">
        <is>
          <t>measured-edge-paired-v1</t>
        </is>
      </c>
      <c r="BH174" s="24" t="inlineStr">
        <is>
          <t>2026-08-02T07:12:44.561466Z</t>
        </is>
      </c>
      <c r="BI174" s="24" t="inlineStr">
        <is>
          <t>["same_event","same_team_same_day","same_league_same_day"]</t>
        </is>
      </c>
      <c r="BJ174" s="25" t="n">
        <v>11.5</v>
      </c>
      <c r="BK174" s="26" t="n">
        <v>-117</v>
      </c>
      <c r="BL174" s="27" t="n">
        <v>1.854701</v>
      </c>
      <c r="BM174" s="28" t="n">
        <v>0.539171</v>
      </c>
      <c r="BN174" s="28" t="n">
        <v>0.537313</v>
      </c>
      <c r="BO174" s="28" t="n"/>
      <c r="BP174" s="25" t="n"/>
      <c r="BQ174" s="27" t="n"/>
      <c r="BR174" s="28" t="n"/>
      <c r="BS174" s="28" t="n"/>
      <c r="BT174" s="28" t="n"/>
      <c r="BU174" s="25" t="n"/>
      <c r="BV174" s="29" t="n"/>
      <c r="BW174" s="24" t="n"/>
      <c r="BX174" s="30" t="n"/>
      <c r="BY174" s="27" t="n"/>
      <c r="BZ174" s="24" t="n"/>
      <c r="CA174" s="31" t="n"/>
      <c r="CB174" s="24" t="n"/>
      <c r="CC174" s="24" t="n"/>
      <c r="CD174" s="24" t="n"/>
      <c r="CE174" s="24" t="n"/>
      <c r="CF174" s="24" t="n"/>
      <c r="CG174" s="24" t="n"/>
      <c r="CH174" s="24" t="n"/>
      <c r="CI174" s="24" t="n"/>
      <c r="CJ174" s="24" t="n"/>
      <c r="CK174" s="24" t="n"/>
      <c r="CL174" s="24" t="n"/>
      <c r="CM174" s="24" t="n"/>
      <c r="CN174" s="24" t="n"/>
      <c r="CO174" s="24" t="n"/>
    </row>
    <row r="175" ht="36" customHeight="1">
      <c r="A175" s="24" t="inlineStr">
        <is>
          <t>938a2a4b8e0948e7</t>
        </is>
      </c>
      <c r="B175" s="24" t="inlineStr">
        <is>
          <t>2026-08-02T07:12:44.561466Z</t>
        </is>
      </c>
      <c r="C175" s="24" t="inlineStr">
        <is>
          <t>2026-08-02T20:10Z</t>
        </is>
      </c>
      <c r="D175" s="24" t="inlineStr">
        <is>
          <t>401816375</t>
        </is>
      </c>
      <c r="E175" s="24" t="inlineStr">
        <is>
          <t>MLB</t>
        </is>
      </c>
      <c r="F175" s="24" t="inlineStr">
        <is>
          <t>Minnesota Twins</t>
        </is>
      </c>
      <c r="G175" s="24" t="inlineStr">
        <is>
          <t>Seattle Mariners</t>
        </is>
      </c>
      <c r="H175" s="24" t="inlineStr">
        <is>
          <t>spread</t>
        </is>
      </c>
      <c r="I175" s="24" t="inlineStr">
        <is>
          <t>away</t>
        </is>
      </c>
      <c r="J175" s="25" t="n">
        <v>1.5</v>
      </c>
      <c r="K175" s="24" t="inlineStr">
        <is>
          <t>polymarket_us</t>
        </is>
      </c>
      <c r="L175" s="26" t="n">
        <v>-167</v>
      </c>
      <c r="M175" s="27" t="n">
        <v>1.598802</v>
      </c>
      <c r="N175" s="28" t="n">
        <v>0.625468</v>
      </c>
      <c r="O175" s="28" t="n">
        <v>0.607814</v>
      </c>
      <c r="P175" s="28" t="n">
        <v>0.042131</v>
      </c>
      <c r="Q175" s="28" t="n">
        <v>-0.017654</v>
      </c>
      <c r="R175" s="26" t="n">
        <v>16</v>
      </c>
      <c r="S175" s="29" t="n">
        <v>1.5</v>
      </c>
      <c r="T175" s="24" t="inlineStr">
        <is>
          <t>measured-edge-margin-v2</t>
        </is>
      </c>
      <c r="U175" s="24" t="inlineStr">
        <is>
          <t>open</t>
        </is>
      </c>
      <c r="V175" s="24" t="n"/>
      <c r="W175" s="26" t="n"/>
      <c r="X175" s="26" t="n"/>
      <c r="Y175" s="25" t="n"/>
      <c r="Z175" s="26" t="n"/>
      <c r="AA175" s="28" t="n"/>
      <c r="AB175" s="28" t="n"/>
      <c r="AC175" s="30" t="n"/>
      <c r="AD175" s="24" t="n"/>
      <c r="AE175" s="31" t="inlineStr">
        <is>
          <t>Measured Edge Margin: Trend Engine projected 4.39-4.46; raw selected-side p=0.6643, calibrated p=0.6078.</t>
        </is>
      </c>
      <c r="AF175" s="31" t="inlineStr">
        <is>
          <t>Research-only; lineup, bullpen, park, weather, xFIP, and wRC+ may be neutral fallbacks; market availability and BBO depth may change before first pitch.</t>
        </is>
      </c>
      <c r="AG175" s="24" t="inlineStr">
        <is>
          <t>not_applicable</t>
        </is>
      </c>
      <c r="AH175" s="24" t="n"/>
      <c r="AI175" s="31" t="n"/>
      <c r="AJ175" s="31" t="n"/>
      <c r="AK175" s="24" t="inlineStr">
        <is>
          <t>research_observation</t>
        </is>
      </c>
      <c r="AL175" s="26" t="n">
        <v>3</v>
      </c>
      <c r="AM175" s="24" t="inlineStr">
        <is>
          <t>RESEARCH_OBSERVATION</t>
        </is>
      </c>
      <c r="AN175" s="24" t="inlineStr">
        <is>
          <t>NO_CALL</t>
        </is>
      </c>
      <c r="AO175" s="24" t="inlineStr">
        <is>
          <t>NO_CALL_MODEL_UNVALIDATED</t>
        </is>
      </c>
      <c r="AP175" s="24" t="inlineStr">
        <is>
          <t>mlb-min</t>
        </is>
      </c>
      <c r="AQ175" s="24" t="inlineStr">
        <is>
          <t>Minnesota Twins</t>
        </is>
      </c>
      <c r="AR175" s="24" t="inlineStr">
        <is>
          <t>Minnesota Twins</t>
        </is>
      </c>
      <c r="AS175" s="24" t="inlineStr">
        <is>
          <t>mlb-sea</t>
        </is>
      </c>
      <c r="AT175" s="24" t="inlineStr">
        <is>
          <t>Seattle Mariners</t>
        </is>
      </c>
      <c r="AU175" s="24" t="inlineStr">
        <is>
          <t>Seattle Mariners</t>
        </is>
      </c>
      <c r="AV175" s="24" t="n"/>
      <c r="AW175" s="24" t="n"/>
      <c r="AX175" s="24" t="inlineStr">
        <is>
          <t>statistical_model</t>
        </is>
      </c>
      <c r="AY175" s="24" t="n"/>
      <c r="AZ175" s="24" t="inlineStr">
        <is>
          <t>research</t>
        </is>
      </c>
      <c r="BA175" s="24" t="inlineStr">
        <is>
          <t>8360b122264b796b0fb193095cfe4506c7e064e5f3f8c0a659aec41efd08dd25</t>
        </is>
      </c>
      <c r="BB175" s="24" t="inlineStr">
        <is>
          <t>flat_probability_shrinkage_toward_half</t>
        </is>
      </c>
      <c r="BC175" s="24" t="inlineStr">
        <is>
          <t>measured-edge-margin-v2</t>
        </is>
      </c>
      <c r="BD175" s="24" t="inlineStr">
        <is>
          <t>8360b122264b796b0fb193095cfe4506c7e064e5f3f8c0a659aec41efd08dd25</t>
        </is>
      </c>
      <c r="BE175" s="24" t="inlineStr">
        <is>
          <t>v3</t>
        </is>
      </c>
      <c r="BF175" s="24" t="inlineStr">
        <is>
          <t>1</t>
        </is>
      </c>
      <c r="BG175" s="24" t="inlineStr">
        <is>
          <t>measured-edge-paired-v1</t>
        </is>
      </c>
      <c r="BH175" s="24" t="inlineStr">
        <is>
          <t>2026-08-02T07:12:44.561466Z</t>
        </is>
      </c>
      <c r="BI175" s="24" t="inlineStr">
        <is>
          <t>["same_event","same_team_same_day","same_league_same_day"]</t>
        </is>
      </c>
      <c r="BJ175" s="25" t="n">
        <v>1.5</v>
      </c>
      <c r="BK175" s="26" t="n">
        <v>-167</v>
      </c>
      <c r="BL175" s="27" t="n">
        <v>1.598802</v>
      </c>
      <c r="BM175" s="28" t="n">
        <v>0.625468</v>
      </c>
      <c r="BN175" s="28" t="n">
        <v>0.621891</v>
      </c>
      <c r="BO175" s="28" t="n"/>
      <c r="BP175" s="25" t="n"/>
      <c r="BQ175" s="27" t="n"/>
      <c r="BR175" s="28" t="n"/>
      <c r="BS175" s="28" t="n"/>
      <c r="BT175" s="28" t="n"/>
      <c r="BU175" s="25" t="n"/>
      <c r="BV175" s="29" t="n"/>
      <c r="BW175" s="24" t="n"/>
      <c r="BX175" s="30" t="n"/>
      <c r="BY175" s="27" t="n"/>
      <c r="BZ175" s="24" t="n"/>
      <c r="CA175" s="31" t="n"/>
      <c r="CB175" s="24" t="n"/>
      <c r="CC175" s="24" t="n"/>
      <c r="CD175" s="24" t="n"/>
      <c r="CE175" s="24" t="n"/>
      <c r="CF175" s="24" t="n"/>
      <c r="CG175" s="24" t="n"/>
      <c r="CH175" s="24" t="n"/>
      <c r="CI175" s="24" t="n"/>
      <c r="CJ175" s="24" t="n"/>
      <c r="CK175" s="24" t="n"/>
      <c r="CL175" s="24" t="n"/>
      <c r="CM175" s="24" t="n"/>
      <c r="CN175" s="24" t="n"/>
      <c r="CO175" s="24" t="n"/>
    </row>
    <row r="176" ht="36" customHeight="1">
      <c r="A176" s="24" t="inlineStr">
        <is>
          <t>c23696d38c114e3f</t>
        </is>
      </c>
      <c r="B176" s="24" t="inlineStr">
        <is>
          <t>2026-08-02T07:12:44.561466Z</t>
        </is>
      </c>
      <c r="C176" s="24" t="inlineStr">
        <is>
          <t>2026-08-02T20:10Z</t>
        </is>
      </c>
      <c r="D176" s="24" t="inlineStr">
        <is>
          <t>401816375</t>
        </is>
      </c>
      <c r="E176" s="24" t="inlineStr">
        <is>
          <t>MLB</t>
        </is>
      </c>
      <c r="F176" s="24" t="inlineStr">
        <is>
          <t>Minnesota Twins</t>
        </is>
      </c>
      <c r="G176" s="24" t="inlineStr">
        <is>
          <t>Seattle Mariners</t>
        </is>
      </c>
      <c r="H176" s="24" t="inlineStr">
        <is>
          <t>total</t>
        </is>
      </c>
      <c r="I176" s="24" t="inlineStr">
        <is>
          <t>over</t>
        </is>
      </c>
      <c r="J176" s="25" t="n">
        <v>7.5</v>
      </c>
      <c r="K176" s="24" t="inlineStr">
        <is>
          <t>polymarket_us</t>
        </is>
      </c>
      <c r="L176" s="26" t="n">
        <v>115</v>
      </c>
      <c r="M176" s="27" t="n">
        <v>2.15</v>
      </c>
      <c r="N176" s="28" t="n">
        <v>0.465116</v>
      </c>
      <c r="O176" s="28" t="n">
        <v>0.532757</v>
      </c>
      <c r="P176" s="28" t="n">
        <v>0.042131</v>
      </c>
      <c r="Q176" s="28" t="n">
        <v>0.06764100000000001</v>
      </c>
      <c r="R176" s="26" t="n">
        <v>59</v>
      </c>
      <c r="S176" s="29" t="n">
        <v>1</v>
      </c>
      <c r="T176" s="24" t="inlineStr">
        <is>
          <t>measured-edge-totals-v2</t>
        </is>
      </c>
      <c r="U176" s="24" t="inlineStr">
        <is>
          <t>open</t>
        </is>
      </c>
      <c r="V176" s="24" t="n"/>
      <c r="W176" s="26" t="n"/>
      <c r="X176" s="26" t="n"/>
      <c r="Y176" s="25" t="n"/>
      <c r="Z176" s="26" t="n"/>
      <c r="AA176" s="28" t="n"/>
      <c r="AB176" s="28" t="n"/>
      <c r="AC176" s="30" t="n"/>
      <c r="AD176" s="24" t="n"/>
      <c r="AE176" s="31" t="inlineStr">
        <is>
          <t>Measured Edge Totals: Trend Engine projected 4.39-4.46; raw selected-side p=0.5726, calibrated p=0.5328.</t>
        </is>
      </c>
      <c r="AF176" s="31" t="inlineStr">
        <is>
          <t>Research-only; lineup, bullpen, park, weather, xFIP, and wRC+ may be neutral fallbacks; market availability and BBO depth may change before first pitch.</t>
        </is>
      </c>
      <c r="AG176" s="24" t="inlineStr">
        <is>
          <t>not_applicable</t>
        </is>
      </c>
      <c r="AH176" s="24" t="n"/>
      <c r="AI176" s="31" t="n"/>
      <c r="AJ176" s="31" t="n"/>
      <c r="AK176" s="24" t="inlineStr">
        <is>
          <t>research_observation</t>
        </is>
      </c>
      <c r="AL176" s="26" t="n">
        <v>3</v>
      </c>
      <c r="AM176" s="24" t="inlineStr">
        <is>
          <t>RESEARCH_OBSERVATION</t>
        </is>
      </c>
      <c r="AN176" s="24" t="inlineStr">
        <is>
          <t>NO_CALL</t>
        </is>
      </c>
      <c r="AO176" s="24" t="inlineStr">
        <is>
          <t>NO_CALL_MODEL_UNVALIDATED</t>
        </is>
      </c>
      <c r="AP176" s="24" t="inlineStr">
        <is>
          <t>mlb-min</t>
        </is>
      </c>
      <c r="AQ176" s="24" t="inlineStr">
        <is>
          <t>Minnesota Twins</t>
        </is>
      </c>
      <c r="AR176" s="24" t="inlineStr">
        <is>
          <t>Minnesota Twins</t>
        </is>
      </c>
      <c r="AS176" s="24" t="inlineStr">
        <is>
          <t>mlb-sea</t>
        </is>
      </c>
      <c r="AT176" s="24" t="inlineStr">
        <is>
          <t>Seattle Mariners</t>
        </is>
      </c>
      <c r="AU176" s="24" t="inlineStr">
        <is>
          <t>Seattle Mariners</t>
        </is>
      </c>
      <c r="AV176" s="24" t="n"/>
      <c r="AW176" s="24" t="n"/>
      <c r="AX176" s="24" t="inlineStr">
        <is>
          <t>statistical_model</t>
        </is>
      </c>
      <c r="AY176" s="24" t="n"/>
      <c r="AZ176" s="24" t="inlineStr">
        <is>
          <t>research</t>
        </is>
      </c>
      <c r="BA176" s="24" t="inlineStr">
        <is>
          <t>433578016242b27f9c1c7132cc6b5a2bcc7dd1b0234590c12a944455a88e71bd</t>
        </is>
      </c>
      <c r="BB176" s="24" t="inlineStr">
        <is>
          <t>flat_probability_shrinkage_toward_half</t>
        </is>
      </c>
      <c r="BC176" s="24" t="inlineStr">
        <is>
          <t>measured-edge-totals-v2</t>
        </is>
      </c>
      <c r="BD176" s="24" t="inlineStr">
        <is>
          <t>433578016242b27f9c1c7132cc6b5a2bcc7dd1b0234590c12a944455a88e71bd</t>
        </is>
      </c>
      <c r="BE176" s="24" t="inlineStr">
        <is>
          <t>v3</t>
        </is>
      </c>
      <c r="BF176" s="24" t="inlineStr">
        <is>
          <t>1</t>
        </is>
      </c>
      <c r="BG176" s="24" t="inlineStr">
        <is>
          <t>measured-edge-paired-v1</t>
        </is>
      </c>
      <c r="BH176" s="24" t="inlineStr">
        <is>
          <t>2026-08-02T07:12:44.561466Z</t>
        </is>
      </c>
      <c r="BI176" s="24" t="inlineStr">
        <is>
          <t>["same_event","same_team_same_day","same_league_same_day"]</t>
        </is>
      </c>
      <c r="BJ176" s="25" t="n">
        <v>7.5</v>
      </c>
      <c r="BK176" s="26" t="n">
        <v>115</v>
      </c>
      <c r="BL176" s="27" t="n">
        <v>2.15</v>
      </c>
      <c r="BM176" s="28" t="n">
        <v>0.465116</v>
      </c>
      <c r="BN176" s="28" t="n">
        <v>0.462687</v>
      </c>
      <c r="BO176" s="28" t="n"/>
      <c r="BP176" s="25" t="n"/>
      <c r="BQ176" s="27" t="n"/>
      <c r="BR176" s="28" t="n"/>
      <c r="BS176" s="28" t="n"/>
      <c r="BT176" s="28" t="n"/>
      <c r="BU176" s="25" t="n"/>
      <c r="BV176" s="29" t="n"/>
      <c r="BW176" s="24" t="n"/>
      <c r="BX176" s="30" t="n"/>
      <c r="BY176" s="27" t="n"/>
      <c r="BZ176" s="24" t="n"/>
      <c r="CA176" s="31" t="n"/>
      <c r="CB176" s="24" t="n"/>
      <c r="CC176" s="24" t="n"/>
      <c r="CD176" s="24" t="n"/>
      <c r="CE176" s="24" t="n"/>
      <c r="CF176" s="24" t="n"/>
      <c r="CG176" s="24" t="n"/>
      <c r="CH176" s="24" t="n"/>
      <c r="CI176" s="24" t="n"/>
      <c r="CJ176" s="24" t="n"/>
      <c r="CK176" s="24" t="n"/>
      <c r="CL176" s="24" t="n"/>
      <c r="CM176" s="24" t="n"/>
      <c r="CN176" s="24" t="n"/>
      <c r="CO176" s="24" t="n"/>
    </row>
    <row r="177" ht="36" customHeight="1">
      <c r="A177" s="24" t="inlineStr">
        <is>
          <t>f6ffe1e44fcf4e12</t>
        </is>
      </c>
      <c r="B177" s="24" t="inlineStr">
        <is>
          <t>2026-08-02T07:12:44.561466Z</t>
        </is>
      </c>
      <c r="C177" s="24" t="inlineStr">
        <is>
          <t>2026-08-02T20:10Z</t>
        </is>
      </c>
      <c r="D177" s="24" t="inlineStr">
        <is>
          <t>401816376</t>
        </is>
      </c>
      <c r="E177" s="24" t="inlineStr">
        <is>
          <t>MLB</t>
        </is>
      </c>
      <c r="F177" s="24" t="inlineStr">
        <is>
          <t>San Francisco Giants</t>
        </is>
      </c>
      <c r="G177" s="24" t="inlineStr">
        <is>
          <t>San Diego Padres</t>
        </is>
      </c>
      <c r="H177" s="24" t="inlineStr">
        <is>
          <t>spread</t>
        </is>
      </c>
      <c r="I177" s="24" t="inlineStr">
        <is>
          <t>away</t>
        </is>
      </c>
      <c r="J177" s="25" t="n">
        <v>1.5</v>
      </c>
      <c r="K177" s="24" t="inlineStr">
        <is>
          <t>polymarket_us</t>
        </is>
      </c>
      <c r="L177" s="26" t="n">
        <v>-160</v>
      </c>
      <c r="M177" s="27" t="n">
        <v>1.625</v>
      </c>
      <c r="N177" s="28" t="n">
        <v>0.615385</v>
      </c>
      <c r="O177" s="28" t="n">
        <v>0.580783</v>
      </c>
      <c r="P177" s="28" t="n">
        <v>0.042131</v>
      </c>
      <c r="Q177" s="28" t="n">
        <v>-0.034602</v>
      </c>
      <c r="R177" s="26" t="n">
        <v>7</v>
      </c>
      <c r="S177" s="29" t="n">
        <v>1.25</v>
      </c>
      <c r="T177" s="24" t="inlineStr">
        <is>
          <t>measured-edge-margin-v2</t>
        </is>
      </c>
      <c r="U177" s="24" t="inlineStr">
        <is>
          <t>open</t>
        </is>
      </c>
      <c r="V177" s="24" t="n"/>
      <c r="W177" s="26" t="n"/>
      <c r="X177" s="26" t="n"/>
      <c r="Y177" s="25" t="n"/>
      <c r="Z177" s="26" t="n"/>
      <c r="AA177" s="28" t="n"/>
      <c r="AB177" s="28" t="n"/>
      <c r="AC177" s="30" t="n"/>
      <c r="AD177" s="24" t="n"/>
      <c r="AE177" s="31" t="inlineStr">
        <is>
          <t>Measured Edge Margin: Trend Engine projected 4.27-4.69; raw selected-side p=0.6230, calibrated p=0.5808.</t>
        </is>
      </c>
      <c r="AF177" s="31" t="inlineStr">
        <is>
          <t>Research-only; lineup, bullpen, park, weather, xFIP, and wRC+ may be neutral fallbacks; market availability and BBO depth may change before first pitch.</t>
        </is>
      </c>
      <c r="AG177" s="24" t="inlineStr">
        <is>
          <t>not_applicable</t>
        </is>
      </c>
      <c r="AH177" s="24" t="n"/>
      <c r="AI177" s="31" t="n"/>
      <c r="AJ177" s="31" t="n"/>
      <c r="AK177" s="24" t="inlineStr">
        <is>
          <t>research_observation</t>
        </is>
      </c>
      <c r="AL177" s="26" t="n">
        <v>3</v>
      </c>
      <c r="AM177" s="24" t="inlineStr">
        <is>
          <t>RESEARCH_OBSERVATION</t>
        </is>
      </c>
      <c r="AN177" s="24" t="inlineStr">
        <is>
          <t>NO_CALL</t>
        </is>
      </c>
      <c r="AO177" s="24" t="inlineStr">
        <is>
          <t>NO_CALL_MODEL_UNVALIDATED</t>
        </is>
      </c>
      <c r="AP177" s="24" t="inlineStr">
        <is>
          <t>mlb-sf</t>
        </is>
      </c>
      <c r="AQ177" s="24" t="inlineStr">
        <is>
          <t>San Francisco Giants</t>
        </is>
      </c>
      <c r="AR177" s="24" t="inlineStr">
        <is>
          <t>San Francisco Giants</t>
        </is>
      </c>
      <c r="AS177" s="24" t="inlineStr">
        <is>
          <t>mlb-sd</t>
        </is>
      </c>
      <c r="AT177" s="24" t="inlineStr">
        <is>
          <t>San Diego Padres</t>
        </is>
      </c>
      <c r="AU177" s="24" t="inlineStr">
        <is>
          <t>San Diego Padres</t>
        </is>
      </c>
      <c r="AV177" s="24" t="n"/>
      <c r="AW177" s="24" t="n"/>
      <c r="AX177" s="24" t="inlineStr">
        <is>
          <t>statistical_model</t>
        </is>
      </c>
      <c r="AY177" s="24" t="n"/>
      <c r="AZ177" s="24" t="inlineStr">
        <is>
          <t>research</t>
        </is>
      </c>
      <c r="BA177" s="24" t="inlineStr">
        <is>
          <t>8360b122264b796b0fb193095cfe4506c7e064e5f3f8c0a659aec41efd08dd25</t>
        </is>
      </c>
      <c r="BB177" s="24" t="inlineStr">
        <is>
          <t>flat_probability_shrinkage_toward_half</t>
        </is>
      </c>
      <c r="BC177" s="24" t="inlineStr">
        <is>
          <t>measured-edge-margin-v2</t>
        </is>
      </c>
      <c r="BD177" s="24" t="inlineStr">
        <is>
          <t>8360b122264b796b0fb193095cfe4506c7e064e5f3f8c0a659aec41efd08dd25</t>
        </is>
      </c>
      <c r="BE177" s="24" t="inlineStr">
        <is>
          <t>v3</t>
        </is>
      </c>
      <c r="BF177" s="24" t="inlineStr">
        <is>
          <t>1</t>
        </is>
      </c>
      <c r="BG177" s="24" t="inlineStr">
        <is>
          <t>measured-edge-paired-v1</t>
        </is>
      </c>
      <c r="BH177" s="24" t="inlineStr">
        <is>
          <t>2026-08-02T07:12:44.561466Z</t>
        </is>
      </c>
      <c r="BI177" s="24" t="inlineStr">
        <is>
          <t>["same_event","same_team_same_day","same_league_same_day"]</t>
        </is>
      </c>
      <c r="BJ177" s="25" t="n">
        <v>1.5</v>
      </c>
      <c r="BK177" s="26" t="n">
        <v>-160</v>
      </c>
      <c r="BL177" s="27" t="n">
        <v>1.625</v>
      </c>
      <c r="BM177" s="28" t="n">
        <v>0.615385</v>
      </c>
      <c r="BN177" s="28" t="n">
        <v>0.61194</v>
      </c>
      <c r="BO177" s="28" t="n"/>
      <c r="BP177" s="25" t="n"/>
      <c r="BQ177" s="27" t="n"/>
      <c r="BR177" s="28" t="n"/>
      <c r="BS177" s="28" t="n"/>
      <c r="BT177" s="28" t="n"/>
      <c r="BU177" s="25" t="n"/>
      <c r="BV177" s="29" t="n"/>
      <c r="BW177" s="24" t="n"/>
      <c r="BX177" s="30" t="n"/>
      <c r="BY177" s="27" t="n"/>
      <c r="BZ177" s="24" t="n"/>
      <c r="CA177" s="31" t="n"/>
      <c r="CB177" s="24" t="n"/>
      <c r="CC177" s="24" t="n"/>
      <c r="CD177" s="24" t="n"/>
      <c r="CE177" s="24" t="n"/>
      <c r="CF177" s="24" t="n"/>
      <c r="CG177" s="24" t="n"/>
      <c r="CH177" s="24" t="n"/>
      <c r="CI177" s="24" t="n"/>
      <c r="CJ177" s="24" t="n"/>
      <c r="CK177" s="24" t="n"/>
      <c r="CL177" s="24" t="n"/>
      <c r="CM177" s="24" t="n"/>
      <c r="CN177" s="24" t="n"/>
      <c r="CO177" s="24" t="n"/>
    </row>
    <row r="178" ht="36" customHeight="1">
      <c r="A178" s="24" t="inlineStr">
        <is>
          <t>7b5670abdd724134</t>
        </is>
      </c>
      <c r="B178" s="24" t="inlineStr">
        <is>
          <t>2026-08-02T07:12:44.561466Z</t>
        </is>
      </c>
      <c r="C178" s="24" t="inlineStr">
        <is>
          <t>2026-08-02T20:10Z</t>
        </is>
      </c>
      <c r="D178" s="24" t="inlineStr">
        <is>
          <t>401816376</t>
        </is>
      </c>
      <c r="E178" s="24" t="inlineStr">
        <is>
          <t>MLB</t>
        </is>
      </c>
      <c r="F178" s="24" t="inlineStr">
        <is>
          <t>San Francisco Giants</t>
        </is>
      </c>
      <c r="G178" s="24" t="inlineStr">
        <is>
          <t>San Diego Padres</t>
        </is>
      </c>
      <c r="H178" s="24" t="inlineStr">
        <is>
          <t>total</t>
        </is>
      </c>
      <c r="I178" s="24" t="inlineStr">
        <is>
          <t>over</t>
        </is>
      </c>
      <c r="J178" s="25" t="n">
        <v>8.5</v>
      </c>
      <c r="K178" s="24" t="inlineStr">
        <is>
          <t>polymarket_us</t>
        </is>
      </c>
      <c r="L178" s="26" t="n">
        <v>113</v>
      </c>
      <c r="M178" s="27" t="n">
        <v>2.13</v>
      </c>
      <c r="N178" s="28" t="n">
        <v>0.469484</v>
      </c>
      <c r="O178" s="28" t="n">
        <v>0.5126309999999999</v>
      </c>
      <c r="P178" s="28" t="n">
        <v>0.042131</v>
      </c>
      <c r="Q178" s="28" t="n">
        <v>0.043147</v>
      </c>
      <c r="R178" s="26" t="n">
        <v>46</v>
      </c>
      <c r="S178" s="29" t="n">
        <v>1</v>
      </c>
      <c r="T178" s="24" t="inlineStr">
        <is>
          <t>measured-edge-totals-v2</t>
        </is>
      </c>
      <c r="U178" s="24" t="inlineStr">
        <is>
          <t>open</t>
        </is>
      </c>
      <c r="V178" s="24" t="n"/>
      <c r="W178" s="26" t="n"/>
      <c r="X178" s="26" t="n"/>
      <c r="Y178" s="25" t="n"/>
      <c r="Z178" s="26" t="n"/>
      <c r="AA178" s="28" t="n"/>
      <c r="AB178" s="28" t="n"/>
      <c r="AC178" s="30" t="n"/>
      <c r="AD178" s="24" t="n"/>
      <c r="AE178" s="31" t="inlineStr">
        <is>
          <t>Measured Edge Totals: Trend Engine projected 4.27-4.69; raw selected-side p=0.5137, calibrated p=0.5126.</t>
        </is>
      </c>
      <c r="AF178" s="31" t="inlineStr">
        <is>
          <t>Research-only; lineup, bullpen, park, weather, xFIP, and wRC+ may be neutral fallbacks; market availability and BBO depth may change before first pitch.</t>
        </is>
      </c>
      <c r="AG178" s="24" t="inlineStr">
        <is>
          <t>not_applicable</t>
        </is>
      </c>
      <c r="AH178" s="24" t="n"/>
      <c r="AI178" s="31" t="n"/>
      <c r="AJ178" s="31" t="n"/>
      <c r="AK178" s="24" t="inlineStr">
        <is>
          <t>research_observation</t>
        </is>
      </c>
      <c r="AL178" s="26" t="n">
        <v>3</v>
      </c>
      <c r="AM178" s="24" t="inlineStr">
        <is>
          <t>RESEARCH_OBSERVATION</t>
        </is>
      </c>
      <c r="AN178" s="24" t="inlineStr">
        <is>
          <t>NO_CALL</t>
        </is>
      </c>
      <c r="AO178" s="24" t="inlineStr">
        <is>
          <t>NO_CALL_MODEL_UNVALIDATED</t>
        </is>
      </c>
      <c r="AP178" s="24" t="inlineStr">
        <is>
          <t>mlb-sf</t>
        </is>
      </c>
      <c r="AQ178" s="24" t="inlineStr">
        <is>
          <t>San Francisco Giants</t>
        </is>
      </c>
      <c r="AR178" s="24" t="inlineStr">
        <is>
          <t>San Francisco Giants</t>
        </is>
      </c>
      <c r="AS178" s="24" t="inlineStr">
        <is>
          <t>mlb-sd</t>
        </is>
      </c>
      <c r="AT178" s="24" t="inlineStr">
        <is>
          <t>San Diego Padres</t>
        </is>
      </c>
      <c r="AU178" s="24" t="inlineStr">
        <is>
          <t>San Diego Padres</t>
        </is>
      </c>
      <c r="AV178" s="24" t="n"/>
      <c r="AW178" s="24" t="n"/>
      <c r="AX178" s="24" t="inlineStr">
        <is>
          <t>statistical_model</t>
        </is>
      </c>
      <c r="AY178" s="24" t="n"/>
      <c r="AZ178" s="24" t="inlineStr">
        <is>
          <t>research</t>
        </is>
      </c>
      <c r="BA178" s="24" t="inlineStr">
        <is>
          <t>433578016242b27f9c1c7132cc6b5a2bcc7dd1b0234590c12a944455a88e71bd</t>
        </is>
      </c>
      <c r="BB178" s="24" t="inlineStr">
        <is>
          <t>flat_probability_shrinkage_toward_half</t>
        </is>
      </c>
      <c r="BC178" s="24" t="inlineStr">
        <is>
          <t>measured-edge-totals-v2</t>
        </is>
      </c>
      <c r="BD178" s="24" t="inlineStr">
        <is>
          <t>433578016242b27f9c1c7132cc6b5a2bcc7dd1b0234590c12a944455a88e71bd</t>
        </is>
      </c>
      <c r="BE178" s="24" t="inlineStr">
        <is>
          <t>v3</t>
        </is>
      </c>
      <c r="BF178" s="24" t="inlineStr">
        <is>
          <t>1</t>
        </is>
      </c>
      <c r="BG178" s="24" t="inlineStr">
        <is>
          <t>measured-edge-paired-v1</t>
        </is>
      </c>
      <c r="BH178" s="24" t="inlineStr">
        <is>
          <t>2026-08-02T07:12:44.561466Z</t>
        </is>
      </c>
      <c r="BI178" s="24" t="inlineStr">
        <is>
          <t>["same_event","same_team_same_day","same_league_same_day"]</t>
        </is>
      </c>
      <c r="BJ178" s="25" t="n">
        <v>8.5</v>
      </c>
      <c r="BK178" s="26" t="n">
        <v>113</v>
      </c>
      <c r="BL178" s="27" t="n">
        <v>2.13</v>
      </c>
      <c r="BM178" s="28" t="n">
        <v>0.469484</v>
      </c>
      <c r="BN178" s="28" t="n">
        <v>0.467662</v>
      </c>
      <c r="BO178" s="28" t="n"/>
      <c r="BP178" s="25" t="n"/>
      <c r="BQ178" s="27" t="n"/>
      <c r="BR178" s="28" t="n"/>
      <c r="BS178" s="28" t="n"/>
      <c r="BT178" s="28" t="n"/>
      <c r="BU178" s="25" t="n"/>
      <c r="BV178" s="29" t="n"/>
      <c r="BW178" s="24" t="n"/>
      <c r="BX178" s="30" t="n"/>
      <c r="BY178" s="27" t="n"/>
      <c r="BZ178" s="24" t="n"/>
      <c r="CA178" s="31" t="n"/>
      <c r="CB178" s="24" t="n"/>
      <c r="CC178" s="24" t="n"/>
      <c r="CD178" s="24" t="n"/>
      <c r="CE178" s="24" t="n"/>
      <c r="CF178" s="24" t="n"/>
      <c r="CG178" s="24" t="n"/>
      <c r="CH178" s="24" t="n"/>
      <c r="CI178" s="24" t="n"/>
      <c r="CJ178" s="24" t="n"/>
      <c r="CK178" s="24" t="n"/>
      <c r="CL178" s="24" t="n"/>
      <c r="CM178" s="24" t="n"/>
      <c r="CN178" s="24" t="n"/>
      <c r="CO178" s="24" t="n"/>
    </row>
    <row r="179" ht="36" customHeight="1">
      <c r="A179" s="24" t="inlineStr">
        <is>
          <t>38d74e93696841b9</t>
        </is>
      </c>
      <c r="B179" s="24" t="inlineStr">
        <is>
          <t>2026-08-02T07:12:44.561466Z</t>
        </is>
      </c>
      <c r="C179" s="24" t="inlineStr">
        <is>
          <t>2026-08-02T23:20Z</t>
        </is>
      </c>
      <c r="D179" s="24" t="inlineStr">
        <is>
          <t>401816372</t>
        </is>
      </c>
      <c r="E179" s="24" t="inlineStr">
        <is>
          <t>MLB</t>
        </is>
      </c>
      <c r="F179" s="24" t="inlineStr">
        <is>
          <t>Boston Red Sox</t>
        </is>
      </c>
      <c r="G179" s="24" t="inlineStr">
        <is>
          <t>Los Angeles Dodgers</t>
        </is>
      </c>
      <c r="H179" s="24" t="inlineStr">
        <is>
          <t>spread</t>
        </is>
      </c>
      <c r="I179" s="24" t="inlineStr">
        <is>
          <t>away</t>
        </is>
      </c>
      <c r="J179" s="25" t="n">
        <v>1.5</v>
      </c>
      <c r="K179" s="24" t="inlineStr">
        <is>
          <t>polymarket_us</t>
        </is>
      </c>
      <c r="L179" s="26" t="n">
        <v>-135</v>
      </c>
      <c r="M179" s="27" t="n">
        <v>1.740741</v>
      </c>
      <c r="N179" s="28" t="n">
        <v>0.574468</v>
      </c>
      <c r="O179" s="28" t="n">
        <v>0.627268</v>
      </c>
      <c r="P179" s="28" t="n">
        <v>0.042131</v>
      </c>
      <c r="Q179" s="28" t="n">
        <v>0.0528</v>
      </c>
      <c r="R179" s="26" t="n">
        <v>51</v>
      </c>
      <c r="S179" s="29" t="n">
        <v>1.5</v>
      </c>
      <c r="T179" s="24" t="inlineStr">
        <is>
          <t>measured-edge-margin-v2</t>
        </is>
      </c>
      <c r="U179" s="24" t="inlineStr">
        <is>
          <t>open</t>
        </is>
      </c>
      <c r="V179" s="24" t="n"/>
      <c r="W179" s="26" t="n"/>
      <c r="X179" s="26" t="n"/>
      <c r="Y179" s="25" t="n"/>
      <c r="Z179" s="26" t="n"/>
      <c r="AA179" s="28" t="n"/>
      <c r="AB179" s="28" t="n"/>
      <c r="AC179" s="30" t="n"/>
      <c r="AD179" s="24" t="n"/>
      <c r="AE179" s="31" t="inlineStr">
        <is>
          <t>Measured Edge Margin: Trend Engine projected 4.62-4.38; raw selected-side p=0.6939, calibrated p=0.6273.</t>
        </is>
      </c>
      <c r="AF179" s="31" t="inlineStr">
        <is>
          <t>Research-only; lineup, bullpen, park, weather, xFIP, and wRC+ may be neutral fallbacks; market availability and BBO depth may change before first pitch.</t>
        </is>
      </c>
      <c r="AG179" s="24" t="inlineStr">
        <is>
          <t>not_applicable</t>
        </is>
      </c>
      <c r="AH179" s="24" t="n"/>
      <c r="AI179" s="31" t="n"/>
      <c r="AJ179" s="31" t="n"/>
      <c r="AK179" s="24" t="inlineStr">
        <is>
          <t>research_observation</t>
        </is>
      </c>
      <c r="AL179" s="26" t="n">
        <v>3</v>
      </c>
      <c r="AM179" s="24" t="inlineStr">
        <is>
          <t>RESEARCH_OBSERVATION</t>
        </is>
      </c>
      <c r="AN179" s="24" t="inlineStr">
        <is>
          <t>NO_CALL</t>
        </is>
      </c>
      <c r="AO179" s="24" t="inlineStr">
        <is>
          <t>NO_CALL_MODEL_UNVALIDATED</t>
        </is>
      </c>
      <c r="AP179" s="24" t="inlineStr">
        <is>
          <t>mlb-bos</t>
        </is>
      </c>
      <c r="AQ179" s="24" t="inlineStr">
        <is>
          <t>Boston Red Sox</t>
        </is>
      </c>
      <c r="AR179" s="24" t="inlineStr">
        <is>
          <t>Boston Red Sox</t>
        </is>
      </c>
      <c r="AS179" s="24" t="inlineStr">
        <is>
          <t>mlb-lad</t>
        </is>
      </c>
      <c r="AT179" s="24" t="inlineStr">
        <is>
          <t>Los Angeles Dodgers</t>
        </is>
      </c>
      <c r="AU179" s="24" t="inlineStr">
        <is>
          <t>Los Angeles Dodgers</t>
        </is>
      </c>
      <c r="AV179" s="24" t="n"/>
      <c r="AW179" s="24" t="n"/>
      <c r="AX179" s="24" t="inlineStr">
        <is>
          <t>statistical_model</t>
        </is>
      </c>
      <c r="AY179" s="24" t="n"/>
      <c r="AZ179" s="24" t="inlineStr">
        <is>
          <t>research</t>
        </is>
      </c>
      <c r="BA179" s="24" t="inlineStr">
        <is>
          <t>8360b122264b796b0fb193095cfe4506c7e064e5f3f8c0a659aec41efd08dd25</t>
        </is>
      </c>
      <c r="BB179" s="24" t="inlineStr">
        <is>
          <t>flat_probability_shrinkage_toward_half</t>
        </is>
      </c>
      <c r="BC179" s="24" t="inlineStr">
        <is>
          <t>measured-edge-margin-v2</t>
        </is>
      </c>
      <c r="BD179" s="24" t="inlineStr">
        <is>
          <t>8360b122264b796b0fb193095cfe4506c7e064e5f3f8c0a659aec41efd08dd25</t>
        </is>
      </c>
      <c r="BE179" s="24" t="inlineStr">
        <is>
          <t>v3</t>
        </is>
      </c>
      <c r="BF179" s="24" t="inlineStr">
        <is>
          <t>1</t>
        </is>
      </c>
      <c r="BG179" s="24" t="inlineStr">
        <is>
          <t>measured-edge-paired-v1</t>
        </is>
      </c>
      <c r="BH179" s="24" t="inlineStr">
        <is>
          <t>2026-08-02T07:12:44.561466Z</t>
        </is>
      </c>
      <c r="BI179" s="24" t="inlineStr">
        <is>
          <t>["same_event","same_team_same_day","same_league_same_day"]</t>
        </is>
      </c>
      <c r="BJ179" s="25" t="n">
        <v>1.5</v>
      </c>
      <c r="BK179" s="26" t="n">
        <v>-135</v>
      </c>
      <c r="BL179" s="27" t="n">
        <v>1.740741</v>
      </c>
      <c r="BM179" s="28" t="n">
        <v>0.574468</v>
      </c>
      <c r="BN179" s="28" t="n">
        <v>0.572139</v>
      </c>
      <c r="BO179" s="28" t="n"/>
      <c r="BP179" s="25" t="n"/>
      <c r="BQ179" s="27" t="n"/>
      <c r="BR179" s="28" t="n"/>
      <c r="BS179" s="28" t="n"/>
      <c r="BT179" s="28" t="n"/>
      <c r="BU179" s="25" t="n"/>
      <c r="BV179" s="29" t="n"/>
      <c r="BW179" s="24" t="n"/>
      <c r="BX179" s="30" t="n"/>
      <c r="BY179" s="27" t="n"/>
      <c r="BZ179" s="24" t="n"/>
      <c r="CA179" s="31" t="n"/>
      <c r="CB179" s="24" t="n"/>
      <c r="CC179" s="24" t="n"/>
      <c r="CD179" s="24" t="n"/>
      <c r="CE179" s="24" t="n"/>
      <c r="CF179" s="24" t="n"/>
      <c r="CG179" s="24" t="n"/>
      <c r="CH179" s="24" t="n"/>
      <c r="CI179" s="24" t="n"/>
      <c r="CJ179" s="24" t="n"/>
      <c r="CK179" s="24" t="n"/>
      <c r="CL179" s="24" t="n"/>
      <c r="CM179" s="24" t="n"/>
      <c r="CN179" s="24" t="n"/>
      <c r="CO179" s="24" t="n"/>
    </row>
    <row r="180" ht="36" customHeight="1">
      <c r="A180" s="24" t="inlineStr">
        <is>
          <t>9ccb474a854942ff</t>
        </is>
      </c>
      <c r="B180" s="24" t="inlineStr">
        <is>
          <t>2026-08-02T07:12:44.561466Z</t>
        </is>
      </c>
      <c r="C180" s="24" t="inlineStr">
        <is>
          <t>2026-08-02T23:20Z</t>
        </is>
      </c>
      <c r="D180" s="24" t="inlineStr">
        <is>
          <t>401816372</t>
        </is>
      </c>
      <c r="E180" s="24" t="inlineStr">
        <is>
          <t>MLB</t>
        </is>
      </c>
      <c r="F180" s="24" t="inlineStr">
        <is>
          <t>Boston Red Sox</t>
        </is>
      </c>
      <c r="G180" s="24" t="inlineStr">
        <is>
          <t>Los Angeles Dodgers</t>
        </is>
      </c>
      <c r="H180" s="24" t="inlineStr">
        <is>
          <t>total</t>
        </is>
      </c>
      <c r="I180" s="24" t="inlineStr">
        <is>
          <t>over</t>
        </is>
      </c>
      <c r="J180" s="25" t="n">
        <v>8.5</v>
      </c>
      <c r="K180" s="24" t="inlineStr">
        <is>
          <t>polymarket_us</t>
        </is>
      </c>
      <c r="L180" s="26" t="n">
        <v>-122</v>
      </c>
      <c r="M180" s="27" t="n">
        <v>1.819672</v>
      </c>
      <c r="N180" s="28" t="n">
        <v>0.54955</v>
      </c>
      <c r="O180" s="28" t="n">
        <v>0.51246</v>
      </c>
      <c r="P180" s="28" t="n">
        <v>0.042131</v>
      </c>
      <c r="Q180" s="28" t="n">
        <v>-0.03709</v>
      </c>
      <c r="R180" s="26" t="n">
        <v>6</v>
      </c>
      <c r="S180" s="29" t="n">
        <v>1</v>
      </c>
      <c r="T180" s="24" t="inlineStr">
        <is>
          <t>measured-edge-totals-v2</t>
        </is>
      </c>
      <c r="U180" s="24" t="inlineStr">
        <is>
          <t>open</t>
        </is>
      </c>
      <c r="V180" s="24" t="n"/>
      <c r="W180" s="26" t="n"/>
      <c r="X180" s="26" t="n"/>
      <c r="Y180" s="25" t="n"/>
      <c r="Z180" s="26" t="n"/>
      <c r="AA180" s="28" t="n"/>
      <c r="AB180" s="28" t="n"/>
      <c r="AC180" s="30" t="n"/>
      <c r="AD180" s="24" t="n"/>
      <c r="AE180" s="31" t="inlineStr">
        <is>
          <t>Measured Edge Totals: Trend Engine projected 4.62-4.38; raw selected-side p=0.5132, calibrated p=0.5125.</t>
        </is>
      </c>
      <c r="AF180" s="31" t="inlineStr">
        <is>
          <t>Research-only; lineup, bullpen, park, weather, xFIP, and wRC+ may be neutral fallbacks; market availability and BBO depth may change before first pitch.</t>
        </is>
      </c>
      <c r="AG180" s="24" t="inlineStr">
        <is>
          <t>not_applicable</t>
        </is>
      </c>
      <c r="AH180" s="24" t="n"/>
      <c r="AI180" s="31" t="n"/>
      <c r="AJ180" s="31" t="n"/>
      <c r="AK180" s="24" t="inlineStr">
        <is>
          <t>research_observation</t>
        </is>
      </c>
      <c r="AL180" s="26" t="n">
        <v>3</v>
      </c>
      <c r="AM180" s="24" t="inlineStr">
        <is>
          <t>RESEARCH_OBSERVATION</t>
        </is>
      </c>
      <c r="AN180" s="24" t="inlineStr">
        <is>
          <t>NO_CALL</t>
        </is>
      </c>
      <c r="AO180" s="24" t="inlineStr">
        <is>
          <t>NO_CALL_MODEL_UNVALIDATED</t>
        </is>
      </c>
      <c r="AP180" s="24" t="inlineStr">
        <is>
          <t>mlb-bos</t>
        </is>
      </c>
      <c r="AQ180" s="24" t="inlineStr">
        <is>
          <t>Boston Red Sox</t>
        </is>
      </c>
      <c r="AR180" s="24" t="inlineStr">
        <is>
          <t>Boston Red Sox</t>
        </is>
      </c>
      <c r="AS180" s="24" t="inlineStr">
        <is>
          <t>mlb-lad</t>
        </is>
      </c>
      <c r="AT180" s="24" t="inlineStr">
        <is>
          <t>Los Angeles Dodgers</t>
        </is>
      </c>
      <c r="AU180" s="24" t="inlineStr">
        <is>
          <t>Los Angeles Dodgers</t>
        </is>
      </c>
      <c r="AV180" s="24" t="n"/>
      <c r="AW180" s="24" t="n"/>
      <c r="AX180" s="24" t="inlineStr">
        <is>
          <t>statistical_model</t>
        </is>
      </c>
      <c r="AY180" s="24" t="n"/>
      <c r="AZ180" s="24" t="inlineStr">
        <is>
          <t>research</t>
        </is>
      </c>
      <c r="BA180" s="24" t="inlineStr">
        <is>
          <t>433578016242b27f9c1c7132cc6b5a2bcc7dd1b0234590c12a944455a88e71bd</t>
        </is>
      </c>
      <c r="BB180" s="24" t="inlineStr">
        <is>
          <t>flat_probability_shrinkage_toward_half</t>
        </is>
      </c>
      <c r="BC180" s="24" t="inlineStr">
        <is>
          <t>measured-edge-totals-v2</t>
        </is>
      </c>
      <c r="BD180" s="24" t="inlineStr">
        <is>
          <t>433578016242b27f9c1c7132cc6b5a2bcc7dd1b0234590c12a944455a88e71bd</t>
        </is>
      </c>
      <c r="BE180" s="24" t="inlineStr">
        <is>
          <t>v3</t>
        </is>
      </c>
      <c r="BF180" s="24" t="inlineStr">
        <is>
          <t>1</t>
        </is>
      </c>
      <c r="BG180" s="24" t="inlineStr">
        <is>
          <t>measured-edge-paired-v1</t>
        </is>
      </c>
      <c r="BH180" s="24" t="inlineStr">
        <is>
          <t>2026-08-02T07:12:44.561466Z</t>
        </is>
      </c>
      <c r="BI180" s="24" t="inlineStr">
        <is>
          <t>["same_event","same_team_same_day","same_league_same_day"]</t>
        </is>
      </c>
      <c r="BJ180" s="25" t="n">
        <v>8.5</v>
      </c>
      <c r="BK180" s="26" t="n">
        <v>-122</v>
      </c>
      <c r="BL180" s="27" t="n">
        <v>1.819672</v>
      </c>
      <c r="BM180" s="28" t="n">
        <v>0.54955</v>
      </c>
      <c r="BN180" s="28" t="n">
        <v>0.547264</v>
      </c>
      <c r="BO180" s="28" t="n"/>
      <c r="BP180" s="25" t="n"/>
      <c r="BQ180" s="27" t="n"/>
      <c r="BR180" s="28" t="n"/>
      <c r="BS180" s="28" t="n"/>
      <c r="BT180" s="28" t="n"/>
      <c r="BU180" s="25" t="n"/>
      <c r="BV180" s="29" t="n"/>
      <c r="BW180" s="24" t="n"/>
      <c r="BX180" s="30" t="n"/>
      <c r="BY180" s="27" t="n"/>
      <c r="BZ180" s="24" t="n"/>
      <c r="CA180" s="31" t="n"/>
      <c r="CB180" s="24" t="n"/>
      <c r="CC180" s="24" t="n"/>
      <c r="CD180" s="24" t="n"/>
      <c r="CE180" s="24" t="n"/>
      <c r="CF180" s="24" t="n"/>
      <c r="CG180" s="24" t="n"/>
      <c r="CH180" s="24" t="n"/>
      <c r="CI180" s="24" t="n"/>
      <c r="CJ180" s="24" t="n"/>
      <c r="CK180" s="24" t="n"/>
      <c r="CL180" s="24" t="n"/>
      <c r="CM180" s="24" t="n"/>
      <c r="CN180" s="24" t="n"/>
      <c r="CO180" s="24" t="n"/>
    </row>
    <row r="181" ht="36" customHeight="1">
      <c r="A181" s="24" t="inlineStr">
        <is>
          <t>657b410054e34a2a</t>
        </is>
      </c>
      <c r="B181" s="24" t="inlineStr">
        <is>
          <t>2026-08-02T07:14:17.312478Z</t>
        </is>
      </c>
      <c r="C181" s="24" t="inlineStr">
        <is>
          <t>2026-08-02T17:30Z</t>
        </is>
      </c>
      <c r="D181" s="24" t="inlineStr">
        <is>
          <t>401841470</t>
        </is>
      </c>
      <c r="E181" s="24" t="inlineStr">
        <is>
          <t>SOCCER</t>
        </is>
      </c>
      <c r="F181" s="24" t="inlineStr">
        <is>
          <t>Gimnasia La Plata</t>
        </is>
      </c>
      <c r="G181" s="24" t="inlineStr">
        <is>
          <t>Aldosivi</t>
        </is>
      </c>
      <c r="H181" s="24" t="inlineStr">
        <is>
          <t>moneyline</t>
        </is>
      </c>
      <c r="I181" s="24" t="inlineStr">
        <is>
          <t>home</t>
        </is>
      </c>
      <c r="J181" s="25" t="n"/>
      <c r="K181" s="24" t="inlineStr">
        <is>
          <t>polymarket_us</t>
        </is>
      </c>
      <c r="L181" s="26" t="n">
        <v>223</v>
      </c>
      <c r="M181" s="27" t="n">
        <v>3.23</v>
      </c>
      <c r="N181" s="28" t="n">
        <v>0.309598</v>
      </c>
      <c r="O181" s="28" t="n">
        <v>0.456135</v>
      </c>
      <c r="P181" s="28" t="n">
        <v>0.2</v>
      </c>
      <c r="Q181" s="28" t="n">
        <v>0.146537</v>
      </c>
      <c r="R181" s="26" t="n">
        <v>3</v>
      </c>
      <c r="S181" s="29" t="n">
        <v>1</v>
      </c>
      <c r="T181" s="24" t="inlineStr">
        <is>
          <t>soccer-poisson-dc-v1</t>
        </is>
      </c>
      <c r="U181" s="24" t="inlineStr">
        <is>
          <t>open</t>
        </is>
      </c>
      <c r="V181" s="24" t="n"/>
      <c r="W181" s="26" t="n"/>
      <c r="X181" s="26" t="n"/>
      <c r="Y181" s="25" t="n"/>
      <c r="Z181" s="26" t="n"/>
      <c r="AA181" s="28" t="n"/>
      <c r="AB181" s="28" t="n"/>
      <c r="AC181" s="30" t="n"/>
      <c r="AD181" s="24" t="n"/>
      <c r="AE181" s="31" t="inlineStr">
        <is>
          <t>Poisson-DC rates 1.64 (home) / 1.24 (away) from EWMA attack/defense strengths. Executable ask 0.3100 (atc-lpa-ald-gim-2026-08-02-ald).</t>
        </is>
      </c>
      <c r="AF181" s="31" t="inlineStr">
        <is>
          <t>Research-only soccer score model; draw-aware, but not yet locked-holdout qualified.</t>
        </is>
      </c>
      <c r="AG181" s="24" t="inlineStr">
        <is>
          <t>not_applicable</t>
        </is>
      </c>
      <c r="AH181" s="24" t="n"/>
      <c r="AI181" s="31" t="n"/>
      <c r="AJ181" s="31" t="n"/>
      <c r="AK181" s="24" t="inlineStr">
        <is>
          <t>research_observation</t>
        </is>
      </c>
      <c r="AL181" s="26" t="n">
        <v>3</v>
      </c>
      <c r="AM181" s="24" t="inlineStr">
        <is>
          <t>RESEARCH_OBSERVATION</t>
        </is>
      </c>
      <c r="AN181" s="24" t="inlineStr">
        <is>
          <t>NO_CALL</t>
        </is>
      </c>
      <c r="AO181" s="24" t="inlineStr">
        <is>
          <t>NO_CALL_MODEL_UNVALIDATED</t>
        </is>
      </c>
      <c r="AP181" s="24" t="inlineStr">
        <is>
          <t>Gimnasia La Plata</t>
        </is>
      </c>
      <c r="AQ181" s="24" t="inlineStr">
        <is>
          <t>Gimnasia La Plata</t>
        </is>
      </c>
      <c r="AR181" s="24" t="inlineStr">
        <is>
          <t>Gimnasia La Plata</t>
        </is>
      </c>
      <c r="AS181" s="24" t="inlineStr">
        <is>
          <t>Aldosivi</t>
        </is>
      </c>
      <c r="AT181" s="24" t="inlineStr">
        <is>
          <t>Aldosivi</t>
        </is>
      </c>
      <c r="AU181" s="24" t="inlineStr">
        <is>
          <t>Aldosivi</t>
        </is>
      </c>
      <c r="AV181" s="24" t="n"/>
      <c r="AW181" s="24" t="n"/>
      <c r="AX181" s="24" t="inlineStr">
        <is>
          <t>statistical_model</t>
        </is>
      </c>
      <c r="AY181" s="24" t="n"/>
      <c r="AZ181" s="24" t="inlineStr">
        <is>
          <t>research</t>
        </is>
      </c>
      <c r="BA181" s="24" t="inlineStr">
        <is>
          <t>34d1568aad0ff11b5db35f118324684f93281e1c21fa7b80be7a4a4e2cb4bb03</t>
        </is>
      </c>
      <c r="BB181" s="24" t="inlineStr">
        <is>
          <t>poisson_dixon_coles</t>
        </is>
      </c>
      <c r="BC181" s="24" t="inlineStr">
        <is>
          <t>soccer-poisson-dc-v1</t>
        </is>
      </c>
      <c r="BD181" s="24" t="inlineStr">
        <is>
          <t>34d1568aad0ff11b5db35f118324684f93281e1c21fa7b80be7a4a4e2cb4bb03</t>
        </is>
      </c>
      <c r="BE181" s="24" t="inlineStr">
        <is>
          <t>soccer-poisson-dc-v1</t>
        </is>
      </c>
      <c r="BF181" s="24" t="inlineStr">
        <is>
          <t>1</t>
        </is>
      </c>
      <c r="BG181" s="24" t="inlineStr">
        <is>
          <t>34d1568aad0ff11b5db35f118324684f93281e1c21fa7b80be7a4a4e2cb4bb03</t>
        </is>
      </c>
      <c r="BH181" s="24" t="inlineStr">
        <is>
          <t>2026-08-02T07:11:22.045184Z</t>
        </is>
      </c>
      <c r="BI181" s="24" t="inlineStr">
        <is>
          <t>["same_event","same_team_same_day","same_league_same_day"]</t>
        </is>
      </c>
      <c r="BJ181" s="25" t="n"/>
      <c r="BK181" s="26" t="n">
        <v>223</v>
      </c>
      <c r="BL181" s="27" t="n">
        <v>3.23</v>
      </c>
      <c r="BM181" s="28" t="n">
        <v>0.309598</v>
      </c>
      <c r="BN181" s="28" t="n"/>
      <c r="BO181" s="28" t="n"/>
      <c r="BP181" s="25" t="n"/>
      <c r="BQ181" s="27" t="n"/>
      <c r="BR181" s="28" t="n"/>
      <c r="BS181" s="28" t="n"/>
      <c r="BT181" s="28" t="n"/>
      <c r="BU181" s="25" t="n"/>
      <c r="BV181" s="29" t="n"/>
      <c r="BW181" s="24" t="n"/>
      <c r="BX181" s="30" t="n"/>
      <c r="BY181" s="27" t="n"/>
      <c r="BZ181" s="24" t="n"/>
      <c r="CA181" s="31" t="n"/>
      <c r="CB181" s="24" t="n"/>
      <c r="CC181" s="24" t="n"/>
      <c r="CD181" s="24" t="n"/>
      <c r="CE181" s="24" t="n"/>
      <c r="CF181" s="24" t="n"/>
      <c r="CG181" s="24" t="n"/>
      <c r="CH181" s="24" t="n"/>
      <c r="CI181" s="24" t="n"/>
      <c r="CJ181" s="24" t="n"/>
      <c r="CK181" s="24" t="n"/>
      <c r="CL181" s="24" t="n"/>
      <c r="CM181" s="24" t="n"/>
      <c r="CN181" s="24" t="n"/>
      <c r="CO181" s="24" t="n"/>
    </row>
    <row r="182" ht="36" customHeight="1">
      <c r="A182" s="24" t="inlineStr">
        <is>
          <t>6e6a3d07fd53427a</t>
        </is>
      </c>
      <c r="B182" s="24" t="inlineStr">
        <is>
          <t>2026-08-02T07:14:17.312478Z</t>
        </is>
      </c>
      <c r="C182" s="24" t="inlineStr">
        <is>
          <t>2026-08-02T20:00Z</t>
        </is>
      </c>
      <c r="D182" s="24" t="inlineStr">
        <is>
          <t>401841473</t>
        </is>
      </c>
      <c r="E182" s="24" t="inlineStr">
        <is>
          <t>SOCCER</t>
        </is>
      </c>
      <c r="F182" s="24" t="inlineStr">
        <is>
          <t>Boca Juniors</t>
        </is>
      </c>
      <c r="G182" s="24" t="inlineStr">
        <is>
          <t>Newell's Old Boys</t>
        </is>
      </c>
      <c r="H182" s="24" t="inlineStr">
        <is>
          <t>moneyline</t>
        </is>
      </c>
      <c r="I182" s="24" t="inlineStr">
        <is>
          <t>home</t>
        </is>
      </c>
      <c r="J182" s="25" t="n"/>
      <c r="K182" s="24" t="inlineStr">
        <is>
          <t>polymarket_us</t>
        </is>
      </c>
      <c r="L182" s="26" t="n">
        <v>285</v>
      </c>
      <c r="M182" s="27" t="n">
        <v>3.85</v>
      </c>
      <c r="N182" s="28" t="n">
        <v>0.25974</v>
      </c>
      <c r="O182" s="28" t="n">
        <v>0.398039</v>
      </c>
      <c r="P182" s="28" t="n">
        <v>0.2</v>
      </c>
      <c r="Q182" s="28" t="n">
        <v>0.138299</v>
      </c>
      <c r="R182" s="26" t="n">
        <v>0</v>
      </c>
      <c r="S182" s="29" t="n">
        <v>1</v>
      </c>
      <c r="T182" s="24" t="inlineStr">
        <is>
          <t>soccer-poisson-dc-v1</t>
        </is>
      </c>
      <c r="U182" s="24" t="inlineStr">
        <is>
          <t>open</t>
        </is>
      </c>
      <c r="V182" s="24" t="n"/>
      <c r="W182" s="26" t="n"/>
      <c r="X182" s="26" t="n"/>
      <c r="Y182" s="25" t="n"/>
      <c r="Z182" s="26" t="n"/>
      <c r="AA182" s="28" t="n"/>
      <c r="AB182" s="28" t="n"/>
      <c r="AC182" s="30" t="n"/>
      <c r="AD182" s="24" t="n"/>
      <c r="AE182" s="31" t="inlineStr">
        <is>
          <t>Poisson-DC rates 1.46 (home) / 1.30 (away) from EWMA attack/defense strengths. Executable ask 0.2600 (atc-lpa-new-boc-2026-08-02-new).</t>
        </is>
      </c>
      <c r="AF182" s="31" t="inlineStr">
        <is>
          <t>Research-only soccer score model; draw-aware, but not yet locked-holdout qualified.</t>
        </is>
      </c>
      <c r="AG182" s="24" t="inlineStr">
        <is>
          <t>not_applicable</t>
        </is>
      </c>
      <c r="AH182" s="24" t="n"/>
      <c r="AI182" s="31" t="n"/>
      <c r="AJ182" s="31" t="n"/>
      <c r="AK182" s="24" t="inlineStr">
        <is>
          <t>research_observation</t>
        </is>
      </c>
      <c r="AL182" s="26" t="n">
        <v>3</v>
      </c>
      <c r="AM182" s="24" t="inlineStr">
        <is>
          <t>RESEARCH_OBSERVATION</t>
        </is>
      </c>
      <c r="AN182" s="24" t="inlineStr">
        <is>
          <t>NO_CALL</t>
        </is>
      </c>
      <c r="AO182" s="24" t="inlineStr">
        <is>
          <t>NO_CALL_MODEL_UNVALIDATED</t>
        </is>
      </c>
      <c r="AP182" s="24" t="inlineStr">
        <is>
          <t>Boca Juniors</t>
        </is>
      </c>
      <c r="AQ182" s="24" t="inlineStr">
        <is>
          <t>Boca Juniors</t>
        </is>
      </c>
      <c r="AR182" s="24" t="inlineStr">
        <is>
          <t>Boca Juniors</t>
        </is>
      </c>
      <c r="AS182" s="24" t="inlineStr">
        <is>
          <t>Newell's Old Boys</t>
        </is>
      </c>
      <c r="AT182" s="24" t="inlineStr">
        <is>
          <t>Newell's Old Boys</t>
        </is>
      </c>
      <c r="AU182" s="24" t="inlineStr">
        <is>
          <t>Newell's Old Boys</t>
        </is>
      </c>
      <c r="AV182" s="24" t="n"/>
      <c r="AW182" s="24" t="n"/>
      <c r="AX182" s="24" t="inlineStr">
        <is>
          <t>statistical_model</t>
        </is>
      </c>
      <c r="AY182" s="24" t="n"/>
      <c r="AZ182" s="24" t="inlineStr">
        <is>
          <t>research</t>
        </is>
      </c>
      <c r="BA182" s="24" t="inlineStr">
        <is>
          <t>34d1568aad0ff11b5db35f118324684f93281e1c21fa7b80be7a4a4e2cb4bb03</t>
        </is>
      </c>
      <c r="BB182" s="24" t="inlineStr">
        <is>
          <t>poisson_dixon_coles</t>
        </is>
      </c>
      <c r="BC182" s="24" t="inlineStr">
        <is>
          <t>soccer-poisson-dc-v1</t>
        </is>
      </c>
      <c r="BD182" s="24" t="inlineStr">
        <is>
          <t>34d1568aad0ff11b5db35f118324684f93281e1c21fa7b80be7a4a4e2cb4bb03</t>
        </is>
      </c>
      <c r="BE182" s="24" t="inlineStr">
        <is>
          <t>soccer-poisson-dc-v1</t>
        </is>
      </c>
      <c r="BF182" s="24" t="inlineStr">
        <is>
          <t>1</t>
        </is>
      </c>
      <c r="BG182" s="24" t="inlineStr">
        <is>
          <t>34d1568aad0ff11b5db35f118324684f93281e1c21fa7b80be7a4a4e2cb4bb03</t>
        </is>
      </c>
      <c r="BH182" s="24" t="inlineStr">
        <is>
          <t>2026-08-02T07:11:22.065186Z</t>
        </is>
      </c>
      <c r="BI182" s="24" t="inlineStr">
        <is>
          <t>["same_event","same_team_same_day","same_league_same_day"]</t>
        </is>
      </c>
      <c r="BJ182" s="25" t="n"/>
      <c r="BK182" s="26" t="n">
        <v>285</v>
      </c>
      <c r="BL182" s="27" t="n">
        <v>3.85</v>
      </c>
      <c r="BM182" s="28" t="n">
        <v>0.25974</v>
      </c>
      <c r="BN182" s="28" t="n"/>
      <c r="BO182" s="28" t="n"/>
      <c r="BP182" s="25" t="n"/>
      <c r="BQ182" s="27" t="n"/>
      <c r="BR182" s="28" t="n"/>
      <c r="BS182" s="28" t="n"/>
      <c r="BT182" s="28" t="n"/>
      <c r="BU182" s="25" t="n"/>
      <c r="BV182" s="29" t="n"/>
      <c r="BW182" s="24" t="n"/>
      <c r="BX182" s="30" t="n"/>
      <c r="BY182" s="27" t="n"/>
      <c r="BZ182" s="24" t="n"/>
      <c r="CA182" s="31" t="n"/>
      <c r="CB182" s="24" t="n"/>
      <c r="CC182" s="24" t="n"/>
      <c r="CD182" s="24" t="n"/>
      <c r="CE182" s="24" t="n"/>
      <c r="CF182" s="24" t="n"/>
      <c r="CG182" s="24" t="n"/>
      <c r="CH182" s="24" t="n"/>
      <c r="CI182" s="24" t="n"/>
      <c r="CJ182" s="24" t="n"/>
      <c r="CK182" s="24" t="n"/>
      <c r="CL182" s="24" t="n"/>
      <c r="CM182" s="24" t="n"/>
      <c r="CN182" s="24" t="n"/>
      <c r="CO182" s="24" t="n"/>
    </row>
    <row r="183" ht="36" customHeight="1">
      <c r="A183" s="24" t="inlineStr">
        <is>
          <t>de3f150652ef466b</t>
        </is>
      </c>
      <c r="B183" s="24" t="inlineStr">
        <is>
          <t>2026-08-02T07:14:17.312478Z</t>
        </is>
      </c>
      <c r="C183" s="24" t="inlineStr">
        <is>
          <t>2026-08-02T22:15Z</t>
        </is>
      </c>
      <c r="D183" s="24" t="inlineStr">
        <is>
          <t>401841476</t>
        </is>
      </c>
      <c r="E183" s="24" t="inlineStr">
        <is>
          <t>SOCCER</t>
        </is>
      </c>
      <c r="F183" s="24" t="inlineStr">
        <is>
          <t>Rosario Central</t>
        </is>
      </c>
      <c r="G183" s="24" t="inlineStr">
        <is>
          <t>River Plate</t>
        </is>
      </c>
      <c r="H183" s="24" t="inlineStr">
        <is>
          <t>moneyline</t>
        </is>
      </c>
      <c r="I183" s="24" t="inlineStr">
        <is>
          <t>home</t>
        </is>
      </c>
      <c r="J183" s="25" t="n"/>
      <c r="K183" s="24" t="inlineStr">
        <is>
          <t>polymarket_us</t>
        </is>
      </c>
      <c r="L183" s="26" t="n">
        <v>108</v>
      </c>
      <c r="M183" s="27" t="n">
        <v>2.08</v>
      </c>
      <c r="N183" s="28" t="n">
        <v>0.480769</v>
      </c>
      <c r="O183" s="28" t="n">
        <v>0.5359159999999999</v>
      </c>
      <c r="P183" s="28" t="n">
        <v>0.2</v>
      </c>
      <c r="Q183" s="28" t="n">
        <v>0.055147</v>
      </c>
      <c r="R183" s="26" t="n">
        <v>0</v>
      </c>
      <c r="S183" s="29" t="n">
        <v>1</v>
      </c>
      <c r="T183" s="24" t="inlineStr">
        <is>
          <t>soccer-poisson-dc-v1</t>
        </is>
      </c>
      <c r="U183" s="24" t="inlineStr">
        <is>
          <t>open</t>
        </is>
      </c>
      <c r="V183" s="24" t="n"/>
      <c r="W183" s="26" t="n"/>
      <c r="X183" s="26" t="n"/>
      <c r="Y183" s="25" t="n"/>
      <c r="Z183" s="26" t="n"/>
      <c r="AA183" s="28" t="n"/>
      <c r="AB183" s="28" t="n"/>
      <c r="AC183" s="30" t="n"/>
      <c r="AD183" s="24" t="n"/>
      <c r="AE183" s="31" t="inlineStr">
        <is>
          <t>Poisson-DC rates 1.84 (home) / 1.10 (away) from EWMA attack/defense strengths. Executable ask 0.4800 (atc-lpa-riv-ros-2026-08-02-riv).</t>
        </is>
      </c>
      <c r="AF183" s="31" t="inlineStr">
        <is>
          <t>Research-only soccer score model; draw-aware, but not yet locked-holdout qualified.</t>
        </is>
      </c>
      <c r="AG183" s="24" t="inlineStr">
        <is>
          <t>not_applicable</t>
        </is>
      </c>
      <c r="AH183" s="24" t="n"/>
      <c r="AI183" s="31" t="n"/>
      <c r="AJ183" s="31" t="n"/>
      <c r="AK183" s="24" t="inlineStr">
        <is>
          <t>research_observation</t>
        </is>
      </c>
      <c r="AL183" s="26" t="n">
        <v>3</v>
      </c>
      <c r="AM183" s="24" t="inlineStr">
        <is>
          <t>RESEARCH_OBSERVATION</t>
        </is>
      </c>
      <c r="AN183" s="24" t="inlineStr">
        <is>
          <t>NO_CALL</t>
        </is>
      </c>
      <c r="AO183" s="24" t="inlineStr">
        <is>
          <t>NO_CALL_MODEL_UNVALIDATED</t>
        </is>
      </c>
      <c r="AP183" s="24" t="inlineStr">
        <is>
          <t>Rosario Central</t>
        </is>
      </c>
      <c r="AQ183" s="24" t="inlineStr">
        <is>
          <t>Rosario Central</t>
        </is>
      </c>
      <c r="AR183" s="24" t="inlineStr">
        <is>
          <t>Rosario Central</t>
        </is>
      </c>
      <c r="AS183" s="24" t="inlineStr">
        <is>
          <t>River Plate</t>
        </is>
      </c>
      <c r="AT183" s="24" t="inlineStr">
        <is>
          <t>River Plate</t>
        </is>
      </c>
      <c r="AU183" s="24" t="inlineStr">
        <is>
          <t>River Plate</t>
        </is>
      </c>
      <c r="AV183" s="24" t="n"/>
      <c r="AW183" s="24" t="n"/>
      <c r="AX183" s="24" t="inlineStr">
        <is>
          <t>statistical_model</t>
        </is>
      </c>
      <c r="AY183" s="24" t="n"/>
      <c r="AZ183" s="24" t="inlineStr">
        <is>
          <t>research</t>
        </is>
      </c>
      <c r="BA183" s="24" t="inlineStr">
        <is>
          <t>34d1568aad0ff11b5db35f118324684f93281e1c21fa7b80be7a4a4e2cb4bb03</t>
        </is>
      </c>
      <c r="BB183" s="24" t="inlineStr">
        <is>
          <t>poisson_dixon_coles</t>
        </is>
      </c>
      <c r="BC183" s="24" t="inlineStr">
        <is>
          <t>soccer-poisson-dc-v1</t>
        </is>
      </c>
      <c r="BD183" s="24" t="inlineStr">
        <is>
          <t>34d1568aad0ff11b5db35f118324684f93281e1c21fa7b80be7a4a4e2cb4bb03</t>
        </is>
      </c>
      <c r="BE183" s="24" t="inlineStr">
        <is>
          <t>soccer-poisson-dc-v1</t>
        </is>
      </c>
      <c r="BF183" s="24" t="inlineStr">
        <is>
          <t>1</t>
        </is>
      </c>
      <c r="BG183" s="24" t="inlineStr">
        <is>
          <t>34d1568aad0ff11b5db35f118324684f93281e1c21fa7b80be7a4a4e2cb4bb03</t>
        </is>
      </c>
      <c r="BH183" s="24" t="inlineStr">
        <is>
          <t>2026-08-02T07:11:22.485293Z</t>
        </is>
      </c>
      <c r="BI183" s="24" t="inlineStr">
        <is>
          <t>["same_event","same_team_same_day","same_league_same_day"]</t>
        </is>
      </c>
      <c r="BJ183" s="25" t="n"/>
      <c r="BK183" s="26" t="n">
        <v>108</v>
      </c>
      <c r="BL183" s="27" t="n">
        <v>2.08</v>
      </c>
      <c r="BM183" s="28" t="n">
        <v>0.480769</v>
      </c>
      <c r="BN183" s="28" t="n"/>
      <c r="BO183" s="28" t="n"/>
      <c r="BP183" s="25" t="n"/>
      <c r="BQ183" s="27" t="n"/>
      <c r="BR183" s="28" t="n"/>
      <c r="BS183" s="28" t="n"/>
      <c r="BT183" s="28" t="n"/>
      <c r="BU183" s="25" t="n"/>
      <c r="BV183" s="29" t="n"/>
      <c r="BW183" s="24" t="n"/>
      <c r="BX183" s="30" t="n"/>
      <c r="BY183" s="27" t="n"/>
      <c r="BZ183" s="24" t="n"/>
      <c r="CA183" s="31" t="n"/>
      <c r="CB183" s="24" t="n"/>
      <c r="CC183" s="24" t="n"/>
      <c r="CD183" s="24" t="n"/>
      <c r="CE183" s="24" t="n"/>
      <c r="CF183" s="24" t="n"/>
      <c r="CG183" s="24" t="n"/>
      <c r="CH183" s="24" t="n"/>
      <c r="CI183" s="24" t="n"/>
      <c r="CJ183" s="24" t="n"/>
      <c r="CK183" s="24" t="n"/>
      <c r="CL183" s="24" t="n"/>
      <c r="CM183" s="24" t="n"/>
      <c r="CN183" s="24" t="n"/>
      <c r="CO183" s="24" t="n"/>
    </row>
    <row r="184" ht="36" customHeight="1">
      <c r="A184" s="24" t="inlineStr">
        <is>
          <t>4e0dc7c6fdc24b58</t>
        </is>
      </c>
      <c r="B184" s="24" t="inlineStr">
        <is>
          <t>2026-08-02T07:14:17.312478Z</t>
        </is>
      </c>
      <c r="C184" s="24" t="inlineStr">
        <is>
          <t>2026-08-02T18:00Z</t>
        </is>
      </c>
      <c r="D184" s="24" t="inlineStr">
        <is>
          <t>401844015</t>
        </is>
      </c>
      <c r="E184" s="24" t="inlineStr">
        <is>
          <t>SOCCER</t>
        </is>
      </c>
      <c r="F184" s="24" t="inlineStr">
        <is>
          <t>Agropecuario</t>
        </is>
      </c>
      <c r="G184" s="24" t="inlineStr">
        <is>
          <t>Chacarita Juniors</t>
        </is>
      </c>
      <c r="H184" s="24" t="inlineStr">
        <is>
          <t>moneyline</t>
        </is>
      </c>
      <c r="I184" s="24" t="inlineStr">
        <is>
          <t>home</t>
        </is>
      </c>
      <c r="J184" s="25" t="n"/>
      <c r="K184" s="24" t="inlineStr">
        <is>
          <t>polymarket_us</t>
        </is>
      </c>
      <c r="L184" s="26" t="n">
        <v>122</v>
      </c>
      <c r="M184" s="27" t="n">
        <v>2.22</v>
      </c>
      <c r="N184" s="28" t="n">
        <v>0.45045</v>
      </c>
      <c r="O184" s="28" t="n">
        <v>0.456135</v>
      </c>
      <c r="P184" s="28" t="n">
        <v>0.2</v>
      </c>
      <c r="Q184" s="28" t="n">
        <v>0.005685</v>
      </c>
      <c r="R184" s="26" t="n">
        <v>0</v>
      </c>
      <c r="S184" s="29" t="n">
        <v>1</v>
      </c>
      <c r="T184" s="24" t="inlineStr">
        <is>
          <t>soccer-poisson-dc-v1</t>
        </is>
      </c>
      <c r="U184" s="24" t="inlineStr">
        <is>
          <t>open</t>
        </is>
      </c>
      <c r="V184" s="24" t="n"/>
      <c r="W184" s="26" t="n"/>
      <c r="X184" s="26" t="n"/>
      <c r="Y184" s="25" t="n"/>
      <c r="Z184" s="26" t="n"/>
      <c r="AA184" s="28" t="n"/>
      <c r="AB184" s="28" t="n"/>
      <c r="AC184" s="30" t="n"/>
      <c r="AD184" s="24" t="n"/>
      <c r="AE184" s="31" t="inlineStr">
        <is>
          <t>Poisson-DC rates 1.64 (home) / 1.24 (away) from EWMA attack/defense strengths. Executable ask 0.4500 (atc-arg2-cjh-caa-2026-08-01-cjh).</t>
        </is>
      </c>
      <c r="AF184" s="31" t="inlineStr">
        <is>
          <t>Research-only soccer score model; draw-aware, but not yet locked-holdout qualified.</t>
        </is>
      </c>
      <c r="AG184" s="24" t="inlineStr">
        <is>
          <t>not_applicable</t>
        </is>
      </c>
      <c r="AH184" s="24" t="n"/>
      <c r="AI184" s="31" t="n"/>
      <c r="AJ184" s="31" t="n"/>
      <c r="AK184" s="24" t="inlineStr">
        <is>
          <t>research_observation</t>
        </is>
      </c>
      <c r="AL184" s="26" t="n">
        <v>3</v>
      </c>
      <c r="AM184" s="24" t="inlineStr">
        <is>
          <t>RESEARCH_OBSERVATION</t>
        </is>
      </c>
      <c r="AN184" s="24" t="inlineStr">
        <is>
          <t>NO_CALL</t>
        </is>
      </c>
      <c r="AO184" s="24" t="inlineStr">
        <is>
          <t>NO_CALL_MODEL_UNVALIDATED</t>
        </is>
      </c>
      <c r="AP184" s="24" t="inlineStr">
        <is>
          <t>Agropecuario</t>
        </is>
      </c>
      <c r="AQ184" s="24" t="inlineStr">
        <is>
          <t>Agropecuario</t>
        </is>
      </c>
      <c r="AR184" s="24" t="inlineStr">
        <is>
          <t>Agropecuario</t>
        </is>
      </c>
      <c r="AS184" s="24" t="inlineStr">
        <is>
          <t>Chacarita Juniors</t>
        </is>
      </c>
      <c r="AT184" s="24" t="inlineStr">
        <is>
          <t>Chacarita Juniors</t>
        </is>
      </c>
      <c r="AU184" s="24" t="inlineStr">
        <is>
          <t>Chacarita Juniors</t>
        </is>
      </c>
      <c r="AV184" s="24" t="n"/>
      <c r="AW184" s="24" t="n"/>
      <c r="AX184" s="24" t="inlineStr">
        <is>
          <t>statistical_model</t>
        </is>
      </c>
      <c r="AY184" s="24" t="n"/>
      <c r="AZ184" s="24" t="inlineStr">
        <is>
          <t>research</t>
        </is>
      </c>
      <c r="BA184" s="24" t="inlineStr">
        <is>
          <t>34d1568aad0ff11b5db35f118324684f93281e1c21fa7b80be7a4a4e2cb4bb03</t>
        </is>
      </c>
      <c r="BB184" s="24" t="inlineStr">
        <is>
          <t>poisson_dixon_coles</t>
        </is>
      </c>
      <c r="BC184" s="24" t="inlineStr">
        <is>
          <t>soccer-poisson-dc-v1</t>
        </is>
      </c>
      <c r="BD184" s="24" t="inlineStr">
        <is>
          <t>34d1568aad0ff11b5db35f118324684f93281e1c21fa7b80be7a4a4e2cb4bb03</t>
        </is>
      </c>
      <c r="BE184" s="24" t="inlineStr">
        <is>
          <t>soccer-poisson-dc-v1</t>
        </is>
      </c>
      <c r="BF184" s="24" t="inlineStr">
        <is>
          <t>1</t>
        </is>
      </c>
      <c r="BG184" s="24" t="inlineStr">
        <is>
          <t>34d1568aad0ff11b5db35f118324684f93281e1c21fa7b80be7a4a4e2cb4bb03</t>
        </is>
      </c>
      <c r="BH184" s="24" t="inlineStr">
        <is>
          <t>2026-08-02T07:11:23.168431Z</t>
        </is>
      </c>
      <c r="BI184" s="24" t="inlineStr">
        <is>
          <t>["same_event","same_team_same_day","same_league_same_day"]</t>
        </is>
      </c>
      <c r="BJ184" s="25" t="n"/>
      <c r="BK184" s="26" t="n">
        <v>122</v>
      </c>
      <c r="BL184" s="27" t="n">
        <v>2.22</v>
      </c>
      <c r="BM184" s="28" t="n">
        <v>0.45045</v>
      </c>
      <c r="BN184" s="28" t="n"/>
      <c r="BO184" s="28" t="n"/>
      <c r="BP184" s="25" t="n"/>
      <c r="BQ184" s="27" t="n"/>
      <c r="BR184" s="28" t="n"/>
      <c r="BS184" s="28" t="n"/>
      <c r="BT184" s="28" t="n"/>
      <c r="BU184" s="25" t="n"/>
      <c r="BV184" s="29" t="n"/>
      <c r="BW184" s="24" t="n"/>
      <c r="BX184" s="30" t="n"/>
      <c r="BY184" s="27" t="n"/>
      <c r="BZ184" s="24" t="n"/>
      <c r="CA184" s="31" t="n"/>
      <c r="CB184" s="24" t="n"/>
      <c r="CC184" s="24" t="n"/>
      <c r="CD184" s="24" t="n"/>
      <c r="CE184" s="24" t="n"/>
      <c r="CF184" s="24" t="n"/>
      <c r="CG184" s="24" t="n"/>
      <c r="CH184" s="24" t="n"/>
      <c r="CI184" s="24" t="n"/>
      <c r="CJ184" s="24" t="n"/>
      <c r="CK184" s="24" t="n"/>
      <c r="CL184" s="24" t="n"/>
      <c r="CM184" s="24" t="n"/>
      <c r="CN184" s="24" t="n"/>
      <c r="CO184" s="24" t="n"/>
    </row>
    <row r="185" ht="36" customHeight="1">
      <c r="A185" s="24" t="inlineStr">
        <is>
          <t>f3e3be0dcf8a420b</t>
        </is>
      </c>
      <c r="B185" s="24" t="inlineStr">
        <is>
          <t>2026-08-02T07:14:17.312478Z</t>
        </is>
      </c>
      <c r="C185" s="24" t="inlineStr">
        <is>
          <t>2026-08-02T18:00Z</t>
        </is>
      </c>
      <c r="D185" s="24" t="inlineStr">
        <is>
          <t>401844019</t>
        </is>
      </c>
      <c r="E185" s="24" t="inlineStr">
        <is>
          <t>SOCCER</t>
        </is>
      </c>
      <c r="F185" s="24" t="inlineStr">
        <is>
          <t>San Miguel</t>
        </is>
      </c>
      <c r="G185" s="24" t="inlineStr">
        <is>
          <t>San Telmo</t>
        </is>
      </c>
      <c r="H185" s="24" t="inlineStr">
        <is>
          <t>moneyline</t>
        </is>
      </c>
      <c r="I185" s="24" t="inlineStr">
        <is>
          <t>home</t>
        </is>
      </c>
      <c r="J185" s="25" t="n"/>
      <c r="K185" s="24" t="inlineStr">
        <is>
          <t>polymarket_us</t>
        </is>
      </c>
      <c r="L185" s="26" t="n">
        <v>170</v>
      </c>
      <c r="M185" s="27" t="n">
        <v>2.7</v>
      </c>
      <c r="N185" s="28" t="n">
        <v>0.37037</v>
      </c>
      <c r="O185" s="28" t="n">
        <v>0.456135</v>
      </c>
      <c r="P185" s="28" t="n">
        <v>0.2</v>
      </c>
      <c r="Q185" s="28" t="n">
        <v>0.08576499999999999</v>
      </c>
      <c r="R185" s="26" t="n">
        <v>0</v>
      </c>
      <c r="S185" s="29" t="n">
        <v>1</v>
      </c>
      <c r="T185" s="24" t="inlineStr">
        <is>
          <t>soccer-poisson-dc-v1</t>
        </is>
      </c>
      <c r="U185" s="24" t="inlineStr">
        <is>
          <t>open</t>
        </is>
      </c>
      <c r="V185" s="24" t="n"/>
      <c r="W185" s="26" t="n"/>
      <c r="X185" s="26" t="n"/>
      <c r="Y185" s="25" t="n"/>
      <c r="Z185" s="26" t="n"/>
      <c r="AA185" s="28" t="n"/>
      <c r="AB185" s="28" t="n"/>
      <c r="AC185" s="30" t="n"/>
      <c r="AD185" s="24" t="n"/>
      <c r="AE185" s="31" t="inlineStr">
        <is>
          <t>Poisson-DC rates 1.64 (home) / 1.24 (away) from EWMA attack/defense strengths. Executable ask 0.3700 (atc-arg2-ste-casm-2026-08-02-ste).</t>
        </is>
      </c>
      <c r="AF185" s="31" t="inlineStr">
        <is>
          <t>Research-only soccer score model; draw-aware, but not yet locked-holdout qualified.</t>
        </is>
      </c>
      <c r="AG185" s="24" t="inlineStr">
        <is>
          <t>not_applicable</t>
        </is>
      </c>
      <c r="AH185" s="24" t="n"/>
      <c r="AI185" s="31" t="n"/>
      <c r="AJ185" s="31" t="n"/>
      <c r="AK185" s="24" t="inlineStr">
        <is>
          <t>research_observation</t>
        </is>
      </c>
      <c r="AL185" s="26" t="n">
        <v>3</v>
      </c>
      <c r="AM185" s="24" t="inlineStr">
        <is>
          <t>RESEARCH_OBSERVATION</t>
        </is>
      </c>
      <c r="AN185" s="24" t="inlineStr">
        <is>
          <t>NO_CALL</t>
        </is>
      </c>
      <c r="AO185" s="24" t="inlineStr">
        <is>
          <t>NO_CALL_MODEL_UNVALIDATED</t>
        </is>
      </c>
      <c r="AP185" s="24" t="inlineStr">
        <is>
          <t>San Miguel</t>
        </is>
      </c>
      <c r="AQ185" s="24" t="inlineStr">
        <is>
          <t>San Miguel</t>
        </is>
      </c>
      <c r="AR185" s="24" t="inlineStr">
        <is>
          <t>San Miguel</t>
        </is>
      </c>
      <c r="AS185" s="24" t="inlineStr">
        <is>
          <t>San Telmo</t>
        </is>
      </c>
      <c r="AT185" s="24" t="inlineStr">
        <is>
          <t>San Telmo</t>
        </is>
      </c>
      <c r="AU185" s="24" t="inlineStr">
        <is>
          <t>San Telmo</t>
        </is>
      </c>
      <c r="AV185" s="24" t="n"/>
      <c r="AW185" s="24" t="n"/>
      <c r="AX185" s="24" t="inlineStr">
        <is>
          <t>statistical_model</t>
        </is>
      </c>
      <c r="AY185" s="24" t="n"/>
      <c r="AZ185" s="24" t="inlineStr">
        <is>
          <t>research</t>
        </is>
      </c>
      <c r="BA185" s="24" t="inlineStr">
        <is>
          <t>34d1568aad0ff11b5db35f118324684f93281e1c21fa7b80be7a4a4e2cb4bb03</t>
        </is>
      </c>
      <c r="BB185" s="24" t="inlineStr">
        <is>
          <t>poisson_dixon_coles</t>
        </is>
      </c>
      <c r="BC185" s="24" t="inlineStr">
        <is>
          <t>soccer-poisson-dc-v1</t>
        </is>
      </c>
      <c r="BD185" s="24" t="inlineStr">
        <is>
          <t>34d1568aad0ff11b5db35f118324684f93281e1c21fa7b80be7a4a4e2cb4bb03</t>
        </is>
      </c>
      <c r="BE185" s="24" t="inlineStr">
        <is>
          <t>soccer-poisson-dc-v1</t>
        </is>
      </c>
      <c r="BF185" s="24" t="inlineStr">
        <is>
          <t>1</t>
        </is>
      </c>
      <c r="BG185" s="24" t="inlineStr">
        <is>
          <t>34d1568aad0ff11b5db35f118324684f93281e1c21fa7b80be7a4a4e2cb4bb03</t>
        </is>
      </c>
      <c r="BH185" s="24" t="inlineStr">
        <is>
          <t>2026-08-02T07:11:23.717602Z</t>
        </is>
      </c>
      <c r="BI185" s="24" t="inlineStr">
        <is>
          <t>["same_event","same_team_same_day","same_league_same_day"]</t>
        </is>
      </c>
      <c r="BJ185" s="25" t="n"/>
      <c r="BK185" s="26" t="n">
        <v>170</v>
      </c>
      <c r="BL185" s="27" t="n">
        <v>2.7</v>
      </c>
      <c r="BM185" s="28" t="n">
        <v>0.37037</v>
      </c>
      <c r="BN185" s="28" t="n"/>
      <c r="BO185" s="28" t="n"/>
      <c r="BP185" s="25" t="n"/>
      <c r="BQ185" s="27" t="n"/>
      <c r="BR185" s="28" t="n"/>
      <c r="BS185" s="28" t="n"/>
      <c r="BT185" s="28" t="n"/>
      <c r="BU185" s="25" t="n"/>
      <c r="BV185" s="29" t="n"/>
      <c r="BW185" s="24" t="n"/>
      <c r="BX185" s="30" t="n"/>
      <c r="BY185" s="27" t="n"/>
      <c r="BZ185" s="24" t="n"/>
      <c r="CA185" s="31" t="n"/>
      <c r="CB185" s="24" t="n"/>
      <c r="CC185" s="24" t="n"/>
      <c r="CD185" s="24" t="n"/>
      <c r="CE185" s="24" t="n"/>
      <c r="CF185" s="24" t="n"/>
      <c r="CG185" s="24" t="n"/>
      <c r="CH185" s="24" t="n"/>
      <c r="CI185" s="24" t="n"/>
      <c r="CJ185" s="24" t="n"/>
      <c r="CK185" s="24" t="n"/>
      <c r="CL185" s="24" t="n"/>
      <c r="CM185" s="24" t="n"/>
      <c r="CN185" s="24" t="n"/>
      <c r="CO185" s="24" t="n"/>
    </row>
    <row r="186" ht="36" customHeight="1">
      <c r="A186" s="24" t="inlineStr">
        <is>
          <t>4ddd29c26709402b</t>
        </is>
      </c>
      <c r="B186" s="24" t="inlineStr">
        <is>
          <t>2026-08-02T07:14:17.312478Z</t>
        </is>
      </c>
      <c r="C186" s="24" t="inlineStr">
        <is>
          <t>2026-08-02T18:30Z</t>
        </is>
      </c>
      <c r="D186" s="24" t="inlineStr">
        <is>
          <t>401844012</t>
        </is>
      </c>
      <c r="E186" s="24" t="inlineStr">
        <is>
          <t>SOCCER</t>
        </is>
      </c>
      <c r="F186" s="24" t="inlineStr">
        <is>
          <t>Gimnasia y Tiro (Salta)</t>
        </is>
      </c>
      <c r="G186" s="24" t="inlineStr">
        <is>
          <t>Temperley</t>
        </is>
      </c>
      <c r="H186" s="24" t="inlineStr">
        <is>
          <t>moneyline</t>
        </is>
      </c>
      <c r="I186" s="24" t="inlineStr">
        <is>
          <t>home</t>
        </is>
      </c>
      <c r="J186" s="25" t="n"/>
      <c r="K186" s="24" t="inlineStr">
        <is>
          <t>polymarket_us</t>
        </is>
      </c>
      <c r="L186" s="26" t="n">
        <v>117</v>
      </c>
      <c r="M186" s="27" t="n">
        <v>2.17</v>
      </c>
      <c r="N186" s="28" t="n">
        <v>0.460829</v>
      </c>
      <c r="O186" s="28" t="n">
        <v>0.456135</v>
      </c>
      <c r="P186" s="28" t="n">
        <v>0.2</v>
      </c>
      <c r="Q186" s="28" t="n">
        <v>-0.004694</v>
      </c>
      <c r="R186" s="26" t="n">
        <v>0</v>
      </c>
      <c r="S186" s="29" t="n">
        <v>1</v>
      </c>
      <c r="T186" s="24" t="inlineStr">
        <is>
          <t>soccer-poisson-dc-v1</t>
        </is>
      </c>
      <c r="U186" s="24" t="inlineStr">
        <is>
          <t>open</t>
        </is>
      </c>
      <c r="V186" s="24" t="n"/>
      <c r="W186" s="26" t="n"/>
      <c r="X186" s="26" t="n"/>
      <c r="Y186" s="25" t="n"/>
      <c r="Z186" s="26" t="n"/>
      <c r="AA186" s="28" t="n"/>
      <c r="AB186" s="28" t="n"/>
      <c r="AC186" s="30" t="n"/>
      <c r="AD186" s="24" t="n"/>
      <c r="AE186" s="31" t="inlineStr">
        <is>
          <t>Poisson-DC rates 1.64 (home) / 1.24 (away) from EWMA attack/defense strengths. Executable ask 0.4600 (atc-arg2-cat-gyt-2026-08-02-cat).</t>
        </is>
      </c>
      <c r="AF186" s="31" t="inlineStr">
        <is>
          <t>Research-only soccer score model; draw-aware, but not yet locked-holdout qualified.</t>
        </is>
      </c>
      <c r="AG186" s="24" t="inlineStr">
        <is>
          <t>not_applicable</t>
        </is>
      </c>
      <c r="AH186" s="24" t="n"/>
      <c r="AI186" s="31" t="n"/>
      <c r="AJ186" s="31" t="n"/>
      <c r="AK186" s="24" t="inlineStr">
        <is>
          <t>research_observation</t>
        </is>
      </c>
      <c r="AL186" s="26" t="n">
        <v>3</v>
      </c>
      <c r="AM186" s="24" t="inlineStr">
        <is>
          <t>RESEARCH_OBSERVATION</t>
        </is>
      </c>
      <c r="AN186" s="24" t="inlineStr">
        <is>
          <t>NO_CALL</t>
        </is>
      </c>
      <c r="AO186" s="24" t="inlineStr">
        <is>
          <t>NO_CALL_MODEL_UNVALIDATED</t>
        </is>
      </c>
      <c r="AP186" s="24" t="inlineStr">
        <is>
          <t>Gimnasia y Tiro (Salta)</t>
        </is>
      </c>
      <c r="AQ186" s="24" t="inlineStr">
        <is>
          <t>Gimnasia y Tiro (Salta)</t>
        </is>
      </c>
      <c r="AR186" s="24" t="inlineStr">
        <is>
          <t>Gimnasia y Tiro (Salta)</t>
        </is>
      </c>
      <c r="AS186" s="24" t="inlineStr">
        <is>
          <t>Temperley</t>
        </is>
      </c>
      <c r="AT186" s="24" t="inlineStr">
        <is>
          <t>Temperley</t>
        </is>
      </c>
      <c r="AU186" s="24" t="inlineStr">
        <is>
          <t>Temperley</t>
        </is>
      </c>
      <c r="AV186" s="24" t="n"/>
      <c r="AW186" s="24" t="n"/>
      <c r="AX186" s="24" t="inlineStr">
        <is>
          <t>statistical_model</t>
        </is>
      </c>
      <c r="AY186" s="24" t="n"/>
      <c r="AZ186" s="24" t="inlineStr">
        <is>
          <t>research</t>
        </is>
      </c>
      <c r="BA186" s="24" t="inlineStr">
        <is>
          <t>34d1568aad0ff11b5db35f118324684f93281e1c21fa7b80be7a4a4e2cb4bb03</t>
        </is>
      </c>
      <c r="BB186" s="24" t="inlineStr">
        <is>
          <t>poisson_dixon_coles</t>
        </is>
      </c>
      <c r="BC186" s="24" t="inlineStr">
        <is>
          <t>soccer-poisson-dc-v1</t>
        </is>
      </c>
      <c r="BD186" s="24" t="inlineStr">
        <is>
          <t>34d1568aad0ff11b5db35f118324684f93281e1c21fa7b80be7a4a4e2cb4bb03</t>
        </is>
      </c>
      <c r="BE186" s="24" t="inlineStr">
        <is>
          <t>soccer-poisson-dc-v1</t>
        </is>
      </c>
      <c r="BF186" s="24" t="inlineStr">
        <is>
          <t>1</t>
        </is>
      </c>
      <c r="BG186" s="24" t="inlineStr">
        <is>
          <t>34d1568aad0ff11b5db35f118324684f93281e1c21fa7b80be7a4a4e2cb4bb03</t>
        </is>
      </c>
      <c r="BH186" s="24" t="inlineStr">
        <is>
          <t>2026-08-02T07:11:23.676456Z</t>
        </is>
      </c>
      <c r="BI186" s="24" t="inlineStr">
        <is>
          <t>["same_event","same_team_same_day","same_league_same_day"]</t>
        </is>
      </c>
      <c r="BJ186" s="25" t="n"/>
      <c r="BK186" s="26" t="n">
        <v>117</v>
      </c>
      <c r="BL186" s="27" t="n">
        <v>2.17</v>
      </c>
      <c r="BM186" s="28" t="n">
        <v>0.460829</v>
      </c>
      <c r="BN186" s="28" t="n"/>
      <c r="BO186" s="28" t="n"/>
      <c r="BP186" s="25" t="n"/>
      <c r="BQ186" s="27" t="n"/>
      <c r="BR186" s="28" t="n"/>
      <c r="BS186" s="28" t="n"/>
      <c r="BT186" s="28" t="n"/>
      <c r="BU186" s="25" t="n"/>
      <c r="BV186" s="29" t="n"/>
      <c r="BW186" s="24" t="n"/>
      <c r="BX186" s="30" t="n"/>
      <c r="BY186" s="27" t="n"/>
      <c r="BZ186" s="24" t="n"/>
      <c r="CA186" s="31" t="n"/>
      <c r="CB186" s="24" t="n"/>
      <c r="CC186" s="24" t="n"/>
      <c r="CD186" s="24" t="n"/>
      <c r="CE186" s="24" t="n"/>
      <c r="CF186" s="24" t="n"/>
      <c r="CG186" s="24" t="n"/>
      <c r="CH186" s="24" t="n"/>
      <c r="CI186" s="24" t="n"/>
      <c r="CJ186" s="24" t="n"/>
      <c r="CK186" s="24" t="n"/>
      <c r="CL186" s="24" t="n"/>
      <c r="CM186" s="24" t="n"/>
      <c r="CN186" s="24" t="n"/>
      <c r="CO186" s="24" t="n"/>
    </row>
    <row r="187" ht="36" customHeight="1">
      <c r="A187" s="24" t="inlineStr">
        <is>
          <t>20b8b805540145f3</t>
        </is>
      </c>
      <c r="B187" s="24" t="inlineStr">
        <is>
          <t>2026-08-02T07:14:17.312478Z</t>
        </is>
      </c>
      <c r="C187" s="24" t="inlineStr">
        <is>
          <t>2026-08-02T19:00Z</t>
        </is>
      </c>
      <c r="D187" s="24" t="inlineStr">
        <is>
          <t>401844026</t>
        </is>
      </c>
      <c r="E187" s="24" t="inlineStr">
        <is>
          <t>SOCCER</t>
        </is>
      </c>
      <c r="F187" s="24" t="inlineStr">
        <is>
          <t>All Boys</t>
        </is>
      </c>
      <c r="G187" s="24" t="inlineStr">
        <is>
          <t>Deportivo Madryn</t>
        </is>
      </c>
      <c r="H187" s="24" t="inlineStr">
        <is>
          <t>moneyline</t>
        </is>
      </c>
      <c r="I187" s="24" t="inlineStr">
        <is>
          <t>home</t>
        </is>
      </c>
      <c r="J187" s="25" t="n"/>
      <c r="K187" s="24" t="inlineStr">
        <is>
          <t>polymarket_us</t>
        </is>
      </c>
      <c r="L187" s="26" t="n">
        <v>-104</v>
      </c>
      <c r="M187" s="27" t="n">
        <v>1.961538</v>
      </c>
      <c r="N187" s="28" t="n">
        <v>0.509804</v>
      </c>
      <c r="O187" s="28" t="n">
        <v>0.456135</v>
      </c>
      <c r="P187" s="28" t="n">
        <v>0.2</v>
      </c>
      <c r="Q187" s="28" t="n">
        <v>-0.053669</v>
      </c>
      <c r="R187" s="26" t="n">
        <v>0</v>
      </c>
      <c r="S187" s="29" t="n">
        <v>1</v>
      </c>
      <c r="T187" s="24" t="inlineStr">
        <is>
          <t>soccer-poisson-dc-v1</t>
        </is>
      </c>
      <c r="U187" s="24" t="inlineStr">
        <is>
          <t>open</t>
        </is>
      </c>
      <c r="V187" s="24" t="n"/>
      <c r="W187" s="26" t="n"/>
      <c r="X187" s="26" t="n"/>
      <c r="Y187" s="25" t="n"/>
      <c r="Z187" s="26" t="n"/>
      <c r="AA187" s="28" t="n"/>
      <c r="AB187" s="28" t="n"/>
      <c r="AC187" s="30" t="n"/>
      <c r="AD187" s="24" t="n"/>
      <c r="AE187" s="31" t="inlineStr">
        <is>
          <t>Poisson-DC rates 1.64 (home) / 1.24 (away) from EWMA attack/defense strengths. Executable ask 0.5100 (atc-arg2-dma-abo-2026-08-02-dma).</t>
        </is>
      </c>
      <c r="AF187" s="31" t="inlineStr">
        <is>
          <t>Research-only soccer score model; draw-aware, but not yet locked-holdout qualified.</t>
        </is>
      </c>
      <c r="AG187" s="24" t="inlineStr">
        <is>
          <t>not_applicable</t>
        </is>
      </c>
      <c r="AH187" s="24" t="n"/>
      <c r="AI187" s="31" t="n"/>
      <c r="AJ187" s="31" t="n"/>
      <c r="AK187" s="24" t="inlineStr">
        <is>
          <t>research_observation</t>
        </is>
      </c>
      <c r="AL187" s="26" t="n">
        <v>3</v>
      </c>
      <c r="AM187" s="24" t="inlineStr">
        <is>
          <t>RESEARCH_OBSERVATION</t>
        </is>
      </c>
      <c r="AN187" s="24" t="inlineStr">
        <is>
          <t>NO_CALL</t>
        </is>
      </c>
      <c r="AO187" s="24" t="inlineStr">
        <is>
          <t>NO_CALL_MODEL_UNVALIDATED</t>
        </is>
      </c>
      <c r="AP187" s="24" t="inlineStr">
        <is>
          <t>All Boys</t>
        </is>
      </c>
      <c r="AQ187" s="24" t="inlineStr">
        <is>
          <t>All Boys</t>
        </is>
      </c>
      <c r="AR187" s="24" t="inlineStr">
        <is>
          <t>All Boys</t>
        </is>
      </c>
      <c r="AS187" s="24" t="inlineStr">
        <is>
          <t>Deportivo Madryn</t>
        </is>
      </c>
      <c r="AT187" s="24" t="inlineStr">
        <is>
          <t>Deportivo Madryn</t>
        </is>
      </c>
      <c r="AU187" s="24" t="inlineStr">
        <is>
          <t>Deportivo Madryn</t>
        </is>
      </c>
      <c r="AV187" s="24" t="n"/>
      <c r="AW187" s="24" t="n"/>
      <c r="AX187" s="24" t="inlineStr">
        <is>
          <t>statistical_model</t>
        </is>
      </c>
      <c r="AY187" s="24" t="n"/>
      <c r="AZ187" s="24" t="inlineStr">
        <is>
          <t>research</t>
        </is>
      </c>
      <c r="BA187" s="24" t="inlineStr">
        <is>
          <t>34d1568aad0ff11b5db35f118324684f93281e1c21fa7b80be7a4a4e2cb4bb03</t>
        </is>
      </c>
      <c r="BB187" s="24" t="inlineStr">
        <is>
          <t>poisson_dixon_coles</t>
        </is>
      </c>
      <c r="BC187" s="24" t="inlineStr">
        <is>
          <t>soccer-poisson-dc-v1</t>
        </is>
      </c>
      <c r="BD187" s="24" t="inlineStr">
        <is>
          <t>34d1568aad0ff11b5db35f118324684f93281e1c21fa7b80be7a4a4e2cb4bb03</t>
        </is>
      </c>
      <c r="BE187" s="24" t="inlineStr">
        <is>
          <t>soccer-poisson-dc-v1</t>
        </is>
      </c>
      <c r="BF187" s="24" t="inlineStr">
        <is>
          <t>1</t>
        </is>
      </c>
      <c r="BG187" s="24" t="inlineStr">
        <is>
          <t>34d1568aad0ff11b5db35f118324684f93281e1c21fa7b80be7a4a4e2cb4bb03</t>
        </is>
      </c>
      <c r="BH187" s="24" t="inlineStr">
        <is>
          <t>2026-08-02T07:11:24.238512Z</t>
        </is>
      </c>
      <c r="BI187" s="24" t="inlineStr">
        <is>
          <t>["same_event","same_team_same_day","same_league_same_day"]</t>
        </is>
      </c>
      <c r="BJ187" s="25" t="n"/>
      <c r="BK187" s="26" t="n">
        <v>-104</v>
      </c>
      <c r="BL187" s="27" t="n">
        <v>1.961538</v>
      </c>
      <c r="BM187" s="28" t="n">
        <v>0.509804</v>
      </c>
      <c r="BN187" s="28" t="n"/>
      <c r="BO187" s="28" t="n"/>
      <c r="BP187" s="25" t="n"/>
      <c r="BQ187" s="27" t="n"/>
      <c r="BR187" s="28" t="n"/>
      <c r="BS187" s="28" t="n"/>
      <c r="BT187" s="28" t="n"/>
      <c r="BU187" s="25" t="n"/>
      <c r="BV187" s="29" t="n"/>
      <c r="BW187" s="24" t="n"/>
      <c r="BX187" s="30" t="n"/>
      <c r="BY187" s="27" t="n"/>
      <c r="BZ187" s="24" t="n"/>
      <c r="CA187" s="31" t="n"/>
      <c r="CB187" s="24" t="n"/>
      <c r="CC187" s="24" t="n"/>
      <c r="CD187" s="24" t="n"/>
      <c r="CE187" s="24" t="n"/>
      <c r="CF187" s="24" t="n"/>
      <c r="CG187" s="24" t="n"/>
      <c r="CH187" s="24" t="n"/>
      <c r="CI187" s="24" t="n"/>
      <c r="CJ187" s="24" t="n"/>
      <c r="CK187" s="24" t="n"/>
      <c r="CL187" s="24" t="n"/>
      <c r="CM187" s="24" t="n"/>
      <c r="CN187" s="24" t="n"/>
      <c r="CO187" s="24" t="n"/>
    </row>
    <row r="188" ht="36" customHeight="1">
      <c r="A188" s="24" t="inlineStr">
        <is>
          <t>0dc79436f18d40c0</t>
        </is>
      </c>
      <c r="B188" s="24" t="inlineStr">
        <is>
          <t>2026-08-02T07:14:17.312478Z</t>
        </is>
      </c>
      <c r="C188" s="24" t="inlineStr">
        <is>
          <t>2026-08-02T19:30Z</t>
        </is>
      </c>
      <c r="D188" s="24" t="inlineStr">
        <is>
          <t>401844014</t>
        </is>
      </c>
      <c r="E188" s="24" t="inlineStr">
        <is>
          <t>SOCCER</t>
        </is>
      </c>
      <c r="F188" s="24" t="inlineStr">
        <is>
          <t>Los Andes</t>
        </is>
      </c>
      <c r="G188" s="24" t="inlineStr">
        <is>
          <t>Central Norte</t>
        </is>
      </c>
      <c r="H188" s="24" t="inlineStr">
        <is>
          <t>moneyline</t>
        </is>
      </c>
      <c r="I188" s="24" t="inlineStr">
        <is>
          <t>home</t>
        </is>
      </c>
      <c r="J188" s="25" t="n"/>
      <c r="K188" s="24" t="inlineStr">
        <is>
          <t>polymarket_us</t>
        </is>
      </c>
      <c r="L188" s="26" t="n">
        <v>178</v>
      </c>
      <c r="M188" s="27" t="n">
        <v>2.78</v>
      </c>
      <c r="N188" s="28" t="n">
        <v>0.359712</v>
      </c>
      <c r="O188" s="28" t="n">
        <v>0.456135</v>
      </c>
      <c r="P188" s="28" t="n">
        <v>0.2</v>
      </c>
      <c r="Q188" s="28" t="n">
        <v>0.09642299999999999</v>
      </c>
      <c r="R188" s="26" t="n">
        <v>0</v>
      </c>
      <c r="S188" s="29" t="n">
        <v>1</v>
      </c>
      <c r="T188" s="24" t="inlineStr">
        <is>
          <t>soccer-poisson-dc-v1</t>
        </is>
      </c>
      <c r="U188" s="24" t="inlineStr">
        <is>
          <t>open</t>
        </is>
      </c>
      <c r="V188" s="24" t="n"/>
      <c r="W188" s="26" t="n"/>
      <c r="X188" s="26" t="n"/>
      <c r="Y188" s="25" t="n"/>
      <c r="Z188" s="26" t="n"/>
      <c r="AA188" s="28" t="n"/>
      <c r="AB188" s="28" t="n"/>
      <c r="AC188" s="30" t="n"/>
      <c r="AD188" s="24" t="n"/>
      <c r="AE188" s="31" t="inlineStr">
        <is>
          <t>Poisson-DC rates 1.64 (home) / 1.24 (away) from EWMA attack/defense strengths. Executable ask 0.3600 (atc-arg2-ccns-ala-2026-08-02-ccns).</t>
        </is>
      </c>
      <c r="AF188" s="31" t="inlineStr">
        <is>
          <t>Research-only soccer score model; draw-aware, but not yet locked-holdout qualified.</t>
        </is>
      </c>
      <c r="AG188" s="24" t="inlineStr">
        <is>
          <t>not_applicable</t>
        </is>
      </c>
      <c r="AH188" s="24" t="n"/>
      <c r="AI188" s="31" t="n"/>
      <c r="AJ188" s="31" t="n"/>
      <c r="AK188" s="24" t="inlineStr">
        <is>
          <t>research_observation</t>
        </is>
      </c>
      <c r="AL188" s="26" t="n">
        <v>3</v>
      </c>
      <c r="AM188" s="24" t="inlineStr">
        <is>
          <t>RESEARCH_OBSERVATION</t>
        </is>
      </c>
      <c r="AN188" s="24" t="inlineStr">
        <is>
          <t>NO_CALL</t>
        </is>
      </c>
      <c r="AO188" s="24" t="inlineStr">
        <is>
          <t>NO_CALL_MODEL_UNVALIDATED</t>
        </is>
      </c>
      <c r="AP188" s="24" t="inlineStr">
        <is>
          <t>Los Andes</t>
        </is>
      </c>
      <c r="AQ188" s="24" t="inlineStr">
        <is>
          <t>Los Andes</t>
        </is>
      </c>
      <c r="AR188" s="24" t="inlineStr">
        <is>
          <t>Los Andes</t>
        </is>
      </c>
      <c r="AS188" s="24" t="inlineStr">
        <is>
          <t>Central Norte</t>
        </is>
      </c>
      <c r="AT188" s="24" t="inlineStr">
        <is>
          <t>Central Norte</t>
        </is>
      </c>
      <c r="AU188" s="24" t="inlineStr">
        <is>
          <t>Central Norte</t>
        </is>
      </c>
      <c r="AV188" s="24" t="n"/>
      <c r="AW188" s="24" t="n"/>
      <c r="AX188" s="24" t="inlineStr">
        <is>
          <t>statistical_model</t>
        </is>
      </c>
      <c r="AY188" s="24" t="n"/>
      <c r="AZ188" s="24" t="inlineStr">
        <is>
          <t>research</t>
        </is>
      </c>
      <c r="BA188" s="24" t="inlineStr">
        <is>
          <t>34d1568aad0ff11b5db35f118324684f93281e1c21fa7b80be7a4a4e2cb4bb03</t>
        </is>
      </c>
      <c r="BB188" s="24" t="inlineStr">
        <is>
          <t>poisson_dixon_coles</t>
        </is>
      </c>
      <c r="BC188" s="24" t="inlineStr">
        <is>
          <t>soccer-poisson-dc-v1</t>
        </is>
      </c>
      <c r="BD188" s="24" t="inlineStr">
        <is>
          <t>34d1568aad0ff11b5db35f118324684f93281e1c21fa7b80be7a4a4e2cb4bb03</t>
        </is>
      </c>
      <c r="BE188" s="24" t="inlineStr">
        <is>
          <t>soccer-poisson-dc-v1</t>
        </is>
      </c>
      <c r="BF188" s="24" t="inlineStr">
        <is>
          <t>1</t>
        </is>
      </c>
      <c r="BG188" s="24" t="inlineStr">
        <is>
          <t>34d1568aad0ff11b5db35f118324684f93281e1c21fa7b80be7a4a4e2cb4bb03</t>
        </is>
      </c>
      <c r="BH188" s="24" t="inlineStr">
        <is>
          <t>2026-08-02T07:11:24.757447Z</t>
        </is>
      </c>
      <c r="BI188" s="24" t="inlineStr">
        <is>
          <t>["same_event","same_team_same_day","same_league_same_day"]</t>
        </is>
      </c>
      <c r="BJ188" s="25" t="n"/>
      <c r="BK188" s="26" t="n">
        <v>178</v>
      </c>
      <c r="BL188" s="27" t="n">
        <v>2.78</v>
      </c>
      <c r="BM188" s="28" t="n">
        <v>0.359712</v>
      </c>
      <c r="BN188" s="28" t="n"/>
      <c r="BO188" s="28" t="n"/>
      <c r="BP188" s="25" t="n"/>
      <c r="BQ188" s="27" t="n"/>
      <c r="BR188" s="28" t="n"/>
      <c r="BS188" s="28" t="n"/>
      <c r="BT188" s="28" t="n"/>
      <c r="BU188" s="25" t="n"/>
      <c r="BV188" s="29" t="n"/>
      <c r="BW188" s="24" t="n"/>
      <c r="BX188" s="30" t="n"/>
      <c r="BY188" s="27" t="n"/>
      <c r="BZ188" s="24" t="n"/>
      <c r="CA188" s="31" t="n"/>
      <c r="CB188" s="24" t="n"/>
      <c r="CC188" s="24" t="n"/>
      <c r="CD188" s="24" t="n"/>
      <c r="CE188" s="24" t="n"/>
      <c r="CF188" s="24" t="n"/>
      <c r="CG188" s="24" t="n"/>
      <c r="CH188" s="24" t="n"/>
      <c r="CI188" s="24" t="n"/>
      <c r="CJ188" s="24" t="n"/>
      <c r="CK188" s="24" t="n"/>
      <c r="CL188" s="24" t="n"/>
      <c r="CM188" s="24" t="n"/>
      <c r="CN188" s="24" t="n"/>
      <c r="CO188" s="24" t="n"/>
    </row>
    <row r="189" ht="36" customHeight="1">
      <c r="A189" s="24" t="inlineStr">
        <is>
          <t>090a09d5fd4d406d</t>
        </is>
      </c>
      <c r="B189" s="24" t="inlineStr">
        <is>
          <t>2026-08-02T07:14:17.312478Z</t>
        </is>
      </c>
      <c r="C189" s="24" t="inlineStr">
        <is>
          <t>2026-08-03T01:00Z</t>
        </is>
      </c>
      <c r="D189" s="24" t="inlineStr">
        <is>
          <t>401877966</t>
        </is>
      </c>
      <c r="E189" s="24" t="inlineStr">
        <is>
          <t>SOCCER</t>
        </is>
      </c>
      <c r="F189" s="24" t="inlineStr">
        <is>
          <t>Once Caldas</t>
        </is>
      </c>
      <c r="G189" s="24" t="inlineStr">
        <is>
          <t>Independiente Santa Fe</t>
        </is>
      </c>
      <c r="H189" s="24" t="inlineStr">
        <is>
          <t>moneyline</t>
        </is>
      </c>
      <c r="I189" s="24" t="inlineStr">
        <is>
          <t>home</t>
        </is>
      </c>
      <c r="J189" s="25" t="n"/>
      <c r="K189" s="24" t="inlineStr">
        <is>
          <t>polymarket_us</t>
        </is>
      </c>
      <c r="L189" s="26" t="n">
        <v>117</v>
      </c>
      <c r="M189" s="27" t="n">
        <v>2.17</v>
      </c>
      <c r="N189" s="28" t="n">
        <v>0.460829</v>
      </c>
      <c r="O189" s="28" t="n">
        <v>0.456135</v>
      </c>
      <c r="P189" s="28" t="n">
        <v>0.2</v>
      </c>
      <c r="Q189" s="28" t="n">
        <v>-0.004694</v>
      </c>
      <c r="R189" s="26" t="n">
        <v>0</v>
      </c>
      <c r="S189" s="29" t="n">
        <v>1</v>
      </c>
      <c r="T189" s="24" t="inlineStr">
        <is>
          <t>soccer-poisson-dc-v1</t>
        </is>
      </c>
      <c r="U189" s="24" t="inlineStr">
        <is>
          <t>open</t>
        </is>
      </c>
      <c r="V189" s="24" t="n"/>
      <c r="W189" s="26" t="n"/>
      <c r="X189" s="26" t="n"/>
      <c r="Y189" s="25" t="n"/>
      <c r="Z189" s="26" t="n"/>
      <c r="AA189" s="28" t="n"/>
      <c r="AB189" s="28" t="n"/>
      <c r="AC189" s="30" t="n"/>
      <c r="AD189" s="24" t="n"/>
      <c r="AE189" s="31" t="inlineStr">
        <is>
          <t>Poisson-DC rates 1.64 (home) / 1.24 (away) from EWMA attack/defense strengths. Executable ask 0.4600 (atc-lco-san-onc-2026-08-02-san).</t>
        </is>
      </c>
      <c r="AF189" s="31" t="inlineStr">
        <is>
          <t>Research-only soccer score model; draw-aware, but not yet locked-holdout qualified.</t>
        </is>
      </c>
      <c r="AG189" s="24" t="inlineStr">
        <is>
          <t>not_applicable</t>
        </is>
      </c>
      <c r="AH189" s="24" t="n"/>
      <c r="AI189" s="31" t="n"/>
      <c r="AJ189" s="31" t="n"/>
      <c r="AK189" s="24" t="inlineStr">
        <is>
          <t>research_observation</t>
        </is>
      </c>
      <c r="AL189" s="26" t="n">
        <v>3</v>
      </c>
      <c r="AM189" s="24" t="inlineStr">
        <is>
          <t>RESEARCH_OBSERVATION</t>
        </is>
      </c>
      <c r="AN189" s="24" t="inlineStr">
        <is>
          <t>NO_CALL</t>
        </is>
      </c>
      <c r="AO189" s="24" t="inlineStr">
        <is>
          <t>NO_CALL_MODEL_UNVALIDATED</t>
        </is>
      </c>
      <c r="AP189" s="24" t="inlineStr">
        <is>
          <t>Once Caldas</t>
        </is>
      </c>
      <c r="AQ189" s="24" t="inlineStr">
        <is>
          <t>Once Caldas</t>
        </is>
      </c>
      <c r="AR189" s="24" t="inlineStr">
        <is>
          <t>Once Caldas</t>
        </is>
      </c>
      <c r="AS189" s="24" t="inlineStr">
        <is>
          <t>Independiente Santa Fe</t>
        </is>
      </c>
      <c r="AT189" s="24" t="inlineStr">
        <is>
          <t>Independiente Santa Fe</t>
        </is>
      </c>
      <c r="AU189" s="24" t="inlineStr">
        <is>
          <t>Independiente Santa Fe</t>
        </is>
      </c>
      <c r="AV189" s="24" t="n"/>
      <c r="AW189" s="24" t="n"/>
      <c r="AX189" s="24" t="inlineStr">
        <is>
          <t>statistical_model</t>
        </is>
      </c>
      <c r="AY189" s="24" t="n"/>
      <c r="AZ189" s="24" t="inlineStr">
        <is>
          <t>research</t>
        </is>
      </c>
      <c r="BA189" s="24" t="inlineStr">
        <is>
          <t>34d1568aad0ff11b5db35f118324684f93281e1c21fa7b80be7a4a4e2cb4bb03</t>
        </is>
      </c>
      <c r="BB189" s="24" t="inlineStr">
        <is>
          <t>poisson_dixon_coles</t>
        </is>
      </c>
      <c r="BC189" s="24" t="inlineStr">
        <is>
          <t>soccer-poisson-dc-v1</t>
        </is>
      </c>
      <c r="BD189" s="24" t="inlineStr">
        <is>
          <t>34d1568aad0ff11b5db35f118324684f93281e1c21fa7b80be7a4a4e2cb4bb03</t>
        </is>
      </c>
      <c r="BE189" s="24" t="inlineStr">
        <is>
          <t>soccer-poisson-dc-v1</t>
        </is>
      </c>
      <c r="BF189" s="24" t="inlineStr">
        <is>
          <t>1</t>
        </is>
      </c>
      <c r="BG189" s="24" t="inlineStr">
        <is>
          <t>34d1568aad0ff11b5db35f118324684f93281e1c21fa7b80be7a4a4e2cb4bb03</t>
        </is>
      </c>
      <c r="BH189" s="24" t="inlineStr">
        <is>
          <t>2026-08-02T07:11:25.306877Z</t>
        </is>
      </c>
      <c r="BI189" s="24" t="inlineStr">
        <is>
          <t>["same_event","same_team_same_day","same_league_same_day"]</t>
        </is>
      </c>
      <c r="BJ189" s="25" t="n"/>
      <c r="BK189" s="26" t="n">
        <v>117</v>
      </c>
      <c r="BL189" s="27" t="n">
        <v>2.17</v>
      </c>
      <c r="BM189" s="28" t="n">
        <v>0.460829</v>
      </c>
      <c r="BN189" s="28" t="n"/>
      <c r="BO189" s="28" t="n"/>
      <c r="BP189" s="25" t="n"/>
      <c r="BQ189" s="27" t="n"/>
      <c r="BR189" s="28" t="n"/>
      <c r="BS189" s="28" t="n"/>
      <c r="BT189" s="28" t="n"/>
      <c r="BU189" s="25" t="n"/>
      <c r="BV189" s="29" t="n"/>
      <c r="BW189" s="24" t="n"/>
      <c r="BX189" s="30" t="n"/>
      <c r="BY189" s="27" t="n"/>
      <c r="BZ189" s="24" t="n"/>
      <c r="CA189" s="31" t="n"/>
      <c r="CB189" s="24" t="n"/>
      <c r="CC189" s="24" t="n"/>
      <c r="CD189" s="24" t="n"/>
      <c r="CE189" s="24" t="n"/>
      <c r="CF189" s="24" t="n"/>
      <c r="CG189" s="24" t="n"/>
      <c r="CH189" s="24" t="n"/>
      <c r="CI189" s="24" t="n"/>
      <c r="CJ189" s="24" t="n"/>
      <c r="CK189" s="24" t="n"/>
      <c r="CL189" s="24" t="n"/>
      <c r="CM189" s="24" t="n"/>
      <c r="CN189" s="24" t="n"/>
      <c r="CO189" s="24" t="n"/>
    </row>
    <row r="190" ht="36" customHeight="1">
      <c r="A190" s="24" t="inlineStr">
        <is>
          <t>db361424be8b4858</t>
        </is>
      </c>
      <c r="B190" s="24" t="inlineStr">
        <is>
          <t>2026-08-02T07:14:17.312478Z</t>
        </is>
      </c>
      <c r="C190" s="24" t="inlineStr">
        <is>
          <t>2026-08-02T19:00Z</t>
        </is>
      </c>
      <c r="D190" s="24" t="inlineStr">
        <is>
          <t>401850609</t>
        </is>
      </c>
      <c r="E190" s="24" t="inlineStr">
        <is>
          <t>SOCCER</t>
        </is>
      </c>
      <c r="F190" s="24" t="inlineStr">
        <is>
          <t>O'Higgins</t>
        </is>
      </c>
      <c r="G190" s="24" t="inlineStr">
        <is>
          <t>La Serena</t>
        </is>
      </c>
      <c r="H190" s="24" t="inlineStr">
        <is>
          <t>moneyline</t>
        </is>
      </c>
      <c r="I190" s="24" t="inlineStr">
        <is>
          <t>home</t>
        </is>
      </c>
      <c r="J190" s="25" t="n"/>
      <c r="K190" s="24" t="inlineStr">
        <is>
          <t>polymarket_us</t>
        </is>
      </c>
      <c r="L190" s="26" t="n">
        <v>144</v>
      </c>
      <c r="M190" s="27" t="n">
        <v>2.44</v>
      </c>
      <c r="N190" s="28" t="n">
        <v>0.409836</v>
      </c>
      <c r="O190" s="28" t="n">
        <v>0.5359159999999999</v>
      </c>
      <c r="P190" s="28" t="n">
        <v>0.2</v>
      </c>
      <c r="Q190" s="28" t="n">
        <v>0.12608</v>
      </c>
      <c r="R190" s="26" t="n">
        <v>0</v>
      </c>
      <c r="S190" s="29" t="n">
        <v>1</v>
      </c>
      <c r="T190" s="24" t="inlineStr">
        <is>
          <t>soccer-poisson-dc-v1</t>
        </is>
      </c>
      <c r="U190" s="24" t="inlineStr">
        <is>
          <t>open</t>
        </is>
      </c>
      <c r="V190" s="24" t="n"/>
      <c r="W190" s="26" t="n"/>
      <c r="X190" s="26" t="n"/>
      <c r="Y190" s="25" t="n"/>
      <c r="Z190" s="26" t="n"/>
      <c r="AA190" s="28" t="n"/>
      <c r="AB190" s="28" t="n"/>
      <c r="AC190" s="30" t="n"/>
      <c r="AD190" s="24" t="n"/>
      <c r="AE190" s="31" t="inlineStr">
        <is>
          <t>Poisson-DC rates 1.84 (home) / 1.10 (away) from EWMA attack/defense strengths. Executable ask 0.4100 (atc-pdc-ser-ohi-2026-08-02-ser).</t>
        </is>
      </c>
      <c r="AF190" s="31" t="inlineStr">
        <is>
          <t>Research-only soccer score model; draw-aware, but not yet locked-holdout qualified.</t>
        </is>
      </c>
      <c r="AG190" s="24" t="inlineStr">
        <is>
          <t>not_applicable</t>
        </is>
      </c>
      <c r="AH190" s="24" t="n"/>
      <c r="AI190" s="31" t="n"/>
      <c r="AJ190" s="31" t="n"/>
      <c r="AK190" s="24" t="inlineStr">
        <is>
          <t>research_observation</t>
        </is>
      </c>
      <c r="AL190" s="26" t="n">
        <v>3</v>
      </c>
      <c r="AM190" s="24" t="inlineStr">
        <is>
          <t>RESEARCH_OBSERVATION</t>
        </is>
      </c>
      <c r="AN190" s="24" t="inlineStr">
        <is>
          <t>NO_CALL</t>
        </is>
      </c>
      <c r="AO190" s="24" t="inlineStr">
        <is>
          <t>NO_CALL_MODEL_UNVALIDATED</t>
        </is>
      </c>
      <c r="AP190" s="24" t="inlineStr">
        <is>
          <t>O'Higgins</t>
        </is>
      </c>
      <c r="AQ190" s="24" t="inlineStr">
        <is>
          <t>O'Higgins</t>
        </is>
      </c>
      <c r="AR190" s="24" t="inlineStr">
        <is>
          <t>O'Higgins</t>
        </is>
      </c>
      <c r="AS190" s="24" t="inlineStr">
        <is>
          <t>La Serena</t>
        </is>
      </c>
      <c r="AT190" s="24" t="inlineStr">
        <is>
          <t>La Serena</t>
        </is>
      </c>
      <c r="AU190" s="24" t="inlineStr">
        <is>
          <t>La Serena</t>
        </is>
      </c>
      <c r="AV190" s="24" t="n"/>
      <c r="AW190" s="24" t="n"/>
      <c r="AX190" s="24" t="inlineStr">
        <is>
          <t>statistical_model</t>
        </is>
      </c>
      <c r="AY190" s="24" t="n"/>
      <c r="AZ190" s="24" t="inlineStr">
        <is>
          <t>research</t>
        </is>
      </c>
      <c r="BA190" s="24" t="inlineStr">
        <is>
          <t>34d1568aad0ff11b5db35f118324684f93281e1c21fa7b80be7a4a4e2cb4bb03</t>
        </is>
      </c>
      <c r="BB190" s="24" t="inlineStr">
        <is>
          <t>poisson_dixon_coles</t>
        </is>
      </c>
      <c r="BC190" s="24" t="inlineStr">
        <is>
          <t>soccer-poisson-dc-v1</t>
        </is>
      </c>
      <c r="BD190" s="24" t="inlineStr">
        <is>
          <t>34d1568aad0ff11b5db35f118324684f93281e1c21fa7b80be7a4a4e2cb4bb03</t>
        </is>
      </c>
      <c r="BE190" s="24" t="inlineStr">
        <is>
          <t>soccer-poisson-dc-v1</t>
        </is>
      </c>
      <c r="BF190" s="24" t="inlineStr">
        <is>
          <t>1</t>
        </is>
      </c>
      <c r="BG190" s="24" t="inlineStr">
        <is>
          <t>34d1568aad0ff11b5db35f118324684f93281e1c21fa7b80be7a4a4e2cb4bb03</t>
        </is>
      </c>
      <c r="BH190" s="24" t="inlineStr">
        <is>
          <t>2026-08-02T07:11:26.361618Z</t>
        </is>
      </c>
      <c r="BI190" s="24" t="inlineStr">
        <is>
          <t>["same_event","same_team_same_day","same_league_same_day"]</t>
        </is>
      </c>
      <c r="BJ190" s="25" t="n"/>
      <c r="BK190" s="26" t="n">
        <v>144</v>
      </c>
      <c r="BL190" s="27" t="n">
        <v>2.44</v>
      </c>
      <c r="BM190" s="28" t="n">
        <v>0.409836</v>
      </c>
      <c r="BN190" s="28" t="n"/>
      <c r="BO190" s="28" t="n"/>
      <c r="BP190" s="25" t="n"/>
      <c r="BQ190" s="27" t="n"/>
      <c r="BR190" s="28" t="n"/>
      <c r="BS190" s="28" t="n"/>
      <c r="BT190" s="28" t="n"/>
      <c r="BU190" s="25" t="n"/>
      <c r="BV190" s="29" t="n"/>
      <c r="BW190" s="24" t="n"/>
      <c r="BX190" s="30" t="n"/>
      <c r="BY190" s="27" t="n"/>
      <c r="BZ190" s="24" t="n"/>
      <c r="CA190" s="31" t="n"/>
      <c r="CB190" s="24" t="n"/>
      <c r="CC190" s="24" t="n"/>
      <c r="CD190" s="24" t="n"/>
      <c r="CE190" s="24" t="n"/>
      <c r="CF190" s="24" t="n"/>
      <c r="CG190" s="24" t="n"/>
      <c r="CH190" s="24" t="n"/>
      <c r="CI190" s="24" t="n"/>
      <c r="CJ190" s="24" t="n"/>
      <c r="CK190" s="24" t="n"/>
      <c r="CL190" s="24" t="n"/>
      <c r="CM190" s="24" t="n"/>
      <c r="CN190" s="24" t="n"/>
      <c r="CO190" s="24" t="n"/>
    </row>
    <row r="191" ht="36" customHeight="1">
      <c r="A191" s="24" t="inlineStr">
        <is>
          <t>04c349013aee44d2</t>
        </is>
      </c>
      <c r="B191" s="24" t="inlineStr">
        <is>
          <t>2026-08-02T07:14:17.312478Z</t>
        </is>
      </c>
      <c r="C191" s="24" t="inlineStr">
        <is>
          <t>2026-08-02T21:30Z</t>
        </is>
      </c>
      <c r="D191" s="24" t="inlineStr">
        <is>
          <t>401850607</t>
        </is>
      </c>
      <c r="E191" s="24" t="inlineStr">
        <is>
          <t>SOCCER</t>
        </is>
      </c>
      <c r="F191" s="24" t="inlineStr">
        <is>
          <t>Huachipato</t>
        </is>
      </c>
      <c r="G191" s="24" t="inlineStr">
        <is>
          <t>Universidad de Chile</t>
        </is>
      </c>
      <c r="H191" s="24" t="inlineStr">
        <is>
          <t>moneyline</t>
        </is>
      </c>
      <c r="I191" s="24" t="inlineStr">
        <is>
          <t>home</t>
        </is>
      </c>
      <c r="J191" s="25" t="n"/>
      <c r="K191" s="24" t="inlineStr">
        <is>
          <t>polymarket_us</t>
        </is>
      </c>
      <c r="L191" s="26" t="n">
        <v>-163</v>
      </c>
      <c r="M191" s="27" t="n">
        <v>1.613497</v>
      </c>
      <c r="N191" s="28" t="n">
        <v>0.619772</v>
      </c>
      <c r="O191" s="28" t="n">
        <v>0.414794</v>
      </c>
      <c r="P191" s="28" t="n">
        <v>0.19</v>
      </c>
      <c r="Q191" s="28" t="n">
        <v>-0.204978</v>
      </c>
      <c r="R191" s="26" t="n">
        <v>0</v>
      </c>
      <c r="S191" s="29" t="n">
        <v>1</v>
      </c>
      <c r="T191" s="24" t="inlineStr">
        <is>
          <t>soccer-poisson-dc-v1</t>
        </is>
      </c>
      <c r="U191" s="24" t="inlineStr">
        <is>
          <t>open</t>
        </is>
      </c>
      <c r="V191" s="24" t="n"/>
      <c r="W191" s="26" t="n"/>
      <c r="X191" s="26" t="n"/>
      <c r="Y191" s="25" t="n"/>
      <c r="Z191" s="26" t="n"/>
      <c r="AA191" s="28" t="n"/>
      <c r="AB191" s="28" t="n"/>
      <c r="AC191" s="30" t="n"/>
      <c r="AD191" s="24" t="n"/>
      <c r="AE191" s="31" t="inlineStr">
        <is>
          <t>Poisson-DC rates 1.41 (home) / 1.16 (away) from EWMA attack/defense strengths. Executable ask 0.6200 (atc-pdc-unc-hua-2026-08-02-unc).</t>
        </is>
      </c>
      <c r="AF191" s="31" t="inlineStr">
        <is>
          <t>Research-only soccer score model; draw-aware, but not yet locked-holdout qualified.</t>
        </is>
      </c>
      <c r="AG191" s="24" t="inlineStr">
        <is>
          <t>not_applicable</t>
        </is>
      </c>
      <c r="AH191" s="24" t="n"/>
      <c r="AI191" s="31" t="n"/>
      <c r="AJ191" s="31" t="n"/>
      <c r="AK191" s="24" t="inlineStr">
        <is>
          <t>research_observation</t>
        </is>
      </c>
      <c r="AL191" s="26" t="n">
        <v>3</v>
      </c>
      <c r="AM191" s="24" t="inlineStr">
        <is>
          <t>RESEARCH_OBSERVATION</t>
        </is>
      </c>
      <c r="AN191" s="24" t="inlineStr">
        <is>
          <t>NO_CALL</t>
        </is>
      </c>
      <c r="AO191" s="24" t="inlineStr">
        <is>
          <t>NO_CALL_MODEL_UNVALIDATED</t>
        </is>
      </c>
      <c r="AP191" s="24" t="inlineStr">
        <is>
          <t>Huachipato</t>
        </is>
      </c>
      <c r="AQ191" s="24" t="inlineStr">
        <is>
          <t>Huachipato</t>
        </is>
      </c>
      <c r="AR191" s="24" t="inlineStr">
        <is>
          <t>Huachipato</t>
        </is>
      </c>
      <c r="AS191" s="24" t="inlineStr">
        <is>
          <t>Universidad de Chile</t>
        </is>
      </c>
      <c r="AT191" s="24" t="inlineStr">
        <is>
          <t>Universidad de Chile</t>
        </is>
      </c>
      <c r="AU191" s="24" t="inlineStr">
        <is>
          <t>Universidad de Chile</t>
        </is>
      </c>
      <c r="AV191" s="24" t="n"/>
      <c r="AW191" s="24" t="n"/>
      <c r="AX191" s="24" t="inlineStr">
        <is>
          <t>statistical_model</t>
        </is>
      </c>
      <c r="AY191" s="24" t="n"/>
      <c r="AZ191" s="24" t="inlineStr">
        <is>
          <t>research</t>
        </is>
      </c>
      <c r="BA191" s="24" t="inlineStr">
        <is>
          <t>34d1568aad0ff11b5db35f118324684f93281e1c21fa7b80be7a4a4e2cb4bb03</t>
        </is>
      </c>
      <c r="BB191" s="24" t="inlineStr">
        <is>
          <t>poisson_dixon_coles</t>
        </is>
      </c>
      <c r="BC191" s="24" t="inlineStr">
        <is>
          <t>soccer-poisson-dc-v1</t>
        </is>
      </c>
      <c r="BD191" s="24" t="inlineStr">
        <is>
          <t>34d1568aad0ff11b5db35f118324684f93281e1c21fa7b80be7a4a4e2cb4bb03</t>
        </is>
      </c>
      <c r="BE191" s="24" t="inlineStr">
        <is>
          <t>soccer-poisson-dc-v1</t>
        </is>
      </c>
      <c r="BF191" s="24" t="inlineStr">
        <is>
          <t>1</t>
        </is>
      </c>
      <c r="BG191" s="24" t="inlineStr">
        <is>
          <t>34d1568aad0ff11b5db35f118324684f93281e1c21fa7b80be7a4a4e2cb4bb03</t>
        </is>
      </c>
      <c r="BH191" s="24" t="inlineStr">
        <is>
          <t>2026-08-02T07:11:26.390990Z</t>
        </is>
      </c>
      <c r="BI191" s="24" t="inlineStr">
        <is>
          <t>["same_event","same_team_same_day","same_league_same_day"]</t>
        </is>
      </c>
      <c r="BJ191" s="25" t="n"/>
      <c r="BK191" s="26" t="n">
        <v>-163</v>
      </c>
      <c r="BL191" s="27" t="n">
        <v>1.613497</v>
      </c>
      <c r="BM191" s="28" t="n">
        <v>0.619772</v>
      </c>
      <c r="BN191" s="28" t="n"/>
      <c r="BO191" s="28" t="n"/>
      <c r="BP191" s="25" t="n"/>
      <c r="BQ191" s="27" t="n"/>
      <c r="BR191" s="28" t="n"/>
      <c r="BS191" s="28" t="n"/>
      <c r="BT191" s="28" t="n"/>
      <c r="BU191" s="25" t="n"/>
      <c r="BV191" s="29" t="n"/>
      <c r="BW191" s="24" t="n"/>
      <c r="BX191" s="30" t="n"/>
      <c r="BY191" s="27" t="n"/>
      <c r="BZ191" s="24" t="n"/>
      <c r="CA191" s="31" t="n"/>
      <c r="CB191" s="24" t="n"/>
      <c r="CC191" s="24" t="n"/>
      <c r="CD191" s="24" t="n"/>
      <c r="CE191" s="24" t="n"/>
      <c r="CF191" s="24" t="n"/>
      <c r="CG191" s="24" t="n"/>
      <c r="CH191" s="24" t="n"/>
      <c r="CI191" s="24" t="n"/>
      <c r="CJ191" s="24" t="n"/>
      <c r="CK191" s="24" t="n"/>
      <c r="CL191" s="24" t="n"/>
      <c r="CM191" s="24" t="n"/>
      <c r="CN191" s="24" t="n"/>
      <c r="CO191" s="24" t="n"/>
    </row>
    <row r="192" ht="36" customHeight="1">
      <c r="A192" s="24" t="inlineStr">
        <is>
          <t>febf181e3cf644fb</t>
        </is>
      </c>
      <c r="B192" s="24" t="inlineStr">
        <is>
          <t>2026-08-02T07:14:17.312478Z</t>
        </is>
      </c>
      <c r="C192" s="24" t="inlineStr">
        <is>
          <t>2026-08-02T15:00Z</t>
        </is>
      </c>
      <c r="D192" s="24" t="inlineStr">
        <is>
          <t>401872734</t>
        </is>
      </c>
      <c r="E192" s="24" t="inlineStr">
        <is>
          <t>SOCCER</t>
        </is>
      </c>
      <c r="F192" s="24" t="inlineStr">
        <is>
          <t>Boston River</t>
        </is>
      </c>
      <c r="G192" s="24" t="inlineStr">
        <is>
          <t>Racing (Montevideo)</t>
        </is>
      </c>
      <c r="H192" s="24" t="inlineStr">
        <is>
          <t>moneyline</t>
        </is>
      </c>
      <c r="I192" s="24" t="inlineStr">
        <is>
          <t>home</t>
        </is>
      </c>
      <c r="J192" s="25" t="n"/>
      <c r="K192" s="24" t="inlineStr">
        <is>
          <t>polymarket_us</t>
        </is>
      </c>
      <c r="L192" s="26" t="n">
        <v>-127</v>
      </c>
      <c r="M192" s="27" t="n">
        <v>1.787402</v>
      </c>
      <c r="N192" s="28" t="n">
        <v>0.5594710000000001</v>
      </c>
      <c r="O192" s="28" t="n">
        <v>0.5359159999999999</v>
      </c>
      <c r="P192" s="28" t="n">
        <v>0.2</v>
      </c>
      <c r="Q192" s="28" t="n">
        <v>-0.023555</v>
      </c>
      <c r="R192" s="26" t="n">
        <v>0</v>
      </c>
      <c r="S192" s="29" t="n">
        <v>1</v>
      </c>
      <c r="T192" s="24" t="inlineStr">
        <is>
          <t>soccer-poisson-dc-v1</t>
        </is>
      </c>
      <c r="U192" s="24" t="inlineStr">
        <is>
          <t>open</t>
        </is>
      </c>
      <c r="V192" s="24" t="n"/>
      <c r="W192" s="26" t="n"/>
      <c r="X192" s="26" t="n"/>
      <c r="Y192" s="25" t="n"/>
      <c r="Z192" s="26" t="n"/>
      <c r="AA192" s="28" t="n"/>
      <c r="AB192" s="28" t="n"/>
      <c r="AC192" s="30" t="n"/>
      <c r="AD192" s="24" t="n"/>
      <c r="AE192" s="31" t="inlineStr">
        <is>
          <t>Poisson-DC rates 1.84 (home) / 1.10 (away) from EWMA attack/defense strengths. Executable ask 0.5600 (atc-uru1-rcm-bri-2026-08-02-rcm).</t>
        </is>
      </c>
      <c r="AF192" s="31" t="inlineStr">
        <is>
          <t>Research-only soccer score model; draw-aware, but not yet locked-holdout qualified.</t>
        </is>
      </c>
      <c r="AG192" s="24" t="inlineStr">
        <is>
          <t>not_applicable</t>
        </is>
      </c>
      <c r="AH192" s="24" t="n"/>
      <c r="AI192" s="31" t="n"/>
      <c r="AJ192" s="31" t="n"/>
      <c r="AK192" s="24" t="inlineStr">
        <is>
          <t>research_observation</t>
        </is>
      </c>
      <c r="AL192" s="26" t="n">
        <v>3</v>
      </c>
      <c r="AM192" s="24" t="inlineStr">
        <is>
          <t>RESEARCH_OBSERVATION</t>
        </is>
      </c>
      <c r="AN192" s="24" t="inlineStr">
        <is>
          <t>NO_CALL</t>
        </is>
      </c>
      <c r="AO192" s="24" t="inlineStr">
        <is>
          <t>NO_CALL_MODEL_UNVALIDATED</t>
        </is>
      </c>
      <c r="AP192" s="24" t="inlineStr">
        <is>
          <t>Boston River</t>
        </is>
      </c>
      <c r="AQ192" s="24" t="inlineStr">
        <is>
          <t>Boston River</t>
        </is>
      </c>
      <c r="AR192" s="24" t="inlineStr">
        <is>
          <t>Boston River</t>
        </is>
      </c>
      <c r="AS192" s="24" t="inlineStr">
        <is>
          <t>Racing (Montevideo)</t>
        </is>
      </c>
      <c r="AT192" s="24" t="inlineStr">
        <is>
          <t>Racing (Montevideo)</t>
        </is>
      </c>
      <c r="AU192" s="24" t="inlineStr">
        <is>
          <t>Racing (Montevideo)</t>
        </is>
      </c>
      <c r="AV192" s="24" t="n"/>
      <c r="AW192" s="24" t="n"/>
      <c r="AX192" s="24" t="inlineStr">
        <is>
          <t>statistical_model</t>
        </is>
      </c>
      <c r="AY192" s="24" t="n"/>
      <c r="AZ192" s="24" t="inlineStr">
        <is>
          <t>research</t>
        </is>
      </c>
      <c r="BA192" s="24" t="inlineStr">
        <is>
          <t>34d1568aad0ff11b5db35f118324684f93281e1c21fa7b80be7a4a4e2cb4bb03</t>
        </is>
      </c>
      <c r="BB192" s="24" t="inlineStr">
        <is>
          <t>poisson_dixon_coles</t>
        </is>
      </c>
      <c r="BC192" s="24" t="inlineStr">
        <is>
          <t>soccer-poisson-dc-v1</t>
        </is>
      </c>
      <c r="BD192" s="24" t="inlineStr">
        <is>
          <t>34d1568aad0ff11b5db35f118324684f93281e1c21fa7b80be7a4a4e2cb4bb03</t>
        </is>
      </c>
      <c r="BE192" s="24" t="inlineStr">
        <is>
          <t>soccer-poisson-dc-v1</t>
        </is>
      </c>
      <c r="BF192" s="24" t="inlineStr">
        <is>
          <t>1</t>
        </is>
      </c>
      <c r="BG192" s="24" t="inlineStr">
        <is>
          <t>34d1568aad0ff11b5db35f118324684f93281e1c21fa7b80be7a4a4e2cb4bb03</t>
        </is>
      </c>
      <c r="BH192" s="24" t="inlineStr">
        <is>
          <t>2026-08-02T07:11:27.403873Z</t>
        </is>
      </c>
      <c r="BI192" s="24" t="inlineStr">
        <is>
          <t>["same_event","same_team_same_day","same_league_same_day"]</t>
        </is>
      </c>
      <c r="BJ192" s="25" t="n"/>
      <c r="BK192" s="26" t="n">
        <v>-127</v>
      </c>
      <c r="BL192" s="27" t="n">
        <v>1.787402</v>
      </c>
      <c r="BM192" s="28" t="n">
        <v>0.5594710000000001</v>
      </c>
      <c r="BN192" s="28" t="n"/>
      <c r="BO192" s="28" t="n"/>
      <c r="BP192" s="25" t="n"/>
      <c r="BQ192" s="27" t="n"/>
      <c r="BR192" s="28" t="n"/>
      <c r="BS192" s="28" t="n"/>
      <c r="BT192" s="28" t="n"/>
      <c r="BU192" s="25" t="n"/>
      <c r="BV192" s="29" t="n"/>
      <c r="BW192" s="24" t="n"/>
      <c r="BX192" s="30" t="n"/>
      <c r="BY192" s="27" t="n"/>
      <c r="BZ192" s="24" t="n"/>
      <c r="CA192" s="31" t="n"/>
      <c r="CB192" s="24" t="n"/>
      <c r="CC192" s="24" t="n"/>
      <c r="CD192" s="24" t="n"/>
      <c r="CE192" s="24" t="n"/>
      <c r="CF192" s="24" t="n"/>
      <c r="CG192" s="24" t="n"/>
      <c r="CH192" s="24" t="n"/>
      <c r="CI192" s="24" t="n"/>
      <c r="CJ192" s="24" t="n"/>
      <c r="CK192" s="24" t="n"/>
      <c r="CL192" s="24" t="n"/>
      <c r="CM192" s="24" t="n"/>
      <c r="CN192" s="24" t="n"/>
      <c r="CO192" s="24" t="n"/>
    </row>
    <row r="193" ht="36" customHeight="1">
      <c r="A193" s="24" t="inlineStr">
        <is>
          <t>e8120f658b9f43f0</t>
        </is>
      </c>
      <c r="B193" s="24" t="inlineStr">
        <is>
          <t>2026-08-02T07:14:17.312478Z</t>
        </is>
      </c>
      <c r="C193" s="24" t="inlineStr">
        <is>
          <t>2026-08-02T20:30Z</t>
        </is>
      </c>
      <c r="D193" s="24" t="inlineStr">
        <is>
          <t>401859644</t>
        </is>
      </c>
      <c r="E193" s="24" t="inlineStr">
        <is>
          <t>SOCCER</t>
        </is>
      </c>
      <c r="F193" s="24" t="inlineStr">
        <is>
          <t>Guayaquil City FC</t>
        </is>
      </c>
      <c r="G193" s="24" t="inlineStr">
        <is>
          <t>Macará</t>
        </is>
      </c>
      <c r="H193" s="24" t="inlineStr">
        <is>
          <t>moneyline</t>
        </is>
      </c>
      <c r="I193" s="24" t="inlineStr">
        <is>
          <t>home</t>
        </is>
      </c>
      <c r="J193" s="25" t="n"/>
      <c r="K193" s="24" t="inlineStr">
        <is>
          <t>polymarket_us</t>
        </is>
      </c>
      <c r="L193" s="26" t="n">
        <v>-186</v>
      </c>
      <c r="M193" s="27" t="n">
        <v>1.537634</v>
      </c>
      <c r="N193" s="28" t="n">
        <v>0.65035</v>
      </c>
      <c r="O193" s="28" t="n">
        <v>0.456135</v>
      </c>
      <c r="P193" s="28" t="n">
        <v>0.2</v>
      </c>
      <c r="Q193" s="28" t="n">
        <v>-0.194215</v>
      </c>
      <c r="R193" s="26" t="n">
        <v>0</v>
      </c>
      <c r="S193" s="29" t="n">
        <v>1</v>
      </c>
      <c r="T193" s="24" t="inlineStr">
        <is>
          <t>soccer-poisson-dc-v1</t>
        </is>
      </c>
      <c r="U193" s="24" t="inlineStr">
        <is>
          <t>open</t>
        </is>
      </c>
      <c r="V193" s="24" t="n"/>
      <c r="W193" s="26" t="n"/>
      <c r="X193" s="26" t="n"/>
      <c r="Y193" s="25" t="n"/>
      <c r="Z193" s="26" t="n"/>
      <c r="AA193" s="28" t="n"/>
      <c r="AB193" s="28" t="n"/>
      <c r="AC193" s="30" t="n"/>
      <c r="AD193" s="24" t="n"/>
      <c r="AE193" s="31" t="inlineStr">
        <is>
          <t>Poisson-DC rates 1.64 (home) / 1.24 (away) from EWMA attack/defense strengths. Executable ask 0.6500 (atc-ecu1-mac-gua-2026-08-02-mac).</t>
        </is>
      </c>
      <c r="AF193" s="31" t="inlineStr">
        <is>
          <t>Research-only soccer score model; draw-aware, but not yet locked-holdout qualified.</t>
        </is>
      </c>
      <c r="AG193" s="24" t="inlineStr">
        <is>
          <t>not_applicable</t>
        </is>
      </c>
      <c r="AH193" s="24" t="n"/>
      <c r="AI193" s="31" t="n"/>
      <c r="AJ193" s="31" t="n"/>
      <c r="AK193" s="24" t="inlineStr">
        <is>
          <t>research_observation</t>
        </is>
      </c>
      <c r="AL193" s="26" t="n">
        <v>3</v>
      </c>
      <c r="AM193" s="24" t="inlineStr">
        <is>
          <t>RESEARCH_OBSERVATION</t>
        </is>
      </c>
      <c r="AN193" s="24" t="inlineStr">
        <is>
          <t>NO_CALL</t>
        </is>
      </c>
      <c r="AO193" s="24" t="inlineStr">
        <is>
          <t>NO_CALL_MODEL_UNVALIDATED</t>
        </is>
      </c>
      <c r="AP193" s="24" t="inlineStr">
        <is>
          <t>Guayaquil City FC</t>
        </is>
      </c>
      <c r="AQ193" s="24" t="inlineStr">
        <is>
          <t>Guayaquil City FC</t>
        </is>
      </c>
      <c r="AR193" s="24" t="inlineStr">
        <is>
          <t>Guayaquil City FC</t>
        </is>
      </c>
      <c r="AS193" s="24" t="inlineStr">
        <is>
          <t>Macará</t>
        </is>
      </c>
      <c r="AT193" s="24" t="inlineStr">
        <is>
          <t>Macará</t>
        </is>
      </c>
      <c r="AU193" s="24" t="inlineStr">
        <is>
          <t>Macará</t>
        </is>
      </c>
      <c r="AV193" s="24" t="n"/>
      <c r="AW193" s="24" t="n"/>
      <c r="AX193" s="24" t="inlineStr">
        <is>
          <t>statistical_model</t>
        </is>
      </c>
      <c r="AY193" s="24" t="n"/>
      <c r="AZ193" s="24" t="inlineStr">
        <is>
          <t>research</t>
        </is>
      </c>
      <c r="BA193" s="24" t="inlineStr">
        <is>
          <t>34d1568aad0ff11b5db35f118324684f93281e1c21fa7b80be7a4a4e2cb4bb03</t>
        </is>
      </c>
      <c r="BB193" s="24" t="inlineStr">
        <is>
          <t>poisson_dixon_coles</t>
        </is>
      </c>
      <c r="BC193" s="24" t="inlineStr">
        <is>
          <t>soccer-poisson-dc-v1</t>
        </is>
      </c>
      <c r="BD193" s="24" t="inlineStr">
        <is>
          <t>34d1568aad0ff11b5db35f118324684f93281e1c21fa7b80be7a4a4e2cb4bb03</t>
        </is>
      </c>
      <c r="BE193" s="24" t="inlineStr">
        <is>
          <t>soccer-poisson-dc-v1</t>
        </is>
      </c>
      <c r="BF193" s="24" t="inlineStr">
        <is>
          <t>1</t>
        </is>
      </c>
      <c r="BG193" s="24" t="inlineStr">
        <is>
          <t>34d1568aad0ff11b5db35f118324684f93281e1c21fa7b80be7a4a4e2cb4bb03</t>
        </is>
      </c>
      <c r="BH193" s="24" t="inlineStr">
        <is>
          <t>2026-08-02T07:11:27.951055Z</t>
        </is>
      </c>
      <c r="BI193" s="24" t="inlineStr">
        <is>
          <t>["same_event","same_team_same_day","same_league_same_day"]</t>
        </is>
      </c>
      <c r="BJ193" s="25" t="n"/>
      <c r="BK193" s="26" t="n">
        <v>-186</v>
      </c>
      <c r="BL193" s="27" t="n">
        <v>1.537634</v>
      </c>
      <c r="BM193" s="28" t="n">
        <v>0.65035</v>
      </c>
      <c r="BN193" s="28" t="n"/>
      <c r="BO193" s="28" t="n"/>
      <c r="BP193" s="25" t="n"/>
      <c r="BQ193" s="27" t="n"/>
      <c r="BR193" s="28" t="n"/>
      <c r="BS193" s="28" t="n"/>
      <c r="BT193" s="28" t="n"/>
      <c r="BU193" s="25" t="n"/>
      <c r="BV193" s="29" t="n"/>
      <c r="BW193" s="24" t="n"/>
      <c r="BX193" s="30" t="n"/>
      <c r="BY193" s="27" t="n"/>
      <c r="BZ193" s="24" t="n"/>
      <c r="CA193" s="31" t="n"/>
      <c r="CB193" s="24" t="n"/>
      <c r="CC193" s="24" t="n"/>
      <c r="CD193" s="24" t="n"/>
      <c r="CE193" s="24" t="n"/>
      <c r="CF193" s="24" t="n"/>
      <c r="CG193" s="24" t="n"/>
      <c r="CH193" s="24" t="n"/>
      <c r="CI193" s="24" t="n"/>
      <c r="CJ193" s="24" t="n"/>
      <c r="CK193" s="24" t="n"/>
      <c r="CL193" s="24" t="n"/>
      <c r="CM193" s="24" t="n"/>
      <c r="CN193" s="24" t="n"/>
      <c r="CO193" s="24" t="n"/>
    </row>
    <row r="194" ht="36" customHeight="1">
      <c r="A194" s="24" t="inlineStr">
        <is>
          <t>fe7aa333f3cf4748</t>
        </is>
      </c>
      <c r="B194" s="24" t="inlineStr">
        <is>
          <t>2026-08-02T07:14:17.312478Z</t>
        </is>
      </c>
      <c r="C194" s="24" t="inlineStr">
        <is>
          <t>2026-08-02T23:10Z</t>
        </is>
      </c>
      <c r="D194" s="24" t="inlineStr">
        <is>
          <t>401859718</t>
        </is>
      </c>
      <c r="E194" s="24" t="inlineStr">
        <is>
          <t>SOCCER</t>
        </is>
      </c>
      <c r="F194" s="24" t="inlineStr">
        <is>
          <t>Barcelona SC</t>
        </is>
      </c>
      <c r="G194" s="24" t="inlineStr">
        <is>
          <t>Leones</t>
        </is>
      </c>
      <c r="H194" s="24" t="inlineStr">
        <is>
          <t>moneyline</t>
        </is>
      </c>
      <c r="I194" s="24" t="inlineStr">
        <is>
          <t>away</t>
        </is>
      </c>
      <c r="J194" s="25" t="n"/>
      <c r="K194" s="24" t="inlineStr">
        <is>
          <t>polymarket_us</t>
        </is>
      </c>
      <c r="L194" s="26" t="n">
        <v>186</v>
      </c>
      <c r="M194" s="27" t="n">
        <v>2.86</v>
      </c>
      <c r="N194" s="28" t="n">
        <v>0.34965</v>
      </c>
      <c r="O194" s="28" t="n">
        <v>0.406677</v>
      </c>
      <c r="P194" s="28" t="n">
        <v>0.19</v>
      </c>
      <c r="Q194" s="28" t="n">
        <v>0.057027</v>
      </c>
      <c r="R194" s="26" t="n">
        <v>0</v>
      </c>
      <c r="S194" s="29" t="n">
        <v>1</v>
      </c>
      <c r="T194" s="24" t="inlineStr">
        <is>
          <t>soccer-poisson-dc-v1</t>
        </is>
      </c>
      <c r="U194" s="24" t="inlineStr">
        <is>
          <t>open</t>
        </is>
      </c>
      <c r="V194" s="24" t="n"/>
      <c r="W194" s="26" t="n"/>
      <c r="X194" s="26" t="n"/>
      <c r="Y194" s="25" t="n"/>
      <c r="Z194" s="26" t="n"/>
      <c r="AA194" s="28" t="n"/>
      <c r="AB194" s="28" t="n"/>
      <c r="AC194" s="30" t="n"/>
      <c r="AD194" s="24" t="n"/>
      <c r="AE194" s="31" t="inlineStr">
        <is>
          <t>Poisson-DC rates 1.38 (home) / 1.56 (away) from EWMA attack/defense strengths. Executable ask 0.3500 (atc-ecu1-leo-bsc-2026-08-02-bsc).</t>
        </is>
      </c>
      <c r="AF194" s="31" t="inlineStr">
        <is>
          <t>Research-only soccer score model; draw-aware, but not yet locked-holdout qualified.</t>
        </is>
      </c>
      <c r="AG194" s="24" t="inlineStr">
        <is>
          <t>not_applicable</t>
        </is>
      </c>
      <c r="AH194" s="24" t="n"/>
      <c r="AI194" s="31" t="n"/>
      <c r="AJ194" s="31" t="n"/>
      <c r="AK194" s="24" t="inlineStr">
        <is>
          <t>research_observation</t>
        </is>
      </c>
      <c r="AL194" s="26" t="n">
        <v>3</v>
      </c>
      <c r="AM194" s="24" t="inlineStr">
        <is>
          <t>RESEARCH_OBSERVATION</t>
        </is>
      </c>
      <c r="AN194" s="24" t="inlineStr">
        <is>
          <t>NO_CALL</t>
        </is>
      </c>
      <c r="AO194" s="24" t="inlineStr">
        <is>
          <t>NO_CALL_MODEL_UNVALIDATED</t>
        </is>
      </c>
      <c r="AP194" s="24" t="inlineStr">
        <is>
          <t>Barcelona SC</t>
        </is>
      </c>
      <c r="AQ194" s="24" t="inlineStr">
        <is>
          <t>Barcelona SC</t>
        </is>
      </c>
      <c r="AR194" s="24" t="inlineStr">
        <is>
          <t>Barcelona SC</t>
        </is>
      </c>
      <c r="AS194" s="24" t="inlineStr">
        <is>
          <t>Leones</t>
        </is>
      </c>
      <c r="AT194" s="24" t="inlineStr">
        <is>
          <t>Leones</t>
        </is>
      </c>
      <c r="AU194" s="24" t="inlineStr">
        <is>
          <t>Leones</t>
        </is>
      </c>
      <c r="AV194" s="24" t="n"/>
      <c r="AW194" s="24" t="n"/>
      <c r="AX194" s="24" t="inlineStr">
        <is>
          <t>statistical_model</t>
        </is>
      </c>
      <c r="AY194" s="24" t="n"/>
      <c r="AZ194" s="24" t="inlineStr">
        <is>
          <t>research</t>
        </is>
      </c>
      <c r="BA194" s="24" t="inlineStr">
        <is>
          <t>34d1568aad0ff11b5db35f118324684f93281e1c21fa7b80be7a4a4e2cb4bb03</t>
        </is>
      </c>
      <c r="BB194" s="24" t="inlineStr">
        <is>
          <t>poisson_dixon_coles</t>
        </is>
      </c>
      <c r="BC194" s="24" t="inlineStr">
        <is>
          <t>soccer-poisson-dc-v1</t>
        </is>
      </c>
      <c r="BD194" s="24" t="inlineStr">
        <is>
          <t>34d1568aad0ff11b5db35f118324684f93281e1c21fa7b80be7a4a4e2cb4bb03</t>
        </is>
      </c>
      <c r="BE194" s="24" t="inlineStr">
        <is>
          <t>soccer-poisson-dc-v1</t>
        </is>
      </c>
      <c r="BF194" s="24" t="inlineStr">
        <is>
          <t>1</t>
        </is>
      </c>
      <c r="BG194" s="24" t="inlineStr">
        <is>
          <t>34d1568aad0ff11b5db35f118324684f93281e1c21fa7b80be7a4a4e2cb4bb03</t>
        </is>
      </c>
      <c r="BH194" s="24" t="inlineStr">
        <is>
          <t>2026-08-02T07:11:28.476441Z</t>
        </is>
      </c>
      <c r="BI194" s="24" t="inlineStr">
        <is>
          <t>["same_event","same_team_same_day","same_league_same_day"]</t>
        </is>
      </c>
      <c r="BJ194" s="25" t="n"/>
      <c r="BK194" s="26" t="n">
        <v>186</v>
      </c>
      <c r="BL194" s="27" t="n">
        <v>2.86</v>
      </c>
      <c r="BM194" s="28" t="n">
        <v>0.34965</v>
      </c>
      <c r="BN194" s="28" t="n"/>
      <c r="BO194" s="28" t="n"/>
      <c r="BP194" s="25" t="n"/>
      <c r="BQ194" s="27" t="n"/>
      <c r="BR194" s="28" t="n"/>
      <c r="BS194" s="28" t="n"/>
      <c r="BT194" s="28" t="n"/>
      <c r="BU194" s="25" t="n"/>
      <c r="BV194" s="29" t="n"/>
      <c r="BW194" s="24" t="n"/>
      <c r="BX194" s="30" t="n"/>
      <c r="BY194" s="27" t="n"/>
      <c r="BZ194" s="24" t="n"/>
      <c r="CA194" s="31" t="n"/>
      <c r="CB194" s="24" t="n"/>
      <c r="CC194" s="24" t="n"/>
      <c r="CD194" s="24" t="n"/>
      <c r="CE194" s="24" t="n"/>
      <c r="CF194" s="24" t="n"/>
      <c r="CG194" s="24" t="n"/>
      <c r="CH194" s="24" t="n"/>
      <c r="CI194" s="24" t="n"/>
      <c r="CJ194" s="24" t="n"/>
      <c r="CK194" s="24" t="n"/>
      <c r="CL194" s="24" t="n"/>
      <c r="CM194" s="24" t="n"/>
      <c r="CN194" s="24" t="n"/>
      <c r="CO194" s="24" t="n"/>
    </row>
    <row r="195" ht="36" customHeight="1">
      <c r="A195" s="24" t="inlineStr">
        <is>
          <t>eaf56d55f08b405f</t>
        </is>
      </c>
      <c r="B195" s="24" t="inlineStr">
        <is>
          <t>2026-08-02T07:14:17.312478Z</t>
        </is>
      </c>
      <c r="C195" s="24" t="inlineStr">
        <is>
          <t>2026-08-02T12:30Z</t>
        </is>
      </c>
      <c r="D195" s="24" t="inlineStr">
        <is>
          <t>401886552</t>
        </is>
      </c>
      <c r="E195" s="24" t="inlineStr">
        <is>
          <t>SOCCER</t>
        </is>
      </c>
      <c r="F195" s="24" t="inlineStr">
        <is>
          <t>Ajax Amsterdam</t>
        </is>
      </c>
      <c r="G195" s="24" t="inlineStr">
        <is>
          <t>FC Volendam</t>
        </is>
      </c>
      <c r="H195" s="24" t="inlineStr">
        <is>
          <t>moneyline</t>
        </is>
      </c>
      <c r="I195" s="24" t="inlineStr">
        <is>
          <t>away</t>
        </is>
      </c>
      <c r="J195" s="25" t="n"/>
      <c r="K195" s="24" t="inlineStr">
        <is>
          <t>polymarket_us</t>
        </is>
      </c>
      <c r="L195" s="26" t="n">
        <v>-223</v>
      </c>
      <c r="M195" s="27" t="n">
        <v>1.44843</v>
      </c>
      <c r="N195" s="28" t="n">
        <v>0.690402</v>
      </c>
      <c r="O195" s="28" t="n">
        <v>0.515227</v>
      </c>
      <c r="P195" s="28" t="n">
        <v>0.04</v>
      </c>
      <c r="Q195" s="28" t="n">
        <v>-0.175175</v>
      </c>
      <c r="R195" s="26" t="n">
        <v>0</v>
      </c>
      <c r="S195" s="29" t="n">
        <v>1</v>
      </c>
      <c r="T195" s="24" t="inlineStr">
        <is>
          <t>soccer-poisson-dc-v1</t>
        </is>
      </c>
      <c r="U195" s="24" t="inlineStr">
        <is>
          <t>open</t>
        </is>
      </c>
      <c r="V195" s="24" t="n"/>
      <c r="W195" s="26" t="n"/>
      <c r="X195" s="26" t="n"/>
      <c r="Y195" s="25" t="n"/>
      <c r="Z195" s="26" t="n"/>
      <c r="AA195" s="28" t="n"/>
      <c r="AB195" s="28" t="n"/>
      <c r="AC195" s="30" t="n"/>
      <c r="AD195" s="24" t="n"/>
      <c r="AE195" s="31" t="inlineStr">
        <is>
          <t>Poisson-DC rates 0.88 (home) / 1.54 (away) from EWMA attack/defense strengths. Executable ask 0.6900 (atc-clbf-fvco-aja-2026-08-02-aja).</t>
        </is>
      </c>
      <c r="AF195" s="31" t="inlineStr">
        <is>
          <t>Research-only soccer score model; draw-aware, but not yet locked-holdout qualified.</t>
        </is>
      </c>
      <c r="AG195" s="24" t="inlineStr">
        <is>
          <t>not_applicable</t>
        </is>
      </c>
      <c r="AH195" s="24" t="n"/>
      <c r="AI195" s="31" t="n"/>
      <c r="AJ195" s="31" t="n"/>
      <c r="AK195" s="24" t="inlineStr">
        <is>
          <t>research_observation</t>
        </is>
      </c>
      <c r="AL195" s="26" t="n">
        <v>3</v>
      </c>
      <c r="AM195" s="24" t="inlineStr">
        <is>
          <t>RESEARCH_OBSERVATION</t>
        </is>
      </c>
      <c r="AN195" s="24" t="inlineStr">
        <is>
          <t>NO_CALL</t>
        </is>
      </c>
      <c r="AO195" s="24" t="inlineStr">
        <is>
          <t>NO_CALL_MODEL_UNVALIDATED</t>
        </is>
      </c>
      <c r="AP195" s="24" t="inlineStr">
        <is>
          <t>Ajax Amsterdam</t>
        </is>
      </c>
      <c r="AQ195" s="24" t="inlineStr">
        <is>
          <t>Ajax Amsterdam</t>
        </is>
      </c>
      <c r="AR195" s="24" t="inlineStr">
        <is>
          <t>Ajax Amsterdam</t>
        </is>
      </c>
      <c r="AS195" s="24" t="inlineStr">
        <is>
          <t>FC Volendam</t>
        </is>
      </c>
      <c r="AT195" s="24" t="inlineStr">
        <is>
          <t>FC Volendam</t>
        </is>
      </c>
      <c r="AU195" s="24" t="inlineStr">
        <is>
          <t>FC Volendam</t>
        </is>
      </c>
      <c r="AV195" s="24" t="n"/>
      <c r="AW195" s="24" t="n"/>
      <c r="AX195" s="24" t="inlineStr">
        <is>
          <t>statistical_model</t>
        </is>
      </c>
      <c r="AY195" s="24" t="n"/>
      <c r="AZ195" s="24" t="inlineStr">
        <is>
          <t>research</t>
        </is>
      </c>
      <c r="BA195" s="24" t="inlineStr">
        <is>
          <t>34d1568aad0ff11b5db35f118324684f93281e1c21fa7b80be7a4a4e2cb4bb03</t>
        </is>
      </c>
      <c r="BB195" s="24" t="inlineStr">
        <is>
          <t>poisson_dixon_coles</t>
        </is>
      </c>
      <c r="BC195" s="24" t="inlineStr">
        <is>
          <t>soccer-poisson-dc-v1</t>
        </is>
      </c>
      <c r="BD195" s="24" t="inlineStr">
        <is>
          <t>34d1568aad0ff11b5db35f118324684f93281e1c21fa7b80be7a4a4e2cb4bb03</t>
        </is>
      </c>
      <c r="BE195" s="24" t="inlineStr">
        <is>
          <t>soccer-poisson-dc-v1</t>
        </is>
      </c>
      <c r="BF195" s="24" t="inlineStr">
        <is>
          <t>1</t>
        </is>
      </c>
      <c r="BG195" s="24" t="inlineStr">
        <is>
          <t>34d1568aad0ff11b5db35f118324684f93281e1c21fa7b80be7a4a4e2cb4bb03</t>
        </is>
      </c>
      <c r="BH195" s="24" t="inlineStr">
        <is>
          <t>2026-08-02T07:11:30.155770Z</t>
        </is>
      </c>
      <c r="BI195" s="24" t="inlineStr">
        <is>
          <t>["same_event","same_team_same_day","same_league_same_day"]</t>
        </is>
      </c>
      <c r="BJ195" s="25" t="n"/>
      <c r="BK195" s="26" t="n">
        <v>-223</v>
      </c>
      <c r="BL195" s="27" t="n">
        <v>1.44843</v>
      </c>
      <c r="BM195" s="28" t="n">
        <v>0.690402</v>
      </c>
      <c r="BN195" s="28" t="n"/>
      <c r="BO195" s="28" t="n"/>
      <c r="BP195" s="25" t="n"/>
      <c r="BQ195" s="27" t="n"/>
      <c r="BR195" s="28" t="n"/>
      <c r="BS195" s="28" t="n"/>
      <c r="BT195" s="28" t="n"/>
      <c r="BU195" s="25" t="n"/>
      <c r="BV195" s="29" t="n"/>
      <c r="BW195" s="24" t="n"/>
      <c r="BX195" s="30" t="n"/>
      <c r="BY195" s="27" t="n"/>
      <c r="BZ195" s="24" t="n"/>
      <c r="CA195" s="31" t="n"/>
      <c r="CB195" s="24" t="n"/>
      <c r="CC195" s="24" t="n"/>
      <c r="CD195" s="24" t="n"/>
      <c r="CE195" s="24" t="n"/>
      <c r="CF195" s="24" t="n"/>
      <c r="CG195" s="24" t="n"/>
      <c r="CH195" s="24" t="n"/>
      <c r="CI195" s="24" t="n"/>
      <c r="CJ195" s="24" t="n"/>
      <c r="CK195" s="24" t="n"/>
      <c r="CL195" s="24" t="n"/>
      <c r="CM195" s="24" t="n"/>
      <c r="CN195" s="24" t="n"/>
      <c r="CO195" s="24" t="n"/>
    </row>
    <row r="196" ht="36" customHeight="1">
      <c r="A196" s="24" t="inlineStr">
        <is>
          <t>2e984910a37c454e</t>
        </is>
      </c>
      <c r="B196" s="24" t="inlineStr">
        <is>
          <t>2026-08-02T07:14:17.312478Z</t>
        </is>
      </c>
      <c r="C196" s="24" t="inlineStr">
        <is>
          <t>2026-08-02T13:00Z</t>
        </is>
      </c>
      <c r="D196" s="24" t="inlineStr">
        <is>
          <t>401886551</t>
        </is>
      </c>
      <c r="E196" s="24" t="inlineStr">
        <is>
          <t>SOCCER</t>
        </is>
      </c>
      <c r="F196" s="24" t="inlineStr">
        <is>
          <t>Atalanta</t>
        </is>
      </c>
      <c r="G196" s="24" t="inlineStr">
        <is>
          <t>Feyenoord Rotterdam</t>
        </is>
      </c>
      <c r="H196" s="24" t="inlineStr">
        <is>
          <t>moneyline</t>
        </is>
      </c>
      <c r="I196" s="24" t="inlineStr">
        <is>
          <t>home</t>
        </is>
      </c>
      <c r="J196" s="25" t="n"/>
      <c r="K196" s="24" t="inlineStr">
        <is>
          <t>polymarket_us</t>
        </is>
      </c>
      <c r="L196" s="26" t="n">
        <v>178</v>
      </c>
      <c r="M196" s="27" t="n">
        <v>2.78</v>
      </c>
      <c r="N196" s="28" t="n">
        <v>0.359712</v>
      </c>
      <c r="O196" s="28" t="n">
        <v>0.575359</v>
      </c>
      <c r="P196" s="28" t="n">
        <v>0.04</v>
      </c>
      <c r="Q196" s="28" t="n">
        <v>0.215647</v>
      </c>
      <c r="R196" s="26" t="n">
        <v>100</v>
      </c>
      <c r="S196" s="29" t="n">
        <v>1.25</v>
      </c>
      <c r="T196" s="24" t="inlineStr">
        <is>
          <t>soccer-poisson-dc-v1</t>
        </is>
      </c>
      <c r="U196" s="24" t="inlineStr">
        <is>
          <t>open</t>
        </is>
      </c>
      <c r="V196" s="24" t="n"/>
      <c r="W196" s="26" t="n"/>
      <c r="X196" s="26" t="n"/>
      <c r="Y196" s="25" t="n"/>
      <c r="Z196" s="26" t="n"/>
      <c r="AA196" s="28" t="n"/>
      <c r="AB196" s="28" t="n"/>
      <c r="AC196" s="30" t="n"/>
      <c r="AD196" s="24" t="n"/>
      <c r="AE196" s="31" t="inlineStr">
        <is>
          <t>Poisson-DC rates 1.92 (home) / 1.01 (away) from EWMA attack/defense strengths. Executable ask 0.3600 (atc-clbf-fey-ata-2026-08-02-fey).</t>
        </is>
      </c>
      <c r="AF196" s="31" t="inlineStr">
        <is>
          <t>Research-only soccer score model; draw-aware, but not yet locked-holdout qualified.</t>
        </is>
      </c>
      <c r="AG196" s="24" t="inlineStr">
        <is>
          <t>not_applicable</t>
        </is>
      </c>
      <c r="AH196" s="24" t="n"/>
      <c r="AI196" s="31" t="n"/>
      <c r="AJ196" s="31" t="n"/>
      <c r="AK196" s="24" t="inlineStr">
        <is>
          <t>research_observation</t>
        </is>
      </c>
      <c r="AL196" s="26" t="n">
        <v>3</v>
      </c>
      <c r="AM196" s="24" t="inlineStr">
        <is>
          <t>RESEARCH_OBSERVATION</t>
        </is>
      </c>
      <c r="AN196" s="24" t="inlineStr">
        <is>
          <t>NO_CALL</t>
        </is>
      </c>
      <c r="AO196" s="24" t="inlineStr">
        <is>
          <t>NO_CALL_MODEL_UNVALIDATED</t>
        </is>
      </c>
      <c r="AP196" s="24" t="inlineStr">
        <is>
          <t>Atalanta</t>
        </is>
      </c>
      <c r="AQ196" s="24" t="inlineStr">
        <is>
          <t>Atalanta</t>
        </is>
      </c>
      <c r="AR196" s="24" t="inlineStr">
        <is>
          <t>Atalanta</t>
        </is>
      </c>
      <c r="AS196" s="24" t="inlineStr">
        <is>
          <t>Feyenoord Rotterdam</t>
        </is>
      </c>
      <c r="AT196" s="24" t="inlineStr">
        <is>
          <t>Feyenoord Rotterdam</t>
        </is>
      </c>
      <c r="AU196" s="24" t="inlineStr">
        <is>
          <t>Feyenoord Rotterdam</t>
        </is>
      </c>
      <c r="AV196" s="24" t="n"/>
      <c r="AW196" s="24" t="n"/>
      <c r="AX196" s="24" t="inlineStr">
        <is>
          <t>statistical_model</t>
        </is>
      </c>
      <c r="AY196" s="24" t="n"/>
      <c r="AZ196" s="24" t="inlineStr">
        <is>
          <t>research</t>
        </is>
      </c>
      <c r="BA196" s="24" t="inlineStr">
        <is>
          <t>34d1568aad0ff11b5db35f118324684f93281e1c21fa7b80be7a4a4e2cb4bb03</t>
        </is>
      </c>
      <c r="BB196" s="24" t="inlineStr">
        <is>
          <t>poisson_dixon_coles</t>
        </is>
      </c>
      <c r="BC196" s="24" t="inlineStr">
        <is>
          <t>soccer-poisson-dc-v1</t>
        </is>
      </c>
      <c r="BD196" s="24" t="inlineStr">
        <is>
          <t>34d1568aad0ff11b5db35f118324684f93281e1c21fa7b80be7a4a4e2cb4bb03</t>
        </is>
      </c>
      <c r="BE196" s="24" t="inlineStr">
        <is>
          <t>soccer-poisson-dc-v1</t>
        </is>
      </c>
      <c r="BF196" s="24" t="inlineStr">
        <is>
          <t>1</t>
        </is>
      </c>
      <c r="BG196" s="24" t="inlineStr">
        <is>
          <t>34d1568aad0ff11b5db35f118324684f93281e1c21fa7b80be7a4a4e2cb4bb03</t>
        </is>
      </c>
      <c r="BH196" s="24" t="inlineStr">
        <is>
          <t>2026-08-02T07:11:30.185486Z</t>
        </is>
      </c>
      <c r="BI196" s="24" t="inlineStr">
        <is>
          <t>["same_event","same_team_same_day","same_league_same_day"]</t>
        </is>
      </c>
      <c r="BJ196" s="25" t="n"/>
      <c r="BK196" s="26" t="n">
        <v>178</v>
      </c>
      <c r="BL196" s="27" t="n">
        <v>2.78</v>
      </c>
      <c r="BM196" s="28" t="n">
        <v>0.359712</v>
      </c>
      <c r="BN196" s="28" t="n"/>
      <c r="BO196" s="28" t="n"/>
      <c r="BP196" s="25" t="n"/>
      <c r="BQ196" s="27" t="n"/>
      <c r="BR196" s="28" t="n"/>
      <c r="BS196" s="28" t="n"/>
      <c r="BT196" s="28" t="n"/>
      <c r="BU196" s="25" t="n"/>
      <c r="BV196" s="29" t="n"/>
      <c r="BW196" s="24" t="n"/>
      <c r="BX196" s="30" t="n"/>
      <c r="BY196" s="27" t="n"/>
      <c r="BZ196" s="24" t="n"/>
      <c r="CA196" s="31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4" t="n"/>
      <c r="CO196" s="24" t="n"/>
    </row>
    <row r="197" ht="36" customHeight="1">
      <c r="A197" s="24" t="inlineStr">
        <is>
          <t>b75303f0a3574809</t>
        </is>
      </c>
      <c r="B197" s="24" t="inlineStr">
        <is>
          <t>2026-08-02T07:14:17.312478Z</t>
        </is>
      </c>
      <c r="C197" s="24" t="inlineStr">
        <is>
          <t>2026-08-02T14:30Z</t>
        </is>
      </c>
      <c r="D197" s="24" t="inlineStr">
        <is>
          <t>401898711</t>
        </is>
      </c>
      <c r="E197" s="24" t="inlineStr">
        <is>
          <t>SOCCER</t>
        </is>
      </c>
      <c r="F197" s="24" t="inlineStr">
        <is>
          <t>Udinese</t>
        </is>
      </c>
      <c r="G197" s="24" t="inlineStr">
        <is>
          <t>Trabzonspor</t>
        </is>
      </c>
      <c r="H197" s="24" t="inlineStr">
        <is>
          <t>moneyline</t>
        </is>
      </c>
      <c r="I197" s="24" t="inlineStr">
        <is>
          <t>home</t>
        </is>
      </c>
      <c r="J197" s="25" t="n"/>
      <c r="K197" s="24" t="inlineStr">
        <is>
          <t>polymarket_us</t>
        </is>
      </c>
      <c r="L197" s="26" t="n">
        <v>144</v>
      </c>
      <c r="M197" s="27" t="n">
        <v>2.44</v>
      </c>
      <c r="N197" s="28" t="n">
        <v>0.409836</v>
      </c>
      <c r="O197" s="28" t="n">
        <v>0.395816</v>
      </c>
      <c r="P197" s="28" t="n">
        <v>0.2</v>
      </c>
      <c r="Q197" s="28" t="n">
        <v>-0.01402</v>
      </c>
      <c r="R197" s="26" t="n">
        <v>0</v>
      </c>
      <c r="S197" s="29" t="n">
        <v>1</v>
      </c>
      <c r="T197" s="24" t="inlineStr">
        <is>
          <t>soccer-poisson-dc-v1</t>
        </is>
      </c>
      <c r="U197" s="24" t="inlineStr">
        <is>
          <t>open</t>
        </is>
      </c>
      <c r="V197" s="24" t="n"/>
      <c r="W197" s="26" t="n"/>
      <c r="X197" s="26" t="n"/>
      <c r="Y197" s="25" t="n"/>
      <c r="Z197" s="26" t="n"/>
      <c r="AA197" s="28" t="n"/>
      <c r="AB197" s="28" t="n"/>
      <c r="AC197" s="30" t="n"/>
      <c r="AD197" s="24" t="n"/>
      <c r="AE197" s="31" t="inlineStr">
        <is>
          <t>Poisson-DC rates 1.26 (home) / 1.06 (away) from EWMA attack/defense strengths. Executable ask 0.4100 (atc-clbf-tra-udi-2026-08-02-tra).</t>
        </is>
      </c>
      <c r="AF197" s="31" t="inlineStr">
        <is>
          <t>Research-only soccer score model; draw-aware, but not yet locked-holdout qualified.</t>
        </is>
      </c>
      <c r="AG197" s="24" t="inlineStr">
        <is>
          <t>not_applicable</t>
        </is>
      </c>
      <c r="AH197" s="24" t="n"/>
      <c r="AI197" s="31" t="n"/>
      <c r="AJ197" s="31" t="n"/>
      <c r="AK197" s="24" t="inlineStr">
        <is>
          <t>research_observation</t>
        </is>
      </c>
      <c r="AL197" s="26" t="n">
        <v>3</v>
      </c>
      <c r="AM197" s="24" t="inlineStr">
        <is>
          <t>RESEARCH_OBSERVATION</t>
        </is>
      </c>
      <c r="AN197" s="24" t="inlineStr">
        <is>
          <t>NO_CALL</t>
        </is>
      </c>
      <c r="AO197" s="24" t="inlineStr">
        <is>
          <t>NO_CALL_MODEL_UNVALIDATED</t>
        </is>
      </c>
      <c r="AP197" s="24" t="inlineStr">
        <is>
          <t>Udinese</t>
        </is>
      </c>
      <c r="AQ197" s="24" t="inlineStr">
        <is>
          <t>Udinese</t>
        </is>
      </c>
      <c r="AR197" s="24" t="inlineStr">
        <is>
          <t>Udinese</t>
        </is>
      </c>
      <c r="AS197" s="24" t="inlineStr">
        <is>
          <t>Trabzonspor</t>
        </is>
      </c>
      <c r="AT197" s="24" t="inlineStr">
        <is>
          <t>Trabzonspor</t>
        </is>
      </c>
      <c r="AU197" s="24" t="inlineStr">
        <is>
          <t>Trabzonspor</t>
        </is>
      </c>
      <c r="AV197" s="24" t="n"/>
      <c r="AW197" s="24" t="n"/>
      <c r="AX197" s="24" t="inlineStr">
        <is>
          <t>statistical_model</t>
        </is>
      </c>
      <c r="AY197" s="24" t="n"/>
      <c r="AZ197" s="24" t="inlineStr">
        <is>
          <t>research</t>
        </is>
      </c>
      <c r="BA197" s="24" t="inlineStr">
        <is>
          <t>34d1568aad0ff11b5db35f118324684f93281e1c21fa7b80be7a4a4e2cb4bb03</t>
        </is>
      </c>
      <c r="BB197" s="24" t="inlineStr">
        <is>
          <t>poisson_dixon_coles</t>
        </is>
      </c>
      <c r="BC197" s="24" t="inlineStr">
        <is>
          <t>soccer-poisson-dc-v1</t>
        </is>
      </c>
      <c r="BD197" s="24" t="inlineStr">
        <is>
          <t>34d1568aad0ff11b5db35f118324684f93281e1c21fa7b80be7a4a4e2cb4bb03</t>
        </is>
      </c>
      <c r="BE197" s="24" t="inlineStr">
        <is>
          <t>soccer-poisson-dc-v1</t>
        </is>
      </c>
      <c r="BF197" s="24" t="inlineStr">
        <is>
          <t>1</t>
        </is>
      </c>
      <c r="BG197" s="24" t="inlineStr">
        <is>
          <t>34d1568aad0ff11b5db35f118324684f93281e1c21fa7b80be7a4a4e2cb4bb03</t>
        </is>
      </c>
      <c r="BH197" s="24" t="inlineStr">
        <is>
          <t>2026-08-02T07:11:30.672870Z</t>
        </is>
      </c>
      <c r="BI197" s="24" t="inlineStr">
        <is>
          <t>["same_event","same_team_same_day","same_league_same_day"]</t>
        </is>
      </c>
      <c r="BJ197" s="25" t="n"/>
      <c r="BK197" s="26" t="n">
        <v>144</v>
      </c>
      <c r="BL197" s="27" t="n">
        <v>2.44</v>
      </c>
      <c r="BM197" s="28" t="n">
        <v>0.409836</v>
      </c>
      <c r="BN197" s="28" t="n"/>
      <c r="BO197" s="28" t="n"/>
      <c r="BP197" s="25" t="n"/>
      <c r="BQ197" s="27" t="n"/>
      <c r="BR197" s="28" t="n"/>
      <c r="BS197" s="28" t="n"/>
      <c r="BT197" s="28" t="n"/>
      <c r="BU197" s="25" t="n"/>
      <c r="BV197" s="29" t="n"/>
      <c r="BW197" s="24" t="n"/>
      <c r="BX197" s="30" t="n"/>
      <c r="BY197" s="27" t="n"/>
      <c r="BZ197" s="24" t="n"/>
      <c r="CA197" s="31" t="n"/>
      <c r="CB197" s="24" t="n"/>
      <c r="CC197" s="24" t="n"/>
      <c r="CD197" s="24" t="n"/>
      <c r="CE197" s="24" t="n"/>
      <c r="CF197" s="24" t="n"/>
      <c r="CG197" s="24" t="n"/>
      <c r="CH197" s="24" t="n"/>
      <c r="CI197" s="24" t="n"/>
      <c r="CJ197" s="24" t="n"/>
      <c r="CK197" s="24" t="n"/>
      <c r="CL197" s="24" t="n"/>
      <c r="CM197" s="24" t="n"/>
      <c r="CN197" s="24" t="n"/>
      <c r="CO197" s="24" t="n"/>
    </row>
    <row r="198" ht="36" customHeight="1">
      <c r="A198" s="24" t="inlineStr">
        <is>
          <t>fc6eab56fbaa4ac6</t>
        </is>
      </c>
      <c r="B198" s="24" t="inlineStr">
        <is>
          <t>2026-08-02T07:14:17.312478Z</t>
        </is>
      </c>
      <c r="C198" s="24" t="inlineStr">
        <is>
          <t>2026-08-02T16:00Z</t>
        </is>
      </c>
      <c r="D198" s="24" t="inlineStr">
        <is>
          <t>401897751</t>
        </is>
      </c>
      <c r="E198" s="24" t="inlineStr">
        <is>
          <t>SOCCER</t>
        </is>
      </c>
      <c r="F198" s="24" t="inlineStr">
        <is>
          <t>Wrexham</t>
        </is>
      </c>
      <c r="G198" s="24" t="inlineStr">
        <is>
          <t>Sunderland</t>
        </is>
      </c>
      <c r="H198" s="24" t="inlineStr">
        <is>
          <t>moneyline</t>
        </is>
      </c>
      <c r="I198" s="24" t="inlineStr">
        <is>
          <t>home</t>
        </is>
      </c>
      <c r="J198" s="25" t="n"/>
      <c r="K198" s="24" t="inlineStr">
        <is>
          <t>polymarket_us</t>
        </is>
      </c>
      <c r="L198" s="26" t="n">
        <v>113</v>
      </c>
      <c r="M198" s="27" t="n">
        <v>2.13</v>
      </c>
      <c r="N198" s="28" t="n">
        <v>0.469484</v>
      </c>
      <c r="O198" s="28" t="n">
        <v>0.395592</v>
      </c>
      <c r="P198" s="28" t="n">
        <v>0.04</v>
      </c>
      <c r="Q198" s="28" t="n">
        <v>-0.073892</v>
      </c>
      <c r="R198" s="26" t="n">
        <v>0</v>
      </c>
      <c r="S198" s="29" t="n">
        <v>1.5</v>
      </c>
      <c r="T198" s="24" t="inlineStr">
        <is>
          <t>soccer-poisson-dc-v1</t>
        </is>
      </c>
      <c r="U198" s="24" t="inlineStr">
        <is>
          <t>open</t>
        </is>
      </c>
      <c r="V198" s="24" t="n"/>
      <c r="W198" s="26" t="n"/>
      <c r="X198" s="26" t="n"/>
      <c r="Y198" s="25" t="n"/>
      <c r="Z198" s="26" t="n"/>
      <c r="AA198" s="28" t="n"/>
      <c r="AB198" s="28" t="n"/>
      <c r="AC198" s="30" t="n"/>
      <c r="AD198" s="24" t="n"/>
      <c r="AE198" s="31" t="inlineStr">
        <is>
          <t>Poisson-DC rates 1.40 (home) / 1.24 (away) from EWMA attack/defense strengths. Executable ask 0.4700 (atc-clbf-sun-wre-2026-08-02-sun).</t>
        </is>
      </c>
      <c r="AF198" s="31" t="inlineStr">
        <is>
          <t>Research-only soccer score model; draw-aware, but not yet locked-holdout qualified.</t>
        </is>
      </c>
      <c r="AG198" s="24" t="inlineStr">
        <is>
          <t>not_applicable</t>
        </is>
      </c>
      <c r="AH198" s="24" t="n"/>
      <c r="AI198" s="31" t="n"/>
      <c r="AJ198" s="31" t="n"/>
      <c r="AK198" s="24" t="inlineStr">
        <is>
          <t>research_observation</t>
        </is>
      </c>
      <c r="AL198" s="26" t="n">
        <v>3</v>
      </c>
      <c r="AM198" s="24" t="inlineStr">
        <is>
          <t>RESEARCH_OBSERVATION</t>
        </is>
      </c>
      <c r="AN198" s="24" t="inlineStr">
        <is>
          <t>NO_CALL</t>
        </is>
      </c>
      <c r="AO198" s="24" t="inlineStr">
        <is>
          <t>NO_CALL_MODEL_UNVALIDATED</t>
        </is>
      </c>
      <c r="AP198" s="24" t="inlineStr">
        <is>
          <t>Wrexham</t>
        </is>
      </c>
      <c r="AQ198" s="24" t="inlineStr">
        <is>
          <t>Wrexham</t>
        </is>
      </c>
      <c r="AR198" s="24" t="inlineStr">
        <is>
          <t>Wrexham</t>
        </is>
      </c>
      <c r="AS198" s="24" t="inlineStr">
        <is>
          <t>Sunderland</t>
        </is>
      </c>
      <c r="AT198" s="24" t="inlineStr">
        <is>
          <t>Sunderland</t>
        </is>
      </c>
      <c r="AU198" s="24" t="inlineStr">
        <is>
          <t>Sunderland</t>
        </is>
      </c>
      <c r="AV198" s="24" t="n"/>
      <c r="AW198" s="24" t="n"/>
      <c r="AX198" s="24" t="inlineStr">
        <is>
          <t>statistical_model</t>
        </is>
      </c>
      <c r="AY198" s="24" t="n"/>
      <c r="AZ198" s="24" t="inlineStr">
        <is>
          <t>research</t>
        </is>
      </c>
      <c r="BA198" s="24" t="inlineStr">
        <is>
          <t>34d1568aad0ff11b5db35f118324684f93281e1c21fa7b80be7a4a4e2cb4bb03</t>
        </is>
      </c>
      <c r="BB198" s="24" t="inlineStr">
        <is>
          <t>poisson_dixon_coles</t>
        </is>
      </c>
      <c r="BC198" s="24" t="inlineStr">
        <is>
          <t>soccer-poisson-dc-v1</t>
        </is>
      </c>
      <c r="BD198" s="24" t="inlineStr">
        <is>
          <t>34d1568aad0ff11b5db35f118324684f93281e1c21fa7b80be7a4a4e2cb4bb03</t>
        </is>
      </c>
      <c r="BE198" s="24" t="inlineStr">
        <is>
          <t>soccer-poisson-dc-v1</t>
        </is>
      </c>
      <c r="BF198" s="24" t="inlineStr">
        <is>
          <t>1</t>
        </is>
      </c>
      <c r="BG198" s="24" t="inlineStr">
        <is>
          <t>34d1568aad0ff11b5db35f118324684f93281e1c21fa7b80be7a4a4e2cb4bb03</t>
        </is>
      </c>
      <c r="BH198" s="24" t="inlineStr">
        <is>
          <t>2026-08-02T07:11:30.781687Z</t>
        </is>
      </c>
      <c r="BI198" s="24" t="inlineStr">
        <is>
          <t>["same_event","same_team_same_day","same_league_same_day"]</t>
        </is>
      </c>
      <c r="BJ198" s="25" t="n"/>
      <c r="BK198" s="26" t="n">
        <v>113</v>
      </c>
      <c r="BL198" s="27" t="n">
        <v>2.13</v>
      </c>
      <c r="BM198" s="28" t="n">
        <v>0.469484</v>
      </c>
      <c r="BN198" s="28" t="n"/>
      <c r="BO198" s="28" t="n"/>
      <c r="BP198" s="25" t="n"/>
      <c r="BQ198" s="27" t="n"/>
      <c r="BR198" s="28" t="n"/>
      <c r="BS198" s="28" t="n"/>
      <c r="BT198" s="28" t="n"/>
      <c r="BU198" s="25" t="n"/>
      <c r="BV198" s="29" t="n"/>
      <c r="BW198" s="24" t="n"/>
      <c r="BX198" s="30" t="n"/>
      <c r="BY198" s="27" t="n"/>
      <c r="BZ198" s="24" t="n"/>
      <c r="CA198" s="31" t="n"/>
      <c r="CB198" s="24" t="n"/>
      <c r="CC198" s="24" t="n"/>
      <c r="CD198" s="24" t="n"/>
      <c r="CE198" s="24" t="n"/>
      <c r="CF198" s="24" t="n"/>
      <c r="CG198" s="24" t="n"/>
      <c r="CH198" s="24" t="n"/>
      <c r="CI198" s="24" t="n"/>
      <c r="CJ198" s="24" t="n"/>
      <c r="CK198" s="24" t="n"/>
      <c r="CL198" s="24" t="n"/>
      <c r="CM198" s="24" t="n"/>
      <c r="CN198" s="24" t="n"/>
      <c r="CO198" s="24" t="n"/>
    </row>
    <row r="199" ht="36" customHeight="1">
      <c r="A199" s="24" t="inlineStr">
        <is>
          <t>cc94b2f1ebbc4630</t>
        </is>
      </c>
      <c r="B199" s="24" t="inlineStr">
        <is>
          <t>2026-08-02T07:14:17.312478Z</t>
        </is>
      </c>
      <c r="C199" s="24" t="inlineStr">
        <is>
          <t>2026-08-02T20:00Z</t>
        </is>
      </c>
      <c r="D199" s="24" t="inlineStr">
        <is>
          <t>401863533</t>
        </is>
      </c>
      <c r="E199" s="24" t="inlineStr">
        <is>
          <t>SOCCER</t>
        </is>
      </c>
      <c r="F199" s="24" t="inlineStr">
        <is>
          <t>Leeds United</t>
        </is>
      </c>
      <c r="G199" s="24" t="inlineStr">
        <is>
          <t>Liverpool</t>
        </is>
      </c>
      <c r="H199" s="24" t="inlineStr">
        <is>
          <t>moneyline</t>
        </is>
      </c>
      <c r="I199" s="24" t="inlineStr">
        <is>
          <t>home</t>
        </is>
      </c>
      <c r="J199" s="25" t="n"/>
      <c r="K199" s="24" t="inlineStr">
        <is>
          <t>polymarket_us</t>
        </is>
      </c>
      <c r="L199" s="26" t="n">
        <v>-127</v>
      </c>
      <c r="M199" s="27" t="n">
        <v>1.787402</v>
      </c>
      <c r="N199" s="28" t="n">
        <v>0.5594710000000001</v>
      </c>
      <c r="O199" s="28" t="n">
        <v>0.482992</v>
      </c>
      <c r="P199" s="28" t="n">
        <v>0.04</v>
      </c>
      <c r="Q199" s="28" t="n">
        <v>-0.07647900000000001</v>
      </c>
      <c r="R199" s="26" t="n">
        <v>0</v>
      </c>
      <c r="S199" s="29" t="n">
        <v>1</v>
      </c>
      <c r="T199" s="24" t="inlineStr">
        <is>
          <t>soccer-poisson-dc-v1</t>
        </is>
      </c>
      <c r="U199" s="24" t="inlineStr">
        <is>
          <t>open</t>
        </is>
      </c>
      <c r="V199" s="24" t="n"/>
      <c r="W199" s="26" t="n"/>
      <c r="X199" s="26" t="n"/>
      <c r="Y199" s="25" t="n"/>
      <c r="Z199" s="26" t="n"/>
      <c r="AA199" s="28" t="n"/>
      <c r="AB199" s="28" t="n"/>
      <c r="AC199" s="30" t="n"/>
      <c r="AD199" s="24" t="n"/>
      <c r="AE199" s="31" t="inlineStr">
        <is>
          <t>Poisson-DC rates 1.69 (home) / 1.17 (away) from EWMA attack/defense strengths. Executable ask 0.5600 (atc-clbf-lfc-lee-2026-08-02-lfc).</t>
        </is>
      </c>
      <c r="AF199" s="31" t="inlineStr">
        <is>
          <t>Research-only soccer score model; draw-aware, but not yet locked-holdout qualified.</t>
        </is>
      </c>
      <c r="AG199" s="24" t="inlineStr">
        <is>
          <t>not_applicable</t>
        </is>
      </c>
      <c r="AH199" s="24" t="n"/>
      <c r="AI199" s="31" t="n"/>
      <c r="AJ199" s="31" t="n"/>
      <c r="AK199" s="24" t="inlineStr">
        <is>
          <t>research_observation</t>
        </is>
      </c>
      <c r="AL199" s="26" t="n">
        <v>3</v>
      </c>
      <c r="AM199" s="24" t="inlineStr">
        <is>
          <t>RESEARCH_OBSERVATION</t>
        </is>
      </c>
      <c r="AN199" s="24" t="inlineStr">
        <is>
          <t>NO_CALL</t>
        </is>
      </c>
      <c r="AO199" s="24" t="inlineStr">
        <is>
          <t>NO_CALL_MODEL_UNVALIDATED</t>
        </is>
      </c>
      <c r="AP199" s="24" t="inlineStr">
        <is>
          <t>Leeds United</t>
        </is>
      </c>
      <c r="AQ199" s="24" t="inlineStr">
        <is>
          <t>Leeds United</t>
        </is>
      </c>
      <c r="AR199" s="24" t="inlineStr">
        <is>
          <t>Leeds United</t>
        </is>
      </c>
      <c r="AS199" s="24" t="inlineStr">
        <is>
          <t>Liverpool</t>
        </is>
      </c>
      <c r="AT199" s="24" t="inlineStr">
        <is>
          <t>Liverpool</t>
        </is>
      </c>
      <c r="AU199" s="24" t="inlineStr">
        <is>
          <t>Liverpool</t>
        </is>
      </c>
      <c r="AV199" s="24" t="n"/>
      <c r="AW199" s="24" t="n"/>
      <c r="AX199" s="24" t="inlineStr">
        <is>
          <t>statistical_model</t>
        </is>
      </c>
      <c r="AY199" s="24" t="n"/>
      <c r="AZ199" s="24" t="inlineStr">
        <is>
          <t>research</t>
        </is>
      </c>
      <c r="BA199" s="24" t="inlineStr">
        <is>
          <t>34d1568aad0ff11b5db35f118324684f93281e1c21fa7b80be7a4a4e2cb4bb03</t>
        </is>
      </c>
      <c r="BB199" s="24" t="inlineStr">
        <is>
          <t>poisson_dixon_coles</t>
        </is>
      </c>
      <c r="BC199" s="24" t="inlineStr">
        <is>
          <t>soccer-poisson-dc-v1</t>
        </is>
      </c>
      <c r="BD199" s="24" t="inlineStr">
        <is>
          <t>34d1568aad0ff11b5db35f118324684f93281e1c21fa7b80be7a4a4e2cb4bb03</t>
        </is>
      </c>
      <c r="BE199" s="24" t="inlineStr">
        <is>
          <t>soccer-poisson-dc-v1</t>
        </is>
      </c>
      <c r="BF199" s="24" t="inlineStr">
        <is>
          <t>1</t>
        </is>
      </c>
      <c r="BG199" s="24" t="inlineStr">
        <is>
          <t>34d1568aad0ff11b5db35f118324684f93281e1c21fa7b80be7a4a4e2cb4bb03</t>
        </is>
      </c>
      <c r="BH199" s="24" t="inlineStr">
        <is>
          <t>2026-08-02T07:11:31.252931Z</t>
        </is>
      </c>
      <c r="BI199" s="24" t="inlineStr">
        <is>
          <t>["same_event","same_team_same_day","same_league_same_day"]</t>
        </is>
      </c>
      <c r="BJ199" s="25" t="n"/>
      <c r="BK199" s="26" t="n">
        <v>-127</v>
      </c>
      <c r="BL199" s="27" t="n">
        <v>1.787402</v>
      </c>
      <c r="BM199" s="28" t="n">
        <v>0.5594710000000001</v>
      </c>
      <c r="BN199" s="28" t="n"/>
      <c r="BO199" s="28" t="n"/>
      <c r="BP199" s="25" t="n"/>
      <c r="BQ199" s="27" t="n"/>
      <c r="BR199" s="28" t="n"/>
      <c r="BS199" s="28" t="n"/>
      <c r="BT199" s="28" t="n"/>
      <c r="BU199" s="25" t="n"/>
      <c r="BV199" s="29" t="n"/>
      <c r="BW199" s="24" t="n"/>
      <c r="BX199" s="30" t="n"/>
      <c r="BY199" s="27" t="n"/>
      <c r="BZ199" s="24" t="n"/>
      <c r="CA199" s="31" t="n"/>
      <c r="CB199" s="24" t="n"/>
      <c r="CC199" s="24" t="n"/>
      <c r="CD199" s="24" t="n"/>
      <c r="CE199" s="24" t="n"/>
      <c r="CF199" s="24" t="n"/>
      <c r="CG199" s="24" t="n"/>
      <c r="CH199" s="24" t="n"/>
      <c r="CI199" s="24" t="n"/>
      <c r="CJ199" s="24" t="n"/>
      <c r="CK199" s="24" t="n"/>
      <c r="CL199" s="24" t="n"/>
      <c r="CM199" s="24" t="n"/>
      <c r="CN199" s="24" t="n"/>
      <c r="CO199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2026-08-02T07:14:32Z</dcterms:created>
  <dcterms:modified xsi:type="dcterms:W3CDTF">2026-08-02T07:14:32Z</dcterms:modified>
</cp:coreProperties>
</file>