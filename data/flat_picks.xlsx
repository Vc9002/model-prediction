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336" headerRowCount="1">
  <autoFilter ref="A1:CQ33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COUNTA('Picks'!$A$2:$A$336)</f>
        <v/>
      </c>
      <c r="C4" s="6">
        <f>COUNTIF('Picks'!$U$2:$U$336,"open")</f>
        <v/>
      </c>
      <c r="E4" s="6">
        <f>COUNTIF('Picks'!$U$2:$U$336,"settled")</f>
        <v/>
      </c>
      <c r="G4" s="6">
        <f>IF(COUNTIFS('Picks'!$U$2:$U$336,"settled",'Picks'!$V$2:$V$336,"win")+COUNTIFS('Picks'!$U$2:$U$336,"settled",'Picks'!$V$2:$V$336,"loss")&gt;=$L$2,"Ready","Insufficient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COUNTIF('Picks'!$BX$2:$BX$336,"&gt;0")</f>
        <v/>
      </c>
      <c r="C7" s="6">
        <f>COUNTIFS('Picks'!$BX$2:$BX$336,"&gt;0",'Picks'!$V$2:$V$336,"win")&amp;"-"&amp;COUNTIFS('Picks'!$BX$2:$BX$336,"&gt;0",'Picks'!$V$2:$V$336,"loss")</f>
        <v/>
      </c>
      <c r="E7" s="7">
        <f>IFERROR(COUNTIFS('Picks'!$BX$2:$BX$336,"&gt;0",'Picks'!$V$2:$V$336,"win")/(COUNTIFS('Picks'!$BX$2:$BX$336,"&gt;0",'Picks'!$V$2:$V$336,"win")+COUNTIFS('Picks'!$BX$2:$BX$336,"&gt;0",'Picks'!$V$2:$V$336,"loss")),0)</f>
        <v/>
      </c>
      <c r="G7" s="7">
        <f>IFERROR(SUM('Picks'!$BY$2:$BY$336)/SUM('Picks'!$BX$2:$BX$336),0)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SUM('Picks'!$BY$2:$BY$336)</f>
        <v/>
      </c>
      <c r="C10" s="9">
        <f>IFERROR(AVERAGEIF('Picks'!$AB$2:$AB$336,"&lt;&gt;",'Picks'!$AB$2:$AB$336),0)</f>
        <v/>
      </c>
      <c r="E10" s="6">
        <f>COUNTIFS('Picks'!$AM$2:$AM$336,"QUALIFIED_SHADOW_CALL",'Picks'!$U$2:$U$336,"settled")</f>
        <v/>
      </c>
      <c r="G10" s="8">
        <f>SUMIFS('Picks'!$AC$2:$AC$336,'Picks'!$AM$2:$AM$336,"QUALIFIED_SHADOW_CALL")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COUNTIFS('Picks'!$H$2:$H$336,$A14,'Picks'!$U$2:$U$336,"settled")</f>
        <v/>
      </c>
      <c r="C14" s="13">
        <f>COUNTIFS('Picks'!$H$2:$H$336,$A14,'Picks'!$U$2:$U$336,"settled",'Picks'!$V$2:$V$336,"win")</f>
        <v/>
      </c>
      <c r="D14" s="13">
        <f>COUNTIFS('Picks'!$H$2:$H$336,$A14,'Picks'!$U$2:$U$336,"settled",'Picks'!$V$2:$V$336,"loss")</f>
        <v/>
      </c>
      <c r="E14" s="14">
        <f>IFERROR(C14/(C14+D14),0)</f>
        <v/>
      </c>
      <c r="F14" s="15">
        <f>SUMIFS('Picks'!$BY$2:$BY$336,'Picks'!$H$2:$H$336,$A14)</f>
        <v/>
      </c>
      <c r="G14" s="16">
        <f>IFERROR(AVERAGEIFS('Picks'!$AB$2:$AB$336,'Picks'!$H$2:$H$336,$A14,'Picks'!$U$2:$U$336,"settled"),0)</f>
        <v/>
      </c>
    </row>
    <row r="15">
      <c r="A15" s="17" t="inlineStr">
        <is>
          <t>spread</t>
        </is>
      </c>
      <c r="B15" s="18">
        <f>COUNTIFS('Picks'!$H$2:$H$336,$A15,'Picks'!$U$2:$U$336,"settled")</f>
        <v/>
      </c>
      <c r="C15" s="18">
        <f>COUNTIFS('Picks'!$H$2:$H$336,$A15,'Picks'!$U$2:$U$336,"settled",'Picks'!$V$2:$V$336,"win")</f>
        <v/>
      </c>
      <c r="D15" s="18">
        <f>COUNTIFS('Picks'!$H$2:$H$336,$A15,'Picks'!$U$2:$U$336,"settled",'Picks'!$V$2:$V$336,"loss")</f>
        <v/>
      </c>
      <c r="E15" s="19">
        <f>IFERROR(C15/(C15+D15),0)</f>
        <v/>
      </c>
      <c r="F15" s="20">
        <f>SUMIFS('Picks'!$BY$2:$BY$336,'Picks'!$H$2:$H$336,$A15)</f>
        <v/>
      </c>
      <c r="G15" s="21">
        <f>IFERROR(AVERAGEIFS('Picks'!$AB$2:$AB$336,'Picks'!$H$2:$H$336,$A15,'Picks'!$U$2:$U$336,"settled"),0)</f>
        <v/>
      </c>
    </row>
    <row r="16">
      <c r="A16" s="12" t="inlineStr">
        <is>
          <t>total</t>
        </is>
      </c>
      <c r="B16" s="13">
        <f>COUNTIFS('Picks'!$H$2:$H$336,$A16,'Picks'!$U$2:$U$336,"settled")</f>
        <v/>
      </c>
      <c r="C16" s="13">
        <f>COUNTIFS('Picks'!$H$2:$H$336,$A16,'Picks'!$U$2:$U$336,"settled",'Picks'!$V$2:$V$336,"win")</f>
        <v/>
      </c>
      <c r="D16" s="13">
        <f>COUNTIFS('Picks'!$H$2:$H$336,$A16,'Picks'!$U$2:$U$336,"settled",'Picks'!$V$2:$V$336,"loss")</f>
        <v/>
      </c>
      <c r="E16" s="14">
        <f>IFERROR(C16/(C16+D16),0)</f>
        <v/>
      </c>
      <c r="F16" s="15">
        <f>SUMIFS('Picks'!$BY$2:$BY$336,'Picks'!$H$2:$H$336,$A16)</f>
        <v/>
      </c>
      <c r="G16" s="16">
        <f>IFERROR(AVERAGEIFS('Picks'!$AB$2:$AB$336,'Picks'!$H$2:$H$336,$A16,'Picks'!$U$2:$U$336,"settled"),0)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3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</row>
    <row r="139" ht="36" customHeight="1">
      <c r="A139" s="24" t="inlineStr">
        <is>
          <t>71dc8bd5d8eb498a</t>
        </is>
      </c>
      <c r="B139" s="24" t="inlineStr">
        <is>
          <t>2026-07-28T20:34:14.874473Z</t>
        </is>
      </c>
      <c r="C139" s="24" t="inlineStr">
        <is>
          <t>2026-07-28T22:00Z</t>
        </is>
      </c>
      <c r="D139" s="24" t="inlineStr">
        <is>
          <t>401841452</t>
        </is>
      </c>
      <c r="E139" s="24" t="inlineStr">
        <is>
          <t>SOCCER</t>
        </is>
      </c>
      <c r="F139" s="24" t="inlineStr">
        <is>
          <t>Gimnasia (Mendoza)</t>
        </is>
      </c>
      <c r="G139" s="24" t="inlineStr">
        <is>
          <t>San Lorenzo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100</v>
      </c>
      <c r="M139" s="27" t="n">
        <v>2</v>
      </c>
      <c r="N139" s="28" t="n">
        <v>0.5</v>
      </c>
      <c r="O139" s="28" t="n">
        <v>0.456199</v>
      </c>
      <c r="P139" s="28" t="n">
        <v>0.2</v>
      </c>
      <c r="Q139" s="28" t="n">
        <v>-0.043801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1</v>
      </c>
      <c r="AD139" s="24" t="inlineStr">
        <is>
          <t>2026-07-29T02:41:47.313571Z</t>
        </is>
      </c>
      <c r="AE139" s="31" t="inlineStr">
        <is>
          <t>Poisson-DC rates 1.64 (home) / 1.24 (away) from EWMA attack/defense strengths. Executable ask 0.5000 (atc-lpa-slo-gye-2026-07-28-slo).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Gimnasia (Mendoza)</t>
        </is>
      </c>
      <c r="AQ139" s="24" t="inlineStr">
        <is>
          <t>Gimnasia (Mendoza)</t>
        </is>
      </c>
      <c r="AR139" s="24" t="inlineStr">
        <is>
          <t>Gimnasia (Mendoza)</t>
        </is>
      </c>
      <c r="AS139" s="24" t="inlineStr">
        <is>
          <t>San Lorenzo</t>
        </is>
      </c>
      <c r="AT139" s="24" t="inlineStr">
        <is>
          <t>San Lorenzo</t>
        </is>
      </c>
      <c r="AU139" s="24" t="inlineStr">
        <is>
          <t>San Lorenzo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2026-07-28T20:32:27.095637Z</t>
        </is>
      </c>
      <c r="BI139" s="24" t="inlineStr">
        <is>
          <t>["same_event","same_team_same_day","same_league_same_day"]</t>
        </is>
      </c>
      <c r="BJ139" s="25" t="n"/>
      <c r="BK139" s="26" t="n">
        <v>100</v>
      </c>
      <c r="BL139" s="27" t="n">
        <v>2</v>
      </c>
      <c r="BM139" s="28" t="n">
        <v>0.5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</row>
    <row r="140" ht="36" customHeight="1">
      <c r="A140" s="24" t="inlineStr">
        <is>
          <t>538e4eae98a44836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401874071</t>
        </is>
      </c>
      <c r="E140" s="24" t="inlineStr">
        <is>
          <t>SOCCER</t>
        </is>
      </c>
      <c r="F140" s="24" t="inlineStr">
        <is>
          <t>Nacional</t>
        </is>
      </c>
      <c r="G140" s="24" t="inlineStr">
        <is>
          <t>Tigre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122</v>
      </c>
      <c r="M140" s="27" t="n">
        <v>2.22</v>
      </c>
      <c r="N140" s="28" t="n">
        <v>0.45045</v>
      </c>
      <c r="O140" s="28" t="n">
        <v>0.456199</v>
      </c>
      <c r="P140" s="28" t="n">
        <v>0.2</v>
      </c>
      <c r="Q140" s="28" t="n">
        <v>0.005749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2026-07-29T02:41:49.355103Z</t>
        </is>
      </c>
      <c r="AE140" s="31" t="inlineStr">
        <is>
          <t>Poisson-DC rates 1.64 (home) / 1.24 (away) from EWMA attack/defense strengths. Executable ask 0.4500 (atc-sud-tig-nac-2026-07-28-tig).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Nacional</t>
        </is>
      </c>
      <c r="AQ140" s="24" t="inlineStr">
        <is>
          <t>Nacional</t>
        </is>
      </c>
      <c r="AR140" s="24" t="inlineStr">
        <is>
          <t>Nacional</t>
        </is>
      </c>
      <c r="AS140" s="24" t="inlineStr">
        <is>
          <t>Tigre</t>
        </is>
      </c>
      <c r="AT140" s="24" t="inlineStr">
        <is>
          <t>Tigre</t>
        </is>
      </c>
      <c r="AU140" s="24" t="inlineStr">
        <is>
          <t>Tigre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2026-07-28T20:32:28.187625Z</t>
        </is>
      </c>
      <c r="BI140" s="24" t="inlineStr">
        <is>
          <t>["same_event","same_team_same_day","same_league_same_day"]</t>
        </is>
      </c>
      <c r="BJ140" s="25" t="n"/>
      <c r="BK140" s="26" t="n">
        <v>122</v>
      </c>
      <c r="BL140" s="27" t="n">
        <v>2.22</v>
      </c>
      <c r="BM140" s="28" t="n">
        <v>0.45045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</row>
    <row r="141" ht="36" customHeight="1">
      <c r="A141" s="24" t="inlineStr">
        <is>
          <t>9d29b7c025c54f14</t>
        </is>
      </c>
      <c r="B141" s="24" t="inlineStr">
        <is>
          <t>2026-07-28T23:39:16.759753Z</t>
        </is>
      </c>
      <c r="C141" s="24" t="inlineStr">
        <is>
          <t>2026-07-29T00:35Z</t>
        </is>
      </c>
      <c r="D141" s="24" t="inlineStr">
        <is>
          <t>401860253</t>
        </is>
      </c>
      <c r="E141" s="24" t="inlineStr">
        <is>
          <t>SOCCER</t>
        </is>
      </c>
      <c r="F141" s="24" t="inlineStr">
        <is>
          <t>Botafogo-SP</t>
        </is>
      </c>
      <c r="G141" s="24" t="inlineStr">
        <is>
          <t>Fortaleza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0.456199</v>
      </c>
      <c r="P141" s="28" t="n">
        <v>0.2</v>
      </c>
      <c r="Q141" s="28" t="n">
        <v>-0.053605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0.9615</v>
      </c>
      <c r="AD141" s="24" t="inlineStr">
        <is>
          <t>2026-07-29T02:41:49.433624Z</t>
        </is>
      </c>
      <c r="AE141" s="31" t="inlineStr">
        <is>
          <t>Poisson-DC rates 1.64 (home) / 1.24 (away) from EWMA attack/defense strengths. Executable ask 0.5100 (atc-brb-fec-bot-2026-07-28-fec).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Botafogo-SP</t>
        </is>
      </c>
      <c r="AQ141" s="24" t="inlineStr">
        <is>
          <t>Botafogo-SP</t>
        </is>
      </c>
      <c r="AR141" s="24" t="inlineStr">
        <is>
          <t>Botafogo-SP</t>
        </is>
      </c>
      <c r="AS141" s="24" t="inlineStr">
        <is>
          <t>Fortaleza</t>
        </is>
      </c>
      <c r="AT141" s="24" t="inlineStr">
        <is>
          <t>Fortaleza</t>
        </is>
      </c>
      <c r="AU141" s="24" t="inlineStr">
        <is>
          <t>Fortaleza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2026-07-28T23:37:59.431647Z</t>
        </is>
      </c>
      <c r="BI141" s="24" t="inlineStr">
        <is>
          <t>["same_event","same_team_same_day","same_league_same_day"]</t>
        </is>
      </c>
      <c r="BJ141" s="25" t="n"/>
      <c r="BK141" s="26" t="n">
        <v>-104</v>
      </c>
      <c r="BL141" s="27" t="n">
        <v>1.961538</v>
      </c>
      <c r="BM141" s="28" t="n">
        <v>0.509804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</row>
    <row r="142" ht="36" customHeight="1">
      <c r="A142" s="24" t="inlineStr">
        <is>
          <t>5d005d5149204d49</t>
        </is>
      </c>
      <c r="B142" s="24" t="inlineStr">
        <is>
          <t>2026-07-29T08:55:19.773254Z</t>
        </is>
      </c>
      <c r="C142" s="24" t="inlineStr">
        <is>
          <t>2026-07-29T10:00Z</t>
        </is>
      </c>
      <c r="D142" s="24" t="inlineStr">
        <is>
          <t>401872736</t>
        </is>
      </c>
      <c r="E142" s="24" t="inlineStr">
        <is>
          <t>SOCCER</t>
        </is>
      </c>
      <c r="F142" s="24" t="inlineStr">
        <is>
          <t>Borussia Dortmund</t>
        </is>
      </c>
      <c r="G142" s="24" t="inlineStr">
        <is>
          <t>Cerezo Osaka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0.440542</v>
      </c>
      <c r="P142" s="28" t="n">
        <v>0.2</v>
      </c>
      <c r="Q142" s="28" t="n">
        <v>-0.199746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2026-07-29T15:04:55.440111Z</t>
        </is>
      </c>
      <c r="AE142" s="31" t="inlineStr">
        <is>
          <t>Poisson-DC rates 1.39 (home) / 1.71 (away) from EWMA attack/defense strengths. Executable ask 0.6400 (atc-clbf-cer-bvb-2026-07-29-bvb).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Borussia Dortmund</t>
        </is>
      </c>
      <c r="AQ142" s="24" t="inlineStr">
        <is>
          <t>Borussia Dortmund</t>
        </is>
      </c>
      <c r="AR142" s="24" t="inlineStr">
        <is>
          <t>Borussia Dortmund</t>
        </is>
      </c>
      <c r="AS142" s="24" t="inlineStr">
        <is>
          <t>Cerezo Osaka</t>
        </is>
      </c>
      <c r="AT142" s="24" t="inlineStr">
        <is>
          <t>Cerezo Osaka</t>
        </is>
      </c>
      <c r="AU142" s="24" t="inlineStr">
        <is>
          <t>Cerezo Osaka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2026-07-29T08:52:45.504203Z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</row>
    <row r="143" ht="36" customHeight="1">
      <c r="A143" s="24" t="inlineStr">
        <is>
          <t>f8c013a541034830</t>
        </is>
      </c>
      <c r="B143" s="24" t="inlineStr">
        <is>
          <t>2026-07-29T15:07:40.379188Z</t>
        </is>
      </c>
      <c r="C143" s="24" t="inlineStr">
        <is>
          <t>2026-07-29T17:30Z</t>
        </is>
      </c>
      <c r="D143" s="24" t="inlineStr">
        <is>
          <t>401841461</t>
        </is>
      </c>
      <c r="E143" s="24" t="inlineStr">
        <is>
          <t>SOCCER</t>
        </is>
      </c>
      <c r="F143" s="24" t="inlineStr">
        <is>
          <t>Aldosivi</t>
        </is>
      </c>
      <c r="G143" s="24" t="inlineStr">
        <is>
          <t>Barracas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144</v>
      </c>
      <c r="M143" s="27" t="n">
        <v>2.44</v>
      </c>
      <c r="N143" s="28" t="n">
        <v>0.409836</v>
      </c>
      <c r="O143" s="28" t="n">
        <v>0.456199</v>
      </c>
      <c r="P143" s="28" t="n">
        <v>0.2</v>
      </c>
      <c r="Q143" s="28" t="n">
        <v>0.046363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/>
      <c r="AA143" s="28" t="n"/>
      <c r="AB143" s="28" t="n"/>
      <c r="AC143" s="30" t="n">
        <v>1.44</v>
      </c>
      <c r="AD143" s="24" t="inlineStr">
        <is>
          <t>2026-07-30T04:12:52.147509Z</t>
        </is>
      </c>
      <c r="AE143" s="31" t="inlineStr">
        <is>
          <t>Poisson-DC rates 1.64 (home) / 1.24 (away) from EWMA attack/defense strengths. Executable ask 0.4100 (atc-lpa-bar-ald-2026-07-29-bar).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Aldosivi</t>
        </is>
      </c>
      <c r="AQ143" s="24" t="inlineStr">
        <is>
          <t>Aldosivi</t>
        </is>
      </c>
      <c r="AR143" s="24" t="inlineStr">
        <is>
          <t>Aldosivi</t>
        </is>
      </c>
      <c r="AS143" s="24" t="inlineStr">
        <is>
          <t>Barracas Central</t>
        </is>
      </c>
      <c r="AT143" s="24" t="inlineStr">
        <is>
          <t>Barracas Central</t>
        </is>
      </c>
      <c r="AU143" s="24" t="inlineStr">
        <is>
          <t>Barracas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2026-07-29T15:06:01.050931Z</t>
        </is>
      </c>
      <c r="BI143" s="24" t="inlineStr">
        <is>
          <t>["same_event","same_team_same_day","same_league_same_day"]</t>
        </is>
      </c>
      <c r="BJ143" s="25" t="n"/>
      <c r="BK143" s="26" t="n">
        <v>144</v>
      </c>
      <c r="BL143" s="27" t="n">
        <v>2.44</v>
      </c>
      <c r="BM143" s="28" t="n">
        <v>0.409836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</row>
    <row r="144" ht="36" customHeight="1">
      <c r="A144" s="24" t="inlineStr">
        <is>
          <t>9eab45bc1b49434a</t>
        </is>
      </c>
      <c r="B144" s="24" t="inlineStr">
        <is>
          <t>2026-07-29T17:45:15.881226Z</t>
        </is>
      </c>
      <c r="C144" s="24" t="inlineStr">
        <is>
          <t>2026-07-29T22:30Z</t>
        </is>
      </c>
      <c r="D144" s="24" t="inlineStr">
        <is>
          <t>401841170</t>
        </is>
      </c>
      <c r="E144" s="24" t="inlineStr">
        <is>
          <t>SOCCER</t>
        </is>
      </c>
      <c r="F144" s="24" t="inlineStr">
        <is>
          <t>Remo</t>
        </is>
      </c>
      <c r="G144" s="24" t="inlineStr">
        <is>
          <t>Mirassol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0.456199</v>
      </c>
      <c r="P144" s="28" t="n">
        <v>0.2</v>
      </c>
      <c r="Q144" s="28" t="n">
        <v>-0.123633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2</v>
      </c>
      <c r="Y144" s="25" t="n"/>
      <c r="Z144" s="26" t="n"/>
      <c r="AA144" s="28" t="n"/>
      <c r="AB144" s="28" t="n"/>
      <c r="AC144" s="30" t="n">
        <v>0.7246</v>
      </c>
      <c r="AD144" s="24" t="inlineStr">
        <is>
          <t>2026-07-30T04:12:52.337713Z</t>
        </is>
      </c>
      <c r="AE144" s="31" t="inlineStr">
        <is>
          <t>Poisson-DC rates 1.64 (home) / 1.24 (away) from EWMA attack/defense strengths. Executable ask 0.5800 (atc-bra-mir-cre-2026-07-29-mir).</t>
        </is>
      </c>
      <c r="AF144" s="31" t="inlineStr">
        <is>
          <t>Research-only soccer score model; draw-aware, but not yet locked-holdout qualified.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Remo</t>
        </is>
      </c>
      <c r="AQ144" s="24" t="inlineStr">
        <is>
          <t>Remo</t>
        </is>
      </c>
      <c r="AR144" s="24" t="inlineStr">
        <is>
          <t>Remo</t>
        </is>
      </c>
      <c r="AS144" s="24" t="inlineStr">
        <is>
          <t>Mirassol</t>
        </is>
      </c>
      <c r="AT144" s="24" t="inlineStr">
        <is>
          <t>Mirassol</t>
        </is>
      </c>
      <c r="AU144" s="24" t="inlineStr">
        <is>
          <t>Mirassol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2026-07-29T17:43:19.742689Z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</row>
    <row r="145" ht="36" customHeight="1">
      <c r="A145" s="24" t="inlineStr">
        <is>
          <t>e4ff84b7e06b4da7</t>
        </is>
      </c>
      <c r="B145" s="24" t="inlineStr">
        <is>
          <t>2026-07-29T17:45:15.881226Z</t>
        </is>
      </c>
      <c r="C145" s="24" t="inlineStr">
        <is>
          <t>2026-07-29T22:15Z</t>
        </is>
      </c>
      <c r="D145" s="24" t="inlineStr">
        <is>
          <t>401841457</t>
        </is>
      </c>
      <c r="E145" s="24" t="inlineStr">
        <is>
          <t>SOCCER</t>
        </is>
      </c>
      <c r="F145" s="24" t="inlineStr">
        <is>
          <t>River Plate</t>
        </is>
      </c>
      <c r="G145" s="24" t="inlineStr">
        <is>
          <t>Gimnasia La Plata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355</v>
      </c>
      <c r="M145" s="27" t="n">
        <v>4.55</v>
      </c>
      <c r="N145" s="28" t="n">
        <v>0.21978</v>
      </c>
      <c r="O145" s="28" t="n">
        <v>0.456199</v>
      </c>
      <c r="P145" s="28" t="n">
        <v>0.2</v>
      </c>
      <c r="Q145" s="28" t="n">
        <v>0.236419</v>
      </c>
      <c r="R145" s="26" t="n">
        <v>48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3.55</v>
      </c>
      <c r="AD145" s="24" t="inlineStr">
        <is>
          <t>2026-07-30T04:12:52.533511Z</t>
        </is>
      </c>
      <c r="AE145" s="31" t="inlineStr">
        <is>
          <t>Poisson-DC rates 1.64 (home) / 1.24 (away) from EWMA attack/defense strengths. Executable ask 0.2200 (atc-lpa-gim-riv-2026-07-29-gim).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River Plate</t>
        </is>
      </c>
      <c r="AQ145" s="24" t="inlineStr">
        <is>
          <t>River Plate</t>
        </is>
      </c>
      <c r="AR145" s="24" t="inlineStr">
        <is>
          <t>River Plate</t>
        </is>
      </c>
      <c r="AS145" s="24" t="inlineStr">
        <is>
          <t>Gimnasia La Plata</t>
        </is>
      </c>
      <c r="AT145" s="24" t="inlineStr">
        <is>
          <t>Gimnasia La Plata</t>
        </is>
      </c>
      <c r="AU145" s="24" t="inlineStr">
        <is>
          <t>Gimnasia La Plata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2026-07-29T17:43:20.814669Z</t>
        </is>
      </c>
      <c r="BI145" s="24" t="inlineStr">
        <is>
          <t>["same_event","same_team_same_day","same_league_same_day"]</t>
        </is>
      </c>
      <c r="BJ145" s="25" t="n"/>
      <c r="BK145" s="26" t="n">
        <v>355</v>
      </c>
      <c r="BL145" s="27" t="n">
        <v>4.55</v>
      </c>
      <c r="BM145" s="28" t="n">
        <v>0.21978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</row>
    <row r="146" ht="36" customHeight="1">
      <c r="A146" s="24" t="inlineStr">
        <is>
          <t>6fe762116e044f29</t>
        </is>
      </c>
      <c r="B146" s="24" t="inlineStr">
        <is>
          <t>2026-07-29T17:45:15.881226Z</t>
        </is>
      </c>
      <c r="C146" s="24" t="inlineStr">
        <is>
          <t>2026-07-29T23:30Z</t>
        </is>
      </c>
      <c r="D146" s="24" t="inlineStr">
        <is>
          <t>401863532</t>
        </is>
      </c>
      <c r="E146" s="24" t="inlineStr">
        <is>
          <t>SOCCER</t>
        </is>
      </c>
      <c r="F146" s="24" t="inlineStr">
        <is>
          <t>Wrexham</t>
        </is>
      </c>
      <c r="G146" s="24" t="inlineStr">
        <is>
          <t>Liverpool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-233</v>
      </c>
      <c r="M146" s="27" t="n">
        <v>1.429185</v>
      </c>
      <c r="N146" s="28" t="n">
        <v>0.6997</v>
      </c>
      <c r="O146" s="28" t="n">
        <v>0.5541700000000001</v>
      </c>
      <c r="P146" s="28" t="n">
        <v>0.04</v>
      </c>
      <c r="Q146" s="28" t="n">
        <v>-0.14553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/>
      <c r="AA146" s="28" t="n"/>
      <c r="AB146" s="28" t="n"/>
      <c r="AC146" s="30" t="n">
        <v>0.4292</v>
      </c>
      <c r="AD146" s="24" t="inlineStr">
        <is>
          <t>2026-07-30T04:12:55.723807Z</t>
        </is>
      </c>
      <c r="AE146" s="31" t="inlineStr">
        <is>
          <t>Poisson-DC rates 2.12 (home) / 1.29 (away) from EWMA attack/defense strengths. Executable ask 0.7000 (atc-clbf-lfc-wre-2026-07-29-lfc).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Wrexham</t>
        </is>
      </c>
      <c r="AQ146" s="24" t="inlineStr">
        <is>
          <t>Wrexham</t>
        </is>
      </c>
      <c r="AR146" s="24" t="inlineStr">
        <is>
          <t>Wrexham</t>
        </is>
      </c>
      <c r="AS146" s="24" t="inlineStr">
        <is>
          <t>Liverpool</t>
        </is>
      </c>
      <c r="AT146" s="24" t="inlineStr">
        <is>
          <t>Liverpool</t>
        </is>
      </c>
      <c r="AU146" s="24" t="inlineStr">
        <is>
          <t>Liverpool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2026-07-29T17:43:24.705734Z</t>
        </is>
      </c>
      <c r="BI146" s="24" t="inlineStr">
        <is>
          <t>["same_event","same_team_same_day","same_league_same_day"]</t>
        </is>
      </c>
      <c r="BJ146" s="25" t="n"/>
      <c r="BK146" s="26" t="n">
        <v>-233</v>
      </c>
      <c r="BL146" s="27" t="n">
        <v>1.429185</v>
      </c>
      <c r="BM146" s="28" t="n">
        <v>0.6997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</row>
    <row r="147" ht="36" customHeight="1">
      <c r="A147" s="24" t="inlineStr">
        <is>
          <t>5f5afef2c6ff418f</t>
        </is>
      </c>
      <c r="B147" s="24" t="inlineStr">
        <is>
          <t>2026-07-30T21:08:36.264404Z</t>
        </is>
      </c>
      <c r="C147" s="24" t="inlineStr">
        <is>
          <t>2026-07-31T00:30Z</t>
        </is>
      </c>
      <c r="D147" s="24" t="inlineStr">
        <is>
          <t>401841173</t>
        </is>
      </c>
      <c r="E147" s="24" t="inlineStr">
        <is>
          <t>SOCCER</t>
        </is>
      </c>
      <c r="F147" s="24" t="inlineStr">
        <is>
          <t>Cruzeiro</t>
        </is>
      </c>
      <c r="G147" s="24" t="inlineStr">
        <is>
          <t>Coritiba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245</v>
      </c>
      <c r="M147" s="27" t="n">
        <v>3.45</v>
      </c>
      <c r="N147" s="28" t="n">
        <v>0.289855</v>
      </c>
      <c r="O147" s="28" t="n">
        <v>0.456135</v>
      </c>
      <c r="P147" s="28" t="n">
        <v>0.2</v>
      </c>
      <c r="Q147" s="28" t="n">
        <v>0.16628</v>
      </c>
      <c r="R147" s="26" t="n">
        <v>13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2026-07-31T04:29:36.196646Z</t>
        </is>
      </c>
      <c r="AE147" s="31" t="inlineStr">
        <is>
          <t>Poisson-DC rates 1.64 (home) / 1.24 (away) from EWMA attack/defense strengths. Executable ask 0.2900 (atc-bra-cor-cru-2026-07-30-cor).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Cruzeiro</t>
        </is>
      </c>
      <c r="AQ147" s="24" t="inlineStr">
        <is>
          <t>Cruzeiro</t>
        </is>
      </c>
      <c r="AR147" s="24" t="inlineStr">
        <is>
          <t>Cruzeiro</t>
        </is>
      </c>
      <c r="AS147" s="24" t="inlineStr">
        <is>
          <t>Coritiba</t>
        </is>
      </c>
      <c r="AT147" s="24" t="inlineStr">
        <is>
          <t>Coritiba</t>
        </is>
      </c>
      <c r="AU147" s="24" t="inlineStr">
        <is>
          <t>Coritiba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34d1568aad0ff11b5db35f118324684f93281e1c21fa7b80be7a4a4e2cb4bb03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34d1568aad0ff11b5db35f118324684f93281e1c21fa7b80be7a4a4e2cb4bb03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34d1568aad0ff11b5db35f118324684f93281e1c21fa7b80be7a4a4e2cb4bb03</t>
        </is>
      </c>
      <c r="BH147" s="24" t="inlineStr">
        <is>
          <t>2026-07-30T21:07:20.486954Z</t>
        </is>
      </c>
      <c r="BI147" s="24" t="inlineStr">
        <is>
          <t>["same_event","same_team_same_day","same_league_same_day"]</t>
        </is>
      </c>
      <c r="BJ147" s="25" t="n"/>
      <c r="BK147" s="26" t="n">
        <v>245</v>
      </c>
      <c r="BL147" s="27" t="n">
        <v>3.45</v>
      </c>
      <c r="BM147" s="28" t="n">
        <v>0.289855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</row>
    <row r="148" ht="36" customHeight="1">
      <c r="A148" s="24" t="inlineStr">
        <is>
          <t>9bfe664e8e5b4a8b</t>
        </is>
      </c>
      <c r="B148" s="24" t="inlineStr">
        <is>
          <t>2026-07-30T21:08:36.264404Z</t>
        </is>
      </c>
      <c r="C148" s="24" t="inlineStr">
        <is>
          <t>2026-07-31T00:15Z</t>
        </is>
      </c>
      <c r="D148" s="24" t="inlineStr">
        <is>
          <t>401841456</t>
        </is>
      </c>
      <c r="E148" s="24" t="inlineStr">
        <is>
          <t>SOCCER</t>
        </is>
      </c>
      <c r="F148" s="24" t="inlineStr">
        <is>
          <t>Newell's Old Boys</t>
        </is>
      </c>
      <c r="G148" s="24" t="inlineStr">
        <is>
          <t>Independiente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0.456135</v>
      </c>
      <c r="P148" s="28" t="n">
        <v>0.2</v>
      </c>
      <c r="Q148" s="28" t="n">
        <v>-0.15324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2026-07-31T04:29:36.979280Z</t>
        </is>
      </c>
      <c r="AE148" s="31" t="inlineStr">
        <is>
          <t>Poisson-DC rates 1.64 (home) / 1.24 (away) from EWMA attack/defense strengths. Executable ask 0.6100 (atc-lpa-ind-new-2026-07-30-ind).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Newell's Old Boys</t>
        </is>
      </c>
      <c r="AQ148" s="24" t="inlineStr">
        <is>
          <t>Newell's Old Boys</t>
        </is>
      </c>
      <c r="AR148" s="24" t="inlineStr">
        <is>
          <t>Newell's Old Boys</t>
        </is>
      </c>
      <c r="AS148" s="24" t="inlineStr">
        <is>
          <t>Independiente</t>
        </is>
      </c>
      <c r="AT148" s="24" t="inlineStr">
        <is>
          <t>Independiente</t>
        </is>
      </c>
      <c r="AU148" s="24" t="inlineStr">
        <is>
          <t>Independiente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34d1568aad0ff11b5db35f118324684f93281e1c21fa7b80be7a4a4e2cb4bb03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34d1568aad0ff11b5db35f118324684f93281e1c21fa7b80be7a4a4e2cb4bb03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34d1568aad0ff11b5db35f118324684f93281e1c21fa7b80be7a4a4e2cb4bb03</t>
        </is>
      </c>
      <c r="BH148" s="24" t="inlineStr">
        <is>
          <t>2026-07-30T21:07:21.770185Z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</row>
    <row r="149" ht="36" customHeight="1">
      <c r="A149" s="24" t="inlineStr">
        <is>
          <t>97c8cc75e04649d2</t>
        </is>
      </c>
      <c r="B149" s="24" t="inlineStr">
        <is>
          <t>2026-07-30T21:08:36.264404Z</t>
        </is>
      </c>
      <c r="C149" s="24" t="inlineStr">
        <is>
          <t>2026-07-31T00:30Z</t>
        </is>
      </c>
      <c r="D149" s="24" t="inlineStr">
        <is>
          <t>401874162</t>
        </is>
      </c>
      <c r="E149" s="24" t="inlineStr">
        <is>
          <t>SOCCER</t>
        </is>
      </c>
      <c r="F149" s="24" t="inlineStr">
        <is>
          <t>Independiente Santa Fe</t>
        </is>
      </c>
      <c r="G149" s="24" t="inlineStr">
        <is>
          <t>Caracas FC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223</v>
      </c>
      <c r="M149" s="27" t="n">
        <v>3.23</v>
      </c>
      <c r="N149" s="28" t="n">
        <v>0.309598</v>
      </c>
      <c r="O149" s="28" t="n">
        <v>0.456135</v>
      </c>
      <c r="P149" s="28" t="n">
        <v>0.2</v>
      </c>
      <c r="Q149" s="28" t="n">
        <v>0.146537</v>
      </c>
      <c r="R149" s="26" t="n">
        <v>3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3</v>
      </c>
      <c r="X149" s="26" t="n">
        <v>0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2026-07-31T04:29:39.457874Z</t>
        </is>
      </c>
      <c r="AE149" s="31" t="inlineStr">
        <is>
          <t>Poisson-DC rates 1.64 (home) / 1.24 (away) from EWMA attack/defense strengths. Executable ask 0.3100 (atc-sud-cfa-isf-2026-07-30-cfa).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Independiente Santa Fe</t>
        </is>
      </c>
      <c r="AQ149" s="24" t="inlineStr">
        <is>
          <t>Independiente Santa Fe</t>
        </is>
      </c>
      <c r="AR149" s="24" t="inlineStr">
        <is>
          <t>Independiente Santa Fe</t>
        </is>
      </c>
      <c r="AS149" s="24" t="inlineStr">
        <is>
          <t>Caracas FC</t>
        </is>
      </c>
      <c r="AT149" s="24" t="inlineStr">
        <is>
          <t>Caracas FC</t>
        </is>
      </c>
      <c r="AU149" s="24" t="inlineStr">
        <is>
          <t>Caracas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34d1568aad0ff11b5db35f118324684f93281e1c21fa7b80be7a4a4e2cb4bb03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34d1568aad0ff11b5db35f118324684f93281e1c21fa7b80be7a4a4e2cb4bb03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34d1568aad0ff11b5db35f118324684f93281e1c21fa7b80be7a4a4e2cb4bb03</t>
        </is>
      </c>
      <c r="BH149" s="24" t="inlineStr">
        <is>
          <t>2026-07-30T21:07:22.865296Z</t>
        </is>
      </c>
      <c r="BI149" s="24" t="inlineStr">
        <is>
          <t>["same_event","same_team_same_day","same_league_same_day"]</t>
        </is>
      </c>
      <c r="BJ149" s="25" t="n"/>
      <c r="BK149" s="26" t="n">
        <v>223</v>
      </c>
      <c r="BL149" s="27" t="n">
        <v>3.23</v>
      </c>
      <c r="BM149" s="28" t="n">
        <v>0.309598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</row>
    <row r="150" ht="36" customHeight="1">
      <c r="A150" s="24" t="inlineStr">
        <is>
          <t>5332b99f26d14835</t>
        </is>
      </c>
      <c r="B150" s="24" t="inlineStr">
        <is>
          <t>2026-07-30T21:08:36.264404Z</t>
        </is>
      </c>
      <c r="C150" s="24" t="inlineStr">
        <is>
          <t>2026-07-31T00:30Z</t>
        </is>
      </c>
      <c r="D150" s="24" t="inlineStr">
        <is>
          <t>401874164</t>
        </is>
      </c>
      <c r="E150" s="24" t="inlineStr">
        <is>
          <t>SOCCER</t>
        </is>
      </c>
      <c r="F150" s="24" t="inlineStr">
        <is>
          <t>Boca Juniors</t>
        </is>
      </c>
      <c r="G150" s="24" t="inlineStr">
        <is>
          <t>O'Higgins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0.396866</v>
      </c>
      <c r="P150" s="28" t="n">
        <v>0.19</v>
      </c>
      <c r="Q150" s="28" t="n">
        <v>-0.112938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loss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2026-07-31T04:29:39.572875Z</t>
        </is>
      </c>
      <c r="AE150" s="31" t="inlineStr">
        <is>
          <t>Poisson-DC rates 1.30 (home) / 1.46 (away) from EWMA attack/defense strengths. Executable ask 0.5100 (atc-sud-ohi-boc-2026-07-30-boc).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Boca Juniors</t>
        </is>
      </c>
      <c r="AQ150" s="24" t="inlineStr">
        <is>
          <t>Boca Juniors</t>
        </is>
      </c>
      <c r="AR150" s="24" t="inlineStr">
        <is>
          <t>Boca Juniors</t>
        </is>
      </c>
      <c r="AS150" s="24" t="inlineStr">
        <is>
          <t>O'Higgins</t>
        </is>
      </c>
      <c r="AT150" s="24" t="inlineStr">
        <is>
          <t>O'Higgins</t>
        </is>
      </c>
      <c r="AU150" s="24" t="inlineStr">
        <is>
          <t>O'Higgins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34d1568aad0ff11b5db35f118324684f93281e1c21fa7b80be7a4a4e2cb4bb03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34d1568aad0ff11b5db35f118324684f93281e1c21fa7b80be7a4a4e2cb4bb03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34d1568aad0ff11b5db35f118324684f93281e1c21fa7b80be7a4a4e2cb4bb03</t>
        </is>
      </c>
      <c r="BH150" s="24" t="inlineStr">
        <is>
          <t>2026-07-30T21:07:23.262683Z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</row>
    <row r="151" ht="36" customHeight="1">
      <c r="A151" s="24" t="inlineStr">
        <is>
          <t>0ea3ba73ea6147e2</t>
        </is>
      </c>
      <c r="B151" s="24" t="inlineStr">
        <is>
          <t>2026-07-30T21:08:36.264404Z</t>
        </is>
      </c>
      <c r="C151" s="24" t="inlineStr">
        <is>
          <t>2026-07-30T23:30Z</t>
        </is>
      </c>
      <c r="D151" s="24" t="inlineStr">
        <is>
          <t>401897750</t>
        </is>
      </c>
      <c r="E151" s="24" t="inlineStr">
        <is>
          <t>SOCCER</t>
        </is>
      </c>
      <c r="F151" s="24" t="inlineStr">
        <is>
          <t>Leeds United</t>
        </is>
      </c>
      <c r="G151" s="24" t="inlineStr">
        <is>
          <t>Sunderland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178</v>
      </c>
      <c r="M151" s="27" t="n">
        <v>2.78</v>
      </c>
      <c r="N151" s="28" t="n">
        <v>0.359712</v>
      </c>
      <c r="O151" s="28" t="n">
        <v>0.356905</v>
      </c>
      <c r="P151" s="28" t="n">
        <v>0.04</v>
      </c>
      <c r="Q151" s="28" t="n">
        <v>-0.002807</v>
      </c>
      <c r="R151" s="26" t="n">
        <v>25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-1.75</v>
      </c>
      <c r="AD151" s="24" t="inlineStr">
        <is>
          <t>2026-07-31T04:29:40.244393Z</t>
        </is>
      </c>
      <c r="AE151" s="31" t="inlineStr">
        <is>
          <t>Poisson-DC rates 1.19 (home) / 1.15 (away) from EWMA attack/defense strengths. Executable ask 0.3600 (atc-clbf-lee-sun-2026-07-30-sun).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Leeds United</t>
        </is>
      </c>
      <c r="AQ151" s="24" t="inlineStr">
        <is>
          <t>Leeds United</t>
        </is>
      </c>
      <c r="AR151" s="24" t="inlineStr">
        <is>
          <t>Leeds United</t>
        </is>
      </c>
      <c r="AS151" s="24" t="inlineStr">
        <is>
          <t>Sunderland</t>
        </is>
      </c>
      <c r="AT151" s="24" t="inlineStr">
        <is>
          <t>Sunderland</t>
        </is>
      </c>
      <c r="AU151" s="24" t="inlineStr">
        <is>
          <t>Sunderland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2026-07-30T21:07:23.815408Z</t>
        </is>
      </c>
      <c r="BI151" s="24" t="inlineStr">
        <is>
          <t>["same_event","same_team_same_day","same_league_same_day"]</t>
        </is>
      </c>
      <c r="BJ151" s="25" t="n"/>
      <c r="BK151" s="26" t="n">
        <v>178</v>
      </c>
      <c r="BL151" s="27" t="n">
        <v>2.78</v>
      </c>
      <c r="BM151" s="28" t="n">
        <v>0.359712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</row>
    <row r="152" ht="36" customHeight="1">
      <c r="A152" s="24" t="inlineStr">
        <is>
          <t>c200651130f34160</t>
        </is>
      </c>
      <c r="B152" s="24" t="inlineStr">
        <is>
          <t>2026-07-31T13:42:15.135577Z</t>
        </is>
      </c>
      <c r="C152" s="24" t="inlineStr">
        <is>
          <t>2026-07-31T16:00Z</t>
        </is>
      </c>
      <c r="D152" s="24" t="inlineStr">
        <is>
          <t>401887800</t>
        </is>
      </c>
      <c r="E152" s="24" t="inlineStr">
        <is>
          <t>SOCCER</t>
        </is>
      </c>
      <c r="F152" s="24" t="inlineStr">
        <is>
          <t>Nice</t>
        </is>
      </c>
      <c r="G152" s="24" t="inlineStr">
        <is>
          <t>Juventus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0.657201</v>
      </c>
      <c r="P152" s="28" t="n">
        <v>0.04</v>
      </c>
      <c r="Q152" s="28" t="n">
        <v>0.016913</v>
      </c>
      <c r="R152" s="26" t="n">
        <v>34</v>
      </c>
      <c r="S152" s="29" t="n">
        <v>1.75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2</v>
      </c>
      <c r="Y152" s="25" t="n"/>
      <c r="Z152" s="26" t="n"/>
      <c r="AA152" s="28" t="n"/>
      <c r="AB152" s="28" t="n"/>
      <c r="AC152" s="30" t="n">
        <v>0.9831</v>
      </c>
      <c r="AD152" s="24" t="inlineStr">
        <is>
          <t>2026-07-31T19:51:18.407364Z</t>
        </is>
      </c>
      <c r="AE152" s="31" t="inlineStr">
        <is>
          <t>Poisson-DC rates 1.85 (home) / 0.63 (away) from EWMA attack/defense strengths. Executable ask 0.6400 (atc-clbf-juv-nic-2026-07-31-juv).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Nice</t>
        </is>
      </c>
      <c r="AQ152" s="24" t="inlineStr">
        <is>
          <t>Nice</t>
        </is>
      </c>
      <c r="AR152" s="24" t="inlineStr">
        <is>
          <t>Nice</t>
        </is>
      </c>
      <c r="AS152" s="24" t="inlineStr">
        <is>
          <t>Juventus</t>
        </is>
      </c>
      <c r="AT152" s="24" t="inlineStr">
        <is>
          <t>Juventus</t>
        </is>
      </c>
      <c r="AU152" s="24" t="inlineStr">
        <is>
          <t>Juventus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2026-07-31T13:39:47.941159Z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</row>
    <row r="153" ht="36" customHeight="1">
      <c r="A153" s="24" t="inlineStr">
        <is>
          <t>36b16f24c1db4baa</t>
        </is>
      </c>
      <c r="B153" s="24" t="inlineStr">
        <is>
          <t>2026-07-31T19:55:16.083099Z</t>
        </is>
      </c>
      <c r="C153" s="24" t="inlineStr">
        <is>
          <t>2026-07-31T20:00Z</t>
        </is>
      </c>
      <c r="D153" s="24" t="inlineStr">
        <is>
          <t>401885639</t>
        </is>
      </c>
      <c r="E153" s="24" t="inlineStr">
        <is>
          <t>SOCCER</t>
        </is>
      </c>
      <c r="F153" s="24" t="inlineStr">
        <is>
          <t>Comerciantes Unidos</t>
        </is>
      </c>
      <c r="G153" s="24" t="inlineStr">
        <is>
          <t>Los Chankas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104</v>
      </c>
      <c r="M153" s="27" t="n">
        <v>2.04</v>
      </c>
      <c r="N153" s="28" t="n">
        <v>0.490196</v>
      </c>
      <c r="O153" s="28" t="n">
        <v>0.461873</v>
      </c>
      <c r="P153" s="28" t="n">
        <v>0.2</v>
      </c>
      <c r="Q153" s="28" t="n">
        <v>-0.028323</v>
      </c>
      <c r="R153" s="26" t="n">
        <v>0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2</v>
      </c>
      <c r="X153" s="26" t="n">
        <v>3</v>
      </c>
      <c r="Y153" s="25" t="n"/>
      <c r="Z153" s="26" t="n"/>
      <c r="AA153" s="28" t="n"/>
      <c r="AB153" s="28" t="n"/>
      <c r="AC153" s="30" t="n">
        <v>1.04</v>
      </c>
      <c r="AD153" s="24" t="inlineStr">
        <is>
          <t>2026-07-31T23:28:42.654733Z</t>
        </is>
      </c>
      <c r="AE153" s="31" t="inlineStr">
        <is>
          <t>Poisson-DC rates 1.72 (home) / 1.30 (away) from EWMA attack/defense strengths. Executable ask 0.4900 (atc-pl1-cha-cou-2026-07-31-cha).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Comerciantes Unidos</t>
        </is>
      </c>
      <c r="AQ153" s="24" t="inlineStr">
        <is>
          <t>Comerciantes Unidos</t>
        </is>
      </c>
      <c r="AR153" s="24" t="inlineStr">
        <is>
          <t>Comerciantes Unidos</t>
        </is>
      </c>
      <c r="AS153" s="24" t="inlineStr">
        <is>
          <t>Los Chankas</t>
        </is>
      </c>
      <c r="AT153" s="24" t="inlineStr">
        <is>
          <t>Los Chankas</t>
        </is>
      </c>
      <c r="AU153" s="24" t="inlineStr">
        <is>
          <t>Los Chankas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2026-07-31T19:53:00.380208Z</t>
        </is>
      </c>
      <c r="BI153" s="24" t="inlineStr">
        <is>
          <t>["same_event","same_team_same_day","same_league_same_day"]</t>
        </is>
      </c>
      <c r="BJ153" s="25" t="n"/>
      <c r="BK153" s="26" t="n">
        <v>104</v>
      </c>
      <c r="BL153" s="27" t="n">
        <v>2.04</v>
      </c>
      <c r="BM153" s="28" t="n">
        <v>0.490196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</row>
    <row r="154" ht="36" customHeight="1">
      <c r="A154" s="24" t="inlineStr">
        <is>
          <t>11de6f56f5344bcf</t>
        </is>
      </c>
      <c r="B154" s="24" t="inlineStr">
        <is>
          <t>2026-07-31T21:07:21.705734Z</t>
        </is>
      </c>
      <c r="C154" s="24" t="inlineStr">
        <is>
          <t>2026-07-31T22:00Z</t>
        </is>
      </c>
      <c r="D154" s="24" t="inlineStr">
        <is>
          <t>401872731</t>
        </is>
      </c>
      <c r="E154" s="24" t="inlineStr">
        <is>
          <t>SOCCER</t>
        </is>
      </c>
      <c r="F154" s="24" t="inlineStr">
        <is>
          <t>Montevideo Wanderers</t>
        </is>
      </c>
      <c r="G154" s="24" t="inlineStr">
        <is>
          <t>Montevideo City Torque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0.440521</v>
      </c>
      <c r="P154" s="28" t="n">
        <v>0.2</v>
      </c>
      <c r="Q154" s="28" t="n">
        <v>-0.109029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2026-08-01T03:00:15.210003Z</t>
        </is>
      </c>
      <c r="AE154" s="31" t="inlineStr">
        <is>
          <t>Poisson-DC rates 1.46 (home) / 1.10 (away) from EWMA attack/defense strengths. Executable ask 0.5500 (atc-uru1-tor-wan-2026-07-31-tor).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Montevideo Wanderers</t>
        </is>
      </c>
      <c r="AQ154" s="24" t="inlineStr">
        <is>
          <t>Montevideo Wanderers</t>
        </is>
      </c>
      <c r="AR154" s="24" t="inlineStr">
        <is>
          <t>Montevideo Wanderers</t>
        </is>
      </c>
      <c r="AS154" s="24" t="inlineStr">
        <is>
          <t>Montevideo City Torque</t>
        </is>
      </c>
      <c r="AT154" s="24" t="inlineStr">
        <is>
          <t>Montevideo City Torque</t>
        </is>
      </c>
      <c r="AU154" s="24" t="inlineStr">
        <is>
          <t>Montevideo City Torque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2026-07-31T21:05:05.319813Z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</row>
    <row r="155" ht="36" customHeight="1">
      <c r="A155" s="24" t="inlineStr">
        <is>
          <t>4f0ea301459047d5</t>
        </is>
      </c>
      <c r="B155" s="24" t="inlineStr">
        <is>
          <t>2026-08-01T06:40:10.134766Z</t>
        </is>
      </c>
      <c r="C155" s="24" t="inlineStr">
        <is>
          <t>2026-08-01T10:00Z</t>
        </is>
      </c>
      <c r="D155" s="24" t="inlineStr">
        <is>
          <t>401872737</t>
        </is>
      </c>
      <c r="E155" s="24" t="inlineStr">
        <is>
          <t>SOCCER</t>
        </is>
      </c>
      <c r="F155" s="24" t="inlineStr">
        <is>
          <t>Borussia Dortmund</t>
        </is>
      </c>
      <c r="G155" s="24" t="inlineStr">
        <is>
          <t>FC Tokyo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-122</v>
      </c>
      <c r="M155" s="27" t="n">
        <v>1.819672</v>
      </c>
      <c r="N155" s="28" t="n">
        <v>0.54955</v>
      </c>
      <c r="O155" s="28" t="n">
        <v>0.45654</v>
      </c>
      <c r="P155" s="28" t="n">
        <v>0.2</v>
      </c>
      <c r="Q155" s="28" t="n">
        <v>-0.09301</v>
      </c>
      <c r="R155" s="26" t="n">
        <v>0</v>
      </c>
      <c r="S155" s="29" t="n">
        <v>1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win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0.8197</v>
      </c>
      <c r="AD155" s="24" t="inlineStr">
        <is>
          <t>2026-08-01T13:41:19.925310Z</t>
        </is>
      </c>
      <c r="AE155" s="31" t="inlineStr">
        <is>
          <t>Poisson-DC rates 1.38 (home) / 1.77 (away) from EWMA attack/defense strengths. Executable ask 0.5500 (atc-clbf-tok-bvb-2026-08-01-bvb).</t>
        </is>
      </c>
      <c r="AF155" s="31" t="inlineStr">
        <is>
          <t>Research-only soccer score model; draw-aware, but not yet locked-holdout qualified.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Borussia Dortmund</t>
        </is>
      </c>
      <c r="AQ155" s="24" t="inlineStr">
        <is>
          <t>Borussia Dortmund</t>
        </is>
      </c>
      <c r="AR155" s="24" t="inlineStr">
        <is>
          <t>Borussia Dortmund</t>
        </is>
      </c>
      <c r="AS155" s="24" t="inlineStr">
        <is>
          <t>FC Tokyo</t>
        </is>
      </c>
      <c r="AT155" s="24" t="inlineStr">
        <is>
          <t>FC Tokyo</t>
        </is>
      </c>
      <c r="AU155" s="24" t="inlineStr">
        <is>
          <t>FC Tokyo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2026-08-01T06:36:26.090957Z</t>
        </is>
      </c>
      <c r="BI155" s="24" t="inlineStr">
        <is>
          <t>["same_event","same_team_same_day","same_league_same_day"]</t>
        </is>
      </c>
      <c r="BJ155" s="25" t="n"/>
      <c r="BK155" s="26" t="n">
        <v>-122</v>
      </c>
      <c r="BL155" s="27" t="n">
        <v>1.819672</v>
      </c>
      <c r="BM155" s="28" t="n">
        <v>0.54955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</row>
    <row r="156" ht="36" customHeight="1">
      <c r="A156" s="24" t="inlineStr">
        <is>
          <t>02eb8e6babd749a2</t>
        </is>
      </c>
      <c r="B156" s="24" t="inlineStr">
        <is>
          <t>2026-08-01T16:52:27.367453Z</t>
        </is>
      </c>
      <c r="C156" s="24" t="inlineStr">
        <is>
          <t>2026-08-01T18:00Z</t>
        </is>
      </c>
      <c r="D156" s="24" t="inlineStr">
        <is>
          <t>401844018</t>
        </is>
      </c>
      <c r="E156" s="24" t="inlineStr">
        <is>
          <t>SOCCER</t>
        </is>
      </c>
      <c r="F156" s="24" t="inlineStr">
        <is>
          <t>Gimnasia y Esgrima (Jujuy)</t>
        </is>
      </c>
      <c r="G156" s="24" t="inlineStr">
        <is>
          <t>Colegiales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0.456135</v>
      </c>
      <c r="P156" s="28" t="n">
        <v>0.2</v>
      </c>
      <c r="Q156" s="28" t="n">
        <v>0.02695</v>
      </c>
      <c r="R156" s="26" t="n">
        <v>0</v>
      </c>
      <c r="S156" s="29" t="n">
        <v>1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1</v>
      </c>
      <c r="X156" s="26" t="n">
        <v>2</v>
      </c>
      <c r="Y156" s="25" t="n"/>
      <c r="Z156" s="26" t="n"/>
      <c r="AA156" s="28" t="n"/>
      <c r="AB156" s="28" t="n"/>
      <c r="AC156" s="30" t="n">
        <v>1.33</v>
      </c>
      <c r="AD156" s="24" t="inlineStr">
        <is>
          <t>2026-08-01T20:13:19.135597Z</t>
        </is>
      </c>
      <c r="AE156" s="31" t="inlineStr">
        <is>
          <t>Poisson-DC rates 1.64 (home) / 1.24 (away) from EWMA attack/defense strengths. Executable ask 0.4300 (atc-arg2-cac-ge-2026-08-01-cac).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Gimnasia y Esgrima (Jujuy)</t>
        </is>
      </c>
      <c r="AQ156" s="24" t="inlineStr">
        <is>
          <t>Gimnasia y Esgrima (Jujuy)</t>
        </is>
      </c>
      <c r="AR156" s="24" t="inlineStr">
        <is>
          <t>Gimnasia y Esgrima (Jujuy)</t>
        </is>
      </c>
      <c r="AS156" s="24" t="inlineStr">
        <is>
          <t>Colegiales</t>
        </is>
      </c>
      <c r="AT156" s="24" t="inlineStr">
        <is>
          <t>Colegiales</t>
        </is>
      </c>
      <c r="AU156" s="24" t="inlineStr">
        <is>
          <t>Colegiales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2026-08-01T16:49:30.893071Z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</row>
    <row r="157" ht="36" customHeight="1">
      <c r="A157" s="24" t="inlineStr">
        <is>
          <t>3119afb8f63442b9</t>
        </is>
      </c>
      <c r="B157" s="24" t="inlineStr">
        <is>
          <t>2026-08-01T16:52:27.367453Z</t>
        </is>
      </c>
      <c r="C157" s="24" t="inlineStr">
        <is>
          <t>2026-08-01T18:00Z</t>
        </is>
      </c>
      <c r="D157" s="24" t="inlineStr">
        <is>
          <t>401886553</t>
        </is>
      </c>
      <c r="E157" s="24" t="inlineStr">
        <is>
          <t>SOCCER</t>
        </is>
      </c>
      <c r="F157" s="24" t="inlineStr">
        <is>
          <t>Arsenal</t>
        </is>
      </c>
      <c r="G157" s="24" t="inlineStr">
        <is>
          <t>Girona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0.51186</v>
      </c>
      <c r="P157" s="28" t="n">
        <v>0.04</v>
      </c>
      <c r="Q157" s="28" t="n">
        <v>-0.078304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1</v>
      </c>
      <c r="Y157" s="25" t="n"/>
      <c r="Z157" s="26" t="n"/>
      <c r="AA157" s="28" t="n"/>
      <c r="AB157" s="28" t="n"/>
      <c r="AC157" s="30" t="n">
        <v>0.6944</v>
      </c>
      <c r="AD157" s="24" t="inlineStr">
        <is>
          <t>2026-08-01T20:13:22.602729Z</t>
        </is>
      </c>
      <c r="AE157" s="31" t="inlineStr">
        <is>
          <t>Poisson-DC rates 0.58 (home) / 1.23 (away) from EWMA attack/defense strengths. Executable ask 0.5900 (atc-clbf-gir-afr-2026-08-01-afr).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Arsenal</t>
        </is>
      </c>
      <c r="AQ157" s="24" t="inlineStr">
        <is>
          <t>Arsenal</t>
        </is>
      </c>
      <c r="AR157" s="24" t="inlineStr">
        <is>
          <t>Arsenal</t>
        </is>
      </c>
      <c r="AS157" s="24" t="inlineStr">
        <is>
          <t>Girona</t>
        </is>
      </c>
      <c r="AT157" s="24" t="inlineStr">
        <is>
          <t>Girona</t>
        </is>
      </c>
      <c r="AU157" s="24" t="inlineStr">
        <is>
          <t>Girona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2026-08-01T16:49:39.645100Z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</row>
    <row r="158" ht="36" customHeight="1">
      <c r="A158" s="24" t="inlineStr">
        <is>
          <t>45d01ab1161349e2</t>
        </is>
      </c>
      <c r="B158" s="24" t="inlineStr">
        <is>
          <t>2026-08-01T18:40:16.324475Z</t>
        </is>
      </c>
      <c r="C158" s="24" t="inlineStr">
        <is>
          <t>2026-08-01T19:00Z</t>
        </is>
      </c>
      <c r="D158" s="24" t="inlineStr">
        <is>
          <t>401850610</t>
        </is>
      </c>
      <c r="E158" s="24" t="inlineStr">
        <is>
          <t>SOCCER</t>
        </is>
      </c>
      <c r="F158" s="24" t="inlineStr">
        <is>
          <t>Colo Colo</t>
        </is>
      </c>
      <c r="G158" s="24" t="inlineStr">
        <is>
          <t>Everton CD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245</v>
      </c>
      <c r="M158" s="27" t="n">
        <v>3.45</v>
      </c>
      <c r="N158" s="28" t="n">
        <v>0.289855</v>
      </c>
      <c r="O158" s="28" t="n">
        <v>0.447172</v>
      </c>
      <c r="P158" s="28" t="n">
        <v>0.19</v>
      </c>
      <c r="Q158" s="28" t="n">
        <v>0.157317</v>
      </c>
      <c r="R158" s="26" t="n">
        <v>15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loss</t>
        </is>
      </c>
      <c r="W158" s="26" t="n">
        <v>4</v>
      </c>
      <c r="X158" s="26" t="n">
        <v>3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2026-08-01T23:51:10.166427Z</t>
        </is>
      </c>
      <c r="AE158" s="31" t="inlineStr">
        <is>
          <t>Poisson-DC rates 1.53 (home) / 1.16 (away) from EWMA attack/defense strengths. Executable ask 0.2900 (atc-pdc-eve-col-2026-08-01-eve).</t>
        </is>
      </c>
      <c r="AF158" s="31" t="inlineStr">
        <is>
          <t>Research-only soccer score model; draw-aware, but not yet locked-holdout qualified.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Colo Colo</t>
        </is>
      </c>
      <c r="AQ158" s="24" t="inlineStr">
        <is>
          <t>Colo Colo</t>
        </is>
      </c>
      <c r="AR158" s="24" t="inlineStr">
        <is>
          <t>Colo Colo</t>
        </is>
      </c>
      <c r="AS158" s="24" t="inlineStr">
        <is>
          <t>Everton CD</t>
        </is>
      </c>
      <c r="AT158" s="24" t="inlineStr">
        <is>
          <t>Everton CD</t>
        </is>
      </c>
      <c r="AU158" s="24" t="inlineStr">
        <is>
          <t>Everton CD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2026-08-01T18:37:04.072976Z</t>
        </is>
      </c>
      <c r="BI158" s="24" t="inlineStr">
        <is>
          <t>["same_event","same_team_same_day","same_league_same_day"]</t>
        </is>
      </c>
      <c r="BJ158" s="25" t="n"/>
      <c r="BK158" s="26" t="n">
        <v>245</v>
      </c>
      <c r="BL158" s="27" t="n">
        <v>3.45</v>
      </c>
      <c r="BM158" s="28" t="n">
        <v>0.289855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</row>
    <row r="159" ht="36" customHeight="1">
      <c r="A159" s="24" t="inlineStr">
        <is>
          <t>49d8e97b6d0a49e1</t>
        </is>
      </c>
      <c r="B159" s="24" t="inlineStr">
        <is>
          <t>2026-08-01T18:40:16.324475Z</t>
        </is>
      </c>
      <c r="C159" s="24" t="inlineStr">
        <is>
          <t>2026-08-01T19:00Z</t>
        </is>
      </c>
      <c r="D159" s="24" t="inlineStr">
        <is>
          <t>401859643</t>
        </is>
      </c>
      <c r="E159" s="24" t="inlineStr">
        <is>
          <t>SOCCER</t>
        </is>
      </c>
      <c r="F159" s="24" t="inlineStr">
        <is>
          <t>Mushuc Runa</t>
        </is>
      </c>
      <c r="G159" s="24" t="inlineStr">
        <is>
          <t>Manta F.C.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186</v>
      </c>
      <c r="M159" s="27" t="n">
        <v>2.86</v>
      </c>
      <c r="N159" s="28" t="n">
        <v>0.34965</v>
      </c>
      <c r="O159" s="28" t="n">
        <v>0.456135</v>
      </c>
      <c r="P159" s="28" t="n">
        <v>0.2</v>
      </c>
      <c r="Q159" s="28" t="n">
        <v>0.106485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1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2026-08-01T21:40:58.484236Z</t>
        </is>
      </c>
      <c r="AE159" s="31" t="inlineStr">
        <is>
          <t>Poisson-DC rates 1.64 (home) / 1.24 (away) from EWMA attack/defense strengths. Executable ask 0.3500 (atc-ecu1-man-mur-2026-08-01-man).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Mushuc Runa</t>
        </is>
      </c>
      <c r="AQ159" s="24" t="inlineStr">
        <is>
          <t>Mushuc Runa</t>
        </is>
      </c>
      <c r="AR159" s="24" t="inlineStr">
        <is>
          <t>Mushuc Runa</t>
        </is>
      </c>
      <c r="AS159" s="24" t="inlineStr">
        <is>
          <t>Manta F.C.</t>
        </is>
      </c>
      <c r="AT159" s="24" t="inlineStr">
        <is>
          <t>Manta F.C.</t>
        </is>
      </c>
      <c r="AU159" s="24" t="inlineStr">
        <is>
          <t>Manta F.C.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2026-08-01T18:37:05.727261Z</t>
        </is>
      </c>
      <c r="BI159" s="24" t="inlineStr">
        <is>
          <t>["same_event","same_team_same_day","same_league_same_day"]</t>
        </is>
      </c>
      <c r="BJ159" s="25" t="n"/>
      <c r="BK159" s="26" t="n">
        <v>186</v>
      </c>
      <c r="BL159" s="27" t="n">
        <v>2.86</v>
      </c>
      <c r="BM159" s="28" t="n">
        <v>0.34965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</row>
    <row r="160" ht="36" customHeight="1">
      <c r="A160" s="24" t="inlineStr">
        <is>
          <t>6335060e4ee644f9</t>
        </is>
      </c>
      <c r="B160" s="24" t="inlineStr">
        <is>
          <t>2026-08-01T20:17:05.741632Z</t>
        </is>
      </c>
      <c r="C160" s="24" t="inlineStr">
        <is>
          <t>2026-08-01T23:30Z</t>
        </is>
      </c>
      <c r="D160" s="24" t="inlineStr">
        <is>
          <t>761699</t>
        </is>
      </c>
      <c r="E160" s="24" t="inlineStr">
        <is>
          <t>SOCCER</t>
        </is>
      </c>
      <c r="F160" s="24" t="inlineStr">
        <is>
          <t>Nashville SC</t>
        </is>
      </c>
      <c r="G160" s="24" t="inlineStr">
        <is>
          <t>D.C. United</t>
        </is>
      </c>
      <c r="H160" s="24" t="inlineStr">
        <is>
          <t>total</t>
        </is>
      </c>
      <c r="I160" s="24" t="inlineStr">
        <is>
          <t>over</t>
        </is>
      </c>
      <c r="J160" s="25" t="n">
        <v>2.5</v>
      </c>
      <c r="K160" s="24" t="inlineStr">
        <is>
          <t>polymarket_us</t>
        </is>
      </c>
      <c r="L160" s="26" t="n">
        <v>-104</v>
      </c>
      <c r="M160" s="27" t="n">
        <v>1.961538</v>
      </c>
      <c r="N160" s="28" t="n">
        <v>0.509804</v>
      </c>
      <c r="O160" s="28" t="n">
        <v>0.654047</v>
      </c>
      <c r="P160" s="28" t="n">
        <v>0.04</v>
      </c>
      <c r="Q160" s="28" t="n">
        <v>0.144243</v>
      </c>
      <c r="R160" s="26" t="n">
        <v>98</v>
      </c>
      <c r="S160" s="29" t="n">
        <v>1.75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2</v>
      </c>
      <c r="X160" s="26" t="n">
        <v>2</v>
      </c>
      <c r="Y160" s="25" t="n"/>
      <c r="Z160" s="26" t="n"/>
      <c r="AA160" s="28" t="n"/>
      <c r="AB160" s="28" t="n"/>
      <c r="AC160" s="30" t="n">
        <v>1.6827</v>
      </c>
      <c r="AD160" s="24" t="inlineStr">
        <is>
          <t>2026-08-02T03:26:14.226095Z</t>
        </is>
      </c>
      <c r="AE160" s="31" t="inlineStr">
        <is>
          <t>Poisson-DC rates 1.27 (home) / 2.09 (away) from EWMA attack/defense strengths. Executable ask 0.5100 (tsc-mls-dcu-nas-2026-08-01-2pt5).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Nashville SC</t>
        </is>
      </c>
      <c r="AQ160" s="24" t="inlineStr">
        <is>
          <t>Nashville SC</t>
        </is>
      </c>
      <c r="AR160" s="24" t="inlineStr">
        <is>
          <t>Nashville SC</t>
        </is>
      </c>
      <c r="AS160" s="24" t="inlineStr">
        <is>
          <t>D.C. United</t>
        </is>
      </c>
      <c r="AT160" s="24" t="inlineStr">
        <is>
          <t>D.C. United</t>
        </is>
      </c>
      <c r="AU160" s="24" t="inlineStr">
        <is>
          <t>D.C. United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2026-08-01T20:14:21.274394Z</t>
        </is>
      </c>
      <c r="BI160" s="24" t="inlineStr">
        <is>
          <t>["same_event","same_team_same_day","same_league_same_day"]</t>
        </is>
      </c>
      <c r="BJ160" s="25" t="n">
        <v>2.5</v>
      </c>
      <c r="BK160" s="26" t="n">
        <v>-104</v>
      </c>
      <c r="BL160" s="27" t="n">
        <v>1.961538</v>
      </c>
      <c r="BM160" s="28" t="n">
        <v>0.509804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</row>
    <row r="161" ht="36" customHeight="1">
      <c r="A161" s="24" t="inlineStr">
        <is>
          <t>b700c24ab7bb44a3</t>
        </is>
      </c>
      <c r="B161" s="24" t="inlineStr">
        <is>
          <t>2026-08-01T20:17:05.741632Z</t>
        </is>
      </c>
      <c r="C161" s="24" t="inlineStr">
        <is>
          <t>2026-08-01T23:30Z</t>
        </is>
      </c>
      <c r="D161" s="24" t="inlineStr">
        <is>
          <t>761700</t>
        </is>
      </c>
      <c r="E161" s="24" t="inlineStr">
        <is>
          <t>SOCCER</t>
        </is>
      </c>
      <c r="F161" s="24" t="inlineStr">
        <is>
          <t>San Jose Earthquakes</t>
        </is>
      </c>
      <c r="G161" s="24" t="inlineStr">
        <is>
          <t>FC Cincinnati</t>
        </is>
      </c>
      <c r="H161" s="24" t="inlineStr">
        <is>
          <t>total</t>
        </is>
      </c>
      <c r="I161" s="24" t="inlineStr">
        <is>
          <t>over</t>
        </is>
      </c>
      <c r="J161" s="25" t="n">
        <v>2.5</v>
      </c>
      <c r="K161" s="24" t="inlineStr">
        <is>
          <t>polymarket_us</t>
        </is>
      </c>
      <c r="L161" s="26" t="n">
        <v>-317</v>
      </c>
      <c r="M161" s="27" t="n">
        <v>1.315457</v>
      </c>
      <c r="N161" s="28" t="n">
        <v>0.760192</v>
      </c>
      <c r="O161" s="28" t="n">
        <v>0.884924</v>
      </c>
      <c r="P161" s="28" t="n">
        <v>0.04</v>
      </c>
      <c r="Q161" s="28" t="n">
        <v>0.124732</v>
      </c>
      <c r="R161" s="26" t="n">
        <v>88</v>
      </c>
      <c r="S161" s="29" t="n">
        <v>2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2</v>
      </c>
      <c r="X161" s="26" t="n">
        <v>4</v>
      </c>
      <c r="Y161" s="25" t="n"/>
      <c r="Z161" s="26" t="n"/>
      <c r="AA161" s="28" t="n"/>
      <c r="AB161" s="28" t="n"/>
      <c r="AC161" s="30" t="n">
        <v>0.6309</v>
      </c>
      <c r="AD161" s="24" t="inlineStr">
        <is>
          <t>2026-08-02T04:26:21.106575Z</t>
        </is>
      </c>
      <c r="AE161" s="31" t="inlineStr">
        <is>
          <t>Poisson-DC rates 2.60 (home) / 2.52 (away) from EWMA attack/defense strengths. Executable ask 0.7600 (tsc-mls-fcc-sje-2026-08-01-2pt5).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San Jose Earthquakes</t>
        </is>
      </c>
      <c r="AQ161" s="24" t="inlineStr">
        <is>
          <t>San Jose Earthquakes</t>
        </is>
      </c>
      <c r="AR161" s="24" t="inlineStr">
        <is>
          <t>San Jose Earthquakes</t>
        </is>
      </c>
      <c r="AS161" s="24" t="inlineStr">
        <is>
          <t>FC Cincinnati</t>
        </is>
      </c>
      <c r="AT161" s="24" t="inlineStr">
        <is>
          <t>FC Cincinnati</t>
        </is>
      </c>
      <c r="AU161" s="24" t="inlineStr">
        <is>
          <t>FC Cincinnati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2026-08-01T20:14:22.110761Z</t>
        </is>
      </c>
      <c r="BI161" s="24" t="inlineStr">
        <is>
          <t>["same_event","same_team_same_day","same_league_same_day"]</t>
        </is>
      </c>
      <c r="BJ161" s="25" t="n">
        <v>2.5</v>
      </c>
      <c r="BK161" s="26" t="n">
        <v>-317</v>
      </c>
      <c r="BL161" s="27" t="n">
        <v>1.315457</v>
      </c>
      <c r="BM161" s="28" t="n">
        <v>0.760192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</row>
    <row r="162" ht="36" customHeight="1">
      <c r="A162" s="24" t="inlineStr">
        <is>
          <t>1f48bd79d56a4307</t>
        </is>
      </c>
      <c r="B162" s="24" t="inlineStr">
        <is>
          <t>2026-08-01T20:17:05.741632Z</t>
        </is>
      </c>
      <c r="C162" s="24" t="inlineStr">
        <is>
          <t>2026-08-01T23:30Z</t>
        </is>
      </c>
      <c r="D162" s="24" t="inlineStr">
        <is>
          <t>761701</t>
        </is>
      </c>
      <c r="E162" s="24" t="inlineStr">
        <is>
          <t>SOCCER</t>
        </is>
      </c>
      <c r="F162" s="24" t="inlineStr">
        <is>
          <t>Columbus Crew</t>
        </is>
      </c>
      <c r="G162" s="24" t="inlineStr">
        <is>
          <t>Inter Miami CF</t>
        </is>
      </c>
      <c r="H162" s="24" t="inlineStr">
        <is>
          <t>total</t>
        </is>
      </c>
      <c r="I162" s="24" t="inlineStr">
        <is>
          <t>over</t>
        </is>
      </c>
      <c r="J162" s="25" t="n">
        <v>2.5</v>
      </c>
      <c r="K162" s="24" t="inlineStr">
        <is>
          <t>polymarket_us</t>
        </is>
      </c>
      <c r="L162" s="26" t="n">
        <v>-285</v>
      </c>
      <c r="M162" s="27" t="n">
        <v>1.350877</v>
      </c>
      <c r="N162" s="28" t="n">
        <v>0.74026</v>
      </c>
      <c r="O162" s="28" t="n">
        <v>0.8701759999999999</v>
      </c>
      <c r="P162" s="28" t="n">
        <v>0.04</v>
      </c>
      <c r="Q162" s="28" t="n">
        <v>0.129916</v>
      </c>
      <c r="R162" s="26" t="n">
        <v>91</v>
      </c>
      <c r="S162" s="29" t="n">
        <v>2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win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0.7018</v>
      </c>
      <c r="AD162" s="24" t="inlineStr">
        <is>
          <t>2026-08-02T03:26:14.497023Z</t>
        </is>
      </c>
      <c r="AE162" s="31" t="inlineStr">
        <is>
          <t>Poisson-DC rates 3.37 (home) / 1.57 (away) from EWMA attack/defense strengths. Executable ask 0.7400 (tsc-mls-mia-clb-2026-08-01-2pt5).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Columbus Crew</t>
        </is>
      </c>
      <c r="AQ162" s="24" t="inlineStr">
        <is>
          <t>Columbus Crew</t>
        </is>
      </c>
      <c r="AR162" s="24" t="inlineStr">
        <is>
          <t>Columbus Crew</t>
        </is>
      </c>
      <c r="AS162" s="24" t="inlineStr">
        <is>
          <t>Inter Miami CF</t>
        </is>
      </c>
      <c r="AT162" s="24" t="inlineStr">
        <is>
          <t>Inter Miami CF</t>
        </is>
      </c>
      <c r="AU162" s="24" t="inlineStr">
        <is>
          <t>Inter Miami CF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2026-08-01T20:14:24.561641Z</t>
        </is>
      </c>
      <c r="BI162" s="24" t="inlineStr">
        <is>
          <t>["same_event","same_team_same_day","same_league_same_day"]</t>
        </is>
      </c>
      <c r="BJ162" s="25" t="n">
        <v>2.5</v>
      </c>
      <c r="BK162" s="26" t="n">
        <v>-285</v>
      </c>
      <c r="BL162" s="27" t="n">
        <v>1.350877</v>
      </c>
      <c r="BM162" s="28" t="n">
        <v>0.74026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</row>
    <row r="163" ht="36" customHeight="1">
      <c r="A163" s="24" t="inlineStr">
        <is>
          <t>534c606f8d994efb</t>
        </is>
      </c>
      <c r="B163" s="24" t="inlineStr">
        <is>
          <t>2026-08-01T20:17:05.741632Z</t>
        </is>
      </c>
      <c r="C163" s="24" t="inlineStr">
        <is>
          <t>2026-08-01T23:30Z</t>
        </is>
      </c>
      <c r="D163" s="24" t="inlineStr">
        <is>
          <t>761702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Philadelphia Union</t>
        </is>
      </c>
      <c r="H163" s="24" t="inlineStr">
        <is>
          <t>total</t>
        </is>
      </c>
      <c r="I163" s="24" t="inlineStr">
        <is>
          <t>over</t>
        </is>
      </c>
      <c r="J163" s="25" t="n">
        <v>2.5</v>
      </c>
      <c r="K163" s="24" t="inlineStr">
        <is>
          <t>polymarket_us</t>
        </is>
      </c>
      <c r="L163" s="26" t="n">
        <v>-163</v>
      </c>
      <c r="M163" s="27" t="n">
        <v>1.613497</v>
      </c>
      <c r="N163" s="28" t="n">
        <v>0.619772</v>
      </c>
      <c r="O163" s="28" t="n">
        <v>0.579545</v>
      </c>
      <c r="P163" s="28" t="n">
        <v>0.04</v>
      </c>
      <c r="Q163" s="28" t="n">
        <v>-0.040227</v>
      </c>
      <c r="R163" s="26" t="n">
        <v>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win</t>
        </is>
      </c>
      <c r="W163" s="26" t="n">
        <v>2</v>
      </c>
      <c r="X163" s="26" t="n">
        <v>3</v>
      </c>
      <c r="Y163" s="25" t="n"/>
      <c r="Z163" s="26" t="n"/>
      <c r="AA163" s="28" t="n"/>
      <c r="AB163" s="28" t="n"/>
      <c r="AC163" s="30" t="n">
        <v>0.7669</v>
      </c>
      <c r="AD163" s="24" t="inlineStr">
        <is>
          <t>2026-08-02T03:26:14.740324Z</t>
        </is>
      </c>
      <c r="AE163" s="31" t="inlineStr">
        <is>
          <t>Poisson-DC rates 1.93 (home) / 1.08 (away) from EWMA attack/defense strengths. Executable ask 0.6200 (tsc-mls-phi-atl-2026-08-01-2pt5).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Philadelphia Union</t>
        </is>
      </c>
      <c r="AT163" s="24" t="inlineStr">
        <is>
          <t>Philadelphia Union</t>
        </is>
      </c>
      <c r="AU163" s="24" t="inlineStr">
        <is>
          <t>Philadelphia Union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2026-08-01T20:14:26.713468Z</t>
        </is>
      </c>
      <c r="BI163" s="24" t="inlineStr">
        <is>
          <t>["same_event","same_team_same_day","same_league_same_day"]</t>
        </is>
      </c>
      <c r="BJ163" s="25" t="n">
        <v>2.5</v>
      </c>
      <c r="BK163" s="26" t="n">
        <v>-163</v>
      </c>
      <c r="BL163" s="27" t="n">
        <v>1.613497</v>
      </c>
      <c r="BM163" s="28" t="n">
        <v>0.619772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</row>
    <row r="164" ht="36" customHeight="1">
      <c r="A164" s="24" t="inlineStr">
        <is>
          <t>ae6c537b76914b00</t>
        </is>
      </c>
      <c r="B164" s="24" t="inlineStr">
        <is>
          <t>2026-08-01T20:17:05.741632Z</t>
        </is>
      </c>
      <c r="C164" s="24" t="inlineStr">
        <is>
          <t>2026-08-01T23:30Z</t>
        </is>
      </c>
      <c r="D164" s="24" t="inlineStr">
        <is>
          <t>761700</t>
        </is>
      </c>
      <c r="E164" s="24" t="inlineStr">
        <is>
          <t>SOCCER</t>
        </is>
      </c>
      <c r="F164" s="24" t="inlineStr">
        <is>
          <t>San Jose Earthquakes</t>
        </is>
      </c>
      <c r="G164" s="24" t="inlineStr">
        <is>
          <t>FC Cincinnati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-108</v>
      </c>
      <c r="M164" s="27" t="n">
        <v>1.925926</v>
      </c>
      <c r="N164" s="28" t="n">
        <v>0.519231</v>
      </c>
      <c r="O164" s="28" t="n">
        <v>0.418282</v>
      </c>
      <c r="P164" s="28" t="n">
        <v>0.04</v>
      </c>
      <c r="Q164" s="28" t="n">
        <v>-0.100949</v>
      </c>
      <c r="R164" s="26" t="n">
        <v>0</v>
      </c>
      <c r="S164" s="29" t="n">
        <v>1.25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2</v>
      </c>
      <c r="X164" s="26" t="n">
        <v>4</v>
      </c>
      <c r="Y164" s="25" t="n"/>
      <c r="Z164" s="26" t="n"/>
      <c r="AA164" s="28" t="n"/>
      <c r="AB164" s="28" t="n"/>
      <c r="AC164" s="30" t="n">
        <v>1.1574</v>
      </c>
      <c r="AD164" s="24" t="inlineStr">
        <is>
          <t>2026-08-02T04:26:21.397669Z</t>
        </is>
      </c>
      <c r="AE164" s="31" t="inlineStr">
        <is>
          <t>Poisson-DC rates 2.60 (home) / 2.52 (away) from EWMA attack/defense strengths. Executable ask 0.5200 (atc-mls-fcc-sje-2026-08-01-fcc).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San Jose Earthquakes</t>
        </is>
      </c>
      <c r="AQ164" s="24" t="inlineStr">
        <is>
          <t>San Jose Earthquakes</t>
        </is>
      </c>
      <c r="AR164" s="24" t="inlineStr">
        <is>
          <t>San Jose Earthquakes</t>
        </is>
      </c>
      <c r="AS164" s="24" t="inlineStr">
        <is>
          <t>FC Cincinnati</t>
        </is>
      </c>
      <c r="AT164" s="24" t="inlineStr">
        <is>
          <t>FC Cincinnati</t>
        </is>
      </c>
      <c r="AU164" s="24" t="inlineStr">
        <is>
          <t>FC Cincinnati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2026-08-01T20:14:21.554713Z</t>
        </is>
      </c>
      <c r="BI164" s="24" t="inlineStr">
        <is>
          <t>["same_event","same_team_same_day","same_league_same_day"]</t>
        </is>
      </c>
      <c r="BJ164" s="25" t="n"/>
      <c r="BK164" s="26" t="n">
        <v>-108</v>
      </c>
      <c r="BL164" s="27" t="n">
        <v>1.925926</v>
      </c>
      <c r="BM164" s="28" t="n">
        <v>0.519231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</row>
    <row r="165" ht="36" customHeight="1">
      <c r="A165" s="24" t="inlineStr">
        <is>
          <t>1e573e73d5d24ee5</t>
        </is>
      </c>
      <c r="B165" s="24" t="inlineStr">
        <is>
          <t>2026-08-01T20:17:05.741632Z</t>
        </is>
      </c>
      <c r="C165" s="24" t="inlineStr">
        <is>
          <t>2026-08-01T23:30Z</t>
        </is>
      </c>
      <c r="D165" s="24" t="inlineStr">
        <is>
          <t>761702</t>
        </is>
      </c>
      <c r="E165" s="24" t="inlineStr">
        <is>
          <t>SOCCER</t>
        </is>
      </c>
      <c r="F165" s="24" t="inlineStr">
        <is>
          <t>Atlanta United FC</t>
        </is>
      </c>
      <c r="G165" s="24" t="inlineStr">
        <is>
          <t>Philadelphia Union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-156</v>
      </c>
      <c r="M165" s="27" t="n">
        <v>1.641026</v>
      </c>
      <c r="N165" s="28" t="n">
        <v>0.609375</v>
      </c>
      <c r="O165" s="28" t="n">
        <v>0.5599229999999999</v>
      </c>
      <c r="P165" s="28" t="n">
        <v>0.04</v>
      </c>
      <c r="Q165" s="28" t="n">
        <v>-0.049452</v>
      </c>
      <c r="R165" s="26" t="n">
        <v>1</v>
      </c>
      <c r="S165" s="29" t="n">
        <v>1.25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win</t>
        </is>
      </c>
      <c r="W165" s="26" t="n">
        <v>2</v>
      </c>
      <c r="X165" s="26" t="n">
        <v>3</v>
      </c>
      <c r="Y165" s="25" t="n"/>
      <c r="Z165" s="26" t="n"/>
      <c r="AA165" s="28" t="n"/>
      <c r="AB165" s="28" t="n"/>
      <c r="AC165" s="30" t="n">
        <v>0.8013</v>
      </c>
      <c r="AD165" s="24" t="inlineStr">
        <is>
          <t>2026-08-02T03:26:15.763444Z</t>
        </is>
      </c>
      <c r="AE165" s="31" t="inlineStr">
        <is>
          <t>Poisson-DC rates 1.93 (home) / 1.08 (away) from EWMA attack/defense strengths. Executable ask 0.6100 (atc-mls-phi-atl-2026-08-01-phi).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Atlanta United FC</t>
        </is>
      </c>
      <c r="AQ165" s="24" t="inlineStr">
        <is>
          <t>Atlanta United FC</t>
        </is>
      </c>
      <c r="AR165" s="24" t="inlineStr">
        <is>
          <t>Atlanta United FC</t>
        </is>
      </c>
      <c r="AS165" s="24" t="inlineStr">
        <is>
          <t>Philadelphia Union</t>
        </is>
      </c>
      <c r="AT165" s="24" t="inlineStr">
        <is>
          <t>Philadelphia Union</t>
        </is>
      </c>
      <c r="AU165" s="24" t="inlineStr">
        <is>
          <t>Philadelphia Union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2026-08-01T20:14:26.266239Z</t>
        </is>
      </c>
      <c r="BI165" s="24" t="inlineStr">
        <is>
          <t>["same_event","same_team_same_day","same_league_same_day"]</t>
        </is>
      </c>
      <c r="BJ165" s="25" t="n"/>
      <c r="BK165" s="26" t="n">
        <v>-156</v>
      </c>
      <c r="BL165" s="27" t="n">
        <v>1.641026</v>
      </c>
      <c r="BM165" s="28" t="n">
        <v>0.609375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</row>
    <row r="166" ht="36" customHeight="1">
      <c r="A166" s="24" t="inlineStr">
        <is>
          <t>40b54f606eb04e02</t>
        </is>
      </c>
      <c r="B166" s="24" t="inlineStr">
        <is>
          <t>2026-08-01T20:17:05.741632Z</t>
        </is>
      </c>
      <c r="C166" s="24" t="inlineStr">
        <is>
          <t>2026-08-01T21:00Z</t>
        </is>
      </c>
      <c r="D166" s="24" t="inlineStr">
        <is>
          <t>401841478</t>
        </is>
      </c>
      <c r="E166" s="24" t="inlineStr">
        <is>
          <t>SOCCER</t>
        </is>
      </c>
      <c r="F166" s="24" t="inlineStr">
        <is>
          <t>Defensa y Justicia</t>
        </is>
      </c>
      <c r="G166" s="24" t="inlineStr">
        <is>
          <t>Estudiantes de La Plata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-144</v>
      </c>
      <c r="M166" s="27" t="n">
        <v>1.694444</v>
      </c>
      <c r="N166" s="28" t="n">
        <v>0.590164</v>
      </c>
      <c r="O166" s="28" t="n">
        <v>0.451659</v>
      </c>
      <c r="P166" s="28" t="n">
        <v>0.2</v>
      </c>
      <c r="Q166" s="28" t="n">
        <v>-0.138505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3</v>
      </c>
      <c r="Y166" s="25" t="n"/>
      <c r="Z166" s="26" t="n"/>
      <c r="AA166" s="28" t="n"/>
      <c r="AB166" s="28" t="n"/>
      <c r="AC166" s="30" t="n">
        <v>0.6944</v>
      </c>
      <c r="AD166" s="24" t="inlineStr">
        <is>
          <t>2026-08-01T23:51:10.459392Z</t>
        </is>
      </c>
      <c r="AE166" s="31" t="inlineStr">
        <is>
          <t>Poisson-DC rates 1.59 (home) / 1.20 (away) from EWMA attack/defense strengths. Executable ask 0.5900 (atc-lpa-est-def-2026-08-01-est).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Defensa y Justicia</t>
        </is>
      </c>
      <c r="AQ166" s="24" t="inlineStr">
        <is>
          <t>Defensa y Justicia</t>
        </is>
      </c>
      <c r="AR166" s="24" t="inlineStr">
        <is>
          <t>Defensa y Justicia</t>
        </is>
      </c>
      <c r="AS166" s="24" t="inlineStr">
        <is>
          <t>Estudiantes de La Plata</t>
        </is>
      </c>
      <c r="AT166" s="24" t="inlineStr">
        <is>
          <t>Estudiantes de La Plata</t>
        </is>
      </c>
      <c r="AU166" s="24" t="inlineStr">
        <is>
          <t>Estudiantes de La Plata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2026-08-01T20:14:41.137983Z</t>
        </is>
      </c>
      <c r="BI166" s="24" t="inlineStr">
        <is>
          <t>["same_event","same_team_same_day","same_league_same_day"]</t>
        </is>
      </c>
      <c r="BJ166" s="25" t="n"/>
      <c r="BK166" s="26" t="n">
        <v>-144</v>
      </c>
      <c r="BL166" s="27" t="n">
        <v>1.694444</v>
      </c>
      <c r="BM166" s="28" t="n">
        <v>0.590164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</row>
    <row r="167" ht="36" customHeight="1">
      <c r="A167" s="24" t="inlineStr">
        <is>
          <t>0318e2143c9e4155</t>
        </is>
      </c>
      <c r="B167" s="24" t="inlineStr">
        <is>
          <t>2026-08-01T20:17:05.741632Z</t>
        </is>
      </c>
      <c r="C167" s="24" t="inlineStr">
        <is>
          <t>2026-08-01T23:30Z</t>
        </is>
      </c>
      <c r="D167" s="24" t="inlineStr">
        <is>
          <t>401841475</t>
        </is>
      </c>
      <c r="E167" s="24" t="inlineStr">
        <is>
          <t>SOCCER</t>
        </is>
      </c>
      <c r="F167" s="24" t="inlineStr">
        <is>
          <t>Tigre</t>
        </is>
      </c>
      <c r="G167" s="24" t="inlineStr">
        <is>
          <t>Racing Club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0.483295</v>
      </c>
      <c r="P167" s="28" t="n">
        <v>0.2</v>
      </c>
      <c r="Q167" s="28" t="n">
        <v>0.013811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2026-08-02T03:26:17.235577Z</t>
        </is>
      </c>
      <c r="AE167" s="31" t="inlineStr">
        <is>
          <t>Poisson-DC rates 1.72 (home) / 1.20 (away) from EWMA attack/defense strengths. Executable ask 0.4700 (atc-lpa-rac-tig-2026-08-01-rac).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Tigre</t>
        </is>
      </c>
      <c r="AQ167" s="24" t="inlineStr">
        <is>
          <t>Tigre</t>
        </is>
      </c>
      <c r="AR167" s="24" t="inlineStr">
        <is>
          <t>Tigre</t>
        </is>
      </c>
      <c r="AS167" s="24" t="inlineStr">
        <is>
          <t>Racing Club</t>
        </is>
      </c>
      <c r="AT167" s="24" t="inlineStr">
        <is>
          <t>Racing Club</t>
        </is>
      </c>
      <c r="AU167" s="24" t="inlineStr">
        <is>
          <t>Racing Club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2026-08-01T20:14:41.628532Z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</row>
    <row r="168" ht="36" customHeight="1">
      <c r="A168" s="24" t="inlineStr">
        <is>
          <t>711928eecb964b43</t>
        </is>
      </c>
      <c r="B168" s="24" t="inlineStr">
        <is>
          <t>2026-08-01T20:17:05.741632Z</t>
        </is>
      </c>
      <c r="C168" s="24" t="inlineStr">
        <is>
          <t>2026-08-01T21:30Z</t>
        </is>
      </c>
      <c r="D168" s="24" t="inlineStr">
        <is>
          <t>401850608</t>
        </is>
      </c>
      <c r="E168" s="24" t="inlineStr">
        <is>
          <t>SOCCER</t>
        </is>
      </c>
      <c r="F168" s="24" t="inlineStr">
        <is>
          <t>Coquimbo Unido</t>
        </is>
      </c>
      <c r="G168" s="24" t="inlineStr">
        <is>
          <t>Palestino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186</v>
      </c>
      <c r="M168" s="27" t="n">
        <v>2.86</v>
      </c>
      <c r="N168" s="28" t="n">
        <v>0.34965</v>
      </c>
      <c r="O168" s="28" t="n">
        <v>0.505507</v>
      </c>
      <c r="P168" s="28" t="n">
        <v>0.2</v>
      </c>
      <c r="Q168" s="28" t="n">
        <v>0.155857</v>
      </c>
      <c r="R168" s="26" t="n">
        <v>8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/>
      <c r="AA168" s="28" t="n"/>
      <c r="AB168" s="28" t="n"/>
      <c r="AC168" s="30" t="n">
        <v>1.86</v>
      </c>
      <c r="AD168" s="24" t="inlineStr">
        <is>
          <t>2026-08-01T23:51:10.837881Z</t>
        </is>
      </c>
      <c r="AE168" s="31" t="inlineStr">
        <is>
          <t>Poisson-DC rates 1.72 (home) / 1.10 (away) from EWMA attack/defense strengths. Executable ask 0.3500 (atc-pdc-pal-coq-2026-08-01-pal).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Coquimbo Unido</t>
        </is>
      </c>
      <c r="AQ168" s="24" t="inlineStr">
        <is>
          <t>Coquimbo Unido</t>
        </is>
      </c>
      <c r="AR168" s="24" t="inlineStr">
        <is>
          <t>Coquimbo Unido</t>
        </is>
      </c>
      <c r="AS168" s="24" t="inlineStr">
        <is>
          <t>Palestino</t>
        </is>
      </c>
      <c r="AT168" s="24" t="inlineStr">
        <is>
          <t>Palestino</t>
        </is>
      </c>
      <c r="AU168" s="24" t="inlineStr">
        <is>
          <t>Palestino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2026-08-01T20:14:43.888722Z</t>
        </is>
      </c>
      <c r="BI168" s="24" t="inlineStr">
        <is>
          <t>["same_event","same_team_same_day","same_league_same_day"]</t>
        </is>
      </c>
      <c r="BJ168" s="25" t="n"/>
      <c r="BK168" s="26" t="n">
        <v>186</v>
      </c>
      <c r="BL168" s="27" t="n">
        <v>2.86</v>
      </c>
      <c r="BM168" s="28" t="n">
        <v>0.34965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</row>
    <row r="169" ht="36" customHeight="1">
      <c r="A169" s="24" t="inlineStr">
        <is>
          <t>d5a1a0d79fb04e60</t>
        </is>
      </c>
      <c r="B169" s="24" t="inlineStr">
        <is>
          <t>2026-08-01T23:53:24.455746Z</t>
        </is>
      </c>
      <c r="C169" s="24" t="inlineStr">
        <is>
          <t>2026-08-02T00:30Z</t>
        </is>
      </c>
      <c r="D169" s="24" t="inlineStr">
        <is>
          <t>761704</t>
        </is>
      </c>
      <c r="E169" s="24" t="inlineStr">
        <is>
          <t>SOCCER</t>
        </is>
      </c>
      <c r="F169" s="24" t="inlineStr">
        <is>
          <t>Charlotte FC</t>
        </is>
      </c>
      <c r="G169" s="24" t="inlineStr">
        <is>
          <t>Chicago Fire FC</t>
        </is>
      </c>
      <c r="H169" s="24" t="inlineStr">
        <is>
          <t>total</t>
        </is>
      </c>
      <c r="I169" s="24" t="inlineStr">
        <is>
          <t>over</t>
        </is>
      </c>
      <c r="J169" s="25" t="n">
        <v>2.5</v>
      </c>
      <c r="K169" s="24" t="inlineStr">
        <is>
          <t>polymarket_us</t>
        </is>
      </c>
      <c r="L169" s="26" t="n">
        <v>-223</v>
      </c>
      <c r="M169" s="27" t="n">
        <v>1.44843</v>
      </c>
      <c r="N169" s="28" t="n">
        <v>0.690402</v>
      </c>
      <c r="O169" s="28" t="n">
        <v>0.676403</v>
      </c>
      <c r="P169" s="28" t="n">
        <v>0.04</v>
      </c>
      <c r="Q169" s="28" t="n">
        <v>-0.013999</v>
      </c>
      <c r="R169" s="26" t="n">
        <v>19</v>
      </c>
      <c r="S169" s="29" t="n">
        <v>2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2</v>
      </c>
      <c r="Y169" s="25" t="n"/>
      <c r="Z169" s="26" t="n"/>
      <c r="AA169" s="28" t="n"/>
      <c r="AB169" s="28" t="n"/>
      <c r="AC169" s="30" t="n">
        <v>0.8969</v>
      </c>
      <c r="AD169" s="24" t="inlineStr">
        <is>
          <t>2026-08-02T03:26:17.505871Z</t>
        </is>
      </c>
      <c r="AE169" s="31" t="inlineStr">
        <is>
          <t>Poisson-DC rates 2.21 (home) / 1.28 (away) from EWMA attack/defense strengths. Executable ask 0.6900 (tsc-mls-chi-clt-2026-08-01-2pt5).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Charlotte FC</t>
        </is>
      </c>
      <c r="AQ169" s="24" t="inlineStr">
        <is>
          <t>Charlotte FC</t>
        </is>
      </c>
      <c r="AR169" s="24" t="inlineStr">
        <is>
          <t>Charlotte FC</t>
        </is>
      </c>
      <c r="AS169" s="24" t="inlineStr">
        <is>
          <t>Chicago Fire FC</t>
        </is>
      </c>
      <c r="AT169" s="24" t="inlineStr">
        <is>
          <t>Chicago Fire FC</t>
        </is>
      </c>
      <c r="AU169" s="24" t="inlineStr">
        <is>
          <t>Chicago Fire FC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2026-08-01T23:52:03.726485Z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-223</v>
      </c>
      <c r="BL169" s="27" t="n">
        <v>1.44843</v>
      </c>
      <c r="BM169" s="28" t="n">
        <v>0.690402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</row>
    <row r="170" ht="36" customHeight="1">
      <c r="A170" s="24" t="inlineStr">
        <is>
          <t>77cbdb972f24408c</t>
        </is>
      </c>
      <c r="B170" s="24" t="inlineStr">
        <is>
          <t>2026-08-01T23:53:24.455746Z</t>
        </is>
      </c>
      <c r="C170" s="24" t="inlineStr">
        <is>
          <t>2026-08-02T00:30Z</t>
        </is>
      </c>
      <c r="D170" s="24" t="inlineStr">
        <is>
          <t>761703</t>
        </is>
      </c>
      <c r="E170" s="24" t="inlineStr">
        <is>
          <t>SOCCER</t>
        </is>
      </c>
      <c r="F170" s="24" t="inlineStr">
        <is>
          <t>San Diego FC</t>
        </is>
      </c>
      <c r="G170" s="24" t="inlineStr">
        <is>
          <t>Minnesota United FC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0.66611</v>
      </c>
      <c r="P170" s="28" t="n">
        <v>0.04</v>
      </c>
      <c r="Q170" s="28" t="n">
        <v>0.03648</v>
      </c>
      <c r="R170" s="26" t="n">
        <v>44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1</v>
      </c>
      <c r="X170" s="26" t="n">
        <v>1</v>
      </c>
      <c r="Y170" s="25" t="n"/>
      <c r="Z170" s="26" t="n"/>
      <c r="AA170" s="28" t="n"/>
      <c r="AB170" s="28" t="n"/>
      <c r="AC170" s="30" t="n">
        <v>-1.75</v>
      </c>
      <c r="AD170" s="24" t="inlineStr">
        <is>
          <t>2026-08-02T03:26:17.790482Z</t>
        </is>
      </c>
      <c r="AE170" s="31" t="inlineStr">
        <is>
          <t>Poisson-DC rates 1.78 (home) / 1.65 (away) from EWMA attack/defense strengths. Executable ask 0.6300 (tsc-mls-min-sdg-2026-08-01-2pt5).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San Diego FC</t>
        </is>
      </c>
      <c r="AQ170" s="24" t="inlineStr">
        <is>
          <t>San Diego FC</t>
        </is>
      </c>
      <c r="AR170" s="24" t="inlineStr">
        <is>
          <t>San Diego FC</t>
        </is>
      </c>
      <c r="AS170" s="24" t="inlineStr">
        <is>
          <t>Minnesota United FC</t>
        </is>
      </c>
      <c r="AT170" s="24" t="inlineStr">
        <is>
          <t>Minnesota United FC</t>
        </is>
      </c>
      <c r="AU170" s="24" t="inlineStr">
        <is>
          <t>Minnesota United FC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2026-08-01T23:52:06.222075Z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-170</v>
      </c>
      <c r="BL170" s="27" t="n">
        <v>1.588235</v>
      </c>
      <c r="BM170" s="28" t="n">
        <v>0.62963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</row>
    <row r="171" ht="36" customHeight="1">
      <c r="A171" s="24" t="inlineStr">
        <is>
          <t>6fd0a3d28ba44e1a</t>
        </is>
      </c>
      <c r="B171" s="24" t="inlineStr">
        <is>
          <t>2026-08-01T23:53:24.455746Z</t>
        </is>
      </c>
      <c r="C171" s="24" t="inlineStr">
        <is>
          <t>2026-08-02T00:30Z</t>
        </is>
      </c>
      <c r="D171" s="24" t="inlineStr">
        <is>
          <t>761706</t>
        </is>
      </c>
      <c r="E171" s="24" t="inlineStr">
        <is>
          <t>SOCCER</t>
        </is>
      </c>
      <c r="F171" s="24" t="inlineStr">
        <is>
          <t>Houston Dynamo FC</t>
        </is>
      </c>
      <c r="G171" s="24" t="inlineStr">
        <is>
          <t>Sporting Kansas City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-144</v>
      </c>
      <c r="M171" s="27" t="n">
        <v>1.694444</v>
      </c>
      <c r="N171" s="28" t="n">
        <v>0.590164</v>
      </c>
      <c r="O171" s="28" t="n">
        <v>0.651724</v>
      </c>
      <c r="P171" s="28" t="n">
        <v>0.04</v>
      </c>
      <c r="Q171" s="28" t="n">
        <v>0.06156</v>
      </c>
      <c r="R171" s="26" t="n">
        <v>57</v>
      </c>
      <c r="S171" s="29" t="n">
        <v>1.75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loss</t>
        </is>
      </c>
      <c r="W171" s="26" t="n">
        <v>2</v>
      </c>
      <c r="X171" s="26" t="n">
        <v>0</v>
      </c>
      <c r="Y171" s="25" t="n"/>
      <c r="Z171" s="26" t="n"/>
      <c r="AA171" s="28" t="n"/>
      <c r="AB171" s="28" t="n"/>
      <c r="AC171" s="30" t="n">
        <v>-1.75</v>
      </c>
      <c r="AD171" s="24" t="inlineStr">
        <is>
          <t>2026-08-02T03:26:18.086130Z</t>
        </is>
      </c>
      <c r="AE171" s="31" t="inlineStr">
        <is>
          <t>Poisson-DC rates 1.49 (home) / 1.87 (away) from EWMA attack/defense strengths. Executable ask 0.5900 (tsc-mls-skc-hou-2026-08-01-2pt5).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Houston Dynamo FC</t>
        </is>
      </c>
      <c r="AQ171" s="24" t="inlineStr">
        <is>
          <t>Houston Dynamo FC</t>
        </is>
      </c>
      <c r="AR171" s="24" t="inlineStr">
        <is>
          <t>Houston Dynamo FC</t>
        </is>
      </c>
      <c r="AS171" s="24" t="inlineStr">
        <is>
          <t>Sporting Kansas City</t>
        </is>
      </c>
      <c r="AT171" s="24" t="inlineStr">
        <is>
          <t>Sporting Kansas City</t>
        </is>
      </c>
      <c r="AU171" s="24" t="inlineStr">
        <is>
          <t>Sporting Kansas City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2026-08-01T23:52:07.836349Z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-144</v>
      </c>
      <c r="BL171" s="27" t="n">
        <v>1.694444</v>
      </c>
      <c r="BM171" s="28" t="n">
        <v>0.590164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</row>
    <row r="172" ht="36" customHeight="1">
      <c r="A172" s="24" t="inlineStr">
        <is>
          <t>90c023aa72c64cfc</t>
        </is>
      </c>
      <c r="B172" s="24" t="inlineStr">
        <is>
          <t>2026-08-01T23:53:24.455746Z</t>
        </is>
      </c>
      <c r="C172" s="24" t="inlineStr">
        <is>
          <t>2026-08-02T00:30Z</t>
        </is>
      </c>
      <c r="D172" s="24" t="inlineStr">
        <is>
          <t>761705</t>
        </is>
      </c>
      <c r="E172" s="24" t="inlineStr">
        <is>
          <t>SOCCER</t>
        </is>
      </c>
      <c r="F172" s="24" t="inlineStr">
        <is>
          <t>Real Salt Lake</t>
        </is>
      </c>
      <c r="G172" s="24" t="inlineStr">
        <is>
          <t>St. Louis CITY SC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-178</v>
      </c>
      <c r="M172" s="27" t="n">
        <v>1.561798</v>
      </c>
      <c r="N172" s="28" t="n">
        <v>0.640288</v>
      </c>
      <c r="O172" s="28" t="n">
        <v>0.623765</v>
      </c>
      <c r="P172" s="28" t="n">
        <v>0.04</v>
      </c>
      <c r="Q172" s="28" t="n">
        <v>-0.016523</v>
      </c>
      <c r="R172" s="26" t="n">
        <v>18</v>
      </c>
      <c r="S172" s="29" t="n">
        <v>1.5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</v>
      </c>
      <c r="X172" s="26" t="n">
        <v>1</v>
      </c>
      <c r="Y172" s="25" t="n"/>
      <c r="Z172" s="26" t="n"/>
      <c r="AA172" s="28" t="n"/>
      <c r="AB172" s="28" t="n"/>
      <c r="AC172" s="30" t="n">
        <v>-1.5</v>
      </c>
      <c r="AD172" s="24" t="inlineStr">
        <is>
          <t>2026-08-02T03:26:18.397668Z</t>
        </is>
      </c>
      <c r="AE172" s="31" t="inlineStr">
        <is>
          <t>Poisson-DC rates 1.71 (home) / 1.51 (away) from EWMA attack/defense strengths. Executable ask 0.6400 (tsc-mls-stl-rsl-2026-08-01-2pt5).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Real Salt Lake</t>
        </is>
      </c>
      <c r="AQ172" s="24" t="inlineStr">
        <is>
          <t>Real Salt Lake</t>
        </is>
      </c>
      <c r="AR172" s="24" t="inlineStr">
        <is>
          <t>Real Salt Lake</t>
        </is>
      </c>
      <c r="AS172" s="24" t="inlineStr">
        <is>
          <t>St. Louis CITY SC</t>
        </is>
      </c>
      <c r="AT172" s="24" t="inlineStr">
        <is>
          <t>St. Louis CITY SC</t>
        </is>
      </c>
      <c r="AU172" s="24" t="inlineStr">
        <is>
          <t>St. Louis CITY SC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2026-08-01T23:52:08.422932Z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-178</v>
      </c>
      <c r="BL172" s="27" t="n">
        <v>1.561798</v>
      </c>
      <c r="BM172" s="28" t="n">
        <v>0.640288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</row>
    <row r="173" ht="36" customHeight="1">
      <c r="A173" s="24" t="inlineStr">
        <is>
          <t>0d3ad5512fa74cd7</t>
        </is>
      </c>
      <c r="B173" s="24" t="inlineStr">
        <is>
          <t>2026-08-01T23:53:24.455746Z</t>
        </is>
      </c>
      <c r="C173" s="24" t="inlineStr">
        <is>
          <t>2026-08-02T01:30Z</t>
        </is>
      </c>
      <c r="D173" s="24" t="inlineStr">
        <is>
          <t>761707</t>
        </is>
      </c>
      <c r="E173" s="24" t="inlineStr">
        <is>
          <t>SOCCER</t>
        </is>
      </c>
      <c r="F173" s="24" t="inlineStr">
        <is>
          <t>Austin FC</t>
        </is>
      </c>
      <c r="G173" s="24" t="inlineStr">
        <is>
          <t>Colorado Rapids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-138</v>
      </c>
      <c r="M173" s="27" t="n">
        <v>1.724638</v>
      </c>
      <c r="N173" s="28" t="n">
        <v>0.579832</v>
      </c>
      <c r="O173" s="28" t="n">
        <v>0.683176</v>
      </c>
      <c r="P173" s="28" t="n">
        <v>0.04</v>
      </c>
      <c r="Q173" s="28" t="n">
        <v>0.103344</v>
      </c>
      <c r="R173" s="26" t="n">
        <v>78</v>
      </c>
      <c r="S173" s="29" t="n">
        <v>2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/>
      <c r="AA173" s="28" t="n"/>
      <c r="AB173" s="28" t="n"/>
      <c r="AC173" s="30" t="n">
        <v>-2</v>
      </c>
      <c r="AD173" s="24" t="inlineStr">
        <is>
          <t>2026-08-02T04:26:21.660283Z</t>
        </is>
      </c>
      <c r="AE173" s="31" t="inlineStr">
        <is>
          <t>Poisson-DC rates 2.28 (home) / 1.24 (away) from EWMA attack/defense strengths. Executable ask 0.5800 (tsc-mls-col-aus-2026-08-01-2pt5).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Austin FC</t>
        </is>
      </c>
      <c r="AQ173" s="24" t="inlineStr">
        <is>
          <t>Austin FC</t>
        </is>
      </c>
      <c r="AR173" s="24" t="inlineStr">
        <is>
          <t>Austin FC</t>
        </is>
      </c>
      <c r="AS173" s="24" t="inlineStr">
        <is>
          <t>Colorado Rapids</t>
        </is>
      </c>
      <c r="AT173" s="24" t="inlineStr">
        <is>
          <t>Colorado Rapids</t>
        </is>
      </c>
      <c r="AU173" s="24" t="inlineStr">
        <is>
          <t>Colorado Rapids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2026-08-01T23:52:11.070621Z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-138</v>
      </c>
      <c r="BL173" s="27" t="n">
        <v>1.724638</v>
      </c>
      <c r="BM173" s="28" t="n">
        <v>0.579832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</row>
    <row r="174" ht="36" customHeight="1">
      <c r="A174" s="24" t="inlineStr">
        <is>
          <t>bc1b966bcbff4244</t>
        </is>
      </c>
      <c r="B174" s="24" t="inlineStr">
        <is>
          <t>2026-08-01T23:53:24.455746Z</t>
        </is>
      </c>
      <c r="C174" s="24" t="inlineStr">
        <is>
          <t>2026-08-02T02:30Z</t>
        </is>
      </c>
      <c r="D174" s="24" t="inlineStr">
        <is>
          <t>761709</t>
        </is>
      </c>
      <c r="E174" s="24" t="inlineStr">
        <is>
          <t>SOCCER</t>
        </is>
      </c>
      <c r="F174" s="24" t="inlineStr">
        <is>
          <t>FC Dallas</t>
        </is>
      </c>
      <c r="G174" s="24" t="inlineStr">
        <is>
          <t>LA Galaxy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0.6876370000000001</v>
      </c>
      <c r="P174" s="28" t="n">
        <v>0.04</v>
      </c>
      <c r="Q174" s="28" t="n">
        <v>0.047349</v>
      </c>
      <c r="R174" s="26" t="n">
        <v>50</v>
      </c>
      <c r="S174" s="29" t="n">
        <v>2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0</v>
      </c>
      <c r="X174" s="26" t="n">
        <v>0</v>
      </c>
      <c r="Y174" s="25" t="n"/>
      <c r="Z174" s="26" t="n"/>
      <c r="AA174" s="28" t="n"/>
      <c r="AB174" s="28" t="n"/>
      <c r="AC174" s="30" t="n">
        <v>-2</v>
      </c>
      <c r="AD174" s="24" t="inlineStr">
        <is>
          <t>2026-08-02T05:39:24.511943Z</t>
        </is>
      </c>
      <c r="AE174" s="31" t="inlineStr">
        <is>
          <t>Poisson-DC rates 1.76 (home) / 1.79 (away) from EWMA attack/defense strengths. Executable ask 0.6400 (tsc-mls-lag-dal-2026-08-01-2pt5).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FC Dallas</t>
        </is>
      </c>
      <c r="AQ174" s="24" t="inlineStr">
        <is>
          <t>FC Dallas</t>
        </is>
      </c>
      <c r="AR174" s="24" t="inlineStr">
        <is>
          <t>FC Dallas</t>
        </is>
      </c>
      <c r="AS174" s="24" t="inlineStr">
        <is>
          <t>LA Galaxy</t>
        </is>
      </c>
      <c r="AT174" s="24" t="inlineStr">
        <is>
          <t>LA Galaxy</t>
        </is>
      </c>
      <c r="AU174" s="24" t="inlineStr">
        <is>
          <t>LA Galaxy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2026-08-01T23:52:12.107324Z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-178</v>
      </c>
      <c r="BL174" s="27" t="n">
        <v>1.561798</v>
      </c>
      <c r="BM174" s="28" t="n">
        <v>0.640288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</row>
    <row r="175" ht="36" customHeight="1">
      <c r="A175" s="24" t="inlineStr">
        <is>
          <t>22fbb5383a354f59</t>
        </is>
      </c>
      <c r="B175" s="24" t="inlineStr">
        <is>
          <t>2026-08-01T23:53:24.455746Z</t>
        </is>
      </c>
      <c r="C175" s="24" t="inlineStr">
        <is>
          <t>2026-08-02T02:45Z</t>
        </is>
      </c>
      <c r="D175" s="24" t="inlineStr">
        <is>
          <t>761708</t>
        </is>
      </c>
      <c r="E175" s="24" t="inlineStr">
        <is>
          <t>SOCCER</t>
        </is>
      </c>
      <c r="F175" s="24" t="inlineStr">
        <is>
          <t>Seattle Sounders FC</t>
        </is>
      </c>
      <c r="G175" s="24" t="inlineStr">
        <is>
          <t>Portland Timbers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-203</v>
      </c>
      <c r="M175" s="27" t="n">
        <v>1.492611</v>
      </c>
      <c r="N175" s="28" t="n">
        <v>0.669967</v>
      </c>
      <c r="O175" s="28" t="n">
        <v>0.666723</v>
      </c>
      <c r="P175" s="28" t="n">
        <v>0.04</v>
      </c>
      <c r="Q175" s="28" t="n">
        <v>-0.003244</v>
      </c>
      <c r="R175" s="26" t="n">
        <v>24</v>
      </c>
      <c r="S175" s="29" t="n">
        <v>1.75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2</v>
      </c>
      <c r="Y175" s="25" t="n"/>
      <c r="Z175" s="26" t="n"/>
      <c r="AA175" s="28" t="n"/>
      <c r="AB175" s="28" t="n"/>
      <c r="AC175" s="30" t="n">
        <v>0.8621</v>
      </c>
      <c r="AD175" s="24" t="inlineStr">
        <is>
          <t>2026-08-02T05:39:25.044697Z</t>
        </is>
      </c>
      <c r="AE175" s="31" t="inlineStr">
        <is>
          <t>Poisson-DC rates 1.85 (home) / 1.59 (away) from EWMA attack/defense strengths. Executable ask 0.6700 (tsc-mls-por-sea-2026-08-01-2pt5).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Seattle Sounders FC</t>
        </is>
      </c>
      <c r="AQ175" s="24" t="inlineStr">
        <is>
          <t>Seattle Sounders FC</t>
        </is>
      </c>
      <c r="AR175" s="24" t="inlineStr">
        <is>
          <t>Seattle Sounders FC</t>
        </is>
      </c>
      <c r="AS175" s="24" t="inlineStr">
        <is>
          <t>Portland Timbers</t>
        </is>
      </c>
      <c r="AT175" s="24" t="inlineStr">
        <is>
          <t>Portland Timbers</t>
        </is>
      </c>
      <c r="AU175" s="24" t="inlineStr">
        <is>
          <t>Portland Timbers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2026-08-01T23:52:13.426637Z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-203</v>
      </c>
      <c r="BL175" s="27" t="n">
        <v>1.492611</v>
      </c>
      <c r="BM175" s="28" t="n">
        <v>0.669967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</row>
    <row r="176" ht="36" customHeight="1">
      <c r="A176" s="24" t="inlineStr">
        <is>
          <t>fc4e7c8832354064</t>
        </is>
      </c>
      <c r="B176" s="24" t="inlineStr">
        <is>
          <t>2026-08-01T23:53:24.455746Z</t>
        </is>
      </c>
      <c r="C176" s="24" t="inlineStr">
        <is>
          <t>2026-08-02T00:30Z</t>
        </is>
      </c>
      <c r="D176" s="24" t="inlineStr">
        <is>
          <t>761704</t>
        </is>
      </c>
      <c r="E176" s="24" t="inlineStr">
        <is>
          <t>SOCCER</t>
        </is>
      </c>
      <c r="F176" s="24" t="inlineStr">
        <is>
          <t>Charlotte FC</t>
        </is>
      </c>
      <c r="G176" s="24" t="inlineStr">
        <is>
          <t>Chicago Fire FC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0.576863</v>
      </c>
      <c r="P176" s="28" t="n">
        <v>0.04</v>
      </c>
      <c r="Q176" s="28" t="n">
        <v>-0.073487</v>
      </c>
      <c r="R176" s="26" t="n">
        <v>0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0.672</v>
      </c>
      <c r="AD176" s="24" t="inlineStr">
        <is>
          <t>2026-08-02T03:26:18.789170Z</t>
        </is>
      </c>
      <c r="AE176" s="31" t="inlineStr">
        <is>
          <t>Poisson-DC rates 2.21 (home) / 1.28 (away) from EWMA attack/defense strengths. Executable ask 0.6500 (atc-mls-chi-clt-2026-08-01-chi).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Charlotte FC</t>
        </is>
      </c>
      <c r="AQ176" s="24" t="inlineStr">
        <is>
          <t>Charlotte FC</t>
        </is>
      </c>
      <c r="AR176" s="24" t="inlineStr">
        <is>
          <t>Charlotte FC</t>
        </is>
      </c>
      <c r="AS176" s="24" t="inlineStr">
        <is>
          <t>Chicago Fire FC</t>
        </is>
      </c>
      <c r="AT176" s="24" t="inlineStr">
        <is>
          <t>Chicago Fire FC</t>
        </is>
      </c>
      <c r="AU176" s="24" t="inlineStr">
        <is>
          <t>Chicago Fire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2026-08-01T23:52:03.002096Z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</row>
    <row r="177" ht="36" customHeight="1">
      <c r="A177" s="24" t="inlineStr">
        <is>
          <t>6faae02228ba477e</t>
        </is>
      </c>
      <c r="B177" s="24" t="inlineStr">
        <is>
          <t>2026-08-01T23:53:24.455746Z</t>
        </is>
      </c>
      <c r="C177" s="24" t="inlineStr">
        <is>
          <t>2026-08-02T00:30Z</t>
        </is>
      </c>
      <c r="D177" s="24" t="inlineStr">
        <is>
          <t>761706</t>
        </is>
      </c>
      <c r="E177" s="24" t="inlineStr">
        <is>
          <t>SOCCER</t>
        </is>
      </c>
      <c r="F177" s="24" t="inlineStr">
        <is>
          <t>Houston Dynamo FC</t>
        </is>
      </c>
      <c r="G177" s="24" t="inlineStr">
        <is>
          <t>Sporting Kansas City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117</v>
      </c>
      <c r="M177" s="27" t="n">
        <v>2.17</v>
      </c>
      <c r="N177" s="28" t="n">
        <v>0.460829</v>
      </c>
      <c r="O177" s="28" t="n">
        <v>0.458041</v>
      </c>
      <c r="P177" s="28" t="n">
        <v>0.04</v>
      </c>
      <c r="Q177" s="28" t="n">
        <v>-0.002788</v>
      </c>
      <c r="R177" s="26" t="n">
        <v>25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0</v>
      </c>
      <c r="Y177" s="25" t="n"/>
      <c r="Z177" s="26" t="n"/>
      <c r="AA177" s="28" t="n"/>
      <c r="AB177" s="28" t="n"/>
      <c r="AC177" s="30" t="n">
        <v>1.17</v>
      </c>
      <c r="AD177" s="24" t="inlineStr">
        <is>
          <t>2026-08-02T03:26:19.661895Z</t>
        </is>
      </c>
      <c r="AE177" s="31" t="inlineStr">
        <is>
          <t>Poisson-DC rates 1.49 (home) / 1.87 (away) from EWMA attack/defense strengths. Executable ask 0.4600 (atc-mls-skc-hou-2026-08-01-hou).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Houston Dynamo FC</t>
        </is>
      </c>
      <c r="AQ177" s="24" t="inlineStr">
        <is>
          <t>Houston Dynamo FC</t>
        </is>
      </c>
      <c r="AR177" s="24" t="inlineStr">
        <is>
          <t>Houston Dynamo FC</t>
        </is>
      </c>
      <c r="AS177" s="24" t="inlineStr">
        <is>
          <t>Sporting Kansas City</t>
        </is>
      </c>
      <c r="AT177" s="24" t="inlineStr">
        <is>
          <t>Sporting Kansas City</t>
        </is>
      </c>
      <c r="AU177" s="24" t="inlineStr">
        <is>
          <t>Sporting Kansas City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2026-08-01T23:52:06.344991Z</t>
        </is>
      </c>
      <c r="BI177" s="24" t="inlineStr">
        <is>
          <t>["same_event","same_team_same_day","same_league_same_day"]</t>
        </is>
      </c>
      <c r="BJ177" s="25" t="n"/>
      <c r="BK177" s="26" t="n">
        <v>117</v>
      </c>
      <c r="BL177" s="27" t="n">
        <v>2.17</v>
      </c>
      <c r="BM177" s="28" t="n">
        <v>0.460829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</row>
    <row r="178" ht="36" customHeight="1">
      <c r="A178" s="24" t="inlineStr">
        <is>
          <t>22f0f340d5054823</t>
        </is>
      </c>
      <c r="B178" s="24" t="inlineStr">
        <is>
          <t>2026-08-01T23:53:24.455746Z</t>
        </is>
      </c>
      <c r="C178" s="24" t="inlineStr">
        <is>
          <t>2026-08-02T01:30Z</t>
        </is>
      </c>
      <c r="D178" s="24" t="inlineStr">
        <is>
          <t>761707</t>
        </is>
      </c>
      <c r="E178" s="24" t="inlineStr">
        <is>
          <t>SOCCER</t>
        </is>
      </c>
      <c r="F178" s="24" t="inlineStr">
        <is>
          <t>Austin FC</t>
        </is>
      </c>
      <c r="G178" s="24" t="inlineStr">
        <is>
          <t>Colorado Rapids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0.6000259999999999</v>
      </c>
      <c r="P178" s="28" t="n">
        <v>0.04</v>
      </c>
      <c r="Q178" s="28" t="n">
        <v>0.040555</v>
      </c>
      <c r="R178" s="26" t="n">
        <v>46</v>
      </c>
      <c r="S178" s="29" t="n">
        <v>1.5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1.1811</v>
      </c>
      <c r="AD178" s="24" t="inlineStr">
        <is>
          <t>2026-08-02T04:26:21.937064Z</t>
        </is>
      </c>
      <c r="AE178" s="31" t="inlineStr">
        <is>
          <t>Poisson-DC rates 2.28 (home) / 1.24 (away) from EWMA attack/defense strengths. Executable ask 0.5600 (atc-mls-col-aus-2026-08-01-col).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Austin FC</t>
        </is>
      </c>
      <c r="AQ178" s="24" t="inlineStr">
        <is>
          <t>Austin FC</t>
        </is>
      </c>
      <c r="AR178" s="24" t="inlineStr">
        <is>
          <t>Austin FC</t>
        </is>
      </c>
      <c r="AS178" s="24" t="inlineStr">
        <is>
          <t>Colorado Rapids</t>
        </is>
      </c>
      <c r="AT178" s="24" t="inlineStr">
        <is>
          <t>Colorado Rapids</t>
        </is>
      </c>
      <c r="AU178" s="24" t="inlineStr">
        <is>
          <t>Colorado Rapids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2026-08-01T23:52:09.543896Z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</row>
    <row r="179" ht="36" customHeight="1">
      <c r="A179" s="24" t="inlineStr">
        <is>
          <t>6a04218c09a84664</t>
        </is>
      </c>
      <c r="B179" s="24" t="inlineStr">
        <is>
          <t>2026-08-01T23:53:24.455746Z</t>
        </is>
      </c>
      <c r="C179" s="24" t="inlineStr">
        <is>
          <t>2026-08-02T02:45Z</t>
        </is>
      </c>
      <c r="D179" s="24" t="inlineStr">
        <is>
          <t>761708</t>
        </is>
      </c>
      <c r="E179" s="24" t="inlineStr">
        <is>
          <t>SOCCER</t>
        </is>
      </c>
      <c r="F179" s="24" t="inlineStr">
        <is>
          <t>Seattle Sounders FC</t>
        </is>
      </c>
      <c r="G179" s="24" t="inlineStr">
        <is>
          <t>Portland Timbers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0.432832</v>
      </c>
      <c r="P179" s="28" t="n">
        <v>0.04</v>
      </c>
      <c r="Q179" s="28" t="n">
        <v>-0.036652</v>
      </c>
      <c r="R179" s="26" t="n">
        <v>8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1.4125</v>
      </c>
      <c r="AD179" s="24" t="inlineStr">
        <is>
          <t>2026-08-02T05:39:26.164706Z</t>
        </is>
      </c>
      <c r="AE179" s="31" t="inlineStr">
        <is>
          <t>Poisson-DC rates 1.85 (home) / 1.59 (away) from EWMA attack/defense strengths. Executable ask 0.4700 (atc-mls-por-sea-2026-08-01-por).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Seattle Sounders FC</t>
        </is>
      </c>
      <c r="AQ179" s="24" t="inlineStr">
        <is>
          <t>Seattle Sounders FC</t>
        </is>
      </c>
      <c r="AR179" s="24" t="inlineStr">
        <is>
          <t>Seattle Sounders FC</t>
        </is>
      </c>
      <c r="AS179" s="24" t="inlineStr">
        <is>
          <t>Portland Timbers</t>
        </is>
      </c>
      <c r="AT179" s="24" t="inlineStr">
        <is>
          <t>Portland Timbers</t>
        </is>
      </c>
      <c r="AU179" s="24" t="inlineStr">
        <is>
          <t>Portland Timbers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2026-08-01T23:52:12.696180Z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</row>
    <row r="180" ht="36" customHeight="1">
      <c r="A180" s="24" t="inlineStr">
        <is>
          <t>3d7c6e251fde488b</t>
        </is>
      </c>
      <c r="B180" s="24" t="inlineStr">
        <is>
          <t>2026-08-01T23:53:24.455746Z</t>
        </is>
      </c>
      <c r="C180" s="24" t="inlineStr">
        <is>
          <t>2026-08-02T00:00Z</t>
        </is>
      </c>
      <c r="D180" s="24" t="inlineStr">
        <is>
          <t>401859646</t>
        </is>
      </c>
      <c r="E180" s="24" t="inlineStr">
        <is>
          <t>SOCCER</t>
        </is>
      </c>
      <c r="F180" s="24" t="inlineStr">
        <is>
          <t>Aucas</t>
        </is>
      </c>
      <c r="G180" s="24" t="inlineStr">
        <is>
          <t>Emelec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133</v>
      </c>
      <c r="M180" s="27" t="n">
        <v>2.33</v>
      </c>
      <c r="N180" s="28" t="n">
        <v>0.429185</v>
      </c>
      <c r="O180" s="28" t="n">
        <v>0.456135</v>
      </c>
      <c r="P180" s="28" t="n">
        <v>0.2</v>
      </c>
      <c r="Q180" s="28" t="n">
        <v>0.02695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0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2026-08-02T03:26:22.035170Z</t>
        </is>
      </c>
      <c r="AE180" s="31" t="inlineStr">
        <is>
          <t>Poisson-DC rates 1.64 (home) / 1.24 (away) from EWMA attack/defense strengths. Executable ask 0.4300 (atc-ecu1-cse-sda-2026-08-01-cse).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Aucas</t>
        </is>
      </c>
      <c r="AQ180" s="24" t="inlineStr">
        <is>
          <t>Aucas</t>
        </is>
      </c>
      <c r="AR180" s="24" t="inlineStr">
        <is>
          <t>Aucas</t>
        </is>
      </c>
      <c r="AS180" s="24" t="inlineStr">
        <is>
          <t>Emelec</t>
        </is>
      </c>
      <c r="AT180" s="24" t="inlineStr">
        <is>
          <t>Emelec</t>
        </is>
      </c>
      <c r="AU180" s="24" t="inlineStr">
        <is>
          <t>Emelec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2026-08-01T23:52:16.427787Z</t>
        </is>
      </c>
      <c r="BI180" s="24" t="inlineStr">
        <is>
          <t>["same_event","same_team_same_day","same_league_same_day"]</t>
        </is>
      </c>
      <c r="BJ180" s="25" t="n"/>
      <c r="BK180" s="26" t="n">
        <v>133</v>
      </c>
      <c r="BL180" s="27" t="n">
        <v>2.33</v>
      </c>
      <c r="BM180" s="28" t="n">
        <v>0.429185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</row>
    <row r="181" ht="36" customHeight="1">
      <c r="A181" s="24" t="inlineStr">
        <is>
          <t>1570b2da88bb4c5a</t>
        </is>
      </c>
      <c r="B181" s="24" t="inlineStr">
        <is>
          <t>2026-08-02T12:28:25.454250Z</t>
        </is>
      </c>
      <c r="C181" s="24" t="inlineStr">
        <is>
          <t>2026-08-02T12:30Z</t>
        </is>
      </c>
      <c r="D181" s="24" t="inlineStr">
        <is>
          <t>401886552</t>
        </is>
      </c>
      <c r="E181" s="24" t="inlineStr">
        <is>
          <t>SOCCER</t>
        </is>
      </c>
      <c r="F181" s="24" t="inlineStr">
        <is>
          <t>Ajax Amsterdam</t>
        </is>
      </c>
      <c r="G181" s="24" t="inlineStr">
        <is>
          <t>FC Volendam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0.515227</v>
      </c>
      <c r="P181" s="28" t="n">
        <v>0.04</v>
      </c>
      <c r="Q181" s="28" t="n">
        <v>-0.144637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3</v>
      </c>
      <c r="X181" s="26" t="n">
        <v>1</v>
      </c>
      <c r="Y181" s="25" t="n"/>
      <c r="Z181" s="26" t="n"/>
      <c r="AA181" s="28" t="n"/>
      <c r="AB181" s="28" t="n"/>
      <c r="AC181" s="30" t="n">
        <v>0.5155</v>
      </c>
      <c r="AD181" s="24" t="inlineStr">
        <is>
          <t>2026-08-02T15:52:39.747371Z</t>
        </is>
      </c>
      <c r="AE181" s="31" t="inlineStr">
        <is>
          <t>Poisson-DC rates 0.88 (home) / 1.54 (away) from EWMA attack/defense strengths. Executable ask 0.6600 (atc-clbf-fvco-aja-2026-08-02-aja).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Ajax Amsterdam</t>
        </is>
      </c>
      <c r="AQ181" s="24" t="inlineStr">
        <is>
          <t>Ajax Amsterdam</t>
        </is>
      </c>
      <c r="AR181" s="24" t="inlineStr">
        <is>
          <t>Ajax Amsterdam</t>
        </is>
      </c>
      <c r="AS181" s="24" t="inlineStr">
        <is>
          <t>FC Volendam</t>
        </is>
      </c>
      <c r="AT181" s="24" t="inlineStr">
        <is>
          <t>FC Volendam</t>
        </is>
      </c>
      <c r="AU181" s="24" t="inlineStr">
        <is>
          <t>FC Volendam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2026-08-02T12:25:27.623402Z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</row>
    <row r="182" ht="36" customHeight="1">
      <c r="A182" s="24" t="inlineStr">
        <is>
          <t>f7b150997a264103</t>
        </is>
      </c>
      <c r="B182" s="24" t="inlineStr">
        <is>
          <t>2026-08-02T12:28:25.454250Z</t>
        </is>
      </c>
      <c r="C182" s="24" t="inlineStr">
        <is>
          <t>2026-08-02T13:00Z</t>
        </is>
      </c>
      <c r="D182" s="24" t="inlineStr">
        <is>
          <t>401886551</t>
        </is>
      </c>
      <c r="E182" s="24" t="inlineStr">
        <is>
          <t>SOCCER</t>
        </is>
      </c>
      <c r="F182" s="24" t="inlineStr">
        <is>
          <t>Atalanta</t>
        </is>
      </c>
      <c r="G182" s="24" t="inlineStr">
        <is>
          <t>Feyenoord Rotterdam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194</v>
      </c>
      <c r="M182" s="27" t="n">
        <v>2.94</v>
      </c>
      <c r="N182" s="28" t="n">
        <v>0.340136</v>
      </c>
      <c r="O182" s="28" t="n">
        <v>0.575359</v>
      </c>
      <c r="P182" s="28" t="n">
        <v>0.04</v>
      </c>
      <c r="Q182" s="28" t="n">
        <v>0.235223</v>
      </c>
      <c r="R182" s="26" t="n">
        <v>100</v>
      </c>
      <c r="S182" s="29" t="n">
        <v>1.25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2.425</v>
      </c>
      <c r="AD182" s="24" t="inlineStr">
        <is>
          <t>2026-08-02T15:52:40.668054Z</t>
        </is>
      </c>
      <c r="AE182" s="31" t="inlineStr">
        <is>
          <t>Poisson-DC rates 1.92 (home) / 1.01 (away) from EWMA attack/defense strengths. Executable ask 0.3400 (atc-clbf-fey-ata-2026-08-02-fey).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Atalanta</t>
        </is>
      </c>
      <c r="AQ182" s="24" t="inlineStr">
        <is>
          <t>Atalanta</t>
        </is>
      </c>
      <c r="AR182" s="24" t="inlineStr">
        <is>
          <t>Atalanta</t>
        </is>
      </c>
      <c r="AS182" s="24" t="inlineStr">
        <is>
          <t>Feyenoord Rotterdam</t>
        </is>
      </c>
      <c r="AT182" s="24" t="inlineStr">
        <is>
          <t>Feyenoord Rotterdam</t>
        </is>
      </c>
      <c r="AU182" s="24" t="inlineStr">
        <is>
          <t>Feyenoord Rotterdam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2026-08-02T12:25:27.610137Z</t>
        </is>
      </c>
      <c r="BI182" s="24" t="inlineStr">
        <is>
          <t>["same_event","same_team_same_day","same_league_same_day"]</t>
        </is>
      </c>
      <c r="BJ182" s="25" t="n"/>
      <c r="BK182" s="26" t="n">
        <v>194</v>
      </c>
      <c r="BL182" s="27" t="n">
        <v>2.94</v>
      </c>
      <c r="BM182" s="28" t="n">
        <v>0.340136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</row>
    <row r="183" ht="36" customHeight="1">
      <c r="A183" s="24" t="inlineStr">
        <is>
          <t>7ab1c307320046bd</t>
        </is>
      </c>
      <c r="B183" s="24" t="inlineStr">
        <is>
          <t>2026-08-02T13:05:47.245126Z</t>
        </is>
      </c>
      <c r="C183" s="24" t="inlineStr">
        <is>
          <t>2026-08-02T15:00Z</t>
        </is>
      </c>
      <c r="D183" s="24" t="inlineStr">
        <is>
          <t>401872734</t>
        </is>
      </c>
      <c r="E183" s="24" t="inlineStr">
        <is>
          <t>SOCCER</t>
        </is>
      </c>
      <c r="F183" s="24" t="inlineStr">
        <is>
          <t>Boston River</t>
        </is>
      </c>
      <c r="G183" s="24" t="inlineStr">
        <is>
          <t>Racing (Montevideo)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0.5359159999999999</v>
      </c>
      <c r="P183" s="28" t="n">
        <v>0.2</v>
      </c>
      <c r="Q183" s="28" t="n">
        <v>-0.023555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/>
      <c r="AA183" s="28" t="n"/>
      <c r="AB183" s="28" t="n"/>
      <c r="AC183" s="30" t="n">
        <v>0.7874</v>
      </c>
      <c r="AD183" s="24" t="inlineStr">
        <is>
          <t>2026-08-02T17:15:06.999882Z</t>
        </is>
      </c>
      <c r="AE183" s="31" t="inlineStr">
        <is>
          <t>Poisson-DC rates 1.84 (home) / 1.10 (away) from EWMA attack/defense strengths. Executable ask 0.5600 (atc-uru1-rcm-bri-2026-08-02-rcm).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Boston River</t>
        </is>
      </c>
      <c r="AQ183" s="24" t="inlineStr">
        <is>
          <t>Boston River</t>
        </is>
      </c>
      <c r="AR183" s="24" t="inlineStr">
        <is>
          <t>Boston River</t>
        </is>
      </c>
      <c r="AS183" s="24" t="inlineStr">
        <is>
          <t>Racing (Montevideo)</t>
        </is>
      </c>
      <c r="AT183" s="24" t="inlineStr">
        <is>
          <t>Racing (Montevideo)</t>
        </is>
      </c>
      <c r="AU183" s="24" t="inlineStr">
        <is>
          <t>Racing (Montevideo)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2026-08-02T13:02:47.678863Z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</row>
    <row r="184" ht="36" customHeight="1">
      <c r="A184" s="24" t="inlineStr">
        <is>
          <t>ba6383f0b7054d55</t>
        </is>
      </c>
      <c r="B184" s="24" t="inlineStr">
        <is>
          <t>2026-08-02T13:05:47.245126Z</t>
        </is>
      </c>
      <c r="C184" s="24" t="inlineStr">
        <is>
          <t>2026-08-02T14:30Z</t>
        </is>
      </c>
      <c r="D184" s="24" t="inlineStr">
        <is>
          <t>401898711</t>
        </is>
      </c>
      <c r="E184" s="24" t="inlineStr">
        <is>
          <t>SOCCER</t>
        </is>
      </c>
      <c r="F184" s="24" t="inlineStr">
        <is>
          <t>Udinese</t>
        </is>
      </c>
      <c r="G184" s="24" t="inlineStr">
        <is>
          <t>Trabzonspor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156</v>
      </c>
      <c r="M184" s="27" t="n">
        <v>2.56</v>
      </c>
      <c r="N184" s="28" t="n">
        <v>0.390625</v>
      </c>
      <c r="O184" s="28" t="n">
        <v>0.395816</v>
      </c>
      <c r="P184" s="28" t="n">
        <v>0.2</v>
      </c>
      <c r="Q184" s="28" t="n">
        <v>0.005191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/>
      <c r="AA184" s="28" t="n"/>
      <c r="AB184" s="28" t="n"/>
      <c r="AC184" s="30" t="n">
        <v>1.56</v>
      </c>
      <c r="AD184" s="24" t="inlineStr">
        <is>
          <t>2026-08-02T16:39:24.462328Z</t>
        </is>
      </c>
      <c r="AE184" s="31" t="inlineStr">
        <is>
          <t>Poisson-DC rates 1.26 (home) / 1.06 (away) from EWMA attack/defense strengths. Executable ask 0.3900 (atc-clbf-tra-udi-2026-08-02-tra).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Udinese</t>
        </is>
      </c>
      <c r="AQ184" s="24" t="inlineStr">
        <is>
          <t>Udinese</t>
        </is>
      </c>
      <c r="AR184" s="24" t="inlineStr">
        <is>
          <t>Udinese</t>
        </is>
      </c>
      <c r="AS184" s="24" t="inlineStr">
        <is>
          <t>Trabzonspor</t>
        </is>
      </c>
      <c r="AT184" s="24" t="inlineStr">
        <is>
          <t>Trabzonspor</t>
        </is>
      </c>
      <c r="AU184" s="24" t="inlineStr">
        <is>
          <t>Trabzonspor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2026-08-02T13:02:50.866524Z</t>
        </is>
      </c>
      <c r="BI184" s="24" t="inlineStr">
        <is>
          <t>["same_event","same_team_same_day","same_league_same_day"]</t>
        </is>
      </c>
      <c r="BJ184" s="25" t="n"/>
      <c r="BK184" s="26" t="n">
        <v>156</v>
      </c>
      <c r="BL184" s="27" t="n">
        <v>2.56</v>
      </c>
      <c r="BM184" s="28" t="n">
        <v>0.390625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</row>
    <row r="185" ht="36" customHeight="1">
      <c r="A185" s="24" t="inlineStr">
        <is>
          <t>73e5fffe29124687</t>
        </is>
      </c>
      <c r="B185" s="24" t="inlineStr">
        <is>
          <t>2026-08-02T15:49:40.829108Z</t>
        </is>
      </c>
      <c r="C185" s="24" t="inlineStr">
        <is>
          <t>2026-08-02T16:00Z</t>
        </is>
      </c>
      <c r="D185" s="24" t="inlineStr">
        <is>
          <t>401897751</t>
        </is>
      </c>
      <c r="E185" s="24" t="inlineStr">
        <is>
          <t>SOCCER</t>
        </is>
      </c>
      <c r="F185" s="24" t="inlineStr">
        <is>
          <t>Wrexham</t>
        </is>
      </c>
      <c r="G185" s="24" t="inlineStr">
        <is>
          <t>Sunderland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-104</v>
      </c>
      <c r="M185" s="27" t="n">
        <v>1.961538</v>
      </c>
      <c r="N185" s="28" t="n">
        <v>0.509804</v>
      </c>
      <c r="O185" s="28" t="n">
        <v>0.395592</v>
      </c>
      <c r="P185" s="28" t="n">
        <v>0.04</v>
      </c>
      <c r="Q185" s="28" t="n">
        <v>-0.114212</v>
      </c>
      <c r="R185" s="26" t="n">
        <v>0</v>
      </c>
      <c r="S185" s="29" t="n">
        <v>1.5</v>
      </c>
      <c r="T185" s="24" t="inlineStr">
        <is>
          <t>soccer-poisson-dc-v1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Poisson-DC rates 1.40 (home) / 1.24 (away) from EWMA attack/defense strengths. Executable ask 0.5100 (atc-clbf-sun-wre-2026-08-02-sun).</t>
        </is>
      </c>
      <c r="AF185" s="31" t="inlineStr">
        <is>
          <t>Research-only soccer score model; draw-aware, but not yet locked-holdout qualified.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Wrexham</t>
        </is>
      </c>
      <c r="AQ185" s="24" t="inlineStr">
        <is>
          <t>Wrexham</t>
        </is>
      </c>
      <c r="AR185" s="24" t="inlineStr">
        <is>
          <t>Wrexham</t>
        </is>
      </c>
      <c r="AS185" s="24" t="inlineStr">
        <is>
          <t>Sunderland</t>
        </is>
      </c>
      <c r="AT185" s="24" t="inlineStr">
        <is>
          <t>Sunderland</t>
        </is>
      </c>
      <c r="AU185" s="24" t="inlineStr">
        <is>
          <t>Sunderland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2026-08-02T15:46:37.855949Z</t>
        </is>
      </c>
      <c r="BI185" s="24" t="inlineStr">
        <is>
          <t>["same_event","same_team_same_day","same_league_same_day"]</t>
        </is>
      </c>
      <c r="BJ185" s="25" t="n"/>
      <c r="BK185" s="26" t="n">
        <v>-104</v>
      </c>
      <c r="BL185" s="27" t="n">
        <v>1.961538</v>
      </c>
      <c r="BM185" s="28" t="n">
        <v>0.509804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inlineStr">
        <is>
          <t>0</t>
        </is>
      </c>
    </row>
    <row r="186" ht="36" customHeight="1">
      <c r="A186" s="24" t="inlineStr">
        <is>
          <t>c1a2615685634f23</t>
        </is>
      </c>
      <c r="B186" s="24" t="inlineStr">
        <is>
          <t>2026-07-28T20:34:14.874473Z</t>
        </is>
      </c>
      <c r="C186" s="24" t="inlineStr">
        <is>
          <t>2026-07-28T22:30Z</t>
        </is>
      </c>
      <c r="D186" s="24" t="inlineStr">
        <is>
          <t>401860261</t>
        </is>
      </c>
      <c r="E186" s="24" t="inlineStr">
        <is>
          <t>SOCCER</t>
        </is>
      </c>
      <c r="F186" s="24" t="inlineStr">
        <is>
          <t>Athletic</t>
        </is>
      </c>
      <c r="G186" s="24" t="inlineStr">
        <is>
          <t>Ponte Preta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300</v>
      </c>
      <c r="M186" s="27" t="n">
        <v>4</v>
      </c>
      <c r="N186" s="28" t="n">
        <v>0.25</v>
      </c>
      <c r="O186" s="28" t="n">
        <v>0.456199</v>
      </c>
      <c r="P186" s="28" t="n">
        <v>0.2</v>
      </c>
      <c r="Q186" s="28" t="n">
        <v>0.206199</v>
      </c>
      <c r="R186" s="26" t="n">
        <v>33</v>
      </c>
      <c r="S186" s="29" t="n">
        <v>1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/>
      <c r="AA186" s="28" t="n"/>
      <c r="AB186" s="28" t="n"/>
      <c r="AC186" s="30" t="n">
        <v>-1</v>
      </c>
      <c r="AD186" s="24" t="inlineStr">
        <is>
          <t>2026-08-02T16:08:30.066604Z</t>
        </is>
      </c>
      <c r="AE186" s="31" t="inlineStr">
        <is>
          <t>Poisson-DC rates 1.64 (home) / 1.24 (away) from EWMA attack/defense strengths. Executable ask 0.2500 (atc-brb-pop-ath-2026-07-28-pop).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Athletic</t>
        </is>
      </c>
      <c r="AQ186" s="24" t="inlineStr">
        <is>
          <t>Athletic</t>
        </is>
      </c>
      <c r="AR186" s="24" t="inlineStr">
        <is>
          <t>Athletic</t>
        </is>
      </c>
      <c r="AS186" s="24" t="inlineStr">
        <is>
          <t>Ponte Preta</t>
        </is>
      </c>
      <c r="AT186" s="24" t="inlineStr">
        <is>
          <t>Ponte Preta</t>
        </is>
      </c>
      <c r="AU186" s="24" t="inlineStr">
        <is>
          <t>Ponte Preta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0361718a19f38c3d244b71cb6b1f2e7e14a86925e833d2186645250fc084b969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0361718a19f38c3d244b71cb6b1f2e7e14a86925e833d2186645250fc084b969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0361718a19f38c3d244b71cb6b1f2e7e14a86925e833d2186645250fc084b969</t>
        </is>
      </c>
      <c r="BH186" s="24" t="inlineStr">
        <is>
          <t>2026-07-28T20:32:26.083099Z</t>
        </is>
      </c>
      <c r="BI186" s="24" t="inlineStr">
        <is>
          <t>["same_event","same_team_same_day","same_league_same_day"]</t>
        </is>
      </c>
      <c r="BJ186" s="25" t="n"/>
      <c r="BK186" s="26" t="n">
        <v>300</v>
      </c>
      <c r="BL186" s="27" t="n">
        <v>4</v>
      </c>
      <c r="BM186" s="28" t="n">
        <v>0.25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</row>
    <row r="187" ht="36" customHeight="1">
      <c r="A187" s="24" t="inlineStr">
        <is>
          <t>b4c3bd27b9274dbf</t>
        </is>
      </c>
      <c r="B187" s="24" t="inlineStr">
        <is>
          <t>2026-07-28T23:39:16.759753Z</t>
        </is>
      </c>
      <c r="C187" s="24" t="inlineStr">
        <is>
          <t>2026-07-29T00:15Z</t>
        </is>
      </c>
      <c r="D187" s="24" t="inlineStr">
        <is>
          <t>401841453</t>
        </is>
      </c>
      <c r="E187" s="24" t="inlineStr">
        <is>
          <t>SOCCER</t>
        </is>
      </c>
      <c r="F187" s="24" t="inlineStr">
        <is>
          <t>Racing Club</t>
        </is>
      </c>
      <c r="G187" s="24" t="inlineStr">
        <is>
          <t>Rosario Central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108</v>
      </c>
      <c r="M187" s="27" t="n">
        <v>2.08</v>
      </c>
      <c r="N187" s="28" t="n">
        <v>0.480769</v>
      </c>
      <c r="O187" s="28" t="n">
        <v>0.456199</v>
      </c>
      <c r="P187" s="28" t="n">
        <v>0.2</v>
      </c>
      <c r="Q187" s="28" t="n">
        <v>-0.02457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0</v>
      </c>
      <c r="Y187" s="25" t="n"/>
      <c r="Z187" s="26" t="n"/>
      <c r="AA187" s="28" t="n"/>
      <c r="AB187" s="28" t="n"/>
      <c r="AC187" s="30" t="n">
        <v>-1</v>
      </c>
      <c r="AD187" s="24" t="inlineStr">
        <is>
          <t>2026-08-02T16:08:30.800425Z</t>
        </is>
      </c>
      <c r="AE187" s="31" t="inlineStr">
        <is>
          <t>Poisson-DC rates 1.64 (home) / 1.24 (away) from EWMA attack/defense strengths. Executable ask 0.4800 (atc-lpa-ros-rac-2026-07-28-ros).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Racing Club</t>
        </is>
      </c>
      <c r="AQ187" s="24" t="inlineStr">
        <is>
          <t>Racing Club</t>
        </is>
      </c>
      <c r="AR187" s="24" t="inlineStr">
        <is>
          <t>Racing Club</t>
        </is>
      </c>
      <c r="AS187" s="24" t="inlineStr">
        <is>
          <t>Rosario Central</t>
        </is>
      </c>
      <c r="AT187" s="24" t="inlineStr">
        <is>
          <t>Rosario Central</t>
        </is>
      </c>
      <c r="AU187" s="24" t="inlineStr">
        <is>
          <t>Rosario Central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0361718a19f38c3d244b71cb6b1f2e7e14a86925e833d2186645250fc084b969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0361718a19f38c3d244b71cb6b1f2e7e14a86925e833d2186645250fc084b969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0361718a19f38c3d244b71cb6b1f2e7e14a86925e833d2186645250fc084b969</t>
        </is>
      </c>
      <c r="BH187" s="24" t="inlineStr">
        <is>
          <t>2026-07-28T23:38:00.751821Z</t>
        </is>
      </c>
      <c r="BI187" s="24" t="inlineStr">
        <is>
          <t>["same_event","same_team_same_day","same_league_same_day"]</t>
        </is>
      </c>
      <c r="BJ187" s="25" t="n"/>
      <c r="BK187" s="26" t="n">
        <v>108</v>
      </c>
      <c r="BL187" s="27" t="n">
        <v>2.08</v>
      </c>
      <c r="BM187" s="28" t="n">
        <v>0.480769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</row>
    <row r="188" ht="36" customHeight="1">
      <c r="A188" s="24" t="inlineStr">
        <is>
          <t>2016ad82b8004b89</t>
        </is>
      </c>
      <c r="B188" s="24" t="inlineStr">
        <is>
          <t>2026-07-29T17:45:15.881226Z</t>
        </is>
      </c>
      <c r="C188" s="24" t="inlineStr">
        <is>
          <t>2026-07-29T22:30Z</t>
        </is>
      </c>
      <c r="D188" s="24" t="inlineStr">
        <is>
          <t>401841171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Internacional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285</v>
      </c>
      <c r="M188" s="27" t="n">
        <v>3.85</v>
      </c>
      <c r="N188" s="28" t="n">
        <v>0.25974</v>
      </c>
      <c r="O188" s="28" t="n">
        <v>0.456199</v>
      </c>
      <c r="P188" s="28" t="n">
        <v>0.2</v>
      </c>
      <c r="Q188" s="28" t="n">
        <v>0.196459</v>
      </c>
      <c r="R188" s="26" t="n">
        <v>28</v>
      </c>
      <c r="S188" s="29" t="n">
        <v>1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1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2026-08-02T16:08:31.521562Z</t>
        </is>
      </c>
      <c r="AE188" s="31" t="inlineStr">
        <is>
          <t>Poisson-DC rates 1.64 (home) / 1.24 (away) from EWMA attack/defense strengths. Executable ask 0.2600 (atc-bra-int-fla-2026-07-29-int).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Internacional</t>
        </is>
      </c>
      <c r="AT188" s="24" t="inlineStr">
        <is>
          <t>Internacional</t>
        </is>
      </c>
      <c r="AU188" s="24" t="inlineStr">
        <is>
          <t>Internacional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0361718a19f38c3d244b71cb6b1f2e7e14a86925e833d2186645250fc084b969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0361718a19f38c3d244b71cb6b1f2e7e14a86925e833d2186645250fc084b969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0361718a19f38c3d244b71cb6b1f2e7e14a86925e833d2186645250fc084b969</t>
        </is>
      </c>
      <c r="BH188" s="24" t="inlineStr">
        <is>
          <t>2026-07-29T17:43:19.651886Z</t>
        </is>
      </c>
      <c r="BI188" s="24" t="inlineStr">
        <is>
          <t>["same_event","same_team_same_day","same_league_same_day"]</t>
        </is>
      </c>
      <c r="BJ188" s="25" t="n"/>
      <c r="BK188" s="26" t="n">
        <v>285</v>
      </c>
      <c r="BL188" s="27" t="n">
        <v>3.85</v>
      </c>
      <c r="BM188" s="28" t="n">
        <v>0.25974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</row>
    <row r="189" ht="36" customHeight="1">
      <c r="A189" s="24" t="inlineStr">
        <is>
          <t>543936a84904488a</t>
        </is>
      </c>
      <c r="B189" s="24" t="inlineStr">
        <is>
          <t>2026-07-29T17:45:15.881226Z</t>
        </is>
      </c>
      <c r="C189" s="24" t="inlineStr">
        <is>
          <t>2026-07-30T00:30Z</t>
        </is>
      </c>
      <c r="D189" s="24" t="inlineStr">
        <is>
          <t>401841177</t>
        </is>
      </c>
      <c r="E189" s="24" t="inlineStr">
        <is>
          <t>SOCCER</t>
        </is>
      </c>
      <c r="F189" s="24" t="inlineStr">
        <is>
          <t>Bahia</t>
        </is>
      </c>
      <c r="G189" s="24" t="inlineStr">
        <is>
          <t>Fluminense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-133</v>
      </c>
      <c r="M189" s="27" t="n">
        <v>1.75188</v>
      </c>
      <c r="N189" s="28" t="n">
        <v>0.570815</v>
      </c>
      <c r="O189" s="28" t="n">
        <v>0.456199</v>
      </c>
      <c r="P189" s="28" t="n">
        <v>0.2</v>
      </c>
      <c r="Q189" s="28" t="n">
        <v>-0.114616</v>
      </c>
      <c r="R189" s="26" t="n">
        <v>0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/>
      <c r="AA189" s="28" t="n"/>
      <c r="AB189" s="28" t="n"/>
      <c r="AC189" s="30" t="n">
        <v>-1</v>
      </c>
      <c r="AD189" s="24" t="inlineStr">
        <is>
          <t>2026-08-02T16:08:32.232747Z</t>
        </is>
      </c>
      <c r="AE189" s="31" t="inlineStr">
        <is>
          <t>Poisson-DC rates 1.64 (home) / 1.24 (away) from EWMA attack/defense strengths. Executable ask 0.5700 (atc-bra-flu-bah-2026-07-29-flu).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Bahia</t>
        </is>
      </c>
      <c r="AQ189" s="24" t="inlineStr">
        <is>
          <t>Bahia</t>
        </is>
      </c>
      <c r="AR189" s="24" t="inlineStr">
        <is>
          <t>Bahia</t>
        </is>
      </c>
      <c r="AS189" s="24" t="inlineStr">
        <is>
          <t>Fluminense</t>
        </is>
      </c>
      <c r="AT189" s="24" t="inlineStr">
        <is>
          <t>Fluminense</t>
        </is>
      </c>
      <c r="AU189" s="24" t="inlineStr">
        <is>
          <t>Fluminense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0361718a19f38c3d244b71cb6b1f2e7e14a86925e833d2186645250fc084b969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0361718a19f38c3d244b71cb6b1f2e7e14a86925e833d2186645250fc084b969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0361718a19f38c3d244b71cb6b1f2e7e14a86925e833d2186645250fc084b969</t>
        </is>
      </c>
      <c r="BH189" s="24" t="inlineStr">
        <is>
          <t>2026-07-29T17:43:20.222742Z</t>
        </is>
      </c>
      <c r="BI189" s="24" t="inlineStr">
        <is>
          <t>["same_event","same_team_same_day","same_league_same_day"]</t>
        </is>
      </c>
      <c r="BJ189" s="25" t="n"/>
      <c r="BK189" s="26" t="n">
        <v>-133</v>
      </c>
      <c r="BL189" s="27" t="n">
        <v>1.75188</v>
      </c>
      <c r="BM189" s="28" t="n">
        <v>0.570815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</row>
    <row r="190" ht="36" customHeight="1">
      <c r="A190" s="24" t="inlineStr">
        <is>
          <t>de331d6e34e540e2</t>
        </is>
      </c>
      <c r="B190" s="24" t="inlineStr">
        <is>
          <t>2026-07-31T16:48:13.817502Z</t>
        </is>
      </c>
      <c r="C190" s="24" t="inlineStr">
        <is>
          <t>2026-07-31T18:45Z</t>
        </is>
      </c>
      <c r="D190" s="24" t="inlineStr">
        <is>
          <t>401886550</t>
        </is>
      </c>
      <c r="E190" s="24" t="inlineStr">
        <is>
          <t>SOCCER</t>
        </is>
      </c>
      <c r="F190" s="24" t="inlineStr">
        <is>
          <t>Barcelona</t>
        </is>
      </c>
      <c r="G190" s="24" t="inlineStr">
        <is>
          <t>Birmingham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-186</v>
      </c>
      <c r="M190" s="27" t="n">
        <v>1.537634</v>
      </c>
      <c r="N190" s="28" t="n">
        <v>0.65035</v>
      </c>
      <c r="O190" s="28" t="n">
        <v>0.480022</v>
      </c>
      <c r="P190" s="28" t="n">
        <v>0.04</v>
      </c>
      <c r="Q190" s="28" t="n">
        <v>-0.170328</v>
      </c>
      <c r="R190" s="26" t="n">
        <v>0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2</v>
      </c>
      <c r="Y190" s="25" t="n"/>
      <c r="Z190" s="26" t="n"/>
      <c r="AA190" s="28" t="n"/>
      <c r="AB190" s="28" t="n"/>
      <c r="AC190" s="30" t="n">
        <v>-1</v>
      </c>
      <c r="AD190" s="24" t="inlineStr">
        <is>
          <t>2026-08-02T16:08:32.974089Z</t>
        </is>
      </c>
      <c r="AE190" s="31" t="inlineStr">
        <is>
          <t>Poisson-DC rates 1.04 (home) / 1.55 (away) from EWMA attack/defense strengths. Executable ask 0.6500 (atc-clbf-bc-bar-2026-07-31-bar).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Barcelona</t>
        </is>
      </c>
      <c r="AQ190" s="24" t="inlineStr">
        <is>
          <t>Barcelona</t>
        </is>
      </c>
      <c r="AR190" s="24" t="inlineStr">
        <is>
          <t>Barcelona</t>
        </is>
      </c>
      <c r="AS190" s="24" t="inlineStr">
        <is>
          <t>Birmingham City</t>
        </is>
      </c>
      <c r="AT190" s="24" t="inlineStr">
        <is>
          <t>Birmingham City</t>
        </is>
      </c>
      <c r="AU190" s="24" t="inlineStr">
        <is>
          <t>Birmingham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2026-07-31T16:45:56.333365Z</t>
        </is>
      </c>
      <c r="BI190" s="24" t="inlineStr">
        <is>
          <t>["same_event","same_team_same_day","same_league_same_day"]</t>
        </is>
      </c>
      <c r="BJ190" s="25" t="n"/>
      <c r="BK190" s="26" t="n">
        <v>-186</v>
      </c>
      <c r="BL190" s="27" t="n">
        <v>1.537634</v>
      </c>
      <c r="BM190" s="28" t="n">
        <v>0.65035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</row>
    <row r="191" ht="36" customHeight="1">
      <c r="A191" s="24" t="inlineStr">
        <is>
          <t>c87494a621b142c6</t>
        </is>
      </c>
      <c r="B191" s="24" t="inlineStr">
        <is>
          <t>2026-08-01T13:44:56.720128Z</t>
        </is>
      </c>
      <c r="C191" s="24" t="inlineStr">
        <is>
          <t>2026-08-01T15:00Z</t>
        </is>
      </c>
      <c r="D191" s="24" t="inlineStr">
        <is>
          <t>401872727</t>
        </is>
      </c>
      <c r="E191" s="24" t="inlineStr">
        <is>
          <t>SOCCER</t>
        </is>
      </c>
      <c r="F191" s="24" t="inlineStr">
        <is>
          <t>Danubio</t>
        </is>
      </c>
      <c r="G191" s="24" t="inlineStr">
        <is>
          <t>Albion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122</v>
      </c>
      <c r="M191" s="27" t="n">
        <v>2.22</v>
      </c>
      <c r="N191" s="28" t="n">
        <v>0.45045</v>
      </c>
      <c r="O191" s="28" t="n">
        <v>0.456135</v>
      </c>
      <c r="P191" s="28" t="n">
        <v>0.2</v>
      </c>
      <c r="Q191" s="28" t="n">
        <v>0.005685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</v>
      </c>
      <c r="X191" s="26" t="n">
        <v>2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2026-08-02T16:08:33.692075Z</t>
        </is>
      </c>
      <c r="AE191" s="31" t="inlineStr">
        <is>
          <t>Poisson-DC rates 1.64 (home) / 1.24 (away) from EWMA attack/defense strengths. Executable ask 0.4500 (atc-uru1-alb-dan-2026-08-01-alb).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Danubio</t>
        </is>
      </c>
      <c r="AQ191" s="24" t="inlineStr">
        <is>
          <t>Danubio</t>
        </is>
      </c>
      <c r="AR191" s="24" t="inlineStr">
        <is>
          <t>Danubio</t>
        </is>
      </c>
      <c r="AS191" s="24" t="inlineStr">
        <is>
          <t>Albion FC</t>
        </is>
      </c>
      <c r="AT191" s="24" t="inlineStr">
        <is>
          <t>Albion FC</t>
        </is>
      </c>
      <c r="AU191" s="24" t="inlineStr">
        <is>
          <t>Albion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2026-08-01T13:42:37.826503Z</t>
        </is>
      </c>
      <c r="BI191" s="24" t="inlineStr">
        <is>
          <t>["same_event","same_team_same_day","same_league_same_day"]</t>
        </is>
      </c>
      <c r="BJ191" s="25" t="n"/>
      <c r="BK191" s="26" t="n">
        <v>122</v>
      </c>
      <c r="BL191" s="27" t="n">
        <v>2.22</v>
      </c>
      <c r="BM191" s="28" t="n">
        <v>0.45045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</row>
    <row r="192" ht="36" customHeight="1">
      <c r="A192" s="24" t="inlineStr">
        <is>
          <t>8a0779918c9d4a86</t>
        </is>
      </c>
      <c r="B192" s="24" t="inlineStr">
        <is>
          <t>2026-08-01T13:44:56.720128Z</t>
        </is>
      </c>
      <c r="C192" s="24" t="inlineStr">
        <is>
          <t>2026-08-01T16:00Z</t>
        </is>
      </c>
      <c r="D192" s="24" t="inlineStr">
        <is>
          <t>401888842</t>
        </is>
      </c>
      <c r="E192" s="24" t="inlineStr">
        <is>
          <t>SOCCER</t>
        </is>
      </c>
      <c r="F192" s="24" t="inlineStr">
        <is>
          <t>Fiorentina</t>
        </is>
      </c>
      <c r="G192" s="24" t="inlineStr">
        <is>
          <t>Real Madrid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-117</v>
      </c>
      <c r="M192" s="27" t="n">
        <v>1.854701</v>
      </c>
      <c r="N192" s="28" t="n">
        <v>0.539171</v>
      </c>
      <c r="O192" s="28" t="n">
        <v>0.592521</v>
      </c>
      <c r="P192" s="28" t="n">
        <v>0.04</v>
      </c>
      <c r="Q192" s="28" t="n">
        <v>0.05335</v>
      </c>
      <c r="R192" s="26" t="n">
        <v>53</v>
      </c>
      <c r="S192" s="29" t="n">
        <v>1.25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</v>
      </c>
      <c r="X192" s="26" t="n">
        <v>2</v>
      </c>
      <c r="Y192" s="25" t="n"/>
      <c r="Z192" s="26" t="n"/>
      <c r="AA192" s="28" t="n"/>
      <c r="AB192" s="28" t="n"/>
      <c r="AC192" s="30" t="n">
        <v>-1.25</v>
      </c>
      <c r="AD192" s="24" t="inlineStr">
        <is>
          <t>2026-08-02T16:08:34.428201Z</t>
        </is>
      </c>
      <c r="AE192" s="31" t="inlineStr">
        <is>
          <t>Poisson-DC rates 1.76 (home) / 0.80 (away) from EWMA attack/defense strengths. Executable ask 0.5400 (atc-clbf-rme-fio-2026-08-01-rme).</t>
        </is>
      </c>
      <c r="AF192" s="31" t="inlineStr">
        <is>
          <t>Research-only soccer score model; draw-aware, but not yet locked-holdout qualified.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Fiorentina</t>
        </is>
      </c>
      <c r="AQ192" s="24" t="inlineStr">
        <is>
          <t>Fiorentina</t>
        </is>
      </c>
      <c r="AR192" s="24" t="inlineStr">
        <is>
          <t>Fiorentina</t>
        </is>
      </c>
      <c r="AS192" s="24" t="inlineStr">
        <is>
          <t>Real Madrid</t>
        </is>
      </c>
      <c r="AT192" s="24" t="inlineStr">
        <is>
          <t>Real Madrid</t>
        </is>
      </c>
      <c r="AU192" s="24" t="inlineStr">
        <is>
          <t>Real Madrid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2026-08-01T13:42:44.313687Z</t>
        </is>
      </c>
      <c r="BI192" s="24" t="inlineStr">
        <is>
          <t>["same_event","same_team_same_day","same_league_same_day"]</t>
        </is>
      </c>
      <c r="BJ192" s="25" t="n"/>
      <c r="BK192" s="26" t="n">
        <v>-117</v>
      </c>
      <c r="BL192" s="27" t="n">
        <v>1.854701</v>
      </c>
      <c r="BM192" s="28" t="n">
        <v>0.539171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</row>
    <row r="193" ht="36" customHeight="1">
      <c r="A193" s="24" t="inlineStr">
        <is>
          <t>f8ad772a47164d5f</t>
        </is>
      </c>
      <c r="B193" s="24" t="inlineStr">
        <is>
          <t>2026-08-01T16:52:27.367453Z</t>
        </is>
      </c>
      <c r="C193" s="24" t="inlineStr">
        <is>
          <t>2026-08-01T18:00Z</t>
        </is>
      </c>
      <c r="D193" s="24" t="inlineStr">
        <is>
          <t>401844028</t>
        </is>
      </c>
      <c r="E193" s="24" t="inlineStr">
        <is>
          <t>SOCCER</t>
        </is>
      </c>
      <c r="F193" s="24" t="inlineStr">
        <is>
          <t>Midland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233</v>
      </c>
      <c r="M193" s="27" t="n">
        <v>3.33</v>
      </c>
      <c r="N193" s="28" t="n">
        <v>0.3003</v>
      </c>
      <c r="O193" s="28" t="n">
        <v>0.456135</v>
      </c>
      <c r="P193" s="28" t="n">
        <v>0.2</v>
      </c>
      <c r="Q193" s="28" t="n">
        <v>0.155835</v>
      </c>
      <c r="R193" s="26" t="n">
        <v>8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1</v>
      </c>
      <c r="X193" s="26" t="n">
        <v>1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2026-08-02T16:08:35.188473Z</t>
        </is>
      </c>
      <c r="AE193" s="31" t="inlineStr">
        <is>
          <t>Poisson-DC rates 1.64 (home) / 1.24 (away) from EWMA attack/defense strengths. Executable ask 0.3000 (atc-arg2-alm-afm-2026-08-02-alm).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Midland</t>
        </is>
      </c>
      <c r="AQ193" s="24" t="inlineStr">
        <is>
          <t>Midland</t>
        </is>
      </c>
      <c r="AR193" s="24" t="inlineStr">
        <is>
          <t>Midland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2026-08-01T16:49:30.902860Z</t>
        </is>
      </c>
      <c r="BI193" s="24" t="inlineStr">
        <is>
          <t>["same_event","same_team_same_day","same_league_same_day"]</t>
        </is>
      </c>
      <c r="BJ193" s="25" t="n"/>
      <c r="BK193" s="26" t="n">
        <v>233</v>
      </c>
      <c r="BL193" s="27" t="n">
        <v>3.33</v>
      </c>
      <c r="BM193" s="28" t="n">
        <v>0.3003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</row>
    <row r="194" ht="36" customHeight="1">
      <c r="A194" s="24" t="inlineStr">
        <is>
          <t>4b09a9d9374d46a7</t>
        </is>
      </c>
      <c r="B194" s="24" t="inlineStr">
        <is>
          <t>2026-08-01T16:52:27.367453Z</t>
        </is>
      </c>
      <c r="C194" s="24" t="inlineStr">
        <is>
          <t>2026-08-01T18:30Z</t>
        </is>
      </c>
      <c r="D194" s="24" t="inlineStr">
        <is>
          <t>401844021</t>
        </is>
      </c>
      <c r="E194" s="24" t="inlineStr">
        <is>
          <t>SOCCER</t>
        </is>
      </c>
      <c r="F194" s="24" t="inlineStr">
        <is>
          <t>Quilmes</t>
        </is>
      </c>
      <c r="G194" s="24" t="inlineStr">
        <is>
          <t>Patronato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0.440521</v>
      </c>
      <c r="P194" s="28" t="n">
        <v>0.2</v>
      </c>
      <c r="Q194" s="28" t="n">
        <v>0.030685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3</v>
      </c>
      <c r="X194" s="26" t="n">
        <v>3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2026-08-02T16:08:35.924162Z</t>
        </is>
      </c>
      <c r="AE194" s="31" t="inlineStr">
        <is>
          <t>Poisson-DC rates 1.46 (home) / 1.10 (away) from EWMA attack/defense strengths. Executable ask 0.4100 (atc-arg2-cap-qui-2026-08-02-cap).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Quilmes</t>
        </is>
      </c>
      <c r="AQ194" s="24" t="inlineStr">
        <is>
          <t>Quilmes</t>
        </is>
      </c>
      <c r="AR194" s="24" t="inlineStr">
        <is>
          <t>Quilmes</t>
        </is>
      </c>
      <c r="AS194" s="24" t="inlineStr">
        <is>
          <t>Patronato</t>
        </is>
      </c>
      <c r="AT194" s="24" t="inlineStr">
        <is>
          <t>Patronato</t>
        </is>
      </c>
      <c r="AU194" s="24" t="inlineStr">
        <is>
          <t>Patronato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2026-08-01T16:49:31.486214Z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</row>
    <row r="195" ht="36" customHeight="1">
      <c r="A195" s="24" t="inlineStr">
        <is>
          <t>ce8bcb5176c94e2f</t>
        </is>
      </c>
      <c r="B195" s="24" t="inlineStr">
        <is>
          <t>2026-08-01T16:52:27.367453Z</t>
        </is>
      </c>
      <c r="C195" s="24" t="inlineStr">
        <is>
          <t>2026-08-01T18:00Z</t>
        </is>
      </c>
      <c r="D195" s="24" t="inlineStr">
        <is>
          <t>401872730</t>
        </is>
      </c>
      <c r="E195" s="24" t="inlineStr">
        <is>
          <t>SOCCER</t>
        </is>
      </c>
      <c r="F195" s="24" t="inlineStr">
        <is>
          <t>Juventud</t>
        </is>
      </c>
      <c r="G195" s="24" t="inlineStr">
        <is>
          <t>Deportivo Maldonado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-117</v>
      </c>
      <c r="M195" s="27" t="n">
        <v>1.854701</v>
      </c>
      <c r="N195" s="28" t="n">
        <v>0.539171</v>
      </c>
      <c r="O195" s="28" t="n">
        <v>0.418807</v>
      </c>
      <c r="P195" s="28" t="n">
        <v>0.2</v>
      </c>
      <c r="Q195" s="28" t="n">
        <v>-0.120364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2026-08-02T16:08:36.637340Z</t>
        </is>
      </c>
      <c r="AE195" s="31" t="inlineStr">
        <is>
          <t>Poisson-DC rates 1.46 (home) / 1.20 (away) from EWMA attack/defense strengths. Executable ask 0.5400 (atc-uru1-mal-juv-2026-08-01-mal).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Juventud</t>
        </is>
      </c>
      <c r="AQ195" s="24" t="inlineStr">
        <is>
          <t>Juventud</t>
        </is>
      </c>
      <c r="AR195" s="24" t="inlineStr">
        <is>
          <t>Juventud</t>
        </is>
      </c>
      <c r="AS195" s="24" t="inlineStr">
        <is>
          <t>Deportivo Maldonado</t>
        </is>
      </c>
      <c r="AT195" s="24" t="inlineStr">
        <is>
          <t>Deportivo Maldonado</t>
        </is>
      </c>
      <c r="AU195" s="24" t="inlineStr">
        <is>
          <t>Deportivo Maldonado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2026-08-01T16:49:34.759598Z</t>
        </is>
      </c>
      <c r="BI195" s="24" t="inlineStr">
        <is>
          <t>["same_event","same_team_same_day","same_league_same_day"]</t>
        </is>
      </c>
      <c r="BJ195" s="25" t="n"/>
      <c r="BK195" s="26" t="n">
        <v>-117</v>
      </c>
      <c r="BL195" s="27" t="n">
        <v>1.854701</v>
      </c>
      <c r="BM195" s="28" t="n">
        <v>0.539171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</row>
    <row r="196" ht="36" customHeight="1">
      <c r="A196" s="24" t="inlineStr">
        <is>
          <t>95372c50a2ed4ced</t>
        </is>
      </c>
      <c r="B196" s="24" t="inlineStr">
        <is>
          <t>2026-08-01T20:17:05.741632Z</t>
        </is>
      </c>
      <c r="C196" s="24" t="inlineStr">
        <is>
          <t>2026-08-01T23:30Z</t>
        </is>
      </c>
      <c r="D196" s="24" t="inlineStr">
        <is>
          <t>761699</t>
        </is>
      </c>
      <c r="E196" s="24" t="inlineStr">
        <is>
          <t>SOCCER</t>
        </is>
      </c>
      <c r="F196" s="24" t="inlineStr">
        <is>
          <t>Nashville SC</t>
        </is>
      </c>
      <c r="G196" s="24" t="inlineStr">
        <is>
          <t>D.C. United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144</v>
      </c>
      <c r="M196" s="27" t="n">
        <v>2.44</v>
      </c>
      <c r="N196" s="28" t="n">
        <v>0.409836</v>
      </c>
      <c r="O196" s="28" t="n">
        <v>0.552914</v>
      </c>
      <c r="P196" s="28" t="n">
        <v>0.04</v>
      </c>
      <c r="Q196" s="28" t="n">
        <v>0.143078</v>
      </c>
      <c r="R196" s="26" t="n">
        <v>98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2026-08-02T16:08:37.346741Z</t>
        </is>
      </c>
      <c r="AE196" s="31" t="inlineStr">
        <is>
          <t>Poisson-DC rates 1.27 (home) / 2.09 (away) from EWMA attack/defense strengths. Executable ask 0.4100 (atc-mls-dcu-nas-2026-08-01-nas).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NO_CALL_MODEL_UNVALIDATED</t>
        </is>
      </c>
      <c r="AP196" s="24" t="inlineStr">
        <is>
          <t>Nashville SC</t>
        </is>
      </c>
      <c r="AQ196" s="24" t="inlineStr">
        <is>
          <t>Nashville SC</t>
        </is>
      </c>
      <c r="AR196" s="24" t="inlineStr">
        <is>
          <t>Nashville SC</t>
        </is>
      </c>
      <c r="AS196" s="24" t="inlineStr">
        <is>
          <t>D.C. United</t>
        </is>
      </c>
      <c r="AT196" s="24" t="inlineStr">
        <is>
          <t>D.C. United</t>
        </is>
      </c>
      <c r="AU196" s="24" t="inlineStr">
        <is>
          <t>D.C. United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2026-08-01T20:14:20.050683Z</t>
        </is>
      </c>
      <c r="BI196" s="24" t="inlineStr">
        <is>
          <t>["same_event","same_team_same_day","same_league_same_day"]</t>
        </is>
      </c>
      <c r="BJ196" s="25" t="n"/>
      <c r="BK196" s="26" t="n">
        <v>144</v>
      </c>
      <c r="BL196" s="27" t="n">
        <v>2.44</v>
      </c>
      <c r="BM196" s="28" t="n">
        <v>0.409836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</row>
    <row r="197" ht="36" customHeight="1">
      <c r="A197" s="24" t="inlineStr">
        <is>
          <t>b586e7aa165f48df</t>
        </is>
      </c>
      <c r="B197" s="24" t="inlineStr">
        <is>
          <t>2026-08-01T20:17:05.741632Z</t>
        </is>
      </c>
      <c r="C197" s="24" t="inlineStr">
        <is>
          <t>2026-08-01T23:30Z</t>
        </is>
      </c>
      <c r="D197" s="24" t="inlineStr">
        <is>
          <t>761701</t>
        </is>
      </c>
      <c r="E197" s="24" t="inlineStr">
        <is>
          <t>SOCCER</t>
        </is>
      </c>
      <c r="F197" s="24" t="inlineStr">
        <is>
          <t>Columbus Crew</t>
        </is>
      </c>
      <c r="G197" s="24" t="inlineStr">
        <is>
          <t>Inter Miami CF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-170</v>
      </c>
      <c r="M197" s="27" t="n">
        <v>1.588235</v>
      </c>
      <c r="N197" s="28" t="n">
        <v>0.62963</v>
      </c>
      <c r="O197" s="28" t="n">
        <v>0.715665</v>
      </c>
      <c r="P197" s="28" t="n">
        <v>0.04</v>
      </c>
      <c r="Q197" s="28" t="n">
        <v>0.086035</v>
      </c>
      <c r="R197" s="26" t="n">
        <v>69</v>
      </c>
      <c r="S197" s="29" t="n">
        <v>2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2</v>
      </c>
      <c r="X197" s="26" t="n">
        <v>2</v>
      </c>
      <c r="Y197" s="25" t="n"/>
      <c r="Z197" s="26" t="n"/>
      <c r="AA197" s="28" t="n"/>
      <c r="AB197" s="28" t="n"/>
      <c r="AC197" s="30" t="n">
        <v>-2</v>
      </c>
      <c r="AD197" s="24" t="inlineStr">
        <is>
          <t>2026-08-02T16:08:38.088611Z</t>
        </is>
      </c>
      <c r="AE197" s="31" t="inlineStr">
        <is>
          <t>Poisson-DC rates 3.37 (home) / 1.57 (away) from EWMA attack/defense strengths. Executable ask 0.6300 (atc-mls-mia-clb-2026-08-01-mia).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NO_CALL_MODEL_UNVALIDATED</t>
        </is>
      </c>
      <c r="AP197" s="24" t="inlineStr">
        <is>
          <t>Columbus Crew</t>
        </is>
      </c>
      <c r="AQ197" s="24" t="inlineStr">
        <is>
          <t>Columbus Crew</t>
        </is>
      </c>
      <c r="AR197" s="24" t="inlineStr">
        <is>
          <t>Columbus Crew</t>
        </is>
      </c>
      <c r="AS197" s="24" t="inlineStr">
        <is>
          <t>Inter Miami CF</t>
        </is>
      </c>
      <c r="AT197" s="24" t="inlineStr">
        <is>
          <t>Inter Miami CF</t>
        </is>
      </c>
      <c r="AU197" s="24" t="inlineStr">
        <is>
          <t>Inter Miami CF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2026-08-01T20:14:23.116312Z</t>
        </is>
      </c>
      <c r="BI197" s="24" t="inlineStr">
        <is>
          <t>["same_event","same_team_same_day","same_league_same_day"]</t>
        </is>
      </c>
      <c r="BJ197" s="25" t="n"/>
      <c r="BK197" s="26" t="n">
        <v>-170</v>
      </c>
      <c r="BL197" s="27" t="n">
        <v>1.588235</v>
      </c>
      <c r="BM197" s="28" t="n">
        <v>0.62963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</row>
    <row r="198" ht="36" customHeight="1">
      <c r="A198" s="24" t="inlineStr">
        <is>
          <t>0c98127e634e4762</t>
        </is>
      </c>
      <c r="B198" s="24" t="inlineStr">
        <is>
          <t>2026-08-01T23:53:24.455746Z</t>
        </is>
      </c>
      <c r="C198" s="24" t="inlineStr">
        <is>
          <t>2026-08-02T00:30Z</t>
        </is>
      </c>
      <c r="D198" s="24" t="inlineStr">
        <is>
          <t>761703</t>
        </is>
      </c>
      <c r="E198" s="24" t="inlineStr">
        <is>
          <t>SOCCER</t>
        </is>
      </c>
      <c r="F198" s="24" t="inlineStr">
        <is>
          <t>San Diego FC</t>
        </is>
      </c>
      <c r="G198" s="24" t="inlineStr">
        <is>
          <t>Minnesota United FC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104</v>
      </c>
      <c r="M198" s="27" t="n">
        <v>2.04</v>
      </c>
      <c r="N198" s="28" t="n">
        <v>0.490196</v>
      </c>
      <c r="O198" s="28" t="n">
        <v>0.405166</v>
      </c>
      <c r="P198" s="28" t="n">
        <v>0.04</v>
      </c>
      <c r="Q198" s="28" t="n">
        <v>-0.08502999999999999</v>
      </c>
      <c r="R198" s="26" t="n">
        <v>0</v>
      </c>
      <c r="S198" s="29" t="n">
        <v>1.25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1</v>
      </c>
      <c r="Y198" s="25" t="n"/>
      <c r="Z198" s="26" t="n"/>
      <c r="AA198" s="28" t="n"/>
      <c r="AB198" s="28" t="n"/>
      <c r="AC198" s="30" t="n">
        <v>-1.25</v>
      </c>
      <c r="AD198" s="24" t="inlineStr">
        <is>
          <t>2026-08-02T16:08:38.803420Z</t>
        </is>
      </c>
      <c r="AE198" s="31" t="inlineStr">
        <is>
          <t>Poisson-DC rates 1.78 (home) / 1.65 (away) from EWMA attack/defense strengths. Executable ask 0.4900 (atc-mls-min-sdg-2026-08-01-min).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NO_CALL_MODEL_UNVALIDATED</t>
        </is>
      </c>
      <c r="AP198" s="24" t="inlineStr">
        <is>
          <t>San Diego FC</t>
        </is>
      </c>
      <c r="AQ198" s="24" t="inlineStr">
        <is>
          <t>San Diego FC</t>
        </is>
      </c>
      <c r="AR198" s="24" t="inlineStr">
        <is>
          <t>San Diego FC</t>
        </is>
      </c>
      <c r="AS198" s="24" t="inlineStr">
        <is>
          <t>Minnesota United FC</t>
        </is>
      </c>
      <c r="AT198" s="24" t="inlineStr">
        <is>
          <t>Minnesota United FC</t>
        </is>
      </c>
      <c r="AU198" s="24" t="inlineStr">
        <is>
          <t>Minnesota United FC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2026-08-01T23:52:04.626307Z</t>
        </is>
      </c>
      <c r="BI198" s="24" t="inlineStr">
        <is>
          <t>["same_event","same_team_same_day","same_league_same_day"]</t>
        </is>
      </c>
      <c r="BJ198" s="25" t="n"/>
      <c r="BK198" s="26" t="n">
        <v>104</v>
      </c>
      <c r="BL198" s="27" t="n">
        <v>2.04</v>
      </c>
      <c r="BM198" s="28" t="n">
        <v>0.490196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</row>
    <row r="199" ht="36" customHeight="1">
      <c r="A199" s="24" t="inlineStr">
        <is>
          <t>cc6b8b218f134422</t>
        </is>
      </c>
      <c r="B199" s="24" t="inlineStr">
        <is>
          <t>2026-08-01T23:53:24.455746Z</t>
        </is>
      </c>
      <c r="C199" s="24" t="inlineStr">
        <is>
          <t>2026-08-02T00:30Z</t>
        </is>
      </c>
      <c r="D199" s="24" t="inlineStr">
        <is>
          <t>761705</t>
        </is>
      </c>
      <c r="E199" s="24" t="inlineStr">
        <is>
          <t>SOCCER</t>
        </is>
      </c>
      <c r="F199" s="24" t="inlineStr">
        <is>
          <t>Real Salt Lake</t>
        </is>
      </c>
      <c r="G199" s="24" t="inlineStr">
        <is>
          <t>St. Louis CITY SC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100</v>
      </c>
      <c r="M199" s="27" t="n">
        <v>2</v>
      </c>
      <c r="N199" s="28" t="n">
        <v>0.5</v>
      </c>
      <c r="O199" s="28" t="n">
        <v>0.416937</v>
      </c>
      <c r="P199" s="28" t="n">
        <v>0.04</v>
      </c>
      <c r="Q199" s="28" t="n">
        <v>-0.083063</v>
      </c>
      <c r="R199" s="26" t="n">
        <v>0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/>
      <c r="AA199" s="28" t="n"/>
      <c r="AB199" s="28" t="n"/>
      <c r="AC199" s="30" t="n">
        <v>-1.25</v>
      </c>
      <c r="AD199" s="24" t="inlineStr">
        <is>
          <t>2026-08-02T16:08:39.533103Z</t>
        </is>
      </c>
      <c r="AE199" s="31" t="inlineStr">
        <is>
          <t>Poisson-DC rates 1.71 (home) / 1.51 (away) from EWMA attack/defense strengths. Executable ask 0.5000 (atc-mls-stl-rsl-2026-08-01-stl).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NO_CALL_MODEL_UNVALIDATED</t>
        </is>
      </c>
      <c r="AP199" s="24" t="inlineStr">
        <is>
          <t>Real Salt Lake</t>
        </is>
      </c>
      <c r="AQ199" s="24" t="inlineStr">
        <is>
          <t>Real Salt Lake</t>
        </is>
      </c>
      <c r="AR199" s="24" t="inlineStr">
        <is>
          <t>Real Salt Lake</t>
        </is>
      </c>
      <c r="AS199" s="24" t="inlineStr">
        <is>
          <t>St. Louis CITY SC</t>
        </is>
      </c>
      <c r="AT199" s="24" t="inlineStr">
        <is>
          <t>St. Louis CITY SC</t>
        </is>
      </c>
      <c r="AU199" s="24" t="inlineStr">
        <is>
          <t>St. Louis CITY SC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2026-08-01T23:52:07.835197Z</t>
        </is>
      </c>
      <c r="BI199" s="24" t="inlineStr">
        <is>
          <t>["same_event","same_team_same_day","same_league_same_day"]</t>
        </is>
      </c>
      <c r="BJ199" s="25" t="n"/>
      <c r="BK199" s="26" t="n">
        <v>100</v>
      </c>
      <c r="BL199" s="27" t="n">
        <v>2</v>
      </c>
      <c r="BM199" s="28" t="n">
        <v>0.5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</row>
    <row r="200" ht="36" customHeight="1">
      <c r="A200" s="24" t="inlineStr">
        <is>
          <t>17c41ca1fdf74770</t>
        </is>
      </c>
      <c r="B200" s="24" t="inlineStr">
        <is>
          <t>2026-08-01T23:53:24.455746Z</t>
        </is>
      </c>
      <c r="C200" s="24" t="inlineStr">
        <is>
          <t>2026-08-02T02:30Z</t>
        </is>
      </c>
      <c r="D200" s="24" t="inlineStr">
        <is>
          <t>761709</t>
        </is>
      </c>
      <c r="E200" s="24" t="inlineStr">
        <is>
          <t>SOCCER</t>
        </is>
      </c>
      <c r="F200" s="24" t="inlineStr">
        <is>
          <t>FC Dallas</t>
        </is>
      </c>
      <c r="G200" s="24" t="inlineStr">
        <is>
          <t>LA Galaxy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186</v>
      </c>
      <c r="M200" s="27" t="n">
        <v>2.86</v>
      </c>
      <c r="N200" s="28" t="n">
        <v>0.34965</v>
      </c>
      <c r="O200" s="28" t="n">
        <v>0.38746</v>
      </c>
      <c r="P200" s="28" t="n">
        <v>0.04</v>
      </c>
      <c r="Q200" s="28" t="n">
        <v>0.03781</v>
      </c>
      <c r="R200" s="26" t="n">
        <v>45</v>
      </c>
      <c r="S200" s="29" t="n">
        <v>1.5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0</v>
      </c>
      <c r="X200" s="26" t="n">
        <v>0</v>
      </c>
      <c r="Y200" s="25" t="n"/>
      <c r="Z200" s="26" t="n"/>
      <c r="AA200" s="28" t="n"/>
      <c r="AB200" s="28" t="n"/>
      <c r="AC200" s="30" t="n">
        <v>-1.5</v>
      </c>
      <c r="AD200" s="24" t="inlineStr">
        <is>
          <t>2026-08-02T16:08:40.273795Z</t>
        </is>
      </c>
      <c r="AE200" s="31" t="inlineStr">
        <is>
          <t>Poisson-DC rates 1.76 (home) / 1.79 (away) from EWMA attack/defense strengths. Executable ask 0.3500 (atc-mls-lag-dal-2026-08-01-dal).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FC Dallas</t>
        </is>
      </c>
      <c r="AQ200" s="24" t="inlineStr">
        <is>
          <t>FC Dallas</t>
        </is>
      </c>
      <c r="AR200" s="24" t="inlineStr">
        <is>
          <t>FC Dallas</t>
        </is>
      </c>
      <c r="AS200" s="24" t="inlineStr">
        <is>
          <t>LA Galaxy</t>
        </is>
      </c>
      <c r="AT200" s="24" t="inlineStr">
        <is>
          <t>LA Galaxy</t>
        </is>
      </c>
      <c r="AU200" s="24" t="inlineStr">
        <is>
          <t>LA Galaxy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34d1568aad0ff11b5db35f118324684f93281e1c21fa7b80be7a4a4e2cb4bb03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34d1568aad0ff11b5db35f118324684f93281e1c21fa7b80be7a4a4e2cb4bb03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34d1568aad0ff11b5db35f118324684f93281e1c21fa7b80be7a4a4e2cb4bb03</t>
        </is>
      </c>
      <c r="BH200" s="24" t="inlineStr">
        <is>
          <t>2026-08-01T23:52:11.231740Z</t>
        </is>
      </c>
      <c r="BI200" s="24" t="inlineStr">
        <is>
          <t>["same_event","same_team_same_day","same_league_same_day"]</t>
        </is>
      </c>
      <c r="BJ200" s="25" t="n"/>
      <c r="BK200" s="26" t="n">
        <v>186</v>
      </c>
      <c r="BL200" s="27" t="n">
        <v>2.86</v>
      </c>
      <c r="BM200" s="28" t="n">
        <v>0.34965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</row>
    <row r="201" ht="36" customHeight="1">
      <c r="A201" s="24" t="inlineStr">
        <is>
          <t>406e675981464953</t>
        </is>
      </c>
      <c r="B201" s="24" t="inlineStr">
        <is>
          <t>2026-08-02T16:48:43.908788Z</t>
        </is>
      </c>
      <c r="C201" s="24" t="inlineStr">
        <is>
          <t>2026-08-02T13:00:00-0400</t>
        </is>
      </c>
      <c r="D201" s="24" t="inlineStr">
        <is>
          <t>401857107</t>
        </is>
      </c>
      <c r="E201" s="24" t="inlineStr">
        <is>
          <t>WNBA</t>
        </is>
      </c>
      <c r="F201" s="24" t="inlineStr">
        <is>
          <t>Indiana Fever</t>
        </is>
      </c>
      <c r="G201" s="24" t="inlineStr">
        <is>
          <t>Minnesota Lynx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0.643489</v>
      </c>
      <c r="P201" s="28" t="n"/>
      <c r="Q201" s="28" t="n">
        <v>-0.006861</v>
      </c>
      <c r="R201" s="26" t="n">
        <v>20</v>
      </c>
      <c r="S201" s="29" t="n">
        <v>1.5</v>
      </c>
      <c r="T201" s="24" t="inlineStr">
        <is>
          <t>wnba-elo-trend-lr-v4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wnba-ind</t>
        </is>
      </c>
      <c r="AQ201" s="24" t="inlineStr">
        <is>
          <t>Indiana Fever</t>
        </is>
      </c>
      <c r="AR201" s="24" t="inlineStr">
        <is>
          <t>Indiana Fever</t>
        </is>
      </c>
      <c r="AS201" s="24" t="inlineStr">
        <is>
          <t>wnba-min</t>
        </is>
      </c>
      <c r="AT201" s="24" t="inlineStr">
        <is>
          <t>Minnesota Lynx</t>
        </is>
      </c>
      <c r="AU201" s="24" t="inlineStr">
        <is>
          <t>Minnesota Lynx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7afd5274214b58b7efd7f7febc7be3ab33b92351cda5cc6403c0a39faea0cc8c</t>
        </is>
      </c>
      <c r="BB201" s="24" t="inlineStr">
        <is>
          <t>learned_lr</t>
        </is>
      </c>
      <c r="BC201" s="24" t="inlineStr">
        <is>
          <t>wnba-elo-trend-lr-v4</t>
        </is>
      </c>
      <c r="BD201" s="24" t="inlineStr">
        <is>
          <t>7afd5274214b58b7efd7f7febc7be3ab33b92351cda5cc6403c0a39faea0cc8c</t>
        </is>
      </c>
      <c r="BE201" s="24" t="inlineStr">
        <is>
          <t>cb6d856341c7efe7</t>
        </is>
      </c>
      <c r="BF201" s="24" t="inlineStr">
        <is>
          <t>1</t>
        </is>
      </c>
      <c r="BG201" s="24" t="inlineStr">
        <is>
          <t>wnba-elo-trend-lr-v4</t>
        </is>
      </c>
      <c r="BH201" s="24" t="inlineStr">
        <is>
          <t>2026-08-02T16:47:30.539614Z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0.643564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0.6810434571</t>
        </is>
      </c>
      <c r="CD201" s="24" t="inlineStr">
        <is>
          <t>-4.330577</t>
        </is>
      </c>
      <c r="CE201" s="24" t="n"/>
      <c r="CF201" s="24" t="n"/>
      <c r="CG201" s="24" t="n"/>
      <c r="CH201" s="24" t="n"/>
      <c r="CI201" s="24" t="inlineStr">
        <is>
          <t>NO_CALL_AVAILABILITY_PLAYER_UNMAPPED</t>
        </is>
      </c>
      <c r="CJ201" s="24" t="n"/>
      <c r="CK201" s="24" t="n"/>
      <c r="CL201" s="24" t="n"/>
      <c r="CM201" s="24" t="n"/>
      <c r="CN201" s="24" t="n"/>
      <c r="CO201" s="24" t="n"/>
      <c r="CP201" s="24" t="inlineStr">
        <is>
          <t>0.643489</t>
        </is>
      </c>
      <c r="CQ201" s="24" t="inlineStr">
        <is>
          <t>0</t>
        </is>
      </c>
    </row>
    <row r="202" ht="36" customHeight="1">
      <c r="A202" s="24" t="inlineStr">
        <is>
          <t>4d895a66fde74244</t>
        </is>
      </c>
      <c r="B202" s="24" t="inlineStr">
        <is>
          <t>2026-08-02T12:28:25.454250Z</t>
        </is>
      </c>
      <c r="C202" s="24" t="inlineStr">
        <is>
          <t>2026-08-02T12:30Z</t>
        </is>
      </c>
      <c r="D202" s="24" t="inlineStr">
        <is>
          <t>401886552</t>
        </is>
      </c>
      <c r="E202" s="24" t="inlineStr">
        <is>
          <t>SOCCER</t>
        </is>
      </c>
      <c r="F202" s="24" t="inlineStr">
        <is>
          <t>Ajax Amsterdam</t>
        </is>
      </c>
      <c r="G202" s="24" t="inlineStr">
        <is>
          <t>FC Volendam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-194</v>
      </c>
      <c r="M202" s="27" t="n">
        <v>1.515464</v>
      </c>
      <c r="N202" s="28" t="n">
        <v>0.659864</v>
      </c>
      <c r="O202" s="28" t="n">
        <v>0.515227</v>
      </c>
      <c r="P202" s="28" t="n">
        <v>0.04</v>
      </c>
      <c r="Q202" s="28" t="n">
        <v>-0.144637</v>
      </c>
      <c r="R202" s="26" t="n">
        <v>0</v>
      </c>
      <c r="S202" s="29" t="n">
        <v>1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win</t>
        </is>
      </c>
      <c r="W202" s="26" t="n">
        <v>3</v>
      </c>
      <c r="X202" s="26" t="n">
        <v>1</v>
      </c>
      <c r="Y202" s="25" t="n"/>
      <c r="Z202" s="26" t="n"/>
      <c r="AA202" s="28" t="n"/>
      <c r="AB202" s="28" t="n"/>
      <c r="AC202" s="30" t="n">
        <v>0.5155</v>
      </c>
      <c r="AD202" s="24" t="inlineStr">
        <is>
          <t>2026-08-02T15:53:27.869718Z</t>
        </is>
      </c>
      <c r="AE202" s="31" t="inlineStr">
        <is>
          <t>Poisson-DC rates 0.88 (home) / 1.54 (away) from EWMA attack/defense strengths. Executable ask 0.6600 (atc-clbf-fvco-aja-2026-08-02-aja).</t>
        </is>
      </c>
      <c r="AF202" s="31" t="inlineStr">
        <is>
          <t>Research-only soccer score model; draw-aware, but not yet locked-holdout qualified.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Ajax Amsterdam</t>
        </is>
      </c>
      <c r="AQ202" s="24" t="inlineStr">
        <is>
          <t>Ajax Amsterdam</t>
        </is>
      </c>
      <c r="AR202" s="24" t="inlineStr">
        <is>
          <t>Ajax Amsterdam</t>
        </is>
      </c>
      <c r="AS202" s="24" t="inlineStr">
        <is>
          <t>FC Volendam</t>
        </is>
      </c>
      <c r="AT202" s="24" t="inlineStr">
        <is>
          <t>FC Volendam</t>
        </is>
      </c>
      <c r="AU202" s="24" t="inlineStr">
        <is>
          <t>FC Volendam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34d1568aad0ff11b5db35f118324684f93281e1c21fa7b80be7a4a4e2cb4bb03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34d1568aad0ff11b5db35f118324684f93281e1c21fa7b80be7a4a4e2cb4bb03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34d1568aad0ff11b5db35f118324684f93281e1c21fa7b80be7a4a4e2cb4bb03</t>
        </is>
      </c>
      <c r="BH202" s="24" t="inlineStr">
        <is>
          <t>2026-08-02T12:25:27.623402Z</t>
        </is>
      </c>
      <c r="BI202" s="24" t="inlineStr">
        <is>
          <t>["same_event","same_team_same_day","same_league_same_day"]</t>
        </is>
      </c>
      <c r="BJ202" s="25" t="n"/>
      <c r="BK202" s="26" t="n">
        <v>-194</v>
      </c>
      <c r="BL202" s="27" t="n">
        <v>1.515464</v>
      </c>
      <c r="BM202" s="28" t="n">
        <v>0.659864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</row>
    <row r="203" ht="36" customHeight="1">
      <c r="A203" s="24" t="inlineStr">
        <is>
          <t>b93cfe1d302c48e3</t>
        </is>
      </c>
      <c r="B203" s="24" t="inlineStr">
        <is>
          <t>2026-08-02T12:28:25.454250Z</t>
        </is>
      </c>
      <c r="C203" s="24" t="inlineStr">
        <is>
          <t>2026-08-02T13:00Z</t>
        </is>
      </c>
      <c r="D203" s="24" t="inlineStr">
        <is>
          <t>401886551</t>
        </is>
      </c>
      <c r="E203" s="24" t="inlineStr">
        <is>
          <t>SOCCER</t>
        </is>
      </c>
      <c r="F203" s="24" t="inlineStr">
        <is>
          <t>Atalanta</t>
        </is>
      </c>
      <c r="G203" s="24" t="inlineStr">
        <is>
          <t>Feyenoord Rotterdam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194</v>
      </c>
      <c r="M203" s="27" t="n">
        <v>2.94</v>
      </c>
      <c r="N203" s="28" t="n">
        <v>0.340136</v>
      </c>
      <c r="O203" s="28" t="n">
        <v>0.575359</v>
      </c>
      <c r="P203" s="28" t="n">
        <v>0.04</v>
      </c>
      <c r="Q203" s="28" t="n">
        <v>0.235223</v>
      </c>
      <c r="R203" s="26" t="n">
        <v>100</v>
      </c>
      <c r="S203" s="29" t="n">
        <v>1.25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2</v>
      </c>
      <c r="Y203" s="25" t="n"/>
      <c r="Z203" s="26" t="n"/>
      <c r="AA203" s="28" t="n"/>
      <c r="AB203" s="28" t="n"/>
      <c r="AC203" s="30" t="n">
        <v>2.425</v>
      </c>
      <c r="AD203" s="24" t="inlineStr">
        <is>
          <t>2026-08-02T15:53:28.234366Z</t>
        </is>
      </c>
      <c r="AE203" s="31" t="inlineStr">
        <is>
          <t>Poisson-DC rates 1.92 (home) / 1.01 (away) from EWMA attack/defense strengths. Executable ask 0.3400 (atc-clbf-fey-ata-2026-08-02-fey).</t>
        </is>
      </c>
      <c r="AF203" s="31" t="inlineStr">
        <is>
          <t>Research-only soccer score model; draw-aware, but not yet locked-holdout qualified.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Atalanta</t>
        </is>
      </c>
      <c r="AQ203" s="24" t="inlineStr">
        <is>
          <t>Atalanta</t>
        </is>
      </c>
      <c r="AR203" s="24" t="inlineStr">
        <is>
          <t>Atalanta</t>
        </is>
      </c>
      <c r="AS203" s="24" t="inlineStr">
        <is>
          <t>Feyenoord Rotterdam</t>
        </is>
      </c>
      <c r="AT203" s="24" t="inlineStr">
        <is>
          <t>Feyenoord Rotterdam</t>
        </is>
      </c>
      <c r="AU203" s="24" t="inlineStr">
        <is>
          <t>Feyenoord Rotterdam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34d1568aad0ff11b5db35f118324684f93281e1c21fa7b80be7a4a4e2cb4bb03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34d1568aad0ff11b5db35f118324684f93281e1c21fa7b80be7a4a4e2cb4bb03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34d1568aad0ff11b5db35f118324684f93281e1c21fa7b80be7a4a4e2cb4bb03</t>
        </is>
      </c>
      <c r="BH203" s="24" t="inlineStr">
        <is>
          <t>2026-08-02T12:25:27.610137Z</t>
        </is>
      </c>
      <c r="BI203" s="24" t="inlineStr">
        <is>
          <t>["same_event","same_team_same_day","same_league_same_day"]</t>
        </is>
      </c>
      <c r="BJ203" s="25" t="n"/>
      <c r="BK203" s="26" t="n">
        <v>194</v>
      </c>
      <c r="BL203" s="27" t="n">
        <v>2.94</v>
      </c>
      <c r="BM203" s="28" t="n">
        <v>0.340136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</row>
    <row r="204" ht="36" customHeight="1">
      <c r="A204" s="24" t="inlineStr">
        <is>
          <t>c263948c11c94638</t>
        </is>
      </c>
      <c r="B204" s="24" t="inlineStr">
        <is>
          <t>2026-08-02T13:05:47.245126Z</t>
        </is>
      </c>
      <c r="C204" s="24" t="inlineStr">
        <is>
          <t>2026-08-02T15:00Z</t>
        </is>
      </c>
      <c r="D204" s="24" t="inlineStr">
        <is>
          <t>401872734</t>
        </is>
      </c>
      <c r="E204" s="24" t="inlineStr">
        <is>
          <t>SOCCER</t>
        </is>
      </c>
      <c r="F204" s="24" t="inlineStr">
        <is>
          <t>Boston River</t>
        </is>
      </c>
      <c r="G204" s="24" t="inlineStr">
        <is>
          <t>Racing (Montevideo)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-127</v>
      </c>
      <c r="M204" s="27" t="n">
        <v>1.787402</v>
      </c>
      <c r="N204" s="28" t="n">
        <v>0.5594710000000001</v>
      </c>
      <c r="O204" s="28" t="n">
        <v>0.5359159999999999</v>
      </c>
      <c r="P204" s="28" t="n">
        <v>0.2</v>
      </c>
      <c r="Q204" s="28" t="n">
        <v>-0.023555</v>
      </c>
      <c r="R204" s="26" t="n">
        <v>0</v>
      </c>
      <c r="S204" s="29" t="n">
        <v>1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0.7874</v>
      </c>
      <c r="AD204" s="24" t="inlineStr">
        <is>
          <t>2026-08-02T17:25:12.235140Z</t>
        </is>
      </c>
      <c r="AE204" s="31" t="inlineStr">
        <is>
          <t>Poisson-DC rates 1.84 (home) / 1.10 (away) from EWMA attack/defense strengths. Executable ask 0.5600 (atc-uru1-rcm-bri-2026-08-02-rcm).</t>
        </is>
      </c>
      <c r="AF204" s="31" t="inlineStr">
        <is>
          <t>Research-only soccer score model; draw-aware, but not yet locked-holdout qualified.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Boston River</t>
        </is>
      </c>
      <c r="AQ204" s="24" t="inlineStr">
        <is>
          <t>Boston River</t>
        </is>
      </c>
      <c r="AR204" s="24" t="inlineStr">
        <is>
          <t>Boston River</t>
        </is>
      </c>
      <c r="AS204" s="24" t="inlineStr">
        <is>
          <t>Racing (Montevideo)</t>
        </is>
      </c>
      <c r="AT204" s="24" t="inlineStr">
        <is>
          <t>Racing (Montevideo)</t>
        </is>
      </c>
      <c r="AU204" s="24" t="inlineStr">
        <is>
          <t>Racing (Montevideo)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34d1568aad0ff11b5db35f118324684f93281e1c21fa7b80be7a4a4e2cb4bb03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34d1568aad0ff11b5db35f118324684f93281e1c21fa7b80be7a4a4e2cb4bb03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34d1568aad0ff11b5db35f118324684f93281e1c21fa7b80be7a4a4e2cb4bb03</t>
        </is>
      </c>
      <c r="BH204" s="24" t="inlineStr">
        <is>
          <t>2026-08-02T13:02:47.678863Z</t>
        </is>
      </c>
      <c r="BI204" s="24" t="inlineStr">
        <is>
          <t>["same_event","same_team_same_day","same_league_same_day"]</t>
        </is>
      </c>
      <c r="BJ204" s="25" t="n"/>
      <c r="BK204" s="26" t="n">
        <v>-127</v>
      </c>
      <c r="BL204" s="27" t="n">
        <v>1.787402</v>
      </c>
      <c r="BM204" s="28" t="n">
        <v>0.5594710000000001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</row>
    <row r="205" ht="36" customHeight="1">
      <c r="A205" s="24" t="inlineStr">
        <is>
          <t>2d67de72f6ba48bd</t>
        </is>
      </c>
      <c r="B205" s="24" t="inlineStr">
        <is>
          <t>2026-08-02T13:05:47.245126Z</t>
        </is>
      </c>
      <c r="C205" s="24" t="inlineStr">
        <is>
          <t>2026-08-02T14:30Z</t>
        </is>
      </c>
      <c r="D205" s="24" t="inlineStr">
        <is>
          <t>401898711</t>
        </is>
      </c>
      <c r="E205" s="24" t="inlineStr">
        <is>
          <t>SOCCER</t>
        </is>
      </c>
      <c r="F205" s="24" t="inlineStr">
        <is>
          <t>Udinese</t>
        </is>
      </c>
      <c r="G205" s="24" t="inlineStr">
        <is>
          <t>Trabzonspor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156</v>
      </c>
      <c r="M205" s="27" t="n">
        <v>2.56</v>
      </c>
      <c r="N205" s="28" t="n">
        <v>0.390625</v>
      </c>
      <c r="O205" s="28" t="n">
        <v>0.395816</v>
      </c>
      <c r="P205" s="28" t="n">
        <v>0.2</v>
      </c>
      <c r="Q205" s="28" t="n">
        <v>0.005191</v>
      </c>
      <c r="R205" s="26" t="n">
        <v>0</v>
      </c>
      <c r="S205" s="29" t="n">
        <v>1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/>
      <c r="AA205" s="28" t="n"/>
      <c r="AB205" s="28" t="n"/>
      <c r="AC205" s="30" t="n">
        <v>1.56</v>
      </c>
      <c r="AD205" s="24" t="inlineStr">
        <is>
          <t>2026-08-02T16:39:53.616358Z</t>
        </is>
      </c>
      <c r="AE205" s="31" t="inlineStr">
        <is>
          <t>Poisson-DC rates 1.26 (home) / 1.06 (away) from EWMA attack/defense strengths. Executable ask 0.3900 (atc-clbf-tra-udi-2026-08-02-tra).</t>
        </is>
      </c>
      <c r="AF205" s="31" t="inlineStr">
        <is>
          <t>Research-only soccer score model; draw-aware, but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Udinese</t>
        </is>
      </c>
      <c r="AQ205" s="24" t="inlineStr">
        <is>
          <t>Udinese</t>
        </is>
      </c>
      <c r="AR205" s="24" t="inlineStr">
        <is>
          <t>Udinese</t>
        </is>
      </c>
      <c r="AS205" s="24" t="inlineStr">
        <is>
          <t>Trabzonspor</t>
        </is>
      </c>
      <c r="AT205" s="24" t="inlineStr">
        <is>
          <t>Trabzonspor</t>
        </is>
      </c>
      <c r="AU205" s="24" t="inlineStr">
        <is>
          <t>Trabzonspor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34d1568aad0ff11b5db35f118324684f93281e1c21fa7b80be7a4a4e2cb4bb03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34d1568aad0ff11b5db35f118324684f93281e1c21fa7b80be7a4a4e2cb4bb03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34d1568aad0ff11b5db35f118324684f93281e1c21fa7b80be7a4a4e2cb4bb03</t>
        </is>
      </c>
      <c r="BH205" s="24" t="inlineStr">
        <is>
          <t>2026-08-02T13:02:50.866524Z</t>
        </is>
      </c>
      <c r="BI205" s="24" t="inlineStr">
        <is>
          <t>["same_event","same_team_same_day","same_league_same_day"]</t>
        </is>
      </c>
      <c r="BJ205" s="25" t="n"/>
      <c r="BK205" s="26" t="n">
        <v>156</v>
      </c>
      <c r="BL205" s="27" t="n">
        <v>2.56</v>
      </c>
      <c r="BM205" s="28" t="n">
        <v>0.390625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</row>
    <row r="206" ht="36" customHeight="1">
      <c r="A206" s="24" t="inlineStr">
        <is>
          <t>c03585b82e134879</t>
        </is>
      </c>
      <c r="B206" s="24" t="inlineStr">
        <is>
          <t>2026-08-02T15:49:40.829108Z</t>
        </is>
      </c>
      <c r="C206" s="24" t="inlineStr">
        <is>
          <t>2026-08-02T16:00Z</t>
        </is>
      </c>
      <c r="D206" s="24" t="inlineStr">
        <is>
          <t>401897751</t>
        </is>
      </c>
      <c r="E206" s="24" t="inlineStr">
        <is>
          <t>SOCCER</t>
        </is>
      </c>
      <c r="F206" s="24" t="inlineStr">
        <is>
          <t>Wrexham</t>
        </is>
      </c>
      <c r="G206" s="24" t="inlineStr">
        <is>
          <t>Sunderland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-104</v>
      </c>
      <c r="M206" s="27" t="n">
        <v>1.961538</v>
      </c>
      <c r="N206" s="28" t="n">
        <v>0.509804</v>
      </c>
      <c r="O206" s="28" t="n">
        <v>0.395592</v>
      </c>
      <c r="P206" s="28" t="n">
        <v>0.04</v>
      </c>
      <c r="Q206" s="28" t="n">
        <v>-0.114212</v>
      </c>
      <c r="R206" s="26" t="n">
        <v>0</v>
      </c>
      <c r="S206" s="29" t="n">
        <v>1.5</v>
      </c>
      <c r="T206" s="24" t="inlineStr">
        <is>
          <t>soccer-poisson-dc-v1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Poisson-DC rates 1.40 (home) / 1.24 (away) from EWMA attack/defense strengths. Executable ask 0.5100 (atc-clbf-sun-wre-2026-08-02-sun).</t>
        </is>
      </c>
      <c r="AF206" s="31" t="inlineStr">
        <is>
          <t>Research-only soccer score model; draw-aware, but not yet locked-holdout qualified.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NO_CALL_LOW_EDGE</t>
        </is>
      </c>
      <c r="AP206" s="24" t="inlineStr">
        <is>
          <t>Wrexham</t>
        </is>
      </c>
      <c r="AQ206" s="24" t="inlineStr">
        <is>
          <t>Wrexham</t>
        </is>
      </c>
      <c r="AR206" s="24" t="inlineStr">
        <is>
          <t>Wrexham</t>
        </is>
      </c>
      <c r="AS206" s="24" t="inlineStr">
        <is>
          <t>Sunderland</t>
        </is>
      </c>
      <c r="AT206" s="24" t="inlineStr">
        <is>
          <t>Sunderland</t>
        </is>
      </c>
      <c r="AU206" s="24" t="inlineStr">
        <is>
          <t>Sunderland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34d1568aad0ff11b5db35f118324684f93281e1c21fa7b80be7a4a4e2cb4bb03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34d1568aad0ff11b5db35f118324684f93281e1c21fa7b80be7a4a4e2cb4bb03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34d1568aad0ff11b5db35f118324684f93281e1c21fa7b80be7a4a4e2cb4bb03</t>
        </is>
      </c>
      <c r="BH206" s="24" t="inlineStr">
        <is>
          <t>2026-08-02T15:46:37.855949Z</t>
        </is>
      </c>
      <c r="BI206" s="24" t="inlineStr">
        <is>
          <t>["same_event","same_team_same_day","same_league_same_day"]</t>
        </is>
      </c>
      <c r="BJ206" s="25" t="n"/>
      <c r="BK206" s="26" t="n">
        <v>-104</v>
      </c>
      <c r="BL206" s="27" t="n">
        <v>1.961538</v>
      </c>
      <c r="BM206" s="28" t="n">
        <v>0.509804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inlineStr">
        <is>
          <t>0</t>
        </is>
      </c>
    </row>
    <row r="207" ht="36" customHeight="1">
      <c r="A207" s="24" t="inlineStr">
        <is>
          <t>70aef8c352cf40f1</t>
        </is>
      </c>
      <c r="B207" s="24" t="inlineStr">
        <is>
          <t>2026-08-02T16:51:15.727312Z</t>
        </is>
      </c>
      <c r="C207" s="24" t="inlineStr">
        <is>
          <t>2026-08-02T17:30Z</t>
        </is>
      </c>
      <c r="D207" s="24" t="inlineStr">
        <is>
          <t>401841470</t>
        </is>
      </c>
      <c r="E207" s="24" t="inlineStr">
        <is>
          <t>SOCCER</t>
        </is>
      </c>
      <c r="F207" s="24" t="inlineStr">
        <is>
          <t>Gimnasia La Plata</t>
        </is>
      </c>
      <c r="G207" s="24" t="inlineStr">
        <is>
          <t>Aldosivi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233</v>
      </c>
      <c r="M207" s="27" t="n">
        <v>3.33</v>
      </c>
      <c r="N207" s="28" t="n">
        <v>0.3003</v>
      </c>
      <c r="O207" s="28" t="n">
        <v>0.456135</v>
      </c>
      <c r="P207" s="28" t="n">
        <v>0.2</v>
      </c>
      <c r="Q207" s="28" t="n">
        <v>0.155835</v>
      </c>
      <c r="R207" s="26" t="n">
        <v>8</v>
      </c>
      <c r="S207" s="29" t="n">
        <v>1</v>
      </c>
      <c r="T207" s="24" t="inlineStr">
        <is>
          <t>soccer-poisson-dc-v1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Poisson-DC rates 1.64 (home) / 1.24 (away) from EWMA attack/defense strengths. Executable ask 0.3000 (atc-lpa-ald-gim-2026-08-02-ald).</t>
        </is>
      </c>
      <c r="AF207" s="31" t="inlineStr">
        <is>
          <t>Research-only soccer score model; draw-aware, but not yet locked-holdout qualified.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Gimnasia La Plata</t>
        </is>
      </c>
      <c r="AQ207" s="24" t="inlineStr">
        <is>
          <t>Gimnasia La Plata</t>
        </is>
      </c>
      <c r="AR207" s="24" t="inlineStr">
        <is>
          <t>Gimnasia La Plata</t>
        </is>
      </c>
      <c r="AS207" s="24" t="inlineStr">
        <is>
          <t>Aldosivi</t>
        </is>
      </c>
      <c r="AT207" s="24" t="inlineStr">
        <is>
          <t>Aldosivi</t>
        </is>
      </c>
      <c r="AU207" s="24" t="inlineStr">
        <is>
          <t>Aldosivi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34d1568aad0ff11b5db35f118324684f93281e1c21fa7b80be7a4a4e2cb4bb03</t>
        </is>
      </c>
      <c r="BB207" s="24" t="inlineStr">
        <is>
          <t>poisson_dixon_coles</t>
        </is>
      </c>
      <c r="BC207" s="24" t="inlineStr">
        <is>
          <t>soccer-poisson-dc-v1</t>
        </is>
      </c>
      <c r="BD207" s="24" t="inlineStr">
        <is>
          <t>34d1568aad0ff11b5db35f118324684f93281e1c21fa7b80be7a4a4e2cb4bb03</t>
        </is>
      </c>
      <c r="BE207" s="24" t="inlineStr">
        <is>
          <t>soccer-poisson-dc-v1</t>
        </is>
      </c>
      <c r="BF207" s="24" t="inlineStr">
        <is>
          <t>1</t>
        </is>
      </c>
      <c r="BG207" s="24" t="inlineStr">
        <is>
          <t>34d1568aad0ff11b5db35f118324684f93281e1c21fa7b80be7a4a4e2cb4bb03</t>
        </is>
      </c>
      <c r="BH207" s="24" t="inlineStr">
        <is>
          <t>2026-08-02T16:47:34.772770Z</t>
        </is>
      </c>
      <c r="BI207" s="24" t="inlineStr">
        <is>
          <t>["same_event","same_team_same_day","same_league_same_day"]</t>
        </is>
      </c>
      <c r="BJ207" s="25" t="n"/>
      <c r="BK207" s="26" t="n">
        <v>233</v>
      </c>
      <c r="BL207" s="27" t="n">
        <v>3.33</v>
      </c>
      <c r="BM207" s="28" t="n">
        <v>0.3003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inlineStr">
        <is>
          <t>1</t>
        </is>
      </c>
    </row>
    <row r="208" ht="36" customHeight="1">
      <c r="A208" s="24" t="inlineStr">
        <is>
          <t>515f74ba1e2e4ddf</t>
        </is>
      </c>
      <c r="B208" s="24" t="inlineStr">
        <is>
          <t>2026-08-02T16:51:15.727312Z</t>
        </is>
      </c>
      <c r="C208" s="24" t="inlineStr">
        <is>
          <t>2026-08-02T20:00Z</t>
        </is>
      </c>
      <c r="D208" s="24" t="inlineStr">
        <is>
          <t>401841473</t>
        </is>
      </c>
      <c r="E208" s="24" t="inlineStr">
        <is>
          <t>SOCCER</t>
        </is>
      </c>
      <c r="F208" s="24" t="inlineStr">
        <is>
          <t>Boca Juniors</t>
        </is>
      </c>
      <c r="G208" s="24" t="inlineStr">
        <is>
          <t>Newell's Old Boys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355</v>
      </c>
      <c r="M208" s="27" t="n">
        <v>4.55</v>
      </c>
      <c r="N208" s="28" t="n">
        <v>0.21978</v>
      </c>
      <c r="O208" s="28" t="n">
        <v>0.398039</v>
      </c>
      <c r="P208" s="28" t="n">
        <v>0.2</v>
      </c>
      <c r="Q208" s="28" t="n">
        <v>0.178259</v>
      </c>
      <c r="R208" s="26" t="n">
        <v>19</v>
      </c>
      <c r="S208" s="29" t="n">
        <v>1</v>
      </c>
      <c r="T208" s="24" t="inlineStr">
        <is>
          <t>soccer-poisson-dc-v1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Poisson-DC rates 1.46 (home) / 1.30 (away) from EWMA attack/defense strengths. Executable ask 0.2200 (atc-lpa-new-boc-2026-08-02-new).</t>
        </is>
      </c>
      <c r="AF208" s="31" t="inlineStr">
        <is>
          <t>Research-only soccer score model; draw-aware, but not yet locked-holdout qualified.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Boca Juniors</t>
        </is>
      </c>
      <c r="AQ208" s="24" t="inlineStr">
        <is>
          <t>Boca Juniors</t>
        </is>
      </c>
      <c r="AR208" s="24" t="inlineStr">
        <is>
          <t>Boca Juniors</t>
        </is>
      </c>
      <c r="AS208" s="24" t="inlineStr">
        <is>
          <t>Newell's Old Boys</t>
        </is>
      </c>
      <c r="AT208" s="24" t="inlineStr">
        <is>
          <t>Newell's Old Boys</t>
        </is>
      </c>
      <c r="AU208" s="24" t="inlineStr">
        <is>
          <t>Newell's Old Boys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34d1568aad0ff11b5db35f118324684f93281e1c21fa7b80be7a4a4e2cb4bb03</t>
        </is>
      </c>
      <c r="BB208" s="24" t="inlineStr">
        <is>
          <t>poisson_dixon_coles</t>
        </is>
      </c>
      <c r="BC208" s="24" t="inlineStr">
        <is>
          <t>soccer-poisson-dc-v1</t>
        </is>
      </c>
      <c r="BD208" s="24" t="inlineStr">
        <is>
          <t>34d1568aad0ff11b5db35f118324684f93281e1c21fa7b80be7a4a4e2cb4bb03</t>
        </is>
      </c>
      <c r="BE208" s="24" t="inlineStr">
        <is>
          <t>soccer-poisson-dc-v1</t>
        </is>
      </c>
      <c r="BF208" s="24" t="inlineStr">
        <is>
          <t>1</t>
        </is>
      </c>
      <c r="BG208" s="24" t="inlineStr">
        <is>
          <t>34d1568aad0ff11b5db35f118324684f93281e1c21fa7b80be7a4a4e2cb4bb03</t>
        </is>
      </c>
      <c r="BH208" s="24" t="inlineStr">
        <is>
          <t>2026-08-02T16:47:34.761524Z</t>
        </is>
      </c>
      <c r="BI208" s="24" t="inlineStr">
        <is>
          <t>["same_event","same_team_same_day","same_league_same_day"]</t>
        </is>
      </c>
      <c r="BJ208" s="25" t="n"/>
      <c r="BK208" s="26" t="n">
        <v>355</v>
      </c>
      <c r="BL208" s="27" t="n">
        <v>4.55</v>
      </c>
      <c r="BM208" s="28" t="n">
        <v>0.21978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inlineStr">
        <is>
          <t>1</t>
        </is>
      </c>
    </row>
    <row r="209" ht="36" customHeight="1">
      <c r="A209" s="24" t="inlineStr">
        <is>
          <t>dabc34675953450d</t>
        </is>
      </c>
      <c r="B209" s="24" t="inlineStr">
        <is>
          <t>2026-08-02T16:51:15.727312Z</t>
        </is>
      </c>
      <c r="C209" s="24" t="inlineStr">
        <is>
          <t>2026-08-02T22:15Z</t>
        </is>
      </c>
      <c r="D209" s="24" t="inlineStr">
        <is>
          <t>401841476</t>
        </is>
      </c>
      <c r="E209" s="24" t="inlineStr">
        <is>
          <t>SOCCER</t>
        </is>
      </c>
      <c r="F209" s="24" t="inlineStr">
        <is>
          <t>Rosario Central</t>
        </is>
      </c>
      <c r="G209" s="24" t="inlineStr">
        <is>
          <t>River Plate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113</v>
      </c>
      <c r="M209" s="27" t="n">
        <v>2.13</v>
      </c>
      <c r="N209" s="28" t="n">
        <v>0.469484</v>
      </c>
      <c r="O209" s="28" t="n">
        <v>0.5359159999999999</v>
      </c>
      <c r="P209" s="28" t="n">
        <v>0.2</v>
      </c>
      <c r="Q209" s="28" t="n">
        <v>0.066432</v>
      </c>
      <c r="R209" s="26" t="n">
        <v>0</v>
      </c>
      <c r="S209" s="29" t="n">
        <v>1</v>
      </c>
      <c r="T209" s="24" t="inlineStr">
        <is>
          <t>soccer-poisson-dc-v1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Poisson-DC rates 1.84 (home) / 1.10 (away) from EWMA attack/defense strengths. Executable ask 0.4700 (atc-lpa-riv-ros-2026-08-02-riv).</t>
        </is>
      </c>
      <c r="AF209" s="31" t="inlineStr">
        <is>
          <t>Research-only soccer score model; draw-aware, but not yet locked-holdout qualified.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Rosario Central</t>
        </is>
      </c>
      <c r="AQ209" s="24" t="inlineStr">
        <is>
          <t>Rosario Central</t>
        </is>
      </c>
      <c r="AR209" s="24" t="inlineStr">
        <is>
          <t>Rosario Central</t>
        </is>
      </c>
      <c r="AS209" s="24" t="inlineStr">
        <is>
          <t>River Plate</t>
        </is>
      </c>
      <c r="AT209" s="24" t="inlineStr">
        <is>
          <t>River Plate</t>
        </is>
      </c>
      <c r="AU209" s="24" t="inlineStr">
        <is>
          <t>River Plate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34d1568aad0ff11b5db35f118324684f93281e1c21fa7b80be7a4a4e2cb4bb03</t>
        </is>
      </c>
      <c r="BB209" s="24" t="inlineStr">
        <is>
          <t>poisson_dixon_coles</t>
        </is>
      </c>
      <c r="BC209" s="24" t="inlineStr">
        <is>
          <t>soccer-poisson-dc-v1</t>
        </is>
      </c>
      <c r="BD209" s="24" t="inlineStr">
        <is>
          <t>34d1568aad0ff11b5db35f118324684f93281e1c21fa7b80be7a4a4e2cb4bb03</t>
        </is>
      </c>
      <c r="BE209" s="24" t="inlineStr">
        <is>
          <t>soccer-poisson-dc-v1</t>
        </is>
      </c>
      <c r="BF209" s="24" t="inlineStr">
        <is>
          <t>1</t>
        </is>
      </c>
      <c r="BG209" s="24" t="inlineStr">
        <is>
          <t>34d1568aad0ff11b5db35f118324684f93281e1c21fa7b80be7a4a4e2cb4bb03</t>
        </is>
      </c>
      <c r="BH209" s="24" t="inlineStr">
        <is>
          <t>2026-08-02T16:47:35.319407Z</t>
        </is>
      </c>
      <c r="BI209" s="24" t="inlineStr">
        <is>
          <t>["same_event","same_team_same_day","same_league_same_day"]</t>
        </is>
      </c>
      <c r="BJ209" s="25" t="n"/>
      <c r="BK209" s="26" t="n">
        <v>113</v>
      </c>
      <c r="BL209" s="27" t="n">
        <v>2.13</v>
      </c>
      <c r="BM209" s="28" t="n">
        <v>0.469484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inlineStr">
        <is>
          <t>1</t>
        </is>
      </c>
    </row>
    <row r="210" ht="36" customHeight="1">
      <c r="A210" s="24" t="inlineStr">
        <is>
          <t>3dc37e7e9ec74a59</t>
        </is>
      </c>
      <c r="B210" s="24" t="inlineStr">
        <is>
          <t>2026-08-02T16:51:15.727312Z</t>
        </is>
      </c>
      <c r="C210" s="24" t="inlineStr">
        <is>
          <t>2026-08-02T18:00Z</t>
        </is>
      </c>
      <c r="D210" s="24" t="inlineStr">
        <is>
          <t>401844015</t>
        </is>
      </c>
      <c r="E210" s="24" t="inlineStr">
        <is>
          <t>SOCCER</t>
        </is>
      </c>
      <c r="F210" s="24" t="inlineStr">
        <is>
          <t>Agropecuario</t>
        </is>
      </c>
      <c r="G210" s="24" t="inlineStr">
        <is>
          <t>Chacarita Juniors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122</v>
      </c>
      <c r="M210" s="27" t="n">
        <v>2.22</v>
      </c>
      <c r="N210" s="28" t="n">
        <v>0.45045</v>
      </c>
      <c r="O210" s="28" t="n">
        <v>0.456135</v>
      </c>
      <c r="P210" s="28" t="n">
        <v>0.2</v>
      </c>
      <c r="Q210" s="28" t="n">
        <v>0.005685</v>
      </c>
      <c r="R210" s="26" t="n">
        <v>0</v>
      </c>
      <c r="S210" s="29" t="n">
        <v>1</v>
      </c>
      <c r="T210" s="24" t="inlineStr">
        <is>
          <t>soccer-poisson-dc-v1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Poisson-DC rates 1.64 (home) / 1.24 (away) from EWMA attack/defense strengths. Executable ask 0.4500 (atc-arg2-cjh-caa-2026-08-01-cjh).</t>
        </is>
      </c>
      <c r="AF210" s="31" t="inlineStr">
        <is>
          <t>Research-only soccer score model; draw-aware, but not yet locked-holdout qualified.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NO_CALL_LOW_EDGE</t>
        </is>
      </c>
      <c r="AP210" s="24" t="inlineStr">
        <is>
          <t>Agropecuario</t>
        </is>
      </c>
      <c r="AQ210" s="24" t="inlineStr">
        <is>
          <t>Agropecuario</t>
        </is>
      </c>
      <c r="AR210" s="24" t="inlineStr">
        <is>
          <t>Agropecuario</t>
        </is>
      </c>
      <c r="AS210" s="24" t="inlineStr">
        <is>
          <t>Chacarita Juniors</t>
        </is>
      </c>
      <c r="AT210" s="24" t="inlineStr">
        <is>
          <t>Chacarita Juniors</t>
        </is>
      </c>
      <c r="AU210" s="24" t="inlineStr">
        <is>
          <t>Chacarita Juniors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34d1568aad0ff11b5db35f118324684f93281e1c21fa7b80be7a4a4e2cb4bb03</t>
        </is>
      </c>
      <c r="BB210" s="24" t="inlineStr">
        <is>
          <t>poisson_dixon_coles</t>
        </is>
      </c>
      <c r="BC210" s="24" t="inlineStr">
        <is>
          <t>soccer-poisson-dc-v1</t>
        </is>
      </c>
      <c r="BD210" s="24" t="inlineStr">
        <is>
          <t>34d1568aad0ff11b5db35f118324684f93281e1c21fa7b80be7a4a4e2cb4bb03</t>
        </is>
      </c>
      <c r="BE210" s="24" t="inlineStr">
        <is>
          <t>soccer-poisson-dc-v1</t>
        </is>
      </c>
      <c r="BF210" s="24" t="inlineStr">
        <is>
          <t>1</t>
        </is>
      </c>
      <c r="BG210" s="24" t="inlineStr">
        <is>
          <t>34d1568aad0ff11b5db35f118324684f93281e1c21fa7b80be7a4a4e2cb4bb03</t>
        </is>
      </c>
      <c r="BH210" s="24" t="inlineStr">
        <is>
          <t>2026-08-02T16:47:35.929520Z</t>
        </is>
      </c>
      <c r="BI210" s="24" t="inlineStr">
        <is>
          <t>["same_event","same_team_same_day","same_league_same_day"]</t>
        </is>
      </c>
      <c r="BJ210" s="25" t="n"/>
      <c r="BK210" s="26" t="n">
        <v>122</v>
      </c>
      <c r="BL210" s="27" t="n">
        <v>2.22</v>
      </c>
      <c r="BM210" s="28" t="n">
        <v>0.45045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inlineStr">
        <is>
          <t>1</t>
        </is>
      </c>
    </row>
    <row r="211" ht="36" customHeight="1">
      <c r="A211" s="24" t="inlineStr">
        <is>
          <t>97ba1cb700cb43c7</t>
        </is>
      </c>
      <c r="B211" s="24" t="inlineStr">
        <is>
          <t>2026-08-02T16:51:15.727312Z</t>
        </is>
      </c>
      <c r="C211" s="24" t="inlineStr">
        <is>
          <t>2026-08-02T18:00Z</t>
        </is>
      </c>
      <c r="D211" s="24" t="inlineStr">
        <is>
          <t>401844019</t>
        </is>
      </c>
      <c r="E211" s="24" t="inlineStr">
        <is>
          <t>SOCCER</t>
        </is>
      </c>
      <c r="F211" s="24" t="inlineStr">
        <is>
          <t>San Miguel</t>
        </is>
      </c>
      <c r="G211" s="24" t="inlineStr">
        <is>
          <t>San Telmo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178</v>
      </c>
      <c r="M211" s="27" t="n">
        <v>2.78</v>
      </c>
      <c r="N211" s="28" t="n">
        <v>0.359712</v>
      </c>
      <c r="O211" s="28" t="n">
        <v>0.456135</v>
      </c>
      <c r="P211" s="28" t="n">
        <v>0.2</v>
      </c>
      <c r="Q211" s="28" t="n">
        <v>0.09642299999999999</v>
      </c>
      <c r="R211" s="26" t="n">
        <v>0</v>
      </c>
      <c r="S211" s="29" t="n">
        <v>1</v>
      </c>
      <c r="T211" s="24" t="inlineStr">
        <is>
          <t>soccer-poisson-dc-v1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Poisson-DC rates 1.64 (home) / 1.24 (away) from EWMA attack/defense strengths. Executable ask 0.3600 (atc-arg2-ste-casm-2026-08-02-ste).</t>
        </is>
      </c>
      <c r="AF211" s="31" t="inlineStr">
        <is>
          <t>Research-only soccer score model; draw-aware, but not yet locked-holdout qualified.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San Miguel</t>
        </is>
      </c>
      <c r="AQ211" s="24" t="inlineStr">
        <is>
          <t>San Miguel</t>
        </is>
      </c>
      <c r="AR211" s="24" t="inlineStr">
        <is>
          <t>San Miguel</t>
        </is>
      </c>
      <c r="AS211" s="24" t="inlineStr">
        <is>
          <t>San Telmo</t>
        </is>
      </c>
      <c r="AT211" s="24" t="inlineStr">
        <is>
          <t>San Telmo</t>
        </is>
      </c>
      <c r="AU211" s="24" t="inlineStr">
        <is>
          <t>San Telmo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34d1568aad0ff11b5db35f118324684f93281e1c21fa7b80be7a4a4e2cb4bb03</t>
        </is>
      </c>
      <c r="BB211" s="24" t="inlineStr">
        <is>
          <t>poisson_dixon_coles</t>
        </is>
      </c>
      <c r="BC211" s="24" t="inlineStr">
        <is>
          <t>soccer-poisson-dc-v1</t>
        </is>
      </c>
      <c r="BD211" s="24" t="inlineStr">
        <is>
          <t>34d1568aad0ff11b5db35f118324684f93281e1c21fa7b80be7a4a4e2cb4bb03</t>
        </is>
      </c>
      <c r="BE211" s="24" t="inlineStr">
        <is>
          <t>soccer-poisson-dc-v1</t>
        </is>
      </c>
      <c r="BF211" s="24" t="inlineStr">
        <is>
          <t>1</t>
        </is>
      </c>
      <c r="BG211" s="24" t="inlineStr">
        <is>
          <t>34d1568aad0ff11b5db35f118324684f93281e1c21fa7b80be7a4a4e2cb4bb03</t>
        </is>
      </c>
      <c r="BH211" s="24" t="inlineStr">
        <is>
          <t>2026-08-02T16:47:36.485049Z</t>
        </is>
      </c>
      <c r="BI211" s="24" t="inlineStr">
        <is>
          <t>["same_event","same_team_same_day","same_league_same_day"]</t>
        </is>
      </c>
      <c r="BJ211" s="25" t="n"/>
      <c r="BK211" s="26" t="n">
        <v>178</v>
      </c>
      <c r="BL211" s="27" t="n">
        <v>2.78</v>
      </c>
      <c r="BM211" s="28" t="n">
        <v>0.359712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inlineStr">
        <is>
          <t>1</t>
        </is>
      </c>
    </row>
    <row r="212" ht="36" customHeight="1">
      <c r="A212" s="24" t="inlineStr">
        <is>
          <t>95be0e3f07f44fd6</t>
        </is>
      </c>
      <c r="B212" s="24" t="inlineStr">
        <is>
          <t>2026-08-02T16:51:15.727312Z</t>
        </is>
      </c>
      <c r="C212" s="24" t="inlineStr">
        <is>
          <t>2026-08-02T18:30Z</t>
        </is>
      </c>
      <c r="D212" s="24" t="inlineStr">
        <is>
          <t>401844012</t>
        </is>
      </c>
      <c r="E212" s="24" t="inlineStr">
        <is>
          <t>SOCCER</t>
        </is>
      </c>
      <c r="F212" s="24" t="inlineStr">
        <is>
          <t>Gimnasia y Tiro (Salta)</t>
        </is>
      </c>
      <c r="G212" s="24" t="inlineStr">
        <is>
          <t>Temperley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117</v>
      </c>
      <c r="M212" s="27" t="n">
        <v>2.17</v>
      </c>
      <c r="N212" s="28" t="n">
        <v>0.460829</v>
      </c>
      <c r="O212" s="28" t="n">
        <v>0.456135</v>
      </c>
      <c r="P212" s="28" t="n">
        <v>0.2</v>
      </c>
      <c r="Q212" s="28" t="n">
        <v>-0.004694</v>
      </c>
      <c r="R212" s="26" t="n">
        <v>0</v>
      </c>
      <c r="S212" s="29" t="n">
        <v>1</v>
      </c>
      <c r="T212" s="24" t="inlineStr">
        <is>
          <t>soccer-poisson-dc-v1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Poisson-DC rates 1.64 (home) / 1.24 (away) from EWMA attack/defense strengths. Executable ask 0.4600 (atc-arg2-cat-gyt-2026-08-02-cat).</t>
        </is>
      </c>
      <c r="AF212" s="31" t="inlineStr">
        <is>
          <t>Research-only soccer score model; draw-aware, but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NO_CALL_LOW_EDGE</t>
        </is>
      </c>
      <c r="AP212" s="24" t="inlineStr">
        <is>
          <t>Gimnasia y Tiro (Salta)</t>
        </is>
      </c>
      <c r="AQ212" s="24" t="inlineStr">
        <is>
          <t>Gimnasia y Tiro (Salta)</t>
        </is>
      </c>
      <c r="AR212" s="24" t="inlineStr">
        <is>
          <t>Gimnasia y Tiro (Salta)</t>
        </is>
      </c>
      <c r="AS212" s="24" t="inlineStr">
        <is>
          <t>Temperley</t>
        </is>
      </c>
      <c r="AT212" s="24" t="inlineStr">
        <is>
          <t>Temperley</t>
        </is>
      </c>
      <c r="AU212" s="24" t="inlineStr">
        <is>
          <t>Temperley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34d1568aad0ff11b5db35f118324684f93281e1c21fa7b80be7a4a4e2cb4bb03</t>
        </is>
      </c>
      <c r="BB212" s="24" t="inlineStr">
        <is>
          <t>poisson_dixon_coles</t>
        </is>
      </c>
      <c r="BC212" s="24" t="inlineStr">
        <is>
          <t>soccer-poisson-dc-v1</t>
        </is>
      </c>
      <c r="BD212" s="24" t="inlineStr">
        <is>
          <t>34d1568aad0ff11b5db35f118324684f93281e1c21fa7b80be7a4a4e2cb4bb03</t>
        </is>
      </c>
      <c r="BE212" s="24" t="inlineStr">
        <is>
          <t>soccer-poisson-dc-v1</t>
        </is>
      </c>
      <c r="BF212" s="24" t="inlineStr">
        <is>
          <t>1</t>
        </is>
      </c>
      <c r="BG212" s="24" t="inlineStr">
        <is>
          <t>34d1568aad0ff11b5db35f118324684f93281e1c21fa7b80be7a4a4e2cb4bb03</t>
        </is>
      </c>
      <c r="BH212" s="24" t="inlineStr">
        <is>
          <t>2026-08-02T16:47:36.452468Z</t>
        </is>
      </c>
      <c r="BI212" s="24" t="inlineStr">
        <is>
          <t>["same_event","same_team_same_day","same_league_same_day"]</t>
        </is>
      </c>
      <c r="BJ212" s="25" t="n"/>
      <c r="BK212" s="26" t="n">
        <v>117</v>
      </c>
      <c r="BL212" s="27" t="n">
        <v>2.17</v>
      </c>
      <c r="BM212" s="28" t="n">
        <v>0.460829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inlineStr">
        <is>
          <t>0</t>
        </is>
      </c>
    </row>
    <row r="213" ht="36" customHeight="1">
      <c r="A213" s="24" t="inlineStr">
        <is>
          <t>401da7c23348410f</t>
        </is>
      </c>
      <c r="B213" s="24" t="inlineStr">
        <is>
          <t>2026-08-02T16:51:15.727312Z</t>
        </is>
      </c>
      <c r="C213" s="24" t="inlineStr">
        <is>
          <t>2026-08-02T19:00Z</t>
        </is>
      </c>
      <c r="D213" s="24" t="inlineStr">
        <is>
          <t>401844026</t>
        </is>
      </c>
      <c r="E213" s="24" t="inlineStr">
        <is>
          <t>SOCCER</t>
        </is>
      </c>
      <c r="F213" s="24" t="inlineStr">
        <is>
          <t>All Boys</t>
        </is>
      </c>
      <c r="G213" s="24" t="inlineStr">
        <is>
          <t>Deportivo Madryn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-108</v>
      </c>
      <c r="M213" s="27" t="n">
        <v>1.925926</v>
      </c>
      <c r="N213" s="28" t="n">
        <v>0.519231</v>
      </c>
      <c r="O213" s="28" t="n">
        <v>0.456135</v>
      </c>
      <c r="P213" s="28" t="n">
        <v>0.2</v>
      </c>
      <c r="Q213" s="28" t="n">
        <v>-0.063096</v>
      </c>
      <c r="R213" s="26" t="n">
        <v>0</v>
      </c>
      <c r="S213" s="29" t="n">
        <v>1</v>
      </c>
      <c r="T213" s="24" t="inlineStr">
        <is>
          <t>soccer-poisson-dc-v1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Poisson-DC rates 1.64 (home) / 1.24 (away) from EWMA attack/defense strengths. Executable ask 0.5200 (atc-arg2-dma-abo-2026-08-02-dma).</t>
        </is>
      </c>
      <c r="AF213" s="31" t="inlineStr">
        <is>
          <t>Research-only soccer score model; draw-aware, but not yet locked-holdout qualified.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NO_CALL_LOW_EDGE</t>
        </is>
      </c>
      <c r="AP213" s="24" t="inlineStr">
        <is>
          <t>All Boys</t>
        </is>
      </c>
      <c r="AQ213" s="24" t="inlineStr">
        <is>
          <t>All Boys</t>
        </is>
      </c>
      <c r="AR213" s="24" t="inlineStr">
        <is>
          <t>All Boys</t>
        </is>
      </c>
      <c r="AS213" s="24" t="inlineStr">
        <is>
          <t>Deportivo Madryn</t>
        </is>
      </c>
      <c r="AT213" s="24" t="inlineStr">
        <is>
          <t>Deportivo Madryn</t>
        </is>
      </c>
      <c r="AU213" s="24" t="inlineStr">
        <is>
          <t>Deportivo Madryn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34d1568aad0ff11b5db35f118324684f93281e1c21fa7b80be7a4a4e2cb4bb03</t>
        </is>
      </c>
      <c r="BB213" s="24" t="inlineStr">
        <is>
          <t>poisson_dixon_coles</t>
        </is>
      </c>
      <c r="BC213" s="24" t="inlineStr">
        <is>
          <t>soccer-poisson-dc-v1</t>
        </is>
      </c>
      <c r="BD213" s="24" t="inlineStr">
        <is>
          <t>34d1568aad0ff11b5db35f118324684f93281e1c21fa7b80be7a4a4e2cb4bb03</t>
        </is>
      </c>
      <c r="BE213" s="24" t="inlineStr">
        <is>
          <t>soccer-poisson-dc-v1</t>
        </is>
      </c>
      <c r="BF213" s="24" t="inlineStr">
        <is>
          <t>1</t>
        </is>
      </c>
      <c r="BG213" s="24" t="inlineStr">
        <is>
          <t>34d1568aad0ff11b5db35f118324684f93281e1c21fa7b80be7a4a4e2cb4bb03</t>
        </is>
      </c>
      <c r="BH213" s="24" t="inlineStr">
        <is>
          <t>2026-08-02T16:47:36.997419Z</t>
        </is>
      </c>
      <c r="BI213" s="24" t="inlineStr">
        <is>
          <t>["same_event","same_team_same_day","same_league_same_day"]</t>
        </is>
      </c>
      <c r="BJ213" s="25" t="n"/>
      <c r="BK213" s="26" t="n">
        <v>-108</v>
      </c>
      <c r="BL213" s="27" t="n">
        <v>1.925926</v>
      </c>
      <c r="BM213" s="28" t="n">
        <v>0.519231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inlineStr">
        <is>
          <t>0</t>
        </is>
      </c>
    </row>
    <row r="214" ht="36" customHeight="1">
      <c r="A214" s="24" t="inlineStr">
        <is>
          <t>413ff14b66294566</t>
        </is>
      </c>
      <c r="B214" s="24" t="inlineStr">
        <is>
          <t>2026-08-02T16:51:15.727312Z</t>
        </is>
      </c>
      <c r="C214" s="24" t="inlineStr">
        <is>
          <t>2026-08-02T19:30Z</t>
        </is>
      </c>
      <c r="D214" s="24" t="inlineStr">
        <is>
          <t>401844014</t>
        </is>
      </c>
      <c r="E214" s="24" t="inlineStr">
        <is>
          <t>SOCCER</t>
        </is>
      </c>
      <c r="F214" s="24" t="inlineStr">
        <is>
          <t>Los Andes</t>
        </is>
      </c>
      <c r="G214" s="24" t="inlineStr">
        <is>
          <t>Central Norte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150</v>
      </c>
      <c r="M214" s="27" t="n">
        <v>2.5</v>
      </c>
      <c r="N214" s="28" t="n">
        <v>0.4</v>
      </c>
      <c r="O214" s="28" t="n">
        <v>0.456135</v>
      </c>
      <c r="P214" s="28" t="n">
        <v>0.2</v>
      </c>
      <c r="Q214" s="28" t="n">
        <v>0.056135</v>
      </c>
      <c r="R214" s="26" t="n">
        <v>0</v>
      </c>
      <c r="S214" s="29" t="n">
        <v>1</v>
      </c>
      <c r="T214" s="24" t="inlineStr">
        <is>
          <t>soccer-poisson-dc-v1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Poisson-DC rates 1.64 (home) / 1.24 (away) from EWMA attack/defense strengths. Executable ask 0.4000 (atc-arg2-ccns-ala-2026-08-02-ccns).</t>
        </is>
      </c>
      <c r="AF214" s="31" t="inlineStr">
        <is>
          <t>Research-only soccer score model; draw-aware, but not yet locked-holdout qualified.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Los Andes</t>
        </is>
      </c>
      <c r="AQ214" s="24" t="inlineStr">
        <is>
          <t>Los Andes</t>
        </is>
      </c>
      <c r="AR214" s="24" t="inlineStr">
        <is>
          <t>Los Andes</t>
        </is>
      </c>
      <c r="AS214" s="24" t="inlineStr">
        <is>
          <t>Central Norte</t>
        </is>
      </c>
      <c r="AT214" s="24" t="inlineStr">
        <is>
          <t>Central Norte</t>
        </is>
      </c>
      <c r="AU214" s="24" t="inlineStr">
        <is>
          <t>Central Norte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34d1568aad0ff11b5db35f118324684f93281e1c21fa7b80be7a4a4e2cb4bb03</t>
        </is>
      </c>
      <c r="BB214" s="24" t="inlineStr">
        <is>
          <t>poisson_dixon_coles</t>
        </is>
      </c>
      <c r="BC214" s="24" t="inlineStr">
        <is>
          <t>soccer-poisson-dc-v1</t>
        </is>
      </c>
      <c r="BD214" s="24" t="inlineStr">
        <is>
          <t>34d1568aad0ff11b5db35f118324684f93281e1c21fa7b80be7a4a4e2cb4bb03</t>
        </is>
      </c>
      <c r="BE214" s="24" t="inlineStr">
        <is>
          <t>soccer-poisson-dc-v1</t>
        </is>
      </c>
      <c r="BF214" s="24" t="inlineStr">
        <is>
          <t>1</t>
        </is>
      </c>
      <c r="BG214" s="24" t="inlineStr">
        <is>
          <t>34d1568aad0ff11b5db35f118324684f93281e1c21fa7b80be7a4a4e2cb4bb03</t>
        </is>
      </c>
      <c r="BH214" s="24" t="inlineStr">
        <is>
          <t>2026-08-02T16:47:37.549387Z</t>
        </is>
      </c>
      <c r="BI214" s="24" t="inlineStr">
        <is>
          <t>["same_event","same_team_same_day","same_league_same_day"]</t>
        </is>
      </c>
      <c r="BJ214" s="25" t="n"/>
      <c r="BK214" s="26" t="n">
        <v>150</v>
      </c>
      <c r="BL214" s="27" t="n">
        <v>2.5</v>
      </c>
      <c r="BM214" s="28" t="n">
        <v>0.4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inlineStr">
        <is>
          <t>1</t>
        </is>
      </c>
    </row>
    <row r="215" ht="36" customHeight="1">
      <c r="A215" s="24" t="inlineStr">
        <is>
          <t>32ba51c067c54435</t>
        </is>
      </c>
      <c r="B215" s="24" t="inlineStr">
        <is>
          <t>2026-08-02T16:51:15.727312Z</t>
        </is>
      </c>
      <c r="C215" s="24" t="inlineStr">
        <is>
          <t>2026-08-03T01:00Z</t>
        </is>
      </c>
      <c r="D215" s="24" t="inlineStr">
        <is>
          <t>401877966</t>
        </is>
      </c>
      <c r="E215" s="24" t="inlineStr">
        <is>
          <t>SOCCER</t>
        </is>
      </c>
      <c r="F215" s="24" t="inlineStr">
        <is>
          <t>Once Caldas</t>
        </is>
      </c>
      <c r="G215" s="24" t="inlineStr">
        <is>
          <t>Independiente Santa Fe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117</v>
      </c>
      <c r="M215" s="27" t="n">
        <v>2.17</v>
      </c>
      <c r="N215" s="28" t="n">
        <v>0.460829</v>
      </c>
      <c r="O215" s="28" t="n">
        <v>0.456135</v>
      </c>
      <c r="P215" s="28" t="n">
        <v>0.2</v>
      </c>
      <c r="Q215" s="28" t="n">
        <v>-0.004694</v>
      </c>
      <c r="R215" s="26" t="n">
        <v>0</v>
      </c>
      <c r="S215" s="29" t="n">
        <v>1</v>
      </c>
      <c r="T215" s="24" t="inlineStr">
        <is>
          <t>soccer-poisson-dc-v1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Poisson-DC rates 1.64 (home) / 1.24 (away) from EWMA attack/defense strengths. Executable ask 0.4600 (atc-lco-san-onc-2026-08-02-san).</t>
        </is>
      </c>
      <c r="AF215" s="31" t="inlineStr">
        <is>
          <t>Research-only soccer score model; draw-aware, but not yet locked-holdout qualified.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NO_CALL_LOW_EDGE</t>
        </is>
      </c>
      <c r="AP215" s="24" t="inlineStr">
        <is>
          <t>Once Caldas</t>
        </is>
      </c>
      <c r="AQ215" s="24" t="inlineStr">
        <is>
          <t>Once Caldas</t>
        </is>
      </c>
      <c r="AR215" s="24" t="inlineStr">
        <is>
          <t>Once Caldas</t>
        </is>
      </c>
      <c r="AS215" s="24" t="inlineStr">
        <is>
          <t>Independiente Santa Fe</t>
        </is>
      </c>
      <c r="AT215" s="24" t="inlineStr">
        <is>
          <t>Independiente Santa Fe</t>
        </is>
      </c>
      <c r="AU215" s="24" t="inlineStr">
        <is>
          <t>Independiente Santa Fe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34d1568aad0ff11b5db35f118324684f93281e1c21fa7b80be7a4a4e2cb4bb03</t>
        </is>
      </c>
      <c r="BB215" s="24" t="inlineStr">
        <is>
          <t>poisson_dixon_coles</t>
        </is>
      </c>
      <c r="BC215" s="24" t="inlineStr">
        <is>
          <t>soccer-poisson-dc-v1</t>
        </is>
      </c>
      <c r="BD215" s="24" t="inlineStr">
        <is>
          <t>34d1568aad0ff11b5db35f118324684f93281e1c21fa7b80be7a4a4e2cb4bb03</t>
        </is>
      </c>
      <c r="BE215" s="24" t="inlineStr">
        <is>
          <t>soccer-poisson-dc-v1</t>
        </is>
      </c>
      <c r="BF215" s="24" t="inlineStr">
        <is>
          <t>1</t>
        </is>
      </c>
      <c r="BG215" s="24" t="inlineStr">
        <is>
          <t>34d1568aad0ff11b5db35f118324684f93281e1c21fa7b80be7a4a4e2cb4bb03</t>
        </is>
      </c>
      <c r="BH215" s="24" t="inlineStr">
        <is>
          <t>2026-08-02T16:47:38.138409Z</t>
        </is>
      </c>
      <c r="BI215" s="24" t="inlineStr">
        <is>
          <t>["same_event","same_team_same_day","same_league_same_day"]</t>
        </is>
      </c>
      <c r="BJ215" s="25" t="n"/>
      <c r="BK215" s="26" t="n">
        <v>117</v>
      </c>
      <c r="BL215" s="27" t="n">
        <v>2.17</v>
      </c>
      <c r="BM215" s="28" t="n">
        <v>0.460829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inlineStr">
        <is>
          <t>0</t>
        </is>
      </c>
    </row>
    <row r="216" ht="36" customHeight="1">
      <c r="A216" s="24" t="inlineStr">
        <is>
          <t>6725a42eadf9435f</t>
        </is>
      </c>
      <c r="B216" s="24" t="inlineStr">
        <is>
          <t>2026-08-02T16:51:15.727312Z</t>
        </is>
      </c>
      <c r="C216" s="24" t="inlineStr">
        <is>
          <t>2026-08-02T19:00Z</t>
        </is>
      </c>
      <c r="D216" s="24" t="inlineStr">
        <is>
          <t>401850609</t>
        </is>
      </c>
      <c r="E216" s="24" t="inlineStr">
        <is>
          <t>SOCCER</t>
        </is>
      </c>
      <c r="F216" s="24" t="inlineStr">
        <is>
          <t>O'Higgins</t>
        </is>
      </c>
      <c r="G216" s="24" t="inlineStr">
        <is>
          <t>La Serena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156</v>
      </c>
      <c r="M216" s="27" t="n">
        <v>2.56</v>
      </c>
      <c r="N216" s="28" t="n">
        <v>0.390625</v>
      </c>
      <c r="O216" s="28" t="n">
        <v>0.5359159999999999</v>
      </c>
      <c r="P216" s="28" t="n">
        <v>0.2</v>
      </c>
      <c r="Q216" s="28" t="n">
        <v>0.145291</v>
      </c>
      <c r="R216" s="26" t="n">
        <v>3</v>
      </c>
      <c r="S216" s="29" t="n">
        <v>1</v>
      </c>
      <c r="T216" s="24" t="inlineStr">
        <is>
          <t>soccer-poisson-dc-v1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Poisson-DC rates 1.84 (home) / 1.10 (away) from EWMA attack/defense strengths. Executable ask 0.3900 (atc-pdc-ser-ohi-2026-08-02-ser).</t>
        </is>
      </c>
      <c r="AF216" s="31" t="inlineStr">
        <is>
          <t>Research-only soccer score model; draw-aware, but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O'Higgins</t>
        </is>
      </c>
      <c r="AQ216" s="24" t="inlineStr">
        <is>
          <t>O'Higgins</t>
        </is>
      </c>
      <c r="AR216" s="24" t="inlineStr">
        <is>
          <t>O'Higgins</t>
        </is>
      </c>
      <c r="AS216" s="24" t="inlineStr">
        <is>
          <t>La Serena</t>
        </is>
      </c>
      <c r="AT216" s="24" t="inlineStr">
        <is>
          <t>La Serena</t>
        </is>
      </c>
      <c r="AU216" s="24" t="inlineStr">
        <is>
          <t>La Serena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34d1568aad0ff11b5db35f118324684f93281e1c21fa7b80be7a4a4e2cb4bb03</t>
        </is>
      </c>
      <c r="BB216" s="24" t="inlineStr">
        <is>
          <t>poisson_dixon_coles</t>
        </is>
      </c>
      <c r="BC216" s="24" t="inlineStr">
        <is>
          <t>soccer-poisson-dc-v1</t>
        </is>
      </c>
      <c r="BD216" s="24" t="inlineStr">
        <is>
          <t>34d1568aad0ff11b5db35f118324684f93281e1c21fa7b80be7a4a4e2cb4bb03</t>
        </is>
      </c>
      <c r="BE216" s="24" t="inlineStr">
        <is>
          <t>soccer-poisson-dc-v1</t>
        </is>
      </c>
      <c r="BF216" s="24" t="inlineStr">
        <is>
          <t>1</t>
        </is>
      </c>
      <c r="BG216" s="24" t="inlineStr">
        <is>
          <t>34d1568aad0ff11b5db35f118324684f93281e1c21fa7b80be7a4a4e2cb4bb03</t>
        </is>
      </c>
      <c r="BH216" s="24" t="inlineStr">
        <is>
          <t>2026-08-02T16:47:39.241482Z</t>
        </is>
      </c>
      <c r="BI216" s="24" t="inlineStr">
        <is>
          <t>["same_event","same_team_same_day","same_league_same_day"]</t>
        </is>
      </c>
      <c r="BJ216" s="25" t="n"/>
      <c r="BK216" s="26" t="n">
        <v>156</v>
      </c>
      <c r="BL216" s="27" t="n">
        <v>2.56</v>
      </c>
      <c r="BM216" s="28" t="n">
        <v>0.390625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inlineStr">
        <is>
          <t>1</t>
        </is>
      </c>
    </row>
    <row r="217" ht="36" customHeight="1">
      <c r="A217" s="24" t="inlineStr">
        <is>
          <t>b6c4cf177dcf4672</t>
        </is>
      </c>
      <c r="B217" s="24" t="inlineStr">
        <is>
          <t>2026-08-02T16:51:15.727312Z</t>
        </is>
      </c>
      <c r="C217" s="24" t="inlineStr">
        <is>
          <t>2026-08-02T21:30Z</t>
        </is>
      </c>
      <c r="D217" s="24" t="inlineStr">
        <is>
          <t>401850607</t>
        </is>
      </c>
      <c r="E217" s="24" t="inlineStr">
        <is>
          <t>SOCCER</t>
        </is>
      </c>
      <c r="F217" s="24" t="inlineStr">
        <is>
          <t>Huachipato</t>
        </is>
      </c>
      <c r="G217" s="24" t="inlineStr">
        <is>
          <t>Universidad de Chile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-178</v>
      </c>
      <c r="M217" s="27" t="n">
        <v>1.561798</v>
      </c>
      <c r="N217" s="28" t="n">
        <v>0.640288</v>
      </c>
      <c r="O217" s="28" t="n">
        <v>0.414794</v>
      </c>
      <c r="P217" s="28" t="n">
        <v>0.19</v>
      </c>
      <c r="Q217" s="28" t="n">
        <v>-0.225494</v>
      </c>
      <c r="R217" s="26" t="n">
        <v>0</v>
      </c>
      <c r="S217" s="29" t="n">
        <v>1</v>
      </c>
      <c r="T217" s="24" t="inlineStr">
        <is>
          <t>soccer-poisson-dc-v1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Poisson-DC rates 1.41 (home) / 1.16 (away) from EWMA attack/defense strengths. Executable ask 0.6400 (atc-pdc-unc-hua-2026-08-02-unc).</t>
        </is>
      </c>
      <c r="AF217" s="31" t="inlineStr">
        <is>
          <t>Research-only soccer score model; draw-aware, but not yet locked-holdout qualified.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NO_CALL_LOW_EDGE</t>
        </is>
      </c>
      <c r="AP217" s="24" t="inlineStr">
        <is>
          <t>Huachipato</t>
        </is>
      </c>
      <c r="AQ217" s="24" t="inlineStr">
        <is>
          <t>Huachipato</t>
        </is>
      </c>
      <c r="AR217" s="24" t="inlineStr">
        <is>
          <t>Huachipato</t>
        </is>
      </c>
      <c r="AS217" s="24" t="inlineStr">
        <is>
          <t>Universidad de Chile</t>
        </is>
      </c>
      <c r="AT217" s="24" t="inlineStr">
        <is>
          <t>Universidad de Chile</t>
        </is>
      </c>
      <c r="AU217" s="24" t="inlineStr">
        <is>
          <t>Universidad de Chile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34d1568aad0ff11b5db35f118324684f93281e1c21fa7b80be7a4a4e2cb4bb03</t>
        </is>
      </c>
      <c r="BB217" s="24" t="inlineStr">
        <is>
          <t>poisson_dixon_coles</t>
        </is>
      </c>
      <c r="BC217" s="24" t="inlineStr">
        <is>
          <t>soccer-poisson-dc-v1</t>
        </is>
      </c>
      <c r="BD217" s="24" t="inlineStr">
        <is>
          <t>34d1568aad0ff11b5db35f118324684f93281e1c21fa7b80be7a4a4e2cb4bb03</t>
        </is>
      </c>
      <c r="BE217" s="24" t="inlineStr">
        <is>
          <t>soccer-poisson-dc-v1</t>
        </is>
      </c>
      <c r="BF217" s="24" t="inlineStr">
        <is>
          <t>1</t>
        </is>
      </c>
      <c r="BG217" s="24" t="inlineStr">
        <is>
          <t>34d1568aad0ff11b5db35f118324684f93281e1c21fa7b80be7a4a4e2cb4bb03</t>
        </is>
      </c>
      <c r="BH217" s="24" t="inlineStr">
        <is>
          <t>2026-08-02T16:47:39.244934Z</t>
        </is>
      </c>
      <c r="BI217" s="24" t="inlineStr">
        <is>
          <t>["same_event","same_team_same_day","same_league_same_day"]</t>
        </is>
      </c>
      <c r="BJ217" s="25" t="n"/>
      <c r="BK217" s="26" t="n">
        <v>-178</v>
      </c>
      <c r="BL217" s="27" t="n">
        <v>1.561798</v>
      </c>
      <c r="BM217" s="28" t="n">
        <v>0.640288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inlineStr">
        <is>
          <t>0</t>
        </is>
      </c>
    </row>
    <row r="218" ht="36" customHeight="1">
      <c r="A218" s="24" t="inlineStr">
        <is>
          <t>6998db29de93467c</t>
        </is>
      </c>
      <c r="B218" s="24" t="inlineStr">
        <is>
          <t>2026-08-02T16:51:15.727312Z</t>
        </is>
      </c>
      <c r="C218" s="24" t="inlineStr">
        <is>
          <t>2026-08-02T20:30Z</t>
        </is>
      </c>
      <c r="D218" s="24" t="inlineStr">
        <is>
          <t>401859644</t>
        </is>
      </c>
      <c r="E218" s="24" t="inlineStr">
        <is>
          <t>SOCCER</t>
        </is>
      </c>
      <c r="F218" s="24" t="inlineStr">
        <is>
          <t>Guayaquil City FC</t>
        </is>
      </c>
      <c r="G218" s="24" t="inlineStr">
        <is>
          <t>Macará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-194</v>
      </c>
      <c r="M218" s="27" t="n">
        <v>1.515464</v>
      </c>
      <c r="N218" s="28" t="n">
        <v>0.659864</v>
      </c>
      <c r="O218" s="28" t="n">
        <v>0.456135</v>
      </c>
      <c r="P218" s="28" t="n">
        <v>0.2</v>
      </c>
      <c r="Q218" s="28" t="n">
        <v>-0.203729</v>
      </c>
      <c r="R218" s="26" t="n">
        <v>0</v>
      </c>
      <c r="S218" s="29" t="n">
        <v>1</v>
      </c>
      <c r="T218" s="24" t="inlineStr">
        <is>
          <t>soccer-poisson-dc-v1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Poisson-DC rates 1.64 (home) / 1.24 (away) from EWMA attack/defense strengths. Executable ask 0.6600 (atc-ecu1-mac-gua-2026-08-02-mac).</t>
        </is>
      </c>
      <c r="AF218" s="31" t="inlineStr">
        <is>
          <t>Research-only soccer score model; draw-aware, but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NO_CALL_LOW_EDGE</t>
        </is>
      </c>
      <c r="AP218" s="24" t="inlineStr">
        <is>
          <t>Guayaquil City FC</t>
        </is>
      </c>
      <c r="AQ218" s="24" t="inlineStr">
        <is>
          <t>Guayaquil City FC</t>
        </is>
      </c>
      <c r="AR218" s="24" t="inlineStr">
        <is>
          <t>Guayaquil City FC</t>
        </is>
      </c>
      <c r="AS218" s="24" t="inlineStr">
        <is>
          <t>Macará</t>
        </is>
      </c>
      <c r="AT218" s="24" t="inlineStr">
        <is>
          <t>Macará</t>
        </is>
      </c>
      <c r="AU218" s="24" t="inlineStr">
        <is>
          <t>Macará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34d1568aad0ff11b5db35f118324684f93281e1c21fa7b80be7a4a4e2cb4bb03</t>
        </is>
      </c>
      <c r="BB218" s="24" t="inlineStr">
        <is>
          <t>poisson_dixon_coles</t>
        </is>
      </c>
      <c r="BC218" s="24" t="inlineStr">
        <is>
          <t>soccer-poisson-dc-v1</t>
        </is>
      </c>
      <c r="BD218" s="24" t="inlineStr">
        <is>
          <t>34d1568aad0ff11b5db35f118324684f93281e1c21fa7b80be7a4a4e2cb4bb03</t>
        </is>
      </c>
      <c r="BE218" s="24" t="inlineStr">
        <is>
          <t>soccer-poisson-dc-v1</t>
        </is>
      </c>
      <c r="BF218" s="24" t="inlineStr">
        <is>
          <t>1</t>
        </is>
      </c>
      <c r="BG218" s="24" t="inlineStr">
        <is>
          <t>34d1568aad0ff11b5db35f118324684f93281e1c21fa7b80be7a4a4e2cb4bb03</t>
        </is>
      </c>
      <c r="BH218" s="24" t="inlineStr">
        <is>
          <t>2026-08-02T16:47:40.806031Z</t>
        </is>
      </c>
      <c r="BI218" s="24" t="inlineStr">
        <is>
          <t>["same_event","same_team_same_day","same_league_same_day"]</t>
        </is>
      </c>
      <c r="BJ218" s="25" t="n"/>
      <c r="BK218" s="26" t="n">
        <v>-194</v>
      </c>
      <c r="BL218" s="27" t="n">
        <v>1.515464</v>
      </c>
      <c r="BM218" s="28" t="n">
        <v>0.659864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inlineStr">
        <is>
          <t>0</t>
        </is>
      </c>
    </row>
    <row r="219" ht="36" customHeight="1">
      <c r="A219" s="24" t="inlineStr">
        <is>
          <t>e0b3223862d443e5</t>
        </is>
      </c>
      <c r="B219" s="24" t="inlineStr">
        <is>
          <t>2026-08-02T16:51:15.727312Z</t>
        </is>
      </c>
      <c r="C219" s="24" t="inlineStr">
        <is>
          <t>2026-08-02T23:10Z</t>
        </is>
      </c>
      <c r="D219" s="24" t="inlineStr">
        <is>
          <t>401859718</t>
        </is>
      </c>
      <c r="E219" s="24" t="inlineStr">
        <is>
          <t>SOCCER</t>
        </is>
      </c>
      <c r="F219" s="24" t="inlineStr">
        <is>
          <t>Barcelona SC</t>
        </is>
      </c>
      <c r="G219" s="24" t="inlineStr">
        <is>
          <t>Leones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194</v>
      </c>
      <c r="M219" s="27" t="n">
        <v>2.94</v>
      </c>
      <c r="N219" s="28" t="n">
        <v>0.340136</v>
      </c>
      <c r="O219" s="28" t="n">
        <v>0.406677</v>
      </c>
      <c r="P219" s="28" t="n">
        <v>0.19</v>
      </c>
      <c r="Q219" s="28" t="n">
        <v>0.066541</v>
      </c>
      <c r="R219" s="26" t="n">
        <v>0</v>
      </c>
      <c r="S219" s="29" t="n">
        <v>1</v>
      </c>
      <c r="T219" s="24" t="inlineStr">
        <is>
          <t>soccer-poisson-dc-v1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Poisson-DC rates 1.38 (home) / 1.56 (away) from EWMA attack/defense strengths. Executable ask 0.3400 (atc-ecu1-leo-bsc-2026-08-02-bsc).</t>
        </is>
      </c>
      <c r="AF219" s="31" t="inlineStr">
        <is>
          <t>Research-only soccer score model; draw-aware, but not yet locked-holdout qualified.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Barcelona SC</t>
        </is>
      </c>
      <c r="AQ219" s="24" t="inlineStr">
        <is>
          <t>Barcelona SC</t>
        </is>
      </c>
      <c r="AR219" s="24" t="inlineStr">
        <is>
          <t>Barcelona SC</t>
        </is>
      </c>
      <c r="AS219" s="24" t="inlineStr">
        <is>
          <t>Leones</t>
        </is>
      </c>
      <c r="AT219" s="24" t="inlineStr">
        <is>
          <t>Leones</t>
        </is>
      </c>
      <c r="AU219" s="24" t="inlineStr">
        <is>
          <t>Leones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34d1568aad0ff11b5db35f118324684f93281e1c21fa7b80be7a4a4e2cb4bb03</t>
        </is>
      </c>
      <c r="BB219" s="24" t="inlineStr">
        <is>
          <t>poisson_dixon_coles</t>
        </is>
      </c>
      <c r="BC219" s="24" t="inlineStr">
        <is>
          <t>soccer-poisson-dc-v1</t>
        </is>
      </c>
      <c r="BD219" s="24" t="inlineStr">
        <is>
          <t>34d1568aad0ff11b5db35f118324684f93281e1c21fa7b80be7a4a4e2cb4bb03</t>
        </is>
      </c>
      <c r="BE219" s="24" t="inlineStr">
        <is>
          <t>soccer-poisson-dc-v1</t>
        </is>
      </c>
      <c r="BF219" s="24" t="inlineStr">
        <is>
          <t>1</t>
        </is>
      </c>
      <c r="BG219" s="24" t="inlineStr">
        <is>
          <t>34d1568aad0ff11b5db35f118324684f93281e1c21fa7b80be7a4a4e2cb4bb03</t>
        </is>
      </c>
      <c r="BH219" s="24" t="inlineStr">
        <is>
          <t>2026-08-02T16:47:41.338397Z</t>
        </is>
      </c>
      <c r="BI219" s="24" t="inlineStr">
        <is>
          <t>["same_event","same_team_same_day","same_league_same_day"]</t>
        </is>
      </c>
      <c r="BJ219" s="25" t="n"/>
      <c r="BK219" s="26" t="n">
        <v>194</v>
      </c>
      <c r="BL219" s="27" t="n">
        <v>2.94</v>
      </c>
      <c r="BM219" s="28" t="n">
        <v>0.340136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inlineStr">
        <is>
          <t>1</t>
        </is>
      </c>
    </row>
    <row r="220" ht="36" customHeight="1">
      <c r="A220" s="24" t="inlineStr">
        <is>
          <t>7e0a28d64c9f45db</t>
        </is>
      </c>
      <c r="B220" s="24" t="inlineStr">
        <is>
          <t>2026-08-02T16:51:15.727312Z</t>
        </is>
      </c>
      <c r="C220" s="24" t="inlineStr">
        <is>
          <t>2026-08-02T20:00Z</t>
        </is>
      </c>
      <c r="D220" s="24" t="inlineStr">
        <is>
          <t>401863533</t>
        </is>
      </c>
      <c r="E220" s="24" t="inlineStr">
        <is>
          <t>SOCCER</t>
        </is>
      </c>
      <c r="F220" s="24" t="inlineStr">
        <is>
          <t>Leeds United</t>
        </is>
      </c>
      <c r="G220" s="24" t="inlineStr">
        <is>
          <t>Liverpool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polymarket_us</t>
        </is>
      </c>
      <c r="L220" s="26" t="n">
        <v>-138</v>
      </c>
      <c r="M220" s="27" t="n">
        <v>1.724638</v>
      </c>
      <c r="N220" s="28" t="n">
        <v>0.579832</v>
      </c>
      <c r="O220" s="28" t="n">
        <v>0.482992</v>
      </c>
      <c r="P220" s="28" t="n">
        <v>0.04</v>
      </c>
      <c r="Q220" s="28" t="n">
        <v>-0.09684</v>
      </c>
      <c r="R220" s="26" t="n">
        <v>0</v>
      </c>
      <c r="S220" s="29" t="n">
        <v>1</v>
      </c>
      <c r="T220" s="24" t="inlineStr">
        <is>
          <t>soccer-poisson-dc-v1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Poisson-DC rates 1.69 (home) / 1.17 (away) from EWMA attack/defense strengths. Executable ask 0.5800 (atc-clbf-lfc-lee-2026-08-02-lfc).</t>
        </is>
      </c>
      <c r="AF220" s="31" t="inlineStr">
        <is>
          <t>Research-only soccer score model; draw-aware, but not yet locked-holdout qualified.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NO_CALL_LOW_EDGE</t>
        </is>
      </c>
      <c r="AP220" s="24" t="inlineStr">
        <is>
          <t>Leeds United</t>
        </is>
      </c>
      <c r="AQ220" s="24" t="inlineStr">
        <is>
          <t>Leeds United</t>
        </is>
      </c>
      <c r="AR220" s="24" t="inlineStr">
        <is>
          <t>Leeds United</t>
        </is>
      </c>
      <c r="AS220" s="24" t="inlineStr">
        <is>
          <t>Liverpool</t>
        </is>
      </c>
      <c r="AT220" s="24" t="inlineStr">
        <is>
          <t>Liverpool</t>
        </is>
      </c>
      <c r="AU220" s="24" t="inlineStr">
        <is>
          <t>Liverpool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34d1568aad0ff11b5db35f118324684f93281e1c21fa7b80be7a4a4e2cb4bb03</t>
        </is>
      </c>
      <c r="BB220" s="24" t="inlineStr">
        <is>
          <t>poisson_dixon_coles</t>
        </is>
      </c>
      <c r="BC220" s="24" t="inlineStr">
        <is>
          <t>soccer-poisson-dc-v1</t>
        </is>
      </c>
      <c r="BD220" s="24" t="inlineStr">
        <is>
          <t>34d1568aad0ff11b5db35f118324684f93281e1c21fa7b80be7a4a4e2cb4bb03</t>
        </is>
      </c>
      <c r="BE220" s="24" t="inlineStr">
        <is>
          <t>soccer-poisson-dc-v1</t>
        </is>
      </c>
      <c r="BF220" s="24" t="inlineStr">
        <is>
          <t>1</t>
        </is>
      </c>
      <c r="BG220" s="24" t="inlineStr">
        <is>
          <t>34d1568aad0ff11b5db35f118324684f93281e1c21fa7b80be7a4a4e2cb4bb03</t>
        </is>
      </c>
      <c r="BH220" s="24" t="inlineStr">
        <is>
          <t>2026-08-02T16:47:43.017604Z</t>
        </is>
      </c>
      <c r="BI220" s="24" t="inlineStr">
        <is>
          <t>["same_event","same_team_same_day","same_league_same_day"]</t>
        </is>
      </c>
      <c r="BJ220" s="25" t="n"/>
      <c r="BK220" s="26" t="n">
        <v>-138</v>
      </c>
      <c r="BL220" s="27" t="n">
        <v>1.724638</v>
      </c>
      <c r="BM220" s="28" t="n">
        <v>0.579832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inlineStr">
        <is>
          <t>0</t>
        </is>
      </c>
    </row>
    <row r="221" ht="36" customHeight="1">
      <c r="A221" s="24" t="inlineStr">
        <is>
          <t>7e2113a2b9104093</t>
        </is>
      </c>
      <c r="B221" s="24" t="inlineStr">
        <is>
          <t>2026-07-27T15:07:03.733108Z</t>
        </is>
      </c>
      <c r="C221" s="24" t="inlineStr">
        <is>
          <t>2026-07-27T16:30Z</t>
        </is>
      </c>
      <c r="D221" s="24" t="inlineStr">
        <is>
          <t>888-2026:179013</t>
        </is>
      </c>
      <c r="E221" s="24" t="inlineStr">
        <is>
          <t>TENNIS</t>
        </is>
      </c>
      <c r="F221" s="24" t="inlineStr">
        <is>
          <t>Sofia Kenin</t>
        </is>
      </c>
      <c r="G221" s="24" t="inlineStr">
        <is>
          <t>Emma Navarro</t>
        </is>
      </c>
      <c r="H221" s="24" t="inlineStr">
        <is>
          <t>moneyline</t>
        </is>
      </c>
      <c r="I221" s="24" t="inlineStr">
        <is>
          <t>away</t>
        </is>
      </c>
      <c r="J221" s="25" t="n"/>
      <c r="K221" s="24" t="inlineStr">
        <is>
          <t>polymarket_us</t>
        </is>
      </c>
      <c r="L221" s="26" t="n">
        <v>233</v>
      </c>
      <c r="M221" s="27" t="n">
        <v>3.33</v>
      </c>
      <c r="N221" s="28" t="n">
        <v>0.3003</v>
      </c>
      <c r="O221" s="28" t="n">
        <v>0.5</v>
      </c>
      <c r="P221" s="28" t="n">
        <v>0.2</v>
      </c>
      <c r="Q221" s="28" t="n">
        <v>0.1997</v>
      </c>
      <c r="R221" s="26" t="n">
        <v>30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loss</t>
        </is>
      </c>
      <c r="W221" s="26" t="n">
        <v>0</v>
      </c>
      <c r="X221" s="26" t="n">
        <v>1</v>
      </c>
      <c r="Y221" s="25" t="n"/>
      <c r="Z221" s="26" t="n"/>
      <c r="AA221" s="28" t="n"/>
      <c r="AB221" s="28" t="n"/>
      <c r="AC221" s="30" t="n">
        <v>-1</v>
      </c>
      <c r="AD221" s="24" t="inlineStr">
        <is>
          <t>2026-07-27T19:47:31.199433Z</t>
        </is>
      </c>
      <c r="AE221" s="31" t="inlineStr">
        <is>
          <t>Surface-blended Elo on Hard: Sofia Kenin p=0.500 vs Emma Navarro. Executable ask 0.3000 (aec-wta-emmnav-sofken-2026-07-27).</t>
        </is>
      </c>
      <c r="AF221" s="31" t="inlineStr">
        <is>
          <t>Research-only surface-blended Elo model; singles only, WTA-only market coverage, not yet locked-holdout qualified.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NO_CALL_MODEL_UNVALIDATED</t>
        </is>
      </c>
      <c r="AP221" s="24" t="inlineStr">
        <is>
          <t>Sofia Kenin</t>
        </is>
      </c>
      <c r="AQ221" s="24" t="inlineStr">
        <is>
          <t>Sofia Kenin</t>
        </is>
      </c>
      <c r="AR221" s="24" t="inlineStr">
        <is>
          <t>Sofia Kenin</t>
        </is>
      </c>
      <c r="AS221" s="24" t="inlineStr">
        <is>
          <t>Emma Navarro</t>
        </is>
      </c>
      <c r="AT221" s="24" t="inlineStr">
        <is>
          <t>Emma Navarro</t>
        </is>
      </c>
      <c r="AU221" s="24" t="inlineStr">
        <is>
          <t>Emma Navarro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73429bd71f12304106b9ffb751bd50617d5109d487f00de7ae2732f60e779590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73429bd71f12304106b9ffb751bd50617d5109d487f00de7ae2732f60e779590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73429bd71f12304106b9ffb751bd50617d5109d487f00de7ae2732f60e779590</t>
        </is>
      </c>
      <c r="BH221" s="24" t="inlineStr">
        <is>
          <t>2026-07-27T15:05:37.057253Z</t>
        </is>
      </c>
      <c r="BI221" s="24" t="inlineStr">
        <is>
          <t>["same_event","same_team_same_day","same_league_same_day"]</t>
        </is>
      </c>
      <c r="BJ221" s="25" t="n"/>
      <c r="BK221" s="26" t="n">
        <v>233</v>
      </c>
      <c r="BL221" s="27" t="n">
        <v>3.33</v>
      </c>
      <c r="BM221" s="28" t="n">
        <v>0.3003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</row>
    <row r="222" ht="36" customHeight="1">
      <c r="A222" s="24" t="inlineStr">
        <is>
          <t>3b5660f4c52642df</t>
        </is>
      </c>
      <c r="B222" s="24" t="inlineStr">
        <is>
          <t>2026-07-27T19:49:40.013851Z</t>
        </is>
      </c>
      <c r="C222" s="24" t="inlineStr">
        <is>
          <t>2026-07-27T22:00Z</t>
        </is>
      </c>
      <c r="D222" s="24" t="inlineStr">
        <is>
          <t>888-2026:179015</t>
        </is>
      </c>
      <c r="E222" s="24" t="inlineStr">
        <is>
          <t>TENNIS</t>
        </is>
      </c>
      <c r="F222" s="24" t="inlineStr">
        <is>
          <t>Madison Keys</t>
        </is>
      </c>
      <c r="G222" s="24" t="inlineStr">
        <is>
          <t>Liudmila Samsonova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-317</v>
      </c>
      <c r="M222" s="27" t="n">
        <v>1.315457</v>
      </c>
      <c r="N222" s="28" t="n">
        <v>0.760192</v>
      </c>
      <c r="O222" s="28" t="n">
        <v>0.79541</v>
      </c>
      <c r="P222" s="28" t="n">
        <v>0.05</v>
      </c>
      <c r="Q222" s="28" t="n">
        <v>0.035218</v>
      </c>
      <c r="R222" s="26" t="n">
        <v>38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loss</t>
        </is>
      </c>
      <c r="W222" s="26" t="n">
        <v>0</v>
      </c>
      <c r="X222" s="26" t="n">
        <v>1</v>
      </c>
      <c r="Y222" s="25" t="n"/>
      <c r="Z222" s="26" t="n"/>
      <c r="AA222" s="28" t="n"/>
      <c r="AB222" s="28" t="n"/>
      <c r="AC222" s="30" t="n">
        <v>-2</v>
      </c>
      <c r="AD222" s="24" t="inlineStr">
        <is>
          <t>2026-07-28T01:57:12.909303Z</t>
        </is>
      </c>
      <c r="AE222" s="31" t="inlineStr">
        <is>
          <t>Surface-blended Elo on Hard: Madison Keys p=0.795 vs Liudmila Samsonova. Executable ask 0.7600 (aec-wta-liusam-madkey-2026-07-27).</t>
        </is>
      </c>
      <c r="AF222" s="31" t="inlineStr">
        <is>
          <t>Research-only surface-blended Elo model; singles only, WTA-only market coverage, not yet locked-holdout qualified.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NO_CALL_MODEL_UNVALIDATED</t>
        </is>
      </c>
      <c r="AP222" s="24" t="inlineStr">
        <is>
          <t>Madison Keys</t>
        </is>
      </c>
      <c r="AQ222" s="24" t="inlineStr">
        <is>
          <t>Madison Keys</t>
        </is>
      </c>
      <c r="AR222" s="24" t="inlineStr">
        <is>
          <t>Madison Keys</t>
        </is>
      </c>
      <c r="AS222" s="24" t="inlineStr">
        <is>
          <t>Liudmila Samsonova</t>
        </is>
      </c>
      <c r="AT222" s="24" t="inlineStr">
        <is>
          <t>Liudmila Samsonova</t>
        </is>
      </c>
      <c r="AU222" s="24" t="inlineStr">
        <is>
          <t>Liudmila Samsonova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73429bd71f12304106b9ffb751bd50617d5109d487f00de7ae2732f60e779590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73429bd71f12304106b9ffb751bd50617d5109d487f00de7ae2732f60e779590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73429bd71f12304106b9ffb751bd50617d5109d487f00de7ae2732f60e779590</t>
        </is>
      </c>
      <c r="BH222" s="24" t="inlineStr">
        <is>
          <t>2026-07-27T19:48:24.043030Z</t>
        </is>
      </c>
      <c r="BI222" s="24" t="inlineStr">
        <is>
          <t>["same_event","same_team_same_day","same_league_same_day"]</t>
        </is>
      </c>
      <c r="BJ222" s="25" t="n"/>
      <c r="BK222" s="26" t="n">
        <v>-317</v>
      </c>
      <c r="BL222" s="27" t="n">
        <v>1.315457</v>
      </c>
      <c r="BM222" s="28" t="n">
        <v>0.760192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</row>
    <row r="223" ht="36" customHeight="1">
      <c r="A223" s="24" t="inlineStr">
        <is>
          <t>d89920db2b224bab</t>
        </is>
      </c>
      <c r="B223" s="24" t="inlineStr">
        <is>
          <t>2026-07-27T19:49:40.013851Z</t>
        </is>
      </c>
      <c r="C223" s="24" t="inlineStr">
        <is>
          <t>2026-07-27T22:30Z</t>
        </is>
      </c>
      <c r="D223" s="24" t="inlineStr">
        <is>
          <t>888-2026:179011</t>
        </is>
      </c>
      <c r="E223" s="24" t="inlineStr">
        <is>
          <t>TENNIS</t>
        </is>
      </c>
      <c r="F223" s="24" t="inlineStr">
        <is>
          <t>Katie Boulter</t>
        </is>
      </c>
      <c r="G223" s="24" t="inlineStr">
        <is>
          <t>Ashlyn Krueger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polymarket_us</t>
        </is>
      </c>
      <c r="L223" s="26" t="n">
        <v>150</v>
      </c>
      <c r="M223" s="27" t="n">
        <v>2.5</v>
      </c>
      <c r="N223" s="28" t="n">
        <v>0.4</v>
      </c>
      <c r="O223" s="28" t="n">
        <v>0.5086039999999999</v>
      </c>
      <c r="P223" s="28" t="n">
        <v>0.05</v>
      </c>
      <c r="Q223" s="28" t="n">
        <v>0.108604</v>
      </c>
      <c r="R223" s="26" t="n">
        <v>74</v>
      </c>
      <c r="S223" s="29" t="n">
        <v>1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0</v>
      </c>
      <c r="X223" s="26" t="n">
        <v>1</v>
      </c>
      <c r="Y223" s="25" t="n"/>
      <c r="Z223" s="26" t="n"/>
      <c r="AA223" s="28" t="n"/>
      <c r="AB223" s="28" t="n"/>
      <c r="AC223" s="30" t="n">
        <v>-1</v>
      </c>
      <c r="AD223" s="24" t="inlineStr">
        <is>
          <t>2026-07-28T01:57:12.964210Z</t>
        </is>
      </c>
      <c r="AE223" s="31" t="inlineStr">
        <is>
          <t>Surface-blended Elo on Hard: Katie Boulter p=0.509 vs Ashlyn Krueger. Executable ask 0.4000 (aec-wta-ashkru-katbou-2026-07-27).</t>
        </is>
      </c>
      <c r="AF223" s="31" t="inlineStr">
        <is>
          <t>Research-only surface-blended Elo model; singles only, WTA-only market coverage, not yet locked-holdout qualified.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NO_CALL_MODEL_UNVALIDATED</t>
        </is>
      </c>
      <c r="AP223" s="24" t="inlineStr">
        <is>
          <t>Katie Boulter</t>
        </is>
      </c>
      <c r="AQ223" s="24" t="inlineStr">
        <is>
          <t>Katie Boulter</t>
        </is>
      </c>
      <c r="AR223" s="24" t="inlineStr">
        <is>
          <t>Katie Boulter</t>
        </is>
      </c>
      <c r="AS223" s="24" t="inlineStr">
        <is>
          <t>Ashlyn Krueger</t>
        </is>
      </c>
      <c r="AT223" s="24" t="inlineStr">
        <is>
          <t>Ashlyn Krueger</t>
        </is>
      </c>
      <c r="AU223" s="24" t="inlineStr">
        <is>
          <t>Ashlyn Krueger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73429bd71f12304106b9ffb751bd50617d5109d487f00de7ae2732f60e779590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73429bd71f12304106b9ffb751bd50617d5109d487f00de7ae2732f60e779590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73429bd71f12304106b9ffb751bd50617d5109d487f00de7ae2732f60e779590</t>
        </is>
      </c>
      <c r="BH223" s="24" t="inlineStr">
        <is>
          <t>2026-07-27T19:48:29.416107Z</t>
        </is>
      </c>
      <c r="BI223" s="24" t="inlineStr">
        <is>
          <t>["same_event","same_team_same_day","same_league_same_day"]</t>
        </is>
      </c>
      <c r="BJ223" s="25" t="n"/>
      <c r="BK223" s="26" t="n">
        <v>150</v>
      </c>
      <c r="BL223" s="27" t="n">
        <v>2.5</v>
      </c>
      <c r="BM223" s="28" t="n">
        <v>0.4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</row>
    <row r="224" ht="36" customHeight="1">
      <c r="A224" s="24" t="inlineStr">
        <is>
          <t>3a5d647692064eec</t>
        </is>
      </c>
      <c r="B224" s="24" t="inlineStr">
        <is>
          <t>2026-07-27T19:49:40.013851Z</t>
        </is>
      </c>
      <c r="C224" s="24" t="inlineStr">
        <is>
          <t>2026-07-27T22:00Z</t>
        </is>
      </c>
      <c r="D224" s="24" t="inlineStr">
        <is>
          <t>1067-2026:179458</t>
        </is>
      </c>
      <c r="E224" s="24" t="inlineStr">
        <is>
          <t>TENNIS</t>
        </is>
      </c>
      <c r="F224" s="24" t="inlineStr">
        <is>
          <t>Reese Brantmeier</t>
        </is>
      </c>
      <c r="G224" s="24" t="inlineStr">
        <is>
          <t>Iryna Shymanovich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-117</v>
      </c>
      <c r="M224" s="27" t="n">
        <v>1.854701</v>
      </c>
      <c r="N224" s="28" t="n">
        <v>0.539171</v>
      </c>
      <c r="O224" s="28" t="n">
        <v>0.586243</v>
      </c>
      <c r="P224" s="28" t="n">
        <v>0.05</v>
      </c>
      <c r="Q224" s="28" t="n">
        <v>0.047072</v>
      </c>
      <c r="R224" s="26" t="n">
        <v>44</v>
      </c>
      <c r="S224" s="29" t="n">
        <v>1.25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win</t>
        </is>
      </c>
      <c r="W224" s="26" t="n">
        <v>0</v>
      </c>
      <c r="X224" s="26" t="n">
        <v>1</v>
      </c>
      <c r="Y224" s="25" t="n"/>
      <c r="Z224" s="26" t="n"/>
      <c r="AA224" s="28" t="n"/>
      <c r="AB224" s="28" t="n"/>
      <c r="AC224" s="30" t="n">
        <v>1.0684</v>
      </c>
      <c r="AD224" s="24" t="inlineStr">
        <is>
          <t>2026-07-28T01:57:13.013056Z</t>
        </is>
      </c>
      <c r="AE224" s="31" t="inlineStr">
        <is>
          <t>Surface-blended Elo on Hard: Reese Brantmeier p=0.414 vs Iryna Shymanovich. Executable ask 0.5400 (aec-wta-iryshy-reebra-2026-07-27).</t>
        </is>
      </c>
      <c r="AF224" s="31" t="inlineStr">
        <is>
          <t>Research-only surface-blended Elo model; singles only, WTA-only market coverage, not yet locked-holdout qualified.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Reese Brantmeier</t>
        </is>
      </c>
      <c r="AQ224" s="24" t="inlineStr">
        <is>
          <t>Reese Brantmeier</t>
        </is>
      </c>
      <c r="AR224" s="24" t="inlineStr">
        <is>
          <t>Reese Brantmeier</t>
        </is>
      </c>
      <c r="AS224" s="24" t="inlineStr">
        <is>
          <t>Iryna Shymanovich</t>
        </is>
      </c>
      <c r="AT224" s="24" t="inlineStr">
        <is>
          <t>Iryna Shymanovich</t>
        </is>
      </c>
      <c r="AU224" s="24" t="inlineStr">
        <is>
          <t>Iryna Shymanovich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73429bd71f12304106b9ffb751bd50617d5109d487f00de7ae2732f60e779590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73429bd71f12304106b9ffb751bd50617d5109d487f00de7ae2732f60e779590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73429bd71f12304106b9ffb751bd50617d5109d487f00de7ae2732f60e779590</t>
        </is>
      </c>
      <c r="BH224" s="24" t="inlineStr">
        <is>
          <t>2026-07-27T19:48:21.751615Z</t>
        </is>
      </c>
      <c r="BI224" s="24" t="inlineStr">
        <is>
          <t>["same_event","same_team_same_day","same_league_same_day"]</t>
        </is>
      </c>
      <c r="BJ224" s="25" t="n"/>
      <c r="BK224" s="26" t="n">
        <v>-117</v>
      </c>
      <c r="BL224" s="27" t="n">
        <v>1.854701</v>
      </c>
      <c r="BM224" s="28" t="n">
        <v>0.539171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</row>
    <row r="225" ht="36" customHeight="1">
      <c r="A225" s="24" t="inlineStr">
        <is>
          <t>dbf54110c6ac4140</t>
        </is>
      </c>
      <c r="B225" s="24" t="inlineStr">
        <is>
          <t>2026-07-27T19:49:40.013851Z</t>
        </is>
      </c>
      <c r="C225" s="24" t="inlineStr">
        <is>
          <t>2026-07-27T22:00Z</t>
        </is>
      </c>
      <c r="D225" s="24" t="inlineStr">
        <is>
          <t>1067-2026:179467</t>
        </is>
      </c>
      <c r="E225" s="24" t="inlineStr">
        <is>
          <t>TENNIS</t>
        </is>
      </c>
      <c r="F225" s="24" t="inlineStr">
        <is>
          <t>Tatjana Maria</t>
        </is>
      </c>
      <c r="G225" s="24" t="inlineStr">
        <is>
          <t>Talia Gibson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144</v>
      </c>
      <c r="M225" s="27" t="n">
        <v>2.44</v>
      </c>
      <c r="N225" s="28" t="n">
        <v>0.409836</v>
      </c>
      <c r="O225" s="28" t="n">
        <v>0.553067</v>
      </c>
      <c r="P225" s="28" t="n">
        <v>0.05</v>
      </c>
      <c r="Q225" s="28" t="n">
        <v>0.143231</v>
      </c>
      <c r="R225" s="26" t="n">
        <v>92</v>
      </c>
      <c r="S225" s="29" t="n">
        <v>1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win</t>
        </is>
      </c>
      <c r="W225" s="26" t="n">
        <v>1</v>
      </c>
      <c r="X225" s="26" t="n">
        <v>0</v>
      </c>
      <c r="Y225" s="25" t="n"/>
      <c r="Z225" s="26" t="n"/>
      <c r="AA225" s="28" t="n"/>
      <c r="AB225" s="28" t="n"/>
      <c r="AC225" s="30" t="n">
        <v>1.44</v>
      </c>
      <c r="AD225" s="24" t="inlineStr">
        <is>
          <t>2026-07-28T01:57:13.062475Z</t>
        </is>
      </c>
      <c r="AE225" s="31" t="inlineStr">
        <is>
          <t>Surface-blended Elo on Hard: Tatjana Maria p=0.553 vs Talia Gibson. Executable ask 0.4100 (aec-wta-talgib-tatmar-2026-07-26).</t>
        </is>
      </c>
      <c r="AF225" s="31" t="inlineStr">
        <is>
          <t>Research-only surface-blended Elo model; singles only, WTA-only market coverage,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NO_CALL_MODEL_UNVALIDATED</t>
        </is>
      </c>
      <c r="AP225" s="24" t="inlineStr">
        <is>
          <t>Tatjana Maria</t>
        </is>
      </c>
      <c r="AQ225" s="24" t="inlineStr">
        <is>
          <t>Tatjana Maria</t>
        </is>
      </c>
      <c r="AR225" s="24" t="inlineStr">
        <is>
          <t>Tatjana Maria</t>
        </is>
      </c>
      <c r="AS225" s="24" t="inlineStr">
        <is>
          <t>Talia Gibson</t>
        </is>
      </c>
      <c r="AT225" s="24" t="inlineStr">
        <is>
          <t>Talia Gibson</t>
        </is>
      </c>
      <c r="AU225" s="24" t="inlineStr">
        <is>
          <t>Talia Gibson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73429bd71f12304106b9ffb751bd50617d5109d487f00de7ae2732f60e779590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73429bd71f12304106b9ffb751bd50617d5109d487f00de7ae2732f60e779590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73429bd71f12304106b9ffb751bd50617d5109d487f00de7ae2732f60e779590</t>
        </is>
      </c>
      <c r="BH225" s="24" t="inlineStr">
        <is>
          <t>2026-07-27T19:48:25.266083Z</t>
        </is>
      </c>
      <c r="BI225" s="24" t="inlineStr">
        <is>
          <t>["same_event","same_team_same_day","same_league_same_day"]</t>
        </is>
      </c>
      <c r="BJ225" s="25" t="n"/>
      <c r="BK225" s="26" t="n">
        <v>144</v>
      </c>
      <c r="BL225" s="27" t="n">
        <v>2.44</v>
      </c>
      <c r="BM225" s="28" t="n">
        <v>0.409836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</row>
    <row r="226" ht="36" customHeight="1">
      <c r="A226" s="24" t="inlineStr">
        <is>
          <t>dcab0226e1494560</t>
        </is>
      </c>
      <c r="B226" s="24" t="inlineStr">
        <is>
          <t>2026-07-27T19:49:40.013851Z</t>
        </is>
      </c>
      <c r="C226" s="24" t="inlineStr">
        <is>
          <t>2026-07-27T22:00Z</t>
        </is>
      </c>
      <c r="D226" s="24" t="inlineStr">
        <is>
          <t>1067-2026:179448</t>
        </is>
      </c>
      <c r="E226" s="24" t="inlineStr">
        <is>
          <t>TENNIS</t>
        </is>
      </c>
      <c r="F226" s="24" t="inlineStr">
        <is>
          <t>Tatiana Prozorova</t>
        </is>
      </c>
      <c r="G226" s="24" t="inlineStr">
        <is>
          <t>Solana Sierra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-122</v>
      </c>
      <c r="M226" s="27" t="n">
        <v>1.819672</v>
      </c>
      <c r="N226" s="28" t="n">
        <v>0.54955</v>
      </c>
      <c r="O226" s="28" t="n">
        <v>0.5067430000000001</v>
      </c>
      <c r="P226" s="28" t="n">
        <v>0.05</v>
      </c>
      <c r="Q226" s="28" t="n">
        <v>-0.042807</v>
      </c>
      <c r="R226" s="26" t="n">
        <v>0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0.8197</v>
      </c>
      <c r="AD226" s="24" t="inlineStr">
        <is>
          <t>2026-07-28T01:57:13.111845Z</t>
        </is>
      </c>
      <c r="AE226" s="31" t="inlineStr">
        <is>
          <t>Surface-blended Elo on Hard: Tatiana Prozorova p=0.507 vs Solana Sierra. Executable ask 0.5500 (aec-wta-solsie-tatpro-2026-07-27).</t>
        </is>
      </c>
      <c r="AF226" s="31" t="inlineStr">
        <is>
          <t>Research-only surface-blended Elo model; singles only, WTA-only market coverage,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NO_CALL_MODEL_UNVALIDATED</t>
        </is>
      </c>
      <c r="AP226" s="24" t="inlineStr">
        <is>
          <t>Tatiana Prozorova</t>
        </is>
      </c>
      <c r="AQ226" s="24" t="inlineStr">
        <is>
          <t>Tatiana Prozorova</t>
        </is>
      </c>
      <c r="AR226" s="24" t="inlineStr">
        <is>
          <t>Tatiana Prozorova</t>
        </is>
      </c>
      <c r="AS226" s="24" t="inlineStr">
        <is>
          <t>Solana Sierra</t>
        </is>
      </c>
      <c r="AT226" s="24" t="inlineStr">
        <is>
          <t>Solana Sierra</t>
        </is>
      </c>
      <c r="AU226" s="24" t="inlineStr">
        <is>
          <t>Solana Sierra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73429bd71f12304106b9ffb751bd50617d5109d487f00de7ae2732f60e779590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73429bd71f12304106b9ffb751bd50617d5109d487f00de7ae2732f60e779590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73429bd71f12304106b9ffb751bd50617d5109d487f00de7ae2732f60e779590</t>
        </is>
      </c>
      <c r="BH226" s="24" t="inlineStr">
        <is>
          <t>2026-07-27T19:48:27.703444Z</t>
        </is>
      </c>
      <c r="BI226" s="24" t="inlineStr">
        <is>
          <t>["same_event","same_team_same_day","same_league_same_day"]</t>
        </is>
      </c>
      <c r="BJ226" s="25" t="n"/>
      <c r="BK226" s="26" t="n">
        <v>-122</v>
      </c>
      <c r="BL226" s="27" t="n">
        <v>1.819672</v>
      </c>
      <c r="BM226" s="28" t="n">
        <v>0.54955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</row>
    <row r="227" ht="36" customHeight="1">
      <c r="A227" s="24" t="inlineStr">
        <is>
          <t>c277e64f1cdc4fc0</t>
        </is>
      </c>
      <c r="B227" s="24" t="inlineStr">
        <is>
          <t>2026-07-27T22:53:48.234236Z</t>
        </is>
      </c>
      <c r="C227" s="24" t="inlineStr">
        <is>
          <t>2026-07-27T23:00Z</t>
        </is>
      </c>
      <c r="D227" s="24" t="inlineStr">
        <is>
          <t>888-2026:179005</t>
        </is>
      </c>
      <c r="E227" s="24" t="inlineStr">
        <is>
          <t>TENNIS</t>
        </is>
      </c>
      <c r="F227" s="24" t="inlineStr">
        <is>
          <t>Rebecca Sramkova</t>
        </is>
      </c>
      <c r="G227" s="24" t="inlineStr">
        <is>
          <t>Janice Tjen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-170</v>
      </c>
      <c r="M227" s="27" t="n">
        <v>1.588235</v>
      </c>
      <c r="N227" s="28" t="n">
        <v>0.62963</v>
      </c>
      <c r="O227" s="28" t="n">
        <v>0.5261749999999999</v>
      </c>
      <c r="P227" s="28" t="n">
        <v>0.05</v>
      </c>
      <c r="Q227" s="28" t="n">
        <v>-0.103455</v>
      </c>
      <c r="R227" s="26" t="n">
        <v>0</v>
      </c>
      <c r="S227" s="29" t="n">
        <v>1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win</t>
        </is>
      </c>
      <c r="W227" s="26" t="n">
        <v>0</v>
      </c>
      <c r="X227" s="26" t="n">
        <v>1</v>
      </c>
      <c r="Y227" s="25" t="n"/>
      <c r="Z227" s="26" t="n"/>
      <c r="AA227" s="28" t="n"/>
      <c r="AB227" s="28" t="n"/>
      <c r="AC227" s="30" t="n">
        <v>0.5881999999999999</v>
      </c>
      <c r="AD227" s="24" t="inlineStr">
        <is>
          <t>2026-07-28T01:57:13.159775Z</t>
        </is>
      </c>
      <c r="AE227" s="31" t="inlineStr">
        <is>
          <t>Surface-blended Elo on Hard: Rebecca Sramkova p=0.474 vs Janice Tjen. Executable ask 0.6300 (aec-wta-jantje-rebsra-2026-07-27).</t>
        </is>
      </c>
      <c r="AF227" s="31" t="inlineStr">
        <is>
          <t>Research-only surface-blended Elo model; singles only, WTA-only market coverage, not yet locked-holdout qualified.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NO_CALL_MODEL_UNVALIDATED</t>
        </is>
      </c>
      <c r="AP227" s="24" t="inlineStr">
        <is>
          <t>Rebecca Sramkova</t>
        </is>
      </c>
      <c r="AQ227" s="24" t="inlineStr">
        <is>
          <t>Rebecca Sramkova</t>
        </is>
      </c>
      <c r="AR227" s="24" t="inlineStr">
        <is>
          <t>Rebecca Sramkova</t>
        </is>
      </c>
      <c r="AS227" s="24" t="inlineStr">
        <is>
          <t>Janice Tjen</t>
        </is>
      </c>
      <c r="AT227" s="24" t="inlineStr">
        <is>
          <t>Janice Tjen</t>
        </is>
      </c>
      <c r="AU227" s="24" t="inlineStr">
        <is>
          <t>Janice Tjen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73429bd71f12304106b9ffb751bd50617d5109d487f00de7ae2732f60e779590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73429bd71f12304106b9ffb751bd50617d5109d487f00de7ae2732f60e779590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73429bd71f12304106b9ffb751bd50617d5109d487f00de7ae2732f60e779590</t>
        </is>
      </c>
      <c r="BH227" s="24" t="inlineStr">
        <is>
          <t>2026-07-27T22:52:57.906473Z</t>
        </is>
      </c>
      <c r="BI227" s="24" t="inlineStr">
        <is>
          <t>["same_event","same_team_same_day","same_league_same_day"]</t>
        </is>
      </c>
      <c r="BJ227" s="25" t="n"/>
      <c r="BK227" s="26" t="n">
        <v>-170</v>
      </c>
      <c r="BL227" s="27" t="n">
        <v>1.588235</v>
      </c>
      <c r="BM227" s="28" t="n">
        <v>0.62963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</row>
    <row r="228" ht="36" customHeight="1">
      <c r="A228" s="24" t="inlineStr">
        <is>
          <t>56daff3298ea462f</t>
        </is>
      </c>
      <c r="B228" s="24" t="inlineStr">
        <is>
          <t>2026-07-27T22:53:48.234236Z</t>
        </is>
      </c>
      <c r="C228" s="24" t="inlineStr">
        <is>
          <t>2026-07-28T00:00Z</t>
        </is>
      </c>
      <c r="D228" s="24" t="inlineStr">
        <is>
          <t>1067-2026:179442</t>
        </is>
      </c>
      <c r="E228" s="24" t="inlineStr">
        <is>
          <t>TENNIS</t>
        </is>
      </c>
      <c r="F228" s="24" t="inlineStr">
        <is>
          <t>Storm Hunter</t>
        </is>
      </c>
      <c r="G228" s="24" t="inlineStr">
        <is>
          <t>Camila Osorio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-257</v>
      </c>
      <c r="M228" s="27" t="n">
        <v>1.389105</v>
      </c>
      <c r="N228" s="28" t="n">
        <v>0.719888</v>
      </c>
      <c r="O228" s="28" t="n">
        <v>0.649232</v>
      </c>
      <c r="P228" s="28" t="n">
        <v>0.05</v>
      </c>
      <c r="Q228" s="28" t="n">
        <v>-0.070656</v>
      </c>
      <c r="R228" s="26" t="n">
        <v>0</v>
      </c>
      <c r="S228" s="29" t="n">
        <v>1.75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0</v>
      </c>
      <c r="X228" s="26" t="n">
        <v>1</v>
      </c>
      <c r="Y228" s="25" t="n"/>
      <c r="Z228" s="26" t="n"/>
      <c r="AA228" s="28" t="n"/>
      <c r="AB228" s="28" t="n"/>
      <c r="AC228" s="30" t="n">
        <v>0.6808999999999999</v>
      </c>
      <c r="AD228" s="24" t="inlineStr">
        <is>
          <t>2026-07-28T01:57:13.207099Z</t>
        </is>
      </c>
      <c r="AE228" s="31" t="inlineStr">
        <is>
          <t>Surface-blended Elo on Hard: Storm Hunter p=0.351 vs Camila Osorio. Executable ask 0.7200 (aec-wta-camoso-stohun-2026-07-27).</t>
        </is>
      </c>
      <c r="AF228" s="31" t="inlineStr">
        <is>
          <t>Research-only surface-blended Elo model; singles only, WTA-only market coverage, not yet locked-holdout qualified.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NO_CALL_MODEL_UNVALIDATED</t>
        </is>
      </c>
      <c r="AP228" s="24" t="inlineStr">
        <is>
          <t>Storm Hunter</t>
        </is>
      </c>
      <c r="AQ228" s="24" t="inlineStr">
        <is>
          <t>Storm Hunter</t>
        </is>
      </c>
      <c r="AR228" s="24" t="inlineStr">
        <is>
          <t>Storm Hunter</t>
        </is>
      </c>
      <c r="AS228" s="24" t="inlineStr">
        <is>
          <t>Camila Osorio</t>
        </is>
      </c>
      <c r="AT228" s="24" t="inlineStr">
        <is>
          <t>Camila Osorio</t>
        </is>
      </c>
      <c r="AU228" s="24" t="inlineStr">
        <is>
          <t>Camila Osorio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73429bd71f12304106b9ffb751bd50617d5109d487f00de7ae2732f60e779590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73429bd71f12304106b9ffb751bd50617d5109d487f00de7ae2732f60e779590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73429bd71f12304106b9ffb751bd50617d5109d487f00de7ae2732f60e779590</t>
        </is>
      </c>
      <c r="BH228" s="24" t="inlineStr">
        <is>
          <t>2026-07-27T22:52:59.384587Z</t>
        </is>
      </c>
      <c r="BI228" s="24" t="inlineStr">
        <is>
          <t>["same_event","same_team_same_day","same_league_same_day"]</t>
        </is>
      </c>
      <c r="BJ228" s="25" t="n"/>
      <c r="BK228" s="26" t="n">
        <v>-257</v>
      </c>
      <c r="BL228" s="27" t="n">
        <v>1.389105</v>
      </c>
      <c r="BM228" s="28" t="n">
        <v>0.719888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</row>
    <row r="229" ht="36" customHeight="1">
      <c r="A229" s="24" t="inlineStr">
        <is>
          <t>7346e54569e94c40</t>
        </is>
      </c>
      <c r="B229" s="24" t="inlineStr">
        <is>
          <t>2026-07-27T22:53:48.234236Z</t>
        </is>
      </c>
      <c r="C229" s="24" t="inlineStr">
        <is>
          <t>2026-07-28T00:00Z</t>
        </is>
      </c>
      <c r="D229" s="24" t="inlineStr">
        <is>
          <t>1067-2026:179449</t>
        </is>
      </c>
      <c r="E229" s="24" t="inlineStr">
        <is>
          <t>TENNIS</t>
        </is>
      </c>
      <c r="F229" s="24" t="inlineStr">
        <is>
          <t>Elvina Kalieva</t>
        </is>
      </c>
      <c r="G229" s="24" t="inlineStr">
        <is>
          <t>Katherine Sebov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-203</v>
      </c>
      <c r="M229" s="27" t="n">
        <v>1.492611</v>
      </c>
      <c r="N229" s="28" t="n">
        <v>0.669967</v>
      </c>
      <c r="O229" s="28" t="n">
        <v>0.574055</v>
      </c>
      <c r="P229" s="28" t="n">
        <v>0.05</v>
      </c>
      <c r="Q229" s="28" t="n">
        <v>-0.095912</v>
      </c>
      <c r="R229" s="26" t="n">
        <v>0</v>
      </c>
      <c r="S229" s="29" t="n">
        <v>1.25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1</v>
      </c>
      <c r="X229" s="26" t="n">
        <v>0</v>
      </c>
      <c r="Y229" s="25" t="n"/>
      <c r="Z229" s="26" t="n"/>
      <c r="AA229" s="28" t="n"/>
      <c r="AB229" s="28" t="n"/>
      <c r="AC229" s="30" t="n">
        <v>0.6158</v>
      </c>
      <c r="AD229" s="24" t="inlineStr">
        <is>
          <t>2026-07-28T05:00:27.320959Z</t>
        </is>
      </c>
      <c r="AE229" s="31" t="inlineStr">
        <is>
          <t>Surface-blended Elo on Hard: Elvina Kalieva p=0.574 vs Katherine Sebov. Executable ask 0.6700 (aec-wta-katseb-elvkal-2026-07-27).</t>
        </is>
      </c>
      <c r="AF229" s="31" t="inlineStr">
        <is>
          <t>Research-only surface-blended Elo model; singles only, WTA-only market coverage,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NO_CALL_MODEL_UNVALIDATED</t>
        </is>
      </c>
      <c r="AP229" s="24" t="inlineStr">
        <is>
          <t>Elvina Kalieva</t>
        </is>
      </c>
      <c r="AQ229" s="24" t="inlineStr">
        <is>
          <t>Elvina Kalieva</t>
        </is>
      </c>
      <c r="AR229" s="24" t="inlineStr">
        <is>
          <t>Elvina Kalieva</t>
        </is>
      </c>
      <c r="AS229" s="24" t="inlineStr">
        <is>
          <t>Katherine Sebov</t>
        </is>
      </c>
      <c r="AT229" s="24" t="inlineStr">
        <is>
          <t>Katherine Sebov</t>
        </is>
      </c>
      <c r="AU229" s="24" t="inlineStr">
        <is>
          <t>Katherine Sebov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73429bd71f12304106b9ffb751bd50617d5109d487f00de7ae2732f60e779590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73429bd71f12304106b9ffb751bd50617d5109d487f00de7ae2732f60e779590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73429bd71f12304106b9ffb751bd50617d5109d487f00de7ae2732f60e779590</t>
        </is>
      </c>
      <c r="BH229" s="24" t="inlineStr">
        <is>
          <t>2026-07-27T22:53:01.928572Z</t>
        </is>
      </c>
      <c r="BI229" s="24" t="inlineStr">
        <is>
          <t>["same_event","same_team_same_day","same_league_same_day"]</t>
        </is>
      </c>
      <c r="BJ229" s="25" t="n"/>
      <c r="BK229" s="26" t="n">
        <v>-203</v>
      </c>
      <c r="BL229" s="27" t="n">
        <v>1.492611</v>
      </c>
      <c r="BM229" s="28" t="n">
        <v>0.669967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</row>
    <row r="230" ht="36" customHeight="1">
      <c r="A230" s="24" t="inlineStr">
        <is>
          <t>ecdeea06b6a04baf</t>
        </is>
      </c>
      <c r="B230" s="24" t="inlineStr">
        <is>
          <t>2026-07-28T01:58:09.459721Z</t>
        </is>
      </c>
      <c r="C230" s="24" t="inlineStr">
        <is>
          <t>2026-07-28T04:00Z</t>
        </is>
      </c>
      <c r="D230" s="24" t="inlineStr">
        <is>
          <t>875-2026:179541</t>
        </is>
      </c>
      <c r="E230" s="24" t="inlineStr">
        <is>
          <t>TENNIS</t>
        </is>
      </c>
      <c r="F230" s="24" t="inlineStr">
        <is>
          <t>Mai Hontama</t>
        </is>
      </c>
      <c r="G230" s="24" t="inlineStr">
        <is>
          <t>Kayla Day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163</v>
      </c>
      <c r="M230" s="27" t="n">
        <v>2.63</v>
      </c>
      <c r="N230" s="28" t="n">
        <v>0.380228</v>
      </c>
      <c r="O230" s="28" t="n">
        <v>0.5315029999999999</v>
      </c>
      <c r="P230" s="28" t="n">
        <v>0.05</v>
      </c>
      <c r="Q230" s="28" t="n">
        <v>0.151275</v>
      </c>
      <c r="R230" s="26" t="n">
        <v>96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/>
      <c r="AA230" s="28" t="n"/>
      <c r="AB230" s="28" t="n"/>
      <c r="AC230" s="30" t="n">
        <v>1.63</v>
      </c>
      <c r="AD230" s="24" t="inlineStr">
        <is>
          <t>2026-07-28T23:37:08.880974Z</t>
        </is>
      </c>
      <c r="AE230" s="31" t="inlineStr">
        <is>
          <t>Surface-blended Elo on Hard: Mai Hontama p=0.532 vs Kayla Day. Executable ask 0.3800 (aec-wta-kayday-maihon-2026-07-27).</t>
        </is>
      </c>
      <c r="AF230" s="31" t="inlineStr">
        <is>
          <t>Research-only surface-blended Elo model; singles only, WTA-only market coverage, not yet locked-holdout qualified.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NO_CALL_MODEL_UNVALIDATED</t>
        </is>
      </c>
      <c r="AP230" s="24" t="inlineStr">
        <is>
          <t>Mai Hontama</t>
        </is>
      </c>
      <c r="AQ230" s="24" t="inlineStr">
        <is>
          <t>Mai Hontama</t>
        </is>
      </c>
      <c r="AR230" s="24" t="inlineStr">
        <is>
          <t>Mai Hontama</t>
        </is>
      </c>
      <c r="AS230" s="24" t="inlineStr">
        <is>
          <t>Kayla Day</t>
        </is>
      </c>
      <c r="AT230" s="24" t="inlineStr">
        <is>
          <t>Kayla Day</t>
        </is>
      </c>
      <c r="AU230" s="24" t="inlineStr">
        <is>
          <t>Kayla Day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73429bd71f12304106b9ffb751bd50617d5109d487f00de7ae2732f60e779590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73429bd71f12304106b9ffb751bd50617d5109d487f00de7ae2732f60e779590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73429bd71f12304106b9ffb751bd50617d5109d487f00de7ae2732f60e779590</t>
        </is>
      </c>
      <c r="BH230" s="24" t="inlineStr">
        <is>
          <t>2026-07-28T01:57:54.105196Z</t>
        </is>
      </c>
      <c r="BI230" s="24" t="inlineStr">
        <is>
          <t>["same_event","same_team_same_day","same_league_same_day"]</t>
        </is>
      </c>
      <c r="BJ230" s="25" t="n"/>
      <c r="BK230" s="26" t="n">
        <v>163</v>
      </c>
      <c r="BL230" s="27" t="n">
        <v>2.63</v>
      </c>
      <c r="BM230" s="28" t="n">
        <v>0.380228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</row>
    <row r="231" ht="36" customHeight="1">
      <c r="A231" s="24" t="inlineStr">
        <is>
          <t>8dda84772591491a</t>
        </is>
      </c>
      <c r="B231" s="24" t="inlineStr">
        <is>
          <t>2026-07-28T05:03:44.224309Z</t>
        </is>
      </c>
      <c r="C231" s="24" t="inlineStr">
        <is>
          <t>2026-07-28T08:00Z</t>
        </is>
      </c>
      <c r="D231" s="24" t="inlineStr">
        <is>
          <t>1073-2026:179584</t>
        </is>
      </c>
      <c r="E231" s="24" t="inlineStr">
        <is>
          <t>TENNIS</t>
        </is>
      </c>
      <c r="F231" s="24" t="inlineStr">
        <is>
          <t>Alesia Breaz</t>
        </is>
      </c>
      <c r="G231" s="24" t="inlineStr">
        <is>
          <t>Laura Samson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-1900</v>
      </c>
      <c r="M231" s="27" t="n">
        <v>1.052632</v>
      </c>
      <c r="N231" s="28" t="n">
        <v>0.95</v>
      </c>
      <c r="O231" s="28" t="n">
        <v>0.539316</v>
      </c>
      <c r="P231" s="28" t="n">
        <v>0.2</v>
      </c>
      <c r="Q231" s="28" t="n">
        <v>-0.410684</v>
      </c>
      <c r="R231" s="26" t="n">
        <v>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0</v>
      </c>
      <c r="X231" s="26" t="n">
        <v>1</v>
      </c>
      <c r="Y231" s="25" t="n"/>
      <c r="Z231" s="26" t="n"/>
      <c r="AA231" s="28" t="n"/>
      <c r="AB231" s="28" t="n"/>
      <c r="AC231" s="30" t="n">
        <v>0.0526</v>
      </c>
      <c r="AD231" s="24" t="inlineStr">
        <is>
          <t>2026-07-28T11:12:39.258308Z</t>
        </is>
      </c>
      <c r="AE231" s="31" t="inlineStr">
        <is>
          <t>Surface-blended Elo on Hard: Alesia Breaz p=0.461 vs Laura Samson. Executable ask 0.9500 (aec-wta-lausam-alebre-2026-07-27).</t>
        </is>
      </c>
      <c r="AF231" s="31" t="inlineStr">
        <is>
          <t>Research-only surface-blended Elo model; singles only, WTA-only market coverage, not yet locked-holdout qualified.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NO_CALL_MODEL_UNVALIDATED</t>
        </is>
      </c>
      <c r="AP231" s="24" t="inlineStr">
        <is>
          <t>Alesia Breaz</t>
        </is>
      </c>
      <c r="AQ231" s="24" t="inlineStr">
        <is>
          <t>Alesia Breaz</t>
        </is>
      </c>
      <c r="AR231" s="24" t="inlineStr">
        <is>
          <t>Alesia Breaz</t>
        </is>
      </c>
      <c r="AS231" s="24" t="inlineStr">
        <is>
          <t>Laura Samson</t>
        </is>
      </c>
      <c r="AT231" s="24" t="inlineStr">
        <is>
          <t>Laura Samson</t>
        </is>
      </c>
      <c r="AU231" s="24" t="inlineStr">
        <is>
          <t>Laura Samson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73429bd71f12304106b9ffb751bd50617d5109d487f00de7ae2732f60e779590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73429bd71f12304106b9ffb751bd50617d5109d487f00de7ae2732f60e779590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73429bd71f12304106b9ffb751bd50617d5109d487f00de7ae2732f60e779590</t>
        </is>
      </c>
      <c r="BH231" s="24" t="inlineStr">
        <is>
          <t>2026-07-28T05:01:29.400703Z</t>
        </is>
      </c>
      <c r="BI231" s="24" t="inlineStr">
        <is>
          <t>["same_event","same_team_same_day","same_league_same_day"]</t>
        </is>
      </c>
      <c r="BJ231" s="25" t="n"/>
      <c r="BK231" s="26" t="n">
        <v>-1900</v>
      </c>
      <c r="BL231" s="27" t="n">
        <v>1.052632</v>
      </c>
      <c r="BM231" s="28" t="n">
        <v>0.95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</row>
    <row r="232" ht="36" customHeight="1">
      <c r="A232" s="24" t="inlineStr">
        <is>
          <t>30d29ce7fa0d4fdb</t>
        </is>
      </c>
      <c r="B232" s="24" t="inlineStr">
        <is>
          <t>2026-07-28T05:03:44.224309Z</t>
        </is>
      </c>
      <c r="C232" s="24" t="inlineStr">
        <is>
          <t>2026-07-28T08:00Z</t>
        </is>
      </c>
      <c r="D232" s="24" t="inlineStr">
        <is>
          <t>1073-2026:179580</t>
        </is>
      </c>
      <c r="E232" s="24" t="inlineStr">
        <is>
          <t>TENNIS</t>
        </is>
      </c>
      <c r="F232" s="24" t="inlineStr">
        <is>
          <t>Dalila Spiteri</t>
        </is>
      </c>
      <c r="G232" s="24" t="inlineStr">
        <is>
          <t>Yelyzaveta Kotliar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-127</v>
      </c>
      <c r="M232" s="27" t="n">
        <v>1.787402</v>
      </c>
      <c r="N232" s="28" t="n">
        <v>0.5594710000000001</v>
      </c>
      <c r="O232" s="28" t="n">
        <v>0.629597</v>
      </c>
      <c r="P232" s="28" t="n">
        <v>0.05</v>
      </c>
      <c r="Q232" s="28" t="n">
        <v>0.07012599999999999</v>
      </c>
      <c r="R232" s="26" t="n">
        <v>55</v>
      </c>
      <c r="S232" s="29" t="n">
        <v>1.5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/>
      <c r="AA232" s="28" t="n"/>
      <c r="AB232" s="28" t="n"/>
      <c r="AC232" s="30" t="n">
        <v>1.1811</v>
      </c>
      <c r="AD232" s="24" t="inlineStr">
        <is>
          <t>2026-07-28T11:12:39.363889Z</t>
        </is>
      </c>
      <c r="AE232" s="31" t="inlineStr">
        <is>
          <t>Surface-blended Elo on Hard: Dalila Spiteri p=0.370 vs Yelyzaveta Kotliar. Executable ask 0.5600 (aec-wta-yelkot-dalspi-2026-07-28).</t>
        </is>
      </c>
      <c r="AF232" s="31" t="inlineStr">
        <is>
          <t>Research-only surface-blended Elo model; singles only, WTA-only market coverage,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NO_CALL_MODEL_UNVALIDATED</t>
        </is>
      </c>
      <c r="AP232" s="24" t="inlineStr">
        <is>
          <t>Dalila Spiteri</t>
        </is>
      </c>
      <c r="AQ232" s="24" t="inlineStr">
        <is>
          <t>Dalila Spiteri</t>
        </is>
      </c>
      <c r="AR232" s="24" t="inlineStr">
        <is>
          <t>Dalila Spiteri</t>
        </is>
      </c>
      <c r="AS232" s="24" t="inlineStr">
        <is>
          <t>Yelyzaveta Kotliar</t>
        </is>
      </c>
      <c r="AT232" s="24" t="inlineStr">
        <is>
          <t>Yelyzaveta Kotliar</t>
        </is>
      </c>
      <c r="AU232" s="24" t="inlineStr">
        <is>
          <t>Yelyzaveta Kotliar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73429bd71f12304106b9ffb751bd50617d5109d487f00de7ae2732f60e779590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73429bd71f12304106b9ffb751bd50617d5109d487f00de7ae2732f60e779590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73429bd71f12304106b9ffb751bd50617d5109d487f00de7ae2732f60e779590</t>
        </is>
      </c>
      <c r="BH232" s="24" t="inlineStr">
        <is>
          <t>2026-07-28T05:01:29.353293Z</t>
        </is>
      </c>
      <c r="BI232" s="24" t="inlineStr">
        <is>
          <t>["same_event","same_team_same_day","same_league_same_day"]</t>
        </is>
      </c>
      <c r="BJ232" s="25" t="n"/>
      <c r="BK232" s="26" t="n">
        <v>-127</v>
      </c>
      <c r="BL232" s="27" t="n">
        <v>1.787402</v>
      </c>
      <c r="BM232" s="28" t="n">
        <v>0.5594710000000001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</row>
    <row r="233" ht="36" customHeight="1">
      <c r="A233" s="24" t="inlineStr">
        <is>
          <t>cc74bd5c56de4e4f</t>
        </is>
      </c>
      <c r="B233" s="24" t="inlineStr">
        <is>
          <t>2026-07-28T05:03:44.224309Z</t>
        </is>
      </c>
      <c r="C233" s="24" t="inlineStr">
        <is>
          <t>2026-07-28T08:00Z</t>
        </is>
      </c>
      <c r="D233" s="24" t="inlineStr">
        <is>
          <t>1073-2026:183171</t>
        </is>
      </c>
      <c r="E233" s="24" t="inlineStr">
        <is>
          <t>TENNIS</t>
        </is>
      </c>
      <c r="F233" s="24" t="inlineStr">
        <is>
          <t>Darja Semenistaja</t>
        </is>
      </c>
      <c r="G233" s="24" t="inlineStr">
        <is>
          <t>Mia Ristic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-113</v>
      </c>
      <c r="M233" s="27" t="n">
        <v>1.884956</v>
      </c>
      <c r="N233" s="28" t="n">
        <v>0.530516</v>
      </c>
      <c r="O233" s="28" t="n">
        <v>0.553512</v>
      </c>
      <c r="P233" s="28" t="n">
        <v>0.05</v>
      </c>
      <c r="Q233" s="28" t="n">
        <v>0.022996</v>
      </c>
      <c r="R233" s="26" t="n">
        <v>31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loss</t>
        </is>
      </c>
      <c r="W233" s="26" t="n">
        <v>0</v>
      </c>
      <c r="X233" s="26" t="n">
        <v>1</v>
      </c>
      <c r="Y233" s="25" t="n"/>
      <c r="Z233" s="26" t="n"/>
      <c r="AA233" s="28" t="n"/>
      <c r="AB233" s="28" t="n"/>
      <c r="AC233" s="30" t="n">
        <v>-1</v>
      </c>
      <c r="AD233" s="24" t="inlineStr">
        <is>
          <t>2026-07-28T11:12:39.467765Z</t>
        </is>
      </c>
      <c r="AE233" s="31" t="inlineStr">
        <is>
          <t>Surface-blended Elo on Hard: Darja Semenistaja p=0.554 vs Mia Ristic. Executable ask 0.5300 (aec-wta-miaris-darsem-2026-07-27).</t>
        </is>
      </c>
      <c r="AF233" s="31" t="inlineStr">
        <is>
          <t>Research-only surface-blended Elo model; singles only, WTA-only market coverage, not yet locked-holdout qualified.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NO_CALL_MODEL_UNVALIDATED</t>
        </is>
      </c>
      <c r="AP233" s="24" t="inlineStr">
        <is>
          <t>Darja Semenistaja</t>
        </is>
      </c>
      <c r="AQ233" s="24" t="inlineStr">
        <is>
          <t>Darja Semenistaja</t>
        </is>
      </c>
      <c r="AR233" s="24" t="inlineStr">
        <is>
          <t>Darja Semenistaja</t>
        </is>
      </c>
      <c r="AS233" s="24" t="inlineStr">
        <is>
          <t>Mia Ristic</t>
        </is>
      </c>
      <c r="AT233" s="24" t="inlineStr">
        <is>
          <t>Mia Ristic</t>
        </is>
      </c>
      <c r="AU233" s="24" t="inlineStr">
        <is>
          <t>Mia Ristic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73429bd71f12304106b9ffb751bd50617d5109d487f00de7ae2732f60e779590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73429bd71f12304106b9ffb751bd50617d5109d487f00de7ae2732f60e779590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73429bd71f12304106b9ffb751bd50617d5109d487f00de7ae2732f60e779590</t>
        </is>
      </c>
      <c r="BH233" s="24" t="inlineStr">
        <is>
          <t>2026-07-28T05:01:29.436773Z</t>
        </is>
      </c>
      <c r="BI233" s="24" t="inlineStr">
        <is>
          <t>["same_event","same_team_same_day","same_league_same_day"]</t>
        </is>
      </c>
      <c r="BJ233" s="25" t="n"/>
      <c r="BK233" s="26" t="n">
        <v>-113</v>
      </c>
      <c r="BL233" s="27" t="n">
        <v>1.884956</v>
      </c>
      <c r="BM233" s="28" t="n">
        <v>0.530516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</row>
    <row r="234" ht="36" customHeight="1">
      <c r="A234" s="24" t="inlineStr">
        <is>
          <t>c468caf1f2da4603</t>
        </is>
      </c>
      <c r="B234" s="24" t="inlineStr">
        <is>
          <t>2026-07-28T08:09:48.374429Z</t>
        </is>
      </c>
      <c r="C234" s="24" t="inlineStr">
        <is>
          <t>2026-07-28T09:30Z</t>
        </is>
      </c>
      <c r="D234" s="24" t="inlineStr">
        <is>
          <t>1073-2026:183172</t>
        </is>
      </c>
      <c r="E234" s="24" t="inlineStr">
        <is>
          <t>TENNIS</t>
        </is>
      </c>
      <c r="F234" s="24" t="inlineStr">
        <is>
          <t>Lucia Bronzetti</t>
        </is>
      </c>
      <c r="G234" s="24" t="inlineStr">
        <is>
          <t>Miriana Tona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-1011</v>
      </c>
      <c r="M234" s="27" t="n">
        <v>1.098912</v>
      </c>
      <c r="N234" s="28" t="n">
        <v>0.909991</v>
      </c>
      <c r="O234" s="28" t="n">
        <v>0.671191</v>
      </c>
      <c r="P234" s="28" t="n">
        <v>0.05</v>
      </c>
      <c r="Q234" s="28" t="n">
        <v>-0.2388</v>
      </c>
      <c r="R234" s="26" t="n">
        <v>0</v>
      </c>
      <c r="S234" s="29" t="n">
        <v>1.75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0</v>
      </c>
      <c r="Y234" s="25" t="n"/>
      <c r="Z234" s="26" t="n"/>
      <c r="AA234" s="28" t="n"/>
      <c r="AB234" s="28" t="n"/>
      <c r="AC234" s="30" t="n">
        <v>0.1731</v>
      </c>
      <c r="AD234" s="24" t="inlineStr">
        <is>
          <t>2026-07-28T14:18:43.901317Z</t>
        </is>
      </c>
      <c r="AE234" s="31" t="inlineStr">
        <is>
          <t>Surface-blended Elo on Hard: Lucia Bronzetti p=0.671 vs Miriana Tona. Executable ask 0.9100 (aec-wta-mirton-lucbro-2026-07-28).</t>
        </is>
      </c>
      <c r="AF234" s="31" t="inlineStr">
        <is>
          <t>Research-only surface-blended Elo model; singles only, WTA-only market coverage, not yet locked-holdout qualified.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NO_CALL_MODEL_UNVALIDATED</t>
        </is>
      </c>
      <c r="AP234" s="24" t="inlineStr">
        <is>
          <t>Lucia Bronzetti</t>
        </is>
      </c>
      <c r="AQ234" s="24" t="inlineStr">
        <is>
          <t>Lucia Bronzetti</t>
        </is>
      </c>
      <c r="AR234" s="24" t="inlineStr">
        <is>
          <t>Lucia Bronzetti</t>
        </is>
      </c>
      <c r="AS234" s="24" t="inlineStr">
        <is>
          <t>Miriana Tona</t>
        </is>
      </c>
      <c r="AT234" s="24" t="inlineStr">
        <is>
          <t>Miriana Tona</t>
        </is>
      </c>
      <c r="AU234" s="24" t="inlineStr">
        <is>
          <t>Miriana Tona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73429bd71f12304106b9ffb751bd50617d5109d487f00de7ae2732f60e779590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73429bd71f12304106b9ffb751bd50617d5109d487f00de7ae2732f60e779590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73429bd71f12304106b9ffb751bd50617d5109d487f00de7ae2732f60e779590</t>
        </is>
      </c>
      <c r="BH234" s="24" t="inlineStr">
        <is>
          <t>2026-07-28T08:07:29.222890Z</t>
        </is>
      </c>
      <c r="BI234" s="24" t="inlineStr">
        <is>
          <t>["same_event","same_team_same_day","same_league_same_day"]</t>
        </is>
      </c>
      <c r="BJ234" s="25" t="n"/>
      <c r="BK234" s="26" t="n">
        <v>-1011</v>
      </c>
      <c r="BL234" s="27" t="n">
        <v>1.098912</v>
      </c>
      <c r="BM234" s="28" t="n">
        <v>0.909991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</row>
    <row r="235" ht="36" customHeight="1">
      <c r="A235" s="24" t="inlineStr">
        <is>
          <t>da48ac67863741c5</t>
        </is>
      </c>
      <c r="B235" s="24" t="inlineStr">
        <is>
          <t>2026-07-28T08:09:48.374429Z</t>
        </is>
      </c>
      <c r="C235" s="24" t="inlineStr">
        <is>
          <t>2026-07-28T10:00Z</t>
        </is>
      </c>
      <c r="D235" s="24" t="inlineStr">
        <is>
          <t>1073-2026:183177</t>
        </is>
      </c>
      <c r="E235" s="24" t="inlineStr">
        <is>
          <t>TENNIS</t>
        </is>
      </c>
      <c r="F235" s="24" t="inlineStr">
        <is>
          <t>Lola Radivojevic</t>
        </is>
      </c>
      <c r="G235" s="24" t="inlineStr">
        <is>
          <t>Margaux Rouvroy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400</v>
      </c>
      <c r="M235" s="27" t="n">
        <v>5</v>
      </c>
      <c r="N235" s="28" t="n">
        <v>0.2</v>
      </c>
      <c r="O235" s="28" t="n">
        <v>0.549053</v>
      </c>
      <c r="P235" s="28" t="n">
        <v>0.05</v>
      </c>
      <c r="Q235" s="28" t="n">
        <v>0.349053</v>
      </c>
      <c r="R235" s="26" t="n">
        <v>100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/>
      <c r="AA235" s="28" t="n"/>
      <c r="AB235" s="28" t="n"/>
      <c r="AC235" s="30" t="n">
        <v>4</v>
      </c>
      <c r="AD235" s="24" t="inlineStr">
        <is>
          <t>2026-07-28T14:18:44.017439Z</t>
        </is>
      </c>
      <c r="AE235" s="31" t="inlineStr">
        <is>
          <t>Surface-blended Elo on Hard: Lola Radivojevic p=0.451 vs Margaux Rouvroy. Executable ask 0.2000 (aec-wta-marrou-lolrad-2026-07-28).</t>
        </is>
      </c>
      <c r="AF235" s="31" t="inlineStr">
        <is>
          <t>Research-only surface-blended Elo model; singles only, WTA-only market coverage,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NO_CALL_MODEL_UNVALIDATED</t>
        </is>
      </c>
      <c r="AP235" s="24" t="inlineStr">
        <is>
          <t>Lola Radivojevic</t>
        </is>
      </c>
      <c r="AQ235" s="24" t="inlineStr">
        <is>
          <t>Lola Radivojevic</t>
        </is>
      </c>
      <c r="AR235" s="24" t="inlineStr">
        <is>
          <t>Lola Radivojevic</t>
        </is>
      </c>
      <c r="AS235" s="24" t="inlineStr">
        <is>
          <t>Margaux Rouvroy</t>
        </is>
      </c>
      <c r="AT235" s="24" t="inlineStr">
        <is>
          <t>Margaux Rouvroy</t>
        </is>
      </c>
      <c r="AU235" s="24" t="inlineStr">
        <is>
          <t>Margaux Rouvroy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73429bd71f12304106b9ffb751bd50617d5109d487f00de7ae2732f60e779590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73429bd71f12304106b9ffb751bd50617d5109d487f00de7ae2732f60e779590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73429bd71f12304106b9ffb751bd50617d5109d487f00de7ae2732f60e779590</t>
        </is>
      </c>
      <c r="BH235" s="24" t="inlineStr">
        <is>
          <t>2026-07-28T08:07:29.251635Z</t>
        </is>
      </c>
      <c r="BI235" s="24" t="inlineStr">
        <is>
          <t>["same_event","same_team_same_day","same_league_same_day"]</t>
        </is>
      </c>
      <c r="BJ235" s="25" t="n"/>
      <c r="BK235" s="26" t="n">
        <v>400</v>
      </c>
      <c r="BL235" s="27" t="n">
        <v>5</v>
      </c>
      <c r="BM235" s="28" t="n">
        <v>0.2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</row>
    <row r="236" ht="36" customHeight="1">
      <c r="A236" s="24" t="inlineStr">
        <is>
          <t>fdfd679380374cf5</t>
        </is>
      </c>
      <c r="B236" s="24" t="inlineStr">
        <is>
          <t>2026-07-28T08:09:48.374429Z</t>
        </is>
      </c>
      <c r="C236" s="24" t="inlineStr">
        <is>
          <t>2026-07-28T11:00Z</t>
        </is>
      </c>
      <c r="D236" s="24" t="inlineStr">
        <is>
          <t>1073-2026:179593</t>
        </is>
      </c>
      <c r="E236" s="24" t="inlineStr">
        <is>
          <t>TENNIS</t>
        </is>
      </c>
      <c r="F236" s="24" t="inlineStr">
        <is>
          <t>Chloe Paquet</t>
        </is>
      </c>
      <c r="G236" s="24" t="inlineStr">
        <is>
          <t>Francesca Jones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-376</v>
      </c>
      <c r="M236" s="27" t="n">
        <v>1.265957</v>
      </c>
      <c r="N236" s="28" t="n">
        <v>0.789916</v>
      </c>
      <c r="O236" s="28" t="n">
        <v>0.742329</v>
      </c>
      <c r="P236" s="28" t="n">
        <v>0.05</v>
      </c>
      <c r="Q236" s="28" t="n">
        <v>-0.047587</v>
      </c>
      <c r="R236" s="26" t="n">
        <v>0</v>
      </c>
      <c r="S236" s="29" t="n">
        <v>2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/>
      <c r="AA236" s="28" t="n"/>
      <c r="AB236" s="28" t="n"/>
      <c r="AC236" s="30" t="n">
        <v>0.5319</v>
      </c>
      <c r="AD236" s="24" t="inlineStr">
        <is>
          <t>2026-07-28T14:18:44.134104Z</t>
        </is>
      </c>
      <c r="AE236" s="31" t="inlineStr">
        <is>
          <t>Surface-blended Elo on Hard: Chloe Paquet p=0.258 vs Francesca Jones. Executable ask 0.7900 (aec-wta-frajon-chlpaq-2026-07-27).</t>
        </is>
      </c>
      <c r="AF236" s="31" t="inlineStr">
        <is>
          <t>Research-only surface-blended Elo model; singles only, WTA-only market coverage,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NO_CALL_MODEL_UNVALIDATED</t>
        </is>
      </c>
      <c r="AP236" s="24" t="inlineStr">
        <is>
          <t>Chloe Paquet</t>
        </is>
      </c>
      <c r="AQ236" s="24" t="inlineStr">
        <is>
          <t>Chloe Paquet</t>
        </is>
      </c>
      <c r="AR236" s="24" t="inlineStr">
        <is>
          <t>Chloe Paquet</t>
        </is>
      </c>
      <c r="AS236" s="24" t="inlineStr">
        <is>
          <t>Francesca Jones</t>
        </is>
      </c>
      <c r="AT236" s="24" t="inlineStr">
        <is>
          <t>Francesca Jones</t>
        </is>
      </c>
      <c r="AU236" s="24" t="inlineStr">
        <is>
          <t>Francesca Jones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73429bd71f12304106b9ffb751bd50617d5109d487f00de7ae2732f60e779590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73429bd71f12304106b9ffb751bd50617d5109d487f00de7ae2732f60e779590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73429bd71f12304106b9ffb751bd50617d5109d487f00de7ae2732f60e779590</t>
        </is>
      </c>
      <c r="BH236" s="24" t="inlineStr">
        <is>
          <t>2026-07-28T08:07:29.757214Z</t>
        </is>
      </c>
      <c r="BI236" s="24" t="inlineStr">
        <is>
          <t>["same_event","same_team_same_day","same_league_same_day"]</t>
        </is>
      </c>
      <c r="BJ236" s="25" t="n"/>
      <c r="BK236" s="26" t="n">
        <v>-376</v>
      </c>
      <c r="BL236" s="27" t="n">
        <v>1.265957</v>
      </c>
      <c r="BM236" s="28" t="n">
        <v>0.789916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</row>
    <row r="237" ht="36" customHeight="1">
      <c r="A237" s="24" t="inlineStr">
        <is>
          <t>4ef8462ffb1f4f65</t>
        </is>
      </c>
      <c r="B237" s="24" t="inlineStr">
        <is>
          <t>2026-07-28T08:09:48.374429Z</t>
        </is>
      </c>
      <c r="C237" s="24" t="inlineStr">
        <is>
          <t>2026-07-28T11:00Z</t>
        </is>
      </c>
      <c r="D237" s="24" t="inlineStr">
        <is>
          <t>1073-2026:179585</t>
        </is>
      </c>
      <c r="E237" s="24" t="inlineStr">
        <is>
          <t>TENNIS</t>
        </is>
      </c>
      <c r="F237" s="24" t="inlineStr">
        <is>
          <t>Maia Ilinca Burcescu</t>
        </is>
      </c>
      <c r="G237" s="24" t="inlineStr">
        <is>
          <t>Alevtina Ibragimova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-456</v>
      </c>
      <c r="M237" s="27" t="n">
        <v>1.219298</v>
      </c>
      <c r="N237" s="28" t="n">
        <v>0.820144</v>
      </c>
      <c r="O237" s="28" t="n">
        <v>0.597506</v>
      </c>
      <c r="P237" s="28" t="n">
        <v>0.05</v>
      </c>
      <c r="Q237" s="28" t="n">
        <v>-0.222638</v>
      </c>
      <c r="R237" s="26" t="n">
        <v>0</v>
      </c>
      <c r="S237" s="29" t="n">
        <v>1.25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/>
      <c r="AA237" s="28" t="n"/>
      <c r="AB237" s="28" t="n"/>
      <c r="AC237" s="30" t="n">
        <v>0.2741</v>
      </c>
      <c r="AD237" s="24" t="inlineStr">
        <is>
          <t>2026-07-28T14:59:03.420461Z</t>
        </is>
      </c>
      <c r="AE237" s="31" t="inlineStr">
        <is>
          <t>Surface-blended Elo on Hard: Maia Ilinca Burcescu p=0.402 vs Alevtina Ibragimova. Executable ask 0.8200 (aec-wta-aleibr-maibur-2026-07-27).</t>
        </is>
      </c>
      <c r="AF237" s="31" t="inlineStr">
        <is>
          <t>Research-only surface-blended Elo model; singles only, WTA-only market coverage,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NO_CALL_MODEL_UNVALIDATED</t>
        </is>
      </c>
      <c r="AP237" s="24" t="inlineStr">
        <is>
          <t>Maia Ilinca Burcescu</t>
        </is>
      </c>
      <c r="AQ237" s="24" t="inlineStr">
        <is>
          <t>Maia Ilinca Burcescu</t>
        </is>
      </c>
      <c r="AR237" s="24" t="inlineStr">
        <is>
          <t>Maia Ilinca Burcescu</t>
        </is>
      </c>
      <c r="AS237" s="24" t="inlineStr">
        <is>
          <t>Alevtina Ibragimova</t>
        </is>
      </c>
      <c r="AT237" s="24" t="inlineStr">
        <is>
          <t>Alevtina Ibragimova</t>
        </is>
      </c>
      <c r="AU237" s="24" t="inlineStr">
        <is>
          <t>Alevtina Ibragimova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73429bd71f12304106b9ffb751bd50617d5109d487f00de7ae2732f60e779590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73429bd71f12304106b9ffb751bd50617d5109d487f00de7ae2732f60e779590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73429bd71f12304106b9ffb751bd50617d5109d487f00de7ae2732f60e779590</t>
        </is>
      </c>
      <c r="BH237" s="24" t="inlineStr">
        <is>
          <t>2026-07-28T08:07:29.244295Z</t>
        </is>
      </c>
      <c r="BI237" s="24" t="inlineStr">
        <is>
          <t>["same_event","same_team_same_day","same_league_same_day"]</t>
        </is>
      </c>
      <c r="BJ237" s="25" t="n"/>
      <c r="BK237" s="26" t="n">
        <v>-456</v>
      </c>
      <c r="BL237" s="27" t="n">
        <v>1.219298</v>
      </c>
      <c r="BM237" s="28" t="n">
        <v>0.820144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</row>
    <row r="238" ht="36" customHeight="1">
      <c r="A238" s="24" t="inlineStr">
        <is>
          <t>4892baa973e74093</t>
        </is>
      </c>
      <c r="B238" s="24" t="inlineStr">
        <is>
          <t>2026-07-28T08:09:48.374429Z</t>
        </is>
      </c>
      <c r="C238" s="24" t="inlineStr">
        <is>
          <t>2026-07-28T11:00Z</t>
        </is>
      </c>
      <c r="D238" s="24" t="inlineStr">
        <is>
          <t>1073-2026:179582</t>
        </is>
      </c>
      <c r="E238" s="24" t="inlineStr">
        <is>
          <t>TENNIS</t>
        </is>
      </c>
      <c r="F238" s="24" t="inlineStr">
        <is>
          <t>Anastasiia Sobolieva</t>
        </is>
      </c>
      <c r="G238" s="24" t="inlineStr">
        <is>
          <t>Selena Janicijevic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376</v>
      </c>
      <c r="M238" s="27" t="n">
        <v>4.76</v>
      </c>
      <c r="N238" s="28" t="n">
        <v>0.210084</v>
      </c>
      <c r="O238" s="28" t="n">
        <v>0.506887</v>
      </c>
      <c r="P238" s="28" t="n">
        <v>0.05</v>
      </c>
      <c r="Q238" s="28" t="n">
        <v>0.296803</v>
      </c>
      <c r="R238" s="26" t="n">
        <v>100</v>
      </c>
      <c r="S238" s="29" t="n">
        <v>1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loss</t>
        </is>
      </c>
      <c r="W238" s="26" t="n">
        <v>1</v>
      </c>
      <c r="X238" s="26" t="n">
        <v>0</v>
      </c>
      <c r="Y238" s="25" t="n"/>
      <c r="Z238" s="26" t="n"/>
      <c r="AA238" s="28" t="n"/>
      <c r="AB238" s="28" t="n"/>
      <c r="AC238" s="30" t="n">
        <v>-1</v>
      </c>
      <c r="AD238" s="24" t="inlineStr">
        <is>
          <t>2026-07-28T14:18:44.280191Z</t>
        </is>
      </c>
      <c r="AE238" s="31" t="inlineStr">
        <is>
          <t>Surface-blended Elo on Hard: Anastasiia Sobolieva p=0.493 vs Selena Janicijevic. Executable ask 0.2100 (aec-wta-seljan-anasob-2026-07-27).</t>
        </is>
      </c>
      <c r="AF238" s="31" t="inlineStr">
        <is>
          <t>Research-only surface-blended Elo model; singles only, WTA-only market coverage, not yet locked-holdout qualified.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Anastasiia Sobolieva</t>
        </is>
      </c>
      <c r="AQ238" s="24" t="inlineStr">
        <is>
          <t>Anastasiia Sobolieva</t>
        </is>
      </c>
      <c r="AR238" s="24" t="inlineStr">
        <is>
          <t>Anastasiia Sobolieva</t>
        </is>
      </c>
      <c r="AS238" s="24" t="inlineStr">
        <is>
          <t>Selena Janicijevic</t>
        </is>
      </c>
      <c r="AT238" s="24" t="inlineStr">
        <is>
          <t>Selena Janicijevic</t>
        </is>
      </c>
      <c r="AU238" s="24" t="inlineStr">
        <is>
          <t>Selena Janicijevic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73429bd71f12304106b9ffb751bd50617d5109d487f00de7ae2732f60e779590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73429bd71f12304106b9ffb751bd50617d5109d487f00de7ae2732f60e779590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73429bd71f12304106b9ffb751bd50617d5109d487f00de7ae2732f60e779590</t>
        </is>
      </c>
      <c r="BH238" s="24" t="inlineStr">
        <is>
          <t>2026-07-28T08:07:29.943296Z</t>
        </is>
      </c>
      <c r="BI238" s="24" t="inlineStr">
        <is>
          <t>["same_event","same_team_same_day","same_league_same_day"]</t>
        </is>
      </c>
      <c r="BJ238" s="25" t="n"/>
      <c r="BK238" s="26" t="n">
        <v>376</v>
      </c>
      <c r="BL238" s="27" t="n">
        <v>4.76</v>
      </c>
      <c r="BM238" s="28" t="n">
        <v>0.210084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</row>
    <row r="239" ht="36" customHeight="1">
      <c r="A239" s="24" t="inlineStr">
        <is>
          <t>b348a92598374228</t>
        </is>
      </c>
      <c r="B239" s="24" t="inlineStr">
        <is>
          <t>2026-07-28T11:15:58.367390Z</t>
        </is>
      </c>
      <c r="C239" s="24" t="inlineStr">
        <is>
          <t>2026-07-28T14:00Z</t>
        </is>
      </c>
      <c r="D239" s="24" t="inlineStr">
        <is>
          <t>1073-2026:179597</t>
        </is>
      </c>
      <c r="E239" s="24" t="inlineStr">
        <is>
          <t>TENNIS</t>
        </is>
      </c>
      <c r="F239" s="24" t="inlineStr">
        <is>
          <t>Carole Monnet</t>
        </is>
      </c>
      <c r="G239" s="24" t="inlineStr">
        <is>
          <t>Miriam Bulgaru</t>
        </is>
      </c>
      <c r="H239" s="24" t="inlineStr">
        <is>
          <t>moneyline</t>
        </is>
      </c>
      <c r="I239" s="24" t="inlineStr">
        <is>
          <t>away</t>
        </is>
      </c>
      <c r="J239" s="25" t="n"/>
      <c r="K239" s="24" t="inlineStr">
        <is>
          <t>polymarket_us</t>
        </is>
      </c>
      <c r="L239" s="26" t="n">
        <v>-133</v>
      </c>
      <c r="M239" s="27" t="n">
        <v>1.75188</v>
      </c>
      <c r="N239" s="28" t="n">
        <v>0.570815</v>
      </c>
      <c r="O239" s="28" t="n">
        <v>0.604046</v>
      </c>
      <c r="P239" s="28" t="n">
        <v>0.05</v>
      </c>
      <c r="Q239" s="28" t="n">
        <v>0.033231</v>
      </c>
      <c r="R239" s="26" t="n">
        <v>37</v>
      </c>
      <c r="S239" s="29" t="n">
        <v>1.25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win</t>
        </is>
      </c>
      <c r="W239" s="26" t="n">
        <v>1</v>
      </c>
      <c r="X239" s="26" t="n">
        <v>0</v>
      </c>
      <c r="Y239" s="25" t="n"/>
      <c r="Z239" s="26" t="n"/>
      <c r="AA239" s="28" t="n"/>
      <c r="AB239" s="28" t="n"/>
      <c r="AC239" s="30" t="n">
        <v>0.9399</v>
      </c>
      <c r="AD239" s="24" t="inlineStr">
        <is>
          <t>2026-07-28T16:02:14.284405Z</t>
        </is>
      </c>
      <c r="AE239" s="31" t="inlineStr">
        <is>
          <t>Surface-blended Elo on Hard: Carole Monnet p=0.604 vs Miriam Bulgaru. Executable ask 0.5700 (aec-wta-mirbul-carmon-2026-07-27).</t>
        </is>
      </c>
      <c r="AF239" s="31" t="inlineStr">
        <is>
          <t>Research-only surface-blended Elo model; singles only, WTA-only market coverage, not yet locked-holdout qualified.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NO_CALL_MODEL_UNVALIDATED</t>
        </is>
      </c>
      <c r="AP239" s="24" t="inlineStr">
        <is>
          <t>Carole Monnet</t>
        </is>
      </c>
      <c r="AQ239" s="24" t="inlineStr">
        <is>
          <t>Carole Monnet</t>
        </is>
      </c>
      <c r="AR239" s="24" t="inlineStr">
        <is>
          <t>Carole Monnet</t>
        </is>
      </c>
      <c r="AS239" s="24" t="inlineStr">
        <is>
          <t>Miriam Bulgaru</t>
        </is>
      </c>
      <c r="AT239" s="24" t="inlineStr">
        <is>
          <t>Miriam Bulgaru</t>
        </is>
      </c>
      <c r="AU239" s="24" t="inlineStr">
        <is>
          <t>Miriam Bulgaru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73429bd71f12304106b9ffb751bd50617d5109d487f00de7ae2732f60e779590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73429bd71f12304106b9ffb751bd50617d5109d487f00de7ae2732f60e779590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73429bd71f12304106b9ffb751bd50617d5109d487f00de7ae2732f60e779590</t>
        </is>
      </c>
      <c r="BH239" s="24" t="inlineStr">
        <is>
          <t>2026-07-28T11:13:41.297840Z</t>
        </is>
      </c>
      <c r="BI239" s="24" t="inlineStr">
        <is>
          <t>["same_event","same_team_same_day","same_league_same_day"]</t>
        </is>
      </c>
      <c r="BJ239" s="25" t="n"/>
      <c r="BK239" s="26" t="n">
        <v>-133</v>
      </c>
      <c r="BL239" s="27" t="n">
        <v>1.75188</v>
      </c>
      <c r="BM239" s="28" t="n">
        <v>0.570815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</row>
    <row r="240" ht="36" customHeight="1">
      <c r="A240" s="24" t="inlineStr">
        <is>
          <t>b6f4a3e099bb472a</t>
        </is>
      </c>
      <c r="B240" s="24" t="inlineStr">
        <is>
          <t>2026-07-28T14:22:03.423136Z</t>
        </is>
      </c>
      <c r="C240" s="24" t="inlineStr">
        <is>
          <t>2026-07-28T15:00Z</t>
        </is>
      </c>
      <c r="D240" s="24" t="inlineStr">
        <is>
          <t>888-2026:179000</t>
        </is>
      </c>
      <c r="E240" s="24" t="inlineStr">
        <is>
          <t>TENNIS</t>
        </is>
      </c>
      <c r="F240" s="24" t="inlineStr">
        <is>
          <t>Polina Kudermetova</t>
        </is>
      </c>
      <c r="G240" s="24" t="inlineStr">
        <is>
          <t>Cristina Bucsa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-133</v>
      </c>
      <c r="M240" s="27" t="n">
        <v>1.75188</v>
      </c>
      <c r="N240" s="28" t="n">
        <v>0.570815</v>
      </c>
      <c r="O240" s="28" t="n">
        <v>0.512221</v>
      </c>
      <c r="P240" s="28" t="n">
        <v>0.05</v>
      </c>
      <c r="Q240" s="28" t="n">
        <v>-0.058594</v>
      </c>
      <c r="R240" s="26" t="n">
        <v>0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/>
      <c r="AA240" s="28" t="n"/>
      <c r="AB240" s="28" t="n"/>
      <c r="AC240" s="30" t="n">
        <v>0.7519</v>
      </c>
      <c r="AD240" s="24" t="inlineStr">
        <is>
          <t>2026-07-28T20:31:20.529941Z</t>
        </is>
      </c>
      <c r="AE240" s="31" t="inlineStr">
        <is>
          <t>Surface-blended Elo on Hard: Polina Kudermetova p=0.512 vs Cristina Bucsa. Executable ask 0.5700 (aec-wta-cribuc-polkud-2026-07-27).</t>
        </is>
      </c>
      <c r="AF240" s="31" t="inlineStr">
        <is>
          <t>Research-only surface-blended Elo model; singles only, WTA-only market coverage, not yet locked-holdout qualified.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NO_CALL_MODEL_UNVALIDATED</t>
        </is>
      </c>
      <c r="AP240" s="24" t="inlineStr">
        <is>
          <t>Polina Kudermetova</t>
        </is>
      </c>
      <c r="AQ240" s="24" t="inlineStr">
        <is>
          <t>Polina Kudermetova</t>
        </is>
      </c>
      <c r="AR240" s="24" t="inlineStr">
        <is>
          <t>Polina Kudermetova</t>
        </is>
      </c>
      <c r="AS240" s="24" t="inlineStr">
        <is>
          <t>Cristina Bucsa</t>
        </is>
      </c>
      <c r="AT240" s="24" t="inlineStr">
        <is>
          <t>Cristina Bucsa</t>
        </is>
      </c>
      <c r="AU240" s="24" t="inlineStr">
        <is>
          <t>Cristina Bucsa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73429bd71f12304106b9ffb751bd50617d5109d487f00de7ae2732f60e779590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73429bd71f12304106b9ffb751bd50617d5109d487f00de7ae2732f60e779590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73429bd71f12304106b9ffb751bd50617d5109d487f00de7ae2732f60e779590</t>
        </is>
      </c>
      <c r="BH240" s="24" t="inlineStr">
        <is>
          <t>2026-07-28T14:19:47.442380Z</t>
        </is>
      </c>
      <c r="BI240" s="24" t="inlineStr">
        <is>
          <t>["same_event","same_team_same_day","same_league_same_day"]</t>
        </is>
      </c>
      <c r="BJ240" s="25" t="n"/>
      <c r="BK240" s="26" t="n">
        <v>-133</v>
      </c>
      <c r="BL240" s="27" t="n">
        <v>1.75188</v>
      </c>
      <c r="BM240" s="28" t="n">
        <v>0.570815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</row>
    <row r="241" ht="36" customHeight="1">
      <c r="A241" s="24" t="inlineStr">
        <is>
          <t>6a97ad946c334512</t>
        </is>
      </c>
      <c r="B241" s="24" t="inlineStr">
        <is>
          <t>2026-07-28T14:22:03.423136Z</t>
        </is>
      </c>
      <c r="C241" s="24" t="inlineStr">
        <is>
          <t>2026-07-28T15:00Z</t>
        </is>
      </c>
      <c r="D241" s="24" t="inlineStr">
        <is>
          <t>888-2026:179017</t>
        </is>
      </c>
      <c r="E241" s="24" t="inlineStr">
        <is>
          <t>TENNIS</t>
        </is>
      </c>
      <c r="F241" s="24" t="inlineStr">
        <is>
          <t>Wang Xinyu</t>
        </is>
      </c>
      <c r="G241" s="24" t="inlineStr">
        <is>
          <t>Julieta Pareja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-138</v>
      </c>
      <c r="M241" s="27" t="n">
        <v>1.724638</v>
      </c>
      <c r="N241" s="28" t="n">
        <v>0.579832</v>
      </c>
      <c r="O241" s="28" t="n">
        <v>0.624023</v>
      </c>
      <c r="P241" s="28" t="n">
        <v>0.05</v>
      </c>
      <c r="Q241" s="28" t="n">
        <v>0.044191</v>
      </c>
      <c r="R241" s="26" t="n">
        <v>42</v>
      </c>
      <c r="S241" s="29" t="n">
        <v>1.5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win</t>
        </is>
      </c>
      <c r="W241" s="26" t="n">
        <v>1</v>
      </c>
      <c r="X241" s="26" t="n">
        <v>0</v>
      </c>
      <c r="Y241" s="25" t="n"/>
      <c r="Z241" s="26" t="n"/>
      <c r="AA241" s="28" t="n"/>
      <c r="AB241" s="28" t="n"/>
      <c r="AC241" s="30" t="n">
        <v>1.087</v>
      </c>
      <c r="AD241" s="24" t="inlineStr">
        <is>
          <t>2026-07-28T17:24:52.772577Z</t>
        </is>
      </c>
      <c r="AE241" s="31" t="inlineStr">
        <is>
          <t>Surface-blended Elo on Hard: Wang Xinyu p=0.624 vs Julieta Pareja. Executable ask 0.5800 (aec-wta-julpar-xinwan-2026-07-27).</t>
        </is>
      </c>
      <c r="AF241" s="31" t="inlineStr">
        <is>
          <t>Research-only surface-blended Elo model; singles only, WTA-only market coverage, not yet locked-holdout qualified.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NO_CALL_MODEL_UNVALIDATED</t>
        </is>
      </c>
      <c r="AP241" s="24" t="inlineStr">
        <is>
          <t>Wang Xinyu</t>
        </is>
      </c>
      <c r="AQ241" s="24" t="inlineStr">
        <is>
          <t>Wang Xinyu</t>
        </is>
      </c>
      <c r="AR241" s="24" t="inlineStr">
        <is>
          <t>Wang Xinyu</t>
        </is>
      </c>
      <c r="AS241" s="24" t="inlineStr">
        <is>
          <t>Julieta Pareja</t>
        </is>
      </c>
      <c r="AT241" s="24" t="inlineStr">
        <is>
          <t>Julieta Pareja</t>
        </is>
      </c>
      <c r="AU241" s="24" t="inlineStr">
        <is>
          <t>Julieta Pareja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73429bd71f12304106b9ffb751bd50617d5109d487f00de7ae2732f60e779590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73429bd71f12304106b9ffb751bd50617d5109d487f00de7ae2732f60e779590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73429bd71f12304106b9ffb751bd50617d5109d487f00de7ae2732f60e779590</t>
        </is>
      </c>
      <c r="BH241" s="24" t="inlineStr">
        <is>
          <t>2026-07-28T14:19:49.037022Z</t>
        </is>
      </c>
      <c r="BI241" s="24" t="inlineStr">
        <is>
          <t>["same_event","same_team_same_day","same_league_same_day"]</t>
        </is>
      </c>
      <c r="BJ241" s="25" t="n"/>
      <c r="BK241" s="26" t="n">
        <v>-138</v>
      </c>
      <c r="BL241" s="27" t="n">
        <v>1.724638</v>
      </c>
      <c r="BM241" s="28" t="n">
        <v>0.579832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</row>
    <row r="242" ht="36" customHeight="1">
      <c r="A242" s="24" t="inlineStr">
        <is>
          <t>ba633ac72b564928</t>
        </is>
      </c>
      <c r="B242" s="24" t="inlineStr">
        <is>
          <t>2026-07-28T14:22:03.423136Z</t>
        </is>
      </c>
      <c r="C242" s="24" t="inlineStr">
        <is>
          <t>2026-07-28T15:00Z</t>
        </is>
      </c>
      <c r="D242" s="24" t="inlineStr">
        <is>
          <t>1067-2026:179443</t>
        </is>
      </c>
      <c r="E242" s="24" t="inlineStr">
        <is>
          <t>TENNIS</t>
        </is>
      </c>
      <c r="F242" s="24" t="inlineStr">
        <is>
          <t>Kristina Liutova</t>
        </is>
      </c>
      <c r="G242" s="24" t="inlineStr">
        <is>
          <t>Ekaterina Alexandrova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-203</v>
      </c>
      <c r="M242" s="27" t="n">
        <v>1.492611</v>
      </c>
      <c r="N242" s="28" t="n">
        <v>0.669967</v>
      </c>
      <c r="O242" s="28" t="n">
        <v>0.695466</v>
      </c>
      <c r="P242" s="28" t="n">
        <v>0.05</v>
      </c>
      <c r="Q242" s="28" t="n">
        <v>0.025499</v>
      </c>
      <c r="R242" s="26" t="n">
        <v>33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/>
      <c r="AA242" s="28" t="n"/>
      <c r="AB242" s="28" t="n"/>
      <c r="AC242" s="30" t="n">
        <v>-2</v>
      </c>
      <c r="AD242" s="24" t="inlineStr">
        <is>
          <t>2026-07-28T20:31:20.658235Z</t>
        </is>
      </c>
      <c r="AE242" s="31" t="inlineStr">
        <is>
          <t>Surface-blended Elo on Hard: Kristina Liutova p=0.305 vs Ekaterina Alexandrova. Executable ask 0.6700 (aec-wta-ekaale-kriliu-2026-07-28).</t>
        </is>
      </c>
      <c r="AF242" s="31" t="inlineStr">
        <is>
          <t>Research-only surface-blended Elo model; singles only, WTA-only market coverage, not yet locked-holdout qualified.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NO_CALL_MODEL_UNVALIDATED</t>
        </is>
      </c>
      <c r="AP242" s="24" t="inlineStr">
        <is>
          <t>Kristina Liutova</t>
        </is>
      </c>
      <c r="AQ242" s="24" t="inlineStr">
        <is>
          <t>Kristina Liutova</t>
        </is>
      </c>
      <c r="AR242" s="24" t="inlineStr">
        <is>
          <t>Kristina Liutova</t>
        </is>
      </c>
      <c r="AS242" s="24" t="inlineStr">
        <is>
          <t>Ekaterina Alexandrova</t>
        </is>
      </c>
      <c r="AT242" s="24" t="inlineStr">
        <is>
          <t>Ekaterina Alexandrova</t>
        </is>
      </c>
      <c r="AU242" s="24" t="inlineStr">
        <is>
          <t>Ekaterina Alexandrova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73429bd71f12304106b9ffb751bd50617d5109d487f00de7ae2732f60e779590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73429bd71f12304106b9ffb751bd50617d5109d487f00de7ae2732f60e779590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73429bd71f12304106b9ffb751bd50617d5109d487f00de7ae2732f60e779590</t>
        </is>
      </c>
      <c r="BH242" s="24" t="inlineStr">
        <is>
          <t>2026-07-28T14:19:54.883376Z</t>
        </is>
      </c>
      <c r="BI242" s="24" t="inlineStr">
        <is>
          <t>["same_event","same_team_same_day","same_league_same_day"]</t>
        </is>
      </c>
      <c r="BJ242" s="25" t="n"/>
      <c r="BK242" s="26" t="n">
        <v>-203</v>
      </c>
      <c r="BL242" s="27" t="n">
        <v>1.492611</v>
      </c>
      <c r="BM242" s="28" t="n">
        <v>0.669967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</row>
    <row r="243" ht="36" customHeight="1">
      <c r="A243" s="24" t="inlineStr">
        <is>
          <t>1bd4b44fe1704333</t>
        </is>
      </c>
      <c r="B243" s="24" t="inlineStr">
        <is>
          <t>2026-07-28T14:22:03.423136Z</t>
        </is>
      </c>
      <c r="C243" s="24" t="inlineStr">
        <is>
          <t>2026-07-28T15:00Z</t>
        </is>
      </c>
      <c r="D243" s="24" t="inlineStr">
        <is>
          <t>1067-2026:179450</t>
        </is>
      </c>
      <c r="E243" s="24" t="inlineStr">
        <is>
          <t>TENNIS</t>
        </is>
      </c>
      <c r="F243" s="24" t="inlineStr">
        <is>
          <t>Cadence Brace</t>
        </is>
      </c>
      <c r="G243" s="24" t="inlineStr">
        <is>
          <t>Zeynep Sonmez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-614</v>
      </c>
      <c r="M243" s="27" t="n">
        <v>1.162866</v>
      </c>
      <c r="N243" s="28" t="n">
        <v>0.859944</v>
      </c>
      <c r="O243" s="28" t="n">
        <v>0.772271</v>
      </c>
      <c r="P243" s="28" t="n">
        <v>0.05</v>
      </c>
      <c r="Q243" s="28" t="n">
        <v>-0.087673</v>
      </c>
      <c r="R243" s="26" t="n">
        <v>0</v>
      </c>
      <c r="S243" s="29" t="n">
        <v>2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0</v>
      </c>
      <c r="X243" s="26" t="n">
        <v>1</v>
      </c>
      <c r="Y243" s="25" t="n"/>
      <c r="Z243" s="26" t="n"/>
      <c r="AA243" s="28" t="n"/>
      <c r="AB243" s="28" t="n"/>
      <c r="AC243" s="30" t="n">
        <v>0.3257</v>
      </c>
      <c r="AD243" s="24" t="inlineStr">
        <is>
          <t>2026-07-28T17:24:52.915624Z</t>
        </is>
      </c>
      <c r="AE243" s="31" t="inlineStr">
        <is>
          <t>Surface-blended Elo on Hard: Cadence Brace p=0.228 vs Zeynep Sonmez. Executable ask 0.8600 (aec-wta-zeyson-cadbra-2026-07-26).</t>
        </is>
      </c>
      <c r="AF243" s="31" t="inlineStr">
        <is>
          <t>Research-only surface-blended Elo model; singles only, WTA-only market coverage, not yet locked-holdout qualified.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NO_CALL_MODEL_UNVALIDATED</t>
        </is>
      </c>
      <c r="AP243" s="24" t="inlineStr">
        <is>
          <t>Cadence Brace</t>
        </is>
      </c>
      <c r="AQ243" s="24" t="inlineStr">
        <is>
          <t>Cadence Brace</t>
        </is>
      </c>
      <c r="AR243" s="24" t="inlineStr">
        <is>
          <t>Cadence Brace</t>
        </is>
      </c>
      <c r="AS243" s="24" t="inlineStr">
        <is>
          <t>Zeynep Sonmez</t>
        </is>
      </c>
      <c r="AT243" s="24" t="inlineStr">
        <is>
          <t>Zeynep Sonmez</t>
        </is>
      </c>
      <c r="AU243" s="24" t="inlineStr">
        <is>
          <t>Zeynep Sonmez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73429bd71f12304106b9ffb751bd50617d5109d487f00de7ae2732f60e779590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73429bd71f12304106b9ffb751bd50617d5109d487f00de7ae2732f60e779590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73429bd71f12304106b9ffb751bd50617d5109d487f00de7ae2732f60e779590</t>
        </is>
      </c>
      <c r="BH243" s="24" t="inlineStr">
        <is>
          <t>2026-07-28T14:19:52.688752Z</t>
        </is>
      </c>
      <c r="BI243" s="24" t="inlineStr">
        <is>
          <t>["same_event","same_team_same_day","same_league_same_day"]</t>
        </is>
      </c>
      <c r="BJ243" s="25" t="n"/>
      <c r="BK243" s="26" t="n">
        <v>-614</v>
      </c>
      <c r="BL243" s="27" t="n">
        <v>1.162866</v>
      </c>
      <c r="BM243" s="28" t="n">
        <v>0.859944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</row>
    <row r="244" ht="36" customHeight="1">
      <c r="A244" s="24" t="inlineStr">
        <is>
          <t>056d2c4664fc49e4</t>
        </is>
      </c>
      <c r="B244" s="24" t="inlineStr">
        <is>
          <t>2026-07-28T16:33:15.182462Z</t>
        </is>
      </c>
      <c r="C244" s="24" t="inlineStr">
        <is>
          <t>2026-07-28T17:00Z</t>
        </is>
      </c>
      <c r="D244" s="24" t="inlineStr">
        <is>
          <t>888-2026:179022</t>
        </is>
      </c>
      <c r="E244" s="24" t="inlineStr">
        <is>
          <t>TENNIS</t>
        </is>
      </c>
      <c r="F244" s="24" t="inlineStr">
        <is>
          <t>Zheng Qinwen</t>
        </is>
      </c>
      <c r="G244" s="24" t="inlineStr">
        <is>
          <t>Alexandra Eala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-133</v>
      </c>
      <c r="M244" s="27" t="n">
        <v>1.75188</v>
      </c>
      <c r="N244" s="28" t="n">
        <v>0.570815</v>
      </c>
      <c r="O244" s="28" t="n">
        <v>0.527043</v>
      </c>
      <c r="P244" s="28" t="n">
        <v>0.05</v>
      </c>
      <c r="Q244" s="28" t="n">
        <v>-0.043772</v>
      </c>
      <c r="R244" s="26" t="n">
        <v>0</v>
      </c>
      <c r="S244" s="29" t="n">
        <v>1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-1</v>
      </c>
      <c r="AD244" s="24" t="inlineStr">
        <is>
          <t>2026-07-28T20:31:20.789060Z</t>
        </is>
      </c>
      <c r="AE244" s="31" t="inlineStr">
        <is>
          <t>Surface-blended Elo on Hard: Zheng Qinwen p=0.527 vs Alexandra Eala. Executable ask 0.5700 (aec-wta-aleeal-qinzhe-2026-07-27).</t>
        </is>
      </c>
      <c r="AF244" s="31" t="inlineStr">
        <is>
          <t>Research-only surface-blended Elo model; singles only, WTA-only market coverage, not yet locked-holdout qualified.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NO_CALL_MODEL_UNVALIDATED</t>
        </is>
      </c>
      <c r="AP244" s="24" t="inlineStr">
        <is>
          <t>Zheng Qinwen</t>
        </is>
      </c>
      <c r="AQ244" s="24" t="inlineStr">
        <is>
          <t>Zheng Qinwen</t>
        </is>
      </c>
      <c r="AR244" s="24" t="inlineStr">
        <is>
          <t>Zheng Qinwen</t>
        </is>
      </c>
      <c r="AS244" s="24" t="inlineStr">
        <is>
          <t>Alexandra Eala</t>
        </is>
      </c>
      <c r="AT244" s="24" t="inlineStr">
        <is>
          <t>Alexandra Eala</t>
        </is>
      </c>
      <c r="AU244" s="24" t="inlineStr">
        <is>
          <t>Alexandra Eala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73429bd71f12304106b9ffb751bd50617d5109d487f00de7ae2732f60e779590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73429bd71f12304106b9ffb751bd50617d5109d487f00de7ae2732f60e779590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73429bd71f12304106b9ffb751bd50617d5109d487f00de7ae2732f60e779590</t>
        </is>
      </c>
      <c r="BH244" s="24" t="inlineStr">
        <is>
          <t>2026-07-28T16:31:07.397161Z</t>
        </is>
      </c>
      <c r="BI244" s="24" t="inlineStr">
        <is>
          <t>["same_event","same_team_same_day","same_league_same_day"]</t>
        </is>
      </c>
      <c r="BJ244" s="25" t="n"/>
      <c r="BK244" s="26" t="n">
        <v>-133</v>
      </c>
      <c r="BL244" s="27" t="n">
        <v>1.75188</v>
      </c>
      <c r="BM244" s="28" t="n">
        <v>0.570815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</row>
    <row r="245" ht="36" customHeight="1">
      <c r="A245" s="24" t="inlineStr">
        <is>
          <t>6e2e3187c05a4d6a</t>
        </is>
      </c>
      <c r="B245" s="24" t="inlineStr">
        <is>
          <t>2026-07-28T17:28:10.769619Z</t>
        </is>
      </c>
      <c r="C245" s="24" t="inlineStr">
        <is>
          <t>2026-07-28T19:00Z</t>
        </is>
      </c>
      <c r="D245" s="24" t="inlineStr">
        <is>
          <t>875-2026:179553</t>
        </is>
      </c>
      <c r="E245" s="24" t="inlineStr">
        <is>
          <t>TENNIS</t>
        </is>
      </c>
      <c r="F245" s="24" t="inlineStr">
        <is>
          <t>Nao Hibino</t>
        </is>
      </c>
      <c r="G245" s="24" t="inlineStr">
        <is>
          <t>Teah Chavez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614</v>
      </c>
      <c r="M245" s="27" t="n">
        <v>7.14</v>
      </c>
      <c r="N245" s="28" t="n">
        <v>0.140056</v>
      </c>
      <c r="O245" s="28" t="n">
        <v>0.588365</v>
      </c>
      <c r="P245" s="28" t="n">
        <v>0.2</v>
      </c>
      <c r="Q245" s="28" t="n">
        <v>0.448309</v>
      </c>
      <c r="R245" s="26" t="n">
        <v>100</v>
      </c>
      <c r="S245" s="29" t="n">
        <v>1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loss</t>
        </is>
      </c>
      <c r="W245" s="26" t="n">
        <v>1</v>
      </c>
      <c r="X245" s="26" t="n">
        <v>0</v>
      </c>
      <c r="Y245" s="25" t="n"/>
      <c r="Z245" s="26" t="n"/>
      <c r="AA245" s="28" t="n"/>
      <c r="AB245" s="28" t="n"/>
      <c r="AC245" s="30" t="n">
        <v>-1</v>
      </c>
      <c r="AD245" s="24" t="inlineStr">
        <is>
          <t>2026-07-28T23:37:09.013311Z</t>
        </is>
      </c>
      <c r="AE245" s="31" t="inlineStr">
        <is>
          <t>Surface-blended Elo on Hard: Nao Hibino p=0.412 vs Teah Chavez. Executable ask 0.1400 (aec-wta-teacha-naohib-2026-07-27).</t>
        </is>
      </c>
      <c r="AF245" s="31" t="inlineStr">
        <is>
          <t>Research-only surface-blended Elo model; singles only, WTA-only market coverage, not yet locked-holdout qualified.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NO_CALL_MODEL_UNVALIDATED</t>
        </is>
      </c>
      <c r="AP245" s="24" t="inlineStr">
        <is>
          <t>Nao Hibino</t>
        </is>
      </c>
      <c r="AQ245" s="24" t="inlineStr">
        <is>
          <t>Nao Hibino</t>
        </is>
      </c>
      <c r="AR245" s="24" t="inlineStr">
        <is>
          <t>Nao Hibino</t>
        </is>
      </c>
      <c r="AS245" s="24" t="inlineStr">
        <is>
          <t>Teah Chavez</t>
        </is>
      </c>
      <c r="AT245" s="24" t="inlineStr">
        <is>
          <t>Teah Chavez</t>
        </is>
      </c>
      <c r="AU245" s="24" t="inlineStr">
        <is>
          <t>Teah Chavez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73429bd71f12304106b9ffb751bd50617d5109d487f00de7ae2732f60e779590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73429bd71f12304106b9ffb751bd50617d5109d487f00de7ae2732f60e779590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73429bd71f12304106b9ffb751bd50617d5109d487f00de7ae2732f60e779590</t>
        </is>
      </c>
      <c r="BH245" s="24" t="inlineStr">
        <is>
          <t>2026-07-28T17:26:00.042296Z</t>
        </is>
      </c>
      <c r="BI245" s="24" t="inlineStr">
        <is>
          <t>["same_event","same_team_same_day","same_league_same_day"]</t>
        </is>
      </c>
      <c r="BJ245" s="25" t="n"/>
      <c r="BK245" s="26" t="n">
        <v>614</v>
      </c>
      <c r="BL245" s="27" t="n">
        <v>7.14</v>
      </c>
      <c r="BM245" s="28" t="n">
        <v>0.140056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</row>
    <row r="246" ht="36" customHeight="1">
      <c r="A246" s="24" t="inlineStr">
        <is>
          <t>7170400c15374484</t>
        </is>
      </c>
      <c r="B246" s="24" t="inlineStr">
        <is>
          <t>2026-07-28T17:28:10.769619Z</t>
        </is>
      </c>
      <c r="C246" s="24" t="inlineStr">
        <is>
          <t>2026-07-28T20:30Z</t>
        </is>
      </c>
      <c r="D246" s="24" t="inlineStr">
        <is>
          <t>875-2026:179534</t>
        </is>
      </c>
      <c r="E246" s="24" t="inlineStr">
        <is>
          <t>TENNIS</t>
        </is>
      </c>
      <c r="F246" s="24" t="inlineStr">
        <is>
          <t>Miho Kuramochi</t>
        </is>
      </c>
      <c r="G246" s="24" t="inlineStr">
        <is>
          <t>Moyuka Uchijima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-376</v>
      </c>
      <c r="M246" s="27" t="n">
        <v>1.265957</v>
      </c>
      <c r="N246" s="28" t="n">
        <v>0.789916</v>
      </c>
      <c r="O246" s="28" t="n">
        <v>0.629629</v>
      </c>
      <c r="P246" s="28" t="n">
        <v>0.05</v>
      </c>
      <c r="Q246" s="28" t="n">
        <v>-0.160287</v>
      </c>
      <c r="R246" s="26" t="n">
        <v>0</v>
      </c>
      <c r="S246" s="29" t="n">
        <v>1.5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win</t>
        </is>
      </c>
      <c r="W246" s="26" t="n">
        <v>0</v>
      </c>
      <c r="X246" s="26" t="n">
        <v>1</v>
      </c>
      <c r="Y246" s="25" t="n"/>
      <c r="Z246" s="26" t="n"/>
      <c r="AA246" s="28" t="n"/>
      <c r="AB246" s="28" t="n"/>
      <c r="AC246" s="30" t="n">
        <v>0.3989</v>
      </c>
      <c r="AD246" s="24" t="inlineStr">
        <is>
          <t>2026-07-28T23:37:09.141329Z</t>
        </is>
      </c>
      <c r="AE246" s="31" t="inlineStr">
        <is>
          <t>Surface-blended Elo on Hard: Miho Kuramochi p=0.370 vs Moyuka Uchijima. Executable ask 0.7900 (aec-wta-moyuch-mihkur-2026-07-28).</t>
        </is>
      </c>
      <c r="AF246" s="31" t="inlineStr">
        <is>
          <t>Research-only surface-blended Elo model; singles only, WTA-only market coverage, not yet locked-holdout qualified.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NO_CALL_MODEL_UNVALIDATED</t>
        </is>
      </c>
      <c r="AP246" s="24" t="inlineStr">
        <is>
          <t>Miho Kuramochi</t>
        </is>
      </c>
      <c r="AQ246" s="24" t="inlineStr">
        <is>
          <t>Miho Kuramochi</t>
        </is>
      </c>
      <c r="AR246" s="24" t="inlineStr">
        <is>
          <t>Miho Kuramochi</t>
        </is>
      </c>
      <c r="AS246" s="24" t="inlineStr">
        <is>
          <t>Moyuka Uchijima</t>
        </is>
      </c>
      <c r="AT246" s="24" t="inlineStr">
        <is>
          <t>Moyuka Uchijima</t>
        </is>
      </c>
      <c r="AU246" s="24" t="inlineStr">
        <is>
          <t>Moyuka Uchijima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73429bd71f12304106b9ffb751bd50617d5109d487f00de7ae2732f60e779590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73429bd71f12304106b9ffb751bd50617d5109d487f00de7ae2732f60e779590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73429bd71f12304106b9ffb751bd50617d5109d487f00de7ae2732f60e779590</t>
        </is>
      </c>
      <c r="BH246" s="24" t="inlineStr">
        <is>
          <t>2026-07-28T17:26:02.304685Z</t>
        </is>
      </c>
      <c r="BI246" s="24" t="inlineStr">
        <is>
          <t>["same_event","same_team_same_day","same_league_same_day"]</t>
        </is>
      </c>
      <c r="BJ246" s="25" t="n"/>
      <c r="BK246" s="26" t="n">
        <v>-376</v>
      </c>
      <c r="BL246" s="27" t="n">
        <v>1.265957</v>
      </c>
      <c r="BM246" s="28" t="n">
        <v>0.789916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</row>
    <row r="247" ht="36" customHeight="1">
      <c r="A247" s="24" t="inlineStr">
        <is>
          <t>ae93d371d4b04bd0</t>
        </is>
      </c>
      <c r="B247" s="24" t="inlineStr">
        <is>
          <t>2026-07-28T17:28:10.769619Z</t>
        </is>
      </c>
      <c r="C247" s="24" t="inlineStr">
        <is>
          <t>2026-07-28T19:00Z</t>
        </is>
      </c>
      <c r="D247" s="24" t="inlineStr">
        <is>
          <t>888-2026:179003</t>
        </is>
      </c>
      <c r="E247" s="24" t="inlineStr">
        <is>
          <t>TENNIS</t>
        </is>
      </c>
      <c r="F247" s="24" t="inlineStr">
        <is>
          <t>Anna Kalinskaya</t>
        </is>
      </c>
      <c r="G247" s="24" t="inlineStr">
        <is>
          <t>Daria Kasatkina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-178</v>
      </c>
      <c r="M247" s="27" t="n">
        <v>1.561798</v>
      </c>
      <c r="N247" s="28" t="n">
        <v>0.640288</v>
      </c>
      <c r="O247" s="28" t="n">
        <v>0.604672</v>
      </c>
      <c r="P247" s="28" t="n">
        <v>0.05</v>
      </c>
      <c r="Q247" s="28" t="n">
        <v>-0.035616</v>
      </c>
      <c r="R247" s="26" t="n">
        <v>2</v>
      </c>
      <c r="S247" s="29" t="n">
        <v>1.25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win</t>
        </is>
      </c>
      <c r="W247" s="26" t="n">
        <v>1</v>
      </c>
      <c r="X247" s="26" t="n">
        <v>0</v>
      </c>
      <c r="Y247" s="25" t="n"/>
      <c r="Z247" s="26" t="n"/>
      <c r="AA247" s="28" t="n"/>
      <c r="AB247" s="28" t="n"/>
      <c r="AC247" s="30" t="n">
        <v>0.7022</v>
      </c>
      <c r="AD247" s="24" t="inlineStr">
        <is>
          <t>2026-07-28T23:37:09.272804Z</t>
        </is>
      </c>
      <c r="AE247" s="31" t="inlineStr">
        <is>
          <t>Surface-blended Elo on Hard: Anna Kalinskaya p=0.605 vs Daria Kasatkina. Executable ask 0.6400 (aec-wta-darkas-annkal-2026-07-27).</t>
        </is>
      </c>
      <c r="AF247" s="31" t="inlineStr">
        <is>
          <t>Research-only surface-blended Elo model; singles only, WTA-only market coverage, not yet locked-holdout qualified.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NO_CALL_MODEL_UNVALIDATED</t>
        </is>
      </c>
      <c r="AP247" s="24" t="inlineStr">
        <is>
          <t>Anna Kalinskaya</t>
        </is>
      </c>
      <c r="AQ247" s="24" t="inlineStr">
        <is>
          <t>Anna Kalinskaya</t>
        </is>
      </c>
      <c r="AR247" s="24" t="inlineStr">
        <is>
          <t>Anna Kalinskaya</t>
        </is>
      </c>
      <c r="AS247" s="24" t="inlineStr">
        <is>
          <t>Daria Kasatkina</t>
        </is>
      </c>
      <c r="AT247" s="24" t="inlineStr">
        <is>
          <t>Daria Kasatkina</t>
        </is>
      </c>
      <c r="AU247" s="24" t="inlineStr">
        <is>
          <t>Daria Kasatkina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73429bd71f12304106b9ffb751bd50617d5109d487f00de7ae2732f60e779590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73429bd71f12304106b9ffb751bd50617d5109d487f00de7ae2732f60e779590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73429bd71f12304106b9ffb751bd50617d5109d487f00de7ae2732f60e779590</t>
        </is>
      </c>
      <c r="BH247" s="24" t="inlineStr">
        <is>
          <t>2026-07-28T17:26:00.832341Z</t>
        </is>
      </c>
      <c r="BI247" s="24" t="inlineStr">
        <is>
          <t>["same_event","same_team_same_day","same_league_same_day"]</t>
        </is>
      </c>
      <c r="BJ247" s="25" t="n"/>
      <c r="BK247" s="26" t="n">
        <v>-178</v>
      </c>
      <c r="BL247" s="27" t="n">
        <v>1.561798</v>
      </c>
      <c r="BM247" s="28" t="n">
        <v>0.640288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</row>
    <row r="248" ht="36" customHeight="1">
      <c r="A248" s="24" t="inlineStr">
        <is>
          <t>00406ef261434c9c</t>
        </is>
      </c>
      <c r="B248" s="24" t="inlineStr">
        <is>
          <t>2026-07-28T17:28:10.769619Z</t>
        </is>
      </c>
      <c r="C248" s="24" t="inlineStr">
        <is>
          <t>2026-07-28T20:30Z</t>
        </is>
      </c>
      <c r="D248" s="24" t="inlineStr">
        <is>
          <t>888-2026:179007</t>
        </is>
      </c>
      <c r="E248" s="24" t="inlineStr">
        <is>
          <t>TENNIS</t>
        </is>
      </c>
      <c r="F248" s="24" t="inlineStr">
        <is>
          <t>Ann Li</t>
        </is>
      </c>
      <c r="G248" s="24" t="inlineStr">
        <is>
          <t>Magdalena Frech</t>
        </is>
      </c>
      <c r="H248" s="24" t="inlineStr">
        <is>
          <t>moneyline</t>
        </is>
      </c>
      <c r="I248" s="24" t="inlineStr">
        <is>
          <t>away</t>
        </is>
      </c>
      <c r="J248" s="25" t="n"/>
      <c r="K248" s="24" t="inlineStr">
        <is>
          <t>polymarket_us</t>
        </is>
      </c>
      <c r="L248" s="26" t="n">
        <v>-194</v>
      </c>
      <c r="M248" s="27" t="n">
        <v>1.515464</v>
      </c>
      <c r="N248" s="28" t="n">
        <v>0.659864</v>
      </c>
      <c r="O248" s="28" t="n">
        <v>0.617829</v>
      </c>
      <c r="P248" s="28" t="n">
        <v>0.05</v>
      </c>
      <c r="Q248" s="28" t="n">
        <v>-0.042035</v>
      </c>
      <c r="R248" s="26" t="n">
        <v>0</v>
      </c>
      <c r="S248" s="29" t="n">
        <v>1.5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loss</t>
        </is>
      </c>
      <c r="W248" s="26" t="n">
        <v>0</v>
      </c>
      <c r="X248" s="26" t="n">
        <v>1</v>
      </c>
      <c r="Y248" s="25" t="n"/>
      <c r="Z248" s="26" t="n"/>
      <c r="AA248" s="28" t="n"/>
      <c r="AB248" s="28" t="n"/>
      <c r="AC248" s="30" t="n">
        <v>-1.5</v>
      </c>
      <c r="AD248" s="24" t="inlineStr">
        <is>
          <t>2026-07-29T02:41:50.768016Z</t>
        </is>
      </c>
      <c r="AE248" s="31" t="inlineStr">
        <is>
          <t>Surface-blended Elo on Hard: Ann Li p=0.618 vs Magdalena Frech. Executable ask 0.6600 (aec-wta-magfre-annli-2026-07-27).</t>
        </is>
      </c>
      <c r="AF248" s="31" t="inlineStr">
        <is>
          <t>Research-only surface-blended Elo model; singles only, WTA-only market coverage, not yet locked-holdout qualified.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NO_CALL_MODEL_UNVALIDATED</t>
        </is>
      </c>
      <c r="AP248" s="24" t="inlineStr">
        <is>
          <t>Ann Li</t>
        </is>
      </c>
      <c r="AQ248" s="24" t="inlineStr">
        <is>
          <t>Ann Li</t>
        </is>
      </c>
      <c r="AR248" s="24" t="inlineStr">
        <is>
          <t>Ann Li</t>
        </is>
      </c>
      <c r="AS248" s="24" t="inlineStr">
        <is>
          <t>Magdalena Frech</t>
        </is>
      </c>
      <c r="AT248" s="24" t="inlineStr">
        <is>
          <t>Magdalena Frech</t>
        </is>
      </c>
      <c r="AU248" s="24" t="inlineStr">
        <is>
          <t>Magdalena Frech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73429bd71f12304106b9ffb751bd50617d5109d487f00de7ae2732f60e779590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73429bd71f12304106b9ffb751bd50617d5109d487f00de7ae2732f60e779590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73429bd71f12304106b9ffb751bd50617d5109d487f00de7ae2732f60e779590</t>
        </is>
      </c>
      <c r="BH248" s="24" t="inlineStr">
        <is>
          <t>2026-07-28T17:26:03.054314Z</t>
        </is>
      </c>
      <c r="BI248" s="24" t="inlineStr">
        <is>
          <t>["same_event","same_team_same_day","same_league_same_day"]</t>
        </is>
      </c>
      <c r="BJ248" s="25" t="n"/>
      <c r="BK248" s="26" t="n">
        <v>-194</v>
      </c>
      <c r="BL248" s="27" t="n">
        <v>1.515464</v>
      </c>
      <c r="BM248" s="28" t="n">
        <v>0.659864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</row>
    <row r="249" ht="36" customHeight="1">
      <c r="A249" s="24" t="inlineStr">
        <is>
          <t>aab983093f964221</t>
        </is>
      </c>
      <c r="B249" s="24" t="inlineStr">
        <is>
          <t>2026-07-28T20:34:16.434936Z</t>
        </is>
      </c>
      <c r="C249" s="24" t="inlineStr">
        <is>
          <t>2026-07-28T22:00Z</t>
        </is>
      </c>
      <c r="D249" s="24" t="inlineStr">
        <is>
          <t>875-2026:179533</t>
        </is>
      </c>
      <c r="E249" s="24" t="inlineStr">
        <is>
          <t>TENNIS</t>
        </is>
      </c>
      <c r="F249" s="24" t="inlineStr">
        <is>
          <t>Kyoka Okamura</t>
        </is>
      </c>
      <c r="G249" s="24" t="inlineStr">
        <is>
          <t>Hayu Kinoshita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-178</v>
      </c>
      <c r="M249" s="27" t="n">
        <v>1.561798</v>
      </c>
      <c r="N249" s="28" t="n">
        <v>0.640288</v>
      </c>
      <c r="O249" s="28" t="n">
        <v>0.501925</v>
      </c>
      <c r="P249" s="28" t="n">
        <v>0.05</v>
      </c>
      <c r="Q249" s="28" t="n">
        <v>-0.138363</v>
      </c>
      <c r="R249" s="26" t="n">
        <v>0</v>
      </c>
      <c r="S249" s="29" t="n">
        <v>1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0</v>
      </c>
      <c r="X249" s="26" t="n">
        <v>1</v>
      </c>
      <c r="Y249" s="25" t="n"/>
      <c r="Z249" s="26" t="n"/>
      <c r="AA249" s="28" t="n"/>
      <c r="AB249" s="28" t="n"/>
      <c r="AC249" s="30" t="n">
        <v>0.5618</v>
      </c>
      <c r="AD249" s="24" t="inlineStr">
        <is>
          <t>2026-07-28T23:37:09.407867Z</t>
        </is>
      </c>
      <c r="AE249" s="31" t="inlineStr">
        <is>
          <t>Surface-blended Elo on Hard: Kyoka Okamura p=0.498 vs Hayu Kinoshita. Executable ask 0.6400 (aec-wta-haykin-kyooka-2026-07-27).</t>
        </is>
      </c>
      <c r="AF249" s="31" t="inlineStr">
        <is>
          <t>Research-only surface-blended Elo model; singles only, WTA-only market coverage,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NO_CALL_MODEL_UNVALIDATED</t>
        </is>
      </c>
      <c r="AP249" s="24" t="inlineStr">
        <is>
          <t>Kyoka Okamura</t>
        </is>
      </c>
      <c r="AQ249" s="24" t="inlineStr">
        <is>
          <t>Kyoka Okamura</t>
        </is>
      </c>
      <c r="AR249" s="24" t="inlineStr">
        <is>
          <t>Kyoka Okamura</t>
        </is>
      </c>
      <c r="AS249" s="24" t="inlineStr">
        <is>
          <t>Hayu Kinoshita</t>
        </is>
      </c>
      <c r="AT249" s="24" t="inlineStr">
        <is>
          <t>Hayu Kinoshita</t>
        </is>
      </c>
      <c r="AU249" s="24" t="inlineStr">
        <is>
          <t>Hayu Kinoshita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73429bd71f12304106b9ffb751bd50617d5109d487f00de7ae2732f60e779590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73429bd71f12304106b9ffb751bd50617d5109d487f00de7ae2732f60e779590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73429bd71f12304106b9ffb751bd50617d5109d487f00de7ae2732f60e779590</t>
        </is>
      </c>
      <c r="BH249" s="24" t="inlineStr">
        <is>
          <t>2026-07-28T20:32:32.394091Z</t>
        </is>
      </c>
      <c r="BI249" s="24" t="inlineStr">
        <is>
          <t>["same_event","same_team_same_day","same_league_same_day"]</t>
        </is>
      </c>
      <c r="BJ249" s="25" t="n"/>
      <c r="BK249" s="26" t="n">
        <v>-178</v>
      </c>
      <c r="BL249" s="27" t="n">
        <v>1.561798</v>
      </c>
      <c r="BM249" s="28" t="n">
        <v>0.640288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</row>
    <row r="250" ht="36" customHeight="1">
      <c r="A250" s="24" t="inlineStr">
        <is>
          <t>872389f9af7b4001</t>
        </is>
      </c>
      <c r="B250" s="24" t="inlineStr">
        <is>
          <t>2026-07-28T20:34:16.434936Z</t>
        </is>
      </c>
      <c r="C250" s="24" t="inlineStr">
        <is>
          <t>2026-07-28T23:30Z</t>
        </is>
      </c>
      <c r="D250" s="24" t="inlineStr">
        <is>
          <t>875-2026:179546</t>
        </is>
      </c>
      <c r="E250" s="24" t="inlineStr">
        <is>
          <t>TENNIS</t>
        </is>
      </c>
      <c r="F250" s="24" t="inlineStr">
        <is>
          <t>Ellie Schoppe</t>
        </is>
      </c>
      <c r="G250" s="24" t="inlineStr">
        <is>
          <t>Priscilla Hon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-335</v>
      </c>
      <c r="M250" s="27" t="n">
        <v>1.298507</v>
      </c>
      <c r="N250" s="28" t="n">
        <v>0.770115</v>
      </c>
      <c r="O250" s="28" t="n">
        <v>0.511706</v>
      </c>
      <c r="P250" s="28" t="n">
        <v>0.05</v>
      </c>
      <c r="Q250" s="28" t="n">
        <v>-0.258409</v>
      </c>
      <c r="R250" s="26" t="n">
        <v>0</v>
      </c>
      <c r="S250" s="29" t="n">
        <v>1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/>
      <c r="AA250" s="28" t="n"/>
      <c r="AB250" s="28" t="n"/>
      <c r="AC250" s="30" t="n">
        <v>0.2985</v>
      </c>
      <c r="AD250" s="24" t="inlineStr">
        <is>
          <t>2026-07-29T02:41:50.894577Z</t>
        </is>
      </c>
      <c r="AE250" s="31" t="inlineStr">
        <is>
          <t>Surface-blended Elo on Hard: Ellie Schoppe p=0.488 vs Priscilla Hon. Executable ask 0.7700 (aec-wta-prihon-ellsch-2026-07-28).</t>
        </is>
      </c>
      <c r="AF250" s="31" t="inlineStr">
        <is>
          <t>Research-only surface-blended Elo model; singles only, WTA-only market coverage,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NO_CALL_MODEL_UNVALIDATED</t>
        </is>
      </c>
      <c r="AP250" s="24" t="inlineStr">
        <is>
          <t>Ellie Schoppe</t>
        </is>
      </c>
      <c r="AQ250" s="24" t="inlineStr">
        <is>
          <t>Ellie Schoppe</t>
        </is>
      </c>
      <c r="AR250" s="24" t="inlineStr">
        <is>
          <t>Ellie Schoppe</t>
        </is>
      </c>
      <c r="AS250" s="24" t="inlineStr">
        <is>
          <t>Priscilla Hon</t>
        </is>
      </c>
      <c r="AT250" s="24" t="inlineStr">
        <is>
          <t>Priscilla Hon</t>
        </is>
      </c>
      <c r="AU250" s="24" t="inlineStr">
        <is>
          <t>Priscilla Hon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73429bd71f12304106b9ffb751bd50617d5109d487f00de7ae2732f60e779590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73429bd71f12304106b9ffb751bd50617d5109d487f00de7ae2732f60e779590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73429bd71f12304106b9ffb751bd50617d5109d487f00de7ae2732f60e779590</t>
        </is>
      </c>
      <c r="BH250" s="24" t="inlineStr">
        <is>
          <t>2026-07-28T20:32:37.984067Z</t>
        </is>
      </c>
      <c r="BI250" s="24" t="inlineStr">
        <is>
          <t>["same_event","same_team_same_day","same_league_same_day"]</t>
        </is>
      </c>
      <c r="BJ250" s="25" t="n"/>
      <c r="BK250" s="26" t="n">
        <v>-335</v>
      </c>
      <c r="BL250" s="27" t="n">
        <v>1.298507</v>
      </c>
      <c r="BM250" s="28" t="n">
        <v>0.770115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</row>
    <row r="251" ht="36" customHeight="1">
      <c r="A251" s="24" t="inlineStr">
        <is>
          <t>e25f9dbf5bb146a7</t>
        </is>
      </c>
      <c r="B251" s="24" t="inlineStr">
        <is>
          <t>2026-07-28T20:34:16.434936Z</t>
        </is>
      </c>
      <c r="C251" s="24" t="inlineStr">
        <is>
          <t>2026-07-28T23:30Z</t>
        </is>
      </c>
      <c r="D251" s="24" t="inlineStr">
        <is>
          <t>888-2026:179001</t>
        </is>
      </c>
      <c r="E251" s="24" t="inlineStr">
        <is>
          <t>TENNIS</t>
        </is>
      </c>
      <c r="F251" s="24" t="inlineStr">
        <is>
          <t>Venus Williams</t>
        </is>
      </c>
      <c r="G251" s="24" t="inlineStr">
        <is>
          <t>Anastasia Potapova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-614</v>
      </c>
      <c r="M251" s="27" t="n">
        <v>1.162866</v>
      </c>
      <c r="N251" s="28" t="n">
        <v>0.859944</v>
      </c>
      <c r="O251" s="28" t="n">
        <v>0.842881</v>
      </c>
      <c r="P251" s="28" t="n">
        <v>0.05</v>
      </c>
      <c r="Q251" s="28" t="n">
        <v>-0.017063</v>
      </c>
      <c r="R251" s="26" t="n">
        <v>11</v>
      </c>
      <c r="S251" s="29" t="n">
        <v>2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/>
      <c r="AA251" s="28" t="n"/>
      <c r="AB251" s="28" t="n"/>
      <c r="AC251" s="30" t="n">
        <v>0.3257</v>
      </c>
      <c r="AD251" s="24" t="inlineStr">
        <is>
          <t>2026-07-29T02:41:51.026860Z</t>
        </is>
      </c>
      <c r="AE251" s="31" t="inlineStr">
        <is>
          <t>Surface-blended Elo on Hard: Venus Williams p=0.157 vs Anastasia Potapova. Executable ask 0.8600 (aec-wta-anapot-venwil-2026-07-27).</t>
        </is>
      </c>
      <c r="AF251" s="31" t="inlineStr">
        <is>
          <t>Research-only surface-blended Elo model; singles only, WTA-only market coverage,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NO_CALL_MODEL_UNVALIDATED</t>
        </is>
      </c>
      <c r="AP251" s="24" t="inlineStr">
        <is>
          <t>Venus Williams</t>
        </is>
      </c>
      <c r="AQ251" s="24" t="inlineStr">
        <is>
          <t>Venus Williams</t>
        </is>
      </c>
      <c r="AR251" s="24" t="inlineStr">
        <is>
          <t>Venus Williams</t>
        </is>
      </c>
      <c r="AS251" s="24" t="inlineStr">
        <is>
          <t>Anastasia Potapova</t>
        </is>
      </c>
      <c r="AT251" s="24" t="inlineStr">
        <is>
          <t>Anastasia Potapova</t>
        </is>
      </c>
      <c r="AU251" s="24" t="inlineStr">
        <is>
          <t>Anastasia Potapova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73429bd71f12304106b9ffb751bd50617d5109d487f00de7ae2732f60e779590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73429bd71f12304106b9ffb751bd50617d5109d487f00de7ae2732f60e779590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73429bd71f12304106b9ffb751bd50617d5109d487f00de7ae2732f60e779590</t>
        </is>
      </c>
      <c r="BH251" s="24" t="inlineStr">
        <is>
          <t>2026-07-28T20:32:42.963351Z</t>
        </is>
      </c>
      <c r="BI251" s="24" t="inlineStr">
        <is>
          <t>["same_event","same_team_same_day","same_league_same_day"]</t>
        </is>
      </c>
      <c r="BJ251" s="25" t="n"/>
      <c r="BK251" s="26" t="n">
        <v>-614</v>
      </c>
      <c r="BL251" s="27" t="n">
        <v>1.162866</v>
      </c>
      <c r="BM251" s="28" t="n">
        <v>0.859944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</row>
    <row r="252" ht="36" customHeight="1">
      <c r="A252" s="24" t="inlineStr">
        <is>
          <t>858c3d6a87ba4281</t>
        </is>
      </c>
      <c r="B252" s="24" t="inlineStr">
        <is>
          <t>2026-07-28T20:34:16.434936Z</t>
        </is>
      </c>
      <c r="C252" s="24" t="inlineStr">
        <is>
          <t>2026-07-28T22:00Z</t>
        </is>
      </c>
      <c r="D252" s="24" t="inlineStr">
        <is>
          <t>1067-2026:179461</t>
        </is>
      </c>
      <c r="E252" s="24" t="inlineStr">
        <is>
          <t>TENNIS</t>
        </is>
      </c>
      <c r="F252" s="24" t="inlineStr">
        <is>
          <t>Peyton Stearns</t>
        </is>
      </c>
      <c r="G252" s="24" t="inlineStr">
        <is>
          <t>Mary Stoiana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-156</v>
      </c>
      <c r="M252" s="27" t="n">
        <v>1.641026</v>
      </c>
      <c r="N252" s="28" t="n">
        <v>0.609375</v>
      </c>
      <c r="O252" s="28" t="n">
        <v>0.561639</v>
      </c>
      <c r="P252" s="28" t="n">
        <v>0.05</v>
      </c>
      <c r="Q252" s="28" t="n">
        <v>-0.047736</v>
      </c>
      <c r="R252" s="26" t="n">
        <v>0</v>
      </c>
      <c r="S252" s="29" t="n">
        <v>1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/>
      <c r="AA252" s="28" t="n"/>
      <c r="AB252" s="28" t="n"/>
      <c r="AC252" s="30" t="n">
        <v>0.641</v>
      </c>
      <c r="AD252" s="24" t="inlineStr">
        <is>
          <t>2026-07-29T02:41:51.185206Z</t>
        </is>
      </c>
      <c r="AE252" s="31" t="inlineStr">
        <is>
          <t>Surface-blended Elo on Hard: Peyton Stearns p=0.562 vs Mary Stoiana. Executable ask 0.6100 (aec-wta-marsto-peyste-2026-07-26).</t>
        </is>
      </c>
      <c r="AF252" s="31" t="inlineStr">
        <is>
          <t>Research-only surface-blended Elo model; singles only, WTA-only market coverage,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NO_CALL_MODEL_UNVALIDATED</t>
        </is>
      </c>
      <c r="AP252" s="24" t="inlineStr">
        <is>
          <t>Peyton Stearns</t>
        </is>
      </c>
      <c r="AQ252" s="24" t="inlineStr">
        <is>
          <t>Peyton Stearns</t>
        </is>
      </c>
      <c r="AR252" s="24" t="inlineStr">
        <is>
          <t>Peyton Stearns</t>
        </is>
      </c>
      <c r="AS252" s="24" t="inlineStr">
        <is>
          <t>Mary Stoiana</t>
        </is>
      </c>
      <c r="AT252" s="24" t="inlineStr">
        <is>
          <t>Mary Stoiana</t>
        </is>
      </c>
      <c r="AU252" s="24" t="inlineStr">
        <is>
          <t>Mary Stoiana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73429bd71f12304106b9ffb751bd50617d5109d487f00de7ae2732f60e779590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73429bd71f12304106b9ffb751bd50617d5109d487f00de7ae2732f60e779590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73429bd71f12304106b9ffb751bd50617d5109d487f00de7ae2732f60e779590</t>
        </is>
      </c>
      <c r="BH252" s="24" t="inlineStr">
        <is>
          <t>2026-07-28T20:32:36.629256Z</t>
        </is>
      </c>
      <c r="BI252" s="24" t="inlineStr">
        <is>
          <t>["same_event","same_team_same_day","same_league_same_day"]</t>
        </is>
      </c>
      <c r="BJ252" s="25" t="n"/>
      <c r="BK252" s="26" t="n">
        <v>-156</v>
      </c>
      <c r="BL252" s="27" t="n">
        <v>1.641026</v>
      </c>
      <c r="BM252" s="28" t="n">
        <v>0.609375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</row>
    <row r="253" ht="36" customHeight="1">
      <c r="A253" s="24" t="inlineStr">
        <is>
          <t>41c7c5044dee4ed6</t>
        </is>
      </c>
      <c r="B253" s="24" t="inlineStr">
        <is>
          <t>2026-07-28T20:34:16.434936Z</t>
        </is>
      </c>
      <c r="C253" s="24" t="inlineStr">
        <is>
          <t>2026-07-28T22:00Z</t>
        </is>
      </c>
      <c r="D253" s="24" t="inlineStr">
        <is>
          <t>1067-2026:179459</t>
        </is>
      </c>
      <c r="E253" s="24" t="inlineStr">
        <is>
          <t>TENNIS</t>
        </is>
      </c>
      <c r="F253" s="24" t="inlineStr">
        <is>
          <t>Marina Bassols Ribera</t>
        </is>
      </c>
      <c r="G253" s="24" t="inlineStr">
        <is>
          <t>Darja Vidmanova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-186</v>
      </c>
      <c r="M253" s="27" t="n">
        <v>1.537634</v>
      </c>
      <c r="N253" s="28" t="n">
        <v>0.65035</v>
      </c>
      <c r="O253" s="28" t="n">
        <v>0.578209</v>
      </c>
      <c r="P253" s="28" t="n">
        <v>0.05</v>
      </c>
      <c r="Q253" s="28" t="n">
        <v>-0.072141</v>
      </c>
      <c r="R253" s="26" t="n">
        <v>0</v>
      </c>
      <c r="S253" s="29" t="n">
        <v>1.25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win</t>
        </is>
      </c>
      <c r="W253" s="26" t="n">
        <v>0</v>
      </c>
      <c r="X253" s="26" t="n">
        <v>1</v>
      </c>
      <c r="Y253" s="25" t="n"/>
      <c r="Z253" s="26" t="n"/>
      <c r="AA253" s="28" t="n"/>
      <c r="AB253" s="28" t="n"/>
      <c r="AC253" s="30" t="n">
        <v>0.672</v>
      </c>
      <c r="AD253" s="24" t="inlineStr">
        <is>
          <t>2026-07-29T02:41:51.312699Z</t>
        </is>
      </c>
      <c r="AE253" s="31" t="inlineStr">
        <is>
          <t>Surface-blended Elo on Hard: Marina Bassols Ribera p=0.422 vs Darja Vidmanova. Executable ask 0.6500 (aec-wta-darvid-marrib-2026-07-26).</t>
        </is>
      </c>
      <c r="AF253" s="31" t="inlineStr">
        <is>
          <t>Research-only surface-blended Elo model; singles only, WTA-only market coverage, not yet locked-holdout qualified.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NO_CALL_MODEL_UNVALIDATED</t>
        </is>
      </c>
      <c r="AP253" s="24" t="inlineStr">
        <is>
          <t>Marina Bassols Ribera</t>
        </is>
      </c>
      <c r="AQ253" s="24" t="inlineStr">
        <is>
          <t>Marina Bassols Ribera</t>
        </is>
      </c>
      <c r="AR253" s="24" t="inlineStr">
        <is>
          <t>Marina Bassols Ribera</t>
        </is>
      </c>
      <c r="AS253" s="24" t="inlineStr">
        <is>
          <t>Darja Vidmanova</t>
        </is>
      </c>
      <c r="AT253" s="24" t="inlineStr">
        <is>
          <t>Darja Vidmanova</t>
        </is>
      </c>
      <c r="AU253" s="24" t="inlineStr">
        <is>
          <t>Darja Vidmanova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73429bd71f12304106b9ffb751bd50617d5109d487f00de7ae2732f60e779590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73429bd71f12304106b9ffb751bd50617d5109d487f00de7ae2732f60e779590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73429bd71f12304106b9ffb751bd50617d5109d487f00de7ae2732f60e779590</t>
        </is>
      </c>
      <c r="BH253" s="24" t="inlineStr">
        <is>
          <t>2026-07-28T20:32:34.889939Z</t>
        </is>
      </c>
      <c r="BI253" s="24" t="inlineStr">
        <is>
          <t>["same_event","same_team_same_day","same_league_same_day"]</t>
        </is>
      </c>
      <c r="BJ253" s="25" t="n"/>
      <c r="BK253" s="26" t="n">
        <v>-186</v>
      </c>
      <c r="BL253" s="27" t="n">
        <v>1.537634</v>
      </c>
      <c r="BM253" s="28" t="n">
        <v>0.65035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</row>
    <row r="254" ht="36" customHeight="1">
      <c r="A254" s="24" t="inlineStr">
        <is>
          <t>2db0d70eaf264ba1</t>
        </is>
      </c>
      <c r="B254" s="24" t="inlineStr">
        <is>
          <t>2026-07-28T20:34:16.434936Z</t>
        </is>
      </c>
      <c r="C254" s="24" t="inlineStr">
        <is>
          <t>2026-07-28T23:30Z</t>
        </is>
      </c>
      <c r="D254" s="24" t="inlineStr">
        <is>
          <t>1067-2026:179452</t>
        </is>
      </c>
      <c r="E254" s="24" t="inlineStr">
        <is>
          <t>TENNIS</t>
        </is>
      </c>
      <c r="F254" s="24" t="inlineStr">
        <is>
          <t>Kimberly Birrell</t>
        </is>
      </c>
      <c r="G254" s="24" t="inlineStr">
        <is>
          <t>Ma YeXin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-456</v>
      </c>
      <c r="M254" s="27" t="n">
        <v>1.219298</v>
      </c>
      <c r="N254" s="28" t="n">
        <v>0.820144</v>
      </c>
      <c r="O254" s="28" t="n">
        <v>0.719453</v>
      </c>
      <c r="P254" s="28" t="n">
        <v>0.05</v>
      </c>
      <c r="Q254" s="28" t="n">
        <v>-0.100691</v>
      </c>
      <c r="R254" s="26" t="n">
        <v>0</v>
      </c>
      <c r="S254" s="29" t="n">
        <v>2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1</v>
      </c>
      <c r="Y254" s="25" t="n"/>
      <c r="Z254" s="26" t="n"/>
      <c r="AA254" s="28" t="n"/>
      <c r="AB254" s="28" t="n"/>
      <c r="AC254" s="30" t="n">
        <v>-2</v>
      </c>
      <c r="AD254" s="24" t="inlineStr">
        <is>
          <t>2026-07-29T05:45:07.796021Z</t>
        </is>
      </c>
      <c r="AE254" s="31" t="inlineStr">
        <is>
          <t>Surface-blended Elo on Hard: Kimberly Birrell p=0.719 vs Ma YeXin. Executable ask 0.8200 (aec-wta-yexma-kimbir-2026-07-28).</t>
        </is>
      </c>
      <c r="AF254" s="31" t="inlineStr">
        <is>
          <t>Research-only surface-blended Elo model; singles only, WTA-only market coverage, not yet locked-holdout qualified.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NO_CALL_MODEL_UNVALIDATED</t>
        </is>
      </c>
      <c r="AP254" s="24" t="inlineStr">
        <is>
          <t>Kimberly Birrell</t>
        </is>
      </c>
      <c r="AQ254" s="24" t="inlineStr">
        <is>
          <t>Kimberly Birrell</t>
        </is>
      </c>
      <c r="AR254" s="24" t="inlineStr">
        <is>
          <t>Kimberly Birrell</t>
        </is>
      </c>
      <c r="AS254" s="24" t="inlineStr">
        <is>
          <t>Ma YeXin</t>
        </is>
      </c>
      <c r="AT254" s="24" t="inlineStr">
        <is>
          <t>Ma YeXin</t>
        </is>
      </c>
      <c r="AU254" s="24" t="inlineStr">
        <is>
          <t>Ma YeXin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73429bd71f12304106b9ffb751bd50617d5109d487f00de7ae2732f60e779590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73429bd71f12304106b9ffb751bd50617d5109d487f00de7ae2732f60e779590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73429bd71f12304106b9ffb751bd50617d5109d487f00de7ae2732f60e779590</t>
        </is>
      </c>
      <c r="BH254" s="24" t="inlineStr">
        <is>
          <t>2026-07-28T20:32:41.504735Z</t>
        </is>
      </c>
      <c r="BI254" s="24" t="inlineStr">
        <is>
          <t>["same_event","same_team_same_day","same_league_same_day"]</t>
        </is>
      </c>
      <c r="BJ254" s="25" t="n"/>
      <c r="BK254" s="26" t="n">
        <v>-456</v>
      </c>
      <c r="BL254" s="27" t="n">
        <v>1.219298</v>
      </c>
      <c r="BM254" s="28" t="n">
        <v>0.820144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</row>
    <row r="255" ht="36" customHeight="1">
      <c r="A255" s="24" t="inlineStr">
        <is>
          <t>f481749e046c411d</t>
        </is>
      </c>
      <c r="B255" s="24" t="inlineStr">
        <is>
          <t>2026-07-28T20:34:16.434936Z</t>
        </is>
      </c>
      <c r="C255" s="24" t="inlineStr">
        <is>
          <t>2026-07-28T23:30Z</t>
        </is>
      </c>
      <c r="D255" s="24" t="inlineStr">
        <is>
          <t>1067-2026:179465</t>
        </is>
      </c>
      <c r="E255" s="24" t="inlineStr">
        <is>
          <t>TENNIS</t>
        </is>
      </c>
      <c r="F255" s="24" t="inlineStr">
        <is>
          <t>McCartney Kessler</t>
        </is>
      </c>
      <c r="G255" s="24" t="inlineStr">
        <is>
          <t>Renata Zarazua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-317</v>
      </c>
      <c r="M255" s="27" t="n">
        <v>1.315457</v>
      </c>
      <c r="N255" s="28" t="n">
        <v>0.760192</v>
      </c>
      <c r="O255" s="28" t="n">
        <v>0.710335</v>
      </c>
      <c r="P255" s="28" t="n">
        <v>0.05</v>
      </c>
      <c r="Q255" s="28" t="n">
        <v>-0.049857</v>
      </c>
      <c r="R255" s="26" t="n">
        <v>0</v>
      </c>
      <c r="S255" s="29" t="n">
        <v>2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loss</t>
        </is>
      </c>
      <c r="W255" s="26" t="n">
        <v>0</v>
      </c>
      <c r="X255" s="26" t="n">
        <v>1</v>
      </c>
      <c r="Y255" s="25" t="n"/>
      <c r="Z255" s="26" t="n"/>
      <c r="AA255" s="28" t="n"/>
      <c r="AB255" s="28" t="n"/>
      <c r="AC255" s="30" t="n">
        <v>-2</v>
      </c>
      <c r="AD255" s="24" t="inlineStr">
        <is>
          <t>2026-07-29T05:45:07.959644Z</t>
        </is>
      </c>
      <c r="AE255" s="31" t="inlineStr">
        <is>
          <t>Surface-blended Elo on Hard: McCartney Kessler p=0.710 vs Renata Zarazua. Executable ask 0.7600 (aec-wta-renzar-mcckes-2026-07-26).</t>
        </is>
      </c>
      <c r="AF255" s="31" t="inlineStr">
        <is>
          <t>Research-only surface-blended Elo model; singles only, WTA-only market coverage, not yet locked-holdout qualified.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NO_CALL_MODEL_UNVALIDATED</t>
        </is>
      </c>
      <c r="AP255" s="24" t="inlineStr">
        <is>
          <t>McCartney Kessler</t>
        </is>
      </c>
      <c r="AQ255" s="24" t="inlineStr">
        <is>
          <t>McCartney Kessler</t>
        </is>
      </c>
      <c r="AR255" s="24" t="inlineStr">
        <is>
          <t>McCartney Kessler</t>
        </is>
      </c>
      <c r="AS255" s="24" t="inlineStr">
        <is>
          <t>Renata Zarazua</t>
        </is>
      </c>
      <c r="AT255" s="24" t="inlineStr">
        <is>
          <t>Renata Zarazua</t>
        </is>
      </c>
      <c r="AU255" s="24" t="inlineStr">
        <is>
          <t>Renata Zarazua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73429bd71f12304106b9ffb751bd50617d5109d487f00de7ae2732f60e779590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73429bd71f12304106b9ffb751bd50617d5109d487f00de7ae2732f60e779590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73429bd71f12304106b9ffb751bd50617d5109d487f00de7ae2732f60e779590</t>
        </is>
      </c>
      <c r="BH255" s="24" t="inlineStr">
        <is>
          <t>2026-07-28T20:32:38.530130Z</t>
        </is>
      </c>
      <c r="BI255" s="24" t="inlineStr">
        <is>
          <t>["same_event","same_team_same_day","same_league_same_day"]</t>
        </is>
      </c>
      <c r="BJ255" s="25" t="n"/>
      <c r="BK255" s="26" t="n">
        <v>-317</v>
      </c>
      <c r="BL255" s="27" t="n">
        <v>1.315457</v>
      </c>
      <c r="BM255" s="28" t="n">
        <v>0.760192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</row>
    <row r="256" ht="36" customHeight="1">
      <c r="A256" s="24" t="inlineStr">
        <is>
          <t>db3fc8cba73b4168</t>
        </is>
      </c>
      <c r="B256" s="24" t="inlineStr">
        <is>
          <t>2026-07-28T23:39:18.069207Z</t>
        </is>
      </c>
      <c r="C256" s="24" t="inlineStr">
        <is>
          <t>2026-07-29T02:30Z</t>
        </is>
      </c>
      <c r="D256" s="24" t="inlineStr">
        <is>
          <t>875-2026:179531</t>
        </is>
      </c>
      <c r="E256" s="24" t="inlineStr">
        <is>
          <t>TENNIS</t>
        </is>
      </c>
      <c r="F256" s="24" t="inlineStr">
        <is>
          <t>Sofia Costoulas</t>
        </is>
      </c>
      <c r="G256" s="24" t="inlineStr">
        <is>
          <t>Lizette Cabrera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-270</v>
      </c>
      <c r="M256" s="27" t="n">
        <v>1.37037</v>
      </c>
      <c r="N256" s="28" t="n">
        <v>0.72973</v>
      </c>
      <c r="O256" s="28" t="n">
        <v>0.546068</v>
      </c>
      <c r="P256" s="28" t="n">
        <v>0.05</v>
      </c>
      <c r="Q256" s="28" t="n">
        <v>-0.183662</v>
      </c>
      <c r="R256" s="26" t="n">
        <v>0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win</t>
        </is>
      </c>
      <c r="W256" s="26" t="n">
        <v>1</v>
      </c>
      <c r="X256" s="26" t="n">
        <v>0</v>
      </c>
      <c r="Y256" s="25" t="n"/>
      <c r="Z256" s="26" t="n"/>
      <c r="AA256" s="28" t="n"/>
      <c r="AB256" s="28" t="n"/>
      <c r="AC256" s="30" t="n">
        <v>0.3704</v>
      </c>
      <c r="AD256" s="24" t="inlineStr">
        <is>
          <t>2026-07-30T04:12:56.907188Z</t>
        </is>
      </c>
      <c r="AE256" s="31" t="inlineStr">
        <is>
          <t>Surface-blended Elo on Hard: Sofia Costoulas p=0.546 vs Lizette Cabrera. Executable ask 0.7300 (aec-wta-lizcab-sofcos-2026-07-27).</t>
        </is>
      </c>
      <c r="AF256" s="31" t="inlineStr">
        <is>
          <t>Research-only surface-blended Elo model; singles only, WTA-only market coverage,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NO_CALL_MODEL_UNVALIDATED</t>
        </is>
      </c>
      <c r="AP256" s="24" t="inlineStr">
        <is>
          <t>Sofia Costoulas</t>
        </is>
      </c>
      <c r="AQ256" s="24" t="inlineStr">
        <is>
          <t>Sofia Costoulas</t>
        </is>
      </c>
      <c r="AR256" s="24" t="inlineStr">
        <is>
          <t>Sofia Costoulas</t>
        </is>
      </c>
      <c r="AS256" s="24" t="inlineStr">
        <is>
          <t>Lizette Cabrera</t>
        </is>
      </c>
      <c r="AT256" s="24" t="inlineStr">
        <is>
          <t>Lizette Cabrera</t>
        </is>
      </c>
      <c r="AU256" s="24" t="inlineStr">
        <is>
          <t>Lizette Cabrera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73429bd71f12304106b9ffb751bd50617d5109d487f00de7ae2732f60e779590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73429bd71f12304106b9ffb751bd50617d5109d487f00de7ae2732f60e779590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73429bd71f12304106b9ffb751bd50617d5109d487f00de7ae2732f60e779590</t>
        </is>
      </c>
      <c r="BH256" s="24" t="inlineStr">
        <is>
          <t>2026-07-28T23:38:14.586715Z</t>
        </is>
      </c>
      <c r="BI256" s="24" t="inlineStr">
        <is>
          <t>["same_event","same_team_same_day","same_league_same_day"]</t>
        </is>
      </c>
      <c r="BJ256" s="25" t="n"/>
      <c r="BK256" s="26" t="n">
        <v>-270</v>
      </c>
      <c r="BL256" s="27" t="n">
        <v>1.37037</v>
      </c>
      <c r="BM256" s="28" t="n">
        <v>0.72973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</row>
    <row r="257" ht="36" customHeight="1">
      <c r="A257" s="24" t="inlineStr">
        <is>
          <t>06dda72ce98b4533</t>
        </is>
      </c>
      <c r="B257" s="24" t="inlineStr">
        <is>
          <t>2026-07-28T23:39:18.069207Z</t>
        </is>
      </c>
      <c r="C257" s="24" t="inlineStr">
        <is>
          <t>2026-07-29T02:30Z</t>
        </is>
      </c>
      <c r="D257" s="24" t="inlineStr">
        <is>
          <t>875-2026:179542</t>
        </is>
      </c>
      <c r="E257" s="24" t="inlineStr">
        <is>
          <t>TENNIS</t>
        </is>
      </c>
      <c r="F257" s="24" t="inlineStr">
        <is>
          <t>Maddison Inglis</t>
        </is>
      </c>
      <c r="G257" s="24" t="inlineStr">
        <is>
          <t>Greet Minnen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-285</v>
      </c>
      <c r="M257" s="27" t="n">
        <v>1.350877</v>
      </c>
      <c r="N257" s="28" t="n">
        <v>0.74026</v>
      </c>
      <c r="O257" s="28" t="n">
        <v>0.534422</v>
      </c>
      <c r="P257" s="28" t="n">
        <v>0.05</v>
      </c>
      <c r="Q257" s="28" t="n">
        <v>-0.205838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loss</t>
        </is>
      </c>
      <c r="W257" s="26" t="n">
        <v>1</v>
      </c>
      <c r="X257" s="26" t="n">
        <v>0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2026-07-30T04:12:57.077131Z</t>
        </is>
      </c>
      <c r="AE257" s="31" t="inlineStr">
        <is>
          <t>Surface-blended Elo on Hard: Maddison Inglis p=0.466 vs Greet Minnen. Executable ask 0.7400 (aec-wta-gremin-mading-2026-07-27).</t>
        </is>
      </c>
      <c r="AF257" s="31" t="inlineStr">
        <is>
          <t>Research-only surface-blended Elo model; singles only, WTA-only market coverage,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NO_CALL_MODEL_UNVALIDATED</t>
        </is>
      </c>
      <c r="AP257" s="24" t="inlineStr">
        <is>
          <t>Maddison Inglis</t>
        </is>
      </c>
      <c r="AQ257" s="24" t="inlineStr">
        <is>
          <t>Maddison Inglis</t>
        </is>
      </c>
      <c r="AR257" s="24" t="inlineStr">
        <is>
          <t>Maddison Inglis</t>
        </is>
      </c>
      <c r="AS257" s="24" t="inlineStr">
        <is>
          <t>Greet Minnen</t>
        </is>
      </c>
      <c r="AT257" s="24" t="inlineStr">
        <is>
          <t>Greet Minnen</t>
        </is>
      </c>
      <c r="AU257" s="24" t="inlineStr">
        <is>
          <t>Greet Minnen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73429bd71f12304106b9ffb751bd50617d5109d487f00de7ae2732f60e779590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73429bd71f12304106b9ffb751bd50617d5109d487f00de7ae2732f60e779590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73429bd71f12304106b9ffb751bd50617d5109d487f00de7ae2732f60e779590</t>
        </is>
      </c>
      <c r="BH257" s="24" t="inlineStr">
        <is>
          <t>2026-07-28T23:38:14.504075Z</t>
        </is>
      </c>
      <c r="BI257" s="24" t="inlineStr">
        <is>
          <t>["same_event","same_team_same_day","same_league_same_day"]</t>
        </is>
      </c>
      <c r="BJ257" s="25" t="n"/>
      <c r="BK257" s="26" t="n">
        <v>-285</v>
      </c>
      <c r="BL257" s="27" t="n">
        <v>1.350877</v>
      </c>
      <c r="BM257" s="28" t="n">
        <v>0.74026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</row>
    <row r="258" ht="36" customHeight="1">
      <c r="A258" s="24" t="inlineStr">
        <is>
          <t>2c2074174fb04ee4</t>
        </is>
      </c>
      <c r="B258" s="24" t="inlineStr">
        <is>
          <t>2026-07-29T02:42:48.148482Z</t>
        </is>
      </c>
      <c r="C258" s="24" t="inlineStr">
        <is>
          <t>2026-07-29T04:00Z</t>
        </is>
      </c>
      <c r="D258" s="24" t="inlineStr">
        <is>
          <t>875-2026:179539</t>
        </is>
      </c>
      <c r="E258" s="24" t="inlineStr">
        <is>
          <t>TENNIS</t>
        </is>
      </c>
      <c r="F258" s="24" t="inlineStr">
        <is>
          <t>Annabelle Xu</t>
        </is>
      </c>
      <c r="G258" s="24" t="inlineStr">
        <is>
          <t>Ariana Arseneault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355</v>
      </c>
      <c r="M258" s="27" t="n">
        <v>4.55</v>
      </c>
      <c r="N258" s="28" t="n">
        <v>0.21978</v>
      </c>
      <c r="O258" s="28" t="n">
        <v>0.5013840000000001</v>
      </c>
      <c r="P258" s="28" t="n">
        <v>0.2</v>
      </c>
      <c r="Q258" s="28" t="n">
        <v>0.281604</v>
      </c>
      <c r="R258" s="26" t="n">
        <v>71</v>
      </c>
      <c r="S258" s="29" t="n">
        <v>1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0</v>
      </c>
      <c r="X258" s="26" t="n">
        <v>1</v>
      </c>
      <c r="Y258" s="25" t="n"/>
      <c r="Z258" s="26" t="n"/>
      <c r="AA258" s="28" t="n"/>
      <c r="AB258" s="28" t="n"/>
      <c r="AC258" s="30" t="n">
        <v>-1</v>
      </c>
      <c r="AD258" s="24" t="inlineStr">
        <is>
          <t>2026-07-29T08:51:50.234581Z</t>
        </is>
      </c>
      <c r="AE258" s="31" t="inlineStr">
        <is>
          <t>Surface-blended Elo on Hard: Annabelle Xu p=0.501 vs Ariana Arseneault. Executable ask 0.2200 (aec-wta-ariars-annxu-2026-07-27).</t>
        </is>
      </c>
      <c r="AF258" s="31" t="inlineStr">
        <is>
          <t>Research-only surface-blended Elo model; singles only, WTA-only market coverage, not yet locked-holdout qualified.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NO_CALL_MODEL_UNVALIDATED</t>
        </is>
      </c>
      <c r="AP258" s="24" t="inlineStr">
        <is>
          <t>Annabelle Xu</t>
        </is>
      </c>
      <c r="AQ258" s="24" t="inlineStr">
        <is>
          <t>Annabelle Xu</t>
        </is>
      </c>
      <c r="AR258" s="24" t="inlineStr">
        <is>
          <t>Annabelle Xu</t>
        </is>
      </c>
      <c r="AS258" s="24" t="inlineStr">
        <is>
          <t>Ariana Arseneault</t>
        </is>
      </c>
      <c r="AT258" s="24" t="inlineStr">
        <is>
          <t>Ariana Arseneault</t>
        </is>
      </c>
      <c r="AU258" s="24" t="inlineStr">
        <is>
          <t>Ariana Arseneault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73429bd71f12304106b9ffb751bd50617d5109d487f00de7ae2732f60e779590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73429bd71f12304106b9ffb751bd50617d5109d487f00de7ae2732f60e779590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73429bd71f12304106b9ffb751bd50617d5109d487f00de7ae2732f60e779590</t>
        </is>
      </c>
      <c r="BH258" s="24" t="inlineStr">
        <is>
          <t>2026-07-28T23:38:14.799545Z</t>
        </is>
      </c>
      <c r="BI258" s="24" t="inlineStr">
        <is>
          <t>["same_event","same_team_same_day","same_league_same_day"]</t>
        </is>
      </c>
      <c r="BJ258" s="25" t="n"/>
      <c r="BK258" s="26" t="n">
        <v>355</v>
      </c>
      <c r="BL258" s="27" t="n">
        <v>4.55</v>
      </c>
      <c r="BM258" s="28" t="n">
        <v>0.21978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</row>
    <row r="259" ht="36" customHeight="1">
      <c r="A259" s="24" t="inlineStr">
        <is>
          <t>4a6b08dfd05c4c51</t>
        </is>
      </c>
      <c r="B259" s="24" t="inlineStr">
        <is>
          <t>2026-07-29T08:55:21.430631Z</t>
        </is>
      </c>
      <c r="C259" s="24" t="inlineStr">
        <is>
          <t>2026-07-29T09:00Z</t>
        </is>
      </c>
      <c r="D259" s="24" t="inlineStr">
        <is>
          <t>1073-2026:179583</t>
        </is>
      </c>
      <c r="E259" s="24" t="inlineStr">
        <is>
          <t>TENNIS</t>
        </is>
      </c>
      <c r="F259" s="24" t="inlineStr">
        <is>
          <t>Irene Burillo</t>
        </is>
      </c>
      <c r="G259" s="24" t="inlineStr">
        <is>
          <t>Kaitlin Quevedo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-355</v>
      </c>
      <c r="M259" s="27" t="n">
        <v>1.28169</v>
      </c>
      <c r="N259" s="28" t="n">
        <v>0.78022</v>
      </c>
      <c r="O259" s="28" t="n">
        <v>0.740447</v>
      </c>
      <c r="P259" s="28" t="n">
        <v>0.05</v>
      </c>
      <c r="Q259" s="28" t="n">
        <v>-0.039773</v>
      </c>
      <c r="R259" s="26" t="n">
        <v>0</v>
      </c>
      <c r="S259" s="29" t="n">
        <v>2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win</t>
        </is>
      </c>
      <c r="W259" s="26" t="n">
        <v>0</v>
      </c>
      <c r="X259" s="26" t="n">
        <v>1</v>
      </c>
      <c r="Y259" s="25" t="n"/>
      <c r="Z259" s="26" t="n"/>
      <c r="AA259" s="28" t="n"/>
      <c r="AB259" s="28" t="n"/>
      <c r="AC259" s="30" t="n">
        <v>0.5634</v>
      </c>
      <c r="AD259" s="24" t="inlineStr">
        <is>
          <t>2026-07-29T11:58:21.897341Z</t>
        </is>
      </c>
      <c r="AE259" s="31" t="inlineStr">
        <is>
          <t>Surface-blended Elo on Hard: Irene Burillo p=0.260 vs Kaitlin Quevedo. Executable ask 0.7800 (aec-wta-kaique-ireesc-2026-07-29).</t>
        </is>
      </c>
      <c r="AF259" s="31" t="inlineStr">
        <is>
          <t>Research-only surface-blended Elo model; singles only, WTA-only market coverage, not yet locked-holdout qualified.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NO_CALL_MODEL_UNVALIDATED</t>
        </is>
      </c>
      <c r="AP259" s="24" t="inlineStr">
        <is>
          <t>Irene Burillo</t>
        </is>
      </c>
      <c r="AQ259" s="24" t="inlineStr">
        <is>
          <t>Irene Burillo</t>
        </is>
      </c>
      <c r="AR259" s="24" t="inlineStr">
        <is>
          <t>Irene Burillo</t>
        </is>
      </c>
      <c r="AS259" s="24" t="inlineStr">
        <is>
          <t>Kaitlin Quevedo</t>
        </is>
      </c>
      <c r="AT259" s="24" t="inlineStr">
        <is>
          <t>Kaitlin Quevedo</t>
        </is>
      </c>
      <c r="AU259" s="24" t="inlineStr">
        <is>
          <t>Kaitlin Quevedo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73429bd71f12304106b9ffb751bd50617d5109d487f00de7ae2732f60e779590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73429bd71f12304106b9ffb751bd50617d5109d487f00de7ae2732f60e779590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73429bd71f12304106b9ffb751bd50617d5109d487f00de7ae2732f60e779590</t>
        </is>
      </c>
      <c r="BH259" s="24" t="inlineStr">
        <is>
          <t>2026-07-29T08:52:48.619185Z</t>
        </is>
      </c>
      <c r="BI259" s="24" t="inlineStr">
        <is>
          <t>["same_event","same_team_same_day","same_league_same_day"]</t>
        </is>
      </c>
      <c r="BJ259" s="25" t="n"/>
      <c r="BK259" s="26" t="n">
        <v>-355</v>
      </c>
      <c r="BL259" s="27" t="n">
        <v>1.28169</v>
      </c>
      <c r="BM259" s="28" t="n">
        <v>0.78022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</row>
    <row r="260" ht="36" customHeight="1">
      <c r="A260" s="24" t="inlineStr">
        <is>
          <t>d1a96c589a2d428c</t>
        </is>
      </c>
      <c r="B260" s="24" t="inlineStr">
        <is>
          <t>2026-07-29T08:55:21.430631Z</t>
        </is>
      </c>
      <c r="C260" s="24" t="inlineStr">
        <is>
          <t>2026-07-29T09:00Z</t>
        </is>
      </c>
      <c r="D260" s="24" t="inlineStr">
        <is>
          <t>1073-2026:179578</t>
        </is>
      </c>
      <c r="E260" s="24" t="inlineStr">
        <is>
          <t>TENNIS</t>
        </is>
      </c>
      <c r="F260" s="24" t="inlineStr">
        <is>
          <t>Margaux Rouvroy</t>
        </is>
      </c>
      <c r="G260" s="24" t="inlineStr">
        <is>
          <t>Alice Rame</t>
        </is>
      </c>
      <c r="H260" s="24" t="inlineStr">
        <is>
          <t>moneyline</t>
        </is>
      </c>
      <c r="I260" s="24" t="inlineStr">
        <is>
          <t>away</t>
        </is>
      </c>
      <c r="J260" s="25" t="n"/>
      <c r="K260" s="24" t="inlineStr">
        <is>
          <t>polymarket_us</t>
        </is>
      </c>
      <c r="L260" s="26" t="n">
        <v>133</v>
      </c>
      <c r="M260" s="27" t="n">
        <v>2.33</v>
      </c>
      <c r="N260" s="28" t="n">
        <v>0.429185</v>
      </c>
      <c r="O260" s="28" t="n">
        <v>0.595788</v>
      </c>
      <c r="P260" s="28" t="n">
        <v>0.05</v>
      </c>
      <c r="Q260" s="28" t="n">
        <v>0.166603</v>
      </c>
      <c r="R260" s="26" t="n">
        <v>100</v>
      </c>
      <c r="S260" s="29" t="n">
        <v>1.25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1</v>
      </c>
      <c r="Y260" s="25" t="n"/>
      <c r="Z260" s="26" t="n"/>
      <c r="AA260" s="28" t="n"/>
      <c r="AB260" s="28" t="n"/>
      <c r="AC260" s="30" t="n">
        <v>-1.25</v>
      </c>
      <c r="AD260" s="24" t="inlineStr">
        <is>
          <t>2026-07-29T11:58:22.059061Z</t>
        </is>
      </c>
      <c r="AE260" s="31" t="inlineStr">
        <is>
          <t>Surface-blended Elo on Hard: Margaux Rouvroy p=0.596 vs Alice Rame. Executable ask 0.4300 (aec-wta-aliram-marrou-2026-07-29).</t>
        </is>
      </c>
      <c r="AF260" s="31" t="inlineStr">
        <is>
          <t>Research-only surface-blended Elo model; singles only, WTA-only market coverage,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NO_CALL_MODEL_UNVALIDATED</t>
        </is>
      </c>
      <c r="AP260" s="24" t="inlineStr">
        <is>
          <t>Margaux Rouvroy</t>
        </is>
      </c>
      <c r="AQ260" s="24" t="inlineStr">
        <is>
          <t>Margaux Rouvroy</t>
        </is>
      </c>
      <c r="AR260" s="24" t="inlineStr">
        <is>
          <t>Margaux Rouvroy</t>
        </is>
      </c>
      <c r="AS260" s="24" t="inlineStr">
        <is>
          <t>Alice Rame</t>
        </is>
      </c>
      <c r="AT260" s="24" t="inlineStr">
        <is>
          <t>Alice Rame</t>
        </is>
      </c>
      <c r="AU260" s="24" t="inlineStr">
        <is>
          <t>Alice Rame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73429bd71f12304106b9ffb751bd50617d5109d487f00de7ae2732f60e779590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73429bd71f12304106b9ffb751bd50617d5109d487f00de7ae2732f60e779590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73429bd71f12304106b9ffb751bd50617d5109d487f00de7ae2732f60e779590</t>
        </is>
      </c>
      <c r="BH260" s="24" t="inlineStr">
        <is>
          <t>2026-07-29T08:52:48.697468Z</t>
        </is>
      </c>
      <c r="BI260" s="24" t="inlineStr">
        <is>
          <t>["same_event","same_team_same_day","same_league_same_day"]</t>
        </is>
      </c>
      <c r="BJ260" s="25" t="n"/>
      <c r="BK260" s="26" t="n">
        <v>133</v>
      </c>
      <c r="BL260" s="27" t="n">
        <v>2.33</v>
      </c>
      <c r="BM260" s="28" t="n">
        <v>0.429185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</row>
    <row r="261" ht="36" customHeight="1">
      <c r="A261" s="24" t="inlineStr">
        <is>
          <t>1fd9d10e54be4c11</t>
        </is>
      </c>
      <c r="B261" s="24" t="inlineStr">
        <is>
          <t>2026-07-29T08:55:21.430631Z</t>
        </is>
      </c>
      <c r="C261" s="24" t="inlineStr">
        <is>
          <t>2026-07-29T10:30Z</t>
        </is>
      </c>
      <c r="D261" s="24" t="inlineStr">
        <is>
          <t>1073-2026:179581</t>
        </is>
      </c>
      <c r="E261" s="24" t="inlineStr">
        <is>
          <t>TENNIS</t>
        </is>
      </c>
      <c r="F261" s="24" t="inlineStr">
        <is>
          <t>Carole Monnet</t>
        </is>
      </c>
      <c r="G261" s="24" t="inlineStr">
        <is>
          <t>Elena Ruxandra Bertea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144</v>
      </c>
      <c r="M261" s="27" t="n">
        <v>2.44</v>
      </c>
      <c r="N261" s="28" t="n">
        <v>0.409836</v>
      </c>
      <c r="O261" s="28" t="n">
        <v>0.507464</v>
      </c>
      <c r="P261" s="28" t="n">
        <v>0.05</v>
      </c>
      <c r="Q261" s="28" t="n">
        <v>0.09762800000000001</v>
      </c>
      <c r="R261" s="26" t="n">
        <v>69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/>
      <c r="AA261" s="28" t="n"/>
      <c r="AB261" s="28" t="n"/>
      <c r="AC261" s="30" t="n">
        <v>-1</v>
      </c>
      <c r="AD261" s="24" t="inlineStr">
        <is>
          <t>2026-07-29T15:04:57.137903Z</t>
        </is>
      </c>
      <c r="AE261" s="31" t="inlineStr">
        <is>
          <t>Surface-blended Elo on Hard: Carole Monnet p=0.493 vs Elena Ruxandra Bertea. Executable ask 0.4100 (aec-wta-eleber-carmon-2026-07-29).</t>
        </is>
      </c>
      <c r="AF261" s="31" t="inlineStr">
        <is>
          <t>Research-only surface-blended Elo model; singles only, WTA-only market coverage,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NO_CALL_MODEL_UNVALIDATED</t>
        </is>
      </c>
      <c r="AP261" s="24" t="inlineStr">
        <is>
          <t>Carole Monnet</t>
        </is>
      </c>
      <c r="AQ261" s="24" t="inlineStr">
        <is>
          <t>Carole Monnet</t>
        </is>
      </c>
      <c r="AR261" s="24" t="inlineStr">
        <is>
          <t>Carole Monnet</t>
        </is>
      </c>
      <c r="AS261" s="24" t="inlineStr">
        <is>
          <t>Elena Ruxandra Bertea</t>
        </is>
      </c>
      <c r="AT261" s="24" t="inlineStr">
        <is>
          <t>Elena Ruxandra Bertea</t>
        </is>
      </c>
      <c r="AU261" s="24" t="inlineStr">
        <is>
          <t>Elena Ruxandra Bertea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73429bd71f12304106b9ffb751bd50617d5109d487f00de7ae2732f60e779590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73429bd71f12304106b9ffb751bd50617d5109d487f00de7ae2732f60e779590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73429bd71f12304106b9ffb751bd50617d5109d487f00de7ae2732f60e779590</t>
        </is>
      </c>
      <c r="BH261" s="24" t="inlineStr">
        <is>
          <t>2026-07-29T08:52:48.630695Z</t>
        </is>
      </c>
      <c r="BI261" s="24" t="inlineStr">
        <is>
          <t>["same_event","same_team_same_day","same_league_same_day"]</t>
        </is>
      </c>
      <c r="BJ261" s="25" t="n"/>
      <c r="BK261" s="26" t="n">
        <v>144</v>
      </c>
      <c r="BL261" s="27" t="n">
        <v>2.44</v>
      </c>
      <c r="BM261" s="28" t="n">
        <v>0.409836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</row>
    <row r="262" ht="36" customHeight="1">
      <c r="A262" s="24" t="inlineStr">
        <is>
          <t>de165a84ab994f0a</t>
        </is>
      </c>
      <c r="B262" s="24" t="inlineStr">
        <is>
          <t>2026-07-29T12:01:51.227703Z</t>
        </is>
      </c>
      <c r="C262" s="24" t="inlineStr">
        <is>
          <t>2026-07-29T15:00Z</t>
        </is>
      </c>
      <c r="D262" s="24" t="inlineStr">
        <is>
          <t>888-2026:178997</t>
        </is>
      </c>
      <c r="E262" s="24" t="inlineStr">
        <is>
          <t>TENNIS</t>
        </is>
      </c>
      <c r="F262" s="24" t="inlineStr">
        <is>
          <t>Liudmila Samsonova</t>
        </is>
      </c>
      <c r="G262" s="24" t="inlineStr">
        <is>
          <t>Wang Xinyu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163</v>
      </c>
      <c r="M262" s="27" t="n">
        <v>2.63</v>
      </c>
      <c r="N262" s="28" t="n">
        <v>0.380228</v>
      </c>
      <c r="O262" s="28" t="n">
        <v>0.610361</v>
      </c>
      <c r="P262" s="28" t="n">
        <v>0.05</v>
      </c>
      <c r="Q262" s="28" t="n">
        <v>0.230133</v>
      </c>
      <c r="R262" s="26" t="n">
        <v>100</v>
      </c>
      <c r="S262" s="29" t="n">
        <v>1.5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loss</t>
        </is>
      </c>
      <c r="W262" s="26" t="n">
        <v>1</v>
      </c>
      <c r="X262" s="26" t="n">
        <v>0</v>
      </c>
      <c r="Y262" s="25" t="n"/>
      <c r="Z262" s="26" t="n"/>
      <c r="AA262" s="28" t="n"/>
      <c r="AB262" s="28" t="n"/>
      <c r="AC262" s="30" t="n">
        <v>-1.5</v>
      </c>
      <c r="AD262" s="24" t="inlineStr">
        <is>
          <t>2026-07-29T17:34:37.373137Z</t>
        </is>
      </c>
      <c r="AE262" s="31" t="inlineStr">
        <is>
          <t>Surface-blended Elo on Hard: Liudmila Samsonova p=0.390 vs Wang Xinyu. Executable ask 0.3800 (aec-wta-xinwan-liusam-2026-07-29).</t>
        </is>
      </c>
      <c r="AF262" s="31" t="inlineStr">
        <is>
          <t>Research-only surface-blended Elo model; singles only, WTA-only market coverage, not yet locked-holdout qualified.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NO_CALL_MODEL_UNVALIDATED</t>
        </is>
      </c>
      <c r="AP262" s="24" t="inlineStr">
        <is>
          <t>Liudmila Samsonova</t>
        </is>
      </c>
      <c r="AQ262" s="24" t="inlineStr">
        <is>
          <t>Liudmila Samsonova</t>
        </is>
      </c>
      <c r="AR262" s="24" t="inlineStr">
        <is>
          <t>Liudmila Samsonova</t>
        </is>
      </c>
      <c r="AS262" s="24" t="inlineStr">
        <is>
          <t>Wang Xinyu</t>
        </is>
      </c>
      <c r="AT262" s="24" t="inlineStr">
        <is>
          <t>Wang Xinyu</t>
        </is>
      </c>
      <c r="AU262" s="24" t="inlineStr">
        <is>
          <t>Wang Xinyu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73429bd71f12304106b9ffb751bd50617d5109d487f00de7ae2732f60e779590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73429bd71f12304106b9ffb751bd50617d5109d487f00de7ae2732f60e779590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73429bd71f12304106b9ffb751bd50617d5109d487f00de7ae2732f60e779590</t>
        </is>
      </c>
      <c r="BH262" s="24" t="inlineStr">
        <is>
          <t>2026-07-29T11:59:22.792537Z</t>
        </is>
      </c>
      <c r="BI262" s="24" t="inlineStr">
        <is>
          <t>["same_event","same_team_same_day","same_league_same_day"]</t>
        </is>
      </c>
      <c r="BJ262" s="25" t="n"/>
      <c r="BK262" s="26" t="n">
        <v>163</v>
      </c>
      <c r="BL262" s="27" t="n">
        <v>2.63</v>
      </c>
      <c r="BM262" s="28" t="n">
        <v>0.380228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</row>
    <row r="263" ht="36" customHeight="1">
      <c r="A263" s="24" t="inlineStr">
        <is>
          <t>5e1308e15a2b4b9b</t>
        </is>
      </c>
      <c r="B263" s="24" t="inlineStr">
        <is>
          <t>2026-07-29T12:01:51.227703Z</t>
        </is>
      </c>
      <c r="C263" s="24" t="inlineStr">
        <is>
          <t>2026-07-29T15:00Z</t>
        </is>
      </c>
      <c r="D263" s="24" t="inlineStr">
        <is>
          <t>888-2026:179010</t>
        </is>
      </c>
      <c r="E263" s="24" t="inlineStr">
        <is>
          <t>TENNIS</t>
        </is>
      </c>
      <c r="F263" s="24" t="inlineStr">
        <is>
          <t>Alexandra Eala</t>
        </is>
      </c>
      <c r="G263" s="24" t="inlineStr">
        <is>
          <t>Leylah Fernandez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-104</v>
      </c>
      <c r="M263" s="27" t="n">
        <v>1.961538</v>
      </c>
      <c r="N263" s="28" t="n">
        <v>0.509804</v>
      </c>
      <c r="O263" s="28" t="n">
        <v>0.584863</v>
      </c>
      <c r="P263" s="28" t="n">
        <v>0.05</v>
      </c>
      <c r="Q263" s="28" t="n">
        <v>0.075059</v>
      </c>
      <c r="R263" s="26" t="n">
        <v>58</v>
      </c>
      <c r="S263" s="29" t="n">
        <v>1.25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/>
      <c r="AA263" s="28" t="n"/>
      <c r="AB263" s="28" t="n"/>
      <c r="AC263" s="30" t="n">
        <v>1.2019</v>
      </c>
      <c r="AD263" s="24" t="inlineStr">
        <is>
          <t>2026-07-29T17:34:37.529832Z</t>
        </is>
      </c>
      <c r="AE263" s="31" t="inlineStr">
        <is>
          <t>Surface-blended Elo on Hard: Alexandra Eala p=0.585 vs Leylah Fernandez. Executable ask 0.5100 (aec-wta-leyfer-aleeal-2026-07-29).</t>
        </is>
      </c>
      <c r="AF263" s="31" t="inlineStr">
        <is>
          <t>Research-only surface-blended Elo model; singles only, WTA-only market coverage, not yet locked-holdout qualified.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NO_CALL_MODEL_UNVALIDATED</t>
        </is>
      </c>
      <c r="AP263" s="24" t="inlineStr">
        <is>
          <t>Alexandra Eala</t>
        </is>
      </c>
      <c r="AQ263" s="24" t="inlineStr">
        <is>
          <t>Alexandra Eala</t>
        </is>
      </c>
      <c r="AR263" s="24" t="inlineStr">
        <is>
          <t>Alexandra Eala</t>
        </is>
      </c>
      <c r="AS263" s="24" t="inlineStr">
        <is>
          <t>Leylah Fernandez</t>
        </is>
      </c>
      <c r="AT263" s="24" t="inlineStr">
        <is>
          <t>Leylah Fernandez</t>
        </is>
      </c>
      <c r="AU263" s="24" t="inlineStr">
        <is>
          <t>Leylah Fernandez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73429bd71f12304106b9ffb751bd50617d5109d487f00de7ae2732f60e779590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73429bd71f12304106b9ffb751bd50617d5109d487f00de7ae2732f60e779590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73429bd71f12304106b9ffb751bd50617d5109d487f00de7ae2732f60e779590</t>
        </is>
      </c>
      <c r="BH263" s="24" t="inlineStr">
        <is>
          <t>2026-07-29T11:59:24.170797Z</t>
        </is>
      </c>
      <c r="BI263" s="24" t="inlineStr">
        <is>
          <t>["same_event","same_team_same_day","same_league_same_day"]</t>
        </is>
      </c>
      <c r="BJ263" s="25" t="n"/>
      <c r="BK263" s="26" t="n">
        <v>-104</v>
      </c>
      <c r="BL263" s="27" t="n">
        <v>1.961538</v>
      </c>
      <c r="BM263" s="28" t="n">
        <v>0.509804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</row>
    <row r="264" ht="36" customHeight="1">
      <c r="A264" s="24" t="inlineStr">
        <is>
          <t>6a87bbcc35e844c4</t>
        </is>
      </c>
      <c r="B264" s="24" t="inlineStr">
        <is>
          <t>2026-07-29T12:01:51.227703Z</t>
        </is>
      </c>
      <c r="C264" s="24" t="inlineStr">
        <is>
          <t>2026-07-29T14:00Z</t>
        </is>
      </c>
      <c r="D264" s="24" t="inlineStr">
        <is>
          <t>1073-2026:179602</t>
        </is>
      </c>
      <c r="E264" s="24" t="inlineStr">
        <is>
          <t>TENNIS</t>
        </is>
      </c>
      <c r="F264" s="24" t="inlineStr">
        <is>
          <t>Caijsa Hennemann</t>
        </is>
      </c>
      <c r="G264" s="24" t="inlineStr">
        <is>
          <t>Sara Sorribes Tormo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-335</v>
      </c>
      <c r="M264" s="27" t="n">
        <v>1.298507</v>
      </c>
      <c r="N264" s="28" t="n">
        <v>0.770115</v>
      </c>
      <c r="O264" s="28" t="n">
        <v>0.613845</v>
      </c>
      <c r="P264" s="28" t="n">
        <v>0.05</v>
      </c>
      <c r="Q264" s="28" t="n">
        <v>-0.15627</v>
      </c>
      <c r="R264" s="26" t="n">
        <v>0</v>
      </c>
      <c r="S264" s="29" t="n">
        <v>1.5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0</v>
      </c>
      <c r="X264" s="26" t="n">
        <v>1</v>
      </c>
      <c r="Y264" s="25" t="n"/>
      <c r="Z264" s="26" t="n"/>
      <c r="AA264" s="28" t="n"/>
      <c r="AB264" s="28" t="n"/>
      <c r="AC264" s="30" t="n">
        <v>0.4478</v>
      </c>
      <c r="AD264" s="24" t="inlineStr">
        <is>
          <t>2026-07-29T17:34:37.684021Z</t>
        </is>
      </c>
      <c r="AE264" s="31" t="inlineStr">
        <is>
          <t>Surface-blended Elo on Hard: Caijsa Hennemann p=0.386 vs Sara Sorribes Tormo. Executable ask 0.7700 (aec-wta-sartor-caihen-2026-07-28).</t>
        </is>
      </c>
      <c r="AF264" s="31" t="inlineStr">
        <is>
          <t>Research-only surface-blended Elo model; singles only, WTA-only market coverage, not yet locked-holdout qualified.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NO_CALL_MODEL_UNVALIDATED</t>
        </is>
      </c>
      <c r="AP264" s="24" t="inlineStr">
        <is>
          <t>Caijsa Hennemann</t>
        </is>
      </c>
      <c r="AQ264" s="24" t="inlineStr">
        <is>
          <t>Caijsa Hennemann</t>
        </is>
      </c>
      <c r="AR264" s="24" t="inlineStr">
        <is>
          <t>Caijsa Hennemann</t>
        </is>
      </c>
      <c r="AS264" s="24" t="inlineStr">
        <is>
          <t>Sara Sorribes Tormo</t>
        </is>
      </c>
      <c r="AT264" s="24" t="inlineStr">
        <is>
          <t>Sara Sorribes Tormo</t>
        </is>
      </c>
      <c r="AU264" s="24" t="inlineStr">
        <is>
          <t>Sara Sorribes Tormo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73429bd71f12304106b9ffb751bd50617d5109d487f00de7ae2732f60e779590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73429bd71f12304106b9ffb751bd50617d5109d487f00de7ae2732f60e779590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73429bd71f12304106b9ffb751bd50617d5109d487f00de7ae2732f60e779590</t>
        </is>
      </c>
      <c r="BH264" s="24" t="inlineStr">
        <is>
          <t>2026-07-29T11:59:21.725564Z</t>
        </is>
      </c>
      <c r="BI264" s="24" t="inlineStr">
        <is>
          <t>["same_event","same_team_same_day","same_league_same_day"]</t>
        </is>
      </c>
      <c r="BJ264" s="25" t="n"/>
      <c r="BK264" s="26" t="n">
        <v>-335</v>
      </c>
      <c r="BL264" s="27" t="n">
        <v>1.298507</v>
      </c>
      <c r="BM264" s="28" t="n">
        <v>0.770115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</row>
    <row r="265" ht="36" customHeight="1">
      <c r="A265" s="24" t="inlineStr">
        <is>
          <t>9eedacf3676e41ab</t>
        </is>
      </c>
      <c r="B265" s="24" t="inlineStr">
        <is>
          <t>2026-07-29T15:07:42.028247Z</t>
        </is>
      </c>
      <c r="C265" s="24" t="inlineStr">
        <is>
          <t>2026-07-29T17:00Z</t>
        </is>
      </c>
      <c r="D265" s="24" t="inlineStr">
        <is>
          <t>875-2026:179551</t>
        </is>
      </c>
      <c r="E265" s="24" t="inlineStr">
        <is>
          <t>TENNIS</t>
        </is>
      </c>
      <c r="F265" s="24" t="inlineStr">
        <is>
          <t>Hayu Kinoshita</t>
        </is>
      </c>
      <c r="G265" s="24" t="inlineStr">
        <is>
          <t>Moyuka Uchijima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-233</v>
      </c>
      <c r="M265" s="27" t="n">
        <v>1.429185</v>
      </c>
      <c r="N265" s="28" t="n">
        <v>0.6997</v>
      </c>
      <c r="O265" s="28" t="n">
        <v>0.661404</v>
      </c>
      <c r="P265" s="28" t="n">
        <v>0.05</v>
      </c>
      <c r="Q265" s="28" t="n">
        <v>-0.038296</v>
      </c>
      <c r="R265" s="26" t="n">
        <v>1</v>
      </c>
      <c r="S265" s="29" t="n">
        <v>1.75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/>
      <c r="AA265" s="28" t="n"/>
      <c r="AB265" s="28" t="n"/>
      <c r="AC265" s="30" t="n">
        <v>0.7511</v>
      </c>
      <c r="AD265" s="24" t="inlineStr">
        <is>
          <t>2026-07-30T04:12:57.598756Z</t>
        </is>
      </c>
      <c r="AE265" s="31" t="inlineStr">
        <is>
          <t>Surface-blended Elo on Hard: Hayu Kinoshita p=0.339 vs Moyuka Uchijima. Executable ask 0.7000 (aec-wta-moyuch-haykin-2026-07-30).</t>
        </is>
      </c>
      <c r="AF265" s="31" t="inlineStr">
        <is>
          <t>Research-only surface-blended Elo model; singles only, WTA-only market coverage,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NO_CALL_MODEL_UNVALIDATED</t>
        </is>
      </c>
      <c r="AP265" s="24" t="inlineStr">
        <is>
          <t>Hayu Kinoshita</t>
        </is>
      </c>
      <c r="AQ265" s="24" t="inlineStr">
        <is>
          <t>Hayu Kinoshita</t>
        </is>
      </c>
      <c r="AR265" s="24" t="inlineStr">
        <is>
          <t>Hayu Kinoshita</t>
        </is>
      </c>
      <c r="AS265" s="24" t="inlineStr">
        <is>
          <t>Moyuka Uchijima</t>
        </is>
      </c>
      <c r="AT265" s="24" t="inlineStr">
        <is>
          <t>Moyuka Uchijima</t>
        </is>
      </c>
      <c r="AU265" s="24" t="inlineStr">
        <is>
          <t>Moyuka Uchijima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73429bd71f12304106b9ffb751bd50617d5109d487f00de7ae2732f60e779590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73429bd71f12304106b9ffb751bd50617d5109d487f00de7ae2732f60e779590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73429bd71f12304106b9ffb751bd50617d5109d487f00de7ae2732f60e779590</t>
        </is>
      </c>
      <c r="BH265" s="24" t="inlineStr">
        <is>
          <t>2026-07-29T15:06:10.686278Z</t>
        </is>
      </c>
      <c r="BI265" s="24" t="inlineStr">
        <is>
          <t>["same_event","same_team_same_day","same_league_same_day"]</t>
        </is>
      </c>
      <c r="BJ265" s="25" t="n"/>
      <c r="BK265" s="26" t="n">
        <v>-233</v>
      </c>
      <c r="BL265" s="27" t="n">
        <v>1.429185</v>
      </c>
      <c r="BM265" s="28" t="n">
        <v>0.6997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</row>
    <row r="266" ht="36" customHeight="1">
      <c r="A266" s="24" t="inlineStr">
        <is>
          <t>a0b147def3fd4a88</t>
        </is>
      </c>
      <c r="B266" s="24" t="inlineStr">
        <is>
          <t>2026-07-29T15:07:42.028247Z</t>
        </is>
      </c>
      <c r="C266" s="24" t="inlineStr">
        <is>
          <t>2026-07-29T16:00Z</t>
        </is>
      </c>
      <c r="D266" s="24" t="inlineStr">
        <is>
          <t>1067-2026:179462</t>
        </is>
      </c>
      <c r="E266" s="24" t="inlineStr">
        <is>
          <t>TENNIS</t>
        </is>
      </c>
      <c r="F266" s="24" t="inlineStr">
        <is>
          <t>Katie Volynets</t>
        </is>
      </c>
      <c r="G266" s="24" t="inlineStr">
        <is>
          <t>Iryna Shymanovich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-400</v>
      </c>
      <c r="M266" s="27" t="n">
        <v>1.25</v>
      </c>
      <c r="N266" s="28" t="n">
        <v>0.8</v>
      </c>
      <c r="O266" s="28" t="n">
        <v>0.681818</v>
      </c>
      <c r="P266" s="28" t="n">
        <v>0.05</v>
      </c>
      <c r="Q266" s="28" t="n">
        <v>-0.118182</v>
      </c>
      <c r="R266" s="26" t="n">
        <v>0</v>
      </c>
      <c r="S266" s="29" t="n">
        <v>2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/>
      <c r="AA266" s="28" t="n"/>
      <c r="AB266" s="28" t="n"/>
      <c r="AC266" s="30" t="n">
        <v>0.5</v>
      </c>
      <c r="AD266" s="24" t="inlineStr">
        <is>
          <t>2026-07-29T17:39:18.099080Z</t>
        </is>
      </c>
      <c r="AE266" s="31" t="inlineStr">
        <is>
          <t>Surface-blended Elo on Hard: Katie Volynets p=0.682 vs Iryna Shymanovich. Executable ask 0.8000 (aec-wta-iryshy-katvol-2026-07-28).</t>
        </is>
      </c>
      <c r="AF266" s="31" t="inlineStr">
        <is>
          <t>Research-only surface-blended Elo model; singles only, WTA-only market coverage, not yet locked-holdout qualified.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NO_CALL_MODEL_UNVALIDATED</t>
        </is>
      </c>
      <c r="AP266" s="24" t="inlineStr">
        <is>
          <t>Katie Volynets</t>
        </is>
      </c>
      <c r="AQ266" s="24" t="inlineStr">
        <is>
          <t>Katie Volynets</t>
        </is>
      </c>
      <c r="AR266" s="24" t="inlineStr">
        <is>
          <t>Katie Volynets</t>
        </is>
      </c>
      <c r="AS266" s="24" t="inlineStr">
        <is>
          <t>Iryna Shymanovich</t>
        </is>
      </c>
      <c r="AT266" s="24" t="inlineStr">
        <is>
          <t>Iryna Shymanovich</t>
        </is>
      </c>
      <c r="AU266" s="24" t="inlineStr">
        <is>
          <t>Iryna Shymanovich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73429bd71f12304106b9ffb751bd50617d5109d487f00de7ae2732f60e779590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73429bd71f12304106b9ffb751bd50617d5109d487f00de7ae2732f60e779590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73429bd71f12304106b9ffb751bd50617d5109d487f00de7ae2732f60e779590</t>
        </is>
      </c>
      <c r="BH266" s="24" t="inlineStr">
        <is>
          <t>2026-07-29T15:06:09.478927Z</t>
        </is>
      </c>
      <c r="BI266" s="24" t="inlineStr">
        <is>
          <t>["same_event","same_team_same_day","same_league_same_day"]</t>
        </is>
      </c>
      <c r="BJ266" s="25" t="n"/>
      <c r="BK266" s="26" t="n">
        <v>-400</v>
      </c>
      <c r="BL266" s="27" t="n">
        <v>1.25</v>
      </c>
      <c r="BM266" s="28" t="n">
        <v>0.8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</row>
    <row r="267" ht="36" customHeight="1">
      <c r="A267" s="24" t="inlineStr">
        <is>
          <t>1b6e932c0c774d67</t>
        </is>
      </c>
      <c r="B267" s="24" t="inlineStr">
        <is>
          <t>2026-07-29T15:07:42.028247Z</t>
        </is>
      </c>
      <c r="C267" s="24" t="inlineStr">
        <is>
          <t>2026-07-29T17:30Z</t>
        </is>
      </c>
      <c r="D267" s="24" t="inlineStr">
        <is>
          <t>1067-2026:179457</t>
        </is>
      </c>
      <c r="E267" s="24" t="inlineStr">
        <is>
          <t>TENNIS</t>
        </is>
      </c>
      <c r="F267" s="24" t="inlineStr">
        <is>
          <t>Anastasia Zakharova</t>
        </is>
      </c>
      <c r="G267" s="24" t="inlineStr">
        <is>
          <t>Camila Osorio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-203</v>
      </c>
      <c r="M267" s="27" t="n">
        <v>1.492611</v>
      </c>
      <c r="N267" s="28" t="n">
        <v>0.669967</v>
      </c>
      <c r="O267" s="28" t="n">
        <v>0.546035</v>
      </c>
      <c r="P267" s="28" t="n">
        <v>0.05</v>
      </c>
      <c r="Q267" s="28" t="n">
        <v>-0.123932</v>
      </c>
      <c r="R267" s="26" t="n">
        <v>0</v>
      </c>
      <c r="S267" s="29" t="n">
        <v>1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/>
      <c r="AA267" s="28" t="n"/>
      <c r="AB267" s="28" t="n"/>
      <c r="AC267" s="30" t="n">
        <v>-1</v>
      </c>
      <c r="AD267" s="24" t="inlineStr">
        <is>
          <t>2026-07-30T04:12:57.762482Z</t>
        </is>
      </c>
      <c r="AE267" s="31" t="inlineStr">
        <is>
          <t>Surface-blended Elo on Hard: Anastasia Zakharova p=0.454 vs Camila Osorio. Executable ask 0.6700 (aec-wta-camoso-anazak-2026-07-29).</t>
        </is>
      </c>
      <c r="AF267" s="31" t="inlineStr">
        <is>
          <t>Research-only surface-blended Elo model; singles only, WTA-only market coverage, not yet locked-holdout qualified.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NO_CALL_MODEL_UNVALIDATED</t>
        </is>
      </c>
      <c r="AP267" s="24" t="inlineStr">
        <is>
          <t>Anastasia Zakharova</t>
        </is>
      </c>
      <c r="AQ267" s="24" t="inlineStr">
        <is>
          <t>Anastasia Zakharova</t>
        </is>
      </c>
      <c r="AR267" s="24" t="inlineStr">
        <is>
          <t>Anastasia Zakharova</t>
        </is>
      </c>
      <c r="AS267" s="24" t="inlineStr">
        <is>
          <t>Camila Osorio</t>
        </is>
      </c>
      <c r="AT267" s="24" t="inlineStr">
        <is>
          <t>Camila Osorio</t>
        </is>
      </c>
      <c r="AU267" s="24" t="inlineStr">
        <is>
          <t>Camila Osorio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research</t>
        </is>
      </c>
      <c r="BA267" s="24" t="inlineStr">
        <is>
          <t>73429bd71f12304106b9ffb751bd50617d5109d487f00de7ae2732f60e779590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73429bd71f12304106b9ffb751bd50617d5109d487f00de7ae2732f60e779590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73429bd71f12304106b9ffb751bd50617d5109d487f00de7ae2732f60e779590</t>
        </is>
      </c>
      <c r="BH267" s="24" t="inlineStr">
        <is>
          <t>2026-07-29T15:06:11.189993Z</t>
        </is>
      </c>
      <c r="BI267" s="24" t="inlineStr">
        <is>
          <t>["same_event","same_team_same_day","same_league_same_day"]</t>
        </is>
      </c>
      <c r="BJ267" s="25" t="n"/>
      <c r="BK267" s="26" t="n">
        <v>-203</v>
      </c>
      <c r="BL267" s="27" t="n">
        <v>1.492611</v>
      </c>
      <c r="BM267" s="28" t="n">
        <v>0.669967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</row>
    <row r="268" ht="36" customHeight="1">
      <c r="A268" s="24" t="inlineStr">
        <is>
          <t>4a3345c99c37475a</t>
        </is>
      </c>
      <c r="B268" s="24" t="inlineStr">
        <is>
          <t>2026-07-29T17:45:17.438275Z</t>
        </is>
      </c>
      <c r="C268" s="24" t="inlineStr">
        <is>
          <t>2026-07-29T20:30Z</t>
        </is>
      </c>
      <c r="D268" s="24" t="inlineStr">
        <is>
          <t>875-2026:179560</t>
        </is>
      </c>
      <c r="E268" s="24" t="inlineStr">
        <is>
          <t>TENNIS</t>
        </is>
      </c>
      <c r="F268" s="24" t="inlineStr">
        <is>
          <t>Mananchaya Sawangkaew</t>
        </is>
      </c>
      <c r="G268" s="24" t="inlineStr">
        <is>
          <t>Nao Hibino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-223</v>
      </c>
      <c r="M268" s="27" t="n">
        <v>1.44843</v>
      </c>
      <c r="N268" s="28" t="n">
        <v>0.690402</v>
      </c>
      <c r="O268" s="28" t="n">
        <v>0.751186</v>
      </c>
      <c r="P268" s="28" t="n">
        <v>0.05</v>
      </c>
      <c r="Q268" s="28" t="n">
        <v>0.060784</v>
      </c>
      <c r="R268" s="26" t="n">
        <v>50</v>
      </c>
      <c r="S268" s="29" t="n">
        <v>2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/>
      <c r="AA268" s="28" t="n"/>
      <c r="AB268" s="28" t="n"/>
      <c r="AC268" s="30" t="n">
        <v>0.8969</v>
      </c>
      <c r="AD268" s="24" t="inlineStr">
        <is>
          <t>2026-07-30T04:12:57.923604Z</t>
        </is>
      </c>
      <c r="AE268" s="31" t="inlineStr">
        <is>
          <t>Surface-blended Elo on Hard: Mananchaya Sawangkaew p=0.751 vs Nao Hibino. Executable ask 0.6900 (aec-wta-naohib-mansaw-2026-07-29).</t>
        </is>
      </c>
      <c r="AF268" s="31" t="inlineStr">
        <is>
          <t>Research-only surface-blended Elo model; singles only, WTA-only market coverage, not yet locked-holdout qualified.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NO_CALL_MODEL_UNVALIDATED</t>
        </is>
      </c>
      <c r="AP268" s="24" t="inlineStr">
        <is>
          <t>Mananchaya Sawangkaew</t>
        </is>
      </c>
      <c r="AQ268" s="24" t="inlineStr">
        <is>
          <t>Mananchaya Sawangkaew</t>
        </is>
      </c>
      <c r="AR268" s="24" t="inlineStr">
        <is>
          <t>Mananchaya Sawangkaew</t>
        </is>
      </c>
      <c r="AS268" s="24" t="inlineStr">
        <is>
          <t>Nao Hibino</t>
        </is>
      </c>
      <c r="AT268" s="24" t="inlineStr">
        <is>
          <t>Nao Hibino</t>
        </is>
      </c>
      <c r="AU268" s="24" t="inlineStr">
        <is>
          <t>Nao Hibino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research</t>
        </is>
      </c>
      <c r="BA268" s="24" t="inlineStr">
        <is>
          <t>73429bd71f12304106b9ffb751bd50617d5109d487f00de7ae2732f60e779590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73429bd71f12304106b9ffb751bd50617d5109d487f00de7ae2732f60e779590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73429bd71f12304106b9ffb751bd50617d5109d487f00de7ae2732f60e779590</t>
        </is>
      </c>
      <c r="BH268" s="24" t="inlineStr">
        <is>
          <t>2026-07-29T17:43:31.145763Z</t>
        </is>
      </c>
      <c r="BI268" s="24" t="inlineStr">
        <is>
          <t>["same_event","same_team_same_day","same_league_same_day"]</t>
        </is>
      </c>
      <c r="BJ268" s="25" t="n"/>
      <c r="BK268" s="26" t="n">
        <v>-223</v>
      </c>
      <c r="BL268" s="27" t="n">
        <v>1.44843</v>
      </c>
      <c r="BM268" s="28" t="n">
        <v>0.690402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</row>
    <row r="269" ht="36" customHeight="1">
      <c r="A269" s="24" t="inlineStr">
        <is>
          <t>ba55f97323e84ca7</t>
        </is>
      </c>
      <c r="B269" s="24" t="inlineStr">
        <is>
          <t>2026-07-29T17:45:17.438275Z</t>
        </is>
      </c>
      <c r="C269" s="24" t="inlineStr">
        <is>
          <t>2026-07-29T23:30Z</t>
        </is>
      </c>
      <c r="D269" s="24" t="inlineStr">
        <is>
          <t>875-2026:179561</t>
        </is>
      </c>
      <c r="E269" s="24" t="inlineStr">
        <is>
          <t>TENNIS</t>
        </is>
      </c>
      <c r="F269" s="24" t="inlineStr">
        <is>
          <t>Madison Brengle</t>
        </is>
      </c>
      <c r="G269" s="24" t="inlineStr">
        <is>
          <t>Emerson Jones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-213</v>
      </c>
      <c r="M269" s="27" t="n">
        <v>1.469484</v>
      </c>
      <c r="N269" s="28" t="n">
        <v>0.680511</v>
      </c>
      <c r="O269" s="28" t="n">
        <v>0.609945</v>
      </c>
      <c r="P269" s="28" t="n">
        <v>0.05</v>
      </c>
      <c r="Q269" s="28" t="n">
        <v>-0.070566</v>
      </c>
      <c r="R269" s="26" t="n">
        <v>0</v>
      </c>
      <c r="S269" s="29" t="n">
        <v>1.5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0.7042</v>
      </c>
      <c r="AD269" s="24" t="inlineStr">
        <is>
          <t>2026-07-30T05:41:08.013743Z</t>
        </is>
      </c>
      <c r="AE269" s="31" t="inlineStr">
        <is>
          <t>Surface-blended Elo on Hard: Madison Brengle p=0.390 vs Emerson Jones. Executable ask 0.6800 (aec-wta-emejon-madbre-2026-07-29).</t>
        </is>
      </c>
      <c r="AF269" s="31" t="inlineStr">
        <is>
          <t>Research-only surface-blended Elo model; singles only, WTA-only market coverage,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NO_CALL_MODEL_UNVALIDATED</t>
        </is>
      </c>
      <c r="AP269" s="24" t="inlineStr">
        <is>
          <t>Madison Brengle</t>
        </is>
      </c>
      <c r="AQ269" s="24" t="inlineStr">
        <is>
          <t>Madison Brengle</t>
        </is>
      </c>
      <c r="AR269" s="24" t="inlineStr">
        <is>
          <t>Madison Brengle</t>
        </is>
      </c>
      <c r="AS269" s="24" t="inlineStr">
        <is>
          <t>Emerson Jones</t>
        </is>
      </c>
      <c r="AT269" s="24" t="inlineStr">
        <is>
          <t>Emerson Jones</t>
        </is>
      </c>
      <c r="AU269" s="24" t="inlineStr">
        <is>
          <t>Emerson Jones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73429bd71f12304106b9ffb751bd50617d5109d487f00de7ae2732f60e779590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73429bd71f12304106b9ffb751bd50617d5109d487f00de7ae2732f60e779590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73429bd71f12304106b9ffb751bd50617d5109d487f00de7ae2732f60e779590</t>
        </is>
      </c>
      <c r="BH269" s="24" t="inlineStr">
        <is>
          <t>2026-07-29T17:43:34.870189Z</t>
        </is>
      </c>
      <c r="BI269" s="24" t="inlineStr">
        <is>
          <t>["same_event","same_team_same_day","same_league_same_day"]</t>
        </is>
      </c>
      <c r="BJ269" s="25" t="n"/>
      <c r="BK269" s="26" t="n">
        <v>-213</v>
      </c>
      <c r="BL269" s="27" t="n">
        <v>1.469484</v>
      </c>
      <c r="BM269" s="28" t="n">
        <v>0.680511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</row>
    <row r="270" ht="36" customHeight="1">
      <c r="A270" s="24" t="inlineStr">
        <is>
          <t>2272d1aa27ff4860</t>
        </is>
      </c>
      <c r="B270" s="24" t="inlineStr">
        <is>
          <t>2026-07-29T17:45:17.438275Z</t>
        </is>
      </c>
      <c r="C270" s="24" t="inlineStr">
        <is>
          <t>2026-07-30T01:00Z</t>
        </is>
      </c>
      <c r="D270" s="24" t="inlineStr">
        <is>
          <t>875-2026:179535</t>
        </is>
      </c>
      <c r="E270" s="24" t="inlineStr">
        <is>
          <t>TENNIS</t>
        </is>
      </c>
      <c r="F270" s="24" t="inlineStr">
        <is>
          <t>Taylah Preston</t>
        </is>
      </c>
      <c r="G270" s="24" t="inlineStr">
        <is>
          <t>Priscilla Hon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-245</v>
      </c>
      <c r="M270" s="27" t="n">
        <v>1.408163</v>
      </c>
      <c r="N270" s="28" t="n">
        <v>0.710145</v>
      </c>
      <c r="O270" s="28" t="n">
        <v>0.522226</v>
      </c>
      <c r="P270" s="28" t="n">
        <v>0.05</v>
      </c>
      <c r="Q270" s="28" t="n">
        <v>-0.187919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/>
      <c r="AA270" s="28" t="n"/>
      <c r="AB270" s="28" t="n"/>
      <c r="AC270" s="30" t="n">
        <v>0.4082</v>
      </c>
      <c r="AD270" s="24" t="inlineStr">
        <is>
          <t>2026-07-30T04:12:58.090024Z</t>
        </is>
      </c>
      <c r="AE270" s="31" t="inlineStr">
        <is>
          <t>Surface-blended Elo on Hard: Taylah Preston p=0.522 vs Priscilla Hon. Executable ask 0.7100 (aec-wta-prihon-taypre-2026-07-29).</t>
        </is>
      </c>
      <c r="AF270" s="31" t="inlineStr">
        <is>
          <t>Research-only surface-blended Elo model; singles only, WTA-only market coverage,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NO_CALL_MODEL_UNVALIDATED</t>
        </is>
      </c>
      <c r="AP270" s="24" t="inlineStr">
        <is>
          <t>Taylah Preston</t>
        </is>
      </c>
      <c r="AQ270" s="24" t="inlineStr">
        <is>
          <t>Taylah Preston</t>
        </is>
      </c>
      <c r="AR270" s="24" t="inlineStr">
        <is>
          <t>Taylah Preston</t>
        </is>
      </c>
      <c r="AS270" s="24" t="inlineStr">
        <is>
          <t>Priscilla Hon</t>
        </is>
      </c>
      <c r="AT270" s="24" t="inlineStr">
        <is>
          <t>Priscilla Hon</t>
        </is>
      </c>
      <c r="AU270" s="24" t="inlineStr">
        <is>
          <t>Priscilla Hon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73429bd71f12304106b9ffb751bd50617d5109d487f00de7ae2732f60e779590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73429bd71f12304106b9ffb751bd50617d5109d487f00de7ae2732f60e779590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73429bd71f12304106b9ffb751bd50617d5109d487f00de7ae2732f60e779590</t>
        </is>
      </c>
      <c r="BH270" s="24" t="inlineStr">
        <is>
          <t>2026-07-29T17:43:34.962670Z</t>
        </is>
      </c>
      <c r="BI270" s="24" t="inlineStr">
        <is>
          <t>["same_event","same_team_same_day","same_league_same_day"]</t>
        </is>
      </c>
      <c r="BJ270" s="25" t="n"/>
      <c r="BK270" s="26" t="n">
        <v>-245</v>
      </c>
      <c r="BL270" s="27" t="n">
        <v>1.408163</v>
      </c>
      <c r="BM270" s="28" t="n">
        <v>0.710145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</row>
    <row r="271" ht="36" customHeight="1">
      <c r="A271" s="24" t="inlineStr">
        <is>
          <t>f56a39c844b14931</t>
        </is>
      </c>
      <c r="B271" s="24" t="inlineStr">
        <is>
          <t>2026-07-29T17:45:17.438275Z</t>
        </is>
      </c>
      <c r="C271" s="24" t="inlineStr">
        <is>
          <t>2026-07-29T18:00Z</t>
        </is>
      </c>
      <c r="D271" s="24" t="inlineStr">
        <is>
          <t>888-2026:178996</t>
        </is>
      </c>
      <c r="E271" s="24" t="inlineStr">
        <is>
          <t>TENNIS</t>
        </is>
      </c>
      <c r="F271" s="24" t="inlineStr">
        <is>
          <t>Elisabetta Cocciaretto</t>
        </is>
      </c>
      <c r="G271" s="24" t="inlineStr">
        <is>
          <t>Emma Navarro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-213</v>
      </c>
      <c r="M271" s="27" t="n">
        <v>1.469484</v>
      </c>
      <c r="N271" s="28" t="n">
        <v>0.680511</v>
      </c>
      <c r="O271" s="28" t="n">
        <v>0.534149</v>
      </c>
      <c r="P271" s="28" t="n">
        <v>0.05</v>
      </c>
      <c r="Q271" s="28" t="n">
        <v>-0.146362</v>
      </c>
      <c r="R271" s="26" t="n">
        <v>0</v>
      </c>
      <c r="S271" s="29" t="n">
        <v>1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0</v>
      </c>
      <c r="Y271" s="25" t="n"/>
      <c r="Z271" s="26" t="n"/>
      <c r="AA271" s="28" t="n"/>
      <c r="AB271" s="28" t="n"/>
      <c r="AC271" s="30" t="n">
        <v>-1</v>
      </c>
      <c r="AD271" s="24" t="inlineStr">
        <is>
          <t>2026-07-30T04:12:58.299938Z</t>
        </is>
      </c>
      <c r="AE271" s="31" t="inlineStr">
        <is>
          <t>Surface-blended Elo on Hard: Elisabetta Cocciaretto p=0.466 vs Emma Navarro. Executable ask 0.6800 (aec-wta-emmnav-elicoc-2026-07-29).</t>
        </is>
      </c>
      <c r="AF271" s="31" t="inlineStr">
        <is>
          <t>Research-only surface-blended Elo model; singles only, WTA-only market coverage, not yet locked-holdout qualified.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NO_CALL_MODEL_UNVALIDATED</t>
        </is>
      </c>
      <c r="AP271" s="24" t="inlineStr">
        <is>
          <t>Elisabetta Cocciaretto</t>
        </is>
      </c>
      <c r="AQ271" s="24" t="inlineStr">
        <is>
          <t>Elisabetta Cocciaretto</t>
        </is>
      </c>
      <c r="AR271" s="24" t="inlineStr">
        <is>
          <t>Elisabetta Cocciaretto</t>
        </is>
      </c>
      <c r="AS271" s="24" t="inlineStr">
        <is>
          <t>Emma Navarro</t>
        </is>
      </c>
      <c r="AT271" s="24" t="inlineStr">
        <is>
          <t>Emma Navarro</t>
        </is>
      </c>
      <c r="AU271" s="24" t="inlineStr">
        <is>
          <t>Emma Navarro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73429bd71f12304106b9ffb751bd50617d5109d487f00de7ae2732f60e779590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73429bd71f12304106b9ffb751bd50617d5109d487f00de7ae2732f60e779590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73429bd71f12304106b9ffb751bd50617d5109d487f00de7ae2732f60e779590</t>
        </is>
      </c>
      <c r="BH271" s="24" t="inlineStr">
        <is>
          <t>2026-07-29T17:43:27.911072Z</t>
        </is>
      </c>
      <c r="BI271" s="24" t="inlineStr">
        <is>
          <t>["same_event","same_team_same_day","same_league_same_day"]</t>
        </is>
      </c>
      <c r="BJ271" s="25" t="n"/>
      <c r="BK271" s="26" t="n">
        <v>-213</v>
      </c>
      <c r="BL271" s="27" t="n">
        <v>1.469484</v>
      </c>
      <c r="BM271" s="28" t="n">
        <v>0.680511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</row>
    <row r="272" ht="36" customHeight="1">
      <c r="A272" s="24" t="inlineStr">
        <is>
          <t>ff2d3627a8014bb5</t>
        </is>
      </c>
      <c r="B272" s="24" t="inlineStr">
        <is>
          <t>2026-07-29T17:45:17.438275Z</t>
        </is>
      </c>
      <c r="C272" s="24" t="inlineStr">
        <is>
          <t>2026-07-29T22:30Z</t>
        </is>
      </c>
      <c r="D272" s="24" t="inlineStr">
        <is>
          <t>888-2026:178995</t>
        </is>
      </c>
      <c r="E272" s="24" t="inlineStr">
        <is>
          <t>TENNIS</t>
        </is>
      </c>
      <c r="F272" s="24" t="inlineStr">
        <is>
          <t>Naomi Osaka</t>
        </is>
      </c>
      <c r="G272" s="24" t="inlineStr">
        <is>
          <t>Ashlyn Krueger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-285</v>
      </c>
      <c r="M272" s="27" t="n">
        <v>1.350877</v>
      </c>
      <c r="N272" s="28" t="n">
        <v>0.74026</v>
      </c>
      <c r="O272" s="28" t="n">
        <v>0.68731</v>
      </c>
      <c r="P272" s="28" t="n">
        <v>0.05</v>
      </c>
      <c r="Q272" s="28" t="n">
        <v>-0.05295</v>
      </c>
      <c r="R272" s="26" t="n">
        <v>0</v>
      </c>
      <c r="S272" s="29" t="n">
        <v>2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0</v>
      </c>
      <c r="Y272" s="25" t="n"/>
      <c r="Z272" s="26" t="n"/>
      <c r="AA272" s="28" t="n"/>
      <c r="AB272" s="28" t="n"/>
      <c r="AC272" s="30" t="n">
        <v>0.7018</v>
      </c>
      <c r="AD272" s="24" t="inlineStr">
        <is>
          <t>2026-07-30T04:12:58.471435Z</t>
        </is>
      </c>
      <c r="AE272" s="31" t="inlineStr">
        <is>
          <t>Surface-blended Elo on Hard: Naomi Osaka p=0.687 vs Ashlyn Krueger. Executable ask 0.7400 (aec-wta-ashkru-naoosa-2026-07-29).</t>
        </is>
      </c>
      <c r="AF272" s="31" t="inlineStr">
        <is>
          <t>Research-only surface-blended Elo model; singles only, WTA-only market coverage, not yet locked-holdout qualified.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NO_CALL_MODEL_UNVALIDATED</t>
        </is>
      </c>
      <c r="AP272" s="24" t="inlineStr">
        <is>
          <t>Naomi Osaka</t>
        </is>
      </c>
      <c r="AQ272" s="24" t="inlineStr">
        <is>
          <t>Naomi Osaka</t>
        </is>
      </c>
      <c r="AR272" s="24" t="inlineStr">
        <is>
          <t>Naomi Osaka</t>
        </is>
      </c>
      <c r="AS272" s="24" t="inlineStr">
        <is>
          <t>Ashlyn Krueger</t>
        </is>
      </c>
      <c r="AT272" s="24" t="inlineStr">
        <is>
          <t>Ashlyn Krueger</t>
        </is>
      </c>
      <c r="AU272" s="24" t="inlineStr">
        <is>
          <t>Ashlyn Krueger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73429bd71f12304106b9ffb751bd50617d5109d487f00de7ae2732f60e779590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73429bd71f12304106b9ffb751bd50617d5109d487f00de7ae2732f60e779590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73429bd71f12304106b9ffb751bd50617d5109d487f00de7ae2732f60e779590</t>
        </is>
      </c>
      <c r="BH272" s="24" t="inlineStr">
        <is>
          <t>2026-07-29T17:43:32.737176Z</t>
        </is>
      </c>
      <c r="BI272" s="24" t="inlineStr">
        <is>
          <t>["same_event","same_team_same_day","same_league_same_day"]</t>
        </is>
      </c>
      <c r="BJ272" s="25" t="n"/>
      <c r="BK272" s="26" t="n">
        <v>-285</v>
      </c>
      <c r="BL272" s="27" t="n">
        <v>1.350877</v>
      </c>
      <c r="BM272" s="28" t="n">
        <v>0.74026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</row>
    <row r="273" ht="36" customHeight="1">
      <c r="A273" s="24" t="inlineStr">
        <is>
          <t>ae6ff454954f447c</t>
        </is>
      </c>
      <c r="B273" s="24" t="inlineStr">
        <is>
          <t>2026-07-29T17:45:17.438275Z</t>
        </is>
      </c>
      <c r="C273" s="24" t="inlineStr">
        <is>
          <t>2026-07-29T19:15Z</t>
        </is>
      </c>
      <c r="D273" s="24" t="inlineStr">
        <is>
          <t>1067-2026:179466</t>
        </is>
      </c>
      <c r="E273" s="24" t="inlineStr">
        <is>
          <t>TENNIS</t>
        </is>
      </c>
      <c r="F273" s="24" t="inlineStr">
        <is>
          <t>Elvina Kalieva</t>
        </is>
      </c>
      <c r="G273" s="24" t="inlineStr">
        <is>
          <t>Zeynep Sonmez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-186</v>
      </c>
      <c r="M273" s="27" t="n">
        <v>1.537634</v>
      </c>
      <c r="N273" s="28" t="n">
        <v>0.65035</v>
      </c>
      <c r="O273" s="28" t="n">
        <v>0.677731</v>
      </c>
      <c r="P273" s="28" t="n">
        <v>0.05</v>
      </c>
      <c r="Q273" s="28" t="n">
        <v>0.027381</v>
      </c>
      <c r="R273" s="26" t="n">
        <v>34</v>
      </c>
      <c r="S273" s="29" t="n">
        <v>1.75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loss</t>
        </is>
      </c>
      <c r="W273" s="26" t="n">
        <v>1</v>
      </c>
      <c r="X273" s="26" t="n">
        <v>0</v>
      </c>
      <c r="Y273" s="25" t="n"/>
      <c r="Z273" s="26" t="n"/>
      <c r="AA273" s="28" t="n"/>
      <c r="AB273" s="28" t="n"/>
      <c r="AC273" s="30" t="n">
        <v>-1.75</v>
      </c>
      <c r="AD273" s="24" t="inlineStr">
        <is>
          <t>2026-07-30T04:12:58.638731Z</t>
        </is>
      </c>
      <c r="AE273" s="31" t="inlineStr">
        <is>
          <t>Surface-blended Elo on Hard: Elvina Kalieva p=0.322 vs Zeynep Sonmez. Executable ask 0.6500 (aec-wta-zeyson-elvkal-2026-07-29).</t>
        </is>
      </c>
      <c r="AF273" s="31" t="inlineStr">
        <is>
          <t>Research-only surface-blended Elo model; singles only, WTA-only market coverage, not yet locked-holdout qualified.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NO_CALL_MODEL_UNVALIDATED</t>
        </is>
      </c>
      <c r="AP273" s="24" t="inlineStr">
        <is>
          <t>Elvina Kalieva</t>
        </is>
      </c>
      <c r="AQ273" s="24" t="inlineStr">
        <is>
          <t>Elvina Kalieva</t>
        </is>
      </c>
      <c r="AR273" s="24" t="inlineStr">
        <is>
          <t>Elvina Kalieva</t>
        </is>
      </c>
      <c r="AS273" s="24" t="inlineStr">
        <is>
          <t>Zeynep Sonmez</t>
        </is>
      </c>
      <c r="AT273" s="24" t="inlineStr">
        <is>
          <t>Zeynep Sonmez</t>
        </is>
      </c>
      <c r="AU273" s="24" t="inlineStr">
        <is>
          <t>Zeynep Sonmez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73429bd71f12304106b9ffb751bd50617d5109d487f00de7ae2732f60e779590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73429bd71f12304106b9ffb751bd50617d5109d487f00de7ae2732f60e779590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73429bd71f12304106b9ffb751bd50617d5109d487f00de7ae2732f60e779590</t>
        </is>
      </c>
      <c r="BH273" s="24" t="inlineStr">
        <is>
          <t>2026-07-29T17:43:29.985852Z</t>
        </is>
      </c>
      <c r="BI273" s="24" t="inlineStr">
        <is>
          <t>["same_event","same_team_same_day","same_league_same_day"]</t>
        </is>
      </c>
      <c r="BJ273" s="25" t="n"/>
      <c r="BK273" s="26" t="n">
        <v>-186</v>
      </c>
      <c r="BL273" s="27" t="n">
        <v>1.537634</v>
      </c>
      <c r="BM273" s="28" t="n">
        <v>0.65035</v>
      </c>
      <c r="BN273" s="28" t="n"/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</row>
    <row r="274" ht="36" customHeight="1">
      <c r="A274" s="24" t="inlineStr">
        <is>
          <t>2cf5fcb8edff4226</t>
        </is>
      </c>
      <c r="B274" s="24" t="inlineStr">
        <is>
          <t>2026-07-29T17:45:17.438275Z</t>
        </is>
      </c>
      <c r="C274" s="24" t="inlineStr">
        <is>
          <t>2026-07-29T23:00Z</t>
        </is>
      </c>
      <c r="D274" s="24" t="inlineStr">
        <is>
          <t>1067-2026:179455</t>
        </is>
      </c>
      <c r="E274" s="24" t="inlineStr">
        <is>
          <t>TENNIS</t>
        </is>
      </c>
      <c r="F274" s="24" t="inlineStr">
        <is>
          <t>Renata Zarazua</t>
        </is>
      </c>
      <c r="G274" s="24" t="inlineStr">
        <is>
          <t>Tatjana Maria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-150</v>
      </c>
      <c r="M274" s="27" t="n">
        <v>1.666667</v>
      </c>
      <c r="N274" s="28" t="n">
        <v>0.6</v>
      </c>
      <c r="O274" s="28" t="n">
        <v>0.7051770000000001</v>
      </c>
      <c r="P274" s="28" t="n">
        <v>0.05</v>
      </c>
      <c r="Q274" s="28" t="n">
        <v>0.105177</v>
      </c>
      <c r="R274" s="26" t="n">
        <v>73</v>
      </c>
      <c r="S274" s="29" t="n">
        <v>2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/>
      <c r="AA274" s="28" t="n"/>
      <c r="AB274" s="28" t="n"/>
      <c r="AC274" s="30" t="n">
        <v>-2</v>
      </c>
      <c r="AD274" s="24" t="inlineStr">
        <is>
          <t>2026-07-30T04:12:58.807246Z</t>
        </is>
      </c>
      <c r="AE274" s="31" t="inlineStr">
        <is>
          <t>Surface-blended Elo on Hard: Renata Zarazua p=0.295 vs Tatjana Maria. Executable ask 0.6000 (aec-wta-tatmar-renzar-2026-07-29).</t>
        </is>
      </c>
      <c r="AF274" s="31" t="inlineStr">
        <is>
          <t>Research-only surface-blended Elo model; singles only, WTA-only market coverage, not yet locked-holdout qualified.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NO_CALL_MODEL_UNVALIDATED</t>
        </is>
      </c>
      <c r="AP274" s="24" t="inlineStr">
        <is>
          <t>Renata Zarazua</t>
        </is>
      </c>
      <c r="AQ274" s="24" t="inlineStr">
        <is>
          <t>Renata Zarazua</t>
        </is>
      </c>
      <c r="AR274" s="24" t="inlineStr">
        <is>
          <t>Renata Zarazua</t>
        </is>
      </c>
      <c r="AS274" s="24" t="inlineStr">
        <is>
          <t>Tatjana Maria</t>
        </is>
      </c>
      <c r="AT274" s="24" t="inlineStr">
        <is>
          <t>Tatjana Maria</t>
        </is>
      </c>
      <c r="AU274" s="24" t="inlineStr">
        <is>
          <t>Tatjana Maria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73429bd71f12304106b9ffb751bd50617d5109d487f00de7ae2732f60e779590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73429bd71f12304106b9ffb751bd50617d5109d487f00de7ae2732f60e779590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73429bd71f12304106b9ffb751bd50617d5109d487f00de7ae2732f60e779590</t>
        </is>
      </c>
      <c r="BH274" s="24" t="inlineStr">
        <is>
          <t>2026-07-29T17:43:33.953536Z</t>
        </is>
      </c>
      <c r="BI274" s="24" t="inlineStr">
        <is>
          <t>["same_event","same_team_same_day","same_league_same_day"]</t>
        </is>
      </c>
      <c r="BJ274" s="25" t="n"/>
      <c r="BK274" s="26" t="n">
        <v>-150</v>
      </c>
      <c r="BL274" s="27" t="n">
        <v>1.666667</v>
      </c>
      <c r="BM274" s="28" t="n">
        <v>0.6</v>
      </c>
      <c r="BN274" s="28" t="n"/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</row>
    <row r="275" ht="36" customHeight="1">
      <c r="A275" s="24" t="inlineStr">
        <is>
          <t>e9efa0767df14a0e</t>
        </is>
      </c>
      <c r="B275" s="24" t="inlineStr">
        <is>
          <t>2026-07-30T07:22:18.156139Z</t>
        </is>
      </c>
      <c r="C275" s="24" t="inlineStr">
        <is>
          <t>2026-07-30T09:00Z</t>
        </is>
      </c>
      <c r="D275" s="24" t="inlineStr">
        <is>
          <t>1073-2026:179599</t>
        </is>
      </c>
      <c r="E275" s="24" t="inlineStr">
        <is>
          <t>TENNIS</t>
        </is>
      </c>
      <c r="F275" s="24" t="inlineStr">
        <is>
          <t>Mia Ristic</t>
        </is>
      </c>
      <c r="G275" s="24" t="inlineStr">
        <is>
          <t>Yelyzaveta Kotliar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400</v>
      </c>
      <c r="M275" s="27" t="n">
        <v>5</v>
      </c>
      <c r="N275" s="28" t="n">
        <v>0.2</v>
      </c>
      <c r="O275" s="28" t="n">
        <v>0.5190669999999999</v>
      </c>
      <c r="P275" s="28" t="n">
        <v>0.05</v>
      </c>
      <c r="Q275" s="28" t="n">
        <v>0.319067</v>
      </c>
      <c r="R275" s="26" t="n">
        <v>100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loss</t>
        </is>
      </c>
      <c r="W275" s="26" t="n">
        <v>1</v>
      </c>
      <c r="X275" s="26" t="n">
        <v>0</v>
      </c>
      <c r="Y275" s="25" t="n"/>
      <c r="Z275" s="26" t="n"/>
      <c r="AA275" s="28" t="n"/>
      <c r="AB275" s="28" t="n"/>
      <c r="AC275" s="30" t="n">
        <v>-1</v>
      </c>
      <c r="AD275" s="24" t="inlineStr">
        <is>
          <t>2026-07-30T13:30:54.966484Z</t>
        </is>
      </c>
      <c r="AE275" s="31" t="inlineStr">
        <is>
          <t>Surface-blended Elo on Hard: Mia Ristic p=0.481 vs Yelyzaveta Kotliar. Executable ask 0.2000 (aec-wta-yelkot-miaris-2026-07-29).</t>
        </is>
      </c>
      <c r="AF275" s="31" t="inlineStr">
        <is>
          <t>Research-only surface-blended Elo model; singles only, WTA-only market coverage, not yet locked-holdout qualified.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NO_CALL_MODEL_UNVALIDATED</t>
        </is>
      </c>
      <c r="AP275" s="24" t="inlineStr">
        <is>
          <t>Mia Ristic</t>
        </is>
      </c>
      <c r="AQ275" s="24" t="inlineStr">
        <is>
          <t>Mia Ristic</t>
        </is>
      </c>
      <c r="AR275" s="24" t="inlineStr">
        <is>
          <t>Mia Ristic</t>
        </is>
      </c>
      <c r="AS275" s="24" t="inlineStr">
        <is>
          <t>Yelyzaveta Kotliar</t>
        </is>
      </c>
      <c r="AT275" s="24" t="inlineStr">
        <is>
          <t>Yelyzaveta Kotliar</t>
        </is>
      </c>
      <c r="AU275" s="24" t="inlineStr">
        <is>
          <t>Yelyzaveta Kotliar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73429bd71f12304106b9ffb751bd50617d5109d487f00de7ae2732f60e779590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73429bd71f12304106b9ffb751bd50617d5109d487f00de7ae2732f60e779590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73429bd71f12304106b9ffb751bd50617d5109d487f00de7ae2732f60e779590</t>
        </is>
      </c>
      <c r="BH275" s="24" t="inlineStr">
        <is>
          <t>2026-07-30T07:20:24.446685Z</t>
        </is>
      </c>
      <c r="BI275" s="24" t="inlineStr">
        <is>
          <t>["same_event","same_team_same_day","same_league_same_day"]</t>
        </is>
      </c>
      <c r="BJ275" s="25" t="n"/>
      <c r="BK275" s="26" t="n">
        <v>400</v>
      </c>
      <c r="BL275" s="27" t="n">
        <v>5</v>
      </c>
      <c r="BM275" s="28" t="n">
        <v>0.2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</row>
    <row r="276" ht="36" customHeight="1">
      <c r="A276" s="24" t="inlineStr">
        <is>
          <t>1f481c16c7a6423b</t>
        </is>
      </c>
      <c r="B276" s="24" t="inlineStr">
        <is>
          <t>2026-07-30T10:28:05.385402Z</t>
        </is>
      </c>
      <c r="C276" s="24" t="inlineStr">
        <is>
          <t>2026-07-30T10:30Z</t>
        </is>
      </c>
      <c r="D276" s="24" t="inlineStr">
        <is>
          <t>1073-2026:183178</t>
        </is>
      </c>
      <c r="E276" s="24" t="inlineStr">
        <is>
          <t>TENNIS</t>
        </is>
      </c>
      <c r="F276" s="24" t="inlineStr">
        <is>
          <t>Anastasiia Sobolieva</t>
        </is>
      </c>
      <c r="G276" s="24" t="inlineStr">
        <is>
          <t>Laura Samson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-104</v>
      </c>
      <c r="M276" s="27" t="n">
        <v>1.961538</v>
      </c>
      <c r="N276" s="28" t="n">
        <v>0.509804</v>
      </c>
      <c r="O276" s="28" t="n">
        <v>0.6387119999999999</v>
      </c>
      <c r="P276" s="28" t="n">
        <v>0.05</v>
      </c>
      <c r="Q276" s="28" t="n">
        <v>0.128908</v>
      </c>
      <c r="R276" s="26" t="n">
        <v>84</v>
      </c>
      <c r="S276" s="29" t="n">
        <v>1.5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/>
      <c r="AA276" s="28" t="n"/>
      <c r="AB276" s="28" t="n"/>
      <c r="AC276" s="30" t="n">
        <v>1.4423</v>
      </c>
      <c r="AD276" s="24" t="inlineStr">
        <is>
          <t>2026-07-30T13:30:55.251503Z</t>
        </is>
      </c>
      <c r="AE276" s="31" t="inlineStr">
        <is>
          <t>Surface-blended Elo on Hard: Anastasiia Sobolieva p=0.361 vs Laura Samson. Executable ask 0.5100 (aec-wta-lausam-anasob-2026-07-29).</t>
        </is>
      </c>
      <c r="AF276" s="31" t="inlineStr">
        <is>
          <t>Research-only surface-blended Elo model; singles only, WTA-only market coverage, not yet locked-holdout qualified.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research_observation</t>
        </is>
      </c>
      <c r="AL276" s="26" t="n">
        <v>3</v>
      </c>
      <c r="AM276" s="24" t="inlineStr">
        <is>
          <t>RESEARCH_OBSERVATION</t>
        </is>
      </c>
      <c r="AN276" s="24" t="inlineStr">
        <is>
          <t>NO_CALL</t>
        </is>
      </c>
      <c r="AO276" s="24" t="inlineStr">
        <is>
          <t>NO_CALL_MODEL_UNVALIDATED</t>
        </is>
      </c>
      <c r="AP276" s="24" t="inlineStr">
        <is>
          <t>Anastasiia Sobolieva</t>
        </is>
      </c>
      <c r="AQ276" s="24" t="inlineStr">
        <is>
          <t>Anastasiia Sobolieva</t>
        </is>
      </c>
      <c r="AR276" s="24" t="inlineStr">
        <is>
          <t>Anastasiia Sobolieva</t>
        </is>
      </c>
      <c r="AS276" s="24" t="inlineStr">
        <is>
          <t>Laura Samson</t>
        </is>
      </c>
      <c r="AT276" s="24" t="inlineStr">
        <is>
          <t>Laura Samson</t>
        </is>
      </c>
      <c r="AU276" s="24" t="inlineStr">
        <is>
          <t>Laura Samson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73429bd71f12304106b9ffb751bd50617d5109d487f00de7ae2732f60e779590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73429bd71f12304106b9ffb751bd50617d5109d487f00de7ae2732f60e779590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73429bd71f12304106b9ffb751bd50617d5109d487f00de7ae2732f60e779590</t>
        </is>
      </c>
      <c r="BH276" s="24" t="inlineStr">
        <is>
          <t>2026-07-30T10:25:57.623656Z</t>
        </is>
      </c>
      <c r="BI276" s="24" t="inlineStr">
        <is>
          <t>["same_event","same_team_same_day","same_league_same_day"]</t>
        </is>
      </c>
      <c r="BJ276" s="25" t="n"/>
      <c r="BK276" s="26" t="n">
        <v>-104</v>
      </c>
      <c r="BL276" s="27" t="n">
        <v>1.961538</v>
      </c>
      <c r="BM276" s="28" t="n">
        <v>0.509804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</row>
    <row r="277" ht="36" customHeight="1">
      <c r="A277" s="24" t="inlineStr">
        <is>
          <t>e9929ceab6c14c67</t>
        </is>
      </c>
      <c r="B277" s="24" t="inlineStr">
        <is>
          <t>2026-07-30T13:33:53.663155Z</t>
        </is>
      </c>
      <c r="C277" s="24" t="inlineStr">
        <is>
          <t>2026-07-30T16:00Z</t>
        </is>
      </c>
      <c r="D277" s="24" t="inlineStr">
        <is>
          <t>1067-2026:179440</t>
        </is>
      </c>
      <c r="E277" s="24" t="inlineStr">
        <is>
          <t>TENNIS</t>
        </is>
      </c>
      <c r="F277" s="24" t="inlineStr">
        <is>
          <t>Maya Joint</t>
        </is>
      </c>
      <c r="G277" s="24" t="inlineStr">
        <is>
          <t>Kristina Liutova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-150</v>
      </c>
      <c r="M277" s="27" t="n">
        <v>1.666667</v>
      </c>
      <c r="N277" s="28" t="n">
        <v>0.6</v>
      </c>
      <c r="O277" s="28" t="n">
        <v>0.582815</v>
      </c>
      <c r="P277" s="28" t="n">
        <v>0.05</v>
      </c>
      <c r="Q277" s="28" t="n">
        <v>-0.017185</v>
      </c>
      <c r="R277" s="26" t="n">
        <v>11</v>
      </c>
      <c r="S277" s="29" t="n">
        <v>1.25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/>
      <c r="AA277" s="28" t="n"/>
      <c r="AB277" s="28" t="n"/>
      <c r="AC277" s="30" t="n">
        <v>-1.25</v>
      </c>
      <c r="AD277" s="24" t="inlineStr">
        <is>
          <t>2026-07-30T21:06:27.328889Z</t>
        </is>
      </c>
      <c r="AE277" s="31" t="inlineStr">
        <is>
          <t>Surface-blended Elo on Hard: Maya Joint p=0.583 vs Kristina Liutova. Executable ask 0.6000 (aec-wta-kriliu-mayjoi-2026-07-28).</t>
        </is>
      </c>
      <c r="AF277" s="31" t="inlineStr">
        <is>
          <t>Research-only surface-blended Elo model; singles only, WTA-only market coverage, not yet locked-holdout qualified.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NO_CALL_MODEL_UNVALIDATED</t>
        </is>
      </c>
      <c r="AP277" s="24" t="inlineStr">
        <is>
          <t>Maya Joint</t>
        </is>
      </c>
      <c r="AQ277" s="24" t="inlineStr">
        <is>
          <t>Maya Joint</t>
        </is>
      </c>
      <c r="AR277" s="24" t="inlineStr">
        <is>
          <t>Maya Joint</t>
        </is>
      </c>
      <c r="AS277" s="24" t="inlineStr">
        <is>
          <t>Kristina Liutova</t>
        </is>
      </c>
      <c r="AT277" s="24" t="inlineStr">
        <is>
          <t>Kristina Liutova</t>
        </is>
      </c>
      <c r="AU277" s="24" t="inlineStr">
        <is>
          <t>Kristina Liutova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73429bd71f12304106b9ffb751bd50617d5109d487f00de7ae2732f60e779590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73429bd71f12304106b9ffb751bd50617d5109d487f00de7ae2732f60e779590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73429bd71f12304106b9ffb751bd50617d5109d487f00de7ae2732f60e779590</t>
        </is>
      </c>
      <c r="BH277" s="24" t="inlineStr">
        <is>
          <t>2026-07-30T13:31:49.488352Z</t>
        </is>
      </c>
      <c r="BI277" s="24" t="inlineStr">
        <is>
          <t>["same_event","same_team_same_day","same_league_same_day"]</t>
        </is>
      </c>
      <c r="BJ277" s="25" t="n"/>
      <c r="BK277" s="26" t="n">
        <v>-150</v>
      </c>
      <c r="BL277" s="27" t="n">
        <v>1.666667</v>
      </c>
      <c r="BM277" s="28" t="n">
        <v>0.6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</row>
    <row r="278" ht="36" customHeight="1">
      <c r="A278" s="24" t="inlineStr">
        <is>
          <t>ac191e99e8dd4155</t>
        </is>
      </c>
      <c r="B278" s="24" t="inlineStr">
        <is>
          <t>2026-07-30T13:33:53.663155Z</t>
        </is>
      </c>
      <c r="C278" s="24" t="inlineStr">
        <is>
          <t>2026-07-30T14:00Z</t>
        </is>
      </c>
      <c r="D278" s="24" t="inlineStr">
        <is>
          <t>1073-2026:179601</t>
        </is>
      </c>
      <c r="E278" s="24" t="inlineStr">
        <is>
          <t>TENNIS</t>
        </is>
      </c>
      <c r="F278" s="24" t="inlineStr">
        <is>
          <t>Lucia Bronzetti</t>
        </is>
      </c>
      <c r="G278" s="24" t="inlineStr">
        <is>
          <t>Alevtina Ibragimova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-186</v>
      </c>
      <c r="M278" s="27" t="n">
        <v>1.537634</v>
      </c>
      <c r="N278" s="28" t="n">
        <v>0.65035</v>
      </c>
      <c r="O278" s="28" t="n">
        <v>0.579964</v>
      </c>
      <c r="P278" s="28" t="n">
        <v>0.05</v>
      </c>
      <c r="Q278" s="28" t="n">
        <v>-0.070386</v>
      </c>
      <c r="R278" s="26" t="n">
        <v>0</v>
      </c>
      <c r="S278" s="29" t="n">
        <v>1.25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0</v>
      </c>
      <c r="Y278" s="25" t="n"/>
      <c r="Z278" s="26" t="n"/>
      <c r="AA278" s="28" t="n"/>
      <c r="AB278" s="28" t="n"/>
      <c r="AC278" s="30" t="n">
        <v>0.672</v>
      </c>
      <c r="AD278" s="24" t="inlineStr">
        <is>
          <t>2026-07-30T16:36:51.092247Z</t>
        </is>
      </c>
      <c r="AE278" s="31" t="inlineStr">
        <is>
          <t>Surface-blended Elo on Hard: Lucia Bronzetti p=0.580 vs Alevtina Ibragimova. Executable ask 0.6500 (aec-wta-aleibr-lucbro-2026-07-29).</t>
        </is>
      </c>
      <c r="AF278" s="31" t="inlineStr">
        <is>
          <t>Research-only surface-blended Elo model; singles only, WTA-only market coverage, not yet locked-holdout qualified.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NO_CALL_MODEL_UNVALIDATED</t>
        </is>
      </c>
      <c r="AP278" s="24" t="inlineStr">
        <is>
          <t>Lucia Bronzetti</t>
        </is>
      </c>
      <c r="AQ278" s="24" t="inlineStr">
        <is>
          <t>Lucia Bronzetti</t>
        </is>
      </c>
      <c r="AR278" s="24" t="inlineStr">
        <is>
          <t>Lucia Bronzetti</t>
        </is>
      </c>
      <c r="AS278" s="24" t="inlineStr">
        <is>
          <t>Alevtina Ibragimova</t>
        </is>
      </c>
      <c r="AT278" s="24" t="inlineStr">
        <is>
          <t>Alevtina Ibragimova</t>
        </is>
      </c>
      <c r="AU278" s="24" t="inlineStr">
        <is>
          <t>Alevtina Ibragimova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73429bd71f12304106b9ffb751bd50617d5109d487f00de7ae2732f60e779590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73429bd71f12304106b9ffb751bd50617d5109d487f00de7ae2732f60e779590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73429bd71f12304106b9ffb751bd50617d5109d487f00de7ae2732f60e779590</t>
        </is>
      </c>
      <c r="BH278" s="24" t="inlineStr">
        <is>
          <t>2026-07-30T13:31:49.448060Z</t>
        </is>
      </c>
      <c r="BI278" s="24" t="inlineStr">
        <is>
          <t>["same_event","same_team_same_day","same_league_same_day"]</t>
        </is>
      </c>
      <c r="BJ278" s="25" t="n"/>
      <c r="BK278" s="26" t="n">
        <v>-186</v>
      </c>
      <c r="BL278" s="27" t="n">
        <v>1.537634</v>
      </c>
      <c r="BM278" s="28" t="n">
        <v>0.65035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</row>
    <row r="279" ht="36" customHeight="1">
      <c r="A279" s="24" t="inlineStr">
        <is>
          <t>6d53fafea44848d1</t>
        </is>
      </c>
      <c r="B279" s="24" t="inlineStr">
        <is>
          <t>2026-07-30T16:53:01.133141Z</t>
        </is>
      </c>
      <c r="C279" s="24" t="inlineStr">
        <is>
          <t>2026-07-30T17:00Z</t>
        </is>
      </c>
      <c r="D279" s="24" t="inlineStr">
        <is>
          <t>888-2026:179021</t>
        </is>
      </c>
      <c r="E279" s="24" t="inlineStr">
        <is>
          <t>TENNIS</t>
        </is>
      </c>
      <c r="F279" s="24" t="inlineStr">
        <is>
          <t>Anna Kalinskaya</t>
        </is>
      </c>
      <c r="G279" s="24" t="inlineStr">
        <is>
          <t>Janice Tjen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-257</v>
      </c>
      <c r="M279" s="27" t="n">
        <v>1.389105</v>
      </c>
      <c r="N279" s="28" t="n">
        <v>0.719888</v>
      </c>
      <c r="O279" s="28" t="n">
        <v>0.711749</v>
      </c>
      <c r="P279" s="28" t="n">
        <v>0.05</v>
      </c>
      <c r="Q279" s="28" t="n">
        <v>-0.008139</v>
      </c>
      <c r="R279" s="26" t="n">
        <v>16</v>
      </c>
      <c r="S279" s="29" t="n">
        <v>2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1</v>
      </c>
      <c r="X279" s="26" t="n">
        <v>0</v>
      </c>
      <c r="Y279" s="25" t="n"/>
      <c r="Z279" s="26" t="n"/>
      <c r="AA279" s="28" t="n"/>
      <c r="AB279" s="28" t="n"/>
      <c r="AC279" s="30" t="n">
        <v>0.7782</v>
      </c>
      <c r="AD279" s="24" t="inlineStr">
        <is>
          <t>2026-07-30T21:06:27.521597Z</t>
        </is>
      </c>
      <c r="AE279" s="31" t="inlineStr">
        <is>
          <t>Surface-blended Elo on Hard: Anna Kalinskaya p=0.712 vs Janice Tjen. Executable ask 0.7200 (aec-wta-jantje-annkal-2026-07-29).</t>
        </is>
      </c>
      <c r="AF279" s="31" t="inlineStr">
        <is>
          <t>Research-only surface-blended Elo model; singles only, WTA-only market coverage, not yet locked-holdout qualified.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NO_CALL_MODEL_UNVALIDATED</t>
        </is>
      </c>
      <c r="AP279" s="24" t="inlineStr">
        <is>
          <t>Anna Kalinskaya</t>
        </is>
      </c>
      <c r="AQ279" s="24" t="inlineStr">
        <is>
          <t>Anna Kalinskaya</t>
        </is>
      </c>
      <c r="AR279" s="24" t="inlineStr">
        <is>
          <t>Anna Kalinskaya</t>
        </is>
      </c>
      <c r="AS279" s="24" t="inlineStr">
        <is>
          <t>Janice Tjen</t>
        </is>
      </c>
      <c r="AT279" s="24" t="inlineStr">
        <is>
          <t>Janice Tjen</t>
        </is>
      </c>
      <c r="AU279" s="24" t="inlineStr">
        <is>
          <t>Janice Tjen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73429bd71f12304106b9ffb751bd50617d5109d487f00de7ae2732f60e779590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73429bd71f12304106b9ffb751bd50617d5109d487f00de7ae2732f60e779590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73429bd71f12304106b9ffb751bd50617d5109d487f00de7ae2732f60e779590</t>
        </is>
      </c>
      <c r="BH279" s="24" t="inlineStr">
        <is>
          <t>2026-07-30T16:50:51.570342Z</t>
        </is>
      </c>
      <c r="BI279" s="24" t="inlineStr">
        <is>
          <t>["same_event","same_team_same_day","same_league_same_day"]</t>
        </is>
      </c>
      <c r="BJ279" s="25" t="n"/>
      <c r="BK279" s="26" t="n">
        <v>-257</v>
      </c>
      <c r="BL279" s="27" t="n">
        <v>1.389105</v>
      </c>
      <c r="BM279" s="28" t="n">
        <v>0.719888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</row>
    <row r="280" ht="36" customHeight="1">
      <c r="A280" s="24" t="inlineStr">
        <is>
          <t>7c0cf703c2d9484e</t>
        </is>
      </c>
      <c r="B280" s="24" t="inlineStr">
        <is>
          <t>2026-07-30T17:37:43.528029Z</t>
        </is>
      </c>
      <c r="C280" s="24" t="inlineStr">
        <is>
          <t>2026-07-30T18:30Z</t>
        </is>
      </c>
      <c r="D280" s="24" t="inlineStr">
        <is>
          <t>875-2026:179558</t>
        </is>
      </c>
      <c r="E280" s="24" t="inlineStr">
        <is>
          <t>TENNIS</t>
        </is>
      </c>
      <c r="F280" s="24" t="inlineStr">
        <is>
          <t>Himeno Sakatsume</t>
        </is>
      </c>
      <c r="G280" s="24" t="inlineStr">
        <is>
          <t>Mai Hontama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113</v>
      </c>
      <c r="M280" s="27" t="n">
        <v>2.13</v>
      </c>
      <c r="N280" s="28" t="n">
        <v>0.469484</v>
      </c>
      <c r="O280" s="28" t="n">
        <v>0.5652740000000001</v>
      </c>
      <c r="P280" s="28" t="n">
        <v>0.05</v>
      </c>
      <c r="Q280" s="28" t="n">
        <v>0.09579</v>
      </c>
      <c r="R280" s="26" t="n">
        <v>68</v>
      </c>
      <c r="S280" s="29" t="n">
        <v>1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1</v>
      </c>
      <c r="Y280" s="25" t="n"/>
      <c r="Z280" s="26" t="n"/>
      <c r="AA280" s="28" t="n"/>
      <c r="AB280" s="28" t="n"/>
      <c r="AC280" s="30" t="n">
        <v>-1</v>
      </c>
      <c r="AD280" s="24" t="inlineStr">
        <is>
          <t>2026-07-30T21:06:27.713325Z</t>
        </is>
      </c>
      <c r="AE280" s="31" t="inlineStr">
        <is>
          <t>Surface-blended Elo on Hard: Himeno Sakatsume p=0.565 vs Mai Hontama. Executable ask 0.4700 (aec-wta-maihon-himsak-2026-07-31).</t>
        </is>
      </c>
      <c r="AF280" s="31" t="inlineStr">
        <is>
          <t>Research-only surface-blended Elo model; singles only, WTA-only market coverage, not yet locked-holdout qualified.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NO_CALL_MODEL_UNVALIDATED</t>
        </is>
      </c>
      <c r="AP280" s="24" t="inlineStr">
        <is>
          <t>Himeno Sakatsume</t>
        </is>
      </c>
      <c r="AQ280" s="24" t="inlineStr">
        <is>
          <t>Himeno Sakatsume</t>
        </is>
      </c>
      <c r="AR280" s="24" t="inlineStr">
        <is>
          <t>Himeno Sakatsume</t>
        </is>
      </c>
      <c r="AS280" s="24" t="inlineStr">
        <is>
          <t>Mai Hontama</t>
        </is>
      </c>
      <c r="AT280" s="24" t="inlineStr">
        <is>
          <t>Mai Hontama</t>
        </is>
      </c>
      <c r="AU280" s="24" t="inlineStr">
        <is>
          <t>Mai Hontama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73429bd71f12304106b9ffb751bd50617d5109d487f00de7ae2732f60e779590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73429bd71f12304106b9ffb751bd50617d5109d487f00de7ae2732f60e779590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73429bd71f12304106b9ffb751bd50617d5109d487f00de7ae2732f60e779590</t>
        </is>
      </c>
      <c r="BH280" s="24" t="inlineStr">
        <is>
          <t>2026-07-30T17:35:52.310964Z</t>
        </is>
      </c>
      <c r="BI280" s="24" t="inlineStr">
        <is>
          <t>["same_event","same_team_same_day","same_league_same_day"]</t>
        </is>
      </c>
      <c r="BJ280" s="25" t="n"/>
      <c r="BK280" s="26" t="n">
        <v>113</v>
      </c>
      <c r="BL280" s="27" t="n">
        <v>2.13</v>
      </c>
      <c r="BM280" s="28" t="n">
        <v>0.469484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</row>
    <row r="281" ht="36" customHeight="1">
      <c r="A281" s="24" t="inlineStr">
        <is>
          <t>f437f6de19cd4aed</t>
        </is>
      </c>
      <c r="B281" s="24" t="inlineStr">
        <is>
          <t>2026-07-30T17:37:43.528029Z</t>
        </is>
      </c>
      <c r="C281" s="24" t="inlineStr">
        <is>
          <t>2026-07-30T18:30Z</t>
        </is>
      </c>
      <c r="D281" s="24" t="inlineStr">
        <is>
          <t>875-2026:179559</t>
        </is>
      </c>
      <c r="E281" s="24" t="inlineStr">
        <is>
          <t>TENNIS</t>
        </is>
      </c>
      <c r="F281" s="24" t="inlineStr">
        <is>
          <t>Maddison Inglis</t>
        </is>
      </c>
      <c r="G281" s="24" t="inlineStr">
        <is>
          <t>Moyuka Uchijima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-138</v>
      </c>
      <c r="M281" s="27" t="n">
        <v>1.724638</v>
      </c>
      <c r="N281" s="28" t="n">
        <v>0.579832</v>
      </c>
      <c r="O281" s="28" t="n">
        <v>0.555657</v>
      </c>
      <c r="P281" s="28" t="n">
        <v>0.05</v>
      </c>
      <c r="Q281" s="28" t="n">
        <v>-0.024175</v>
      </c>
      <c r="R281" s="26" t="n">
        <v>8</v>
      </c>
      <c r="S281" s="29" t="n">
        <v>1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loss</t>
        </is>
      </c>
      <c r="W281" s="26" t="n">
        <v>1</v>
      </c>
      <c r="X281" s="26" t="n">
        <v>0</v>
      </c>
      <c r="Y281" s="25" t="n"/>
      <c r="Z281" s="26" t="n"/>
      <c r="AA281" s="28" t="n"/>
      <c r="AB281" s="28" t="n"/>
      <c r="AC281" s="30" t="n">
        <v>-1</v>
      </c>
      <c r="AD281" s="24" t="inlineStr">
        <is>
          <t>2026-07-30T21:06:27.904521Z</t>
        </is>
      </c>
      <c r="AE281" s="31" t="inlineStr">
        <is>
          <t>Surface-blended Elo on Hard: Maddison Inglis p=0.444 vs Moyuka Uchijima. Executable ask 0.5800 (aec-wta-moyuch-mading-2026-07-30).</t>
        </is>
      </c>
      <c r="AF281" s="31" t="inlineStr">
        <is>
          <t>Research-only surface-blended Elo model; singles only, WTA-only market coverage, not yet locked-holdout qualified.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NO_CALL_MODEL_UNVALIDATED</t>
        </is>
      </c>
      <c r="AP281" s="24" t="inlineStr">
        <is>
          <t>Maddison Inglis</t>
        </is>
      </c>
      <c r="AQ281" s="24" t="inlineStr">
        <is>
          <t>Maddison Inglis</t>
        </is>
      </c>
      <c r="AR281" s="24" t="inlineStr">
        <is>
          <t>Maddison Inglis</t>
        </is>
      </c>
      <c r="AS281" s="24" t="inlineStr">
        <is>
          <t>Moyuka Uchijima</t>
        </is>
      </c>
      <c r="AT281" s="24" t="inlineStr">
        <is>
          <t>Moyuka Uchijima</t>
        </is>
      </c>
      <c r="AU281" s="24" t="inlineStr">
        <is>
          <t>Moyuka Uchijima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73429bd71f12304106b9ffb751bd50617d5109d487f00de7ae2732f60e779590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73429bd71f12304106b9ffb751bd50617d5109d487f00de7ae2732f60e779590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73429bd71f12304106b9ffb751bd50617d5109d487f00de7ae2732f60e779590</t>
        </is>
      </c>
      <c r="BH281" s="24" t="inlineStr">
        <is>
          <t>2026-07-30T17:35:52.319608Z</t>
        </is>
      </c>
      <c r="BI281" s="24" t="inlineStr">
        <is>
          <t>["same_event","same_team_same_day","same_league_same_day"]</t>
        </is>
      </c>
      <c r="BJ281" s="25" t="n"/>
      <c r="BK281" s="26" t="n">
        <v>-138</v>
      </c>
      <c r="BL281" s="27" t="n">
        <v>1.724638</v>
      </c>
      <c r="BM281" s="28" t="n">
        <v>0.579832</v>
      </c>
      <c r="BN281" s="28" t="n"/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</row>
    <row r="282" ht="36" customHeight="1">
      <c r="A282" s="24" t="inlineStr">
        <is>
          <t>c7d10b6b4dac4a9a</t>
        </is>
      </c>
      <c r="B282" s="24" t="inlineStr">
        <is>
          <t>2026-07-30T17:37:43.528029Z</t>
        </is>
      </c>
      <c r="C282" s="24" t="inlineStr">
        <is>
          <t>2026-07-30T19:30Z</t>
        </is>
      </c>
      <c r="D282" s="24" t="inlineStr">
        <is>
          <t>875-2026:179557</t>
        </is>
      </c>
      <c r="E282" s="24" t="inlineStr">
        <is>
          <t>TENNIS</t>
        </is>
      </c>
      <c r="F282" s="24" t="inlineStr">
        <is>
          <t>Taylah Preston</t>
        </is>
      </c>
      <c r="G282" s="24" t="inlineStr">
        <is>
          <t>Harriet Dart</t>
        </is>
      </c>
      <c r="H282" s="24" t="inlineStr">
        <is>
          <t>moneyline</t>
        </is>
      </c>
      <c r="I282" s="24" t="inlineStr">
        <is>
          <t>away</t>
        </is>
      </c>
      <c r="J282" s="25" t="n"/>
      <c r="K282" s="24" t="inlineStr">
        <is>
          <t>polymarket_us</t>
        </is>
      </c>
      <c r="L282" s="26" t="n">
        <v>-117</v>
      </c>
      <c r="M282" s="27" t="n">
        <v>1.854701</v>
      </c>
      <c r="N282" s="28" t="n">
        <v>0.539171</v>
      </c>
      <c r="O282" s="28" t="n">
        <v>0.532721</v>
      </c>
      <c r="P282" s="28" t="n">
        <v>0.05</v>
      </c>
      <c r="Q282" s="28" t="n">
        <v>-0.00645</v>
      </c>
      <c r="R282" s="26" t="n">
        <v>17</v>
      </c>
      <c r="S282" s="29" t="n">
        <v>1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win</t>
        </is>
      </c>
      <c r="W282" s="26" t="n">
        <v>1</v>
      </c>
      <c r="X282" s="26" t="n">
        <v>0</v>
      </c>
      <c r="Y282" s="25" t="n"/>
      <c r="Z282" s="26" t="n"/>
      <c r="AA282" s="28" t="n"/>
      <c r="AB282" s="28" t="n"/>
      <c r="AC282" s="30" t="n">
        <v>0.8547</v>
      </c>
      <c r="AD282" s="24" t="inlineStr">
        <is>
          <t>2026-07-31T00:55:25.037636Z</t>
        </is>
      </c>
      <c r="AE282" s="31" t="inlineStr">
        <is>
          <t>Surface-blended Elo on Hard: Taylah Preston p=0.533 vs Harriet Dart. Executable ask 0.5400 (aec-wta-hardar-taypre-2026-07-31).</t>
        </is>
      </c>
      <c r="AF282" s="31" t="inlineStr">
        <is>
          <t>Research-only surface-blended Elo model; singles only, WTA-only market coverage, not yet locked-holdout qualified.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NO_CALL_MODEL_UNVALIDATED</t>
        </is>
      </c>
      <c r="AP282" s="24" t="inlineStr">
        <is>
          <t>Taylah Preston</t>
        </is>
      </c>
      <c r="AQ282" s="24" t="inlineStr">
        <is>
          <t>Taylah Preston</t>
        </is>
      </c>
      <c r="AR282" s="24" t="inlineStr">
        <is>
          <t>Taylah Preston</t>
        </is>
      </c>
      <c r="AS282" s="24" t="inlineStr">
        <is>
          <t>Harriet Dart</t>
        </is>
      </c>
      <c r="AT282" s="24" t="inlineStr">
        <is>
          <t>Harriet Dart</t>
        </is>
      </c>
      <c r="AU282" s="24" t="inlineStr">
        <is>
          <t>Harriet Dart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73429bd71f12304106b9ffb751bd50617d5109d487f00de7ae2732f60e779590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73429bd71f12304106b9ffb751bd50617d5109d487f00de7ae2732f60e779590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73429bd71f12304106b9ffb751bd50617d5109d487f00de7ae2732f60e779590</t>
        </is>
      </c>
      <c r="BH282" s="24" t="inlineStr">
        <is>
          <t>2026-07-30T17:35:56.111877Z</t>
        </is>
      </c>
      <c r="BI282" s="24" t="inlineStr">
        <is>
          <t>["same_event","same_team_same_day","same_league_same_day"]</t>
        </is>
      </c>
      <c r="BJ282" s="25" t="n"/>
      <c r="BK282" s="26" t="n">
        <v>-117</v>
      </c>
      <c r="BL282" s="27" t="n">
        <v>1.854701</v>
      </c>
      <c r="BM282" s="28" t="n">
        <v>0.539171</v>
      </c>
      <c r="BN282" s="28" t="n"/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</row>
    <row r="283" ht="36" customHeight="1">
      <c r="A283" s="24" t="inlineStr">
        <is>
          <t>c5ea892809844fc3</t>
        </is>
      </c>
      <c r="B283" s="24" t="inlineStr">
        <is>
          <t>2026-07-30T17:37:43.528029Z</t>
        </is>
      </c>
      <c r="C283" s="24" t="inlineStr">
        <is>
          <t>2026-07-30T19:00Z</t>
        </is>
      </c>
      <c r="D283" s="24" t="inlineStr">
        <is>
          <t>888-2026:179023</t>
        </is>
      </c>
      <c r="E283" s="24" t="inlineStr">
        <is>
          <t>TENNIS</t>
        </is>
      </c>
      <c r="F283" s="24" t="inlineStr">
        <is>
          <t>Magdalena Frech</t>
        </is>
      </c>
      <c r="G283" s="24" t="inlineStr">
        <is>
          <t>Jessica Pegula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-900</v>
      </c>
      <c r="M283" s="27" t="n">
        <v>1.111111</v>
      </c>
      <c r="N283" s="28" t="n">
        <v>0.9</v>
      </c>
      <c r="O283" s="28" t="n">
        <v>0.9137729999999999</v>
      </c>
      <c r="P283" s="28" t="n">
        <v>0.05</v>
      </c>
      <c r="Q283" s="28" t="n">
        <v>0.013773</v>
      </c>
      <c r="R283" s="26" t="n">
        <v>27</v>
      </c>
      <c r="S283" s="29" t="n">
        <v>2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/>
      <c r="AA283" s="28" t="n"/>
      <c r="AB283" s="28" t="n"/>
      <c r="AC283" s="30" t="n">
        <v>0.2222</v>
      </c>
      <c r="AD283" s="24" t="inlineStr">
        <is>
          <t>2026-07-31T00:55:25.228126Z</t>
        </is>
      </c>
      <c r="AE283" s="31" t="inlineStr">
        <is>
          <t>Surface-blended Elo on Hard: Magdalena Frech p=0.086 vs Jessica Pegula. Executable ask 0.9000 (aec-wta-jespeg-magfre-2026-07-30).</t>
        </is>
      </c>
      <c r="AF283" s="31" t="inlineStr">
        <is>
          <t>Research-only surface-blended Elo model; singles only, WTA-only market coverage, not yet locked-holdout qualified.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NO_CALL_MODEL_UNVALIDATED</t>
        </is>
      </c>
      <c r="AP283" s="24" t="inlineStr">
        <is>
          <t>Magdalena Frech</t>
        </is>
      </c>
      <c r="AQ283" s="24" t="inlineStr">
        <is>
          <t>Magdalena Frech</t>
        </is>
      </c>
      <c r="AR283" s="24" t="inlineStr">
        <is>
          <t>Magdalena Frech</t>
        </is>
      </c>
      <c r="AS283" s="24" t="inlineStr">
        <is>
          <t>Jessica Pegula</t>
        </is>
      </c>
      <c r="AT283" s="24" t="inlineStr">
        <is>
          <t>Jessica Pegula</t>
        </is>
      </c>
      <c r="AU283" s="24" t="inlineStr">
        <is>
          <t>Jessica Pegula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73429bd71f12304106b9ffb751bd50617d5109d487f00de7ae2732f60e779590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73429bd71f12304106b9ffb751bd50617d5109d487f00de7ae2732f60e779590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73429bd71f12304106b9ffb751bd50617d5109d487f00de7ae2732f60e779590</t>
        </is>
      </c>
      <c r="BH283" s="24" t="inlineStr">
        <is>
          <t>2026-07-30T17:35:52.888748Z</t>
        </is>
      </c>
      <c r="BI283" s="24" t="inlineStr">
        <is>
          <t>["same_event","same_team_same_day","same_league_same_day"]</t>
        </is>
      </c>
      <c r="BJ283" s="25" t="n"/>
      <c r="BK283" s="26" t="n">
        <v>-900</v>
      </c>
      <c r="BL283" s="27" t="n">
        <v>1.111111</v>
      </c>
      <c r="BM283" s="28" t="n">
        <v>0.9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</row>
    <row r="284" ht="36" customHeight="1">
      <c r="A284" s="24" t="inlineStr">
        <is>
          <t>f0a46e785b174dc0</t>
        </is>
      </c>
      <c r="B284" s="24" t="inlineStr">
        <is>
          <t>2026-07-30T17:37:43.528029Z</t>
        </is>
      </c>
      <c r="C284" s="24" t="inlineStr">
        <is>
          <t>2026-07-30T19:15Z</t>
        </is>
      </c>
      <c r="D284" s="24" t="inlineStr">
        <is>
          <t>1067-2026:179464</t>
        </is>
      </c>
      <c r="E284" s="24" t="inlineStr">
        <is>
          <t>TENNIS</t>
        </is>
      </c>
      <c r="F284" s="24" t="inlineStr">
        <is>
          <t>Peyton Stearns</t>
        </is>
      </c>
      <c r="G284" s="24" t="inlineStr">
        <is>
          <t>Tatiana Prozorova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-163</v>
      </c>
      <c r="M284" s="27" t="n">
        <v>1.613497</v>
      </c>
      <c r="N284" s="28" t="n">
        <v>0.619772</v>
      </c>
      <c r="O284" s="28" t="n">
        <v>0.519871</v>
      </c>
      <c r="P284" s="28" t="n">
        <v>0.05</v>
      </c>
      <c r="Q284" s="28" t="n">
        <v>-0.099901</v>
      </c>
      <c r="R284" s="26" t="n">
        <v>0</v>
      </c>
      <c r="S284" s="29" t="n">
        <v>1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win</t>
        </is>
      </c>
      <c r="W284" s="26" t="n">
        <v>1</v>
      </c>
      <c r="X284" s="26" t="n">
        <v>0</v>
      </c>
      <c r="Y284" s="25" t="n"/>
      <c r="Z284" s="26" t="n"/>
      <c r="AA284" s="28" t="n"/>
      <c r="AB284" s="28" t="n"/>
      <c r="AC284" s="30" t="n">
        <v>0.6135</v>
      </c>
      <c r="AD284" s="24" t="inlineStr">
        <is>
          <t>2026-07-31T00:55:25.417496Z</t>
        </is>
      </c>
      <c r="AE284" s="31" t="inlineStr">
        <is>
          <t>Surface-blended Elo on Hard: Peyton Stearns p=0.520 vs Tatiana Prozorova. Executable ask 0.6200 (aec-wta-tatpro-peyste-2026-07-30).</t>
        </is>
      </c>
      <c r="AF284" s="31" t="inlineStr">
        <is>
          <t>Research-only surface-blended Elo model; singles only, WTA-only market coverage, not yet locked-holdout qualified.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research_observation</t>
        </is>
      </c>
      <c r="AL284" s="26" t="n">
        <v>3</v>
      </c>
      <c r="AM284" s="24" t="inlineStr">
        <is>
          <t>RESEARCH_OBSERVATION</t>
        </is>
      </c>
      <c r="AN284" s="24" t="inlineStr">
        <is>
          <t>NO_CALL</t>
        </is>
      </c>
      <c r="AO284" s="24" t="inlineStr">
        <is>
          <t>NO_CALL_MODEL_UNVALIDATED</t>
        </is>
      </c>
      <c r="AP284" s="24" t="inlineStr">
        <is>
          <t>Peyton Stearns</t>
        </is>
      </c>
      <c r="AQ284" s="24" t="inlineStr">
        <is>
          <t>Peyton Stearns</t>
        </is>
      </c>
      <c r="AR284" s="24" t="inlineStr">
        <is>
          <t>Peyton Stearns</t>
        </is>
      </c>
      <c r="AS284" s="24" t="inlineStr">
        <is>
          <t>Tatiana Prozorova</t>
        </is>
      </c>
      <c r="AT284" s="24" t="inlineStr">
        <is>
          <t>Tatiana Prozorova</t>
        </is>
      </c>
      <c r="AU284" s="24" t="inlineStr">
        <is>
          <t>Tatiana Prozorova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research</t>
        </is>
      </c>
      <c r="BA284" s="24" t="inlineStr">
        <is>
          <t>73429bd71f12304106b9ffb751bd50617d5109d487f00de7ae2732f60e779590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73429bd71f12304106b9ffb751bd50617d5109d487f00de7ae2732f60e779590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73429bd71f12304106b9ffb751bd50617d5109d487f00de7ae2732f60e779590</t>
        </is>
      </c>
      <c r="BH284" s="24" t="inlineStr">
        <is>
          <t>2026-07-30T17:35:55.334191Z</t>
        </is>
      </c>
      <c r="BI284" s="24" t="inlineStr">
        <is>
          <t>["same_event","same_team_same_day","same_league_same_day"]</t>
        </is>
      </c>
      <c r="BJ284" s="25" t="n"/>
      <c r="BK284" s="26" t="n">
        <v>-163</v>
      </c>
      <c r="BL284" s="27" t="n">
        <v>1.613497</v>
      </c>
      <c r="BM284" s="28" t="n">
        <v>0.619772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</row>
    <row r="285" ht="36" customHeight="1">
      <c r="A285" s="24" t="inlineStr">
        <is>
          <t>3163b0526e8c4451</t>
        </is>
      </c>
      <c r="B285" s="24" t="inlineStr">
        <is>
          <t>2026-07-30T21:08:44.901049Z</t>
        </is>
      </c>
      <c r="C285" s="24" t="inlineStr">
        <is>
          <t>2026-07-31T00:00Z</t>
        </is>
      </c>
      <c r="D285" s="24" t="inlineStr">
        <is>
          <t>888-2026:179008</t>
        </is>
      </c>
      <c r="E285" s="24" t="inlineStr">
        <is>
          <t>TENNIS</t>
        </is>
      </c>
      <c r="F285" s="24" t="inlineStr">
        <is>
          <t>Elina Svitolina</t>
        </is>
      </c>
      <c r="G285" s="24" t="inlineStr">
        <is>
          <t>Polina Kudermetova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-488</v>
      </c>
      <c r="M285" s="27" t="n">
        <v>1.204918</v>
      </c>
      <c r="N285" s="28" t="n">
        <v>0.829932</v>
      </c>
      <c r="O285" s="28" t="n">
        <v>0.7868270000000001</v>
      </c>
      <c r="P285" s="28" t="n">
        <v>0.05</v>
      </c>
      <c r="Q285" s="28" t="n">
        <v>-0.043105</v>
      </c>
      <c r="R285" s="26" t="n">
        <v>0</v>
      </c>
      <c r="S285" s="29" t="n">
        <v>2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win</t>
        </is>
      </c>
      <c r="W285" s="26" t="n">
        <v>1</v>
      </c>
      <c r="X285" s="26" t="n">
        <v>0</v>
      </c>
      <c r="Y285" s="25" t="n"/>
      <c r="Z285" s="26" t="n"/>
      <c r="AA285" s="28" t="n"/>
      <c r="AB285" s="28" t="n"/>
      <c r="AC285" s="30" t="n">
        <v>0.4098</v>
      </c>
      <c r="AD285" s="24" t="inlineStr">
        <is>
          <t>2026-07-31T04:29:41.497334Z</t>
        </is>
      </c>
      <c r="AE285" s="31" t="inlineStr">
        <is>
          <t>Surface-blended Elo on Hard: Elina Svitolina p=0.787 vs Polina Kudermetova. Executable ask 0.8300 (aec-wta-polkud-elisvi-2026-07-29).</t>
        </is>
      </c>
      <c r="AF285" s="31" t="inlineStr">
        <is>
          <t>Research-only surface-blended Elo model; singles only, WTA-only market coverage, not yet locked-holdout qualified.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NO_CALL_MODEL_UNVALIDATED</t>
        </is>
      </c>
      <c r="AP285" s="24" t="inlineStr">
        <is>
          <t>Elina Svitolina</t>
        </is>
      </c>
      <c r="AQ285" s="24" t="inlineStr">
        <is>
          <t>Elina Svitolina</t>
        </is>
      </c>
      <c r="AR285" s="24" t="inlineStr">
        <is>
          <t>Elina Svitolina</t>
        </is>
      </c>
      <c r="AS285" s="24" t="inlineStr">
        <is>
          <t>Polina Kudermetova</t>
        </is>
      </c>
      <c r="AT285" s="24" t="inlineStr">
        <is>
          <t>Polina Kudermetova</t>
        </is>
      </c>
      <c r="AU285" s="24" t="inlineStr">
        <is>
          <t>Polina Kudermetova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research</t>
        </is>
      </c>
      <c r="BA285" s="24" t="inlineStr">
        <is>
          <t>73429bd71f12304106b9ffb751bd50617d5109d487f00de7ae2732f60e779590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73429bd71f12304106b9ffb751bd50617d5109d487f00de7ae2732f60e779590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73429bd71f12304106b9ffb751bd50617d5109d487f00de7ae2732f60e779590</t>
        </is>
      </c>
      <c r="BH285" s="24" t="inlineStr">
        <is>
          <t>2026-07-30T21:07:30.038443Z</t>
        </is>
      </c>
      <c r="BI285" s="24" t="inlineStr">
        <is>
          <t>["same_event","same_team_same_day","same_league_same_day"]</t>
        </is>
      </c>
      <c r="BJ285" s="25" t="n"/>
      <c r="BK285" s="26" t="n">
        <v>-488</v>
      </c>
      <c r="BL285" s="27" t="n">
        <v>1.204918</v>
      </c>
      <c r="BM285" s="28" t="n">
        <v>0.829932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</row>
    <row r="286" ht="36" customHeight="1">
      <c r="A286" s="24" t="inlineStr">
        <is>
          <t>b4dca212b13d4b27</t>
        </is>
      </c>
      <c r="B286" s="24" t="inlineStr">
        <is>
          <t>2026-07-30T21:08:44.901049Z</t>
        </is>
      </c>
      <c r="C286" s="24" t="inlineStr">
        <is>
          <t>2026-07-30T23:00Z</t>
        </is>
      </c>
      <c r="D286" s="24" t="inlineStr">
        <is>
          <t>1067-2026:179463</t>
        </is>
      </c>
      <c r="E286" s="24" t="inlineStr">
        <is>
          <t>TENNIS</t>
        </is>
      </c>
      <c r="F286" s="24" t="inlineStr">
        <is>
          <t>Darja Vidmanova</t>
        </is>
      </c>
      <c r="G286" s="24" t="inlineStr">
        <is>
          <t>Sloane Stephens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-150</v>
      </c>
      <c r="M286" s="27" t="n">
        <v>1.666667</v>
      </c>
      <c r="N286" s="28" t="n">
        <v>0.6</v>
      </c>
      <c r="O286" s="28" t="n">
        <v>0.715942</v>
      </c>
      <c r="P286" s="28" t="n">
        <v>0.05</v>
      </c>
      <c r="Q286" s="28" t="n">
        <v>0.115942</v>
      </c>
      <c r="R286" s="26" t="n">
        <v>78</v>
      </c>
      <c r="S286" s="29" t="n">
        <v>2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1</v>
      </c>
      <c r="X286" s="26" t="n">
        <v>0</v>
      </c>
      <c r="Y286" s="25" t="n"/>
      <c r="Z286" s="26" t="n"/>
      <c r="AA286" s="28" t="n"/>
      <c r="AB286" s="28" t="n"/>
      <c r="AC286" s="30" t="n">
        <v>1.3333</v>
      </c>
      <c r="AD286" s="24" t="inlineStr">
        <is>
          <t>2026-07-31T00:55:25.605879Z</t>
        </is>
      </c>
      <c r="AE286" s="31" t="inlineStr">
        <is>
          <t>Surface-blended Elo on Hard: Darja Vidmanova p=0.716 vs Sloane Stephens. Executable ask 0.6000 (aec-wta-sloste-darvid-2026-07-30).</t>
        </is>
      </c>
      <c r="AF286" s="31" t="inlineStr">
        <is>
          <t>Research-only surface-blended Elo model; singles only, WTA-only market coverage, not yet locked-holdout qualified.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NO_CALL_MODEL_UNVALIDATED</t>
        </is>
      </c>
      <c r="AP286" s="24" t="inlineStr">
        <is>
          <t>Darja Vidmanova</t>
        </is>
      </c>
      <c r="AQ286" s="24" t="inlineStr">
        <is>
          <t>Darja Vidmanova</t>
        </is>
      </c>
      <c r="AR286" s="24" t="inlineStr">
        <is>
          <t>Darja Vidmanova</t>
        </is>
      </c>
      <c r="AS286" s="24" t="inlineStr">
        <is>
          <t>Sloane Stephens</t>
        </is>
      </c>
      <c r="AT286" s="24" t="inlineStr">
        <is>
          <t>Sloane Stephens</t>
        </is>
      </c>
      <c r="AU286" s="24" t="inlineStr">
        <is>
          <t>Sloane Stephens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73429bd71f12304106b9ffb751bd50617d5109d487f00de7ae2732f60e779590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73429bd71f12304106b9ffb751bd50617d5109d487f00de7ae2732f60e779590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73429bd71f12304106b9ffb751bd50617d5109d487f00de7ae2732f60e779590</t>
        </is>
      </c>
      <c r="BH286" s="24" t="inlineStr">
        <is>
          <t>2026-07-30T21:07:28.830238Z</t>
        </is>
      </c>
      <c r="BI286" s="24" t="inlineStr">
        <is>
          <t>["same_event","same_team_same_day","same_league_same_day"]</t>
        </is>
      </c>
      <c r="BJ286" s="25" t="n"/>
      <c r="BK286" s="26" t="n">
        <v>-150</v>
      </c>
      <c r="BL286" s="27" t="n">
        <v>1.666667</v>
      </c>
      <c r="BM286" s="28" t="n">
        <v>0.6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</row>
    <row r="287" ht="36" customHeight="1">
      <c r="A287" s="24" t="inlineStr">
        <is>
          <t>7bb16946fcf94c7d</t>
        </is>
      </c>
      <c r="B287" s="24" t="inlineStr">
        <is>
          <t>2026-07-31T07:33:41.738469Z</t>
        </is>
      </c>
      <c r="C287" s="24" t="inlineStr">
        <is>
          <t>2026-07-31T09:00Z</t>
        </is>
      </c>
      <c r="D287" s="24" t="inlineStr">
        <is>
          <t>1073-2026:179596</t>
        </is>
      </c>
      <c r="E287" s="24" t="inlineStr">
        <is>
          <t>TENNIS</t>
        </is>
      </c>
      <c r="F287" s="24" t="inlineStr">
        <is>
          <t>Carole Monnet</t>
        </is>
      </c>
      <c r="G287" s="24" t="inlineStr">
        <is>
          <t>Kaitlin Quevedo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-335</v>
      </c>
      <c r="M287" s="27" t="n">
        <v>1.298507</v>
      </c>
      <c r="N287" s="28" t="n">
        <v>0.770115</v>
      </c>
      <c r="O287" s="28" t="n">
        <v>0.66466</v>
      </c>
      <c r="P287" s="28" t="n">
        <v>0.05</v>
      </c>
      <c r="Q287" s="28" t="n">
        <v>-0.105455</v>
      </c>
      <c r="R287" s="26" t="n">
        <v>0</v>
      </c>
      <c r="S287" s="29" t="n">
        <v>1.75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0</v>
      </c>
      <c r="X287" s="26" t="n">
        <v>1</v>
      </c>
      <c r="Y287" s="25" t="n"/>
      <c r="Z287" s="26" t="n">
        <v>-335</v>
      </c>
      <c r="AA287" s="28" t="n">
        <v>0.77</v>
      </c>
      <c r="AB287" s="28" t="n">
        <v>-0.000115</v>
      </c>
      <c r="AC287" s="30" t="n">
        <v>0.5224</v>
      </c>
      <c r="AD287" s="24" t="inlineStr">
        <is>
          <t>2026-07-31T11:12:20.264183Z</t>
        </is>
      </c>
      <c r="AE287" s="31" t="inlineStr">
        <is>
          <t>Surface-blended Elo on Hard: Carole Monnet p=0.335 vs Kaitlin Quevedo. Executable ask 0.7700 (aec-wta-kaique-carmon-2026-07-31).</t>
        </is>
      </c>
      <c r="AF287" s="31" t="inlineStr">
        <is>
          <t>Research-only surface-blended Elo model; singles only, WTA-only market coverage, not yet locked-holdout qualified.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NO_CALL_MODEL_UNVALIDATED</t>
        </is>
      </c>
      <c r="AP287" s="24" t="inlineStr">
        <is>
          <t>Carole Monnet</t>
        </is>
      </c>
      <c r="AQ287" s="24" t="inlineStr">
        <is>
          <t>Carole Monnet</t>
        </is>
      </c>
      <c r="AR287" s="24" t="inlineStr">
        <is>
          <t>Carole Monnet</t>
        </is>
      </c>
      <c r="AS287" s="24" t="inlineStr">
        <is>
          <t>Kaitlin Quevedo</t>
        </is>
      </c>
      <c r="AT287" s="24" t="inlineStr">
        <is>
          <t>Kaitlin Quevedo</t>
        </is>
      </c>
      <c r="AU287" s="24" t="inlineStr">
        <is>
          <t>Kaitlin Quevedo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73429bd71f12304106b9ffb751bd50617d5109d487f00de7ae2732f60e779590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73429bd71f12304106b9ffb751bd50617d5109d487f00de7ae2732f60e779590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73429bd71f12304106b9ffb751bd50617d5109d487f00de7ae2732f60e779590</t>
        </is>
      </c>
      <c r="BH287" s="24" t="inlineStr">
        <is>
          <t>2026-07-31T07:30:42.946104Z</t>
        </is>
      </c>
      <c r="BI287" s="24" t="inlineStr">
        <is>
          <t>["same_event","same_team_same_day","same_league_same_day"]</t>
        </is>
      </c>
      <c r="BJ287" s="25" t="n"/>
      <c r="BK287" s="26" t="n">
        <v>-335</v>
      </c>
      <c r="BL287" s="27" t="n">
        <v>1.298507</v>
      </c>
      <c r="BM287" s="28" t="n">
        <v>0.770115</v>
      </c>
      <c r="BN287" s="28" t="n"/>
      <c r="BO287" s="28" t="n"/>
      <c r="BP287" s="25" t="n"/>
      <c r="BQ287" s="27" t="n">
        <v>1.298507</v>
      </c>
      <c r="BR287" s="28" t="n">
        <v>0.77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</row>
    <row r="288" ht="36" customHeight="1">
      <c r="A288" s="24" t="inlineStr">
        <is>
          <t>6de838ef45f24790</t>
        </is>
      </c>
      <c r="B288" s="24" t="inlineStr">
        <is>
          <t>2026-07-31T07:33:41.738469Z</t>
        </is>
      </c>
      <c r="C288" s="24" t="inlineStr">
        <is>
          <t>2026-07-31T09:00Z</t>
        </is>
      </c>
      <c r="D288" s="24" t="inlineStr">
        <is>
          <t>1073-2026:179592</t>
        </is>
      </c>
      <c r="E288" s="24" t="inlineStr">
        <is>
          <t>TENNIS</t>
        </is>
      </c>
      <c r="F288" s="24" t="inlineStr">
        <is>
          <t>Mia Ristic</t>
        </is>
      </c>
      <c r="G288" s="24" t="inlineStr">
        <is>
          <t>Laura Samson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-127</v>
      </c>
      <c r="M288" s="27" t="n">
        <v>1.787402</v>
      </c>
      <c r="N288" s="28" t="n">
        <v>0.5594710000000001</v>
      </c>
      <c r="O288" s="28" t="n">
        <v>0.520483</v>
      </c>
      <c r="P288" s="28" t="n">
        <v>0.05</v>
      </c>
      <c r="Q288" s="28" t="n">
        <v>-0.038988</v>
      </c>
      <c r="R288" s="26" t="n">
        <v>1</v>
      </c>
      <c r="S288" s="29" t="n">
        <v>1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>
        <v>-127</v>
      </c>
      <c r="AA288" s="28" t="n">
        <v>0.5600000000000001</v>
      </c>
      <c r="AB288" s="28" t="n">
        <v>0.000529</v>
      </c>
      <c r="AC288" s="30" t="n">
        <v>0.7874</v>
      </c>
      <c r="AD288" s="24" t="inlineStr">
        <is>
          <t>2026-07-31T13:38:57.047753Z</t>
        </is>
      </c>
      <c r="AE288" s="31" t="inlineStr">
        <is>
          <t>Surface-blended Elo on Hard: Mia Ristic p=0.480 vs Laura Samson. Executable ask 0.5600 (aec-wta-lausam-miaris-2026-07-31).</t>
        </is>
      </c>
      <c r="AF288" s="31" t="inlineStr">
        <is>
          <t>Research-only surface-blended Elo model; singles only, WTA-only market coverage, not yet locked-holdout qualified.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research_observation</t>
        </is>
      </c>
      <c r="AL288" s="26" t="n">
        <v>3</v>
      </c>
      <c r="AM288" s="24" t="inlineStr">
        <is>
          <t>RESEARCH_OBSERVATION</t>
        </is>
      </c>
      <c r="AN288" s="24" t="inlineStr">
        <is>
          <t>NO_CALL</t>
        </is>
      </c>
      <c r="AO288" s="24" t="inlineStr">
        <is>
          <t>NO_CALL_MODEL_UNVALIDATED</t>
        </is>
      </c>
      <c r="AP288" s="24" t="inlineStr">
        <is>
          <t>Mia Ristic</t>
        </is>
      </c>
      <c r="AQ288" s="24" t="inlineStr">
        <is>
          <t>Mia Ristic</t>
        </is>
      </c>
      <c r="AR288" s="24" t="inlineStr">
        <is>
          <t>Mia Ristic</t>
        </is>
      </c>
      <c r="AS288" s="24" t="inlineStr">
        <is>
          <t>Laura Samson</t>
        </is>
      </c>
      <c r="AT288" s="24" t="inlineStr">
        <is>
          <t>Laura Samson</t>
        </is>
      </c>
      <c r="AU288" s="24" t="inlineStr">
        <is>
          <t>Laura Samson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research</t>
        </is>
      </c>
      <c r="BA288" s="24" t="inlineStr">
        <is>
          <t>73429bd71f12304106b9ffb751bd50617d5109d487f00de7ae2732f60e779590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73429bd71f12304106b9ffb751bd50617d5109d487f00de7ae2732f60e779590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73429bd71f12304106b9ffb751bd50617d5109d487f00de7ae2732f60e779590</t>
        </is>
      </c>
      <c r="BH288" s="24" t="inlineStr">
        <is>
          <t>2026-07-31T07:30:42.939960Z</t>
        </is>
      </c>
      <c r="BI288" s="24" t="inlineStr">
        <is>
          <t>["same_event","same_team_same_day","same_league_same_day"]</t>
        </is>
      </c>
      <c r="BJ288" s="25" t="n"/>
      <c r="BK288" s="26" t="n">
        <v>-127</v>
      </c>
      <c r="BL288" s="27" t="n">
        <v>1.787402</v>
      </c>
      <c r="BM288" s="28" t="n">
        <v>0.5594710000000001</v>
      </c>
      <c r="BN288" s="28" t="n"/>
      <c r="BO288" s="28" t="n"/>
      <c r="BP288" s="25" t="n"/>
      <c r="BQ288" s="27" t="n">
        <v>1.787402</v>
      </c>
      <c r="BR288" s="28" t="n">
        <v>0.5600000000000001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</row>
    <row r="289" ht="36" customHeight="1">
      <c r="A289" s="24" t="inlineStr">
        <is>
          <t>a006a9beeb6546ec</t>
        </is>
      </c>
      <c r="B289" s="24" t="inlineStr">
        <is>
          <t>2026-07-31T07:33:41.738469Z</t>
        </is>
      </c>
      <c r="C289" s="24" t="inlineStr">
        <is>
          <t>2026-07-31T10:30Z</t>
        </is>
      </c>
      <c r="D289" s="24" t="inlineStr">
        <is>
          <t>1073-2026:179595</t>
        </is>
      </c>
      <c r="E289" s="24" t="inlineStr">
        <is>
          <t>TENNIS</t>
        </is>
      </c>
      <c r="F289" s="24" t="inlineStr">
        <is>
          <t>Alice Rame</t>
        </is>
      </c>
      <c r="G289" s="24" t="inlineStr">
        <is>
          <t>Francesca Jones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-669</v>
      </c>
      <c r="M289" s="27" t="n">
        <v>1.149477</v>
      </c>
      <c r="N289" s="28" t="n">
        <v>0.869961</v>
      </c>
      <c r="O289" s="28" t="n">
        <v>0.771104</v>
      </c>
      <c r="P289" s="28" t="n">
        <v>0.05</v>
      </c>
      <c r="Q289" s="28" t="n">
        <v>-0.098857</v>
      </c>
      <c r="R289" s="26" t="n">
        <v>0</v>
      </c>
      <c r="S289" s="29" t="n">
        <v>2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1</v>
      </c>
      <c r="Y289" s="25" t="n"/>
      <c r="Z289" s="26" t="n">
        <v>-669</v>
      </c>
      <c r="AA289" s="28" t="n">
        <v>0.87</v>
      </c>
      <c r="AB289" s="28" t="n">
        <v>3.9e-05</v>
      </c>
      <c r="AC289" s="30" t="n">
        <v>0.299</v>
      </c>
      <c r="AD289" s="24" t="inlineStr">
        <is>
          <t>2026-07-31T13:38:57.289362Z</t>
        </is>
      </c>
      <c r="AE289" s="31" t="inlineStr">
        <is>
          <t>Surface-blended Elo on Hard: Alice Rame p=0.229 vs Francesca Jones. Executable ask 0.8700 (aec-wta-frajon-aliram-2026-07-31).</t>
        </is>
      </c>
      <c r="AF289" s="31" t="inlineStr">
        <is>
          <t>Research-only surface-blended Elo model; singles only, WTA-only market coverage, not yet locked-holdout qualified.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research_observation</t>
        </is>
      </c>
      <c r="AL289" s="26" t="n">
        <v>3</v>
      </c>
      <c r="AM289" s="24" t="inlineStr">
        <is>
          <t>RESEARCH_OBSERVATION</t>
        </is>
      </c>
      <c r="AN289" s="24" t="inlineStr">
        <is>
          <t>NO_CALL</t>
        </is>
      </c>
      <c r="AO289" s="24" t="inlineStr">
        <is>
          <t>NO_CALL_MODEL_UNVALIDATED</t>
        </is>
      </c>
      <c r="AP289" s="24" t="inlineStr">
        <is>
          <t>Alice Rame</t>
        </is>
      </c>
      <c r="AQ289" s="24" t="inlineStr">
        <is>
          <t>Alice Rame</t>
        </is>
      </c>
      <c r="AR289" s="24" t="inlineStr">
        <is>
          <t>Alice Rame</t>
        </is>
      </c>
      <c r="AS289" s="24" t="inlineStr">
        <is>
          <t>Francesca Jones</t>
        </is>
      </c>
      <c r="AT289" s="24" t="inlineStr">
        <is>
          <t>Francesca Jones</t>
        </is>
      </c>
      <c r="AU289" s="24" t="inlineStr">
        <is>
          <t>Francesca Jones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research</t>
        </is>
      </c>
      <c r="BA289" s="24" t="inlineStr">
        <is>
          <t>73429bd71f12304106b9ffb751bd50617d5109d487f00de7ae2732f60e779590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73429bd71f12304106b9ffb751bd50617d5109d487f00de7ae2732f60e779590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73429bd71f12304106b9ffb751bd50617d5109d487f00de7ae2732f60e779590</t>
        </is>
      </c>
      <c r="BH289" s="24" t="inlineStr">
        <is>
          <t>2026-07-31T07:30:42.885586Z</t>
        </is>
      </c>
      <c r="BI289" s="24" t="inlineStr">
        <is>
          <t>["same_event","same_team_same_day","same_league_same_day"]</t>
        </is>
      </c>
      <c r="BJ289" s="25" t="n"/>
      <c r="BK289" s="26" t="n">
        <v>-669</v>
      </c>
      <c r="BL289" s="27" t="n">
        <v>1.149477</v>
      </c>
      <c r="BM289" s="28" t="n">
        <v>0.869961</v>
      </c>
      <c r="BN289" s="28" t="n"/>
      <c r="BO289" s="28" t="n"/>
      <c r="BP289" s="25" t="n"/>
      <c r="BQ289" s="27" t="n">
        <v>1.149477</v>
      </c>
      <c r="BR289" s="28" t="n">
        <v>0.87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</row>
    <row r="290" ht="36" customHeight="1">
      <c r="A290" s="24" t="inlineStr">
        <is>
          <t>0a5265c9624b4e6d</t>
        </is>
      </c>
      <c r="B290" s="24" t="inlineStr">
        <is>
          <t>2026-07-31T13:42:17.041144Z</t>
        </is>
      </c>
      <c r="C290" s="24" t="inlineStr">
        <is>
          <t>2026-07-31T16:00Z</t>
        </is>
      </c>
      <c r="D290" s="24" t="inlineStr">
        <is>
          <t>888-2026:179006</t>
        </is>
      </c>
      <c r="E290" s="24" t="inlineStr">
        <is>
          <t>TENNIS</t>
        </is>
      </c>
      <c r="F290" s="24" t="inlineStr">
        <is>
          <t>Anna Kalinskaya</t>
        </is>
      </c>
      <c r="G290" s="24" t="inlineStr">
        <is>
          <t>Jessica Pegula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-270</v>
      </c>
      <c r="M290" s="27" t="n">
        <v>1.37037</v>
      </c>
      <c r="N290" s="28" t="n">
        <v>0.72973</v>
      </c>
      <c r="O290" s="28" t="n">
        <v>0.790175</v>
      </c>
      <c r="P290" s="28" t="n">
        <v>0.05</v>
      </c>
      <c r="Q290" s="28" t="n">
        <v>0.060445</v>
      </c>
      <c r="R290" s="26" t="n">
        <v>50</v>
      </c>
      <c r="S290" s="29" t="n">
        <v>2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-270</v>
      </c>
      <c r="AA290" s="28" t="n">
        <v>0.73</v>
      </c>
      <c r="AB290" s="28" t="n">
        <v>0.00027</v>
      </c>
      <c r="AC290" s="30" t="n">
        <v>0.7407</v>
      </c>
      <c r="AD290" s="24" t="inlineStr">
        <is>
          <t>2026-07-31T19:51:19.971117Z</t>
        </is>
      </c>
      <c r="AE290" s="31" t="inlineStr">
        <is>
          <t>Surface-blended Elo on Hard: Anna Kalinskaya p=0.210 vs Jessica Pegula. Executable ask 0.7300 (aec-wta-jespeg-annkal-2026-07-31).</t>
        </is>
      </c>
      <c r="AF290" s="31" t="inlineStr">
        <is>
          <t>Research-only surface-blended Elo model; singles only, WTA-only market coverage, not yet locked-holdout qualified.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research_observation</t>
        </is>
      </c>
      <c r="AL290" s="26" t="n">
        <v>3</v>
      </c>
      <c r="AM290" s="24" t="inlineStr">
        <is>
          <t>RESEARCH_OBSERVATION</t>
        </is>
      </c>
      <c r="AN290" s="24" t="inlineStr">
        <is>
          <t>NO_CALL</t>
        </is>
      </c>
      <c r="AO290" s="24" t="inlineStr">
        <is>
          <t>NO_CALL_MODEL_UNVALIDATED</t>
        </is>
      </c>
      <c r="AP290" s="24" t="inlineStr">
        <is>
          <t>Anna Kalinskaya</t>
        </is>
      </c>
      <c r="AQ290" s="24" t="inlineStr">
        <is>
          <t>Anna Kalinskaya</t>
        </is>
      </c>
      <c r="AR290" s="24" t="inlineStr">
        <is>
          <t>Anna Kalinskaya</t>
        </is>
      </c>
      <c r="AS290" s="24" t="inlineStr">
        <is>
          <t>Jessica Pegula</t>
        </is>
      </c>
      <c r="AT290" s="24" t="inlineStr">
        <is>
          <t>Jessica Pegula</t>
        </is>
      </c>
      <c r="AU290" s="24" t="inlineStr">
        <is>
          <t>Jessica Pegula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research</t>
        </is>
      </c>
      <c r="BA290" s="24" t="inlineStr">
        <is>
          <t>999faa03e2fa83bdf40e3760cb8645b4c314e4cc37c2050b8320d6582c4d8167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999faa03e2fa83bdf40e3760cb8645b4c314e4cc37c2050b8320d6582c4d8167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999faa03e2fa83bdf40e3760cb8645b4c314e4cc37c2050b8320d6582c4d8167</t>
        </is>
      </c>
      <c r="BH290" s="24" t="inlineStr">
        <is>
          <t>2026-07-31T13:39:50.860788Z</t>
        </is>
      </c>
      <c r="BI290" s="24" t="inlineStr">
        <is>
          <t>["same_event","same_team_same_day","same_league_same_day"]</t>
        </is>
      </c>
      <c r="BJ290" s="25" t="n"/>
      <c r="BK290" s="26" t="n">
        <v>-270</v>
      </c>
      <c r="BL290" s="27" t="n">
        <v>1.37037</v>
      </c>
      <c r="BM290" s="28" t="n">
        <v>0.72973</v>
      </c>
      <c r="BN290" s="28" t="n"/>
      <c r="BO290" s="28" t="n"/>
      <c r="BP290" s="25" t="n"/>
      <c r="BQ290" s="27" t="n">
        <v>1.37037</v>
      </c>
      <c r="BR290" s="28" t="n">
        <v>0.73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</row>
    <row r="291" ht="36" customHeight="1">
      <c r="A291" s="24" t="inlineStr">
        <is>
          <t>5ff33ec3de68414f</t>
        </is>
      </c>
      <c r="B291" s="24" t="inlineStr">
        <is>
          <t>2026-07-31T13:42:17.041144Z</t>
        </is>
      </c>
      <c r="C291" s="24" t="inlineStr">
        <is>
          <t>2026-07-31T14:00Z</t>
        </is>
      </c>
      <c r="D291" s="24" t="inlineStr">
        <is>
          <t>1073-2026:179594</t>
        </is>
      </c>
      <c r="E291" s="24" t="inlineStr">
        <is>
          <t>TENNIS</t>
        </is>
      </c>
      <c r="F291" s="24" t="inlineStr">
        <is>
          <t>Lucia Bronzetti</t>
        </is>
      </c>
      <c r="G291" s="24" t="inlineStr">
        <is>
          <t>Sara Sorribes Tormo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122</v>
      </c>
      <c r="M291" s="27" t="n">
        <v>2.22</v>
      </c>
      <c r="N291" s="28" t="n">
        <v>0.45045</v>
      </c>
      <c r="O291" s="28" t="n">
        <v>0.558996</v>
      </c>
      <c r="P291" s="28" t="n">
        <v>0.05</v>
      </c>
      <c r="Q291" s="28" t="n">
        <v>0.108546</v>
      </c>
      <c r="R291" s="26" t="n">
        <v>74</v>
      </c>
      <c r="S291" s="29" t="n">
        <v>1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0</v>
      </c>
      <c r="Y291" s="25" t="n"/>
      <c r="Z291" s="26" t="n">
        <v>122</v>
      </c>
      <c r="AA291" s="28" t="n">
        <v>0.45</v>
      </c>
      <c r="AB291" s="28" t="n">
        <v>-0.00045</v>
      </c>
      <c r="AC291" s="30" t="n">
        <v>1.22</v>
      </c>
      <c r="AD291" s="24" t="inlineStr">
        <is>
          <t>2026-07-31T19:51:20.537475Z</t>
        </is>
      </c>
      <c r="AE291" s="31" t="inlineStr">
        <is>
          <t>Surface-blended Elo on Hard: Lucia Bronzetti p=0.559 vs Sara Sorribes Tormo. Executable ask 0.4500 (aec-wta-sartor-lucbro-2026-07-31).</t>
        </is>
      </c>
      <c r="AF291" s="31" t="inlineStr">
        <is>
          <t>Research-only surface-blended Elo model; singles only, WTA-only market coverage, not yet locked-holdout qualified.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research_observation</t>
        </is>
      </c>
      <c r="AL291" s="26" t="n">
        <v>3</v>
      </c>
      <c r="AM291" s="24" t="inlineStr">
        <is>
          <t>RESEARCH_OBSERVATION</t>
        </is>
      </c>
      <c r="AN291" s="24" t="inlineStr">
        <is>
          <t>NO_CALL</t>
        </is>
      </c>
      <c r="AO291" s="24" t="inlineStr">
        <is>
          <t>NO_CALL_MODEL_UNVALIDATED</t>
        </is>
      </c>
      <c r="AP291" s="24" t="inlineStr">
        <is>
          <t>Lucia Bronzetti</t>
        </is>
      </c>
      <c r="AQ291" s="24" t="inlineStr">
        <is>
          <t>Lucia Bronzetti</t>
        </is>
      </c>
      <c r="AR291" s="24" t="inlineStr">
        <is>
          <t>Lucia Bronzetti</t>
        </is>
      </c>
      <c r="AS291" s="24" t="inlineStr">
        <is>
          <t>Sara Sorribes Tormo</t>
        </is>
      </c>
      <c r="AT291" s="24" t="inlineStr">
        <is>
          <t>Sara Sorribes Tormo</t>
        </is>
      </c>
      <c r="AU291" s="24" t="inlineStr">
        <is>
          <t>Sara Sorribes Tormo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research</t>
        </is>
      </c>
      <c r="BA291" s="24" t="inlineStr">
        <is>
          <t>999faa03e2fa83bdf40e3760cb8645b4c314e4cc37c2050b8320d6582c4d8167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999faa03e2fa83bdf40e3760cb8645b4c314e4cc37c2050b8320d6582c4d8167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999faa03e2fa83bdf40e3760cb8645b4c314e4cc37c2050b8320d6582c4d8167</t>
        </is>
      </c>
      <c r="BH291" s="24" t="inlineStr">
        <is>
          <t>2026-07-31T13:39:49.361483Z</t>
        </is>
      </c>
      <c r="BI291" s="24" t="inlineStr">
        <is>
          <t>["same_event","same_team_same_day","same_league_same_day"]</t>
        </is>
      </c>
      <c r="BJ291" s="25" t="n"/>
      <c r="BK291" s="26" t="n">
        <v>122</v>
      </c>
      <c r="BL291" s="27" t="n">
        <v>2.22</v>
      </c>
      <c r="BM291" s="28" t="n">
        <v>0.45045</v>
      </c>
      <c r="BN291" s="28" t="n"/>
      <c r="BO291" s="28" t="n"/>
      <c r="BP291" s="25" t="n"/>
      <c r="BQ291" s="27" t="n">
        <v>2.22</v>
      </c>
      <c r="BR291" s="28" t="n">
        <v>0.45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</row>
    <row r="292" ht="36" customHeight="1">
      <c r="A292" s="24" t="inlineStr">
        <is>
          <t>b111fbea73f8498b</t>
        </is>
      </c>
      <c r="B292" s="24" t="inlineStr">
        <is>
          <t>2026-07-31T16:48:15.741242Z</t>
        </is>
      </c>
      <c r="C292" s="24" t="inlineStr">
        <is>
          <t>2026-07-31T18:00Z</t>
        </is>
      </c>
      <c r="D292" s="24" t="inlineStr">
        <is>
          <t>875-2026:179555</t>
        </is>
      </c>
      <c r="E292" s="24" t="inlineStr">
        <is>
          <t>TENNIS</t>
        </is>
      </c>
      <c r="F292" s="24" t="inlineStr">
        <is>
          <t>Mai Hontama</t>
        </is>
      </c>
      <c r="G292" s="24" t="inlineStr">
        <is>
          <t>Maddison Inglis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113</v>
      </c>
      <c r="M292" s="27" t="n">
        <v>2.13</v>
      </c>
      <c r="N292" s="28" t="n">
        <v>0.469484</v>
      </c>
      <c r="O292" s="28" t="n">
        <v>0.568028</v>
      </c>
      <c r="P292" s="28" t="n">
        <v>0.05</v>
      </c>
      <c r="Q292" s="28" t="n">
        <v>0.09854400000000001</v>
      </c>
      <c r="R292" s="26" t="n">
        <v>69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0</v>
      </c>
      <c r="X292" s="26" t="n">
        <v>1</v>
      </c>
      <c r="Y292" s="25" t="n"/>
      <c r="Z292" s="26" t="n">
        <v>113</v>
      </c>
      <c r="AA292" s="28" t="n">
        <v>0.47</v>
      </c>
      <c r="AB292" s="28" t="n">
        <v>0.000516</v>
      </c>
      <c r="AC292" s="30" t="n">
        <v>1.13</v>
      </c>
      <c r="AD292" s="24" t="inlineStr">
        <is>
          <t>2026-07-31T19:51:21.011383Z</t>
        </is>
      </c>
      <c r="AE292" s="31" t="inlineStr">
        <is>
          <t>Surface-blended Elo on Hard: Mai Hontama p=0.432 vs Maddison Inglis. Executable ask 0.4700 (aec-wta-mading-maihon-2026-07-31).</t>
        </is>
      </c>
      <c r="AF292" s="31" t="inlineStr">
        <is>
          <t>Research-only surface-blended Elo model; singles only, WTA-only market coverage, not yet locked-holdout qualified.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research_observation</t>
        </is>
      </c>
      <c r="AL292" s="26" t="n">
        <v>3</v>
      </c>
      <c r="AM292" s="24" t="inlineStr">
        <is>
          <t>RESEARCH_OBSERVATION</t>
        </is>
      </c>
      <c r="AN292" s="24" t="inlineStr">
        <is>
          <t>NO_CALL</t>
        </is>
      </c>
      <c r="AO292" s="24" t="inlineStr">
        <is>
          <t>NO_CALL_MODEL_UNVALIDATED</t>
        </is>
      </c>
      <c r="AP292" s="24" t="inlineStr">
        <is>
          <t>Mai Hontama</t>
        </is>
      </c>
      <c r="AQ292" s="24" t="inlineStr">
        <is>
          <t>Mai Hontama</t>
        </is>
      </c>
      <c r="AR292" s="24" t="inlineStr">
        <is>
          <t>Mai Hontama</t>
        </is>
      </c>
      <c r="AS292" s="24" t="inlineStr">
        <is>
          <t>Maddison Inglis</t>
        </is>
      </c>
      <c r="AT292" s="24" t="inlineStr">
        <is>
          <t>Maddison Inglis</t>
        </is>
      </c>
      <c r="AU292" s="24" t="inlineStr">
        <is>
          <t>Maddison Inglis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research</t>
        </is>
      </c>
      <c r="BA292" s="24" t="inlineStr">
        <is>
          <t>999faa03e2fa83bdf40e3760cb8645b4c314e4cc37c2050b8320d6582c4d8167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999faa03e2fa83bdf40e3760cb8645b4c314e4cc37c2050b8320d6582c4d8167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999faa03e2fa83bdf40e3760cb8645b4c314e4cc37c2050b8320d6582c4d8167</t>
        </is>
      </c>
      <c r="BH292" s="24" t="inlineStr">
        <is>
          <t>2026-07-31T16:46:01.946281Z</t>
        </is>
      </c>
      <c r="BI292" s="24" t="inlineStr">
        <is>
          <t>["same_event","same_team_same_day","same_league_same_day"]</t>
        </is>
      </c>
      <c r="BJ292" s="25" t="n"/>
      <c r="BK292" s="26" t="n">
        <v>113</v>
      </c>
      <c r="BL292" s="27" t="n">
        <v>2.13</v>
      </c>
      <c r="BM292" s="28" t="n">
        <v>0.469484</v>
      </c>
      <c r="BN292" s="28" t="n"/>
      <c r="BO292" s="28" t="n"/>
      <c r="BP292" s="25" t="n"/>
      <c r="BQ292" s="27" t="n">
        <v>2.13</v>
      </c>
      <c r="BR292" s="28" t="n">
        <v>0.47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</row>
    <row r="293" ht="36" customHeight="1">
      <c r="A293" s="24" t="inlineStr">
        <is>
          <t>0c951108cbed46c5</t>
        </is>
      </c>
      <c r="B293" s="24" t="inlineStr">
        <is>
          <t>2026-07-31T16:48:15.741242Z</t>
        </is>
      </c>
      <c r="C293" s="24" t="inlineStr">
        <is>
          <t>2026-07-31T19:30Z</t>
        </is>
      </c>
      <c r="D293" s="24" t="inlineStr">
        <is>
          <t>875-2026:179554</t>
        </is>
      </c>
      <c r="E293" s="24" t="inlineStr">
        <is>
          <t>TENNIS</t>
        </is>
      </c>
      <c r="F293" s="24" t="inlineStr">
        <is>
          <t>Mananchaya Sawangkaew</t>
        </is>
      </c>
      <c r="G293" s="24" t="inlineStr">
        <is>
          <t>Taylah Preston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-178</v>
      </c>
      <c r="M293" s="27" t="n">
        <v>1.561798</v>
      </c>
      <c r="N293" s="28" t="n">
        <v>0.640288</v>
      </c>
      <c r="O293" s="28" t="n">
        <v>0.672366</v>
      </c>
      <c r="P293" s="28" t="n">
        <v>0.05</v>
      </c>
      <c r="Q293" s="28" t="n">
        <v>0.032078</v>
      </c>
      <c r="R293" s="26" t="n">
        <v>36</v>
      </c>
      <c r="S293" s="29" t="n">
        <v>1.75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loss</t>
        </is>
      </c>
      <c r="W293" s="26" t="n">
        <v>0</v>
      </c>
      <c r="X293" s="26" t="n">
        <v>1</v>
      </c>
      <c r="Y293" s="25" t="n"/>
      <c r="Z293" s="26" t="n">
        <v>-178</v>
      </c>
      <c r="AA293" s="28" t="n">
        <v>0.64</v>
      </c>
      <c r="AB293" s="28" t="n">
        <v>-0.000288</v>
      </c>
      <c r="AC293" s="30" t="n">
        <v>-1.75</v>
      </c>
      <c r="AD293" s="24" t="inlineStr">
        <is>
          <t>2026-07-31T23:28:43.967425Z</t>
        </is>
      </c>
      <c r="AE293" s="31" t="inlineStr">
        <is>
          <t>Surface-blended Elo on Hard: Mananchaya Sawangkaew p=0.672 vs Taylah Preston. Executable ask 0.6400 (aec-wta-taypre-mansaw-2026-07-31).</t>
        </is>
      </c>
      <c r="AF293" s="31" t="inlineStr">
        <is>
          <t>Research-only surface-blended Elo model; singles only, WTA-only market coverage, not yet locked-holdout qualified.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research_observation</t>
        </is>
      </c>
      <c r="AL293" s="26" t="n">
        <v>3</v>
      </c>
      <c r="AM293" s="24" t="inlineStr">
        <is>
          <t>RESEARCH_OBSERVATION</t>
        </is>
      </c>
      <c r="AN293" s="24" t="inlineStr">
        <is>
          <t>NO_CALL</t>
        </is>
      </c>
      <c r="AO293" s="24" t="inlineStr">
        <is>
          <t>NO_CALL_MODEL_UNVALIDATED</t>
        </is>
      </c>
      <c r="AP293" s="24" t="inlineStr">
        <is>
          <t>Mananchaya Sawangkaew</t>
        </is>
      </c>
      <c r="AQ293" s="24" t="inlineStr">
        <is>
          <t>Mananchaya Sawangkaew</t>
        </is>
      </c>
      <c r="AR293" s="24" t="inlineStr">
        <is>
          <t>Mananchaya Sawangkaew</t>
        </is>
      </c>
      <c r="AS293" s="24" t="inlineStr">
        <is>
          <t>Taylah Preston</t>
        </is>
      </c>
      <c r="AT293" s="24" t="inlineStr">
        <is>
          <t>Taylah Preston</t>
        </is>
      </c>
      <c r="AU293" s="24" t="inlineStr">
        <is>
          <t>Taylah Preston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research</t>
        </is>
      </c>
      <c r="BA293" s="24" t="inlineStr">
        <is>
          <t>999faa03e2fa83bdf40e3760cb8645b4c314e4cc37c2050b8320d6582c4d8167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999faa03e2fa83bdf40e3760cb8645b4c314e4cc37c2050b8320d6582c4d8167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999faa03e2fa83bdf40e3760cb8645b4c314e4cc37c2050b8320d6582c4d8167</t>
        </is>
      </c>
      <c r="BH293" s="24" t="inlineStr">
        <is>
          <t>2026-07-31T16:46:03.748498Z</t>
        </is>
      </c>
      <c r="BI293" s="24" t="inlineStr">
        <is>
          <t>["same_event","same_team_same_day","same_league_same_day"]</t>
        </is>
      </c>
      <c r="BJ293" s="25" t="n"/>
      <c r="BK293" s="26" t="n">
        <v>-178</v>
      </c>
      <c r="BL293" s="27" t="n">
        <v>1.561798</v>
      </c>
      <c r="BM293" s="28" t="n">
        <v>0.640288</v>
      </c>
      <c r="BN293" s="28" t="n"/>
      <c r="BO293" s="28" t="n"/>
      <c r="BP293" s="25" t="n"/>
      <c r="BQ293" s="27" t="n">
        <v>1.561798</v>
      </c>
      <c r="BR293" s="28" t="n">
        <v>0.64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</row>
    <row r="294" ht="36" customHeight="1">
      <c r="A294" s="24" t="inlineStr">
        <is>
          <t>ae103e8c49014074</t>
        </is>
      </c>
      <c r="B294" s="24" t="inlineStr">
        <is>
          <t>2026-07-31T16:48:15.741242Z</t>
        </is>
      </c>
      <c r="C294" s="24" t="inlineStr">
        <is>
          <t>2026-07-31T18:00Z</t>
        </is>
      </c>
      <c r="D294" s="24" t="inlineStr">
        <is>
          <t>888-2026:179020</t>
        </is>
      </c>
      <c r="E294" s="24" t="inlineStr">
        <is>
          <t>TENNIS</t>
        </is>
      </c>
      <c r="F294" s="24" t="inlineStr">
        <is>
          <t>Naomi Osaka</t>
        </is>
      </c>
      <c r="G294" s="24" t="inlineStr">
        <is>
          <t>Elisabetta Cocciaretto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-567</v>
      </c>
      <c r="M294" s="27" t="n">
        <v>1.176367</v>
      </c>
      <c r="N294" s="28" t="n">
        <v>0.850075</v>
      </c>
      <c r="O294" s="28" t="n">
        <v>0.686106</v>
      </c>
      <c r="P294" s="28" t="n">
        <v>0.05</v>
      </c>
      <c r="Q294" s="28" t="n">
        <v>-0.163969</v>
      </c>
      <c r="R294" s="26" t="n">
        <v>0</v>
      </c>
      <c r="S294" s="29" t="n">
        <v>2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1</v>
      </c>
      <c r="X294" s="26" t="n">
        <v>0</v>
      </c>
      <c r="Y294" s="25" t="n"/>
      <c r="Z294" s="26" t="n">
        <v>-567</v>
      </c>
      <c r="AA294" s="28" t="n">
        <v>0.85</v>
      </c>
      <c r="AB294" s="28" t="n">
        <v>-7.499999999999999e-05</v>
      </c>
      <c r="AC294" s="30" t="n">
        <v>0.3527</v>
      </c>
      <c r="AD294" s="24" t="inlineStr">
        <is>
          <t>2026-07-31T21:03:37.637903Z</t>
        </is>
      </c>
      <c r="AE294" s="31" t="inlineStr">
        <is>
          <t>Surface-blended Elo on Hard: Naomi Osaka p=0.686 vs Elisabetta Cocciaretto. Executable ask 0.8500 (aec-wta-elicoc-naoosa-2026-07-31).</t>
        </is>
      </c>
      <c r="AF294" s="31" t="inlineStr">
        <is>
          <t>Research-only surface-blended Elo model; singles only, WTA-only market coverage, not yet locked-holdout qualified.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research_observation</t>
        </is>
      </c>
      <c r="AL294" s="26" t="n">
        <v>3</v>
      </c>
      <c r="AM294" s="24" t="inlineStr">
        <is>
          <t>RESEARCH_OBSERVATION</t>
        </is>
      </c>
      <c r="AN294" s="24" t="inlineStr">
        <is>
          <t>NO_CALL</t>
        </is>
      </c>
      <c r="AO294" s="24" t="inlineStr">
        <is>
          <t>NO_CALL_MODEL_UNVALIDATED</t>
        </is>
      </c>
      <c r="AP294" s="24" t="inlineStr">
        <is>
          <t>Naomi Osaka</t>
        </is>
      </c>
      <c r="AQ294" s="24" t="inlineStr">
        <is>
          <t>Naomi Osaka</t>
        </is>
      </c>
      <c r="AR294" s="24" t="inlineStr">
        <is>
          <t>Naomi Osaka</t>
        </is>
      </c>
      <c r="AS294" s="24" t="inlineStr">
        <is>
          <t>Elisabetta Cocciaretto</t>
        </is>
      </c>
      <c r="AT294" s="24" t="inlineStr">
        <is>
          <t>Elisabetta Cocciaretto</t>
        </is>
      </c>
      <c r="AU294" s="24" t="inlineStr">
        <is>
          <t>Elisabetta Cocciaretto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research</t>
        </is>
      </c>
      <c r="BA294" s="24" t="inlineStr">
        <is>
          <t>999faa03e2fa83bdf40e3760cb8645b4c314e4cc37c2050b8320d6582c4d8167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999faa03e2fa83bdf40e3760cb8645b4c314e4cc37c2050b8320d6582c4d8167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999faa03e2fa83bdf40e3760cb8645b4c314e4cc37c2050b8320d6582c4d8167</t>
        </is>
      </c>
      <c r="BH294" s="24" t="inlineStr">
        <is>
          <t>2026-07-31T16:46:01.916062Z</t>
        </is>
      </c>
      <c r="BI294" s="24" t="inlineStr">
        <is>
          <t>["same_event","same_team_same_day","same_league_same_day"]</t>
        </is>
      </c>
      <c r="BJ294" s="25" t="n"/>
      <c r="BK294" s="26" t="n">
        <v>-567</v>
      </c>
      <c r="BL294" s="27" t="n">
        <v>1.176367</v>
      </c>
      <c r="BM294" s="28" t="n">
        <v>0.850075</v>
      </c>
      <c r="BN294" s="28" t="n"/>
      <c r="BO294" s="28" t="n"/>
      <c r="BP294" s="25" t="n"/>
      <c r="BQ294" s="27" t="n">
        <v>1.176367</v>
      </c>
      <c r="BR294" s="28" t="n">
        <v>0.85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</row>
    <row r="295" ht="36" customHeight="1">
      <c r="A295" s="24" t="inlineStr">
        <is>
          <t>4a44c2c843454d56</t>
        </is>
      </c>
      <c r="B295" s="24" t="inlineStr">
        <is>
          <t>2026-07-31T16:48:15.741242Z</t>
        </is>
      </c>
      <c r="C295" s="24" t="inlineStr">
        <is>
          <t>2026-07-31T17:30Z</t>
        </is>
      </c>
      <c r="D295" s="24" t="inlineStr">
        <is>
          <t>1067-2026:179453</t>
        </is>
      </c>
      <c r="E295" s="24" t="inlineStr">
        <is>
          <t>TENNIS</t>
        </is>
      </c>
      <c r="F295" s="24" t="inlineStr">
        <is>
          <t>Peyton Stearns</t>
        </is>
      </c>
      <c r="G295" s="24" t="inlineStr">
        <is>
          <t>Elvina Kalieva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polymarket_us</t>
        </is>
      </c>
      <c r="L295" s="26" t="n">
        <v>-270</v>
      </c>
      <c r="M295" s="27" t="n">
        <v>1.37037</v>
      </c>
      <c r="N295" s="28" t="n">
        <v>0.72973</v>
      </c>
      <c r="O295" s="28" t="n">
        <v>0.604555</v>
      </c>
      <c r="P295" s="28" t="n">
        <v>0.05</v>
      </c>
      <c r="Q295" s="28" t="n">
        <v>-0.125175</v>
      </c>
      <c r="R295" s="26" t="n">
        <v>0</v>
      </c>
      <c r="S295" s="29" t="n">
        <v>1.25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0</v>
      </c>
      <c r="X295" s="26" t="n">
        <v>1</v>
      </c>
      <c r="Y295" s="25" t="n"/>
      <c r="Z295" s="26" t="n">
        <v>-270</v>
      </c>
      <c r="AA295" s="28" t="n">
        <v>0.73</v>
      </c>
      <c r="AB295" s="28" t="n">
        <v>0.00027</v>
      </c>
      <c r="AC295" s="30" t="n">
        <v>-1.25</v>
      </c>
      <c r="AD295" s="24" t="inlineStr">
        <is>
          <t>2026-07-31T23:28:44.202315Z</t>
        </is>
      </c>
      <c r="AE295" s="31" t="inlineStr">
        <is>
          <t>Surface-blended Elo on Hard: Peyton Stearns p=0.605 vs Elvina Kalieva. Executable ask 0.7300 (aec-wta-elvkal-peyste-2026-07-31).</t>
        </is>
      </c>
      <c r="AF295" s="31" t="inlineStr">
        <is>
          <t>Research-only surface-blended Elo model; singles only, WTA-only market coverage, not yet locked-holdout qualified.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research_observation</t>
        </is>
      </c>
      <c r="AL295" s="26" t="n">
        <v>3</v>
      </c>
      <c r="AM295" s="24" t="inlineStr">
        <is>
          <t>RESEARCH_OBSERVATION</t>
        </is>
      </c>
      <c r="AN295" s="24" t="inlineStr">
        <is>
          <t>NO_CALL</t>
        </is>
      </c>
      <c r="AO295" s="24" t="inlineStr">
        <is>
          <t>NO_CALL_MODEL_UNVALIDATED</t>
        </is>
      </c>
      <c r="AP295" s="24" t="inlineStr">
        <is>
          <t>Peyton Stearns</t>
        </is>
      </c>
      <c r="AQ295" s="24" t="inlineStr">
        <is>
          <t>Peyton Stearns</t>
        </is>
      </c>
      <c r="AR295" s="24" t="inlineStr">
        <is>
          <t>Peyton Stearns</t>
        </is>
      </c>
      <c r="AS295" s="24" t="inlineStr">
        <is>
          <t>Elvina Kalieva</t>
        </is>
      </c>
      <c r="AT295" s="24" t="inlineStr">
        <is>
          <t>Elvina Kalieva</t>
        </is>
      </c>
      <c r="AU295" s="24" t="inlineStr">
        <is>
          <t>Elvina Kalieva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research</t>
        </is>
      </c>
      <c r="BA295" s="24" t="inlineStr">
        <is>
          <t>999faa03e2fa83bdf40e3760cb8645b4c314e4cc37c2050b8320d6582c4d8167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999faa03e2fa83bdf40e3760cb8645b4c314e4cc37c2050b8320d6582c4d8167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999faa03e2fa83bdf40e3760cb8645b4c314e4cc37c2050b8320d6582c4d8167</t>
        </is>
      </c>
      <c r="BH295" s="24" t="inlineStr">
        <is>
          <t>2026-07-31T16:46:00.001887Z</t>
        </is>
      </c>
      <c r="BI295" s="24" t="inlineStr">
        <is>
          <t>["same_event","same_team_same_day","same_league_same_day"]</t>
        </is>
      </c>
      <c r="BJ295" s="25" t="n"/>
      <c r="BK295" s="26" t="n">
        <v>-270</v>
      </c>
      <c r="BL295" s="27" t="n">
        <v>1.37037</v>
      </c>
      <c r="BM295" s="28" t="n">
        <v>0.72973</v>
      </c>
      <c r="BN295" s="28" t="n"/>
      <c r="BO295" s="28" t="n"/>
      <c r="BP295" s="25" t="n"/>
      <c r="BQ295" s="27" t="n">
        <v>1.37037</v>
      </c>
      <c r="BR295" s="28" t="n">
        <v>0.73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</row>
    <row r="296" ht="36" customHeight="1">
      <c r="A296" s="24" t="inlineStr">
        <is>
          <t>860a8c7addb04dc6</t>
        </is>
      </c>
      <c r="B296" s="24" t="inlineStr">
        <is>
          <t>2026-07-31T16:48:15.741242Z</t>
        </is>
      </c>
      <c r="C296" s="24" t="inlineStr">
        <is>
          <t>2026-07-31T19:00Z</t>
        </is>
      </c>
      <c r="D296" s="24" t="inlineStr">
        <is>
          <t>1067-2026:179446</t>
        </is>
      </c>
      <c r="E296" s="24" t="inlineStr">
        <is>
          <t>TENNIS</t>
        </is>
      </c>
      <c r="F296" s="24" t="inlineStr">
        <is>
          <t>Renata Zarazua</t>
        </is>
      </c>
      <c r="G296" s="24" t="inlineStr">
        <is>
          <t>Anastasia Zakharova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-144</v>
      </c>
      <c r="M296" s="27" t="n">
        <v>1.694444</v>
      </c>
      <c r="N296" s="28" t="n">
        <v>0.590164</v>
      </c>
      <c r="O296" s="28" t="n">
        <v>0.687737</v>
      </c>
      <c r="P296" s="28" t="n">
        <v>0.05</v>
      </c>
      <c r="Q296" s="28" t="n">
        <v>0.09757299999999999</v>
      </c>
      <c r="R296" s="26" t="n">
        <v>69</v>
      </c>
      <c r="S296" s="29" t="n">
        <v>2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0</v>
      </c>
      <c r="Y296" s="25" t="n"/>
      <c r="Z296" s="26" t="n">
        <v>-144</v>
      </c>
      <c r="AA296" s="28" t="n">
        <v>0.59</v>
      </c>
      <c r="AB296" s="28" t="n">
        <v>-0.000164</v>
      </c>
      <c r="AC296" s="30" t="n">
        <v>-2</v>
      </c>
      <c r="AD296" s="24" t="inlineStr">
        <is>
          <t>2026-08-01T03:00:16.522549Z</t>
        </is>
      </c>
      <c r="AE296" s="31" t="inlineStr">
        <is>
          <t>Surface-blended Elo on Hard: Renata Zarazua p=0.312 vs Anastasia Zakharova. Executable ask 0.5900 (aec-wta-anazak-renzar-2026-07-30).</t>
        </is>
      </c>
      <c r="AF296" s="31" t="inlineStr">
        <is>
          <t>Research-only surface-blended Elo model; singles only, WTA-only market coverage, not yet locked-holdout qualified.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research_observation</t>
        </is>
      </c>
      <c r="AL296" s="26" t="n">
        <v>3</v>
      </c>
      <c r="AM296" s="24" t="inlineStr">
        <is>
          <t>RESEARCH_OBSERVATION</t>
        </is>
      </c>
      <c r="AN296" s="24" t="inlineStr">
        <is>
          <t>NO_CALL</t>
        </is>
      </c>
      <c r="AO296" s="24" t="inlineStr">
        <is>
          <t>NO_CALL_MODEL_UNVALIDATED</t>
        </is>
      </c>
      <c r="AP296" s="24" t="inlineStr">
        <is>
          <t>Renata Zarazua</t>
        </is>
      </c>
      <c r="AQ296" s="24" t="inlineStr">
        <is>
          <t>Renata Zarazua</t>
        </is>
      </c>
      <c r="AR296" s="24" t="inlineStr">
        <is>
          <t>Renata Zarazua</t>
        </is>
      </c>
      <c r="AS296" s="24" t="inlineStr">
        <is>
          <t>Anastasia Zakharova</t>
        </is>
      </c>
      <c r="AT296" s="24" t="inlineStr">
        <is>
          <t>Anastasia Zakharova</t>
        </is>
      </c>
      <c r="AU296" s="24" t="inlineStr">
        <is>
          <t>Anastasia Zakharova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research</t>
        </is>
      </c>
      <c r="BA296" s="24" t="inlineStr">
        <is>
          <t>999faa03e2fa83bdf40e3760cb8645b4c314e4cc37c2050b8320d6582c4d8167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999faa03e2fa83bdf40e3760cb8645b4c314e4cc37c2050b8320d6582c4d8167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999faa03e2fa83bdf40e3760cb8645b4c314e4cc37c2050b8320d6582c4d8167</t>
        </is>
      </c>
      <c r="BH296" s="24" t="inlineStr">
        <is>
          <t>2026-07-31T16:46:02.750394Z</t>
        </is>
      </c>
      <c r="BI296" s="24" t="inlineStr">
        <is>
          <t>["same_event","same_team_same_day","same_league_same_day"]</t>
        </is>
      </c>
      <c r="BJ296" s="25" t="n"/>
      <c r="BK296" s="26" t="n">
        <v>-144</v>
      </c>
      <c r="BL296" s="27" t="n">
        <v>1.694444</v>
      </c>
      <c r="BM296" s="28" t="n">
        <v>0.590164</v>
      </c>
      <c r="BN296" s="28" t="n"/>
      <c r="BO296" s="28" t="n"/>
      <c r="BP296" s="25" t="n"/>
      <c r="BQ296" s="27" t="n">
        <v>1.694444</v>
      </c>
      <c r="BR296" s="28" t="n">
        <v>0.59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</row>
    <row r="297" ht="36" customHeight="1">
      <c r="A297" s="24" t="inlineStr">
        <is>
          <t>1fc8e155851e45b3</t>
        </is>
      </c>
      <c r="B297" s="24" t="inlineStr">
        <is>
          <t>2026-07-31T19:55:18.326039Z</t>
        </is>
      </c>
      <c r="C297" s="24" t="inlineStr">
        <is>
          <t>2026-07-31T20:10Z</t>
        </is>
      </c>
      <c r="D297" s="24" t="inlineStr">
        <is>
          <t>888-2026:179004</t>
        </is>
      </c>
      <c r="E297" s="24" t="inlineStr">
        <is>
          <t>TENNIS</t>
        </is>
      </c>
      <c r="F297" s="24" t="inlineStr">
        <is>
          <t>Liudmila Samsonova</t>
        </is>
      </c>
      <c r="G297" s="24" t="inlineStr">
        <is>
          <t>Diana Shnaider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-113</v>
      </c>
      <c r="M297" s="27" t="n">
        <v>1.884956</v>
      </c>
      <c r="N297" s="28" t="n">
        <v>0.530516</v>
      </c>
      <c r="O297" s="28" t="n">
        <v>0.6818650000000001</v>
      </c>
      <c r="P297" s="28" t="n">
        <v>0.05</v>
      </c>
      <c r="Q297" s="28" t="n">
        <v>0.151349</v>
      </c>
      <c r="R297" s="26" t="n">
        <v>96</v>
      </c>
      <c r="S297" s="29" t="n">
        <v>2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win</t>
        </is>
      </c>
      <c r="W297" s="26" t="n">
        <v>0</v>
      </c>
      <c r="X297" s="26" t="n">
        <v>1</v>
      </c>
      <c r="Y297" s="25" t="n"/>
      <c r="Z297" s="26" t="n">
        <v>-113</v>
      </c>
      <c r="AA297" s="28" t="n">
        <v>0.53</v>
      </c>
      <c r="AB297" s="28" t="n">
        <v>-0.000516</v>
      </c>
      <c r="AC297" s="30" t="n">
        <v>1.7699</v>
      </c>
      <c r="AD297" s="24" t="inlineStr">
        <is>
          <t>2026-07-31T23:28:44.433663Z</t>
        </is>
      </c>
      <c r="AE297" s="31" t="inlineStr">
        <is>
          <t>Surface-blended Elo on Hard: Liudmila Samsonova p=0.318 vs Diana Shnaider. Executable ask 0.5300 (aec-wta-diashn-liusam-2026-07-31).</t>
        </is>
      </c>
      <c r="AF297" s="31" t="inlineStr">
        <is>
          <t>Research-only surface-blended Elo model; singles only, WTA-only market coverage, not yet locked-holdout qualified.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research_observation</t>
        </is>
      </c>
      <c r="AL297" s="26" t="n">
        <v>3</v>
      </c>
      <c r="AM297" s="24" t="inlineStr">
        <is>
          <t>RESEARCH_OBSERVATION</t>
        </is>
      </c>
      <c r="AN297" s="24" t="inlineStr">
        <is>
          <t>NO_CALL</t>
        </is>
      </c>
      <c r="AO297" s="24" t="inlineStr">
        <is>
          <t>NO_CALL_MODEL_UNVALIDATED</t>
        </is>
      </c>
      <c r="AP297" s="24" t="inlineStr">
        <is>
          <t>Liudmila Samsonova</t>
        </is>
      </c>
      <c r="AQ297" s="24" t="inlineStr">
        <is>
          <t>Liudmila Samsonova</t>
        </is>
      </c>
      <c r="AR297" s="24" t="inlineStr">
        <is>
          <t>Liudmila Samsonova</t>
        </is>
      </c>
      <c r="AS297" s="24" t="inlineStr">
        <is>
          <t>Diana Shnaider</t>
        </is>
      </c>
      <c r="AT297" s="24" t="inlineStr">
        <is>
          <t>Diana Shnaider</t>
        </is>
      </c>
      <c r="AU297" s="24" t="inlineStr">
        <is>
          <t>Diana Shnaider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research</t>
        </is>
      </c>
      <c r="BA297" s="24" t="inlineStr">
        <is>
          <t>999faa03e2fa83bdf40e3760cb8645b4c314e4cc37c2050b8320d6582c4d8167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999faa03e2fa83bdf40e3760cb8645b4c314e4cc37c2050b8320d6582c4d8167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999faa03e2fa83bdf40e3760cb8645b4c314e4cc37c2050b8320d6582c4d8167</t>
        </is>
      </c>
      <c r="BH297" s="24" t="inlineStr">
        <is>
          <t>2026-07-31T19:53:05.806055Z</t>
        </is>
      </c>
      <c r="BI297" s="24" t="inlineStr">
        <is>
          <t>["same_event","same_team_same_day","same_league_same_day"]</t>
        </is>
      </c>
      <c r="BJ297" s="25" t="n"/>
      <c r="BK297" s="26" t="n">
        <v>-113</v>
      </c>
      <c r="BL297" s="27" t="n">
        <v>1.884956</v>
      </c>
      <c r="BM297" s="28" t="n">
        <v>0.530516</v>
      </c>
      <c r="BN297" s="28" t="n"/>
      <c r="BO297" s="28" t="n"/>
      <c r="BP297" s="25" t="n"/>
      <c r="BQ297" s="27" t="n">
        <v>1.884956</v>
      </c>
      <c r="BR297" s="28" t="n">
        <v>0.53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</row>
    <row r="298" ht="36" customHeight="1">
      <c r="A298" s="24" t="inlineStr">
        <is>
          <t>b1115c560fa34be6</t>
        </is>
      </c>
      <c r="B298" s="24" t="inlineStr">
        <is>
          <t>2026-07-31T21:07:23.884398Z</t>
        </is>
      </c>
      <c r="C298" s="24" t="inlineStr">
        <is>
          <t>2026-07-31T22:30Z</t>
        </is>
      </c>
      <c r="D298" s="24" t="inlineStr">
        <is>
          <t>888-2026:179019</t>
        </is>
      </c>
      <c r="E298" s="24" t="inlineStr">
        <is>
          <t>TENNIS</t>
        </is>
      </c>
      <c r="F298" s="24" t="inlineStr">
        <is>
          <t>Elina Svitolina</t>
        </is>
      </c>
      <c r="G298" s="24" t="inlineStr">
        <is>
          <t>Alexandra Eala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-144</v>
      </c>
      <c r="M298" s="27" t="n">
        <v>1.694444</v>
      </c>
      <c r="N298" s="28" t="n">
        <v>0.590164</v>
      </c>
      <c r="O298" s="28" t="n">
        <v>0.710107</v>
      </c>
      <c r="P298" s="28" t="n">
        <v>0.05</v>
      </c>
      <c r="Q298" s="28" t="n">
        <v>0.119943</v>
      </c>
      <c r="R298" s="26" t="n">
        <v>80</v>
      </c>
      <c r="S298" s="29" t="n">
        <v>2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loss</t>
        </is>
      </c>
      <c r="W298" s="26" t="n">
        <v>0</v>
      </c>
      <c r="X298" s="26" t="n">
        <v>1</v>
      </c>
      <c r="Y298" s="25" t="n"/>
      <c r="Z298" s="26" t="n">
        <v>-144</v>
      </c>
      <c r="AA298" s="28" t="n">
        <v>0.59</v>
      </c>
      <c r="AB298" s="28" t="n">
        <v>-0.000164</v>
      </c>
      <c r="AC298" s="30" t="n">
        <v>-2</v>
      </c>
      <c r="AD298" s="24" t="inlineStr">
        <is>
          <t>2026-08-01T03:00:16.760498Z</t>
        </is>
      </c>
      <c r="AE298" s="31" t="inlineStr">
        <is>
          <t>Surface-blended Elo on Hard: Elina Svitolina p=0.710 vs Alexandra Eala. Executable ask 0.5900 (aec-wta-aleeal-elisvi-2026-08-01).</t>
        </is>
      </c>
      <c r="AF298" s="31" t="inlineStr">
        <is>
          <t>Research-only surface-blended Elo model; singles only, WTA-only market coverage, not yet locked-holdout qualified.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research_observation</t>
        </is>
      </c>
      <c r="AL298" s="26" t="n">
        <v>3</v>
      </c>
      <c r="AM298" s="24" t="inlineStr">
        <is>
          <t>RESEARCH_OBSERVATION</t>
        </is>
      </c>
      <c r="AN298" s="24" t="inlineStr">
        <is>
          <t>NO_CALL</t>
        </is>
      </c>
      <c r="AO298" s="24" t="inlineStr">
        <is>
          <t>NO_CALL_MODEL_UNVALIDATED</t>
        </is>
      </c>
      <c r="AP298" s="24" t="inlineStr">
        <is>
          <t>Elina Svitolina</t>
        </is>
      </c>
      <c r="AQ298" s="24" t="inlineStr">
        <is>
          <t>Elina Svitolina</t>
        </is>
      </c>
      <c r="AR298" s="24" t="inlineStr">
        <is>
          <t>Elina Svitolina</t>
        </is>
      </c>
      <c r="AS298" s="24" t="inlineStr">
        <is>
          <t>Alexandra Eala</t>
        </is>
      </c>
      <c r="AT298" s="24" t="inlineStr">
        <is>
          <t>Alexandra Eala</t>
        </is>
      </c>
      <c r="AU298" s="24" t="inlineStr">
        <is>
          <t>Alexandra Eala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research</t>
        </is>
      </c>
      <c r="BA298" s="24" t="inlineStr">
        <is>
          <t>999faa03e2fa83bdf40e3760cb8645b4c314e4cc37c2050b8320d6582c4d8167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999faa03e2fa83bdf40e3760cb8645b4c314e4cc37c2050b8320d6582c4d8167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999faa03e2fa83bdf40e3760cb8645b4c314e4cc37c2050b8320d6582c4d8167</t>
        </is>
      </c>
      <c r="BH298" s="24" t="inlineStr">
        <is>
          <t>2026-07-31T21:05:12.590790Z</t>
        </is>
      </c>
      <c r="BI298" s="24" t="inlineStr">
        <is>
          <t>["same_event","same_team_same_day","same_league_same_day"]</t>
        </is>
      </c>
      <c r="BJ298" s="25" t="n"/>
      <c r="BK298" s="26" t="n">
        <v>-144</v>
      </c>
      <c r="BL298" s="27" t="n">
        <v>1.694444</v>
      </c>
      <c r="BM298" s="28" t="n">
        <v>0.590164</v>
      </c>
      <c r="BN298" s="28" t="n"/>
      <c r="BO298" s="28" t="n"/>
      <c r="BP298" s="25" t="n"/>
      <c r="BQ298" s="27" t="n">
        <v>1.694444</v>
      </c>
      <c r="BR298" s="28" t="n">
        <v>0.59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</row>
    <row r="299" ht="36" customHeight="1">
      <c r="A299" s="24" t="inlineStr">
        <is>
          <t>10eed2ec1da54da9</t>
        </is>
      </c>
      <c r="B299" s="24" t="inlineStr">
        <is>
          <t>2026-07-31T21:07:23.884398Z</t>
        </is>
      </c>
      <c r="C299" s="24" t="inlineStr">
        <is>
          <t>2026-07-31T23:00Z</t>
        </is>
      </c>
      <c r="D299" s="24" t="inlineStr">
        <is>
          <t>1067-2026:179447</t>
        </is>
      </c>
      <c r="E299" s="24" t="inlineStr">
        <is>
          <t>TENNIS</t>
        </is>
      </c>
      <c r="F299" s="24" t="inlineStr">
        <is>
          <t>Katie Volynets</t>
        </is>
      </c>
      <c r="G299" s="24" t="inlineStr">
        <is>
          <t>Darja Vidmanova</t>
        </is>
      </c>
      <c r="H299" s="24" t="inlineStr">
        <is>
          <t>moneyline</t>
        </is>
      </c>
      <c r="I299" s="24" t="inlineStr">
        <is>
          <t>away</t>
        </is>
      </c>
      <c r="J299" s="25" t="n"/>
      <c r="K299" s="24" t="inlineStr">
        <is>
          <t>polymarket_us</t>
        </is>
      </c>
      <c r="L299" s="26" t="n">
        <v>-194</v>
      </c>
      <c r="M299" s="27" t="n">
        <v>1.515464</v>
      </c>
      <c r="N299" s="28" t="n">
        <v>0.659864</v>
      </c>
      <c r="O299" s="28" t="n">
        <v>0.58929</v>
      </c>
      <c r="P299" s="28" t="n">
        <v>0.05</v>
      </c>
      <c r="Q299" s="28" t="n">
        <v>-0.070574</v>
      </c>
      <c r="R299" s="26" t="n">
        <v>0</v>
      </c>
      <c r="S299" s="29" t="n">
        <v>1.25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loss</t>
        </is>
      </c>
      <c r="W299" s="26" t="n">
        <v>0</v>
      </c>
      <c r="X299" s="26" t="n">
        <v>1</v>
      </c>
      <c r="Y299" s="25" t="n"/>
      <c r="Z299" s="26" t="n">
        <v>-194</v>
      </c>
      <c r="AA299" s="28" t="n">
        <v>0.66</v>
      </c>
      <c r="AB299" s="28" t="n">
        <v>0.000136</v>
      </c>
      <c r="AC299" s="30" t="n">
        <v>-1.25</v>
      </c>
      <c r="AD299" s="24" t="inlineStr">
        <is>
          <t>2026-08-01T05:33:51.231172Z</t>
        </is>
      </c>
      <c r="AE299" s="31" t="inlineStr">
        <is>
          <t>Surface-blended Elo on Hard: Katie Volynets p=0.589 vs Darja Vidmanova. Executable ask 0.6600 (aec-wta-darvid-katvol-2026-07-31).</t>
        </is>
      </c>
      <c r="AF299" s="31" t="inlineStr">
        <is>
          <t>Research-only surface-blended Elo model; singles only, WTA-only market coverage, not yet locked-holdout qualified.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research_observation</t>
        </is>
      </c>
      <c r="AL299" s="26" t="n">
        <v>3</v>
      </c>
      <c r="AM299" s="24" t="inlineStr">
        <is>
          <t>RESEARCH_OBSERVATION</t>
        </is>
      </c>
      <c r="AN299" s="24" t="inlineStr">
        <is>
          <t>NO_CALL</t>
        </is>
      </c>
      <c r="AO299" s="24" t="inlineStr">
        <is>
          <t>NO_CALL_MODEL_UNVALIDATED</t>
        </is>
      </c>
      <c r="AP299" s="24" t="inlineStr">
        <is>
          <t>Katie Volynets</t>
        </is>
      </c>
      <c r="AQ299" s="24" t="inlineStr">
        <is>
          <t>Katie Volynets</t>
        </is>
      </c>
      <c r="AR299" s="24" t="inlineStr">
        <is>
          <t>Katie Volynets</t>
        </is>
      </c>
      <c r="AS299" s="24" t="inlineStr">
        <is>
          <t>Darja Vidmanova</t>
        </is>
      </c>
      <c r="AT299" s="24" t="inlineStr">
        <is>
          <t>Darja Vidmanova</t>
        </is>
      </c>
      <c r="AU299" s="24" t="inlineStr">
        <is>
          <t>Darja Vidmanova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research</t>
        </is>
      </c>
      <c r="BA299" s="24" t="inlineStr">
        <is>
          <t>999faa03e2fa83bdf40e3760cb8645b4c314e4cc37c2050b8320d6582c4d8167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999faa03e2fa83bdf40e3760cb8645b4c314e4cc37c2050b8320d6582c4d8167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999faa03e2fa83bdf40e3760cb8645b4c314e4cc37c2050b8320d6582c4d8167</t>
        </is>
      </c>
      <c r="BH299" s="24" t="inlineStr">
        <is>
          <t>2026-07-31T21:05:14.529918Z</t>
        </is>
      </c>
      <c r="BI299" s="24" t="inlineStr">
        <is>
          <t>["same_event","same_team_same_day","same_league_same_day"]</t>
        </is>
      </c>
      <c r="BJ299" s="25" t="n"/>
      <c r="BK299" s="26" t="n">
        <v>-194</v>
      </c>
      <c r="BL299" s="27" t="n">
        <v>1.515464</v>
      </c>
      <c r="BM299" s="28" t="n">
        <v>0.659864</v>
      </c>
      <c r="BN299" s="28" t="n"/>
      <c r="BO299" s="28" t="n"/>
      <c r="BP299" s="25" t="n"/>
      <c r="BQ299" s="27" t="n">
        <v>1.515464</v>
      </c>
      <c r="BR299" s="28" t="n">
        <v>0.66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</row>
    <row r="300" ht="36" customHeight="1">
      <c r="A300" s="24" t="inlineStr">
        <is>
          <t>6b3978939cb34a8d</t>
        </is>
      </c>
      <c r="B300" s="24" t="inlineStr">
        <is>
          <t>2026-08-01T10:21:10.442597Z</t>
        </is>
      </c>
      <c r="C300" s="24" t="inlineStr">
        <is>
          <t>2026-08-01T13:00Z</t>
        </is>
      </c>
      <c r="D300" s="24" t="inlineStr">
        <is>
          <t>1073-2026:179590</t>
        </is>
      </c>
      <c r="E300" s="24" t="inlineStr">
        <is>
          <t>TENNIS</t>
        </is>
      </c>
      <c r="F300" s="24" t="inlineStr">
        <is>
          <t>Francesca Jones</t>
        </is>
      </c>
      <c r="G300" s="24" t="inlineStr">
        <is>
          <t>Kaitlin Quevedo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-113</v>
      </c>
      <c r="M300" s="27" t="n">
        <v>1.884956</v>
      </c>
      <c r="N300" s="28" t="n">
        <v>0.530516</v>
      </c>
      <c r="O300" s="28" t="n">
        <v>0.556019</v>
      </c>
      <c r="P300" s="28" t="n">
        <v>0.05</v>
      </c>
      <c r="Q300" s="28" t="n">
        <v>0.025503</v>
      </c>
      <c r="R300" s="26" t="n">
        <v>33</v>
      </c>
      <c r="S300" s="29" t="n">
        <v>1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1</v>
      </c>
      <c r="Y300" s="25" t="n"/>
      <c r="Z300" s="26" t="n">
        <v>-113</v>
      </c>
      <c r="AA300" s="28" t="n">
        <v>0.53</v>
      </c>
      <c r="AB300" s="28" t="n">
        <v>-0.000516</v>
      </c>
      <c r="AC300" s="30" t="n">
        <v>-1</v>
      </c>
      <c r="AD300" s="24" t="inlineStr">
        <is>
          <t>2026-08-01T16:48:15.887490Z</t>
        </is>
      </c>
      <c r="AE300" s="31" t="inlineStr">
        <is>
          <t>Surface-blended Elo on Hard: Francesca Jones p=0.556 vs Kaitlin Quevedo. Executable ask 0.5300 (aec-wta-kaique-frajon-2026-08-01).</t>
        </is>
      </c>
      <c r="AF300" s="31" t="inlineStr">
        <is>
          <t>Research-only surface-blended Elo model; singles only, WTA-only market coverage, not yet locked-holdout qualified.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research_observation</t>
        </is>
      </c>
      <c r="AL300" s="26" t="n">
        <v>3</v>
      </c>
      <c r="AM300" s="24" t="inlineStr">
        <is>
          <t>RESEARCH_OBSERVATION</t>
        </is>
      </c>
      <c r="AN300" s="24" t="inlineStr">
        <is>
          <t>NO_CALL</t>
        </is>
      </c>
      <c r="AO300" s="24" t="inlineStr">
        <is>
          <t>NO_CALL_MODEL_UNVALIDATED</t>
        </is>
      </c>
      <c r="AP300" s="24" t="inlineStr">
        <is>
          <t>Francesca Jones</t>
        </is>
      </c>
      <c r="AQ300" s="24" t="inlineStr">
        <is>
          <t>Francesca Jones</t>
        </is>
      </c>
      <c r="AR300" s="24" t="inlineStr">
        <is>
          <t>Francesca Jones</t>
        </is>
      </c>
      <c r="AS300" s="24" t="inlineStr">
        <is>
          <t>Kaitlin Quevedo</t>
        </is>
      </c>
      <c r="AT300" s="24" t="inlineStr">
        <is>
          <t>Kaitlin Quevedo</t>
        </is>
      </c>
      <c r="AU300" s="24" t="inlineStr">
        <is>
          <t>Kaitlin Quevedo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research</t>
        </is>
      </c>
      <c r="BA300" s="24" t="inlineStr">
        <is>
          <t>999faa03e2fa83bdf40e3760cb8645b4c314e4cc37c2050b8320d6582c4d8167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999faa03e2fa83bdf40e3760cb8645b4c314e4cc37c2050b8320d6582c4d8167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999faa03e2fa83bdf40e3760cb8645b4c314e4cc37c2050b8320d6582c4d8167</t>
        </is>
      </c>
      <c r="BH300" s="24" t="inlineStr">
        <is>
          <t>2026-08-01T10:17:33.819801Z</t>
        </is>
      </c>
      <c r="BI300" s="24" t="inlineStr">
        <is>
          <t>["same_event","same_team_same_day","same_league_same_day"]</t>
        </is>
      </c>
      <c r="BJ300" s="25" t="n"/>
      <c r="BK300" s="26" t="n">
        <v>-113</v>
      </c>
      <c r="BL300" s="27" t="n">
        <v>1.884956</v>
      </c>
      <c r="BM300" s="28" t="n">
        <v>0.530516</v>
      </c>
      <c r="BN300" s="28" t="n"/>
      <c r="BO300" s="28" t="n"/>
      <c r="BP300" s="25" t="n"/>
      <c r="BQ300" s="27" t="n">
        <v>1.884956</v>
      </c>
      <c r="BR300" s="28" t="n">
        <v>0.53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</row>
    <row r="301" ht="36" customHeight="1">
      <c r="A301" s="24" t="inlineStr">
        <is>
          <t>32c3d88544104880</t>
        </is>
      </c>
      <c r="B301" s="24" t="inlineStr">
        <is>
          <t>2026-08-01T13:45:05.538322Z</t>
        </is>
      </c>
      <c r="C301" s="24" t="inlineStr">
        <is>
          <t>2026-08-01T15:00Z</t>
        </is>
      </c>
      <c r="D301" s="24" t="inlineStr">
        <is>
          <t>1073-2026:179588</t>
        </is>
      </c>
      <c r="E301" s="24" t="inlineStr">
        <is>
          <t>TENNIS</t>
        </is>
      </c>
      <c r="F301" s="24" t="inlineStr">
        <is>
          <t>Laura Samson</t>
        </is>
      </c>
      <c r="G301" s="24" t="inlineStr">
        <is>
          <t>Lucia Bronzetti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-122</v>
      </c>
      <c r="M301" s="27" t="n">
        <v>1.819672</v>
      </c>
      <c r="N301" s="28" t="n">
        <v>0.54955</v>
      </c>
      <c r="O301" s="28" t="n">
        <v>0.616613</v>
      </c>
      <c r="P301" s="28" t="n">
        <v>0.05</v>
      </c>
      <c r="Q301" s="28" t="n">
        <v>0.067063</v>
      </c>
      <c r="R301" s="26" t="n">
        <v>54</v>
      </c>
      <c r="S301" s="29" t="n">
        <v>1.5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1</v>
      </c>
      <c r="X301" s="26" t="n">
        <v>0</v>
      </c>
      <c r="Y301" s="25" t="n"/>
      <c r="Z301" s="26" t="n">
        <v>-122</v>
      </c>
      <c r="AA301" s="28" t="n">
        <v>0.55</v>
      </c>
      <c r="AB301" s="28" t="n">
        <v>0.00045</v>
      </c>
      <c r="AC301" s="30" t="n">
        <v>-1.5</v>
      </c>
      <c r="AD301" s="24" t="inlineStr">
        <is>
          <t>2026-08-01T18:35:36.565262Z</t>
        </is>
      </c>
      <c r="AE301" s="31" t="inlineStr">
        <is>
          <t>Surface-blended Elo on Hard: Laura Samson p=0.383 vs Lucia Bronzetti. Executable ask 0.5500 (aec-wta-lucbro-lausam-2026-08-01).</t>
        </is>
      </c>
      <c r="AF301" s="31" t="inlineStr">
        <is>
          <t>Research-only surface-blended Elo model; singles only, WTA-only market coverage, not yet locked-holdout qualified.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research_observation</t>
        </is>
      </c>
      <c r="AL301" s="26" t="n">
        <v>3</v>
      </c>
      <c r="AM301" s="24" t="inlineStr">
        <is>
          <t>RESEARCH_OBSERVATION</t>
        </is>
      </c>
      <c r="AN301" s="24" t="inlineStr">
        <is>
          <t>NO_CALL</t>
        </is>
      </c>
      <c r="AO301" s="24" t="inlineStr">
        <is>
          <t>NO_CALL_MODEL_UNVALIDATED</t>
        </is>
      </c>
      <c r="AP301" s="24" t="inlineStr">
        <is>
          <t>Laura Samson</t>
        </is>
      </c>
      <c r="AQ301" s="24" t="inlineStr">
        <is>
          <t>Laura Samson</t>
        </is>
      </c>
      <c r="AR301" s="24" t="inlineStr">
        <is>
          <t>Laura Samson</t>
        </is>
      </c>
      <c r="AS301" s="24" t="inlineStr">
        <is>
          <t>Lucia Bronzetti</t>
        </is>
      </c>
      <c r="AT301" s="24" t="inlineStr">
        <is>
          <t>Lucia Bronzetti</t>
        </is>
      </c>
      <c r="AU301" s="24" t="inlineStr">
        <is>
          <t>Lucia Bronzetti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research</t>
        </is>
      </c>
      <c r="BA301" s="24" t="inlineStr">
        <is>
          <t>999faa03e2fa83bdf40e3760cb8645b4c314e4cc37c2050b8320d6582c4d8167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999faa03e2fa83bdf40e3760cb8645b4c314e4cc37c2050b8320d6582c4d8167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999faa03e2fa83bdf40e3760cb8645b4c314e4cc37c2050b8320d6582c4d8167</t>
        </is>
      </c>
      <c r="BH301" s="24" t="inlineStr">
        <is>
          <t>2026-08-01T13:42:52.016686Z</t>
        </is>
      </c>
      <c r="BI301" s="24" t="inlineStr">
        <is>
          <t>["same_event","same_team_same_day","same_league_same_day"]</t>
        </is>
      </c>
      <c r="BJ301" s="25" t="n"/>
      <c r="BK301" s="26" t="n">
        <v>-122</v>
      </c>
      <c r="BL301" s="27" t="n">
        <v>1.819672</v>
      </c>
      <c r="BM301" s="28" t="n">
        <v>0.54955</v>
      </c>
      <c r="BN301" s="28" t="n"/>
      <c r="BO301" s="28" t="n"/>
      <c r="BP301" s="25" t="n"/>
      <c r="BQ301" s="27" t="n">
        <v>1.819672</v>
      </c>
      <c r="BR301" s="28" t="n">
        <v>0.55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</row>
    <row r="302" ht="36" customHeight="1">
      <c r="A302" s="24" t="inlineStr">
        <is>
          <t>aea1bbec2ad64cd6</t>
        </is>
      </c>
      <c r="B302" s="24" t="inlineStr">
        <is>
          <t>2026-08-01T13:45:05.538322Z</t>
        </is>
      </c>
      <c r="C302" s="24" t="inlineStr">
        <is>
          <t>2026-08-01T15:00Z</t>
        </is>
      </c>
      <c r="D302" s="24" t="inlineStr">
        <is>
          <t>421-2026:183321</t>
        </is>
      </c>
      <c r="E302" s="24" t="inlineStr">
        <is>
          <t>TENNIS</t>
        </is>
      </c>
      <c r="F302" s="24" t="inlineStr">
        <is>
          <t>Aoi Ito</t>
        </is>
      </c>
      <c r="G302" s="24" t="inlineStr">
        <is>
          <t>Oksana Selekhmeteva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-223</v>
      </c>
      <c r="M302" s="27" t="n">
        <v>1.44843</v>
      </c>
      <c r="N302" s="28" t="n">
        <v>0.690402</v>
      </c>
      <c r="O302" s="28" t="n">
        <v>0.5925859999999999</v>
      </c>
      <c r="P302" s="28" t="n">
        <v>0.05</v>
      </c>
      <c r="Q302" s="28" t="n">
        <v>-0.097816</v>
      </c>
      <c r="R302" s="26" t="n">
        <v>0</v>
      </c>
      <c r="S302" s="29" t="n">
        <v>1.25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>
        <v>-223</v>
      </c>
      <c r="AA302" s="28" t="n">
        <v>0.6899999999999999</v>
      </c>
      <c r="AB302" s="28" t="n">
        <v>-0.000402</v>
      </c>
      <c r="AC302" s="30" t="n">
        <v>-1.25</v>
      </c>
      <c r="AD302" s="24" t="inlineStr">
        <is>
          <t>2026-08-01T18:35:37.137505Z</t>
        </is>
      </c>
      <c r="AE302" s="31" t="inlineStr">
        <is>
          <t>Surface-blended Elo on Hard: Aoi Ito p=0.407 vs Oksana Selekhmeteva. Executable ask 0.6900 (aec-wta-okssel-aoiito-2026-08-01).</t>
        </is>
      </c>
      <c r="AF302" s="31" t="inlineStr">
        <is>
          <t>Research-only surface-blended Elo model; singles only, WTA-only market coverage,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research_observation</t>
        </is>
      </c>
      <c r="AL302" s="26" t="n">
        <v>3</v>
      </c>
      <c r="AM302" s="24" t="inlineStr">
        <is>
          <t>RESEARCH_OBSERVATION</t>
        </is>
      </c>
      <c r="AN302" s="24" t="inlineStr">
        <is>
          <t>NO_CALL</t>
        </is>
      </c>
      <c r="AO302" s="24" t="inlineStr">
        <is>
          <t>NO_CALL_MODEL_UNVALIDATED</t>
        </is>
      </c>
      <c r="AP302" s="24" t="inlineStr">
        <is>
          <t>Aoi Ito</t>
        </is>
      </c>
      <c r="AQ302" s="24" t="inlineStr">
        <is>
          <t>Aoi Ito</t>
        </is>
      </c>
      <c r="AR302" s="24" t="inlineStr">
        <is>
          <t>Aoi Ito</t>
        </is>
      </c>
      <c r="AS302" s="24" t="inlineStr">
        <is>
          <t>Oksana Selekhmeteva</t>
        </is>
      </c>
      <c r="AT302" s="24" t="inlineStr">
        <is>
          <t>Oksana Selekhmeteva</t>
        </is>
      </c>
      <c r="AU302" s="24" t="inlineStr">
        <is>
          <t>Oksana Selekhmeteva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research</t>
        </is>
      </c>
      <c r="BA302" s="24" t="inlineStr">
        <is>
          <t>999faa03e2fa83bdf40e3760cb8645b4c314e4cc37c2050b8320d6582c4d8167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999faa03e2fa83bdf40e3760cb8645b4c314e4cc37c2050b8320d6582c4d8167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999faa03e2fa83bdf40e3760cb8645b4c314e4cc37c2050b8320d6582c4d8167</t>
        </is>
      </c>
      <c r="BH302" s="24" t="inlineStr">
        <is>
          <t>2026-08-01T13:42:48.416587Z</t>
        </is>
      </c>
      <c r="BI302" s="24" t="inlineStr">
        <is>
          <t>["same_event","same_team_same_day","same_league_same_day"]</t>
        </is>
      </c>
      <c r="BJ302" s="25" t="n"/>
      <c r="BK302" s="26" t="n">
        <v>-223</v>
      </c>
      <c r="BL302" s="27" t="n">
        <v>1.44843</v>
      </c>
      <c r="BM302" s="28" t="n">
        <v>0.690402</v>
      </c>
      <c r="BN302" s="28" t="n"/>
      <c r="BO302" s="28" t="n"/>
      <c r="BP302" s="25" t="n"/>
      <c r="BQ302" s="27" t="n">
        <v>1.44843</v>
      </c>
      <c r="BR302" s="28" t="n">
        <v>0.6899999999999999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</row>
    <row r="303" ht="36" customHeight="1">
      <c r="A303" s="24" t="inlineStr">
        <is>
          <t>0ba68b6e97b34a6e</t>
        </is>
      </c>
      <c r="B303" s="24" t="inlineStr">
        <is>
          <t>2026-08-01T13:45:05.538322Z</t>
        </is>
      </c>
      <c r="C303" s="24" t="inlineStr">
        <is>
          <t>2026-08-01T15:00Z</t>
        </is>
      </c>
      <c r="D303" s="24" t="inlineStr">
        <is>
          <t>421-2026:183322</t>
        </is>
      </c>
      <c r="E303" s="24" t="inlineStr">
        <is>
          <t>TENNIS</t>
        </is>
      </c>
      <c r="F303" s="24" t="inlineStr">
        <is>
          <t>Lois Boisson</t>
        </is>
      </c>
      <c r="G303" s="24" t="inlineStr">
        <is>
          <t>Emiliana Arango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108</v>
      </c>
      <c r="M303" s="27" t="n">
        <v>2.08</v>
      </c>
      <c r="N303" s="28" t="n">
        <v>0.480769</v>
      </c>
      <c r="O303" s="28" t="n">
        <v>0.5789029999999999</v>
      </c>
      <c r="P303" s="28" t="n">
        <v>0.05</v>
      </c>
      <c r="Q303" s="28" t="n">
        <v>0.098134</v>
      </c>
      <c r="R303" s="26" t="n">
        <v>69</v>
      </c>
      <c r="S303" s="29" t="n">
        <v>1.25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win</t>
        </is>
      </c>
      <c r="W303" s="26" t="n">
        <v>1</v>
      </c>
      <c r="X303" s="26" t="n">
        <v>0</v>
      </c>
      <c r="Y303" s="25" t="n"/>
      <c r="Z303" s="26" t="n">
        <v>108</v>
      </c>
      <c r="AA303" s="28" t="n">
        <v>0.48</v>
      </c>
      <c r="AB303" s="28" t="n">
        <v>-0.000769</v>
      </c>
      <c r="AC303" s="30" t="n">
        <v>1.35</v>
      </c>
      <c r="AD303" s="24" t="inlineStr">
        <is>
          <t>2026-08-01T18:35:37.653283Z</t>
        </is>
      </c>
      <c r="AE303" s="31" t="inlineStr">
        <is>
          <t>Surface-blended Elo on Hard: Lois Boisson p=0.579 vs Emiliana Arango. Executable ask 0.4800 (aec-wta-emiara-loiboi-2026-08-01).</t>
        </is>
      </c>
      <c r="AF303" s="31" t="inlineStr">
        <is>
          <t>Research-only surface-blended Elo model; singles only, WTA-only market coverage, not yet locked-holdout qualified.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research_observation</t>
        </is>
      </c>
      <c r="AL303" s="26" t="n">
        <v>3</v>
      </c>
      <c r="AM303" s="24" t="inlineStr">
        <is>
          <t>RESEARCH_OBSERVATION</t>
        </is>
      </c>
      <c r="AN303" s="24" t="inlineStr">
        <is>
          <t>NO_CALL</t>
        </is>
      </c>
      <c r="AO303" s="24" t="inlineStr">
        <is>
          <t>NO_CALL_MODEL_UNVALIDATED</t>
        </is>
      </c>
      <c r="AP303" s="24" t="inlineStr">
        <is>
          <t>Lois Boisson</t>
        </is>
      </c>
      <c r="AQ303" s="24" t="inlineStr">
        <is>
          <t>Lois Boisson</t>
        </is>
      </c>
      <c r="AR303" s="24" t="inlineStr">
        <is>
          <t>Lois Boisson</t>
        </is>
      </c>
      <c r="AS303" s="24" t="inlineStr">
        <is>
          <t>Emiliana Arango</t>
        </is>
      </c>
      <c r="AT303" s="24" t="inlineStr">
        <is>
          <t>Emiliana Arango</t>
        </is>
      </c>
      <c r="AU303" s="24" t="inlineStr">
        <is>
          <t>Emiliana Arango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research</t>
        </is>
      </c>
      <c r="BA303" s="24" t="inlineStr">
        <is>
          <t>999faa03e2fa83bdf40e3760cb8645b4c314e4cc37c2050b8320d6582c4d8167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999faa03e2fa83bdf40e3760cb8645b4c314e4cc37c2050b8320d6582c4d8167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999faa03e2fa83bdf40e3760cb8645b4c314e4cc37c2050b8320d6582c4d8167</t>
        </is>
      </c>
      <c r="BH303" s="24" t="inlineStr">
        <is>
          <t>2026-08-01T13:42:47.170895Z</t>
        </is>
      </c>
      <c r="BI303" s="24" t="inlineStr">
        <is>
          <t>["same_event","same_team_same_day","same_league_same_day"]</t>
        </is>
      </c>
      <c r="BJ303" s="25" t="n"/>
      <c r="BK303" s="26" t="n">
        <v>108</v>
      </c>
      <c r="BL303" s="27" t="n">
        <v>2.08</v>
      </c>
      <c r="BM303" s="28" t="n">
        <v>0.480769</v>
      </c>
      <c r="BN303" s="28" t="n"/>
      <c r="BO303" s="28" t="n"/>
      <c r="BP303" s="25" t="n"/>
      <c r="BQ303" s="27" t="n">
        <v>2.08</v>
      </c>
      <c r="BR303" s="28" t="n">
        <v>0.48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</row>
    <row r="304" ht="36" customHeight="1">
      <c r="A304" s="24" t="inlineStr">
        <is>
          <t>0929e2ef16d04d34</t>
        </is>
      </c>
      <c r="B304" s="24" t="inlineStr">
        <is>
          <t>2026-08-01T13:45:05.538322Z</t>
        </is>
      </c>
      <c r="C304" s="24" t="inlineStr">
        <is>
          <t>2026-08-01T15:00Z</t>
        </is>
      </c>
      <c r="D304" s="24" t="inlineStr">
        <is>
          <t>421-2026:183328</t>
        </is>
      </c>
      <c r="E304" s="24" t="inlineStr">
        <is>
          <t>TENNIS</t>
        </is>
      </c>
      <c r="F304" s="24" t="inlineStr">
        <is>
          <t>Zhu Lin</t>
        </is>
      </c>
      <c r="G304" s="24" t="inlineStr">
        <is>
          <t>Leolia Jeanjean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122</v>
      </c>
      <c r="M304" s="27" t="n">
        <v>2.22</v>
      </c>
      <c r="N304" s="28" t="n">
        <v>0.45045</v>
      </c>
      <c r="O304" s="28" t="n">
        <v>0.518244</v>
      </c>
      <c r="P304" s="28" t="n">
        <v>0.05</v>
      </c>
      <c r="Q304" s="28" t="n">
        <v>0.06779399999999999</v>
      </c>
      <c r="R304" s="26" t="n">
        <v>54</v>
      </c>
      <c r="S304" s="29" t="n">
        <v>1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win</t>
        </is>
      </c>
      <c r="W304" s="26" t="n">
        <v>0</v>
      </c>
      <c r="X304" s="26" t="n">
        <v>1</v>
      </c>
      <c r="Y304" s="25" t="n"/>
      <c r="Z304" s="26" t="n">
        <v>122</v>
      </c>
      <c r="AA304" s="28" t="n">
        <v>0.45</v>
      </c>
      <c r="AB304" s="28" t="n">
        <v>-0.00045</v>
      </c>
      <c r="AC304" s="30" t="n">
        <v>1.22</v>
      </c>
      <c r="AD304" s="24" t="inlineStr">
        <is>
          <t>2026-08-01T18:35:38.169808Z</t>
        </is>
      </c>
      <c r="AE304" s="31" t="inlineStr">
        <is>
          <t>Surface-blended Elo on Hard: Zhu Lin p=0.482 vs Leolia Jeanjean. Executable ask 0.4500 (aec-wta-leojea-linzhu-2026-08-01).</t>
        </is>
      </c>
      <c r="AF304" s="31" t="inlineStr">
        <is>
          <t>Research-only surface-blended Elo model; singles only, WTA-only market coverage, not yet locked-holdout qualified.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research_observation</t>
        </is>
      </c>
      <c r="AL304" s="26" t="n">
        <v>3</v>
      </c>
      <c r="AM304" s="24" t="inlineStr">
        <is>
          <t>RESEARCH_OBSERVATION</t>
        </is>
      </c>
      <c r="AN304" s="24" t="inlineStr">
        <is>
          <t>NO_CALL</t>
        </is>
      </c>
      <c r="AO304" s="24" t="inlineStr">
        <is>
          <t>NO_CALL_MODEL_UNVALIDATED</t>
        </is>
      </c>
      <c r="AP304" s="24" t="inlineStr">
        <is>
          <t>Zhu Lin</t>
        </is>
      </c>
      <c r="AQ304" s="24" t="inlineStr">
        <is>
          <t>Zhu Lin</t>
        </is>
      </c>
      <c r="AR304" s="24" t="inlineStr">
        <is>
          <t>Zhu Lin</t>
        </is>
      </c>
      <c r="AS304" s="24" t="inlineStr">
        <is>
          <t>Leolia Jeanjean</t>
        </is>
      </c>
      <c r="AT304" s="24" t="inlineStr">
        <is>
          <t>Leolia Jeanjean</t>
        </is>
      </c>
      <c r="AU304" s="24" t="inlineStr">
        <is>
          <t>Leolia Jeanjean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research</t>
        </is>
      </c>
      <c r="BA304" s="24" t="inlineStr">
        <is>
          <t>999faa03e2fa83bdf40e3760cb8645b4c314e4cc37c2050b8320d6582c4d8167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999faa03e2fa83bdf40e3760cb8645b4c314e4cc37c2050b8320d6582c4d8167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999faa03e2fa83bdf40e3760cb8645b4c314e4cc37c2050b8320d6582c4d8167</t>
        </is>
      </c>
      <c r="BH304" s="24" t="inlineStr">
        <is>
          <t>2026-08-01T13:42:50.700450Z</t>
        </is>
      </c>
      <c r="BI304" s="24" t="inlineStr">
        <is>
          <t>["same_event","same_team_same_day","same_league_same_day"]</t>
        </is>
      </c>
      <c r="BJ304" s="25" t="n"/>
      <c r="BK304" s="26" t="n">
        <v>122</v>
      </c>
      <c r="BL304" s="27" t="n">
        <v>2.22</v>
      </c>
      <c r="BM304" s="28" t="n">
        <v>0.45045</v>
      </c>
      <c r="BN304" s="28" t="n"/>
      <c r="BO304" s="28" t="n"/>
      <c r="BP304" s="25" t="n"/>
      <c r="BQ304" s="27" t="n">
        <v>2.22</v>
      </c>
      <c r="BR304" s="28" t="n">
        <v>0.45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</row>
    <row r="305" ht="36" customHeight="1">
      <c r="A305" s="24" t="inlineStr">
        <is>
          <t>a9f79cf84e904ab3</t>
        </is>
      </c>
      <c r="B305" s="24" t="inlineStr">
        <is>
          <t>2026-08-01T13:45:05.538322Z</t>
        </is>
      </c>
      <c r="C305" s="24" t="inlineStr">
        <is>
          <t>2026-08-01T15:00Z</t>
        </is>
      </c>
      <c r="D305" s="24" t="inlineStr">
        <is>
          <t>421-2026:183329</t>
        </is>
      </c>
      <c r="E305" s="24" t="inlineStr">
        <is>
          <t>TENNIS</t>
        </is>
      </c>
      <c r="F305" s="24" t="inlineStr">
        <is>
          <t>Marina Bassols Ribera</t>
        </is>
      </c>
      <c r="G305" s="24" t="inlineStr">
        <is>
          <t>Victoria Jimenez Kasintseva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-170</v>
      </c>
      <c r="M305" s="27" t="n">
        <v>1.588235</v>
      </c>
      <c r="N305" s="28" t="n">
        <v>0.62963</v>
      </c>
      <c r="O305" s="28" t="n">
        <v>0.542961</v>
      </c>
      <c r="P305" s="28" t="n">
        <v>0.05</v>
      </c>
      <c r="Q305" s="28" t="n">
        <v>-0.086669</v>
      </c>
      <c r="R305" s="26" t="n">
        <v>0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loss</t>
        </is>
      </c>
      <c r="W305" s="26" t="n">
        <v>0</v>
      </c>
      <c r="X305" s="26" t="n">
        <v>1</v>
      </c>
      <c r="Y305" s="25" t="n"/>
      <c r="Z305" s="26" t="n">
        <v>-170</v>
      </c>
      <c r="AA305" s="28" t="n">
        <v>0.63</v>
      </c>
      <c r="AB305" s="28" t="n">
        <v>0.00037</v>
      </c>
      <c r="AC305" s="30" t="n">
        <v>-1</v>
      </c>
      <c r="AD305" s="24" t="inlineStr">
        <is>
          <t>2026-08-01T18:35:38.685541Z</t>
        </is>
      </c>
      <c r="AE305" s="31" t="inlineStr">
        <is>
          <t>Surface-blended Elo on Hard: Marina Bassols Ribera p=0.543 vs Victoria Jimenez Kasintseva. Executable ask 0.6300 (aec-wta-vickas-marrib-2026-08-01).</t>
        </is>
      </c>
      <c r="AF305" s="31" t="inlineStr">
        <is>
          <t>Research-only surface-blended Elo model; singles only, WTA-only market coverage, not yet locked-holdout qualified.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research_observation</t>
        </is>
      </c>
      <c r="AL305" s="26" t="n">
        <v>3</v>
      </c>
      <c r="AM305" s="24" t="inlineStr">
        <is>
          <t>RESEARCH_OBSERVATION</t>
        </is>
      </c>
      <c r="AN305" s="24" t="inlineStr">
        <is>
          <t>NO_CALL</t>
        </is>
      </c>
      <c r="AO305" s="24" t="inlineStr">
        <is>
          <t>NO_CALL_MODEL_UNVALIDATED</t>
        </is>
      </c>
      <c r="AP305" s="24" t="inlineStr">
        <is>
          <t>Marina Bassols Ribera</t>
        </is>
      </c>
      <c r="AQ305" s="24" t="inlineStr">
        <is>
          <t>Marina Bassols Ribera</t>
        </is>
      </c>
      <c r="AR305" s="24" t="inlineStr">
        <is>
          <t>Marina Bassols Ribera</t>
        </is>
      </c>
      <c r="AS305" s="24" t="inlineStr">
        <is>
          <t>Victoria Jimenez Kasintseva</t>
        </is>
      </c>
      <c r="AT305" s="24" t="inlineStr">
        <is>
          <t>Victoria Jimenez Kasintseva</t>
        </is>
      </c>
      <c r="AU305" s="24" t="inlineStr">
        <is>
          <t>Victoria Jimenez Kasintseva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research</t>
        </is>
      </c>
      <c r="BA305" s="24" t="inlineStr">
        <is>
          <t>999faa03e2fa83bdf40e3760cb8645b4c314e4cc37c2050b8320d6582c4d8167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999faa03e2fa83bdf40e3760cb8645b4c314e4cc37c2050b8320d6582c4d8167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999faa03e2fa83bdf40e3760cb8645b4c314e4cc37c2050b8320d6582c4d8167</t>
        </is>
      </c>
      <c r="BH305" s="24" t="inlineStr">
        <is>
          <t>2026-08-01T13:42:45.658413Z</t>
        </is>
      </c>
      <c r="BI305" s="24" t="inlineStr">
        <is>
          <t>["same_event","same_team_same_day","same_league_same_day"]</t>
        </is>
      </c>
      <c r="BJ305" s="25" t="n"/>
      <c r="BK305" s="26" t="n">
        <v>-170</v>
      </c>
      <c r="BL305" s="27" t="n">
        <v>1.588235</v>
      </c>
      <c r="BM305" s="28" t="n">
        <v>0.62963</v>
      </c>
      <c r="BN305" s="28" t="n"/>
      <c r="BO305" s="28" t="n"/>
      <c r="BP305" s="25" t="n"/>
      <c r="BQ305" s="27" t="n">
        <v>1.588235</v>
      </c>
      <c r="BR305" s="28" t="n">
        <v>0.63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</row>
    <row r="306" ht="36" customHeight="1">
      <c r="A306" s="24" t="inlineStr">
        <is>
          <t>276b20227dcf4a5b</t>
        </is>
      </c>
      <c r="B306" s="24" t="inlineStr">
        <is>
          <t>2026-08-01T13:45:05.538322Z</t>
        </is>
      </c>
      <c r="C306" s="24" t="inlineStr">
        <is>
          <t>2026-08-01T16:30Z</t>
        </is>
      </c>
      <c r="D306" s="24" t="inlineStr">
        <is>
          <t>421-2026:183314</t>
        </is>
      </c>
      <c r="E306" s="24" t="inlineStr">
        <is>
          <t>TENNIS</t>
        </is>
      </c>
      <c r="F306" s="24" t="inlineStr">
        <is>
          <t>Zheng Qinwen</t>
        </is>
      </c>
      <c r="G306" s="24" t="inlineStr">
        <is>
          <t>Lanlana Tararudee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-257</v>
      </c>
      <c r="M306" s="27" t="n">
        <v>1.389105</v>
      </c>
      <c r="N306" s="28" t="n">
        <v>0.719888</v>
      </c>
      <c r="O306" s="28" t="n">
        <v>0.522979</v>
      </c>
      <c r="P306" s="28" t="n">
        <v>0.05</v>
      </c>
      <c r="Q306" s="28" t="n">
        <v>-0.196909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loss</t>
        </is>
      </c>
      <c r="W306" s="26" t="n">
        <v>0</v>
      </c>
      <c r="X306" s="26" t="n">
        <v>1</v>
      </c>
      <c r="Y306" s="25" t="n"/>
      <c r="Z306" s="26" t="n"/>
      <c r="AA306" s="28" t="n"/>
      <c r="AB306" s="28" t="n"/>
      <c r="AC306" s="30" t="n">
        <v>-1</v>
      </c>
      <c r="AD306" s="24" t="inlineStr">
        <is>
          <t>2026-08-01T20:13:24.564563Z</t>
        </is>
      </c>
      <c r="AE306" s="31" t="inlineStr">
        <is>
          <t>Surface-blended Elo on Hard: Zheng Qinwen p=0.523 vs Lanlana Tararudee. Executable ask 0.7200 (aec-wta-lantar-qinzhe-2026-08-01).</t>
        </is>
      </c>
      <c r="AF306" s="31" t="inlineStr">
        <is>
          <t>Research-only surface-blended Elo model; singles only, WTA-only market coverage, not yet locked-holdout qualified.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research_observation</t>
        </is>
      </c>
      <c r="AL306" s="26" t="n">
        <v>3</v>
      </c>
      <c r="AM306" s="24" t="inlineStr">
        <is>
          <t>RESEARCH_OBSERVATION</t>
        </is>
      </c>
      <c r="AN306" s="24" t="inlineStr">
        <is>
          <t>NO_CALL</t>
        </is>
      </c>
      <c r="AO306" s="24" t="inlineStr">
        <is>
          <t>NO_CALL_MODEL_UNVALIDATED</t>
        </is>
      </c>
      <c r="AP306" s="24" t="inlineStr">
        <is>
          <t>Zheng Qinwen</t>
        </is>
      </c>
      <c r="AQ306" s="24" t="inlineStr">
        <is>
          <t>Zheng Qinwen</t>
        </is>
      </c>
      <c r="AR306" s="24" t="inlineStr">
        <is>
          <t>Zheng Qinwen</t>
        </is>
      </c>
      <c r="AS306" s="24" t="inlineStr">
        <is>
          <t>Lanlana Tararudee</t>
        </is>
      </c>
      <c r="AT306" s="24" t="inlineStr">
        <is>
          <t>Lanlana Tararudee</t>
        </is>
      </c>
      <c r="AU306" s="24" t="inlineStr">
        <is>
          <t>Lanlana Tararudee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research</t>
        </is>
      </c>
      <c r="BA306" s="24" t="inlineStr">
        <is>
          <t>999faa03e2fa83bdf40e3760cb8645b4c314e4cc37c2050b8320d6582c4d8167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999faa03e2fa83bdf40e3760cb8645b4c314e4cc37c2050b8320d6582c4d8167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999faa03e2fa83bdf40e3760cb8645b4c314e4cc37c2050b8320d6582c4d8167</t>
        </is>
      </c>
      <c r="BH306" s="24" t="inlineStr">
        <is>
          <t>2026-08-01T13:42:55.992533Z</t>
        </is>
      </c>
      <c r="BI306" s="24" t="inlineStr">
        <is>
          <t>["same_event","same_team_same_day","same_league_same_day"]</t>
        </is>
      </c>
      <c r="BJ306" s="25" t="n"/>
      <c r="BK306" s="26" t="n">
        <v>-257</v>
      </c>
      <c r="BL306" s="27" t="n">
        <v>1.389105</v>
      </c>
      <c r="BM306" s="28" t="n">
        <v>0.719888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</row>
    <row r="307" ht="36" customHeight="1">
      <c r="A307" s="24" t="inlineStr">
        <is>
          <t>42c0de5270074fbe</t>
        </is>
      </c>
      <c r="B307" s="24" t="inlineStr">
        <is>
          <t>2026-08-01T13:45:05.538322Z</t>
        </is>
      </c>
      <c r="C307" s="24" t="inlineStr">
        <is>
          <t>2026-08-01T16:30Z</t>
        </is>
      </c>
      <c r="D307" s="24" t="inlineStr">
        <is>
          <t>421-2026:183317</t>
        </is>
      </c>
      <c r="E307" s="24" t="inlineStr">
        <is>
          <t>TENNIS</t>
        </is>
      </c>
      <c r="F307" s="24" t="inlineStr">
        <is>
          <t>Mary Stoiana</t>
        </is>
      </c>
      <c r="G307" s="24" t="inlineStr">
        <is>
          <t>Alina Korneeva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-194</v>
      </c>
      <c r="M307" s="27" t="n">
        <v>1.515464</v>
      </c>
      <c r="N307" s="28" t="n">
        <v>0.659864</v>
      </c>
      <c r="O307" s="28" t="n">
        <v>0.532656</v>
      </c>
      <c r="P307" s="28" t="n">
        <v>0.05</v>
      </c>
      <c r="Q307" s="28" t="n">
        <v>-0.127208</v>
      </c>
      <c r="R307" s="26" t="n">
        <v>0</v>
      </c>
      <c r="S307" s="29" t="n">
        <v>1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>
        <v>-194</v>
      </c>
      <c r="AA307" s="28" t="n">
        <v>0.66</v>
      </c>
      <c r="AB307" s="28" t="n">
        <v>0.000136</v>
      </c>
      <c r="AC307" s="30" t="n">
        <v>0.5155</v>
      </c>
      <c r="AD307" s="24" t="inlineStr">
        <is>
          <t>2026-08-01T20:13:25.102676Z</t>
        </is>
      </c>
      <c r="AE307" s="31" t="inlineStr">
        <is>
          <t>Surface-blended Elo on Hard: Mary Stoiana p=0.467 vs Alina Korneeva. Executable ask 0.6600 (aec-wta-alikor-marsto-2026-08-01).</t>
        </is>
      </c>
      <c r="AF307" s="31" t="inlineStr">
        <is>
          <t>Research-only surface-blended Elo model; singles only, WTA-only market coverage,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research_observation</t>
        </is>
      </c>
      <c r="AL307" s="26" t="n">
        <v>3</v>
      </c>
      <c r="AM307" s="24" t="inlineStr">
        <is>
          <t>RESEARCH_OBSERVATION</t>
        </is>
      </c>
      <c r="AN307" s="24" t="inlineStr">
        <is>
          <t>NO_CALL</t>
        </is>
      </c>
      <c r="AO307" s="24" t="inlineStr">
        <is>
          <t>NO_CALL_MODEL_UNVALIDATED</t>
        </is>
      </c>
      <c r="AP307" s="24" t="inlineStr">
        <is>
          <t>Mary Stoiana</t>
        </is>
      </c>
      <c r="AQ307" s="24" t="inlineStr">
        <is>
          <t>Mary Stoiana</t>
        </is>
      </c>
      <c r="AR307" s="24" t="inlineStr">
        <is>
          <t>Mary Stoiana</t>
        </is>
      </c>
      <c r="AS307" s="24" t="inlineStr">
        <is>
          <t>Alina Korneeva</t>
        </is>
      </c>
      <c r="AT307" s="24" t="inlineStr">
        <is>
          <t>Alina Korneeva</t>
        </is>
      </c>
      <c r="AU307" s="24" t="inlineStr">
        <is>
          <t>Alina Korneeva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research</t>
        </is>
      </c>
      <c r="BA307" s="24" t="inlineStr">
        <is>
          <t>999faa03e2fa83bdf40e3760cb8645b4c314e4cc37c2050b8320d6582c4d8167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999faa03e2fa83bdf40e3760cb8645b4c314e4cc37c2050b8320d6582c4d8167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999faa03e2fa83bdf40e3760cb8645b4c314e4cc37c2050b8320d6582c4d8167</t>
        </is>
      </c>
      <c r="BH307" s="24" t="inlineStr">
        <is>
          <t>2026-08-01T13:42:52.164407Z</t>
        </is>
      </c>
      <c r="BI307" s="24" t="inlineStr">
        <is>
          <t>["same_event","same_team_same_day","same_league_same_day"]</t>
        </is>
      </c>
      <c r="BJ307" s="25" t="n"/>
      <c r="BK307" s="26" t="n">
        <v>-194</v>
      </c>
      <c r="BL307" s="27" t="n">
        <v>1.515464</v>
      </c>
      <c r="BM307" s="28" t="n">
        <v>0.659864</v>
      </c>
      <c r="BN307" s="28" t="n"/>
      <c r="BO307" s="28" t="n"/>
      <c r="BP307" s="25" t="n"/>
      <c r="BQ307" s="27" t="n">
        <v>1.515464</v>
      </c>
      <c r="BR307" s="28" t="n">
        <v>0.66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</row>
    <row r="308" ht="36" customHeight="1">
      <c r="A308" s="24" t="inlineStr">
        <is>
          <t>1fe67e4c3bec4eee</t>
        </is>
      </c>
      <c r="B308" s="24" t="inlineStr">
        <is>
          <t>2026-08-01T13:45:05.538322Z</t>
        </is>
      </c>
      <c r="C308" s="24" t="inlineStr">
        <is>
          <t>2026-08-01T16:30Z</t>
        </is>
      </c>
      <c r="D308" s="24" t="inlineStr">
        <is>
          <t>421-2026:183318</t>
        </is>
      </c>
      <c r="E308" s="24" t="inlineStr">
        <is>
          <t>TENNIS</t>
        </is>
      </c>
      <c r="F308" s="24" t="inlineStr">
        <is>
          <t>Isabella Marton</t>
        </is>
      </c>
      <c r="G308" s="24" t="inlineStr">
        <is>
          <t>Tatjana Maria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-2400</v>
      </c>
      <c r="M308" s="27" t="n">
        <v>1.041667</v>
      </c>
      <c r="N308" s="28" t="n">
        <v>0.96</v>
      </c>
      <c r="O308" s="28" t="n">
        <v>0.718038</v>
      </c>
      <c r="P308" s="28" t="n">
        <v>0.2</v>
      </c>
      <c r="Q308" s="28" t="n">
        <v>-0.241962</v>
      </c>
      <c r="R308" s="26" t="n">
        <v>0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win</t>
        </is>
      </c>
      <c r="W308" s="26" t="n">
        <v>0</v>
      </c>
      <c r="X308" s="26" t="n">
        <v>1</v>
      </c>
      <c r="Y308" s="25" t="n"/>
      <c r="Z308" s="26" t="n">
        <v>-2400</v>
      </c>
      <c r="AA308" s="28" t="n">
        <v>0.96</v>
      </c>
      <c r="AB308" s="28" t="n">
        <v>0</v>
      </c>
      <c r="AC308" s="30" t="n">
        <v>0.0417</v>
      </c>
      <c r="AD308" s="24" t="inlineStr">
        <is>
          <t>2026-08-01T20:13:25.632481Z</t>
        </is>
      </c>
      <c r="AE308" s="31" t="inlineStr">
        <is>
          <t>Surface-blended Elo on Hard: Isabella Marton p=0.282 vs Tatjana Maria. Executable ask 0.9600 (aec-wta-tatmar-isamar-2026-08-01).</t>
        </is>
      </c>
      <c r="AF308" s="31" t="inlineStr">
        <is>
          <t>Research-only surface-blended Elo model; singles only, WTA-only market coverage, not yet locked-holdout qualified.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research_observation</t>
        </is>
      </c>
      <c r="AL308" s="26" t="n">
        <v>3</v>
      </c>
      <c r="AM308" s="24" t="inlineStr">
        <is>
          <t>RESEARCH_OBSERVATION</t>
        </is>
      </c>
      <c r="AN308" s="24" t="inlineStr">
        <is>
          <t>NO_CALL</t>
        </is>
      </c>
      <c r="AO308" s="24" t="inlineStr">
        <is>
          <t>NO_CALL_MODEL_UNVALIDATED</t>
        </is>
      </c>
      <c r="AP308" s="24" t="inlineStr">
        <is>
          <t>Isabella Marton</t>
        </is>
      </c>
      <c r="AQ308" s="24" t="inlineStr">
        <is>
          <t>Isabella Marton</t>
        </is>
      </c>
      <c r="AR308" s="24" t="inlineStr">
        <is>
          <t>Isabella Marton</t>
        </is>
      </c>
      <c r="AS308" s="24" t="inlineStr">
        <is>
          <t>Tatjana Maria</t>
        </is>
      </c>
      <c r="AT308" s="24" t="inlineStr">
        <is>
          <t>Tatjana Maria</t>
        </is>
      </c>
      <c r="AU308" s="24" t="inlineStr">
        <is>
          <t>Tatjana Maria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research</t>
        </is>
      </c>
      <c r="BA308" s="24" t="inlineStr">
        <is>
          <t>999faa03e2fa83bdf40e3760cb8645b4c314e4cc37c2050b8320d6582c4d8167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999faa03e2fa83bdf40e3760cb8645b4c314e4cc37c2050b8320d6582c4d8167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999faa03e2fa83bdf40e3760cb8645b4c314e4cc37c2050b8320d6582c4d8167</t>
        </is>
      </c>
      <c r="BH308" s="24" t="inlineStr">
        <is>
          <t>2026-08-01T13:42:53.865852Z</t>
        </is>
      </c>
      <c r="BI308" s="24" t="inlineStr">
        <is>
          <t>["same_event","same_team_same_day","same_league_same_day"]</t>
        </is>
      </c>
      <c r="BJ308" s="25" t="n"/>
      <c r="BK308" s="26" t="n">
        <v>-2400</v>
      </c>
      <c r="BL308" s="27" t="n">
        <v>1.041667</v>
      </c>
      <c r="BM308" s="28" t="n">
        <v>0.96</v>
      </c>
      <c r="BN308" s="28" t="n"/>
      <c r="BO308" s="28" t="n"/>
      <c r="BP308" s="25" t="n"/>
      <c r="BQ308" s="27" t="n">
        <v>1.041667</v>
      </c>
      <c r="BR308" s="28" t="n">
        <v>0.96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</row>
    <row r="309" ht="36" customHeight="1">
      <c r="A309" s="24" t="inlineStr">
        <is>
          <t>262a96a1a1c944ff</t>
        </is>
      </c>
      <c r="B309" s="24" t="inlineStr">
        <is>
          <t>2026-08-01T13:45:05.538322Z</t>
        </is>
      </c>
      <c r="C309" s="24" t="inlineStr">
        <is>
          <t>2026-08-01T16:30Z</t>
        </is>
      </c>
      <c r="D309" s="24" t="inlineStr">
        <is>
          <t>421-2026:183319</t>
        </is>
      </c>
      <c r="E309" s="24" t="inlineStr">
        <is>
          <t>TENNIS</t>
        </is>
      </c>
      <c r="F309" s="24" t="inlineStr">
        <is>
          <t>Himeno Sakatsume</t>
        </is>
      </c>
      <c r="G309" s="24" t="inlineStr">
        <is>
          <t>Moyuka Uchijima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-133</v>
      </c>
      <c r="M309" s="27" t="n">
        <v>1.75188</v>
      </c>
      <c r="N309" s="28" t="n">
        <v>0.570815</v>
      </c>
      <c r="O309" s="28" t="n">
        <v>0.558424</v>
      </c>
      <c r="P309" s="28" t="n">
        <v>0.05</v>
      </c>
      <c r="Q309" s="28" t="n">
        <v>-0.012391</v>
      </c>
      <c r="R309" s="26" t="n">
        <v>14</v>
      </c>
      <c r="S309" s="29" t="n">
        <v>1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win</t>
        </is>
      </c>
      <c r="W309" s="26" t="n">
        <v>0</v>
      </c>
      <c r="X309" s="26" t="n">
        <v>1</v>
      </c>
      <c r="Y309" s="25" t="n"/>
      <c r="Z309" s="26" t="n">
        <v>-133</v>
      </c>
      <c r="AA309" s="28" t="n">
        <v>0.57</v>
      </c>
      <c r="AB309" s="28" t="n">
        <v>-0.000815</v>
      </c>
      <c r="AC309" s="30" t="n">
        <v>0.7519</v>
      </c>
      <c r="AD309" s="24" t="inlineStr">
        <is>
          <t>2026-08-01T20:13:26.163894Z</t>
        </is>
      </c>
      <c r="AE309" s="31" t="inlineStr">
        <is>
          <t>Surface-blended Elo on Hard: Himeno Sakatsume p=0.442 vs Moyuka Uchijima. Executable ask 0.5700 (aec-wta-moyuch-himsak-2026-08-01).</t>
        </is>
      </c>
      <c r="AF309" s="31" t="inlineStr">
        <is>
          <t>Research-only surface-blended Elo model; singles only, WTA-only market coverage, not yet locked-holdout qualified.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research_observation</t>
        </is>
      </c>
      <c r="AL309" s="26" t="n">
        <v>3</v>
      </c>
      <c r="AM309" s="24" t="inlineStr">
        <is>
          <t>RESEARCH_OBSERVATION</t>
        </is>
      </c>
      <c r="AN309" s="24" t="inlineStr">
        <is>
          <t>NO_CALL</t>
        </is>
      </c>
      <c r="AO309" s="24" t="inlineStr">
        <is>
          <t>NO_CALL_MODEL_UNVALIDATED</t>
        </is>
      </c>
      <c r="AP309" s="24" t="inlineStr">
        <is>
          <t>Himeno Sakatsume</t>
        </is>
      </c>
      <c r="AQ309" s="24" t="inlineStr">
        <is>
          <t>Himeno Sakatsume</t>
        </is>
      </c>
      <c r="AR309" s="24" t="inlineStr">
        <is>
          <t>Himeno Sakatsume</t>
        </is>
      </c>
      <c r="AS309" s="24" t="inlineStr">
        <is>
          <t>Moyuka Uchijima</t>
        </is>
      </c>
      <c r="AT309" s="24" t="inlineStr">
        <is>
          <t>Moyuka Uchijima</t>
        </is>
      </c>
      <c r="AU309" s="24" t="inlineStr">
        <is>
          <t>Moyuka Uchijima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research</t>
        </is>
      </c>
      <c r="BA309" s="24" t="inlineStr">
        <is>
          <t>999faa03e2fa83bdf40e3760cb8645b4c314e4cc37c2050b8320d6582c4d8167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999faa03e2fa83bdf40e3760cb8645b4c314e4cc37c2050b8320d6582c4d8167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999faa03e2fa83bdf40e3760cb8645b4c314e4cc37c2050b8320d6582c4d8167</t>
        </is>
      </c>
      <c r="BH309" s="24" t="inlineStr">
        <is>
          <t>2026-08-01T13:42:56.804251Z</t>
        </is>
      </c>
      <c r="BI309" s="24" t="inlineStr">
        <is>
          <t>["same_event","same_team_same_day","same_league_same_day"]</t>
        </is>
      </c>
      <c r="BJ309" s="25" t="n"/>
      <c r="BK309" s="26" t="n">
        <v>-133</v>
      </c>
      <c r="BL309" s="27" t="n">
        <v>1.75188</v>
      </c>
      <c r="BM309" s="28" t="n">
        <v>0.570815</v>
      </c>
      <c r="BN309" s="28" t="n"/>
      <c r="BO309" s="28" t="n"/>
      <c r="BP309" s="25" t="n"/>
      <c r="BQ309" s="27" t="n">
        <v>1.75188</v>
      </c>
      <c r="BR309" s="28" t="n">
        <v>0.57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</row>
    <row r="310" ht="36" customHeight="1">
      <c r="A310" s="24" t="inlineStr">
        <is>
          <t>6e003df785904b47</t>
        </is>
      </c>
      <c r="B310" s="24" t="inlineStr">
        <is>
          <t>2026-08-01T16:52:34.743688Z</t>
        </is>
      </c>
      <c r="C310" s="24" t="inlineStr">
        <is>
          <t>2026-08-01T18:00Z</t>
        </is>
      </c>
      <c r="D310" s="24" t="inlineStr">
        <is>
          <t>888-2026:179018</t>
        </is>
      </c>
      <c r="E310" s="24" t="inlineStr">
        <is>
          <t>TENNIS</t>
        </is>
      </c>
      <c r="F310" s="24" t="inlineStr">
        <is>
          <t>Diana Shnaider</t>
        </is>
      </c>
      <c r="G310" s="24" t="inlineStr">
        <is>
          <t>Jessica Pegula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-355</v>
      </c>
      <c r="M310" s="27" t="n">
        <v>1.28169</v>
      </c>
      <c r="N310" s="28" t="n">
        <v>0.78022</v>
      </c>
      <c r="O310" s="28" t="n">
        <v>0.822583</v>
      </c>
      <c r="P310" s="28" t="n">
        <v>0.05</v>
      </c>
      <c r="Q310" s="28" t="n">
        <v>0.042363</v>
      </c>
      <c r="R310" s="26" t="n">
        <v>41</v>
      </c>
      <c r="S310" s="29" t="n">
        <v>2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>
        <v>-355</v>
      </c>
      <c r="AA310" s="28" t="n">
        <v>0.78</v>
      </c>
      <c r="AB310" s="28" t="n">
        <v>-0.00022</v>
      </c>
      <c r="AC310" s="30" t="n">
        <v>0.5634</v>
      </c>
      <c r="AD310" s="24" t="inlineStr">
        <is>
          <t>2026-08-01T20:13:26.701752Z</t>
        </is>
      </c>
      <c r="AE310" s="31" t="inlineStr">
        <is>
          <t>Surface-blended Elo on Hard: Diana Shnaider p=0.177 vs Jessica Pegula. Executable ask 0.7800 (aec-wta-jespeg-diashn-2026-08-01).</t>
        </is>
      </c>
      <c r="AF310" s="31" t="inlineStr">
        <is>
          <t>Research-only surface-blended Elo model; singles only, WTA-only market coverage, not yet locked-holdout qualified.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research_observation</t>
        </is>
      </c>
      <c r="AL310" s="26" t="n">
        <v>3</v>
      </c>
      <c r="AM310" s="24" t="inlineStr">
        <is>
          <t>RESEARCH_OBSERVATION</t>
        </is>
      </c>
      <c r="AN310" s="24" t="inlineStr">
        <is>
          <t>NO_CALL</t>
        </is>
      </c>
      <c r="AO310" s="24" t="inlineStr">
        <is>
          <t>NO_CALL_MODEL_UNVALIDATED</t>
        </is>
      </c>
      <c r="AP310" s="24" t="inlineStr">
        <is>
          <t>Diana Shnaider</t>
        </is>
      </c>
      <c r="AQ310" s="24" t="inlineStr">
        <is>
          <t>Diana Shnaider</t>
        </is>
      </c>
      <c r="AR310" s="24" t="inlineStr">
        <is>
          <t>Diana Shnaider</t>
        </is>
      </c>
      <c r="AS310" s="24" t="inlineStr">
        <is>
          <t>Jessica Pegula</t>
        </is>
      </c>
      <c r="AT310" s="24" t="inlineStr">
        <is>
          <t>Jessica Pegula</t>
        </is>
      </c>
      <c r="AU310" s="24" t="inlineStr">
        <is>
          <t>Jessica Pegula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research</t>
        </is>
      </c>
      <c r="BA310" s="24" t="inlineStr">
        <is>
          <t>999faa03e2fa83bdf40e3760cb8645b4c314e4cc37c2050b8320d6582c4d8167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999faa03e2fa83bdf40e3760cb8645b4c314e4cc37c2050b8320d6582c4d8167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999faa03e2fa83bdf40e3760cb8645b4c314e4cc37c2050b8320d6582c4d8167</t>
        </is>
      </c>
      <c r="BH310" s="24" t="inlineStr">
        <is>
          <t>2026-08-01T16:49:52.619672Z</t>
        </is>
      </c>
      <c r="BI310" s="24" t="inlineStr">
        <is>
          <t>["same_event","same_team_same_day","same_league_same_day"]</t>
        </is>
      </c>
      <c r="BJ310" s="25" t="n"/>
      <c r="BK310" s="26" t="n">
        <v>-355</v>
      </c>
      <c r="BL310" s="27" t="n">
        <v>1.28169</v>
      </c>
      <c r="BM310" s="28" t="n">
        <v>0.78022</v>
      </c>
      <c r="BN310" s="28" t="n"/>
      <c r="BO310" s="28" t="n"/>
      <c r="BP310" s="25" t="n"/>
      <c r="BQ310" s="27" t="n">
        <v>1.28169</v>
      </c>
      <c r="BR310" s="28" t="n">
        <v>0.78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</row>
    <row r="311" ht="36" customHeight="1">
      <c r="A311" s="24" t="inlineStr">
        <is>
          <t>85f67ba42ca94860</t>
        </is>
      </c>
      <c r="B311" s="24" t="inlineStr">
        <is>
          <t>2026-08-01T16:52:34.743688Z</t>
        </is>
      </c>
      <c r="C311" s="24" t="inlineStr">
        <is>
          <t>2026-08-01T18:00Z</t>
        </is>
      </c>
      <c r="D311" s="24" t="inlineStr">
        <is>
          <t>1067-2026:179445</t>
        </is>
      </c>
      <c r="E311" s="24" t="inlineStr">
        <is>
          <t>TENNIS</t>
        </is>
      </c>
      <c r="F311" s="24" t="inlineStr">
        <is>
          <t>Elvina Kalieva</t>
        </is>
      </c>
      <c r="G311" s="24" t="inlineStr">
        <is>
          <t>Kristina Liutova</t>
        </is>
      </c>
      <c r="H311" s="24" t="inlineStr">
        <is>
          <t>moneyline</t>
        </is>
      </c>
      <c r="I311" s="24" t="inlineStr">
        <is>
          <t>away</t>
        </is>
      </c>
      <c r="J311" s="25" t="n"/>
      <c r="K311" s="24" t="inlineStr">
        <is>
          <t>polymarket_us</t>
        </is>
      </c>
      <c r="L311" s="26" t="n">
        <v>133</v>
      </c>
      <c r="M311" s="27" t="n">
        <v>2.33</v>
      </c>
      <c r="N311" s="28" t="n">
        <v>0.429185</v>
      </c>
      <c r="O311" s="28" t="n">
        <v>0.546816</v>
      </c>
      <c r="P311" s="28" t="n">
        <v>0.05</v>
      </c>
      <c r="Q311" s="28" t="n">
        <v>0.117631</v>
      </c>
      <c r="R311" s="26" t="n">
        <v>79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0</v>
      </c>
      <c r="X311" s="26" t="n">
        <v>1</v>
      </c>
      <c r="Y311" s="25" t="n"/>
      <c r="Z311" s="26" t="n">
        <v>133</v>
      </c>
      <c r="AA311" s="28" t="n">
        <v>0.43</v>
      </c>
      <c r="AB311" s="28" t="n">
        <v>0.000815</v>
      </c>
      <c r="AC311" s="30" t="n">
        <v>-1</v>
      </c>
      <c r="AD311" s="24" t="inlineStr">
        <is>
          <t>2026-08-01T20:13:27.238832Z</t>
        </is>
      </c>
      <c r="AE311" s="31" t="inlineStr">
        <is>
          <t>Surface-blended Elo on Hard: Elvina Kalieva p=0.547 vs Kristina Liutova. Executable ask 0.4300 (aec-wta-kriliu-elvkal-2026-08-01).</t>
        </is>
      </c>
      <c r="AF311" s="31" t="inlineStr">
        <is>
          <t>Research-only surface-blended Elo model; singles only, WTA-only market coverage, not yet locked-holdout qualified.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research_observation</t>
        </is>
      </c>
      <c r="AL311" s="26" t="n">
        <v>3</v>
      </c>
      <c r="AM311" s="24" t="inlineStr">
        <is>
          <t>RESEARCH_OBSERVATION</t>
        </is>
      </c>
      <c r="AN311" s="24" t="inlineStr">
        <is>
          <t>NO_CALL</t>
        </is>
      </c>
      <c r="AO311" s="24" t="inlineStr">
        <is>
          <t>NO_CALL_MODEL_UNVALIDATED</t>
        </is>
      </c>
      <c r="AP311" s="24" t="inlineStr">
        <is>
          <t>Elvina Kalieva</t>
        </is>
      </c>
      <c r="AQ311" s="24" t="inlineStr">
        <is>
          <t>Elvina Kalieva</t>
        </is>
      </c>
      <c r="AR311" s="24" t="inlineStr">
        <is>
          <t>Elvina Kalieva</t>
        </is>
      </c>
      <c r="AS311" s="24" t="inlineStr">
        <is>
          <t>Kristina Liutova</t>
        </is>
      </c>
      <c r="AT311" s="24" t="inlineStr">
        <is>
          <t>Kristina Liutova</t>
        </is>
      </c>
      <c r="AU311" s="24" t="inlineStr">
        <is>
          <t>Kristina Liutova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999faa03e2fa83bdf40e3760cb8645b4c314e4cc37c2050b8320d6582c4d8167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999faa03e2fa83bdf40e3760cb8645b4c314e4cc37c2050b8320d6582c4d8167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999faa03e2fa83bdf40e3760cb8645b4c314e4cc37c2050b8320d6582c4d8167</t>
        </is>
      </c>
      <c r="BH311" s="24" t="inlineStr">
        <is>
          <t>2026-08-01T16:49:50.998496Z</t>
        </is>
      </c>
      <c r="BI311" s="24" t="inlineStr">
        <is>
          <t>["same_event","same_team_same_day","same_league_same_day"]</t>
        </is>
      </c>
      <c r="BJ311" s="25" t="n"/>
      <c r="BK311" s="26" t="n">
        <v>133</v>
      </c>
      <c r="BL311" s="27" t="n">
        <v>2.33</v>
      </c>
      <c r="BM311" s="28" t="n">
        <v>0.429185</v>
      </c>
      <c r="BN311" s="28" t="n"/>
      <c r="BO311" s="28" t="n"/>
      <c r="BP311" s="25" t="n"/>
      <c r="BQ311" s="27" t="n">
        <v>2.33</v>
      </c>
      <c r="BR311" s="28" t="n">
        <v>0.43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</row>
    <row r="312" ht="36" customHeight="1">
      <c r="A312" s="24" t="inlineStr">
        <is>
          <t>a39df48ae9c84f8b</t>
        </is>
      </c>
      <c r="B312" s="24" t="inlineStr">
        <is>
          <t>2026-08-01T16:52:34.743688Z</t>
        </is>
      </c>
      <c r="C312" s="24" t="inlineStr">
        <is>
          <t>2026-08-01T18:00Z</t>
        </is>
      </c>
      <c r="D312" s="24" t="inlineStr">
        <is>
          <t>421-2026:183323</t>
        </is>
      </c>
      <c r="E312" s="24" t="inlineStr">
        <is>
          <t>TENNIS</t>
        </is>
      </c>
      <c r="F312" s="24" t="inlineStr">
        <is>
          <t>Lucrezia Stefanini</t>
        </is>
      </c>
      <c r="G312" s="24" t="inlineStr">
        <is>
          <t>Sofia Kenin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-122</v>
      </c>
      <c r="M312" s="27" t="n">
        <v>1.819672</v>
      </c>
      <c r="N312" s="28" t="n">
        <v>0.54955</v>
      </c>
      <c r="O312" s="28" t="n">
        <v>0.516532</v>
      </c>
      <c r="P312" s="28" t="n">
        <v>0.05</v>
      </c>
      <c r="Q312" s="28" t="n">
        <v>-0.033018</v>
      </c>
      <c r="R312" s="26" t="n">
        <v>3</v>
      </c>
      <c r="S312" s="29" t="n">
        <v>1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loss</t>
        </is>
      </c>
      <c r="W312" s="26" t="n">
        <v>1</v>
      </c>
      <c r="X312" s="26" t="n">
        <v>0</v>
      </c>
      <c r="Y312" s="25" t="n"/>
      <c r="Z312" s="26" t="n">
        <v>-122</v>
      </c>
      <c r="AA312" s="28" t="n">
        <v>0.55</v>
      </c>
      <c r="AB312" s="28" t="n">
        <v>0.00045</v>
      </c>
      <c r="AC312" s="30" t="n">
        <v>-1</v>
      </c>
      <c r="AD312" s="24" t="inlineStr">
        <is>
          <t>2026-08-01T21:40:59.983799Z</t>
        </is>
      </c>
      <c r="AE312" s="31" t="inlineStr">
        <is>
          <t>Surface-blended Elo on Hard: Lucrezia Stefanini p=0.483 vs Sofia Kenin. Executable ask 0.5500 (aec-wta-sofken-lucste-2026-08-01).</t>
        </is>
      </c>
      <c r="AF312" s="31" t="inlineStr">
        <is>
          <t>Research-only surface-blended Elo model; singles only, WTA-only market coverage, not yet locked-holdout qualified.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research_observation</t>
        </is>
      </c>
      <c r="AL312" s="26" t="n">
        <v>3</v>
      </c>
      <c r="AM312" s="24" t="inlineStr">
        <is>
          <t>RESEARCH_OBSERVATION</t>
        </is>
      </c>
      <c r="AN312" s="24" t="inlineStr">
        <is>
          <t>NO_CALL</t>
        </is>
      </c>
      <c r="AO312" s="24" t="inlineStr">
        <is>
          <t>NO_CALL_MODEL_UNVALIDATED</t>
        </is>
      </c>
      <c r="AP312" s="24" t="inlineStr">
        <is>
          <t>Lucrezia Stefanini</t>
        </is>
      </c>
      <c r="AQ312" s="24" t="inlineStr">
        <is>
          <t>Lucrezia Stefanini</t>
        </is>
      </c>
      <c r="AR312" s="24" t="inlineStr">
        <is>
          <t>Lucrezia Stefanini</t>
        </is>
      </c>
      <c r="AS312" s="24" t="inlineStr">
        <is>
          <t>Sofia Kenin</t>
        </is>
      </c>
      <c r="AT312" s="24" t="inlineStr">
        <is>
          <t>Sofia Kenin</t>
        </is>
      </c>
      <c r="AU312" s="24" t="inlineStr">
        <is>
          <t>Sofia Kenin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999faa03e2fa83bdf40e3760cb8645b4c314e4cc37c2050b8320d6582c4d8167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999faa03e2fa83bdf40e3760cb8645b4c314e4cc37c2050b8320d6582c4d8167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999faa03e2fa83bdf40e3760cb8645b4c314e4cc37c2050b8320d6582c4d8167</t>
        </is>
      </c>
      <c r="BH312" s="24" t="inlineStr">
        <is>
          <t>2026-08-01T16:49:54.591143Z</t>
        </is>
      </c>
      <c r="BI312" s="24" t="inlineStr">
        <is>
          <t>["same_event","same_team_same_day","same_league_same_day"]</t>
        </is>
      </c>
      <c r="BJ312" s="25" t="n"/>
      <c r="BK312" s="26" t="n">
        <v>-122</v>
      </c>
      <c r="BL312" s="27" t="n">
        <v>1.819672</v>
      </c>
      <c r="BM312" s="28" t="n">
        <v>0.54955</v>
      </c>
      <c r="BN312" s="28" t="n"/>
      <c r="BO312" s="28" t="n"/>
      <c r="BP312" s="25" t="n"/>
      <c r="BQ312" s="27" t="n">
        <v>1.819672</v>
      </c>
      <c r="BR312" s="28" t="n">
        <v>0.55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</row>
    <row r="313" ht="36" customHeight="1">
      <c r="A313" s="24" t="inlineStr">
        <is>
          <t>9c00dca4cbed4271</t>
        </is>
      </c>
      <c r="B313" s="24" t="inlineStr">
        <is>
          <t>2026-08-01T16:52:34.743688Z</t>
        </is>
      </c>
      <c r="C313" s="24" t="inlineStr">
        <is>
          <t>2026-08-01T18:00Z</t>
        </is>
      </c>
      <c r="D313" s="24" t="inlineStr">
        <is>
          <t>421-2026:183326</t>
        </is>
      </c>
      <c r="E313" s="24" t="inlineStr">
        <is>
          <t>TENNIS</t>
        </is>
      </c>
      <c r="F313" s="24" t="inlineStr">
        <is>
          <t>Avery Alexander</t>
        </is>
      </c>
      <c r="G313" s="24" t="inlineStr">
        <is>
          <t>Polina Kudermetova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-3233</v>
      </c>
      <c r="M313" s="27" t="n">
        <v>1.030931</v>
      </c>
      <c r="N313" s="28" t="n">
        <v>0.969997</v>
      </c>
      <c r="O313" s="28" t="n">
        <v>0.664173</v>
      </c>
      <c r="P313" s="28" t="n">
        <v>0.05</v>
      </c>
      <c r="Q313" s="28" t="n">
        <v>-0.305824</v>
      </c>
      <c r="R313" s="26" t="n">
        <v>0</v>
      </c>
      <c r="S313" s="29" t="n">
        <v>1.75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0</v>
      </c>
      <c r="X313" s="26" t="n">
        <v>1</v>
      </c>
      <c r="Y313" s="25" t="n"/>
      <c r="Z313" s="26" t="n">
        <v>-3233</v>
      </c>
      <c r="AA313" s="28" t="n">
        <v>0.97</v>
      </c>
      <c r="AB313" s="28" t="n">
        <v>3e-06</v>
      </c>
      <c r="AC313" s="30" t="n">
        <v>0.0541</v>
      </c>
      <c r="AD313" s="24" t="inlineStr">
        <is>
          <t>2026-08-01T20:34:17.577016Z</t>
        </is>
      </c>
      <c r="AE313" s="31" t="inlineStr">
        <is>
          <t>Surface-blended Elo on Hard: Avery Alexander p=0.336 vs Polina Kudermetova. Executable ask 0.9700 (aec-wta-polkud-aveale-2026-08-01).</t>
        </is>
      </c>
      <c r="AF313" s="31" t="inlineStr">
        <is>
          <t>Research-only surface-blended Elo model; singles only, WTA-only market coverage, not yet locked-holdout qualified.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research_observation</t>
        </is>
      </c>
      <c r="AL313" s="26" t="n">
        <v>3</v>
      </c>
      <c r="AM313" s="24" t="inlineStr">
        <is>
          <t>RESEARCH_OBSERVATION</t>
        </is>
      </c>
      <c r="AN313" s="24" t="inlineStr">
        <is>
          <t>NO_CALL</t>
        </is>
      </c>
      <c r="AO313" s="24" t="inlineStr">
        <is>
          <t>NO_CALL_MODEL_UNVALIDATED</t>
        </is>
      </c>
      <c r="AP313" s="24" t="inlineStr">
        <is>
          <t>Avery Alexander</t>
        </is>
      </c>
      <c r="AQ313" s="24" t="inlineStr">
        <is>
          <t>Avery Alexander</t>
        </is>
      </c>
      <c r="AR313" s="24" t="inlineStr">
        <is>
          <t>Avery Alexander</t>
        </is>
      </c>
      <c r="AS313" s="24" t="inlineStr">
        <is>
          <t>Polina Kudermetova</t>
        </is>
      </c>
      <c r="AT313" s="24" t="inlineStr">
        <is>
          <t>Polina Kudermetova</t>
        </is>
      </c>
      <c r="AU313" s="24" t="inlineStr">
        <is>
          <t>Polina Kudermetova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999faa03e2fa83bdf40e3760cb8645b4c314e4cc37c2050b8320d6582c4d8167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999faa03e2fa83bdf40e3760cb8645b4c314e4cc37c2050b8320d6582c4d8167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999faa03e2fa83bdf40e3760cb8645b4c314e4cc37c2050b8320d6582c4d8167</t>
        </is>
      </c>
      <c r="BH313" s="24" t="inlineStr">
        <is>
          <t>2026-08-01T16:49:56.451294Z</t>
        </is>
      </c>
      <c r="BI313" s="24" t="inlineStr">
        <is>
          <t>["same_event","same_team_same_day","same_league_same_day"]</t>
        </is>
      </c>
      <c r="BJ313" s="25" t="n"/>
      <c r="BK313" s="26" t="n">
        <v>-3233</v>
      </c>
      <c r="BL313" s="27" t="n">
        <v>1.030931</v>
      </c>
      <c r="BM313" s="28" t="n">
        <v>0.969997</v>
      </c>
      <c r="BN313" s="28" t="n"/>
      <c r="BO313" s="28" t="n"/>
      <c r="BP313" s="25" t="n"/>
      <c r="BQ313" s="27" t="n">
        <v>1.030931</v>
      </c>
      <c r="BR313" s="28" t="n">
        <v>0.97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</row>
    <row r="314" ht="36" customHeight="1">
      <c r="A314" s="24" t="inlineStr">
        <is>
          <t>a770fa9bd09c49df</t>
        </is>
      </c>
      <c r="B314" s="24" t="inlineStr">
        <is>
          <t>2026-08-01T18:40:28.047324Z</t>
        </is>
      </c>
      <c r="C314" s="24" t="inlineStr">
        <is>
          <t>2026-08-01T19:30Z</t>
        </is>
      </c>
      <c r="D314" s="24" t="inlineStr">
        <is>
          <t>888-2026:179016</t>
        </is>
      </c>
      <c r="E314" s="24" t="inlineStr">
        <is>
          <t>TENNIS</t>
        </is>
      </c>
      <c r="F314" s="24" t="inlineStr">
        <is>
          <t>Alexandra Eala</t>
        </is>
      </c>
      <c r="G314" s="24" t="inlineStr">
        <is>
          <t>Naomi Osaka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-150</v>
      </c>
      <c r="M314" s="27" t="n">
        <v>1.666667</v>
      </c>
      <c r="N314" s="28" t="n">
        <v>0.6</v>
      </c>
      <c r="O314" s="28" t="n">
        <v>0.6528929999999999</v>
      </c>
      <c r="P314" s="28" t="n">
        <v>0.05</v>
      </c>
      <c r="Q314" s="28" t="n">
        <v>0.052893</v>
      </c>
      <c r="R314" s="26" t="n">
        <v>46</v>
      </c>
      <c r="S314" s="29" t="n">
        <v>1.75</v>
      </c>
      <c r="T314" s="24" t="inlineStr">
        <is>
          <t>tennis-surface-elo-v1</t>
        </is>
      </c>
      <c r="U314" s="24" t="inlineStr">
        <is>
          <t>settled</t>
        </is>
      </c>
      <c r="V314" s="24" t="inlineStr">
        <is>
          <t>loss</t>
        </is>
      </c>
      <c r="W314" s="26" t="n">
        <v>1</v>
      </c>
      <c r="X314" s="26" t="n">
        <v>0</v>
      </c>
      <c r="Y314" s="25" t="n"/>
      <c r="Z314" s="26" t="n">
        <v>-150</v>
      </c>
      <c r="AA314" s="28" t="n">
        <v>0.6</v>
      </c>
      <c r="AB314" s="28" t="n">
        <v>0</v>
      </c>
      <c r="AC314" s="30" t="n">
        <v>-1.75</v>
      </c>
      <c r="AD314" s="24" t="inlineStr">
        <is>
          <t>2026-08-01T21:41:00.267945Z</t>
        </is>
      </c>
      <c r="AE314" s="31" t="inlineStr">
        <is>
          <t>Surface-blended Elo on Hard: Alexandra Eala p=0.347 vs Naomi Osaka. Executable ask 0.6000 (aec-wta-naoosa-aleeal-2026-08-01).</t>
        </is>
      </c>
      <c r="AF314" s="31" t="inlineStr">
        <is>
          <t>Research-only surface-blended Elo model; singles only, WTA-only market coverage, not yet locked-holdout qualified.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research_observation</t>
        </is>
      </c>
      <c r="AL314" s="26" t="n">
        <v>3</v>
      </c>
      <c r="AM314" s="24" t="inlineStr">
        <is>
          <t>RESEARCH_OBSERVATION</t>
        </is>
      </c>
      <c r="AN314" s="24" t="inlineStr">
        <is>
          <t>NO_CALL</t>
        </is>
      </c>
      <c r="AO314" s="24" t="inlineStr">
        <is>
          <t>NO_CALL_MODEL_UNVALIDATED</t>
        </is>
      </c>
      <c r="AP314" s="24" t="inlineStr">
        <is>
          <t>Alexandra Eala</t>
        </is>
      </c>
      <c r="AQ314" s="24" t="inlineStr">
        <is>
          <t>Alexandra Eala</t>
        </is>
      </c>
      <c r="AR314" s="24" t="inlineStr">
        <is>
          <t>Alexandra Eala</t>
        </is>
      </c>
      <c r="AS314" s="24" t="inlineStr">
        <is>
          <t>Naomi Osaka</t>
        </is>
      </c>
      <c r="AT314" s="24" t="inlineStr">
        <is>
          <t>Naomi Osaka</t>
        </is>
      </c>
      <c r="AU314" s="24" t="inlineStr">
        <is>
          <t>Naomi Osaka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999faa03e2fa83bdf40e3760cb8645b4c314e4cc37c2050b8320d6582c4d8167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999faa03e2fa83bdf40e3760cb8645b4c314e4cc37c2050b8320d6582c4d8167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999faa03e2fa83bdf40e3760cb8645b4c314e4cc37c2050b8320d6582c4d8167</t>
        </is>
      </c>
      <c r="BH314" s="24" t="inlineStr">
        <is>
          <t>2026-08-01T18:37:24.080218Z</t>
        </is>
      </c>
      <c r="BI314" s="24" t="inlineStr">
        <is>
          <t>["same_event","same_team_same_day","same_league_same_day"]</t>
        </is>
      </c>
      <c r="BJ314" s="25" t="n"/>
      <c r="BK314" s="26" t="n">
        <v>-150</v>
      </c>
      <c r="BL314" s="27" t="n">
        <v>1.666667</v>
      </c>
      <c r="BM314" s="28" t="n">
        <v>0.6</v>
      </c>
      <c r="BN314" s="28" t="n"/>
      <c r="BO314" s="28" t="n"/>
      <c r="BP314" s="25" t="n"/>
      <c r="BQ314" s="27" t="n">
        <v>1.666667</v>
      </c>
      <c r="BR314" s="28" t="n">
        <v>0.6</v>
      </c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</row>
    <row r="315" ht="36" customHeight="1">
      <c r="A315" s="24" t="inlineStr">
        <is>
          <t>ff4ba2a733344e3b</t>
        </is>
      </c>
      <c r="B315" s="24" t="inlineStr">
        <is>
          <t>2026-08-01T18:40:28.047324Z</t>
        </is>
      </c>
      <c r="C315" s="24" t="inlineStr">
        <is>
          <t>2026-08-01T20:00Z</t>
        </is>
      </c>
      <c r="D315" s="24" t="inlineStr">
        <is>
          <t>1067-2026:179444</t>
        </is>
      </c>
      <c r="E315" s="24" t="inlineStr">
        <is>
          <t>TENNIS</t>
        </is>
      </c>
      <c r="F315" s="24" t="inlineStr">
        <is>
          <t>Renata Zarazua</t>
        </is>
      </c>
      <c r="G315" s="24" t="inlineStr">
        <is>
          <t>Darja Vidmanova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-133</v>
      </c>
      <c r="M315" s="27" t="n">
        <v>1.75188</v>
      </c>
      <c r="N315" s="28" t="n">
        <v>0.570815</v>
      </c>
      <c r="O315" s="28" t="n">
        <v>0.643066</v>
      </c>
      <c r="P315" s="28" t="n">
        <v>0.05</v>
      </c>
      <c r="Q315" s="28" t="n">
        <v>0.072251</v>
      </c>
      <c r="R315" s="26" t="n">
        <v>56</v>
      </c>
      <c r="S315" s="29" t="n">
        <v>1.5</v>
      </c>
      <c r="T315" s="24" t="inlineStr">
        <is>
          <t>tennis-surface-elo-v1</t>
        </is>
      </c>
      <c r="U315" s="24" t="inlineStr">
        <is>
          <t>settled</t>
        </is>
      </c>
      <c r="V315" s="24" t="inlineStr">
        <is>
          <t>win</t>
        </is>
      </c>
      <c r="W315" s="26" t="n">
        <v>0</v>
      </c>
      <c r="X315" s="26" t="n">
        <v>1</v>
      </c>
      <c r="Y315" s="25" t="n"/>
      <c r="Z315" s="26" t="n">
        <v>-133</v>
      </c>
      <c r="AA315" s="28" t="n">
        <v>0.57</v>
      </c>
      <c r="AB315" s="28" t="n">
        <v>-0.000815</v>
      </c>
      <c r="AC315" s="30" t="n">
        <v>1.1278</v>
      </c>
      <c r="AD315" s="24" t="inlineStr">
        <is>
          <t>2026-08-01T23:51:12.440117Z</t>
        </is>
      </c>
      <c r="AE315" s="31" t="inlineStr">
        <is>
          <t>Surface-blended Elo on Hard: Renata Zarazua p=0.357 vs Darja Vidmanova. Executable ask 0.5700 (aec-wta-darvid-renzar-2026-08-01).</t>
        </is>
      </c>
      <c r="AF315" s="31" t="inlineStr">
        <is>
          <t>Research-only surface-blended Elo model; singles only, WTA-only market coverage, not yet locked-holdout qualified.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research_observation</t>
        </is>
      </c>
      <c r="AL315" s="26" t="n">
        <v>3</v>
      </c>
      <c r="AM315" s="24" t="inlineStr">
        <is>
          <t>RESEARCH_OBSERVATION</t>
        </is>
      </c>
      <c r="AN315" s="24" t="inlineStr">
        <is>
          <t>NO_CALL</t>
        </is>
      </c>
      <c r="AO315" s="24" t="inlineStr">
        <is>
          <t>NO_CALL_MODEL_UNVALIDATED</t>
        </is>
      </c>
      <c r="AP315" s="24" t="inlineStr">
        <is>
          <t>Renata Zarazua</t>
        </is>
      </c>
      <c r="AQ315" s="24" t="inlineStr">
        <is>
          <t>Renata Zarazua</t>
        </is>
      </c>
      <c r="AR315" s="24" t="inlineStr">
        <is>
          <t>Renata Zarazua</t>
        </is>
      </c>
      <c r="AS315" s="24" t="inlineStr">
        <is>
          <t>Darja Vidmanova</t>
        </is>
      </c>
      <c r="AT315" s="24" t="inlineStr">
        <is>
          <t>Darja Vidmanova</t>
        </is>
      </c>
      <c r="AU315" s="24" t="inlineStr">
        <is>
          <t>Darja Vidmanova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999faa03e2fa83bdf40e3760cb8645b4c314e4cc37c2050b8320d6582c4d8167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999faa03e2fa83bdf40e3760cb8645b4c314e4cc37c2050b8320d6582c4d8167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999faa03e2fa83bdf40e3760cb8645b4c314e4cc37c2050b8320d6582c4d8167</t>
        </is>
      </c>
      <c r="BH315" s="24" t="inlineStr">
        <is>
          <t>2026-08-01T18:37:25.688700Z</t>
        </is>
      </c>
      <c r="BI315" s="24" t="inlineStr">
        <is>
          <t>["same_event","same_team_same_day","same_league_same_day"]</t>
        </is>
      </c>
      <c r="BJ315" s="25" t="n"/>
      <c r="BK315" s="26" t="n">
        <v>-133</v>
      </c>
      <c r="BL315" s="27" t="n">
        <v>1.75188</v>
      </c>
      <c r="BM315" s="28" t="n">
        <v>0.570815</v>
      </c>
      <c r="BN315" s="28" t="n"/>
      <c r="BO315" s="28" t="n"/>
      <c r="BP315" s="25" t="n"/>
      <c r="BQ315" s="27" t="n">
        <v>1.75188</v>
      </c>
      <c r="BR315" s="28" t="n">
        <v>0.57</v>
      </c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</row>
    <row r="316" ht="36" customHeight="1">
      <c r="A316" s="24" t="inlineStr">
        <is>
          <t>77b321a956734986</t>
        </is>
      </c>
      <c r="B316" s="24" t="inlineStr">
        <is>
          <t>2026-08-01T18:40:28.047324Z</t>
        </is>
      </c>
      <c r="C316" s="24" t="inlineStr">
        <is>
          <t>2026-08-01T19:30Z</t>
        </is>
      </c>
      <c r="D316" s="24" t="inlineStr">
        <is>
          <t>421-2026:183316</t>
        </is>
      </c>
      <c r="E316" s="24" t="inlineStr">
        <is>
          <t>TENNIS</t>
        </is>
      </c>
      <c r="F316" s="24" t="inlineStr">
        <is>
          <t>Sloane Stephens</t>
        </is>
      </c>
      <c r="G316" s="24" t="inlineStr">
        <is>
          <t>Harriet Dart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-104</v>
      </c>
      <c r="M316" s="27" t="n">
        <v>1.961538</v>
      </c>
      <c r="N316" s="28" t="n">
        <v>0.509804</v>
      </c>
      <c r="O316" s="28" t="n">
        <v>0.5425990000000001</v>
      </c>
      <c r="P316" s="28" t="n">
        <v>0.05</v>
      </c>
      <c r="Q316" s="28" t="n">
        <v>0.032795</v>
      </c>
      <c r="R316" s="26" t="n">
        <v>36</v>
      </c>
      <c r="S316" s="29" t="n">
        <v>1</v>
      </c>
      <c r="T316" s="24" t="inlineStr">
        <is>
          <t>tennis-surface-elo-v1</t>
        </is>
      </c>
      <c r="U316" s="24" t="inlineStr">
        <is>
          <t>settled</t>
        </is>
      </c>
      <c r="V316" s="24" t="inlineStr">
        <is>
          <t>loss</t>
        </is>
      </c>
      <c r="W316" s="26" t="n">
        <v>1</v>
      </c>
      <c r="X316" s="26" t="n">
        <v>0</v>
      </c>
      <c r="Y316" s="25" t="n"/>
      <c r="Z316" s="26" t="n">
        <v>-104</v>
      </c>
      <c r="AA316" s="28" t="n">
        <v>0.51</v>
      </c>
      <c r="AB316" s="28" t="n">
        <v>0.000196</v>
      </c>
      <c r="AC316" s="30" t="n">
        <v>-1</v>
      </c>
      <c r="AD316" s="24" t="inlineStr">
        <is>
          <t>2026-08-01T23:51:12.837368Z</t>
        </is>
      </c>
      <c r="AE316" s="31" t="inlineStr">
        <is>
          <t>Surface-blended Elo on Hard: Sloane Stephens p=0.457 vs Harriet Dart. Executable ask 0.5100 (aec-wta-hardar-sloste-2026-08-01).</t>
        </is>
      </c>
      <c r="AF316" s="31" t="inlineStr">
        <is>
          <t>Research-only surface-blended Elo model; singles only, WTA-only market coverage, not yet locked-holdout qualified.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research_observation</t>
        </is>
      </c>
      <c r="AL316" s="26" t="n">
        <v>3</v>
      </c>
      <c r="AM316" s="24" t="inlineStr">
        <is>
          <t>RESEARCH_OBSERVATION</t>
        </is>
      </c>
      <c r="AN316" s="24" t="inlineStr">
        <is>
          <t>NO_CALL</t>
        </is>
      </c>
      <c r="AO316" s="24" t="inlineStr">
        <is>
          <t>NO_CALL_MODEL_UNVALIDATED</t>
        </is>
      </c>
      <c r="AP316" s="24" t="inlineStr">
        <is>
          <t>Sloane Stephens</t>
        </is>
      </c>
      <c r="AQ316" s="24" t="inlineStr">
        <is>
          <t>Sloane Stephens</t>
        </is>
      </c>
      <c r="AR316" s="24" t="inlineStr">
        <is>
          <t>Sloane Stephens</t>
        </is>
      </c>
      <c r="AS316" s="24" t="inlineStr">
        <is>
          <t>Harriet Dart</t>
        </is>
      </c>
      <c r="AT316" s="24" t="inlineStr">
        <is>
          <t>Harriet Dart</t>
        </is>
      </c>
      <c r="AU316" s="24" t="inlineStr">
        <is>
          <t>Harriet Dart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999faa03e2fa83bdf40e3760cb8645b4c314e4cc37c2050b8320d6582c4d8167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999faa03e2fa83bdf40e3760cb8645b4c314e4cc37c2050b8320d6582c4d8167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999faa03e2fa83bdf40e3760cb8645b4c314e4cc37c2050b8320d6582c4d8167</t>
        </is>
      </c>
      <c r="BH316" s="24" t="inlineStr">
        <is>
          <t>2026-08-01T18:37:23.024082Z</t>
        </is>
      </c>
      <c r="BI316" s="24" t="inlineStr">
        <is>
          <t>["same_event","same_team_same_day","same_league_same_day"]</t>
        </is>
      </c>
      <c r="BJ316" s="25" t="n"/>
      <c r="BK316" s="26" t="n">
        <v>-104</v>
      </c>
      <c r="BL316" s="27" t="n">
        <v>1.961538</v>
      </c>
      <c r="BM316" s="28" t="n">
        <v>0.509804</v>
      </c>
      <c r="BN316" s="28" t="n"/>
      <c r="BO316" s="28" t="n"/>
      <c r="BP316" s="25" t="n"/>
      <c r="BQ316" s="27" t="n">
        <v>1.961538</v>
      </c>
      <c r="BR316" s="28" t="n">
        <v>0.51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</row>
    <row r="317" ht="36" customHeight="1">
      <c r="A317" s="24" t="inlineStr">
        <is>
          <t>68c34ae759b64dc2</t>
        </is>
      </c>
      <c r="B317" s="24" t="inlineStr">
        <is>
          <t>2026-08-01T20:17:17.078985Z</t>
        </is>
      </c>
      <c r="C317" s="24" t="inlineStr">
        <is>
          <t>2026-08-01T21:00Z</t>
        </is>
      </c>
      <c r="D317" s="24" t="inlineStr">
        <is>
          <t>421-2026:183325</t>
        </is>
      </c>
      <c r="E317" s="24" t="inlineStr">
        <is>
          <t>TENNIS</t>
        </is>
      </c>
      <c r="F317" s="24" t="inlineStr">
        <is>
          <t>Rebecca Sramkova</t>
        </is>
      </c>
      <c r="G317" s="24" t="inlineStr">
        <is>
          <t>Mananchaya Sawangkaew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-127</v>
      </c>
      <c r="M317" s="27" t="n">
        <v>1.787402</v>
      </c>
      <c r="N317" s="28" t="n">
        <v>0.5594710000000001</v>
      </c>
      <c r="O317" s="28" t="n">
        <v>0.590604</v>
      </c>
      <c r="P317" s="28" t="n">
        <v>0.05</v>
      </c>
      <c r="Q317" s="28" t="n">
        <v>0.031133</v>
      </c>
      <c r="R317" s="26" t="n">
        <v>36</v>
      </c>
      <c r="S317" s="29" t="n">
        <v>1.25</v>
      </c>
      <c r="T317" s="24" t="inlineStr">
        <is>
          <t>tennis-surface-elo-v1</t>
        </is>
      </c>
      <c r="U317" s="24" t="inlineStr">
        <is>
          <t>settled</t>
        </is>
      </c>
      <c r="V317" s="24" t="inlineStr">
        <is>
          <t>loss</t>
        </is>
      </c>
      <c r="W317" s="26" t="n">
        <v>1</v>
      </c>
      <c r="X317" s="26" t="n">
        <v>0</v>
      </c>
      <c r="Y317" s="25" t="n"/>
      <c r="Z317" s="26" t="n">
        <v>-127</v>
      </c>
      <c r="AA317" s="28" t="n">
        <v>0.5600000000000001</v>
      </c>
      <c r="AB317" s="28" t="n">
        <v>0.000529</v>
      </c>
      <c r="AC317" s="30" t="n">
        <v>-1.25</v>
      </c>
      <c r="AD317" s="24" t="inlineStr">
        <is>
          <t>2026-08-01T23:51:13.253347Z</t>
        </is>
      </c>
      <c r="AE317" s="31" t="inlineStr">
        <is>
          <t>Surface-blended Elo on Hard: Rebecca Sramkova p=0.409 vs Mananchaya Sawangkaew. Executable ask 0.5600 (aec-wta-mansaw-rebsra-2026-08-01).</t>
        </is>
      </c>
      <c r="AF317" s="31" t="inlineStr">
        <is>
          <t>Research-only surface-blended Elo model; singles only, WTA-only market coverage, not yet locked-holdout qualified.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research_observation</t>
        </is>
      </c>
      <c r="AL317" s="26" t="n">
        <v>3</v>
      </c>
      <c r="AM317" s="24" t="inlineStr">
        <is>
          <t>RESEARCH_OBSERVATION</t>
        </is>
      </c>
      <c r="AN317" s="24" t="inlineStr">
        <is>
          <t>NO_CALL</t>
        </is>
      </c>
      <c r="AO317" s="24" t="inlineStr">
        <is>
          <t>NO_CALL_MODEL_UNVALIDATED</t>
        </is>
      </c>
      <c r="AP317" s="24" t="inlineStr">
        <is>
          <t>Rebecca Sramkova</t>
        </is>
      </c>
      <c r="AQ317" s="24" t="inlineStr">
        <is>
          <t>Rebecca Sramkova</t>
        </is>
      </c>
      <c r="AR317" s="24" t="inlineStr">
        <is>
          <t>Rebecca Sramkova</t>
        </is>
      </c>
      <c r="AS317" s="24" t="inlineStr">
        <is>
          <t>Mananchaya Sawangkaew</t>
        </is>
      </c>
      <c r="AT317" s="24" t="inlineStr">
        <is>
          <t>Mananchaya Sawangkaew</t>
        </is>
      </c>
      <c r="AU317" s="24" t="inlineStr">
        <is>
          <t>Mananchaya Sawangkaew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research</t>
        </is>
      </c>
      <c r="BA317" s="24" t="inlineStr">
        <is>
          <t>999faa03e2fa83bdf40e3760cb8645b4c314e4cc37c2050b8320d6582c4d8167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999faa03e2fa83bdf40e3760cb8645b4c314e4cc37c2050b8320d6582c4d8167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999faa03e2fa83bdf40e3760cb8645b4c314e4cc37c2050b8320d6582c4d8167</t>
        </is>
      </c>
      <c r="BH317" s="24" t="inlineStr">
        <is>
          <t>2026-08-01T20:14:57.278891Z</t>
        </is>
      </c>
      <c r="BI317" s="24" t="inlineStr">
        <is>
          <t>["same_event","same_team_same_day","same_league_same_day"]</t>
        </is>
      </c>
      <c r="BJ317" s="25" t="n"/>
      <c r="BK317" s="26" t="n">
        <v>-127</v>
      </c>
      <c r="BL317" s="27" t="n">
        <v>1.787402</v>
      </c>
      <c r="BM317" s="28" t="n">
        <v>0.5594710000000001</v>
      </c>
      <c r="BN317" s="28" t="n"/>
      <c r="BO317" s="28" t="n"/>
      <c r="BP317" s="25" t="n"/>
      <c r="BQ317" s="27" t="n">
        <v>1.787402</v>
      </c>
      <c r="BR317" s="28" t="n">
        <v>0.5600000000000001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</row>
    <row r="318" ht="36" customHeight="1">
      <c r="A318" s="24" t="inlineStr">
        <is>
          <t>2561c71be5564c8d</t>
        </is>
      </c>
      <c r="B318" s="24" t="inlineStr">
        <is>
          <t>2026-08-02T12:28:47.396277Z</t>
        </is>
      </c>
      <c r="C318" s="24" t="inlineStr">
        <is>
          <t>2026-08-02T13:00Z</t>
        </is>
      </c>
      <c r="D318" s="24" t="inlineStr">
        <is>
          <t>1073-2026:179603</t>
        </is>
      </c>
      <c r="E318" s="24" t="inlineStr">
        <is>
          <t>TENNIS</t>
        </is>
      </c>
      <c r="F318" s="24" t="inlineStr">
        <is>
          <t>Laura Samson</t>
        </is>
      </c>
      <c r="G318" s="24" t="inlineStr">
        <is>
          <t>Kaitlin Quevedo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-138</v>
      </c>
      <c r="M318" s="27" t="n">
        <v>1.724638</v>
      </c>
      <c r="N318" s="28" t="n">
        <v>0.579832</v>
      </c>
      <c r="O318" s="28" t="n">
        <v>0.608004</v>
      </c>
      <c r="P318" s="28" t="n">
        <v>0.05</v>
      </c>
      <c r="Q318" s="28" t="n">
        <v>0.028172</v>
      </c>
      <c r="R318" s="26" t="n">
        <v>34</v>
      </c>
      <c r="S318" s="29" t="n">
        <v>1.5</v>
      </c>
      <c r="T318" s="24" t="inlineStr">
        <is>
          <t>tennis-surface-elo-v1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0</v>
      </c>
      <c r="Y318" s="25" t="n"/>
      <c r="Z318" s="26" t="n">
        <v>-138</v>
      </c>
      <c r="AA318" s="28" t="n">
        <v>0.58</v>
      </c>
      <c r="AB318" s="28" t="n">
        <v>0.000168</v>
      </c>
      <c r="AC318" s="30" t="n">
        <v>-1.5</v>
      </c>
      <c r="AD318" s="24" t="inlineStr">
        <is>
          <t>2026-08-02T15:53:31.398063Z</t>
        </is>
      </c>
      <c r="AE318" s="31" t="inlineStr">
        <is>
          <t>Surface-blended Elo on Hard: Laura Samson p=0.392 vs Kaitlin Quevedo. Executable ask 0.5800 (aec-wta-kaique-lausam-2026-08-02).</t>
        </is>
      </c>
      <c r="AF318" s="31" t="inlineStr">
        <is>
          <t>Research-only surface-blended Elo model; singles only, WTA-only market coverage, not yet locked-holdout qualified.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research_observation</t>
        </is>
      </c>
      <c r="AL318" s="26" t="n">
        <v>3</v>
      </c>
      <c r="AM318" s="24" t="inlineStr">
        <is>
          <t>RESEARCH_OBSERVATION</t>
        </is>
      </c>
      <c r="AN318" s="24" t="inlineStr">
        <is>
          <t>NO_CALL</t>
        </is>
      </c>
      <c r="AO318" s="24" t="inlineStr">
        <is>
          <t>NO_CALL_MODEL_UNVALIDATED</t>
        </is>
      </c>
      <c r="AP318" s="24" t="inlineStr">
        <is>
          <t>Laura Samson</t>
        </is>
      </c>
      <c r="AQ318" s="24" t="inlineStr">
        <is>
          <t>Laura Samson</t>
        </is>
      </c>
      <c r="AR318" s="24" t="inlineStr">
        <is>
          <t>Laura Samson</t>
        </is>
      </c>
      <c r="AS318" s="24" t="inlineStr">
        <is>
          <t>Kaitlin Quevedo</t>
        </is>
      </c>
      <c r="AT318" s="24" t="inlineStr">
        <is>
          <t>Kaitlin Quevedo</t>
        </is>
      </c>
      <c r="AU318" s="24" t="inlineStr">
        <is>
          <t>Kaitlin Quevedo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research</t>
        </is>
      </c>
      <c r="BA318" s="24" t="inlineStr">
        <is>
          <t>999faa03e2fa83bdf40e3760cb8645b4c314e4cc37c2050b8320d6582c4d8167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999faa03e2fa83bdf40e3760cb8645b4c314e4cc37c2050b8320d6582c4d8167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999faa03e2fa83bdf40e3760cb8645b4c314e4cc37c2050b8320d6582c4d8167</t>
        </is>
      </c>
      <c r="BH318" s="24" t="inlineStr">
        <is>
          <t>2026-08-02T12:25:29.223380Z</t>
        </is>
      </c>
      <c r="BI318" s="24" t="inlineStr">
        <is>
          <t>["same_event","same_team_same_day","same_league_same_day"]</t>
        </is>
      </c>
      <c r="BJ318" s="25" t="n"/>
      <c r="BK318" s="26" t="n">
        <v>-138</v>
      </c>
      <c r="BL318" s="27" t="n">
        <v>1.724638</v>
      </c>
      <c r="BM318" s="28" t="n">
        <v>0.579832</v>
      </c>
      <c r="BN318" s="28" t="n"/>
      <c r="BO318" s="28" t="n"/>
      <c r="BP318" s="25" t="n"/>
      <c r="BQ318" s="27" t="n">
        <v>1.724638</v>
      </c>
      <c r="BR318" s="28" t="n">
        <v>0.58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</row>
    <row r="319" ht="36" customHeight="1">
      <c r="A319" s="24" t="inlineStr">
        <is>
          <t>2ccf46ab0ab040ed</t>
        </is>
      </c>
      <c r="B319" s="24" t="inlineStr">
        <is>
          <t>2026-08-02T15:50:00.179683Z</t>
        </is>
      </c>
      <c r="C319" s="24" t="inlineStr">
        <is>
          <t>2026-08-02T16:00Z</t>
        </is>
      </c>
      <c r="D319" s="24" t="inlineStr">
        <is>
          <t>888-2026:179014</t>
        </is>
      </c>
      <c r="E319" s="24" t="inlineStr">
        <is>
          <t>TENNIS</t>
        </is>
      </c>
      <c r="F319" s="24" t="inlineStr">
        <is>
          <t>Alexandra Eala</t>
        </is>
      </c>
      <c r="G319" s="24" t="inlineStr">
        <is>
          <t>Jessica Pegula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-144</v>
      </c>
      <c r="M319" s="27" t="n">
        <v>1.694444</v>
      </c>
      <c r="N319" s="28" t="n">
        <v>0.590164</v>
      </c>
      <c r="O319" s="28" t="n">
        <v>0.821797</v>
      </c>
      <c r="P319" s="28" t="n">
        <v>0.05</v>
      </c>
      <c r="Q319" s="28" t="n">
        <v>0.231633</v>
      </c>
      <c r="R319" s="26" t="n">
        <v>100</v>
      </c>
      <c r="S319" s="29" t="n">
        <v>2</v>
      </c>
      <c r="T319" s="24" t="inlineStr">
        <is>
          <t>tennis-surface-elo-v1</t>
        </is>
      </c>
      <c r="U319" s="24" t="inlineStr">
        <is>
          <t>open</t>
        </is>
      </c>
      <c r="V319" s="24" t="n"/>
      <c r="W319" s="26" t="n"/>
      <c r="X319" s="26" t="n"/>
      <c r="Y319" s="25" t="n"/>
      <c r="Z319" s="26" t="n"/>
      <c r="AA319" s="28" t="n"/>
      <c r="AB319" s="28" t="n"/>
      <c r="AC319" s="30" t="n"/>
      <c r="AD319" s="24" t="n"/>
      <c r="AE319" s="31" t="inlineStr">
        <is>
          <t>Surface-blended Elo on Hard: Alexandra Eala p=0.178 vs Jessica Pegula. Executable ask 0.5900 (aec-wta-jespeg-aleeal-2026-08-02).</t>
        </is>
      </c>
      <c r="AF319" s="31" t="inlineStr">
        <is>
          <t>Research-only surface-blended Elo model; singles only, WTA-only market coverage, not yet locked-holdout qualified.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3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Alexandra Eala</t>
        </is>
      </c>
      <c r="AQ319" s="24" t="inlineStr">
        <is>
          <t>Alexandra Eala</t>
        </is>
      </c>
      <c r="AR319" s="24" t="inlineStr">
        <is>
          <t>Alexandra Eala</t>
        </is>
      </c>
      <c r="AS319" s="24" t="inlineStr">
        <is>
          <t>Jessica Pegula</t>
        </is>
      </c>
      <c r="AT319" s="24" t="inlineStr">
        <is>
          <t>Jessica Pegula</t>
        </is>
      </c>
      <c r="AU319" s="24" t="inlineStr">
        <is>
          <t>Jessica Pegula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research</t>
        </is>
      </c>
      <c r="BA319" s="24" t="inlineStr">
        <is>
          <t>999faa03e2fa83bdf40e3760cb8645b4c314e4cc37c2050b8320d6582c4d8167</t>
        </is>
      </c>
      <c r="BB319" s="24" t="inlineStr">
        <is>
          <t>surface_blended_elo</t>
        </is>
      </c>
      <c r="BC319" s="24" t="inlineStr">
        <is>
          <t>tennis-surface-elo-v1</t>
        </is>
      </c>
      <c r="BD319" s="24" t="inlineStr">
        <is>
          <t>999faa03e2fa83bdf40e3760cb8645b4c314e4cc37c2050b8320d6582c4d8167</t>
        </is>
      </c>
      <c r="BE319" s="24" t="inlineStr">
        <is>
          <t>tennis-surface-elo-v1</t>
        </is>
      </c>
      <c r="BF319" s="24" t="inlineStr">
        <is>
          <t>1</t>
        </is>
      </c>
      <c r="BG319" s="24" t="inlineStr">
        <is>
          <t>999faa03e2fa83bdf40e3760cb8645b4c314e4cc37c2050b8320d6582c4d8167</t>
        </is>
      </c>
      <c r="BH319" s="24" t="inlineStr">
        <is>
          <t>2026-08-02T15:46:52.794231Z</t>
        </is>
      </c>
      <c r="BI319" s="24" t="inlineStr">
        <is>
          <t>["same_event","same_team_same_day","same_league_same_day"]</t>
        </is>
      </c>
      <c r="BJ319" s="25" t="n"/>
      <c r="BK319" s="26" t="n">
        <v>-144</v>
      </c>
      <c r="BL319" s="27" t="n">
        <v>1.694444</v>
      </c>
      <c r="BM319" s="28" t="n">
        <v>0.590164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inlineStr">
        <is>
          <t>True</t>
        </is>
      </c>
    </row>
    <row r="320" ht="36" customHeight="1">
      <c r="A320" s="24" t="inlineStr">
        <is>
          <t>963db413afc049d0</t>
        </is>
      </c>
      <c r="B320" s="24" t="inlineStr">
        <is>
          <t>2026-08-02T16:13:39.503934Z</t>
        </is>
      </c>
      <c r="C320" s="24" t="inlineStr">
        <is>
          <t>2026-08-02T16:30Z</t>
        </is>
      </c>
      <c r="D320" s="24" t="inlineStr">
        <is>
          <t>421-2026:182259</t>
        </is>
      </c>
      <c r="E320" s="24" t="inlineStr">
        <is>
          <t>TENNIS</t>
        </is>
      </c>
      <c r="F320" s="24" t="inlineStr">
        <is>
          <t>Viktorija Golubic</t>
        </is>
      </c>
      <c r="G320" s="24" t="inlineStr">
        <is>
          <t>Kimberly Birrell</t>
        </is>
      </c>
      <c r="H320" s="24" t="inlineStr">
        <is>
          <t>moneyline</t>
        </is>
      </c>
      <c r="I320" s="24" t="inlineStr">
        <is>
          <t>home</t>
        </is>
      </c>
      <c r="J320" s="25" t="n"/>
      <c r="K320" s="24" t="inlineStr">
        <is>
          <t>polymarket_us</t>
        </is>
      </c>
      <c r="L320" s="26" t="n">
        <v>-108</v>
      </c>
      <c r="M320" s="27" t="n">
        <v>1.925926</v>
      </c>
      <c r="N320" s="28" t="n">
        <v>0.519231</v>
      </c>
      <c r="O320" s="28" t="n">
        <v>0.530496</v>
      </c>
      <c r="P320" s="28" t="n">
        <v>0.05</v>
      </c>
      <c r="Q320" s="28" t="n">
        <v>0.011265</v>
      </c>
      <c r="R320" s="26" t="n">
        <v>26</v>
      </c>
      <c r="S320" s="29" t="n">
        <v>1</v>
      </c>
      <c r="T320" s="24" t="inlineStr">
        <is>
          <t>tennis-surface-elo-v1</t>
        </is>
      </c>
      <c r="U320" s="24" t="inlineStr">
        <is>
          <t>open</t>
        </is>
      </c>
      <c r="V320" s="24" t="n"/>
      <c r="W320" s="26" t="n"/>
      <c r="X320" s="26" t="n"/>
      <c r="Y320" s="25" t="n"/>
      <c r="Z320" s="26" t="n"/>
      <c r="AA320" s="28" t="n"/>
      <c r="AB320" s="28" t="n"/>
      <c r="AC320" s="30" t="n"/>
      <c r="AD320" s="24" t="n"/>
      <c r="AE320" s="31" t="inlineStr">
        <is>
          <t>Surface-blended Elo on Hard: Viktorija Golubic p=0.470 vs Kimberly Birrell. Executable ask 0.5200 (aec-wta-kimbir-vikgol-2026-08-02).</t>
        </is>
      </c>
      <c r="AF320" s="31" t="inlineStr">
        <is>
          <t>Research-only surface-blended Elo model; singles only, WTA-only market coverage, not yet locked-holdout qualified.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research_observation</t>
        </is>
      </c>
      <c r="AL320" s="26" t="n">
        <v>3</v>
      </c>
      <c r="AM320" s="24" t="inlineStr">
        <is>
          <t>RESEARCH_OBSERVATION</t>
        </is>
      </c>
      <c r="AN320" s="24" t="inlineStr">
        <is>
          <t>NO_CALL</t>
        </is>
      </c>
      <c r="AO320" s="24" t="inlineStr">
        <is>
          <t>NO_CALL_LOW_EDGE</t>
        </is>
      </c>
      <c r="AP320" s="24" t="inlineStr">
        <is>
          <t>Viktorija Golubic</t>
        </is>
      </c>
      <c r="AQ320" s="24" t="inlineStr">
        <is>
          <t>Viktorija Golubic</t>
        </is>
      </c>
      <c r="AR320" s="24" t="inlineStr">
        <is>
          <t>Viktorija Golubic</t>
        </is>
      </c>
      <c r="AS320" s="24" t="inlineStr">
        <is>
          <t>Kimberly Birrell</t>
        </is>
      </c>
      <c r="AT320" s="24" t="inlineStr">
        <is>
          <t>Kimberly Birrell</t>
        </is>
      </c>
      <c r="AU320" s="24" t="inlineStr">
        <is>
          <t>Kimberly Birrell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research</t>
        </is>
      </c>
      <c r="BA320" s="24" t="inlineStr">
        <is>
          <t>999faa03e2fa83bdf40e3760cb8645b4c314e4cc37c2050b8320d6582c4d8167</t>
        </is>
      </c>
      <c r="BB320" s="24" t="inlineStr">
        <is>
          <t>surface_blended_elo</t>
        </is>
      </c>
      <c r="BC320" s="24" t="inlineStr">
        <is>
          <t>tennis-surface-elo-v1</t>
        </is>
      </c>
      <c r="BD320" s="24" t="inlineStr">
        <is>
          <t>999faa03e2fa83bdf40e3760cb8645b4c314e4cc37c2050b8320d6582c4d8167</t>
        </is>
      </c>
      <c r="BE320" s="24" t="inlineStr">
        <is>
          <t>tennis-surface-elo-v1</t>
        </is>
      </c>
      <c r="BF320" s="24" t="inlineStr">
        <is>
          <t>1</t>
        </is>
      </c>
      <c r="BG320" s="24" t="inlineStr">
        <is>
          <t>999faa03e2fa83bdf40e3760cb8645b4c314e4cc37c2050b8320d6582c4d8167</t>
        </is>
      </c>
      <c r="BH320" s="24" t="inlineStr">
        <is>
          <t>2026-08-02T16:10:19.496539Z</t>
        </is>
      </c>
      <c r="BI320" s="24" t="inlineStr">
        <is>
          <t>["same_event","same_team_same_day","same_league_same_day"]</t>
        </is>
      </c>
      <c r="BJ320" s="25" t="n"/>
      <c r="BK320" s="26" t="n">
        <v>-108</v>
      </c>
      <c r="BL320" s="27" t="n">
        <v>1.925926</v>
      </c>
      <c r="BM320" s="28" t="n">
        <v>0.519231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inlineStr">
        <is>
          <t>True</t>
        </is>
      </c>
    </row>
    <row r="321" ht="36" customHeight="1">
      <c r="A321" s="24" t="inlineStr">
        <is>
          <t>41b4f49e70934391</t>
        </is>
      </c>
      <c r="B321" s="24" t="inlineStr">
        <is>
          <t>2026-08-02T16:13:39.503934Z</t>
        </is>
      </c>
      <c r="C321" s="24" t="inlineStr">
        <is>
          <t>2026-08-02T16:30Z</t>
        </is>
      </c>
      <c r="D321" s="24" t="inlineStr">
        <is>
          <t>421-2026:182280</t>
        </is>
      </c>
      <c r="E321" s="24" t="inlineStr">
        <is>
          <t>TENNIS</t>
        </is>
      </c>
      <c r="F321" s="24" t="inlineStr">
        <is>
          <t>Sara Bejlek</t>
        </is>
      </c>
      <c r="G321" s="24" t="inlineStr">
        <is>
          <t>Wang Xiyu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-144</v>
      </c>
      <c r="M321" s="27" t="n">
        <v>1.694444</v>
      </c>
      <c r="N321" s="28" t="n">
        <v>0.590164</v>
      </c>
      <c r="O321" s="28" t="n">
        <v>0.597848</v>
      </c>
      <c r="P321" s="28" t="n">
        <v>0.05</v>
      </c>
      <c r="Q321" s="28" t="n">
        <v>0.007684</v>
      </c>
      <c r="R321" s="26" t="n">
        <v>24</v>
      </c>
      <c r="S321" s="29" t="n">
        <v>1.25</v>
      </c>
      <c r="T321" s="24" t="inlineStr">
        <is>
          <t>tennis-surface-elo-v1</t>
        </is>
      </c>
      <c r="U321" s="24" t="inlineStr">
        <is>
          <t>open</t>
        </is>
      </c>
      <c r="V321" s="24" t="n"/>
      <c r="W321" s="26" t="n"/>
      <c r="X321" s="26" t="n"/>
      <c r="Y321" s="25" t="n"/>
      <c r="Z321" s="26" t="n"/>
      <c r="AA321" s="28" t="n"/>
      <c r="AB321" s="28" t="n"/>
      <c r="AC321" s="30" t="n"/>
      <c r="AD321" s="24" t="n"/>
      <c r="AE321" s="31" t="inlineStr">
        <is>
          <t>Surface-blended Elo on Hard: Sara Bejlek p=0.598 vs Wang Xiyu. Executable ask 0.5900 (aec-wta-xiywan-sarbej-2026-08-02).</t>
        </is>
      </c>
      <c r="AF321" s="31" t="inlineStr">
        <is>
          <t>Research-only surface-blended Elo model; singles only, WTA-only market coverage, not yet locked-holdout qualified.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research_observation</t>
        </is>
      </c>
      <c r="AL321" s="26" t="n">
        <v>3</v>
      </c>
      <c r="AM321" s="24" t="inlineStr">
        <is>
          <t>RESEARCH_OBSERVATION</t>
        </is>
      </c>
      <c r="AN321" s="24" t="inlineStr">
        <is>
          <t>NO_CALL</t>
        </is>
      </c>
      <c r="AO321" s="24" t="inlineStr">
        <is>
          <t>NO_CALL_LOW_EDGE</t>
        </is>
      </c>
      <c r="AP321" s="24" t="inlineStr">
        <is>
          <t>Sara Bejlek</t>
        </is>
      </c>
      <c r="AQ321" s="24" t="inlineStr">
        <is>
          <t>Sara Bejlek</t>
        </is>
      </c>
      <c r="AR321" s="24" t="inlineStr">
        <is>
          <t>Sara Bejlek</t>
        </is>
      </c>
      <c r="AS321" s="24" t="inlineStr">
        <is>
          <t>Wang Xiyu</t>
        </is>
      </c>
      <c r="AT321" s="24" t="inlineStr">
        <is>
          <t>Wang Xiyu</t>
        </is>
      </c>
      <c r="AU321" s="24" t="inlineStr">
        <is>
          <t>Wang Xiyu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research</t>
        </is>
      </c>
      <c r="BA321" s="24" t="inlineStr">
        <is>
          <t>999faa03e2fa83bdf40e3760cb8645b4c314e4cc37c2050b8320d6582c4d8167</t>
        </is>
      </c>
      <c r="BB321" s="24" t="inlineStr">
        <is>
          <t>surface_blended_elo</t>
        </is>
      </c>
      <c r="BC321" s="24" t="inlineStr">
        <is>
          <t>tennis-surface-elo-v1</t>
        </is>
      </c>
      <c r="BD321" s="24" t="inlineStr">
        <is>
          <t>999faa03e2fa83bdf40e3760cb8645b4c314e4cc37c2050b8320d6582c4d8167</t>
        </is>
      </c>
      <c r="BE321" s="24" t="inlineStr">
        <is>
          <t>tennis-surface-elo-v1</t>
        </is>
      </c>
      <c r="BF321" s="24" t="inlineStr">
        <is>
          <t>1</t>
        </is>
      </c>
      <c r="BG321" s="24" t="inlineStr">
        <is>
          <t>999faa03e2fa83bdf40e3760cb8645b4c314e4cc37c2050b8320d6582c4d8167</t>
        </is>
      </c>
      <c r="BH321" s="24" t="inlineStr">
        <is>
          <t>2026-08-02T16:10:19.991470Z</t>
        </is>
      </c>
      <c r="BI321" s="24" t="inlineStr">
        <is>
          <t>["same_event","same_team_same_day","same_league_same_day"]</t>
        </is>
      </c>
      <c r="BJ321" s="25" t="n"/>
      <c r="BK321" s="26" t="n">
        <v>-144</v>
      </c>
      <c r="BL321" s="27" t="n">
        <v>1.694444</v>
      </c>
      <c r="BM321" s="28" t="n">
        <v>0.590164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inlineStr">
        <is>
          <t>True</t>
        </is>
      </c>
    </row>
    <row r="322" ht="36" customHeight="1">
      <c r="A322" s="24" t="inlineStr">
        <is>
          <t>d8110040e8f94cd5</t>
        </is>
      </c>
      <c r="B322" s="24" t="inlineStr">
        <is>
          <t>2026-08-02T16:51:36.214335Z</t>
        </is>
      </c>
      <c r="C322" s="24" t="inlineStr">
        <is>
          <t>2026-08-02T17:30Z</t>
        </is>
      </c>
      <c r="D322" s="24" t="inlineStr">
        <is>
          <t>1067-2026:179469</t>
        </is>
      </c>
      <c r="E322" s="24" t="inlineStr">
        <is>
          <t>TENNIS</t>
        </is>
      </c>
      <c r="F322" s="24" t="inlineStr">
        <is>
          <t>Darja Vidmanova</t>
        </is>
      </c>
      <c r="G322" s="24" t="inlineStr">
        <is>
          <t>Kristina Liutova</t>
        </is>
      </c>
      <c r="H322" s="24" t="inlineStr">
        <is>
          <t>moneyline</t>
        </is>
      </c>
      <c r="I322" s="24" t="inlineStr">
        <is>
          <t>away</t>
        </is>
      </c>
      <c r="J322" s="25" t="n"/>
      <c r="K322" s="24" t="inlineStr">
        <is>
          <t>polymarket_us</t>
        </is>
      </c>
      <c r="L322" s="26" t="n">
        <v>104</v>
      </c>
      <c r="M322" s="27" t="n">
        <v>2.04</v>
      </c>
      <c r="N322" s="28" t="n">
        <v>0.490196</v>
      </c>
      <c r="O322" s="28" t="n">
        <v>0.639939</v>
      </c>
      <c r="P322" s="28" t="n">
        <v>0.05</v>
      </c>
      <c r="Q322" s="28" t="n">
        <v>0.149743</v>
      </c>
      <c r="R322" s="26" t="n">
        <v>95</v>
      </c>
      <c r="S322" s="29" t="n">
        <v>1.5</v>
      </c>
      <c r="T322" s="24" t="inlineStr">
        <is>
          <t>tennis-surface-elo-v1</t>
        </is>
      </c>
      <c r="U322" s="24" t="inlineStr">
        <is>
          <t>open</t>
        </is>
      </c>
      <c r="V322" s="24" t="n"/>
      <c r="W322" s="26" t="n"/>
      <c r="X322" s="26" t="n"/>
      <c r="Y322" s="25" t="n"/>
      <c r="Z322" s="26" t="n"/>
      <c r="AA322" s="28" t="n"/>
      <c r="AB322" s="28" t="n"/>
      <c r="AC322" s="30" t="n"/>
      <c r="AD322" s="24" t="n"/>
      <c r="AE322" s="31" t="inlineStr">
        <is>
          <t>Surface-blended Elo on Hard: Darja Vidmanova p=0.640 vs Kristina Liutova. Executable ask 0.4900 (aec-wta-kriliu-darvid-2026-08-02).</t>
        </is>
      </c>
      <c r="AF322" s="31" t="inlineStr">
        <is>
          <t>Surface-blended Elo model; singles only, WTA+ATP market coverage, not yet locked-holdout qualified -- promoted by explicit operator directive, not genuine walk-forward validation.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3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Darja Vidmanova</t>
        </is>
      </c>
      <c r="AQ322" s="24" t="inlineStr">
        <is>
          <t>Darja Vidmanova</t>
        </is>
      </c>
      <c r="AR322" s="24" t="inlineStr">
        <is>
          <t>Darja Vidmanova</t>
        </is>
      </c>
      <c r="AS322" s="24" t="inlineStr">
        <is>
          <t>Kristina Liutova</t>
        </is>
      </c>
      <c r="AT322" s="24" t="inlineStr">
        <is>
          <t>Kristina Liutova</t>
        </is>
      </c>
      <c r="AU322" s="24" t="inlineStr">
        <is>
          <t>Kristina Liutova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1c05a3c4f76bde5de709ff6bb1937b3c4c67149c2ea621b7c90ca07898e048e8</t>
        </is>
      </c>
      <c r="BB322" s="24" t="inlineStr">
        <is>
          <t>surface_blended_elo</t>
        </is>
      </c>
      <c r="BC322" s="24" t="inlineStr">
        <is>
          <t>tennis-surface-elo-v1</t>
        </is>
      </c>
      <c r="BD322" s="24" t="inlineStr">
        <is>
          <t>1c05a3c4f76bde5de709ff6bb1937b3c4c67149c2ea621b7c90ca07898e048e8</t>
        </is>
      </c>
      <c r="BE322" s="24" t="inlineStr">
        <is>
          <t>tennis-surface-elo-v1</t>
        </is>
      </c>
      <c r="BF322" s="24" t="inlineStr">
        <is>
          <t>1</t>
        </is>
      </c>
      <c r="BG322" s="24" t="inlineStr">
        <is>
          <t>1c05a3c4f76bde5de709ff6bb1937b3c4c67149c2ea621b7c90ca07898e048e8</t>
        </is>
      </c>
      <c r="BH322" s="24" t="inlineStr">
        <is>
          <t>2026-08-02T16:47:46.960029Z</t>
        </is>
      </c>
      <c r="BI322" s="24" t="inlineStr">
        <is>
          <t>["same_event","same_team_same_day","same_league_same_day"]</t>
        </is>
      </c>
      <c r="BJ322" s="25" t="n"/>
      <c r="BK322" s="26" t="n">
        <v>104</v>
      </c>
      <c r="BL322" s="27" t="n">
        <v>2.04</v>
      </c>
      <c r="BM322" s="28" t="n">
        <v>0.490196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inlineStr">
        <is>
          <t>True</t>
        </is>
      </c>
    </row>
    <row r="323" ht="36" customHeight="1">
      <c r="A323" s="24" t="inlineStr">
        <is>
          <t>f422054a8d494ec4</t>
        </is>
      </c>
      <c r="B323" s="24" t="inlineStr">
        <is>
          <t>2026-08-02T16:51:36.214335Z</t>
        </is>
      </c>
      <c r="C323" s="24" t="inlineStr">
        <is>
          <t>2026-08-02T18:00Z</t>
        </is>
      </c>
      <c r="D323" s="24" t="inlineStr">
        <is>
          <t>421-2026:182257</t>
        </is>
      </c>
      <c r="E323" s="24" t="inlineStr">
        <is>
          <t>TENNIS</t>
        </is>
      </c>
      <c r="F323" s="24" t="inlineStr">
        <is>
          <t>Antonia Ruzic</t>
        </is>
      </c>
      <c r="G323" s="24" t="inlineStr">
        <is>
          <t>Lois Boisson</t>
        </is>
      </c>
      <c r="H323" s="24" t="inlineStr">
        <is>
          <t>moneyline</t>
        </is>
      </c>
      <c r="I323" s="24" t="inlineStr">
        <is>
          <t>away</t>
        </is>
      </c>
      <c r="J323" s="25" t="n"/>
      <c r="K323" s="24" t="inlineStr">
        <is>
          <t>polymarket_us</t>
        </is>
      </c>
      <c r="L323" s="26" t="n">
        <v>-104</v>
      </c>
      <c r="M323" s="27" t="n">
        <v>1.961538</v>
      </c>
      <c r="N323" s="28" t="n">
        <v>0.509804</v>
      </c>
      <c r="O323" s="28" t="n">
        <v>0.549832</v>
      </c>
      <c r="P323" s="28" t="n">
        <v>0.05</v>
      </c>
      <c r="Q323" s="28" t="n">
        <v>0.040028</v>
      </c>
      <c r="R323" s="26" t="n">
        <v>40</v>
      </c>
      <c r="S323" s="29" t="n">
        <v>1</v>
      </c>
      <c r="T323" s="24" t="inlineStr">
        <is>
          <t>tennis-surface-elo-v1</t>
        </is>
      </c>
      <c r="U323" s="24" t="inlineStr">
        <is>
          <t>open</t>
        </is>
      </c>
      <c r="V323" s="24" t="n"/>
      <c r="W323" s="26" t="n"/>
      <c r="X323" s="26" t="n"/>
      <c r="Y323" s="25" t="n"/>
      <c r="Z323" s="26" t="n"/>
      <c r="AA323" s="28" t="n"/>
      <c r="AB323" s="28" t="n"/>
      <c r="AC323" s="30" t="n"/>
      <c r="AD323" s="24" t="n"/>
      <c r="AE323" s="31" t="inlineStr">
        <is>
          <t>Surface-blended Elo on Hard: Antonia Ruzic p=0.550 vs Lois Boisson. Executable ask 0.5100 (aec-wta-loiboi-antruz-2026-08-02).</t>
        </is>
      </c>
      <c r="AF323" s="31" t="inlineStr">
        <is>
          <t>Surface-blended Elo model; singles only, WTA+ATP market coverage, not yet locked-holdout qualified -- promoted by explicit operator directive, not genuine walk-forward validation.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research_observation</t>
        </is>
      </c>
      <c r="AL323" s="26" t="n">
        <v>3</v>
      </c>
      <c r="AM323" s="24" t="inlineStr">
        <is>
          <t>RESEARCH_OBSERVATION</t>
        </is>
      </c>
      <c r="AN323" s="24" t="inlineStr">
        <is>
          <t>NO_CALL</t>
        </is>
      </c>
      <c r="AO323" s="24" t="inlineStr">
        <is>
          <t>NO_CALL_LOW_EDGE</t>
        </is>
      </c>
      <c r="AP323" s="24" t="inlineStr">
        <is>
          <t>Antonia Ruzic</t>
        </is>
      </c>
      <c r="AQ323" s="24" t="inlineStr">
        <is>
          <t>Antonia Ruzic</t>
        </is>
      </c>
      <c r="AR323" s="24" t="inlineStr">
        <is>
          <t>Antonia Ruzic</t>
        </is>
      </c>
      <c r="AS323" s="24" t="inlineStr">
        <is>
          <t>Lois Boisson</t>
        </is>
      </c>
      <c r="AT323" s="24" t="inlineStr">
        <is>
          <t>Lois Boisson</t>
        </is>
      </c>
      <c r="AU323" s="24" t="inlineStr">
        <is>
          <t>Lois Boisson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1c05a3c4f76bde5de709ff6bb1937b3c4c67149c2ea621b7c90ca07898e048e8</t>
        </is>
      </c>
      <c r="BB323" s="24" t="inlineStr">
        <is>
          <t>surface_blended_elo</t>
        </is>
      </c>
      <c r="BC323" s="24" t="inlineStr">
        <is>
          <t>tennis-surface-elo-v1</t>
        </is>
      </c>
      <c r="BD323" s="24" t="inlineStr">
        <is>
          <t>1c05a3c4f76bde5de709ff6bb1937b3c4c67149c2ea621b7c90ca07898e048e8</t>
        </is>
      </c>
      <c r="BE323" s="24" t="inlineStr">
        <is>
          <t>tennis-surface-elo-v1</t>
        </is>
      </c>
      <c r="BF323" s="24" t="inlineStr">
        <is>
          <t>1</t>
        </is>
      </c>
      <c r="BG323" s="24" t="inlineStr">
        <is>
          <t>1c05a3c4f76bde5de709ff6bb1937b3c4c67149c2ea621b7c90ca07898e048e8</t>
        </is>
      </c>
      <c r="BH323" s="24" t="inlineStr">
        <is>
          <t>2026-08-02T16:47:51.852853Z</t>
        </is>
      </c>
      <c r="BI323" s="24" t="inlineStr">
        <is>
          <t>["same_event","same_team_same_day","same_league_same_day"]</t>
        </is>
      </c>
      <c r="BJ323" s="25" t="n"/>
      <c r="BK323" s="26" t="n">
        <v>-104</v>
      </c>
      <c r="BL323" s="27" t="n">
        <v>1.961538</v>
      </c>
      <c r="BM323" s="28" t="n">
        <v>0.509804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inlineStr">
        <is>
          <t>True</t>
        </is>
      </c>
    </row>
    <row r="324" ht="36" customHeight="1">
      <c r="A324" s="24" t="inlineStr">
        <is>
          <t>a9d164aa04424e7c</t>
        </is>
      </c>
      <c r="B324" s="24" t="inlineStr">
        <is>
          <t>2026-08-02T16:51:36.214335Z</t>
        </is>
      </c>
      <c r="C324" s="24" t="inlineStr">
        <is>
          <t>2026-08-02T18:00Z</t>
        </is>
      </c>
      <c r="D324" s="24" t="inlineStr">
        <is>
          <t>421-2026:182268</t>
        </is>
      </c>
      <c r="E324" s="24" t="inlineStr">
        <is>
          <t>TENNIS</t>
        </is>
      </c>
      <c r="F324" s="24" t="inlineStr">
        <is>
          <t>Katherine Sebov</t>
        </is>
      </c>
      <c r="G324" s="24" t="inlineStr">
        <is>
          <t>Aoi Ito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-150</v>
      </c>
      <c r="M324" s="27" t="n">
        <v>1.666667</v>
      </c>
      <c r="N324" s="28" t="n">
        <v>0.6</v>
      </c>
      <c r="O324" s="28" t="n">
        <v>0.52927</v>
      </c>
      <c r="P324" s="28" t="n">
        <v>0.05</v>
      </c>
      <c r="Q324" s="28" t="n">
        <v>-0.07073</v>
      </c>
      <c r="R324" s="26" t="n">
        <v>0</v>
      </c>
      <c r="S324" s="29" t="n">
        <v>1</v>
      </c>
      <c r="T324" s="24" t="inlineStr">
        <is>
          <t>tennis-surface-elo-v1</t>
        </is>
      </c>
      <c r="U324" s="24" t="inlineStr">
        <is>
          <t>open</t>
        </is>
      </c>
      <c r="V324" s="24" t="n"/>
      <c r="W324" s="26" t="n"/>
      <c r="X324" s="26" t="n"/>
      <c r="Y324" s="25" t="n"/>
      <c r="Z324" s="26" t="n"/>
      <c r="AA324" s="28" t="n"/>
      <c r="AB324" s="28" t="n"/>
      <c r="AC324" s="30" t="n"/>
      <c r="AD324" s="24" t="n"/>
      <c r="AE324" s="31" t="inlineStr">
        <is>
          <t>Surface-blended Elo on Hard: Katherine Sebov p=0.471 vs Aoi Ito. Executable ask 0.6000 (aec-wta-aoiito-katseb-2026-08-02).</t>
        </is>
      </c>
      <c r="AF324" s="31" t="inlineStr">
        <is>
          <t>Surface-blended Elo model; singles only, WTA+ATP market coverage, not yet locked-holdout qualified -- promoted by explicit operator directive, not genuine walk-forward validation.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research_observation</t>
        </is>
      </c>
      <c r="AL324" s="26" t="n">
        <v>3</v>
      </c>
      <c r="AM324" s="24" t="inlineStr">
        <is>
          <t>RESEARCH_OBSERVATION</t>
        </is>
      </c>
      <c r="AN324" s="24" t="inlineStr">
        <is>
          <t>NO_CALL</t>
        </is>
      </c>
      <c r="AO324" s="24" t="inlineStr">
        <is>
          <t>NO_CALL_LOW_EDGE</t>
        </is>
      </c>
      <c r="AP324" s="24" t="inlineStr">
        <is>
          <t>Katherine Sebov</t>
        </is>
      </c>
      <c r="AQ324" s="24" t="inlineStr">
        <is>
          <t>Katherine Sebov</t>
        </is>
      </c>
      <c r="AR324" s="24" t="inlineStr">
        <is>
          <t>Katherine Sebov</t>
        </is>
      </c>
      <c r="AS324" s="24" t="inlineStr">
        <is>
          <t>Aoi Ito</t>
        </is>
      </c>
      <c r="AT324" s="24" t="inlineStr">
        <is>
          <t>Aoi Ito</t>
        </is>
      </c>
      <c r="AU324" s="24" t="inlineStr">
        <is>
          <t>Aoi Ito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1c05a3c4f76bde5de709ff6bb1937b3c4c67149c2ea621b7c90ca07898e048e8</t>
        </is>
      </c>
      <c r="BB324" s="24" t="inlineStr">
        <is>
          <t>surface_blended_elo</t>
        </is>
      </c>
      <c r="BC324" s="24" t="inlineStr">
        <is>
          <t>tennis-surface-elo-v1</t>
        </is>
      </c>
      <c r="BD324" s="24" t="inlineStr">
        <is>
          <t>1c05a3c4f76bde5de709ff6bb1937b3c4c67149c2ea621b7c90ca07898e048e8</t>
        </is>
      </c>
      <c r="BE324" s="24" t="inlineStr">
        <is>
          <t>tennis-surface-elo-v1</t>
        </is>
      </c>
      <c r="BF324" s="24" t="inlineStr">
        <is>
          <t>1</t>
        </is>
      </c>
      <c r="BG324" s="24" t="inlineStr">
        <is>
          <t>1c05a3c4f76bde5de709ff6bb1937b3c4c67149c2ea621b7c90ca07898e048e8</t>
        </is>
      </c>
      <c r="BH324" s="24" t="inlineStr">
        <is>
          <t>2026-08-02T16:47:48.148287Z</t>
        </is>
      </c>
      <c r="BI324" s="24" t="inlineStr">
        <is>
          <t>["same_event","same_team_same_day","same_league_same_day"]</t>
        </is>
      </c>
      <c r="BJ324" s="25" t="n"/>
      <c r="BK324" s="26" t="n">
        <v>-150</v>
      </c>
      <c r="BL324" s="27" t="n">
        <v>1.666667</v>
      </c>
      <c r="BM324" s="28" t="n">
        <v>0.6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inlineStr">
        <is>
          <t>False</t>
        </is>
      </c>
    </row>
    <row r="325" ht="36" customHeight="1">
      <c r="A325" s="24" t="inlineStr">
        <is>
          <t>ee2dbd8025fa4b57</t>
        </is>
      </c>
      <c r="B325" s="24" t="inlineStr">
        <is>
          <t>2026-08-02T16:51:36.214335Z</t>
        </is>
      </c>
      <c r="C325" s="24" t="inlineStr">
        <is>
          <t>2026-08-02T20:00Z</t>
        </is>
      </c>
      <c r="D325" s="24" t="inlineStr">
        <is>
          <t>421-2026:182273</t>
        </is>
      </c>
      <c r="E325" s="24" t="inlineStr">
        <is>
          <t>TENNIS</t>
        </is>
      </c>
      <c r="F325" s="24" t="inlineStr">
        <is>
          <t>Lanlana Tararudee</t>
        </is>
      </c>
      <c r="G325" s="24" t="inlineStr">
        <is>
          <t>Emerson Jones</t>
        </is>
      </c>
      <c r="H325" s="24" t="inlineStr">
        <is>
          <t>moneyline</t>
        </is>
      </c>
      <c r="I325" s="24" t="inlineStr">
        <is>
          <t>away</t>
        </is>
      </c>
      <c r="J325" s="25" t="n"/>
      <c r="K325" s="24" t="inlineStr">
        <is>
          <t>polymarket_us</t>
        </is>
      </c>
      <c r="L325" s="26" t="n">
        <v>-186</v>
      </c>
      <c r="M325" s="27" t="n">
        <v>1.537634</v>
      </c>
      <c r="N325" s="28" t="n">
        <v>0.65035</v>
      </c>
      <c r="O325" s="28" t="n">
        <v>0.756798</v>
      </c>
      <c r="P325" s="28" t="n">
        <v>0.05</v>
      </c>
      <c r="Q325" s="28" t="n">
        <v>0.106448</v>
      </c>
      <c r="R325" s="26" t="n">
        <v>73</v>
      </c>
      <c r="S325" s="29" t="n">
        <v>2</v>
      </c>
      <c r="T325" s="24" t="inlineStr">
        <is>
          <t>tennis-surface-elo-v1</t>
        </is>
      </c>
      <c r="U325" s="24" t="inlineStr">
        <is>
          <t>open</t>
        </is>
      </c>
      <c r="V325" s="24" t="n"/>
      <c r="W325" s="26" t="n"/>
      <c r="X325" s="26" t="n"/>
      <c r="Y325" s="25" t="n"/>
      <c r="Z325" s="26" t="n"/>
      <c r="AA325" s="28" t="n"/>
      <c r="AB325" s="28" t="n"/>
      <c r="AC325" s="30" t="n"/>
      <c r="AD325" s="24" t="n"/>
      <c r="AE325" s="31" t="inlineStr">
        <is>
          <t>Surface-blended Elo on Hard: Lanlana Tararudee p=0.757 vs Emerson Jones. Executable ask 0.6500 (aec-wta-emejon-lantar-2026-08-02).</t>
        </is>
      </c>
      <c r="AF325" s="31" t="inlineStr">
        <is>
          <t>Surface-blended Elo model; singles only, WTA+ATP market coverage, not yet locked-holdout qualified -- promoted by explicit operator directive, not genuine walk-forward validation.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3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Lanlana Tararudee</t>
        </is>
      </c>
      <c r="AQ325" s="24" t="inlineStr">
        <is>
          <t>Lanlana Tararudee</t>
        </is>
      </c>
      <c r="AR325" s="24" t="inlineStr">
        <is>
          <t>Lanlana Tararudee</t>
        </is>
      </c>
      <c r="AS325" s="24" t="inlineStr">
        <is>
          <t>Emerson Jones</t>
        </is>
      </c>
      <c r="AT325" s="24" t="inlineStr">
        <is>
          <t>Emerson Jones</t>
        </is>
      </c>
      <c r="AU325" s="24" t="inlineStr">
        <is>
          <t>Emerson Jones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1c05a3c4f76bde5de709ff6bb1937b3c4c67149c2ea621b7c90ca07898e048e8</t>
        </is>
      </c>
      <c r="BB325" s="24" t="inlineStr">
        <is>
          <t>surface_blended_elo</t>
        </is>
      </c>
      <c r="BC325" s="24" t="inlineStr">
        <is>
          <t>tennis-surface-elo-v1</t>
        </is>
      </c>
      <c r="BD325" s="24" t="inlineStr">
        <is>
          <t>1c05a3c4f76bde5de709ff6bb1937b3c4c67149c2ea621b7c90ca07898e048e8</t>
        </is>
      </c>
      <c r="BE325" s="24" t="inlineStr">
        <is>
          <t>tennis-surface-elo-v1</t>
        </is>
      </c>
      <c r="BF325" s="24" t="inlineStr">
        <is>
          <t>1</t>
        </is>
      </c>
      <c r="BG325" s="24" t="inlineStr">
        <is>
          <t>1c05a3c4f76bde5de709ff6bb1937b3c4c67149c2ea621b7c90ca07898e048e8</t>
        </is>
      </c>
      <c r="BH325" s="24" t="inlineStr">
        <is>
          <t>2026-08-02T16:47:57.265599Z</t>
        </is>
      </c>
      <c r="BI325" s="24" t="inlineStr">
        <is>
          <t>["same_event","same_team_same_day","same_league_same_day"]</t>
        </is>
      </c>
      <c r="BJ325" s="25" t="n"/>
      <c r="BK325" s="26" t="n">
        <v>-186</v>
      </c>
      <c r="BL325" s="27" t="n">
        <v>1.537634</v>
      </c>
      <c r="BM325" s="28" t="n">
        <v>0.65035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inlineStr">
        <is>
          <t>True</t>
        </is>
      </c>
    </row>
    <row r="326" ht="36" customHeight="1">
      <c r="A326" s="24" t="inlineStr">
        <is>
          <t>b40625d0c8854689</t>
        </is>
      </c>
      <c r="B326" s="24" t="inlineStr">
        <is>
          <t>2026-08-02T16:51:36.214335Z</t>
        </is>
      </c>
      <c r="C326" s="24" t="inlineStr">
        <is>
          <t>2026-08-02T21:00Z</t>
        </is>
      </c>
      <c r="D326" s="24" t="inlineStr">
        <is>
          <t>421-2026:182240</t>
        </is>
      </c>
      <c r="E326" s="24" t="inlineStr">
        <is>
          <t>TENNIS</t>
        </is>
      </c>
      <c r="F326" s="24" t="inlineStr">
        <is>
          <t>Cadence Brace</t>
        </is>
      </c>
      <c r="G326" s="24" t="inlineStr">
        <is>
          <t>McCartney Kessler</t>
        </is>
      </c>
      <c r="H326" s="24" t="inlineStr">
        <is>
          <t>moneyline</t>
        </is>
      </c>
      <c r="I326" s="24" t="inlineStr">
        <is>
          <t>home</t>
        </is>
      </c>
      <c r="J326" s="25" t="n"/>
      <c r="K326" s="24" t="inlineStr">
        <is>
          <t>polymarket_us</t>
        </is>
      </c>
      <c r="L326" s="26" t="n">
        <v>-614</v>
      </c>
      <c r="M326" s="27" t="n">
        <v>1.162866</v>
      </c>
      <c r="N326" s="28" t="n">
        <v>0.859944</v>
      </c>
      <c r="O326" s="28" t="n">
        <v>0.7637620000000001</v>
      </c>
      <c r="P326" s="28" t="n">
        <v>0.05</v>
      </c>
      <c r="Q326" s="28" t="n">
        <v>-0.096182</v>
      </c>
      <c r="R326" s="26" t="n">
        <v>0</v>
      </c>
      <c r="S326" s="29" t="n">
        <v>2</v>
      </c>
      <c r="T326" s="24" t="inlineStr">
        <is>
          <t>tennis-surface-elo-v1</t>
        </is>
      </c>
      <c r="U326" s="24" t="inlineStr">
        <is>
          <t>open</t>
        </is>
      </c>
      <c r="V326" s="24" t="n"/>
      <c r="W326" s="26" t="n"/>
      <c r="X326" s="26" t="n"/>
      <c r="Y326" s="25" t="n"/>
      <c r="Z326" s="26" t="n"/>
      <c r="AA326" s="28" t="n"/>
      <c r="AB326" s="28" t="n"/>
      <c r="AC326" s="30" t="n"/>
      <c r="AD326" s="24" t="n"/>
      <c r="AE326" s="31" t="inlineStr">
        <is>
          <t>Surface-blended Elo on Hard: Cadence Brace p=0.236 vs McCartney Kessler. Executable ask 0.8600 (aec-wta-mcckes-cadbra-2026-08-02).</t>
        </is>
      </c>
      <c r="AF326" s="31" t="inlineStr">
        <is>
          <t>Surface-blended Elo model; singles only, WTA+ATP market coverage, not yet locked-holdout qualified -- promoted by explicit operator directive, not genuine walk-forward validation.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research_observation</t>
        </is>
      </c>
      <c r="AL326" s="26" t="n">
        <v>3</v>
      </c>
      <c r="AM326" s="24" t="inlineStr">
        <is>
          <t>RESEARCH_OBSERVATION</t>
        </is>
      </c>
      <c r="AN326" s="24" t="inlineStr">
        <is>
          <t>NO_CALL</t>
        </is>
      </c>
      <c r="AO326" s="24" t="inlineStr">
        <is>
          <t>NO_CALL_LOW_EDGE</t>
        </is>
      </c>
      <c r="AP326" s="24" t="inlineStr">
        <is>
          <t>Cadence Brace</t>
        </is>
      </c>
      <c r="AQ326" s="24" t="inlineStr">
        <is>
          <t>Cadence Brace</t>
        </is>
      </c>
      <c r="AR326" s="24" t="inlineStr">
        <is>
          <t>Cadence Brace</t>
        </is>
      </c>
      <c r="AS326" s="24" t="inlineStr">
        <is>
          <t>McCartney Kessler</t>
        </is>
      </c>
      <c r="AT326" s="24" t="inlineStr">
        <is>
          <t>McCartney Kessler</t>
        </is>
      </c>
      <c r="AU326" s="24" t="inlineStr">
        <is>
          <t>McCartney Kessler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1c05a3c4f76bde5de709ff6bb1937b3c4c67149c2ea621b7c90ca07898e048e8</t>
        </is>
      </c>
      <c r="BB326" s="24" t="inlineStr">
        <is>
          <t>surface_blended_elo</t>
        </is>
      </c>
      <c r="BC326" s="24" t="inlineStr">
        <is>
          <t>tennis-surface-elo-v1</t>
        </is>
      </c>
      <c r="BD326" s="24" t="inlineStr">
        <is>
          <t>1c05a3c4f76bde5de709ff6bb1937b3c4c67149c2ea621b7c90ca07898e048e8</t>
        </is>
      </c>
      <c r="BE326" s="24" t="inlineStr">
        <is>
          <t>tennis-surface-elo-v1</t>
        </is>
      </c>
      <c r="BF326" s="24" t="inlineStr">
        <is>
          <t>1</t>
        </is>
      </c>
      <c r="BG326" s="24" t="inlineStr">
        <is>
          <t>1c05a3c4f76bde5de709ff6bb1937b3c4c67149c2ea621b7c90ca07898e048e8</t>
        </is>
      </c>
      <c r="BH326" s="24" t="inlineStr">
        <is>
          <t>2026-08-02T16:47:57.823493Z</t>
        </is>
      </c>
      <c r="BI326" s="24" t="inlineStr">
        <is>
          <t>["same_event","same_team_same_day","same_league_same_day"]</t>
        </is>
      </c>
      <c r="BJ326" s="25" t="n"/>
      <c r="BK326" s="26" t="n">
        <v>-614</v>
      </c>
      <c r="BL326" s="27" t="n">
        <v>1.162866</v>
      </c>
      <c r="BM326" s="28" t="n">
        <v>0.859944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inlineStr">
        <is>
          <t>False</t>
        </is>
      </c>
    </row>
    <row r="327" ht="36" customHeight="1">
      <c r="A327" s="24" t="inlineStr">
        <is>
          <t>59a7e978717c4bfa</t>
        </is>
      </c>
      <c r="B327" s="24" t="inlineStr">
        <is>
          <t>2026-08-02T16:51:36.214335Z</t>
        </is>
      </c>
      <c r="C327" s="24" t="inlineStr">
        <is>
          <t>2026-08-02T21:30Z</t>
        </is>
      </c>
      <c r="D327" s="24" t="inlineStr">
        <is>
          <t>421-2026:182283</t>
        </is>
      </c>
      <c r="E327" s="24" t="inlineStr">
        <is>
          <t>TENNIS</t>
        </is>
      </c>
      <c r="F327" s="24" t="inlineStr">
        <is>
          <t>Elisabetta Cocciaretto</t>
        </is>
      </c>
      <c r="G327" s="24" t="inlineStr">
        <is>
          <t>Talia Gibson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-144</v>
      </c>
      <c r="M327" s="27" t="n">
        <v>1.694444</v>
      </c>
      <c r="N327" s="28" t="n">
        <v>0.590164</v>
      </c>
      <c r="O327" s="28" t="n">
        <v>0.578226</v>
      </c>
      <c r="P327" s="28" t="n">
        <v>0.05</v>
      </c>
      <c r="Q327" s="28" t="n">
        <v>-0.011938</v>
      </c>
      <c r="R327" s="26" t="n">
        <v>14</v>
      </c>
      <c r="S327" s="29" t="n">
        <v>1.25</v>
      </c>
      <c r="T327" s="24" t="inlineStr">
        <is>
          <t>tennis-surface-elo-v1</t>
        </is>
      </c>
      <c r="U327" s="24" t="inlineStr">
        <is>
          <t>open</t>
        </is>
      </c>
      <c r="V327" s="24" t="n"/>
      <c r="W327" s="26" t="n"/>
      <c r="X327" s="26" t="n"/>
      <c r="Y327" s="25" t="n"/>
      <c r="Z327" s="26" t="n"/>
      <c r="AA327" s="28" t="n"/>
      <c r="AB327" s="28" t="n"/>
      <c r="AC327" s="30" t="n"/>
      <c r="AD327" s="24" t="n"/>
      <c r="AE327" s="31" t="inlineStr">
        <is>
          <t>Surface-blended Elo on Hard: Elisabetta Cocciaretto p=0.578 vs Talia Gibson. Executable ask 0.5900 (aec-wta-talgib-elicoc-2026-08-02).</t>
        </is>
      </c>
      <c r="AF327" s="31" t="inlineStr">
        <is>
          <t>Surface-blended Elo model; singles only, WTA+ATP market coverage, not yet locked-holdout qualified -- promoted by explicit operator directive, not genuine walk-forward validation.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research_observation</t>
        </is>
      </c>
      <c r="AL327" s="26" t="n">
        <v>3</v>
      </c>
      <c r="AM327" s="24" t="inlineStr">
        <is>
          <t>RESEARCH_OBSERVATION</t>
        </is>
      </c>
      <c r="AN327" s="24" t="inlineStr">
        <is>
          <t>NO_CALL</t>
        </is>
      </c>
      <c r="AO327" s="24" t="inlineStr">
        <is>
          <t>NO_CALL_LOW_EDGE</t>
        </is>
      </c>
      <c r="AP327" s="24" t="inlineStr">
        <is>
          <t>Elisabetta Cocciaretto</t>
        </is>
      </c>
      <c r="AQ327" s="24" t="inlineStr">
        <is>
          <t>Elisabetta Cocciaretto</t>
        </is>
      </c>
      <c r="AR327" s="24" t="inlineStr">
        <is>
          <t>Elisabetta Cocciaretto</t>
        </is>
      </c>
      <c r="AS327" s="24" t="inlineStr">
        <is>
          <t>Talia Gibson</t>
        </is>
      </c>
      <c r="AT327" s="24" t="inlineStr">
        <is>
          <t>Talia Gibson</t>
        </is>
      </c>
      <c r="AU327" s="24" t="inlineStr">
        <is>
          <t>Talia Gibson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1c05a3c4f76bde5de709ff6bb1937b3c4c67149c2ea621b7c90ca07898e048e8</t>
        </is>
      </c>
      <c r="BB327" s="24" t="inlineStr">
        <is>
          <t>surface_blended_elo</t>
        </is>
      </c>
      <c r="BC327" s="24" t="inlineStr">
        <is>
          <t>tennis-surface-elo-v1</t>
        </is>
      </c>
      <c r="BD327" s="24" t="inlineStr">
        <is>
          <t>1c05a3c4f76bde5de709ff6bb1937b3c4c67149c2ea621b7c90ca07898e048e8</t>
        </is>
      </c>
      <c r="BE327" s="24" t="inlineStr">
        <is>
          <t>tennis-surface-elo-v1</t>
        </is>
      </c>
      <c r="BF327" s="24" t="inlineStr">
        <is>
          <t>1</t>
        </is>
      </c>
      <c r="BG327" s="24" t="inlineStr">
        <is>
          <t>1c05a3c4f76bde5de709ff6bb1937b3c4c67149c2ea621b7c90ca07898e048e8</t>
        </is>
      </c>
      <c r="BH327" s="24" t="inlineStr">
        <is>
          <t>2026-08-02T16:48:00.384778Z</t>
        </is>
      </c>
      <c r="BI327" s="24" t="inlineStr">
        <is>
          <t>["same_event","same_team_same_day","same_league_same_day"]</t>
        </is>
      </c>
      <c r="BJ327" s="25" t="n"/>
      <c r="BK327" s="26" t="n">
        <v>-144</v>
      </c>
      <c r="BL327" s="27" t="n">
        <v>1.694444</v>
      </c>
      <c r="BM327" s="28" t="n">
        <v>0.590164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inlineStr">
        <is>
          <t>False</t>
        </is>
      </c>
    </row>
    <row r="328" ht="36" customHeight="1">
      <c r="A328" s="24" t="inlineStr">
        <is>
          <t>b824500fc56b4ba1</t>
        </is>
      </c>
      <c r="B328" s="24" t="inlineStr">
        <is>
          <t>2026-08-02T16:51:36.214335Z</t>
        </is>
      </c>
      <c r="C328" s="24" t="inlineStr">
        <is>
          <t>2026-08-02T23:00Z</t>
        </is>
      </c>
      <c r="D328" s="24" t="inlineStr">
        <is>
          <t>421-2026:182274</t>
        </is>
      </c>
      <c r="E328" s="24" t="inlineStr">
        <is>
          <t>TENNIS</t>
        </is>
      </c>
      <c r="F328" s="24" t="inlineStr">
        <is>
          <t>Bianca Andreescu</t>
        </is>
      </c>
      <c r="G328" s="24" t="inlineStr">
        <is>
          <t>Nikola Bartunkova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-150</v>
      </c>
      <c r="M328" s="27" t="n">
        <v>1.666667</v>
      </c>
      <c r="N328" s="28" t="n">
        <v>0.6</v>
      </c>
      <c r="O328" s="28" t="n">
        <v>0.617346</v>
      </c>
      <c r="P328" s="28" t="n">
        <v>0.05</v>
      </c>
      <c r="Q328" s="28" t="n">
        <v>0.017346</v>
      </c>
      <c r="R328" s="26" t="n">
        <v>29</v>
      </c>
      <c r="S328" s="29" t="n">
        <v>1.5</v>
      </c>
      <c r="T328" s="24" t="inlineStr">
        <is>
          <t>tennis-surface-elo-v1</t>
        </is>
      </c>
      <c r="U328" s="24" t="inlineStr">
        <is>
          <t>open</t>
        </is>
      </c>
      <c r="V328" s="24" t="n"/>
      <c r="W328" s="26" t="n"/>
      <c r="X328" s="26" t="n"/>
      <c r="Y328" s="25" t="n"/>
      <c r="Z328" s="26" t="n"/>
      <c r="AA328" s="28" t="n"/>
      <c r="AB328" s="28" t="n"/>
      <c r="AC328" s="30" t="n"/>
      <c r="AD328" s="24" t="n"/>
      <c r="AE328" s="31" t="inlineStr">
        <is>
          <t>Surface-blended Elo on Hard: Bianca Andreescu p=0.383 vs Nikola Bartunkova. Executable ask 0.6000 (aec-wta-nikbar-biaand-2026-08-02).</t>
        </is>
      </c>
      <c r="AF328" s="31" t="inlineStr">
        <is>
          <t>Surface-blended Elo model; singles only, WTA+ATP market coverage, not yet locked-holdout qualified -- promoted by explicit operator directive, not genuine walk-forward validation.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research_observation</t>
        </is>
      </c>
      <c r="AL328" s="26" t="n">
        <v>3</v>
      </c>
      <c r="AM328" s="24" t="inlineStr">
        <is>
          <t>RESEARCH_OBSERVATION</t>
        </is>
      </c>
      <c r="AN328" s="24" t="inlineStr">
        <is>
          <t>NO_CALL</t>
        </is>
      </c>
      <c r="AO328" s="24" t="inlineStr">
        <is>
          <t>NO_CALL_LOW_EDGE</t>
        </is>
      </c>
      <c r="AP328" s="24" t="inlineStr">
        <is>
          <t>Bianca Andreescu</t>
        </is>
      </c>
      <c r="AQ328" s="24" t="inlineStr">
        <is>
          <t>Bianca Andreescu</t>
        </is>
      </c>
      <c r="AR328" s="24" t="inlineStr">
        <is>
          <t>Bianca Andreescu</t>
        </is>
      </c>
      <c r="AS328" s="24" t="inlineStr">
        <is>
          <t>Nikola Bartunkova</t>
        </is>
      </c>
      <c r="AT328" s="24" t="inlineStr">
        <is>
          <t>Nikola Bartunkova</t>
        </is>
      </c>
      <c r="AU328" s="24" t="inlineStr">
        <is>
          <t>Nikola Bartunkova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1c05a3c4f76bde5de709ff6bb1937b3c4c67149c2ea621b7c90ca07898e048e8</t>
        </is>
      </c>
      <c r="BB328" s="24" t="inlineStr">
        <is>
          <t>surface_blended_elo</t>
        </is>
      </c>
      <c r="BC328" s="24" t="inlineStr">
        <is>
          <t>tennis-surface-elo-v1</t>
        </is>
      </c>
      <c r="BD328" s="24" t="inlineStr">
        <is>
          <t>1c05a3c4f76bde5de709ff6bb1937b3c4c67149c2ea621b7c90ca07898e048e8</t>
        </is>
      </c>
      <c r="BE328" s="24" t="inlineStr">
        <is>
          <t>tennis-surface-elo-v1</t>
        </is>
      </c>
      <c r="BF328" s="24" t="inlineStr">
        <is>
          <t>1</t>
        </is>
      </c>
      <c r="BG328" s="24" t="inlineStr">
        <is>
          <t>1c05a3c4f76bde5de709ff6bb1937b3c4c67149c2ea621b7c90ca07898e048e8</t>
        </is>
      </c>
      <c r="BH328" s="24" t="inlineStr">
        <is>
          <t>2026-08-02T16:48:00.569912Z</t>
        </is>
      </c>
      <c r="BI328" s="24" t="inlineStr">
        <is>
          <t>["same_event","same_team_same_day","same_league_same_day"]</t>
        </is>
      </c>
      <c r="BJ328" s="25" t="n"/>
      <c r="BK328" s="26" t="n">
        <v>-150</v>
      </c>
      <c r="BL328" s="27" t="n">
        <v>1.666667</v>
      </c>
      <c r="BM328" s="28" t="n">
        <v>0.6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inlineStr">
        <is>
          <t>True</t>
        </is>
      </c>
    </row>
    <row r="329" ht="36" customHeight="1">
      <c r="A329" s="24" t="inlineStr">
        <is>
          <t>d1e9bf80e02a44ee</t>
        </is>
      </c>
      <c r="B329" s="24" t="inlineStr">
        <is>
          <t>2026-08-02T16:51:36.214335Z</t>
        </is>
      </c>
      <c r="C329" s="24" t="inlineStr">
        <is>
          <t>2026-08-03T00:30Z</t>
        </is>
      </c>
      <c r="D329" s="24" t="inlineStr">
        <is>
          <t>421-2026:182281</t>
        </is>
      </c>
      <c r="E329" s="24" t="inlineStr">
        <is>
          <t>TENNIS</t>
        </is>
      </c>
      <c r="F329" s="24" t="inlineStr">
        <is>
          <t>Zhang Shuai</t>
        </is>
      </c>
      <c r="G329" s="24" t="inlineStr">
        <is>
          <t>Yulia Putintseva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-194</v>
      </c>
      <c r="M329" s="27" t="n">
        <v>1.515464</v>
      </c>
      <c r="N329" s="28" t="n">
        <v>0.659864</v>
      </c>
      <c r="O329" s="28" t="n">
        <v>0.630736</v>
      </c>
      <c r="P329" s="28" t="n">
        <v>0.05</v>
      </c>
      <c r="Q329" s="28" t="n">
        <v>-0.029128</v>
      </c>
      <c r="R329" s="26" t="n">
        <v>5</v>
      </c>
      <c r="S329" s="29" t="n">
        <v>1.5</v>
      </c>
      <c r="T329" s="24" t="inlineStr">
        <is>
          <t>tennis-surface-elo-v1</t>
        </is>
      </c>
      <c r="U329" s="24" t="inlineStr">
        <is>
          <t>open</t>
        </is>
      </c>
      <c r="V329" s="24" t="n"/>
      <c r="W329" s="26" t="n"/>
      <c r="X329" s="26" t="n"/>
      <c r="Y329" s="25" t="n"/>
      <c r="Z329" s="26" t="n"/>
      <c r="AA329" s="28" t="n"/>
      <c r="AB329" s="28" t="n"/>
      <c r="AC329" s="30" t="n"/>
      <c r="AD329" s="24" t="n"/>
      <c r="AE329" s="31" t="inlineStr">
        <is>
          <t>Surface-blended Elo on Hard: Zhang Shuai p=0.369 vs Yulia Putintseva. Executable ask 0.6600 (aec-wta-yulput-shuzha-2026-08-02).</t>
        </is>
      </c>
      <c r="AF329" s="31" t="inlineStr">
        <is>
          <t>Surface-blended Elo model; singles only, WTA+ATP market coverage, not yet locked-holdout qualified -- promoted by explicit operator directive, not genuine walk-forward validation.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research_observation</t>
        </is>
      </c>
      <c r="AL329" s="26" t="n">
        <v>3</v>
      </c>
      <c r="AM329" s="24" t="inlineStr">
        <is>
          <t>RESEARCH_OBSERVATION</t>
        </is>
      </c>
      <c r="AN329" s="24" t="inlineStr">
        <is>
          <t>NO_CALL</t>
        </is>
      </c>
      <c r="AO329" s="24" t="inlineStr">
        <is>
          <t>NO_CALL_LOW_EDGE</t>
        </is>
      </c>
      <c r="AP329" s="24" t="inlineStr">
        <is>
          <t>Zhang Shuai</t>
        </is>
      </c>
      <c r="AQ329" s="24" t="inlineStr">
        <is>
          <t>Zhang Shuai</t>
        </is>
      </c>
      <c r="AR329" s="24" t="inlineStr">
        <is>
          <t>Zhang Shuai</t>
        </is>
      </c>
      <c r="AS329" s="24" t="inlineStr">
        <is>
          <t>Yulia Putintseva</t>
        </is>
      </c>
      <c r="AT329" s="24" t="inlineStr">
        <is>
          <t>Yulia Putintseva</t>
        </is>
      </c>
      <c r="AU329" s="24" t="inlineStr">
        <is>
          <t>Yulia Putintseva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1c05a3c4f76bde5de709ff6bb1937b3c4c67149c2ea621b7c90ca07898e048e8</t>
        </is>
      </c>
      <c r="BB329" s="24" t="inlineStr">
        <is>
          <t>surface_blended_elo</t>
        </is>
      </c>
      <c r="BC329" s="24" t="inlineStr">
        <is>
          <t>tennis-surface-elo-v1</t>
        </is>
      </c>
      <c r="BD329" s="24" t="inlineStr">
        <is>
          <t>1c05a3c4f76bde5de709ff6bb1937b3c4c67149c2ea621b7c90ca07898e048e8</t>
        </is>
      </c>
      <c r="BE329" s="24" t="inlineStr">
        <is>
          <t>tennis-surface-elo-v1</t>
        </is>
      </c>
      <c r="BF329" s="24" t="inlineStr">
        <is>
          <t>1</t>
        </is>
      </c>
      <c r="BG329" s="24" t="inlineStr">
        <is>
          <t>1c05a3c4f76bde5de709ff6bb1937b3c4c67149c2ea621b7c90ca07898e048e8</t>
        </is>
      </c>
      <c r="BH329" s="24" t="inlineStr">
        <is>
          <t>2026-08-02T16:48:00.878431Z</t>
        </is>
      </c>
      <c r="BI329" s="24" t="inlineStr">
        <is>
          <t>["same_event","same_team_same_day","same_league_same_day"]</t>
        </is>
      </c>
      <c r="BJ329" s="25" t="n"/>
      <c r="BK329" s="26" t="n">
        <v>-194</v>
      </c>
      <c r="BL329" s="27" t="n">
        <v>1.515464</v>
      </c>
      <c r="BM329" s="28" t="n">
        <v>0.659864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inlineStr">
        <is>
          <t>False</t>
        </is>
      </c>
    </row>
    <row r="330" ht="36" customHeight="1">
      <c r="A330" s="24" t="inlineStr">
        <is>
          <t>9fcddb0134fb40d4</t>
        </is>
      </c>
      <c r="B330" s="24" t="inlineStr">
        <is>
          <t>2026-08-02T16:51:36.214335Z</t>
        </is>
      </c>
      <c r="C330" s="24" t="inlineStr">
        <is>
          <t>2026-08-02T18:30Z</t>
        </is>
      </c>
      <c r="D330" s="24" t="inlineStr">
        <is>
          <t>888-2026:178979</t>
        </is>
      </c>
      <c r="E330" s="24" t="inlineStr">
        <is>
          <t>TENNIS</t>
        </is>
      </c>
      <c r="F330" s="24" t="inlineStr">
        <is>
          <t>Rafael Jodar</t>
        </is>
      </c>
      <c r="G330" s="24" t="inlineStr">
        <is>
          <t>Taylor Fritz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-144</v>
      </c>
      <c r="M330" s="27" t="n">
        <v>1.694444</v>
      </c>
      <c r="N330" s="28" t="n">
        <v>0.590164</v>
      </c>
      <c r="O330" s="28" t="n">
        <v>0.592585</v>
      </c>
      <c r="P330" s="28" t="n">
        <v>0.05</v>
      </c>
      <c r="Q330" s="28" t="n">
        <v>0.002421</v>
      </c>
      <c r="R330" s="26" t="n">
        <v>21</v>
      </c>
      <c r="S330" s="29" t="n">
        <v>1.25</v>
      </c>
      <c r="T330" s="24" t="inlineStr">
        <is>
          <t>tennis-surface-elo-v1</t>
        </is>
      </c>
      <c r="U330" s="24" t="inlineStr">
        <is>
          <t>open</t>
        </is>
      </c>
      <c r="V330" s="24" t="n"/>
      <c r="W330" s="26" t="n"/>
      <c r="X330" s="26" t="n"/>
      <c r="Y330" s="25" t="n"/>
      <c r="Z330" s="26" t="n"/>
      <c r="AA330" s="28" t="n"/>
      <c r="AB330" s="28" t="n"/>
      <c r="AC330" s="30" t="n"/>
      <c r="AD330" s="24" t="n"/>
      <c r="AE330" s="31" t="inlineStr">
        <is>
          <t>Surface-blended Elo on Hard: Rafael Jodar p=0.407 vs Taylor Fritz. Executable ask 0.5900 (aec-atp-tayfri-rafjod-2026-08-02).</t>
        </is>
      </c>
      <c r="AF330" s="31" t="inlineStr">
        <is>
          <t>Surface-blended Elo model; singles only, WTA+ATP market coverage, not yet locked-holdout qualified -- promoted by explicit operator directive, not genuine walk-forward validation.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research_observation</t>
        </is>
      </c>
      <c r="AL330" s="26" t="n">
        <v>3</v>
      </c>
      <c r="AM330" s="24" t="inlineStr">
        <is>
          <t>RESEARCH_OBSERVATION</t>
        </is>
      </c>
      <c r="AN330" s="24" t="inlineStr">
        <is>
          <t>NO_CALL</t>
        </is>
      </c>
      <c r="AO330" s="24" t="inlineStr">
        <is>
          <t>NO_CALL_LOW_EDGE</t>
        </is>
      </c>
      <c r="AP330" s="24" t="inlineStr">
        <is>
          <t>Rafael Jodar</t>
        </is>
      </c>
      <c r="AQ330" s="24" t="inlineStr">
        <is>
          <t>Rafael Jodar</t>
        </is>
      </c>
      <c r="AR330" s="24" t="inlineStr">
        <is>
          <t>Rafael Jodar</t>
        </is>
      </c>
      <c r="AS330" s="24" t="inlineStr">
        <is>
          <t>Taylor Fritz</t>
        </is>
      </c>
      <c r="AT330" s="24" t="inlineStr">
        <is>
          <t>Taylor Fritz</t>
        </is>
      </c>
      <c r="AU330" s="24" t="inlineStr">
        <is>
          <t>Taylor Fritz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1c05a3c4f76bde5de709ff6bb1937b3c4c67149c2ea621b7c90ca07898e048e8</t>
        </is>
      </c>
      <c r="BB330" s="24" t="inlineStr">
        <is>
          <t>surface_blended_elo</t>
        </is>
      </c>
      <c r="BC330" s="24" t="inlineStr">
        <is>
          <t>tennis-surface-elo-v1</t>
        </is>
      </c>
      <c r="BD330" s="24" t="inlineStr">
        <is>
          <t>1c05a3c4f76bde5de709ff6bb1937b3c4c67149c2ea621b7c90ca07898e048e8</t>
        </is>
      </c>
      <c r="BE330" s="24" t="inlineStr">
        <is>
          <t>tennis-surface-elo-v1</t>
        </is>
      </c>
      <c r="BF330" s="24" t="inlineStr">
        <is>
          <t>1</t>
        </is>
      </c>
      <c r="BG330" s="24" t="inlineStr">
        <is>
          <t>1c05a3c4f76bde5de709ff6bb1937b3c4c67149c2ea621b7c90ca07898e048e8</t>
        </is>
      </c>
      <c r="BH330" s="24" t="inlineStr">
        <is>
          <t>2026-08-02T16:48:13.867147Z</t>
        </is>
      </c>
      <c r="BI330" s="24" t="inlineStr">
        <is>
          <t>["same_event","same_team_same_day","same_league_same_day"]</t>
        </is>
      </c>
      <c r="BJ330" s="25" t="n"/>
      <c r="BK330" s="26" t="n">
        <v>-144</v>
      </c>
      <c r="BL330" s="27" t="n">
        <v>1.694444</v>
      </c>
      <c r="BM330" s="28" t="n">
        <v>0.590164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inlineStr">
        <is>
          <t>True</t>
        </is>
      </c>
    </row>
    <row r="331" ht="36" customHeight="1">
      <c r="A331" s="24" t="inlineStr">
        <is>
          <t>00d2ef13176e466d</t>
        </is>
      </c>
      <c r="B331" s="24" t="inlineStr">
        <is>
          <t>2026-08-02T16:51:36.214335Z</t>
        </is>
      </c>
      <c r="C331" s="24" t="inlineStr">
        <is>
          <t>2026-08-02T18:00Z</t>
        </is>
      </c>
      <c r="D331" s="24" t="inlineStr">
        <is>
          <t>421-2026:181785</t>
        </is>
      </c>
      <c r="E331" s="24" t="inlineStr">
        <is>
          <t>TENNIS</t>
        </is>
      </c>
      <c r="F331" s="24" t="inlineStr">
        <is>
          <t>Titouan Droguet</t>
        </is>
      </c>
      <c r="G331" s="24" t="inlineStr">
        <is>
          <t>Luca Van Assche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polymarket_us</t>
        </is>
      </c>
      <c r="L331" s="26" t="n">
        <v>104</v>
      </c>
      <c r="M331" s="27" t="n">
        <v>2.04</v>
      </c>
      <c r="N331" s="28" t="n">
        <v>0.490196</v>
      </c>
      <c r="O331" s="28" t="n">
        <v>0.561017</v>
      </c>
      <c r="P331" s="28" t="n">
        <v>0.05</v>
      </c>
      <c r="Q331" s="28" t="n">
        <v>0.070821</v>
      </c>
      <c r="R331" s="26" t="n">
        <v>55</v>
      </c>
      <c r="S331" s="29" t="n">
        <v>1</v>
      </c>
      <c r="T331" s="24" t="inlineStr">
        <is>
          <t>tennis-surface-elo-v1</t>
        </is>
      </c>
      <c r="U331" s="24" t="inlineStr">
        <is>
          <t>open</t>
        </is>
      </c>
      <c r="V331" s="24" t="n"/>
      <c r="W331" s="26" t="n"/>
      <c r="X331" s="26" t="n"/>
      <c r="Y331" s="25" t="n"/>
      <c r="Z331" s="26" t="n"/>
      <c r="AA331" s="28" t="n"/>
      <c r="AB331" s="28" t="n"/>
      <c r="AC331" s="30" t="n"/>
      <c r="AD331" s="24" t="n"/>
      <c r="AE331" s="31" t="inlineStr">
        <is>
          <t>Surface-blended Elo on Hard: Titouan Droguet p=0.561 vs Luca Van Assche. Executable ask 0.4900 (aec-atp-lucass-titdro-2026-08-02).</t>
        </is>
      </c>
      <c r="AF331" s="31" t="inlineStr">
        <is>
          <t>Surface-blended Elo model; singles only, WTA+ATP market coverage, not yet locked-holdout qualified -- promoted by explicit operator directive, not genuine walk-forward validation.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3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Titouan Droguet</t>
        </is>
      </c>
      <c r="AQ331" s="24" t="inlineStr">
        <is>
          <t>Titouan Droguet</t>
        </is>
      </c>
      <c r="AR331" s="24" t="inlineStr">
        <is>
          <t>Titouan Droguet</t>
        </is>
      </c>
      <c r="AS331" s="24" t="inlineStr">
        <is>
          <t>Luca Van Assche</t>
        </is>
      </c>
      <c r="AT331" s="24" t="inlineStr">
        <is>
          <t>Luca Van Assche</t>
        </is>
      </c>
      <c r="AU331" s="24" t="inlineStr">
        <is>
          <t>Luca Van Assche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1c05a3c4f76bde5de709ff6bb1937b3c4c67149c2ea621b7c90ca07898e048e8</t>
        </is>
      </c>
      <c r="BB331" s="24" t="inlineStr">
        <is>
          <t>surface_blended_elo</t>
        </is>
      </c>
      <c r="BC331" s="24" t="inlineStr">
        <is>
          <t>tennis-surface-elo-v1</t>
        </is>
      </c>
      <c r="BD331" s="24" t="inlineStr">
        <is>
          <t>1c05a3c4f76bde5de709ff6bb1937b3c4c67149c2ea621b7c90ca07898e048e8</t>
        </is>
      </c>
      <c r="BE331" s="24" t="inlineStr">
        <is>
          <t>tennis-surface-elo-v1</t>
        </is>
      </c>
      <c r="BF331" s="24" t="inlineStr">
        <is>
          <t>1</t>
        </is>
      </c>
      <c r="BG331" s="24" t="inlineStr">
        <is>
          <t>1c05a3c4f76bde5de709ff6bb1937b3c4c67149c2ea621b7c90ca07898e048e8</t>
        </is>
      </c>
      <c r="BH331" s="24" t="inlineStr">
        <is>
          <t>2026-08-02T16:48:12.259620Z</t>
        </is>
      </c>
      <c r="BI331" s="24" t="inlineStr">
        <is>
          <t>["same_event","same_team_same_day","same_league_same_day"]</t>
        </is>
      </c>
      <c r="BJ331" s="25" t="n"/>
      <c r="BK331" s="26" t="n">
        <v>104</v>
      </c>
      <c r="BL331" s="27" t="n">
        <v>2.04</v>
      </c>
      <c r="BM331" s="28" t="n">
        <v>0.490196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inlineStr">
        <is>
          <t>True</t>
        </is>
      </c>
    </row>
    <row r="332" ht="36" customHeight="1">
      <c r="A332" s="24" t="inlineStr">
        <is>
          <t>f7536fc22bd84e98</t>
        </is>
      </c>
      <c r="B332" s="24" t="inlineStr">
        <is>
          <t>2026-08-02T16:51:36.214335Z</t>
        </is>
      </c>
      <c r="C332" s="24" t="inlineStr">
        <is>
          <t>2026-08-02T18:00Z</t>
        </is>
      </c>
      <c r="D332" s="24" t="inlineStr">
        <is>
          <t>421-2026:181836</t>
        </is>
      </c>
      <c r="E332" s="24" t="inlineStr">
        <is>
          <t>TENNIS</t>
        </is>
      </c>
      <c r="F332" s="24" t="inlineStr">
        <is>
          <t>Corentin Moutet</t>
        </is>
      </c>
      <c r="G332" s="24" t="inlineStr">
        <is>
          <t>Marton Fucsovics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104</v>
      </c>
      <c r="M332" s="27" t="n">
        <v>2.04</v>
      </c>
      <c r="N332" s="28" t="n">
        <v>0.490196</v>
      </c>
      <c r="O332" s="28" t="n">
        <v>0.567487</v>
      </c>
      <c r="P332" s="28" t="n">
        <v>0.05</v>
      </c>
      <c r="Q332" s="28" t="n">
        <v>0.077291</v>
      </c>
      <c r="R332" s="26" t="n">
        <v>59</v>
      </c>
      <c r="S332" s="29" t="n">
        <v>1</v>
      </c>
      <c r="T332" s="24" t="inlineStr">
        <is>
          <t>tennis-surface-elo-v1</t>
        </is>
      </c>
      <c r="U332" s="24" t="inlineStr">
        <is>
          <t>open</t>
        </is>
      </c>
      <c r="V332" s="24" t="n"/>
      <c r="W332" s="26" t="n"/>
      <c r="X332" s="26" t="n"/>
      <c r="Y332" s="25" t="n"/>
      <c r="Z332" s="26" t="n"/>
      <c r="AA332" s="28" t="n"/>
      <c r="AB332" s="28" t="n"/>
      <c r="AC332" s="30" t="n"/>
      <c r="AD332" s="24" t="n"/>
      <c r="AE332" s="31" t="inlineStr">
        <is>
          <t>Surface-blended Elo on Hard: Corentin Moutet p=0.433 vs Marton Fucsovics. Executable ask 0.4900 (aec-atp-marfuc-cormou-2026-08-03).</t>
        </is>
      </c>
      <c r="AF332" s="31" t="inlineStr">
        <is>
          <t>Surface-blended Elo model; singles only, WTA+ATP market coverage, not yet locked-holdout qualified -- promoted by explicit operator directive, not genuine walk-forward validation.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3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Corentin Moutet</t>
        </is>
      </c>
      <c r="AQ332" s="24" t="inlineStr">
        <is>
          <t>Corentin Moutet</t>
        </is>
      </c>
      <c r="AR332" s="24" t="inlineStr">
        <is>
          <t>Corentin Moutet</t>
        </is>
      </c>
      <c r="AS332" s="24" t="inlineStr">
        <is>
          <t>Marton Fucsovics</t>
        </is>
      </c>
      <c r="AT332" s="24" t="inlineStr">
        <is>
          <t>Marton Fucsovics</t>
        </is>
      </c>
      <c r="AU332" s="24" t="inlineStr">
        <is>
          <t>Marton Fucsovics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1c05a3c4f76bde5de709ff6bb1937b3c4c67149c2ea621b7c90ca07898e048e8</t>
        </is>
      </c>
      <c r="BB332" s="24" t="inlineStr">
        <is>
          <t>surface_blended_elo</t>
        </is>
      </c>
      <c r="BC332" s="24" t="inlineStr">
        <is>
          <t>tennis-surface-elo-v1</t>
        </is>
      </c>
      <c r="BD332" s="24" t="inlineStr">
        <is>
          <t>1c05a3c4f76bde5de709ff6bb1937b3c4c67149c2ea621b7c90ca07898e048e8</t>
        </is>
      </c>
      <c r="BE332" s="24" t="inlineStr">
        <is>
          <t>tennis-surface-elo-v1</t>
        </is>
      </c>
      <c r="BF332" s="24" t="inlineStr">
        <is>
          <t>1</t>
        </is>
      </c>
      <c r="BG332" s="24" t="inlineStr">
        <is>
          <t>1c05a3c4f76bde5de709ff6bb1937b3c4c67149c2ea621b7c90ca07898e048e8</t>
        </is>
      </c>
      <c r="BH332" s="24" t="inlineStr">
        <is>
          <t>2026-08-02T16:48:10.755068Z</t>
        </is>
      </c>
      <c r="BI332" s="24" t="inlineStr">
        <is>
          <t>["same_event","same_team_same_day","same_league_same_day"]</t>
        </is>
      </c>
      <c r="BJ332" s="25" t="n"/>
      <c r="BK332" s="26" t="n">
        <v>104</v>
      </c>
      <c r="BL332" s="27" t="n">
        <v>2.04</v>
      </c>
      <c r="BM332" s="28" t="n">
        <v>0.490196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inlineStr">
        <is>
          <t>True</t>
        </is>
      </c>
    </row>
    <row r="333" ht="36" customHeight="1">
      <c r="A333" s="24" t="inlineStr">
        <is>
          <t>c3922612492b4870</t>
        </is>
      </c>
      <c r="B333" s="24" t="inlineStr">
        <is>
          <t>2026-08-02T16:51:36.214335Z</t>
        </is>
      </c>
      <c r="C333" s="24" t="inlineStr">
        <is>
          <t>2026-08-02T22:00Z</t>
        </is>
      </c>
      <c r="D333" s="24" t="inlineStr">
        <is>
          <t>421-2026:181781</t>
        </is>
      </c>
      <c r="E333" s="24" t="inlineStr">
        <is>
          <t>TENNIS</t>
        </is>
      </c>
      <c r="F333" s="24" t="inlineStr">
        <is>
          <t>Marin Cilic</t>
        </is>
      </c>
      <c r="G333" s="24" t="inlineStr">
        <is>
          <t>Sho Shimabukuro</t>
        </is>
      </c>
      <c r="H333" s="24" t="inlineStr">
        <is>
          <t>moneyline</t>
        </is>
      </c>
      <c r="I333" s="24" t="inlineStr">
        <is>
          <t>away</t>
        </is>
      </c>
      <c r="J333" s="25" t="n"/>
      <c r="K333" s="24" t="inlineStr">
        <is>
          <t>polymarket_us</t>
        </is>
      </c>
      <c r="L333" s="26" t="n">
        <v>-133</v>
      </c>
      <c r="M333" s="27" t="n">
        <v>1.75188</v>
      </c>
      <c r="N333" s="28" t="n">
        <v>0.570815</v>
      </c>
      <c r="O333" s="28" t="n">
        <v>0.529427</v>
      </c>
      <c r="P333" s="28" t="n">
        <v>0.05</v>
      </c>
      <c r="Q333" s="28" t="n">
        <v>-0.041388</v>
      </c>
      <c r="R333" s="26" t="n">
        <v>0</v>
      </c>
      <c r="S333" s="29" t="n">
        <v>1</v>
      </c>
      <c r="T333" s="24" t="inlineStr">
        <is>
          <t>tennis-surface-elo-v1</t>
        </is>
      </c>
      <c r="U333" s="24" t="inlineStr">
        <is>
          <t>open</t>
        </is>
      </c>
      <c r="V333" s="24" t="n"/>
      <c r="W333" s="26" t="n"/>
      <c r="X333" s="26" t="n"/>
      <c r="Y333" s="25" t="n"/>
      <c r="Z333" s="26" t="n"/>
      <c r="AA333" s="28" t="n"/>
      <c r="AB333" s="28" t="n"/>
      <c r="AC333" s="30" t="n"/>
      <c r="AD333" s="24" t="n"/>
      <c r="AE333" s="31" t="inlineStr">
        <is>
          <t>Surface-blended Elo on Hard: Marin Cilic p=0.529 vs Sho Shimabukuro. Executable ask 0.5700 (aec-atp-shoshi-marcil-2026-08-02).</t>
        </is>
      </c>
      <c r="AF333" s="31" t="inlineStr">
        <is>
          <t>Surface-blended Elo model; singles only, WTA+ATP market coverage, not yet locked-holdout qualified -- promoted by explicit operator directive, not genuine walk-forward validation.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research_observation</t>
        </is>
      </c>
      <c r="AL333" s="26" t="n">
        <v>3</v>
      </c>
      <c r="AM333" s="24" t="inlineStr">
        <is>
          <t>RESEARCH_OBSERVATION</t>
        </is>
      </c>
      <c r="AN333" s="24" t="inlineStr">
        <is>
          <t>NO_CALL</t>
        </is>
      </c>
      <c r="AO333" s="24" t="inlineStr">
        <is>
          <t>NO_CALL_LOW_EDGE</t>
        </is>
      </c>
      <c r="AP333" s="24" t="inlineStr">
        <is>
          <t>Marin Cilic</t>
        </is>
      </c>
      <c r="AQ333" s="24" t="inlineStr">
        <is>
          <t>Marin Cilic</t>
        </is>
      </c>
      <c r="AR333" s="24" t="inlineStr">
        <is>
          <t>Marin Cilic</t>
        </is>
      </c>
      <c r="AS333" s="24" t="inlineStr">
        <is>
          <t>Sho Shimabukuro</t>
        </is>
      </c>
      <c r="AT333" s="24" t="inlineStr">
        <is>
          <t>Sho Shimabukuro</t>
        </is>
      </c>
      <c r="AU333" s="24" t="inlineStr">
        <is>
          <t>Sho Shimabukuro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1c05a3c4f76bde5de709ff6bb1937b3c4c67149c2ea621b7c90ca07898e048e8</t>
        </is>
      </c>
      <c r="BB333" s="24" t="inlineStr">
        <is>
          <t>surface_blended_elo</t>
        </is>
      </c>
      <c r="BC333" s="24" t="inlineStr">
        <is>
          <t>tennis-surface-elo-v1</t>
        </is>
      </c>
      <c r="BD333" s="24" t="inlineStr">
        <is>
          <t>1c05a3c4f76bde5de709ff6bb1937b3c4c67149c2ea621b7c90ca07898e048e8</t>
        </is>
      </c>
      <c r="BE333" s="24" t="inlineStr">
        <is>
          <t>tennis-surface-elo-v1</t>
        </is>
      </c>
      <c r="BF333" s="24" t="inlineStr">
        <is>
          <t>1</t>
        </is>
      </c>
      <c r="BG333" s="24" t="inlineStr">
        <is>
          <t>1c05a3c4f76bde5de709ff6bb1937b3c4c67149c2ea621b7c90ca07898e048e8</t>
        </is>
      </c>
      <c r="BH333" s="24" t="inlineStr">
        <is>
          <t>2026-08-02T16:48:16.186106Z</t>
        </is>
      </c>
      <c r="BI333" s="24" t="inlineStr">
        <is>
          <t>["same_event","same_team_same_day","same_league_same_day"]</t>
        </is>
      </c>
      <c r="BJ333" s="25" t="n"/>
      <c r="BK333" s="26" t="n">
        <v>-133</v>
      </c>
      <c r="BL333" s="27" t="n">
        <v>1.75188</v>
      </c>
      <c r="BM333" s="28" t="n">
        <v>0.570815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inlineStr">
        <is>
          <t>False</t>
        </is>
      </c>
    </row>
    <row r="334" ht="36" customHeight="1">
      <c r="A334" s="24" t="inlineStr">
        <is>
          <t>b31b8f26e50748ca</t>
        </is>
      </c>
      <c r="B334" s="24" t="inlineStr">
        <is>
          <t>2026-08-02T16:51:36.214335Z</t>
        </is>
      </c>
      <c r="C334" s="24" t="inlineStr">
        <is>
          <t>2026-08-02T23:00Z</t>
        </is>
      </c>
      <c r="D334" s="24" t="inlineStr">
        <is>
          <t>421-2026:181801</t>
        </is>
      </c>
      <c r="E334" s="24" t="inlineStr">
        <is>
          <t>TENNIS</t>
        </is>
      </c>
      <c r="F334" s="24" t="inlineStr">
        <is>
          <t>Kyrian Jacquet</t>
        </is>
      </c>
      <c r="G334" s="24" t="inlineStr">
        <is>
          <t>Gabriel Diallo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polymarket_us</t>
        </is>
      </c>
      <c r="L334" s="26" t="n">
        <v>-117</v>
      </c>
      <c r="M334" s="27" t="n">
        <v>1.854701</v>
      </c>
      <c r="N334" s="28" t="n">
        <v>0.539171</v>
      </c>
      <c r="O334" s="28" t="n">
        <v>0.5845590000000001</v>
      </c>
      <c r="P334" s="28" t="n">
        <v>0.05</v>
      </c>
      <c r="Q334" s="28" t="n">
        <v>0.045388</v>
      </c>
      <c r="R334" s="26" t="n">
        <v>43</v>
      </c>
      <c r="S334" s="29" t="n">
        <v>1.25</v>
      </c>
      <c r="T334" s="24" t="inlineStr">
        <is>
          <t>tennis-surface-elo-v1</t>
        </is>
      </c>
      <c r="U334" s="24" t="inlineStr">
        <is>
          <t>open</t>
        </is>
      </c>
      <c r="V334" s="24" t="n"/>
      <c r="W334" s="26" t="n"/>
      <c r="X334" s="26" t="n"/>
      <c r="Y334" s="25" t="n"/>
      <c r="Z334" s="26" t="n"/>
      <c r="AA334" s="28" t="n"/>
      <c r="AB334" s="28" t="n"/>
      <c r="AC334" s="30" t="n"/>
      <c r="AD334" s="24" t="n"/>
      <c r="AE334" s="31" t="inlineStr">
        <is>
          <t>Surface-blended Elo on Hard: Kyrian Jacquet p=0.415 vs Gabriel Diallo. Executable ask 0.5400 (aec-atp-gabdia-kyrjac-2026-08-02).</t>
        </is>
      </c>
      <c r="AF334" s="31" t="inlineStr">
        <is>
          <t>Surface-blended Elo model; singles only, WTA+ATP market coverage, not yet locked-holdout qualified -- promoted by explicit operator directive, not genuine walk-forward validation.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research_observation</t>
        </is>
      </c>
      <c r="AL334" s="26" t="n">
        <v>3</v>
      </c>
      <c r="AM334" s="24" t="inlineStr">
        <is>
          <t>RESEARCH_OBSERVATION</t>
        </is>
      </c>
      <c r="AN334" s="24" t="inlineStr">
        <is>
          <t>NO_CALL</t>
        </is>
      </c>
      <c r="AO334" s="24" t="inlineStr">
        <is>
          <t>NO_CALL_LOW_EDGE</t>
        </is>
      </c>
      <c r="AP334" s="24" t="inlineStr">
        <is>
          <t>Kyrian Jacquet</t>
        </is>
      </c>
      <c r="AQ334" s="24" t="inlineStr">
        <is>
          <t>Kyrian Jacquet</t>
        </is>
      </c>
      <c r="AR334" s="24" t="inlineStr">
        <is>
          <t>Kyrian Jacquet</t>
        </is>
      </c>
      <c r="AS334" s="24" t="inlineStr">
        <is>
          <t>Gabriel Diallo</t>
        </is>
      </c>
      <c r="AT334" s="24" t="inlineStr">
        <is>
          <t>Gabriel Diallo</t>
        </is>
      </c>
      <c r="AU334" s="24" t="inlineStr">
        <is>
          <t>Gabriel Diallo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1c05a3c4f76bde5de709ff6bb1937b3c4c67149c2ea621b7c90ca07898e048e8</t>
        </is>
      </c>
      <c r="BB334" s="24" t="inlineStr">
        <is>
          <t>surface_blended_elo</t>
        </is>
      </c>
      <c r="BC334" s="24" t="inlineStr">
        <is>
          <t>tennis-surface-elo-v1</t>
        </is>
      </c>
      <c r="BD334" s="24" t="inlineStr">
        <is>
          <t>1c05a3c4f76bde5de709ff6bb1937b3c4c67149c2ea621b7c90ca07898e048e8</t>
        </is>
      </c>
      <c r="BE334" s="24" t="inlineStr">
        <is>
          <t>tennis-surface-elo-v1</t>
        </is>
      </c>
      <c r="BF334" s="24" t="inlineStr">
        <is>
          <t>1</t>
        </is>
      </c>
      <c r="BG334" s="24" t="inlineStr">
        <is>
          <t>1c05a3c4f76bde5de709ff6bb1937b3c4c67149c2ea621b7c90ca07898e048e8</t>
        </is>
      </c>
      <c r="BH334" s="24" t="inlineStr">
        <is>
          <t>2026-08-02T16:48:17.140267Z</t>
        </is>
      </c>
      <c r="BI334" s="24" t="inlineStr">
        <is>
          <t>["same_event","same_team_same_day","same_league_same_day"]</t>
        </is>
      </c>
      <c r="BJ334" s="25" t="n"/>
      <c r="BK334" s="26" t="n">
        <v>-117</v>
      </c>
      <c r="BL334" s="27" t="n">
        <v>1.854701</v>
      </c>
      <c r="BM334" s="28" t="n">
        <v>0.539171</v>
      </c>
      <c r="BN334" s="28" t="n"/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inlineStr">
        <is>
          <t>True</t>
        </is>
      </c>
    </row>
    <row r="335" ht="36" customHeight="1">
      <c r="A335" s="24" t="inlineStr">
        <is>
          <t>e83b19278e0a4a7b</t>
        </is>
      </c>
      <c r="B335" s="24" t="inlineStr">
        <is>
          <t>2026-08-02T16:51:36.214335Z</t>
        </is>
      </c>
      <c r="C335" s="24" t="inlineStr">
        <is>
          <t>2026-08-02T23:30Z</t>
        </is>
      </c>
      <c r="D335" s="24" t="inlineStr">
        <is>
          <t>421-2026:181798</t>
        </is>
      </c>
      <c r="E335" s="24" t="inlineStr">
        <is>
          <t>TENNIS</t>
        </is>
      </c>
      <c r="F335" s="24" t="inlineStr">
        <is>
          <t>Yannick Hanfmann</t>
        </is>
      </c>
      <c r="G335" s="24" t="inlineStr">
        <is>
          <t>Benjamin Bonzi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-113</v>
      </c>
      <c r="M335" s="27" t="n">
        <v>1.884956</v>
      </c>
      <c r="N335" s="28" t="n">
        <v>0.530516</v>
      </c>
      <c r="O335" s="28" t="n">
        <v>0.552246</v>
      </c>
      <c r="P335" s="28" t="n">
        <v>0.05</v>
      </c>
      <c r="Q335" s="28" t="n">
        <v>0.02173</v>
      </c>
      <c r="R335" s="26" t="n">
        <v>31</v>
      </c>
      <c r="S335" s="29" t="n">
        <v>1</v>
      </c>
      <c r="T335" s="24" t="inlineStr">
        <is>
          <t>tennis-surface-elo-v1</t>
        </is>
      </c>
      <c r="U335" s="24" t="inlineStr">
        <is>
          <t>open</t>
        </is>
      </c>
      <c r="V335" s="24" t="n"/>
      <c r="W335" s="26" t="n"/>
      <c r="X335" s="26" t="n"/>
      <c r="Y335" s="25" t="n"/>
      <c r="Z335" s="26" t="n"/>
      <c r="AA335" s="28" t="n"/>
      <c r="AB335" s="28" t="n"/>
      <c r="AC335" s="30" t="n"/>
      <c r="AD335" s="24" t="n"/>
      <c r="AE335" s="31" t="inlineStr">
        <is>
          <t>Surface-blended Elo on Hard: Yannick Hanfmann p=0.552 vs Benjamin Bonzi. Executable ask 0.5300 (aec-atp-benbon-yanhan-2026-08-02).</t>
        </is>
      </c>
      <c r="AF335" s="31" t="inlineStr">
        <is>
          <t>Surface-blended Elo model; singles only, WTA+ATP market coverage, not yet locked-holdout qualified -- promoted by explicit operator directive, not genuine walk-forward validation.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research_observation</t>
        </is>
      </c>
      <c r="AL335" s="26" t="n">
        <v>3</v>
      </c>
      <c r="AM335" s="24" t="inlineStr">
        <is>
          <t>RESEARCH_OBSERVATION</t>
        </is>
      </c>
      <c r="AN335" s="24" t="inlineStr">
        <is>
          <t>NO_CALL</t>
        </is>
      </c>
      <c r="AO335" s="24" t="inlineStr">
        <is>
          <t>NO_CALL_LOW_EDGE</t>
        </is>
      </c>
      <c r="AP335" s="24" t="inlineStr">
        <is>
          <t>Yannick Hanfmann</t>
        </is>
      </c>
      <c r="AQ335" s="24" t="inlineStr">
        <is>
          <t>Yannick Hanfmann</t>
        </is>
      </c>
      <c r="AR335" s="24" t="inlineStr">
        <is>
          <t>Yannick Hanfmann</t>
        </is>
      </c>
      <c r="AS335" s="24" t="inlineStr">
        <is>
          <t>Benjamin Bonzi</t>
        </is>
      </c>
      <c r="AT335" s="24" t="inlineStr">
        <is>
          <t>Benjamin Bonzi</t>
        </is>
      </c>
      <c r="AU335" s="24" t="inlineStr">
        <is>
          <t>Benjamin Bonzi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1c05a3c4f76bde5de709ff6bb1937b3c4c67149c2ea621b7c90ca07898e048e8</t>
        </is>
      </c>
      <c r="BB335" s="24" t="inlineStr">
        <is>
          <t>surface_blended_elo</t>
        </is>
      </c>
      <c r="BC335" s="24" t="inlineStr">
        <is>
          <t>tennis-surface-elo-v1</t>
        </is>
      </c>
      <c r="BD335" s="24" t="inlineStr">
        <is>
          <t>1c05a3c4f76bde5de709ff6bb1937b3c4c67149c2ea621b7c90ca07898e048e8</t>
        </is>
      </c>
      <c r="BE335" s="24" t="inlineStr">
        <is>
          <t>tennis-surface-elo-v1</t>
        </is>
      </c>
      <c r="BF335" s="24" t="inlineStr">
        <is>
          <t>1</t>
        </is>
      </c>
      <c r="BG335" s="24" t="inlineStr">
        <is>
          <t>1c05a3c4f76bde5de709ff6bb1937b3c4c67149c2ea621b7c90ca07898e048e8</t>
        </is>
      </c>
      <c r="BH335" s="24" t="inlineStr">
        <is>
          <t>2026-08-02T16:48:19.678581Z</t>
        </is>
      </c>
      <c r="BI335" s="24" t="inlineStr">
        <is>
          <t>["same_event","same_team_same_day","same_league_same_day"]</t>
        </is>
      </c>
      <c r="BJ335" s="25" t="n"/>
      <c r="BK335" s="26" t="n">
        <v>-113</v>
      </c>
      <c r="BL335" s="27" t="n">
        <v>1.884956</v>
      </c>
      <c r="BM335" s="28" t="n">
        <v>0.530516</v>
      </c>
      <c r="BN335" s="28" t="n"/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inlineStr">
        <is>
          <t>True</t>
        </is>
      </c>
    </row>
    <row r="336" ht="36" customHeight="1">
      <c r="A336" s="24" t="inlineStr">
        <is>
          <t>aace33ecb9034207</t>
        </is>
      </c>
      <c r="B336" s="24" t="inlineStr">
        <is>
          <t>2026-08-02T16:51:36.214335Z</t>
        </is>
      </c>
      <c r="C336" s="24" t="inlineStr">
        <is>
          <t>2026-08-03T00:30Z</t>
        </is>
      </c>
      <c r="D336" s="24" t="inlineStr">
        <is>
          <t>421-2026:181839</t>
        </is>
      </c>
      <c r="E336" s="24" t="inlineStr">
        <is>
          <t>TENNIS</t>
        </is>
      </c>
      <c r="F336" s="24" t="inlineStr">
        <is>
          <t>Vit Kopriva</t>
        </is>
      </c>
      <c r="G336" s="24" t="inlineStr">
        <is>
          <t>Alexis Galarneau</t>
        </is>
      </c>
      <c r="H336" s="24" t="inlineStr">
        <is>
          <t>moneyline</t>
        </is>
      </c>
      <c r="I336" s="24" t="inlineStr">
        <is>
          <t>away</t>
        </is>
      </c>
      <c r="J336" s="25" t="n"/>
      <c r="K336" s="24" t="inlineStr">
        <is>
          <t>polymarket_us</t>
        </is>
      </c>
      <c r="L336" s="26" t="n">
        <v>104</v>
      </c>
      <c r="M336" s="27" t="n">
        <v>2.04</v>
      </c>
      <c r="N336" s="28" t="n">
        <v>0.490196</v>
      </c>
      <c r="O336" s="28" t="n">
        <v>0.57909</v>
      </c>
      <c r="P336" s="28" t="n">
        <v>0.05</v>
      </c>
      <c r="Q336" s="28" t="n">
        <v>0.088894</v>
      </c>
      <c r="R336" s="26" t="n">
        <v>64</v>
      </c>
      <c r="S336" s="29" t="n">
        <v>1.25</v>
      </c>
      <c r="T336" s="24" t="inlineStr">
        <is>
          <t>tennis-surface-elo-v1</t>
        </is>
      </c>
      <c r="U336" s="24" t="inlineStr">
        <is>
          <t>open</t>
        </is>
      </c>
      <c r="V336" s="24" t="n"/>
      <c r="W336" s="26" t="n"/>
      <c r="X336" s="26" t="n"/>
      <c r="Y336" s="25" t="n"/>
      <c r="Z336" s="26" t="n"/>
      <c r="AA336" s="28" t="n"/>
      <c r="AB336" s="28" t="n"/>
      <c r="AC336" s="30" t="n"/>
      <c r="AD336" s="24" t="n"/>
      <c r="AE336" s="31" t="inlineStr">
        <is>
          <t>Surface-blended Elo on Hard: Vit Kopriva p=0.579 vs Alexis Galarneau. Executable ask 0.4900 (aec-atp-alegal-vitkop-2026-08-03).</t>
        </is>
      </c>
      <c r="AF336" s="31" t="inlineStr">
        <is>
          <t>Surface-blended Elo model; singles only, WTA+ATP market coverage, not yet locked-holdout qualified -- promoted by explicit operator directive, not genuine walk-forward validation.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Vit Kopriva</t>
        </is>
      </c>
      <c r="AQ336" s="24" t="inlineStr">
        <is>
          <t>Vit Kopriva</t>
        </is>
      </c>
      <c r="AR336" s="24" t="inlineStr">
        <is>
          <t>Vit Kopriva</t>
        </is>
      </c>
      <c r="AS336" s="24" t="inlineStr">
        <is>
          <t>Alexis Galarneau</t>
        </is>
      </c>
      <c r="AT336" s="24" t="inlineStr">
        <is>
          <t>Alexis Galarneau</t>
        </is>
      </c>
      <c r="AU336" s="24" t="inlineStr">
        <is>
          <t>Alexis Galarneau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1c05a3c4f76bde5de709ff6bb1937b3c4c67149c2ea621b7c90ca07898e048e8</t>
        </is>
      </c>
      <c r="BB336" s="24" t="inlineStr">
        <is>
          <t>surface_blended_elo</t>
        </is>
      </c>
      <c r="BC336" s="24" t="inlineStr">
        <is>
          <t>tennis-surface-elo-v1</t>
        </is>
      </c>
      <c r="BD336" s="24" t="inlineStr">
        <is>
          <t>1c05a3c4f76bde5de709ff6bb1937b3c4c67149c2ea621b7c90ca07898e048e8</t>
        </is>
      </c>
      <c r="BE336" s="24" t="inlineStr">
        <is>
          <t>tennis-surface-elo-v1</t>
        </is>
      </c>
      <c r="BF336" s="24" t="inlineStr">
        <is>
          <t>1</t>
        </is>
      </c>
      <c r="BG336" s="24" t="inlineStr">
        <is>
          <t>1c05a3c4f76bde5de709ff6bb1937b3c4c67149c2ea621b7c90ca07898e048e8</t>
        </is>
      </c>
      <c r="BH336" s="24" t="inlineStr">
        <is>
          <t>2026-08-02T16:48:20.160476Z</t>
        </is>
      </c>
      <c r="BI336" s="24" t="inlineStr">
        <is>
          <t>["same_event","same_team_same_day","same_league_same_day"]</t>
        </is>
      </c>
      <c r="BJ336" s="25" t="n"/>
      <c r="BK336" s="26" t="n">
        <v>104</v>
      </c>
      <c r="BL336" s="27" t="n">
        <v>2.04</v>
      </c>
      <c r="BM336" s="28" t="n">
        <v>0.490196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2026-08-02T17:25:12Z</dcterms:created>
  <dcterms:modified xsi:type="dcterms:W3CDTF">2026-08-02T17:25:12Z</dcterms:modified>
</cp:coreProperties>
</file>