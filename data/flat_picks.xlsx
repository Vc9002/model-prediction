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90" headerRowCount="1">
  <autoFilter ref="A1:CA90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COUNTA('Picks'!$A$2:$A$90)</f>
        <v/>
      </c>
      <c r="C4" s="6">
        <f>COUNTIF('Picks'!$U$2:$U$90,"open")</f>
        <v/>
      </c>
      <c r="E4" s="6">
        <f>COUNTIF('Picks'!$U$2:$U$90,"settled")</f>
        <v/>
      </c>
      <c r="G4" s="6">
        <f>IF(COUNTIFS('Picks'!$U$2:$U$90,"settled",'Picks'!$V$2:$V$90,"win")+COUNTIFS('Picks'!$U$2:$U$90,"settled",'Picks'!$V$2:$V$90,"loss")&gt;=$L$2,"Ready","Insufficient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COUNTIF('Picks'!$BX$2:$BX$90,"&gt;0")</f>
        <v/>
      </c>
      <c r="C7" s="6">
        <f>COUNTIFS('Picks'!$BX$2:$BX$90,"&gt;0",'Picks'!$V$2:$V$90,"win")&amp;"-"&amp;COUNTIFS('Picks'!$BX$2:$BX$90,"&gt;0",'Picks'!$V$2:$V$90,"loss")</f>
        <v/>
      </c>
      <c r="E7" s="7">
        <f>IFERROR(COUNTIFS('Picks'!$BX$2:$BX$90,"&gt;0",'Picks'!$V$2:$V$90,"win")/(COUNTIFS('Picks'!$BX$2:$BX$90,"&gt;0",'Picks'!$V$2:$V$90,"win")+COUNTIFS('Picks'!$BX$2:$BX$90,"&gt;0",'Picks'!$V$2:$V$90,"loss")),0)</f>
        <v/>
      </c>
      <c r="G7" s="7">
        <f>IFERROR(SUM('Picks'!$BY$2:$BY$90)/SUM('Picks'!$BX$2:$BX$90),0)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SUM('Picks'!$BY$2:$BY$90)</f>
        <v/>
      </c>
      <c r="C10" s="9">
        <f>IFERROR(AVERAGEIF('Picks'!$AB$2:$AB$90,"&lt;&gt;",'Picks'!$AB$2:$AB$90),0)</f>
        <v/>
      </c>
      <c r="E10" s="6">
        <f>COUNTIFS('Picks'!$AM$2:$AM$90,"QUALIFIED_SHADOW_CALL",'Picks'!$U$2:$U$90,"settled")</f>
        <v/>
      </c>
      <c r="G10" s="8">
        <f>SUMIFS('Picks'!$AC$2:$AC$90,'Picks'!$AM$2:$AM$90,"QUALIFIED_SHADOW_CALL")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COUNTIFS('Picks'!$H$2:$H$90,$A14,'Picks'!$U$2:$U$90,"settled")</f>
        <v/>
      </c>
      <c r="C14" s="13">
        <f>COUNTIFS('Picks'!$H$2:$H$90,$A14,'Picks'!$U$2:$U$90,"settled",'Picks'!$V$2:$V$90,"win")</f>
        <v/>
      </c>
      <c r="D14" s="13">
        <f>COUNTIFS('Picks'!$H$2:$H$90,$A14,'Picks'!$U$2:$U$90,"settled",'Picks'!$V$2:$V$90,"loss")</f>
        <v/>
      </c>
      <c r="E14" s="14">
        <f>IFERROR(C14/(C14+D14),0)</f>
        <v/>
      </c>
      <c r="F14" s="15">
        <f>SUMIFS('Picks'!$BY$2:$BY$90,'Picks'!$H$2:$H$90,$A14)</f>
        <v/>
      </c>
      <c r="G14" s="16">
        <f>IFERROR(AVERAGEIFS('Picks'!$AB$2:$AB$90,'Picks'!$H$2:$H$90,$A14,'Picks'!$U$2:$U$90,"settled"),0)</f>
        <v/>
      </c>
    </row>
    <row r="15">
      <c r="A15" s="17" t="inlineStr">
        <is>
          <t>spread</t>
        </is>
      </c>
      <c r="B15" s="18">
        <f>COUNTIFS('Picks'!$H$2:$H$90,$A15,'Picks'!$U$2:$U$90,"settled")</f>
        <v/>
      </c>
      <c r="C15" s="18">
        <f>COUNTIFS('Picks'!$H$2:$H$90,$A15,'Picks'!$U$2:$U$90,"settled",'Picks'!$V$2:$V$90,"win")</f>
        <v/>
      </c>
      <c r="D15" s="18">
        <f>COUNTIFS('Picks'!$H$2:$H$90,$A15,'Picks'!$U$2:$U$90,"settled",'Picks'!$V$2:$V$90,"loss")</f>
        <v/>
      </c>
      <c r="E15" s="19">
        <f>IFERROR(C15/(C15+D15),0)</f>
        <v/>
      </c>
      <c r="F15" s="20">
        <f>SUMIFS('Picks'!$BY$2:$BY$90,'Picks'!$H$2:$H$90,$A15)</f>
        <v/>
      </c>
      <c r="G15" s="21">
        <f>IFERROR(AVERAGEIFS('Picks'!$AB$2:$AB$90,'Picks'!$H$2:$H$90,$A15,'Picks'!$U$2:$U$90,"settled"),0)</f>
        <v/>
      </c>
    </row>
    <row r="16">
      <c r="A16" s="12" t="inlineStr">
        <is>
          <t>total</t>
        </is>
      </c>
      <c r="B16" s="13">
        <f>COUNTIFS('Picks'!$H$2:$H$90,$A16,'Picks'!$U$2:$U$90,"settled")</f>
        <v/>
      </c>
      <c r="C16" s="13">
        <f>COUNTIFS('Picks'!$H$2:$H$90,$A16,'Picks'!$U$2:$U$90,"settled",'Picks'!$V$2:$V$90,"win")</f>
        <v/>
      </c>
      <c r="D16" s="13">
        <f>COUNTIFS('Picks'!$H$2:$H$90,$A16,'Picks'!$U$2:$U$90,"settled",'Picks'!$V$2:$V$90,"loss")</f>
        <v/>
      </c>
      <c r="E16" s="14">
        <f>IFERROR(C16/(C16+D16),0)</f>
        <v/>
      </c>
      <c r="F16" s="15">
        <f>SUMIFS('Picks'!$BY$2:$BY$90,'Picks'!$H$2:$H$90,$A16)</f>
        <v/>
      </c>
      <c r="G16" s="16">
        <f>IFERROR(AVERAGEIFS('Picks'!$AB$2:$AB$90,'Picks'!$H$2:$H$90,$A16,'Picks'!$U$2:$U$90,"settled"),0)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61</v>
      </c>
      <c r="S32" s="29" t="n">
        <v>1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25" t="n"/>
      <c r="Z32" s="26" t="n"/>
      <c r="AA32" s="28" t="n"/>
      <c r="AB32" s="28" t="n"/>
      <c r="AC32" s="3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25" t="n"/>
      <c r="BK32" s="26" t="n">
        <v>104</v>
      </c>
      <c r="BL32" s="27" t="n">
        <v>2.04</v>
      </c>
      <c r="BM32" s="28" t="n">
        <v>0.490196</v>
      </c>
      <c r="BN32" s="28" t="n">
        <v>0.487562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25" t="n"/>
      <c r="Z33" s="26" t="n"/>
      <c r="AA33" s="28" t="n"/>
      <c r="AB33" s="28" t="n"/>
      <c r="AC33" s="3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>
        <v>0.457711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13</v>
      </c>
      <c r="S34" s="29" t="n">
        <v>1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25" t="n"/>
      <c r="Z34" s="26" t="n"/>
      <c r="AA34" s="28" t="n"/>
      <c r="AB34" s="28" t="n"/>
      <c r="AC34" s="3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>
        <v>0.537313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117</v>
      </c>
      <c r="M35" s="27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99</v>
      </c>
      <c r="S35" s="29" t="n">
        <v>1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25" t="n"/>
      <c r="BK35" s="26" t="n">
        <v>117</v>
      </c>
      <c r="BL35" s="27" t="n">
        <v>2.17</v>
      </c>
      <c r="BM35" s="28" t="n">
        <v>0.460829</v>
      </c>
      <c r="BN35" s="28" t="n">
        <v>0.457711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-106</v>
      </c>
      <c r="M36" s="27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4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25" t="n"/>
      <c r="Z36" s="26" t="n"/>
      <c r="AA36" s="28" t="n"/>
      <c r="AB36" s="28" t="n"/>
      <c r="AC36" s="3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25" t="n"/>
      <c r="BK36" s="26" t="n">
        <v>-106</v>
      </c>
      <c r="BL36" s="27" t="n">
        <v>1.943396</v>
      </c>
      <c r="BM36" s="28" t="n">
        <v>0.514563</v>
      </c>
      <c r="BN36" s="28" t="n">
        <v>0.5124379999999999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81</v>
      </c>
      <c r="S37" s="29" t="n">
        <v>1.75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25" t="n"/>
      <c r="Z37" s="26" t="n"/>
      <c r="AA37" s="28" t="n"/>
      <c r="AB37" s="28" t="n"/>
      <c r="AC37" s="3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25" t="n"/>
      <c r="BK37" s="26" t="n">
        <v>-122</v>
      </c>
      <c r="BL37" s="27" t="n">
        <v>1.819672</v>
      </c>
      <c r="BM37" s="28" t="n">
        <v>0.54955</v>
      </c>
      <c r="BN37" s="28" t="n">
        <v>0.547264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115</v>
      </c>
      <c r="M38" s="27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55</v>
      </c>
      <c r="S38" s="29" t="n">
        <v>0.75</v>
      </c>
      <c r="T38" s="24" t="inlineStr">
        <is>
          <t>mlb-elo-trend-lr-v4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25" t="n"/>
      <c r="Z38" s="26" t="n"/>
      <c r="AA38" s="28" t="n"/>
      <c r="AB38" s="28" t="n"/>
      <c r="AC38" s="3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25" t="n"/>
      <c r="BK38" s="26" t="n">
        <v>115</v>
      </c>
      <c r="BL38" s="27" t="n">
        <v>2.15</v>
      </c>
      <c r="BM38" s="28" t="n">
        <v>0.465116</v>
      </c>
      <c r="BN38" s="28" t="n">
        <v>0.462687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99</v>
      </c>
      <c r="S39" s="29" t="n">
        <v>1.5</v>
      </c>
      <c r="T39" s="24" t="inlineStr">
        <is>
          <t>mlb-elo-trend-lr-v4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25" t="n"/>
      <c r="Z39" s="26" t="n"/>
      <c r="AA39" s="28" t="n"/>
      <c r="AB39" s="28" t="n"/>
      <c r="AC39" s="3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>
        <v>0.597015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-141</v>
      </c>
      <c r="M40" s="27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41</v>
      </c>
      <c r="S40" s="29" t="n">
        <v>0.75</v>
      </c>
      <c r="T40" s="24" t="inlineStr">
        <is>
          <t>mlb-elo-trend-lr-v4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25" t="n"/>
      <c r="Z40" s="26" t="n"/>
      <c r="AA40" s="28" t="n"/>
      <c r="AB40" s="28" t="n"/>
      <c r="AC40" s="3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25" t="n"/>
      <c r="BK40" s="26" t="n">
        <v>-141</v>
      </c>
      <c r="BL40" s="27" t="n">
        <v>1.70922</v>
      </c>
      <c r="BM40" s="28" t="n">
        <v>0.585062</v>
      </c>
      <c r="BN40" s="28" t="n">
        <v>0.58209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75</v>
      </c>
      <c r="S41" s="29" t="n">
        <v>1.5</v>
      </c>
      <c r="T41" s="24" t="inlineStr">
        <is>
          <t>mlb-elo-trend-lr-v4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25" t="n"/>
      <c r="Z41" s="26" t="n"/>
      <c r="AA41" s="28" t="n"/>
      <c r="AB41" s="28" t="n"/>
      <c r="AC41" s="3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25" t="n"/>
      <c r="BK41" s="26" t="n">
        <v>-163</v>
      </c>
      <c r="BL41" s="27" t="n">
        <v>1.613497</v>
      </c>
      <c r="BM41" s="28" t="n">
        <v>0.619772</v>
      </c>
      <c r="BN41" s="28" t="n">
        <v>0.616915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-111</v>
      </c>
      <c r="M42" s="27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92</v>
      </c>
      <c r="S42" s="29" t="n">
        <v>0.75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25" t="n"/>
      <c r="Z42" s="26" t="n"/>
      <c r="AA42" s="28" t="n"/>
      <c r="AB42" s="28" t="n"/>
      <c r="AC42" s="3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25" t="n"/>
      <c r="BK42" s="26" t="n">
        <v>-111</v>
      </c>
      <c r="BL42" s="27" t="n">
        <v>1.900901</v>
      </c>
      <c r="BM42" s="28" t="n">
        <v>0.526066</v>
      </c>
      <c r="BN42" s="28" t="n">
        <v>0.522388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99</v>
      </c>
      <c r="S43" s="29" t="n">
        <v>0.75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>
        <v>0.517413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-400</v>
      </c>
      <c r="M44" s="27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25" t="n"/>
      <c r="Z44" s="26" t="n"/>
      <c r="AA44" s="28" t="n"/>
      <c r="AB44" s="28" t="n"/>
      <c r="AC44" s="3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25" t="n"/>
      <c r="BK44" s="26" t="n">
        <v>-400</v>
      </c>
      <c r="BL44" s="27" t="n">
        <v>1.25</v>
      </c>
      <c r="BM44" s="28" t="n">
        <v>0.8</v>
      </c>
      <c r="BN44" s="28" t="n">
        <v>0.792079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-426</v>
      </c>
      <c r="M45" s="27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25" t="n"/>
      <c r="Z45" s="26" t="n"/>
      <c r="AA45" s="28" t="n"/>
      <c r="AB45" s="28" t="n"/>
      <c r="AC45" s="3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25" t="n"/>
      <c r="BK45" s="26" t="n">
        <v>-426</v>
      </c>
      <c r="BL45" s="27" t="n">
        <v>1.234742</v>
      </c>
      <c r="BM45" s="28" t="n">
        <v>0.809886</v>
      </c>
      <c r="BN45" s="28" t="n">
        <v>0.80198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25" t="n"/>
      <c r="Z46" s="26" t="n"/>
      <c r="AA46" s="28" t="n"/>
      <c r="AB46" s="28" t="n"/>
      <c r="AC46" s="3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>
        <v>0.6039600000000001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-354</v>
      </c>
      <c r="M47" s="27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25" t="n"/>
      <c r="Z47" s="26" t="n"/>
      <c r="AA47" s="28" t="n"/>
      <c r="AB47" s="28" t="n"/>
      <c r="AC47" s="3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>
        <v>-354</v>
      </c>
      <c r="BL47" s="27" t="n">
        <v>1.282486</v>
      </c>
      <c r="BM47" s="28" t="n">
        <v>0.779736</v>
      </c>
      <c r="BN47" s="28" t="n">
        <v>0.779736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</t>
        </is>
      </c>
      <c r="L48" s="26" t="n">
        <v>-194</v>
      </c>
      <c r="M48" s="27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>
        <v>17</v>
      </c>
      <c r="S48" s="29" t="n">
        <v>1.25</v>
      </c>
      <c r="T48" s="24" t="inlineStr">
        <is>
          <t>mlb-elo-trend-lr-v4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25" t="n"/>
      <c r="Z48" s="26" t="n"/>
      <c r="AA48" s="28" t="n"/>
      <c r="AB48" s="28" t="n"/>
      <c r="AC48" s="3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inlineStr">
        <is>
          <t>5224fb6ffbc9ddf8fa517627b830ac851192da94d241963d556945393a42bb9d</t>
        </is>
      </c>
      <c r="BB48" s="24" t="n"/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n"/>
      <c r="BF48" s="24" t="n"/>
      <c r="BG48" s="24" t="n"/>
      <c r="BH48" s="24" t="inlineStr">
        <is>
          <t>2026-07-17T16:26:07.030893Z</t>
        </is>
      </c>
      <c r="BI48" s="24" t="n"/>
      <c r="BJ48" s="25" t="n"/>
      <c r="BK48" s="26" t="n">
        <v>-194</v>
      </c>
      <c r="BL48" s="27" t="n">
        <v>1.515464</v>
      </c>
      <c r="BM48" s="28" t="n">
        <v>0.659864</v>
      </c>
      <c r="BN48" s="28" t="n">
        <v>0.656716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</t>
        </is>
      </c>
      <c r="L49" s="26" t="n">
        <v>-122</v>
      </c>
      <c r="M49" s="27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>
        <v>2</v>
      </c>
      <c r="S49" s="29" t="n">
        <v>1</v>
      </c>
      <c r="T49" s="24" t="inlineStr">
        <is>
          <t>mlb-elo-trend-lr-v4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25" t="n"/>
      <c r="Z49" s="26" t="n"/>
      <c r="AA49" s="28" t="n"/>
      <c r="AB49" s="28" t="n"/>
      <c r="AC49" s="3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inlineStr">
        <is>
          <t>5224fb6ffbc9ddf8fa517627b830ac851192da94d241963d556945393a42bb9d</t>
        </is>
      </c>
      <c r="BB49" s="24" t="n"/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n"/>
      <c r="BF49" s="24" t="n"/>
      <c r="BG49" s="24" t="n"/>
      <c r="BH49" s="24" t="inlineStr">
        <is>
          <t>2026-07-17T16:26:05.906965Z</t>
        </is>
      </c>
      <c r="BI49" s="24" t="n"/>
      <c r="BJ49" s="25" t="n"/>
      <c r="BK49" s="26" t="n">
        <v>-122</v>
      </c>
      <c r="BL49" s="27" t="n">
        <v>1.819672</v>
      </c>
      <c r="BM49" s="28" t="n">
        <v>0.54955</v>
      </c>
      <c r="BN49" s="28" t="n">
        <v>0.547264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</t>
        </is>
      </c>
      <c r="L50" s="26" t="n">
        <v>-113</v>
      </c>
      <c r="M50" s="27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>
        <v>90</v>
      </c>
      <c r="S50" s="29" t="n">
        <v>0.75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25" t="n"/>
      <c r="Z50" s="26" t="n"/>
      <c r="AA50" s="28" t="n"/>
      <c r="AB50" s="28" t="n"/>
      <c r="AC50" s="3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2026-07-17T16:26:09.836107Z</t>
        </is>
      </c>
      <c r="BI50" s="24" t="n"/>
      <c r="BJ50" s="25" t="n"/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</t>
        </is>
      </c>
      <c r="L51" s="26" t="n">
        <v>-106</v>
      </c>
      <c r="M51" s="27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>
        <v>10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25" t="n"/>
      <c r="Z51" s="26" t="n"/>
      <c r="AA51" s="28" t="n"/>
      <c r="AB51" s="28" t="n"/>
      <c r="AC51" s="3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2026-07-17T16:26:10.857493Z</t>
        </is>
      </c>
      <c r="BI51" s="24" t="n"/>
      <c r="BJ51" s="25" t="n"/>
      <c r="BK51" s="26" t="n">
        <v>-106</v>
      </c>
      <c r="BL51" s="27" t="n">
        <v>1.943396</v>
      </c>
      <c r="BM51" s="28" t="n">
        <v>0.514563</v>
      </c>
      <c r="BN51" s="28" t="n">
        <v>0.5124379999999999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</t>
        </is>
      </c>
      <c r="L52" s="26" t="n">
        <v>-174</v>
      </c>
      <c r="M52" s="27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>
        <v>62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2026-07-17T16:26:16.071100Z</t>
        </is>
      </c>
      <c r="BI52" s="24" t="n"/>
      <c r="BJ52" s="25" t="n"/>
      <c r="BK52" s="26" t="n">
        <v>-174</v>
      </c>
      <c r="BL52" s="27" t="n">
        <v>1.574713</v>
      </c>
      <c r="BM52" s="28" t="n">
        <v>0.635036</v>
      </c>
      <c r="BN52" s="28" t="n">
        <v>0.631841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</t>
        </is>
      </c>
      <c r="L53" s="26" t="n">
        <v>-376</v>
      </c>
      <c r="M53" s="27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25" t="n"/>
      <c r="Z53" s="26" t="n"/>
      <c r="AA53" s="28" t="n"/>
      <c r="AB53" s="28" t="n"/>
      <c r="AC53" s="3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25" t="n"/>
      <c r="BK53" s="26" t="n">
        <v>-376</v>
      </c>
      <c r="BL53" s="27" t="n">
        <v>1.265957</v>
      </c>
      <c r="BM53" s="28" t="n">
        <v>0.789916</v>
      </c>
      <c r="BN53" s="28" t="n">
        <v>0.782178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</t>
        </is>
      </c>
      <c r="L54" s="26" t="n">
        <v>-113</v>
      </c>
      <c r="M54" s="27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25" t="n"/>
      <c r="Z54" s="26" t="n"/>
      <c r="AA54" s="28" t="n"/>
      <c r="AB54" s="28" t="n"/>
      <c r="AC54" s="3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25" t="n"/>
      <c r="BK54" s="26" t="n">
        <v>-113</v>
      </c>
      <c r="BL54" s="27" t="n">
        <v>1.884956</v>
      </c>
      <c r="BM54" s="28" t="n">
        <v>0.530516</v>
      </c>
      <c r="BN54" s="28" t="n">
        <v>0.524752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</t>
        </is>
      </c>
      <c r="L55" s="26" t="n">
        <v>-178</v>
      </c>
      <c r="M55" s="27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25" t="n"/>
      <c r="BK55" s="26" t="n">
        <v>-178</v>
      </c>
      <c r="BL55" s="27" t="n">
        <v>1.561798</v>
      </c>
      <c r="BM55" s="28" t="n">
        <v>0.640288</v>
      </c>
      <c r="BN55" s="28" t="n">
        <v>0.633663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</t>
        </is>
      </c>
      <c r="L56" s="26" t="n">
        <v>-163</v>
      </c>
      <c r="M56" s="27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>
        <v>91</v>
      </c>
      <c r="S56" s="29" t="n">
        <v>1.5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25" t="n"/>
      <c r="Z56" s="26" t="n"/>
      <c r="AA56" s="28" t="n"/>
      <c r="AB56" s="28" t="n"/>
      <c r="AC56" s="3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inlineStr">
        <is>
          <t>5224fb6ffbc9ddf8fa517627b830ac851192da94d241963d556945393a42bb9d</t>
        </is>
      </c>
      <c r="BB56" s="24" t="n"/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n"/>
      <c r="BF56" s="24" t="n"/>
      <c r="BG56" s="24" t="n"/>
      <c r="BH56" s="24" t="inlineStr">
        <is>
          <t>2026-07-18T17:33:12.199724Z</t>
        </is>
      </c>
      <c r="BI56" s="24" t="n"/>
      <c r="BJ56" s="25" t="n"/>
      <c r="BK56" s="26" t="n">
        <v>-163</v>
      </c>
      <c r="BL56" s="27" t="n">
        <v>1.613497</v>
      </c>
      <c r="BM56" s="28" t="n">
        <v>0.619772</v>
      </c>
      <c r="BN56" s="28" t="n">
        <v>0.616915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</t>
        </is>
      </c>
      <c r="L57" s="26" t="n">
        <v>-111</v>
      </c>
      <c r="M57" s="27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>
        <v>99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25" t="n"/>
      <c r="Z57" s="26" t="n"/>
      <c r="AA57" s="28" t="n"/>
      <c r="AB57" s="28" t="n"/>
      <c r="AC57" s="3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inlineStr">
        <is>
          <t>5224fb6ffbc9ddf8fa517627b830ac851192da94d241963d556945393a42bb9d</t>
        </is>
      </c>
      <c r="BB57" s="24" t="n"/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n"/>
      <c r="BF57" s="24" t="n"/>
      <c r="BG57" s="24" t="n"/>
      <c r="BH57" s="24" t="inlineStr">
        <is>
          <t>2026-07-18T17:33:15.460034Z</t>
        </is>
      </c>
      <c r="BI57" s="24" t="n"/>
      <c r="BJ57" s="25" t="n"/>
      <c r="BK57" s="26" t="n">
        <v>-111</v>
      </c>
      <c r="BL57" s="27" t="n">
        <v>1.900901</v>
      </c>
      <c r="BM57" s="28" t="n">
        <v>0.526066</v>
      </c>
      <c r="BN57" s="28" t="n">
        <v>0.522388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</t>
        </is>
      </c>
      <c r="L58" s="26" t="n">
        <v>-138</v>
      </c>
      <c r="M58" s="27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>
        <v>17</v>
      </c>
      <c r="S58" s="29" t="n">
        <v>1.5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25" t="n"/>
      <c r="Z58" s="26" t="n"/>
      <c r="AA58" s="28" t="n"/>
      <c r="AB58" s="28" t="n"/>
      <c r="AC58" s="3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inlineStr">
        <is>
          <t>5224fb6ffbc9ddf8fa517627b830ac851192da94d241963d556945393a42bb9d</t>
        </is>
      </c>
      <c r="BB58" s="24" t="n"/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n"/>
      <c r="BF58" s="24" t="n"/>
      <c r="BG58" s="24" t="n"/>
      <c r="BH58" s="24" t="inlineStr">
        <is>
          <t>2026-07-18T17:35:05.699206Z</t>
        </is>
      </c>
      <c r="BI58" s="24" t="n"/>
      <c r="BJ58" s="25" t="n"/>
      <c r="BK58" s="26" t="n">
        <v>-138</v>
      </c>
      <c r="BL58" s="27" t="n">
        <v>1.724638</v>
      </c>
      <c r="BM58" s="28" t="n">
        <v>0.579832</v>
      </c>
      <c r="BN58" s="28" t="n">
        <v>0.577114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</t>
        </is>
      </c>
      <c r="L59" s="26" t="n">
        <v>-178</v>
      </c>
      <c r="M59" s="27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>
        <v>9</v>
      </c>
      <c r="S59" s="29" t="n">
        <v>1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25" t="n"/>
      <c r="Z59" s="26" t="n"/>
      <c r="AA59" s="28" t="n"/>
      <c r="AB59" s="28" t="n"/>
      <c r="AC59" s="3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inlineStr">
        <is>
          <t>5224fb6ffbc9ddf8fa517627b830ac851192da94d241963d556945393a42bb9d</t>
        </is>
      </c>
      <c r="BB59" s="24" t="n"/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n"/>
      <c r="BF59" s="24" t="n"/>
      <c r="BG59" s="24" t="n"/>
      <c r="BH59" s="24" t="inlineStr">
        <is>
          <t>2026-07-18T17:33:26.013189Z</t>
        </is>
      </c>
      <c r="BI59" s="24" t="n"/>
      <c r="BJ59" s="25" t="n"/>
      <c r="BK59" s="26" t="n">
        <v>-178</v>
      </c>
      <c r="BL59" s="27" t="n">
        <v>1.561798</v>
      </c>
      <c r="BM59" s="28" t="n">
        <v>0.640288</v>
      </c>
      <c r="BN59" s="28" t="n">
        <v>0.636816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</t>
        </is>
      </c>
      <c r="L60" s="26" t="n">
        <v>-669</v>
      </c>
      <c r="M60" s="27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25" t="n"/>
      <c r="Z60" s="26" t="n"/>
      <c r="AA60" s="28" t="n"/>
      <c r="AB60" s="28" t="n"/>
      <c r="AC60" s="3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25" t="n"/>
      <c r="BK60" s="26" t="n">
        <v>-669</v>
      </c>
      <c r="BL60" s="27" t="n">
        <v>1.149477</v>
      </c>
      <c r="BM60" s="28" t="n">
        <v>0.869961</v>
      </c>
      <c r="BN60" s="28" t="n">
        <v>0.861386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</t>
        </is>
      </c>
      <c r="L61" s="26" t="n">
        <v>-355</v>
      </c>
      <c r="M61" s="27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25" t="n"/>
      <c r="Z61" s="26" t="n"/>
      <c r="AA61" s="28" t="n"/>
      <c r="AB61" s="28" t="n"/>
      <c r="AC61" s="3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25" t="n"/>
      <c r="BK61" s="26" t="n">
        <v>-355</v>
      </c>
      <c r="BL61" s="27" t="n">
        <v>1.28169</v>
      </c>
      <c r="BM61" s="28" t="n">
        <v>0.78022</v>
      </c>
      <c r="BN61" s="28" t="n">
        <v>0.772277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</row>
    <row r="62" ht="36" customHeight="1">
      <c r="A62" s="24" t="inlineStr">
        <is>
          <t>5df3c9112e914547</t>
        </is>
      </c>
      <c r="B62" s="24" t="inlineStr">
        <is>
          <t>2026-07-20T15:44:31.508407Z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113</v>
      </c>
      <c r="M62" s="27" t="n">
        <v>2.13</v>
      </c>
      <c r="N62" s="28" t="n">
        <v>0.469484</v>
      </c>
      <c r="O62" s="28" t="n">
        <v>0.5726869999999999</v>
      </c>
      <c r="P62" s="28" t="n"/>
      <c r="Q62" s="28" t="n">
        <v>0.103203</v>
      </c>
      <c r="R62" s="26" t="n">
        <v>100</v>
      </c>
      <c r="S62" s="29" t="n">
        <v>1.25</v>
      </c>
      <c r="T62" s="24" t="inlineStr">
        <is>
          <t>mlb-elo-trend-lr-v4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0.5500; executable ask 0.4700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2170ac399ced5417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2026-07-20T15:40:37.473344Z</t>
        </is>
      </c>
      <c r="BI62" s="24" t="inlineStr">
        <is>
          <t>["same_event","same_team_same_day","same_league_same_day"]</t>
        </is>
      </c>
      <c r="BJ62" s="25" t="n"/>
      <c r="BK62" s="26" t="n">
        <v>113</v>
      </c>
      <c r="BL62" s="27" t="n">
        <v>2.13</v>
      </c>
      <c r="BM62" s="28" t="n">
        <v>0.469484</v>
      </c>
      <c r="BN62" s="28" t="n">
        <v>0.467662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</row>
    <row r="63" ht="36" customHeight="1">
      <c r="A63" s="24" t="inlineStr">
        <is>
          <t>e598241db79c4dfb</t>
        </is>
      </c>
      <c r="B63" s="24" t="inlineStr">
        <is>
          <t>2026-07-20T15:44:31.508407Z</t>
        </is>
      </c>
      <c r="C63" s="24" t="inlineStr">
        <is>
          <t>2026-07-20T19:00:00-0400</t>
        </is>
      </c>
      <c r="D63" s="24" t="inlineStr">
        <is>
          <t>401816187</t>
        </is>
      </c>
      <c r="E63" s="24" t="inlineStr">
        <is>
          <t>MLB</t>
        </is>
      </c>
      <c r="F63" s="24" t="inlineStr">
        <is>
          <t>Los Angeles Dodgers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125</v>
      </c>
      <c r="M63" s="27" t="n">
        <v>2.25</v>
      </c>
      <c r="N63" s="28" t="n">
        <v>0.444444</v>
      </c>
      <c r="O63" s="28" t="n">
        <v>0.513332</v>
      </c>
      <c r="P63" s="28" t="n"/>
      <c r="Q63" s="28" t="n">
        <v>0.068888</v>
      </c>
      <c r="R63" s="26" t="n">
        <v>54</v>
      </c>
      <c r="S63" s="29" t="n">
        <v>0.75</v>
      </c>
      <c r="T63" s="24" t="inlineStr">
        <is>
          <t>mlb-elo-trend-lr-v4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0.5500; executable ask 0.4450 (aec-mlb-lad-phi-2026-07-20).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mlb-lad</t>
        </is>
      </c>
      <c r="AQ63" s="24" t="inlineStr">
        <is>
          <t>Los Angeles Dodgers</t>
        </is>
      </c>
      <c r="AR63" s="24" t="inlineStr">
        <is>
          <t>Los Angeles Dodgers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bac520e15b938e92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2026-07-20T15:40:44.245309Z</t>
        </is>
      </c>
      <c r="BI63" s="24" t="inlineStr">
        <is>
          <t>["same_event","same_team_same_day","same_league_same_day"]</t>
        </is>
      </c>
      <c r="BJ63" s="25" t="n"/>
      <c r="BK63" s="26" t="n">
        <v>125</v>
      </c>
      <c r="BL63" s="27" t="n">
        <v>2.25</v>
      </c>
      <c r="BM63" s="28" t="n">
        <v>0.444444</v>
      </c>
      <c r="BN63" s="28" t="n">
        <v>0.442786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</row>
    <row r="64" ht="36" customHeight="1">
      <c r="A64" s="24" t="inlineStr">
        <is>
          <t>099694587c434b4a</t>
        </is>
      </c>
      <c r="B64" s="24" t="inlineStr">
        <is>
          <t>2026-07-20T15:44:31.508407Z</t>
        </is>
      </c>
      <c r="C64" s="24" t="inlineStr">
        <is>
          <t>2026-07-20T19:05:00-0400</t>
        </is>
      </c>
      <c r="D64" s="24" t="inlineStr">
        <is>
          <t>401816189</t>
        </is>
      </c>
      <c r="E64" s="24" t="inlineStr">
        <is>
          <t>MLB</t>
        </is>
      </c>
      <c r="F64" s="24" t="inlineStr">
        <is>
          <t>Pittsburgh Pirates</t>
        </is>
      </c>
      <c r="G64" s="24" t="inlineStr">
        <is>
          <t>New York Yankees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-108</v>
      </c>
      <c r="M64" s="27" t="n">
        <v>1.925926</v>
      </c>
      <c r="N64" s="28" t="n">
        <v>0.519231</v>
      </c>
      <c r="O64" s="28" t="n">
        <v>0.578558</v>
      </c>
      <c r="P64" s="28" t="n"/>
      <c r="Q64" s="28" t="n">
        <v>0.059327</v>
      </c>
      <c r="R64" s="26" t="n">
        <v>50</v>
      </c>
      <c r="S64" s="29" t="n">
        <v>1.25</v>
      </c>
      <c r="T64" s="24" t="inlineStr">
        <is>
          <t>mlb-elo-trend-lr-v4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0.5500; executable ask 0.5200 (aec-mlb-pit-nyy-2026-07-20).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mlb-pit</t>
        </is>
      </c>
      <c r="AQ64" s="24" t="inlineStr">
        <is>
          <t>Pittsburgh Pirates</t>
        </is>
      </c>
      <c r="AR64" s="24" t="inlineStr">
        <is>
          <t>Pittsburgh Pirates</t>
        </is>
      </c>
      <c r="AS64" s="24" t="inlineStr">
        <is>
          <t>mlb-nyy</t>
        </is>
      </c>
      <c r="AT64" s="24" t="inlineStr">
        <is>
          <t>New York Yankees</t>
        </is>
      </c>
      <c r="AU64" s="24" t="inlineStr">
        <is>
          <t>New York Yankees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38ab7db5a3798f0c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2026-07-20T15:40:38.983839Z</t>
        </is>
      </c>
      <c r="BI64" s="24" t="inlineStr">
        <is>
          <t>["same_event","same_team_same_day","same_league_same_day"]</t>
        </is>
      </c>
      <c r="BJ64" s="25" t="n"/>
      <c r="BK64" s="26" t="n">
        <v>-108</v>
      </c>
      <c r="BL64" s="27" t="n">
        <v>1.925926</v>
      </c>
      <c r="BM64" s="28" t="n">
        <v>0.519231</v>
      </c>
      <c r="BN64" s="28" t="n">
        <v>0.517413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</row>
    <row r="65" ht="36" customHeight="1">
      <c r="A65" s="24" t="inlineStr">
        <is>
          <t>6c1b1d290ce24d73</t>
        </is>
      </c>
      <c r="B65" s="24" t="inlineStr">
        <is>
          <t>2026-07-20T15:44:31.508407Z</t>
        </is>
      </c>
      <c r="C65" s="24" t="inlineStr">
        <is>
          <t>2026-07-20T19:07:00-0400</t>
        </is>
      </c>
      <c r="D65" s="24" t="inlineStr">
        <is>
          <t>401816191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Toronto Blue Jays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-147</v>
      </c>
      <c r="M65" s="27" t="n">
        <v>1.680272</v>
      </c>
      <c r="N65" s="28" t="n">
        <v>0.5951419999999999</v>
      </c>
      <c r="O65" s="28" t="n">
        <v>0.530206</v>
      </c>
      <c r="P65" s="28" t="n"/>
      <c r="Q65" s="28" t="n">
        <v>-0.06493599999999999</v>
      </c>
      <c r="R65" s="26" t="n">
        <v>0</v>
      </c>
      <c r="S65" s="29" t="n">
        <v>0.75</v>
      </c>
      <c r="T65" s="24" t="inlineStr">
        <is>
          <t>mlb-elo-trend-lr-v4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0.5500; executable ask 0.5950 (aec-mlb-tb-tor-2026-07-20).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78559912fe10ab9f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2026-07-20T15:40:40.696549Z</t>
        </is>
      </c>
      <c r="BI65" s="24" t="inlineStr">
        <is>
          <t>["same_event","same_team_same_day","same_league_same_day"]</t>
        </is>
      </c>
      <c r="BJ65" s="25" t="n"/>
      <c r="BK65" s="26" t="n">
        <v>-147</v>
      </c>
      <c r="BL65" s="27" t="n">
        <v>1.680272</v>
      </c>
      <c r="BM65" s="28" t="n">
        <v>0.5951419999999999</v>
      </c>
      <c r="BN65" s="28" t="n">
        <v>0.59204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</row>
    <row r="66" ht="36" customHeight="1">
      <c r="A66" s="24" t="inlineStr">
        <is>
          <t>43b2ed970ab34f5f</t>
        </is>
      </c>
      <c r="B66" s="24" t="inlineStr">
        <is>
          <t>2026-07-20T15:44:31.508407Z</t>
        </is>
      </c>
      <c r="C66" s="24" t="inlineStr">
        <is>
          <t>2026-07-20T19:10:00-0400</t>
        </is>
      </c>
      <c r="D66" s="24" t="inlineStr">
        <is>
          <t>401816186</t>
        </is>
      </c>
      <c r="E66" s="24" t="inlineStr">
        <is>
          <t>MLB</t>
        </is>
      </c>
      <c r="F66" s="24" t="inlineStr">
        <is>
          <t>Baltimore Orioles</t>
        </is>
      </c>
      <c r="G66" s="24" t="inlineStr">
        <is>
          <t>Boston Red Sox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-141</v>
      </c>
      <c r="M66" s="27" t="n">
        <v>1.70922</v>
      </c>
      <c r="N66" s="28" t="n">
        <v>0.585062</v>
      </c>
      <c r="O66" s="28" t="n">
        <v>0.565797</v>
      </c>
      <c r="P66" s="28" t="n"/>
      <c r="Q66" s="28" t="n">
        <v>-0.019265</v>
      </c>
      <c r="R66" s="26" t="n">
        <v>10</v>
      </c>
      <c r="S66" s="29" t="n">
        <v>1.25</v>
      </c>
      <c r="T66" s="24" t="inlineStr">
        <is>
          <t>mlb-elo-trend-lr-v4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0.5500; executable ask 0.5850 (aec-mlb-bal-bos-2026-07-20).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mlb-bal</t>
        </is>
      </c>
      <c r="AQ66" s="24" t="inlineStr">
        <is>
          <t>Baltimore Orioles</t>
        </is>
      </c>
      <c r="AR66" s="24" t="inlineStr">
        <is>
          <t>Baltimore Orioles</t>
        </is>
      </c>
      <c r="AS66" s="24" t="inlineStr">
        <is>
          <t>mlb-bos</t>
        </is>
      </c>
      <c r="AT66" s="24" t="inlineStr">
        <is>
          <t>Boston Red Sox</t>
        </is>
      </c>
      <c r="AU66" s="24" t="inlineStr">
        <is>
          <t>Boston Red Sox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9fe2d27778a72dfe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2026-07-20T15:40:42.945575Z</t>
        </is>
      </c>
      <c r="BI66" s="24" t="inlineStr">
        <is>
          <t>["same_event","same_team_same_day","same_league_same_day"]</t>
        </is>
      </c>
      <c r="BJ66" s="25" t="n"/>
      <c r="BK66" s="26" t="n">
        <v>-141</v>
      </c>
      <c r="BL66" s="27" t="n">
        <v>1.70922</v>
      </c>
      <c r="BM66" s="28" t="n">
        <v>0.585062</v>
      </c>
      <c r="BN66" s="28" t="n">
        <v>0.58209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</row>
    <row r="67" ht="36" customHeight="1">
      <c r="A67" s="24" t="inlineStr">
        <is>
          <t>556a298369cf47bd</t>
        </is>
      </c>
      <c r="B67" s="24" t="inlineStr">
        <is>
          <t>2026-07-20T15:44:31.508407Z</t>
        </is>
      </c>
      <c r="C67" s="24" t="inlineStr">
        <is>
          <t>2026-07-20T19:15:00-0400</t>
        </is>
      </c>
      <c r="D67" s="24" t="inlineStr">
        <is>
          <t>401816190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Atlanta Braves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0.550915</v>
      </c>
      <c r="P67" s="28" t="n"/>
      <c r="Q67" s="28" t="n">
        <v>-0.0199</v>
      </c>
      <c r="R67" s="26" t="n">
        <v>10</v>
      </c>
      <c r="S67" s="29" t="n">
        <v>1</v>
      </c>
      <c r="T67" s="24" t="inlineStr">
        <is>
          <t>mlb-elo-trend-lr-v4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0.5500; executable ask 0.5700 (aec-mlb-sd-atl-2026-07-20).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mlb-atl</t>
        </is>
      </c>
      <c r="AT67" s="24" t="inlineStr">
        <is>
          <t>Atlanta Braves</t>
        </is>
      </c>
      <c r="AU67" s="24" t="inlineStr">
        <is>
          <t>Atlanta Braves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f0b5eac7c97d1146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2026-07-20T15:40:45.418635Z</t>
        </is>
      </c>
      <c r="BI67" s="24" t="inlineStr">
        <is>
          <t>["same_event","same_team_same_day","same_league_same_day"]</t>
        </is>
      </c>
      <c r="BJ67" s="25" t="n"/>
      <c r="BK67" s="26" t="n">
        <v>-133</v>
      </c>
      <c r="BL67" s="27" t="n">
        <v>1.75188</v>
      </c>
      <c r="BM67" s="28" t="n">
        <v>0.570815</v>
      </c>
      <c r="BN67" s="28" t="n">
        <v>0.567164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</row>
    <row r="68" ht="36" customHeight="1">
      <c r="A68" s="24" t="inlineStr">
        <is>
          <t>1ca3aac02ee1494c</t>
        </is>
      </c>
      <c r="B68" s="24" t="inlineStr">
        <is>
          <t>2026-07-20T15:44:31.508407Z</t>
        </is>
      </c>
      <c r="C68" s="24" t="inlineStr">
        <is>
          <t>2026-07-20T19:40:00-0400</t>
        </is>
      </c>
      <c r="D68" s="24" t="inlineStr">
        <is>
          <t>401816195</t>
        </is>
      </c>
      <c r="E68" s="24" t="inlineStr">
        <is>
          <t>MLB</t>
        </is>
      </c>
      <c r="F68" s="24" t="inlineStr">
        <is>
          <t>New York Mets</t>
        </is>
      </c>
      <c r="G68" s="24" t="inlineStr">
        <is>
          <t>Milwaukee Brewers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-199</v>
      </c>
      <c r="M68" s="27" t="n">
        <v>1.502513</v>
      </c>
      <c r="N68" s="28" t="n">
        <v>0.665552</v>
      </c>
      <c r="O68" s="28" t="n">
        <v>0.640995</v>
      </c>
      <c r="P68" s="28" t="n"/>
      <c r="Q68" s="28" t="n">
        <v>-0.024557</v>
      </c>
      <c r="R68" s="26" t="n">
        <v>8</v>
      </c>
      <c r="S68" s="29" t="n">
        <v>2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0.5500; executable ask 0.6650 (aec-mlb-nym-mil-2026-07-20).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mlb-nym</t>
        </is>
      </c>
      <c r="AQ68" s="24" t="inlineStr">
        <is>
          <t>New York Mets</t>
        </is>
      </c>
      <c r="AR68" s="24" t="inlineStr">
        <is>
          <t>New York Mets</t>
        </is>
      </c>
      <c r="AS68" s="24" t="inlineStr">
        <is>
          <t>mlb-mil</t>
        </is>
      </c>
      <c r="AT68" s="24" t="inlineStr">
        <is>
          <t>Milwaukee Brewers</t>
        </is>
      </c>
      <c r="AU68" s="24" t="inlineStr">
        <is>
          <t>Milwaukee Brewers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6d5f3f5e8f75cb2b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2026-07-20T15:40:46.730850Z</t>
        </is>
      </c>
      <c r="BI68" s="24" t="inlineStr">
        <is>
          <t>["same_event","same_team_same_day","same_league_same_day"]</t>
        </is>
      </c>
      <c r="BJ68" s="25" t="n"/>
      <c r="BK68" s="26" t="n">
        <v>-199</v>
      </c>
      <c r="BL68" s="27" t="n">
        <v>1.502513</v>
      </c>
      <c r="BM68" s="28" t="n">
        <v>0.665552</v>
      </c>
      <c r="BN68" s="28" t="n">
        <v>0.6616919999999999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</row>
    <row r="69" ht="36" customHeight="1">
      <c r="A69" s="24" t="inlineStr">
        <is>
          <t>8d7ca0ea971a4878</t>
        </is>
      </c>
      <c r="B69" s="24" t="inlineStr">
        <is>
          <t>2026-07-20T15:44:31.508407Z</t>
        </is>
      </c>
      <c r="C69" s="24" t="inlineStr">
        <is>
          <t>2026-07-20T19:40:00-0400</t>
        </is>
      </c>
      <c r="D69" s="24" t="inlineStr">
        <is>
          <t>401816196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Kansas City Royals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-111</v>
      </c>
      <c r="M69" s="27" t="n">
        <v>1.900901</v>
      </c>
      <c r="N69" s="28" t="n">
        <v>0.526066</v>
      </c>
      <c r="O69" s="28" t="n">
        <v>0.514213</v>
      </c>
      <c r="P69" s="28" t="n"/>
      <c r="Q69" s="28" t="n">
        <v>-0.011853</v>
      </c>
      <c r="R69" s="26" t="n">
        <v>14</v>
      </c>
      <c r="S69" s="29" t="n">
        <v>0.75</v>
      </c>
      <c r="T69" s="24" t="inlineStr">
        <is>
          <t>mlb-elo-trend-lr-v4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0.5500; executable ask 0.5250 (aec-mlb-sf-kc-2026-07-20).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mlb-kc</t>
        </is>
      </c>
      <c r="AT69" s="24" t="inlineStr">
        <is>
          <t>Kansas City Royals</t>
        </is>
      </c>
      <c r="AU69" s="24" t="inlineStr">
        <is>
          <t>Kansas City Royals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9c457d5cc4752804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2026-07-20T15:40:47.694396Z</t>
        </is>
      </c>
      <c r="BI69" s="24" t="inlineStr">
        <is>
          <t>["same_event","same_team_same_day","same_league_same_day"]</t>
        </is>
      </c>
      <c r="BJ69" s="25" t="n"/>
      <c r="BK69" s="26" t="n">
        <v>-111</v>
      </c>
      <c r="BL69" s="27" t="n">
        <v>1.900901</v>
      </c>
      <c r="BM69" s="28" t="n">
        <v>0.526066</v>
      </c>
      <c r="BN69" s="28" t="n">
        <v>0.522388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</row>
    <row r="70" ht="36" customHeight="1">
      <c r="A70" s="24" t="inlineStr">
        <is>
          <t>40fd1303ee5c40bc</t>
        </is>
      </c>
      <c r="B70" s="24" t="inlineStr">
        <is>
          <t>2026-07-20T15:44:31.508407Z</t>
        </is>
      </c>
      <c r="C70" s="24" t="inlineStr">
        <is>
          <t>2026-07-20T20:05:00-0400</t>
        </is>
      </c>
      <c r="D70" s="24" t="inlineStr">
        <is>
          <t>401816192</t>
        </is>
      </c>
      <c r="E70" s="24" t="inlineStr">
        <is>
          <t>MLB</t>
        </is>
      </c>
      <c r="F70" s="24" t="inlineStr">
        <is>
          <t>Chicago White Sox</t>
        </is>
      </c>
      <c r="G70" s="24" t="inlineStr">
        <is>
          <t>Texas Rangers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-160</v>
      </c>
      <c r="M70" s="27" t="n">
        <v>1.625</v>
      </c>
      <c r="N70" s="28" t="n">
        <v>0.615385</v>
      </c>
      <c r="O70" s="28" t="n">
        <v>0.524518</v>
      </c>
      <c r="P70" s="28" t="n"/>
      <c r="Q70" s="28" t="n">
        <v>-0.090867</v>
      </c>
      <c r="R70" s="26" t="n">
        <v>0</v>
      </c>
      <c r="S70" s="29" t="n">
        <v>0.75</v>
      </c>
      <c r="T70" s="24" t="inlineStr">
        <is>
          <t>mlb-elo-trend-lr-v4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0.5500; executable ask 0.6150 (aec-mlb-cws-tex-2026-07-20).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mlb-cws</t>
        </is>
      </c>
      <c r="AQ70" s="24" t="inlineStr">
        <is>
          <t>Chicago White Sox</t>
        </is>
      </c>
      <c r="AR70" s="24" t="inlineStr">
        <is>
          <t>Chicago White Sox</t>
        </is>
      </c>
      <c r="AS70" s="24" t="inlineStr">
        <is>
          <t>mlb-tex</t>
        </is>
      </c>
      <c r="AT70" s="24" t="inlineStr">
        <is>
          <t>Texas Rangers</t>
        </is>
      </c>
      <c r="AU70" s="24" t="inlineStr">
        <is>
          <t>Texas Rangers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87e15ff2f82f8974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2026-07-20T15:40:49.845471Z</t>
        </is>
      </c>
      <c r="BI70" s="24" t="inlineStr">
        <is>
          <t>["same_event","same_team_same_day","same_league_same_day"]</t>
        </is>
      </c>
      <c r="BJ70" s="25" t="n"/>
      <c r="BK70" s="26" t="n">
        <v>-160</v>
      </c>
      <c r="BL70" s="27" t="n">
        <v>1.625</v>
      </c>
      <c r="BM70" s="28" t="n">
        <v>0.615385</v>
      </c>
      <c r="BN70" s="28" t="n">
        <v>0.61194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</row>
    <row r="71" ht="36" customHeight="1">
      <c r="A71" s="24" t="inlineStr">
        <is>
          <t>f140b8e744fa42a4</t>
        </is>
      </c>
      <c r="B71" s="24" t="inlineStr">
        <is>
          <t>2026-07-20T15:44:31.508407Z</t>
        </is>
      </c>
      <c r="C71" s="24" t="inlineStr">
        <is>
          <t>2026-07-20T20:05:00-0400</t>
        </is>
      </c>
      <c r="D71" s="24" t="inlineStr">
        <is>
          <t>401816193</t>
        </is>
      </c>
      <c r="E71" s="24" t="inlineStr">
        <is>
          <t>MLB</t>
        </is>
      </c>
      <c r="F71" s="24" t="inlineStr">
        <is>
          <t>Detroit Tigers</t>
        </is>
      </c>
      <c r="G71" s="24" t="inlineStr">
        <is>
          <t>Chicago Cubs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-108</v>
      </c>
      <c r="M71" s="27" t="n">
        <v>1.925926</v>
      </c>
      <c r="N71" s="28" t="n">
        <v>0.519231</v>
      </c>
      <c r="O71" s="28" t="n">
        <v>0.566967</v>
      </c>
      <c r="P71" s="28" t="n"/>
      <c r="Q71" s="28" t="n">
        <v>0.047736</v>
      </c>
      <c r="R71" s="26" t="n">
        <v>44</v>
      </c>
      <c r="S71" s="29" t="n">
        <v>1.25</v>
      </c>
      <c r="T71" s="24" t="inlineStr">
        <is>
          <t>mlb-elo-trend-lr-v4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0.5500; executable ask 0.5200 (aec-mlb-det-chc-2026-07-20).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mlb-det</t>
        </is>
      </c>
      <c r="AQ71" s="24" t="inlineStr">
        <is>
          <t>Detroit Tigers</t>
        </is>
      </c>
      <c r="AR71" s="24" t="inlineStr">
        <is>
          <t>Detroit Tigers</t>
        </is>
      </c>
      <c r="AS71" s="24" t="inlineStr">
        <is>
          <t>mlb-chc</t>
        </is>
      </c>
      <c r="AT71" s="24" t="inlineStr">
        <is>
          <t>Chicago Cubs</t>
        </is>
      </c>
      <c r="AU71" s="24" t="inlineStr">
        <is>
          <t>Chicago Cubs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learned_lr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b84afb2c70e14d93</t>
        </is>
      </c>
      <c r="BF71" s="24" t="inlineStr">
        <is>
          <t>1</t>
        </is>
      </c>
      <c r="BG71" s="24" t="inlineStr">
        <is>
          <t>mlb-elo-trend-lr-v4</t>
        </is>
      </c>
      <c r="BH71" s="24" t="inlineStr">
        <is>
          <t>2026-07-20T15:40:51.564498Z</t>
        </is>
      </c>
      <c r="BI71" s="24" t="inlineStr">
        <is>
          <t>["same_event","same_team_same_day","same_league_same_day"]</t>
        </is>
      </c>
      <c r="BJ71" s="25" t="n"/>
      <c r="BK71" s="26" t="n">
        <v>-108</v>
      </c>
      <c r="BL71" s="27" t="n">
        <v>1.925926</v>
      </c>
      <c r="BM71" s="28" t="n">
        <v>0.519231</v>
      </c>
      <c r="BN71" s="28" t="n">
        <v>0.5148509999999999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</row>
    <row r="72" ht="36" customHeight="1">
      <c r="A72" s="24" t="inlineStr">
        <is>
          <t>e2d3732e917242c3</t>
        </is>
      </c>
      <c r="B72" s="24" t="inlineStr">
        <is>
          <t>2026-07-20T15:44:31.508407Z</t>
        </is>
      </c>
      <c r="C72" s="24" t="inlineStr">
        <is>
          <t>2026-07-20T20:10:00-0400</t>
        </is>
      </c>
      <c r="D72" s="24" t="inlineStr">
        <is>
          <t>401816194</t>
        </is>
      </c>
      <c r="E72" s="24" t="inlineStr">
        <is>
          <t>MLB</t>
        </is>
      </c>
      <c r="F72" s="24" t="inlineStr">
        <is>
          <t>Miami Marlins</t>
        </is>
      </c>
      <c r="G72" s="24" t="inlineStr">
        <is>
          <t>Houston Astros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-115</v>
      </c>
      <c r="M72" s="27" t="n">
        <v>1.869565</v>
      </c>
      <c r="N72" s="28" t="n">
        <v>0.534884</v>
      </c>
      <c r="O72" s="28" t="n">
        <v>0.512555</v>
      </c>
      <c r="P72" s="28" t="n"/>
      <c r="Q72" s="28" t="n">
        <v>-0.022329</v>
      </c>
      <c r="R72" s="26" t="n">
        <v>9</v>
      </c>
      <c r="S72" s="29" t="n">
        <v>0.75</v>
      </c>
      <c r="T72" s="24" t="inlineStr">
        <is>
          <t>mlb-elo-trend-lr-v4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Learned LR call at threshold 0.5500; executable ask 0.5350 (aec-mlb-mia-hou-2026-07-20).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mlb-mia</t>
        </is>
      </c>
      <c r="AQ72" s="24" t="inlineStr">
        <is>
          <t>Miami Marlins</t>
        </is>
      </c>
      <c r="AR72" s="24" t="inlineStr">
        <is>
          <t>Miami Marlins</t>
        </is>
      </c>
      <c r="AS72" s="24" t="inlineStr">
        <is>
          <t>mlb-hou</t>
        </is>
      </c>
      <c r="AT72" s="24" t="inlineStr">
        <is>
          <t>Houston Astros</t>
        </is>
      </c>
      <c r="AU72" s="24" t="inlineStr">
        <is>
          <t>Houston Astros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5224fb6ffbc9ddf8fa517627b830ac851192da94d241963d556945393a42bb9d</t>
        </is>
      </c>
      <c r="BB72" s="24" t="inlineStr">
        <is>
          <t>learned_lr</t>
        </is>
      </c>
      <c r="BC72" s="24" t="inlineStr">
        <is>
          <t>mlb-elo-trend-lr-v4</t>
        </is>
      </c>
      <c r="BD72" s="24" t="inlineStr">
        <is>
          <t>5224fb6ffbc9ddf8fa517627b830ac851192da94d241963d556945393a42bb9d</t>
        </is>
      </c>
      <c r="BE72" s="24" t="inlineStr">
        <is>
          <t>ba8ef6f8648f77b7</t>
        </is>
      </c>
      <c r="BF72" s="24" t="inlineStr">
        <is>
          <t>1</t>
        </is>
      </c>
      <c r="BG72" s="24" t="inlineStr">
        <is>
          <t>mlb-elo-trend-lr-v4</t>
        </is>
      </c>
      <c r="BH72" s="24" t="inlineStr">
        <is>
          <t>2026-07-20T15:40:52.975565Z</t>
        </is>
      </c>
      <c r="BI72" s="24" t="inlineStr">
        <is>
          <t>["same_event","same_team_same_day","same_league_same_day"]</t>
        </is>
      </c>
      <c r="BJ72" s="25" t="n"/>
      <c r="BK72" s="26" t="n">
        <v>-115</v>
      </c>
      <c r="BL72" s="27" t="n">
        <v>1.869565</v>
      </c>
      <c r="BM72" s="28" t="n">
        <v>0.534884</v>
      </c>
      <c r="BN72" s="28" t="n">
        <v>0.532338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</row>
    <row r="73" ht="36" customHeight="1">
      <c r="A73" s="24" t="inlineStr">
        <is>
          <t>7088516dc8f442f0</t>
        </is>
      </c>
      <c r="B73" s="24" t="inlineStr">
        <is>
          <t>2026-07-20T15:44:31.508407Z</t>
        </is>
      </c>
      <c r="C73" s="24" t="inlineStr">
        <is>
          <t>2026-07-20T20:40:00-0400</t>
        </is>
      </c>
      <c r="D73" s="24" t="inlineStr">
        <is>
          <t>401816197</t>
        </is>
      </c>
      <c r="E73" s="24" t="inlineStr">
        <is>
          <t>MLB</t>
        </is>
      </c>
      <c r="F73" s="24" t="inlineStr">
        <is>
          <t>Washington Nationals</t>
        </is>
      </c>
      <c r="G73" s="24" t="inlineStr">
        <is>
          <t>Colorado Rockies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-117</v>
      </c>
      <c r="M73" s="27" t="n">
        <v>1.854701</v>
      </c>
      <c r="N73" s="28" t="n">
        <v>0.539171</v>
      </c>
      <c r="O73" s="28" t="n">
        <v>0.5563709999999999</v>
      </c>
      <c r="P73" s="28" t="n"/>
      <c r="Q73" s="28" t="n">
        <v>0.0172</v>
      </c>
      <c r="R73" s="26" t="n">
        <v>29</v>
      </c>
      <c r="S73" s="29" t="n">
        <v>1</v>
      </c>
      <c r="T73" s="24" t="inlineStr">
        <is>
          <t>mlb-elo-trend-lr-v4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Learned LR call at threshold 0.5500; executable ask 0.5400 (aec-mlb-wsh-col-2026-07-20).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mlb-wsh</t>
        </is>
      </c>
      <c r="AQ73" s="24" t="inlineStr">
        <is>
          <t>Washington Nationals</t>
        </is>
      </c>
      <c r="AR73" s="24" t="inlineStr">
        <is>
          <t>Washington Nationals</t>
        </is>
      </c>
      <c r="AS73" s="24" t="inlineStr">
        <is>
          <t>mlb-col</t>
        </is>
      </c>
      <c r="AT73" s="24" t="inlineStr">
        <is>
          <t>Colorado Rockies</t>
        </is>
      </c>
      <c r="AU73" s="24" t="inlineStr">
        <is>
          <t>Colorado Rockies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5224fb6ffbc9ddf8fa517627b830ac851192da94d241963d556945393a42bb9d</t>
        </is>
      </c>
      <c r="BB73" s="24" t="inlineStr">
        <is>
          <t>learned_lr</t>
        </is>
      </c>
      <c r="BC73" s="24" t="inlineStr">
        <is>
          <t>mlb-elo-trend-lr-v4</t>
        </is>
      </c>
      <c r="BD73" s="24" t="inlineStr">
        <is>
          <t>5224fb6ffbc9ddf8fa517627b830ac851192da94d241963d556945393a42bb9d</t>
        </is>
      </c>
      <c r="BE73" s="24" t="inlineStr">
        <is>
          <t>a2f336c1cee8c92e</t>
        </is>
      </c>
      <c r="BF73" s="24" t="inlineStr">
        <is>
          <t>1</t>
        </is>
      </c>
      <c r="BG73" s="24" t="inlineStr">
        <is>
          <t>mlb-elo-trend-lr-v4</t>
        </is>
      </c>
      <c r="BH73" s="24" t="inlineStr">
        <is>
          <t>2026-07-20T15:40:55.296261Z</t>
        </is>
      </c>
      <c r="BI73" s="24" t="inlineStr">
        <is>
          <t>["same_event","same_team_same_day","same_league_same_day"]</t>
        </is>
      </c>
      <c r="BJ73" s="25" t="n"/>
      <c r="BK73" s="26" t="n">
        <v>-117</v>
      </c>
      <c r="BL73" s="27" t="n">
        <v>1.854701</v>
      </c>
      <c r="BM73" s="28" t="n">
        <v>0.539171</v>
      </c>
      <c r="BN73" s="28" t="n">
        <v>0.537313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</row>
    <row r="74" ht="36" customHeight="1">
      <c r="A74" s="24" t="inlineStr">
        <is>
          <t>cbd07a2b3b254a5a</t>
        </is>
      </c>
      <c r="B74" s="24" t="inlineStr">
        <is>
          <t>2026-07-20T15:44:31.508407Z</t>
        </is>
      </c>
      <c r="C74" s="24" t="inlineStr">
        <is>
          <t>2026-07-20T21:40:00-0400</t>
        </is>
      </c>
      <c r="D74" s="24" t="inlineStr">
        <is>
          <t>401816198</t>
        </is>
      </c>
      <c r="E74" s="24" t="inlineStr">
        <is>
          <t>MLB</t>
        </is>
      </c>
      <c r="F74" s="24" t="inlineStr">
        <is>
          <t>Athletics</t>
        </is>
      </c>
      <c r="G74" s="24" t="inlineStr">
        <is>
          <t>Arizona Diamondbacks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-144</v>
      </c>
      <c r="M74" s="27" t="n">
        <v>1.694444</v>
      </c>
      <c r="N74" s="28" t="n">
        <v>0.590164</v>
      </c>
      <c r="O74" s="28" t="n">
        <v>0.58189</v>
      </c>
      <c r="P74" s="28" t="n"/>
      <c r="Q74" s="28" t="n">
        <v>-0.008274</v>
      </c>
      <c r="R74" s="26" t="n">
        <v>16</v>
      </c>
      <c r="S74" s="29" t="n">
        <v>1.25</v>
      </c>
      <c r="T74" s="24" t="inlineStr">
        <is>
          <t>mlb-elo-trend-lr-v4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Learned LR call at threshold 0.5500; executable ask 0.5900 (aec-mlb-ath-az-2026-07-20).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mlb-ath</t>
        </is>
      </c>
      <c r="AQ74" s="24" t="inlineStr">
        <is>
          <t>Athletics</t>
        </is>
      </c>
      <c r="AR74" s="24" t="inlineStr">
        <is>
          <t>Athletics</t>
        </is>
      </c>
      <c r="AS74" s="24" t="inlineStr">
        <is>
          <t>mlb-ari</t>
        </is>
      </c>
      <c r="AT74" s="24" t="inlineStr">
        <is>
          <t>Arizona Diamondbacks</t>
        </is>
      </c>
      <c r="AU74" s="24" t="inlineStr">
        <is>
          <t>Arizona Diamondbacks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learned_lr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7b682aa5da86e2a4</t>
        </is>
      </c>
      <c r="BF74" s="24" t="inlineStr">
        <is>
          <t>1</t>
        </is>
      </c>
      <c r="BG74" s="24" t="inlineStr">
        <is>
          <t>mlb-elo-trend-lr-v4</t>
        </is>
      </c>
      <c r="BH74" s="24" t="inlineStr">
        <is>
          <t>2026-07-20T15:40:57.666402Z</t>
        </is>
      </c>
      <c r="BI74" s="24" t="inlineStr">
        <is>
          <t>["same_event","same_team_same_day","same_league_same_day"]</t>
        </is>
      </c>
      <c r="BJ74" s="25" t="n"/>
      <c r="BK74" s="26" t="n">
        <v>-144</v>
      </c>
      <c r="BL74" s="27" t="n">
        <v>1.694444</v>
      </c>
      <c r="BM74" s="28" t="n">
        <v>0.590164</v>
      </c>
      <c r="BN74" s="28" t="n">
        <v>0.5870649999999999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</row>
    <row r="75" ht="36" customHeight="1">
      <c r="A75" s="24" t="inlineStr">
        <is>
          <t>3f1ba5855ae540e0</t>
        </is>
      </c>
      <c r="B75" s="24" t="inlineStr">
        <is>
          <t>2026-07-20T15:44:31.508407Z</t>
        </is>
      </c>
      <c r="C75" s="24" t="inlineStr">
        <is>
          <t>2026-07-20T21:40:00-0400</t>
        </is>
      </c>
      <c r="D75" s="24" t="inlineStr">
        <is>
          <t>401816199</t>
        </is>
      </c>
      <c r="E75" s="24" t="inlineStr">
        <is>
          <t>MLB</t>
        </is>
      </c>
      <c r="F75" s="24" t="inlineStr">
        <is>
          <t>Cincinnati Reds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-141</v>
      </c>
      <c r="M75" s="27" t="n">
        <v>1.70922</v>
      </c>
      <c r="N75" s="28" t="n">
        <v>0.585062</v>
      </c>
      <c r="O75" s="28" t="n">
        <v>0.592852</v>
      </c>
      <c r="P75" s="28" t="n"/>
      <c r="Q75" s="28" t="n">
        <v>0.00779</v>
      </c>
      <c r="R75" s="26" t="n">
        <v>24</v>
      </c>
      <c r="S75" s="29" t="n">
        <v>1.5</v>
      </c>
      <c r="T75" s="24" t="inlineStr">
        <is>
          <t>mlb-elo-trend-lr-v4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0.5500; executable ask 0.5850 (aec-mlb-cin-sea-2026-07-20).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mlb-cin</t>
        </is>
      </c>
      <c r="AQ75" s="24" t="inlineStr">
        <is>
          <t>Cincinnati Reds</t>
        </is>
      </c>
      <c r="AR75" s="24" t="inlineStr">
        <is>
          <t>Cincinnati Reds</t>
        </is>
      </c>
      <c r="AS75" s="24" t="inlineStr">
        <is>
          <t>mlb-sea</t>
        </is>
      </c>
      <c r="AT75" s="24" t="inlineStr">
        <is>
          <t>Seattle Mariners</t>
        </is>
      </c>
      <c r="AU75" s="24" t="inlineStr">
        <is>
          <t>Seattle Mariners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learned_lr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af7ccafcacf69681</t>
        </is>
      </c>
      <c r="BF75" s="24" t="inlineStr">
        <is>
          <t>1</t>
        </is>
      </c>
      <c r="BG75" s="24" t="inlineStr">
        <is>
          <t>mlb-elo-trend-lr-v4</t>
        </is>
      </c>
      <c r="BH75" s="24" t="inlineStr">
        <is>
          <t>2026-07-20T15:40:58.875708Z</t>
        </is>
      </c>
      <c r="BI75" s="24" t="inlineStr">
        <is>
          <t>["same_event","same_team_same_day","same_league_same_day"]</t>
        </is>
      </c>
      <c r="BJ75" s="25" t="n"/>
      <c r="BK75" s="26" t="n">
        <v>-141</v>
      </c>
      <c r="BL75" s="27" t="n">
        <v>1.70922</v>
      </c>
      <c r="BM75" s="28" t="n">
        <v>0.585062</v>
      </c>
      <c r="BN75" s="28" t="n">
        <v>0.58209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</row>
    <row r="76" ht="36" customHeight="1">
      <c r="A76" s="24" t="inlineStr">
        <is>
          <t>2bd291e543c748bf</t>
        </is>
      </c>
      <c r="B76" s="24" t="inlineStr">
        <is>
          <t>2026-07-20T15:44:31.508407Z</t>
        </is>
      </c>
      <c r="C76" s="24" t="inlineStr">
        <is>
          <t>2026-07-20T22:00:00-0400</t>
        </is>
      </c>
      <c r="D76" s="24" t="inlineStr">
        <is>
          <t>401816200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102</v>
      </c>
      <c r="M76" s="27" t="n">
        <v>2.02</v>
      </c>
      <c r="N76" s="28" t="n">
        <v>0.49505</v>
      </c>
      <c r="O76" s="28" t="n">
        <v>0.52919</v>
      </c>
      <c r="P76" s="28" t="n"/>
      <c r="Q76" s="28" t="n">
        <v>0.03414</v>
      </c>
      <c r="R76" s="26" t="n">
        <v>37</v>
      </c>
      <c r="S76" s="29" t="n">
        <v>0.75</v>
      </c>
      <c r="T76" s="24" t="inlineStr">
        <is>
          <t>mlb-elo-trend-lr-v4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0.5500; executable ask 0.4950 (aec-mlb-stl-laa-2026-07-20).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mlb-stl</t>
        </is>
      </c>
      <c r="AQ76" s="24" t="inlineStr">
        <is>
          <t>St. Louis Cardinals</t>
        </is>
      </c>
      <c r="AR76" s="24" t="inlineStr">
        <is>
          <t>St. Louis Cardinals</t>
        </is>
      </c>
      <c r="AS76" s="24" t="inlineStr">
        <is>
          <t>mlb-laa</t>
        </is>
      </c>
      <c r="AT76" s="24" t="inlineStr">
        <is>
          <t>Los Angeles Angels</t>
        </is>
      </c>
      <c r="AU76" s="24" t="inlineStr">
        <is>
          <t>Los Angeles Angels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learned_lr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e8de503e18ea775f</t>
        </is>
      </c>
      <c r="BF76" s="24" t="inlineStr">
        <is>
          <t>1</t>
        </is>
      </c>
      <c r="BG76" s="24" t="inlineStr">
        <is>
          <t>mlb-elo-trend-lr-v4</t>
        </is>
      </c>
      <c r="BH76" s="24" t="inlineStr">
        <is>
          <t>2026-07-20T15:40:59.475543Z</t>
        </is>
      </c>
      <c r="BI76" s="24" t="inlineStr">
        <is>
          <t>["same_event","same_team_same_day","same_league_same_day"]</t>
        </is>
      </c>
      <c r="BJ76" s="25" t="n"/>
      <c r="BK76" s="26" t="n">
        <v>102</v>
      </c>
      <c r="BL76" s="27" t="n">
        <v>2.02</v>
      </c>
      <c r="BM76" s="28" t="n">
        <v>0.49505</v>
      </c>
      <c r="BN76" s="28" t="n">
        <v>0.492537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</row>
    <row r="77" ht="36" customHeight="1">
      <c r="A77" s="24" t="inlineStr">
        <is>
          <t>4f41d18dabd545ca</t>
        </is>
      </c>
      <c r="B77" s="24" t="inlineStr">
        <is>
          <t>2026-07-20T15:44:38.792804Z</t>
        </is>
      </c>
      <c r="C77" s="24" t="inlineStr">
        <is>
          <t>2026-07-20T20:00:00-0400</t>
        </is>
      </c>
      <c r="D77" s="24" t="inlineStr">
        <is>
          <t>401857083</t>
        </is>
      </c>
      <c r="E77" s="24" t="inlineStr">
        <is>
          <t>WNBA</t>
        </is>
      </c>
      <c r="F77" s="24" t="inlineStr">
        <is>
          <t>Las Vegas Aces</t>
        </is>
      </c>
      <c r="G77" s="24" t="inlineStr">
        <is>
          <t>Toronto Tempo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-488</v>
      </c>
      <c r="M77" s="27" t="n">
        <v>1.204918</v>
      </c>
      <c r="N77" s="28" t="n">
        <v>0.829932</v>
      </c>
      <c r="O77" s="28" t="n">
        <v>0.6572210000000001</v>
      </c>
      <c r="P77" s="28" t="n"/>
      <c r="Q77" s="28" t="n">
        <v>-0.172711</v>
      </c>
      <c r="R77" s="26" t="n">
        <v>0</v>
      </c>
      <c r="S77" s="29" t="n">
        <v>2</v>
      </c>
      <c r="T77" s="24" t="inlineStr">
        <is>
          <t>wnba-elo-trend-lr-v3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0.5051; executable ask 0.8300 (aec-wnba-lv-tor-2026-07-20).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wnba-lva</t>
        </is>
      </c>
      <c r="AQ77" s="24" t="inlineStr">
        <is>
          <t>Las Vegas Aces</t>
        </is>
      </c>
      <c r="AR77" s="24" t="inlineStr">
        <is>
          <t>Las Vegas Aces</t>
        </is>
      </c>
      <c r="AS77" s="24" t="inlineStr">
        <is>
          <t>wnba-tor</t>
        </is>
      </c>
      <c r="AT77" s="24" t="inlineStr">
        <is>
          <t>Toronto Tempo</t>
        </is>
      </c>
      <c r="AU77" s="24" t="inlineStr">
        <is>
          <t>Toronto Tempo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43ee2f84f025c10f83f80a8c22d49c35c420734a8a730b5f272287225cceee4b</t>
        </is>
      </c>
      <c r="BB77" s="24" t="inlineStr">
        <is>
          <t>learned_lr</t>
        </is>
      </c>
      <c r="BC77" s="24" t="inlineStr">
        <is>
          <t>wnba-elo-trend-lr-v3</t>
        </is>
      </c>
      <c r="BD77" s="24" t="inlineStr">
        <is>
          <t>43ee2f84f025c10f83f80a8c22d49c35c420734a8a730b5f272287225cceee4b</t>
        </is>
      </c>
      <c r="BE77" s="24" t="inlineStr">
        <is>
          <t>32740a9f4976946d</t>
        </is>
      </c>
      <c r="BF77" s="24" t="inlineStr">
        <is>
          <t>1</t>
        </is>
      </c>
      <c r="BG77" s="24" t="inlineStr">
        <is>
          <t>wnba-elo-trend-lr-v3</t>
        </is>
      </c>
      <c r="BH77" s="24" t="inlineStr">
        <is>
          <t>2026-07-20T15:41:02.063056Z</t>
        </is>
      </c>
      <c r="BI77" s="24" t="inlineStr">
        <is>
          <t>["same_event","same_team_same_day","same_league_same_day"]</t>
        </is>
      </c>
      <c r="BJ77" s="25" t="n"/>
      <c r="BK77" s="26" t="n">
        <v>-488</v>
      </c>
      <c r="BL77" s="27" t="n">
        <v>1.204918</v>
      </c>
      <c r="BM77" s="28" t="n">
        <v>0.829932</v>
      </c>
      <c r="BN77" s="28" t="n">
        <v>0.821782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</row>
    <row r="78" ht="36" customHeight="1">
      <c r="A78" s="24" t="inlineStr">
        <is>
          <t>bf6f6152e282469c</t>
        </is>
      </c>
      <c r="B78" s="24" t="inlineStr">
        <is>
          <t>2026-07-20T15:44:38.792804Z</t>
        </is>
      </c>
      <c r="C78" s="24" t="inlineStr">
        <is>
          <t>2026-07-20T20:00:00-0400</t>
        </is>
      </c>
      <c r="D78" s="24" t="inlineStr">
        <is>
          <t>401892393</t>
        </is>
      </c>
      <c r="E78" s="24" t="inlineStr">
        <is>
          <t>WNBA</t>
        </is>
      </c>
      <c r="F78" s="24" t="inlineStr">
        <is>
          <t>New York Liberty</t>
        </is>
      </c>
      <c r="G78" s="24" t="inlineStr">
        <is>
          <t>Dallas Wings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0.688998</v>
      </c>
      <c r="P78" s="28" t="n"/>
      <c r="Q78" s="28" t="n">
        <v>0.288998</v>
      </c>
      <c r="R78" s="26" t="n">
        <v>100</v>
      </c>
      <c r="S78" s="29" t="n">
        <v>2</v>
      </c>
      <c r="T78" s="24" t="inlineStr">
        <is>
          <t>wnba-elo-trend-lr-v3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0.5051; executable ask 0.4000 (aec-wnba-ny-dal-2026-07-20).</t>
        </is>
      </c>
      <c r="AF78" s="31" t="inlineStr">
        <is>
          <t>Learned model; promotion gate not yet open; zero-unit research until review.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wnba-nyl</t>
        </is>
      </c>
      <c r="AQ78" s="24" t="inlineStr">
        <is>
          <t>New York Liberty</t>
        </is>
      </c>
      <c r="AR78" s="24" t="inlineStr">
        <is>
          <t>New York Liberty</t>
        </is>
      </c>
      <c r="AS78" s="24" t="inlineStr">
        <is>
          <t>wnba-dal</t>
        </is>
      </c>
      <c r="AT78" s="24" t="inlineStr">
        <is>
          <t>Dallas Wings</t>
        </is>
      </c>
      <c r="AU78" s="24" t="inlineStr">
        <is>
          <t>Dallas Wings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43ee2f84f025c10f83f80a8c22d49c35c420734a8a730b5f272287225cceee4b</t>
        </is>
      </c>
      <c r="BB78" s="24" t="inlineStr">
        <is>
          <t>learned_lr</t>
        </is>
      </c>
      <c r="BC78" s="24" t="inlineStr">
        <is>
          <t>wnba-elo-trend-lr-v3</t>
        </is>
      </c>
      <c r="BD78" s="24" t="inlineStr">
        <is>
          <t>43ee2f84f025c10f83f80a8c22d49c35c420734a8a730b5f272287225cceee4b</t>
        </is>
      </c>
      <c r="BE78" s="24" t="inlineStr">
        <is>
          <t>c20bbb99f1fff741</t>
        </is>
      </c>
      <c r="BF78" s="24" t="inlineStr">
        <is>
          <t>1</t>
        </is>
      </c>
      <c r="BG78" s="24" t="inlineStr">
        <is>
          <t>wnba-elo-trend-lr-v3</t>
        </is>
      </c>
      <c r="BH78" s="24" t="inlineStr">
        <is>
          <t>2026-07-20T15:41:03.863692Z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>
        <v>0.39604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</row>
    <row r="79" ht="36" customHeight="1">
      <c r="A79" s="24" t="inlineStr">
        <is>
          <t>afaf853c69284bb6</t>
        </is>
      </c>
      <c r="B79" s="24" t="inlineStr">
        <is>
          <t>2026-07-20T15:44:38.792804Z</t>
        </is>
      </c>
      <c r="C79" s="24" t="inlineStr">
        <is>
          <t>2026-07-20T22:00:00-0400</t>
        </is>
      </c>
      <c r="D79" s="24" t="inlineStr">
        <is>
          <t>401857084</t>
        </is>
      </c>
      <c r="E79" s="24" t="inlineStr">
        <is>
          <t>WNBA</t>
        </is>
      </c>
      <c r="F79" s="24" t="inlineStr">
        <is>
          <t>Washington Mystics</t>
        </is>
      </c>
      <c r="G79" s="24" t="inlineStr">
        <is>
          <t>Golden State Valkyries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-317</v>
      </c>
      <c r="M79" s="27" t="n">
        <v>1.315457</v>
      </c>
      <c r="N79" s="28" t="n">
        <v>0.760192</v>
      </c>
      <c r="O79" s="28" t="n">
        <v>0.750463</v>
      </c>
      <c r="P79" s="28" t="n"/>
      <c r="Q79" s="28" t="n">
        <v>-0.009729</v>
      </c>
      <c r="R79" s="26" t="n">
        <v>15</v>
      </c>
      <c r="S79" s="29" t="n">
        <v>2</v>
      </c>
      <c r="T79" s="24" t="inlineStr">
        <is>
          <t>wnba-elo-trend-lr-v3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0.5051; executable ask 0.7600 (aec-wnba-wsh-gsv-2026-07-20).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wnba-was</t>
        </is>
      </c>
      <c r="AQ79" s="24" t="inlineStr">
        <is>
          <t>Washington Mystics</t>
        </is>
      </c>
      <c r="AR79" s="24" t="inlineStr">
        <is>
          <t>Washington Mystics</t>
        </is>
      </c>
      <c r="AS79" s="24" t="inlineStr">
        <is>
          <t>wnba-gsv</t>
        </is>
      </c>
      <c r="AT79" s="24" t="inlineStr">
        <is>
          <t>Golden State Valkyries</t>
        </is>
      </c>
      <c r="AU79" s="24" t="inlineStr">
        <is>
          <t>Golden State Valkyries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43ee2f84f025c10f83f80a8c22d49c35c420734a8a730b5f272287225cceee4b</t>
        </is>
      </c>
      <c r="BB79" s="24" t="inlineStr">
        <is>
          <t>learned_lr</t>
        </is>
      </c>
      <c r="BC79" s="24" t="inlineStr">
        <is>
          <t>wnba-elo-trend-lr-v3</t>
        </is>
      </c>
      <c r="BD79" s="24" t="inlineStr">
        <is>
          <t>43ee2f84f025c10f83f80a8c22d49c35c420734a8a730b5f272287225cceee4b</t>
        </is>
      </c>
      <c r="BE79" s="24" t="inlineStr">
        <is>
          <t>a82314f65618b567</t>
        </is>
      </c>
      <c r="BF79" s="24" t="inlineStr">
        <is>
          <t>1</t>
        </is>
      </c>
      <c r="BG79" s="24" t="inlineStr">
        <is>
          <t>wnba-elo-trend-lr-v3</t>
        </is>
      </c>
      <c r="BH79" s="24" t="inlineStr">
        <is>
          <t>2026-07-20T15:41:06.249047Z</t>
        </is>
      </c>
      <c r="BI79" s="24" t="inlineStr">
        <is>
          <t>["same_event","same_team_same_day","same_league_same_day"]</t>
        </is>
      </c>
      <c r="BJ79" s="25" t="n"/>
      <c r="BK79" s="26" t="n">
        <v>-317</v>
      </c>
      <c r="BL79" s="27" t="n">
        <v>1.315457</v>
      </c>
      <c r="BM79" s="28" t="n">
        <v>0.760192</v>
      </c>
      <c r="BN79" s="28" t="n">
        <v>0.752475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</row>
    <row r="80" ht="36" customHeight="1">
      <c r="A80" s="24" t="inlineStr">
        <is>
          <t>23aad3907b4640b1</t>
        </is>
      </c>
      <c r="B80" s="24" t="inlineStr">
        <is>
          <t>2026-07-20T15:44:38.792804Z</t>
        </is>
      </c>
      <c r="C80" s="24" t="inlineStr">
        <is>
          <t>2026-07-20T22:00:00-0400</t>
        </is>
      </c>
      <c r="D80" s="24" t="inlineStr">
        <is>
          <t>401857085</t>
        </is>
      </c>
      <c r="E80" s="24" t="inlineStr">
        <is>
          <t>WNBA</t>
        </is>
      </c>
      <c r="F80" s="24" t="inlineStr">
        <is>
          <t>Minnesota Lynx</t>
        </is>
      </c>
      <c r="G80" s="24" t="inlineStr">
        <is>
          <t>Seattle Storm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-456</v>
      </c>
      <c r="M80" s="27" t="n">
        <v>1.219298</v>
      </c>
      <c r="N80" s="28" t="n">
        <v>0.820144</v>
      </c>
      <c r="O80" s="28" t="n">
        <v>0.738843</v>
      </c>
      <c r="P80" s="28" t="n"/>
      <c r="Q80" s="28" t="n">
        <v>-0.081301</v>
      </c>
      <c r="R80" s="26" t="n">
        <v>0</v>
      </c>
      <c r="S80" s="29" t="n">
        <v>2</v>
      </c>
      <c r="T80" s="24" t="inlineStr">
        <is>
          <t>wnba-elo-trend-lr-v3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0.5051; executable ask 0.8200 (aec-wnba-min-sea-2026-07-20).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wnba-min</t>
        </is>
      </c>
      <c r="AQ80" s="24" t="inlineStr">
        <is>
          <t>Minnesota Lynx</t>
        </is>
      </c>
      <c r="AR80" s="24" t="inlineStr">
        <is>
          <t>Minnesota Lynx</t>
        </is>
      </c>
      <c r="AS80" s="24" t="inlineStr">
        <is>
          <t>wnba-sea</t>
        </is>
      </c>
      <c r="AT80" s="24" t="inlineStr">
        <is>
          <t>Seattle Storm</t>
        </is>
      </c>
      <c r="AU80" s="24" t="inlineStr">
        <is>
          <t>Seattle Storm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43ee2f84f025c10f83f80a8c22d49c35c420734a8a730b5f272287225cceee4b</t>
        </is>
      </c>
      <c r="BB80" s="24" t="inlineStr">
        <is>
          <t>learned_lr</t>
        </is>
      </c>
      <c r="BC80" s="24" t="inlineStr">
        <is>
          <t>wnba-elo-trend-lr-v3</t>
        </is>
      </c>
      <c r="BD80" s="24" t="inlineStr">
        <is>
          <t>43ee2f84f025c10f83f80a8c22d49c35c420734a8a730b5f272287225cceee4b</t>
        </is>
      </c>
      <c r="BE80" s="24" t="inlineStr">
        <is>
          <t>c7928758cc04b6e5</t>
        </is>
      </c>
      <c r="BF80" s="24" t="inlineStr">
        <is>
          <t>1</t>
        </is>
      </c>
      <c r="BG80" s="24" t="inlineStr">
        <is>
          <t>wnba-elo-trend-lr-v3</t>
        </is>
      </c>
      <c r="BH80" s="24" t="inlineStr">
        <is>
          <t>2026-07-20T15:41:07.394583Z</t>
        </is>
      </c>
      <c r="BI80" s="24" t="inlineStr">
        <is>
          <t>["same_event","same_team_same_day","same_league_same_day"]</t>
        </is>
      </c>
      <c r="BJ80" s="25" t="n"/>
      <c r="BK80" s="26" t="n">
        <v>-456</v>
      </c>
      <c r="BL80" s="27" t="n">
        <v>1.219298</v>
      </c>
      <c r="BM80" s="28" t="n">
        <v>0.820144</v>
      </c>
      <c r="BN80" s="28" t="n">
        <v>0.811881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</row>
    <row r="81" ht="36" customHeight="1">
      <c r="A81" s="24" t="inlineStr">
        <is>
          <t>5b6cb66aed1b43a7</t>
        </is>
      </c>
      <c r="B81" s="24" t="inlineStr">
        <is>
          <t>2026-07-20T16:18:04.119469Z</t>
        </is>
      </c>
      <c r="C81" s="24" t="inlineStr">
        <is>
          <t>2026-07-20T20:00:00Z</t>
        </is>
      </c>
      <c r="D81" s="24" t="inlineStr">
        <is>
          <t>54491</t>
        </is>
      </c>
      <c r="E81" s="24" t="inlineStr">
        <is>
          <t>LOL</t>
        </is>
      </c>
      <c r="F81" s="24" t="inlineStr">
        <is>
          <t>KaBuM! Ilha das Lendas</t>
        </is>
      </c>
      <c r="G81" s="24" t="inlineStr">
        <is>
          <t>Vivo Keyd Stars Academy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144</v>
      </c>
      <c r="M81" s="27" t="n">
        <v>2.44</v>
      </c>
      <c r="N81" s="28" t="n">
        <v>0.409836</v>
      </c>
      <c r="O81" s="28" t="n">
        <v>0.555003</v>
      </c>
      <c r="P81" s="28" t="n"/>
      <c r="Q81" s="28" t="n">
        <v>0.145003</v>
      </c>
      <c r="R81" s="26" t="n">
        <v>100</v>
      </c>
      <c r="S81" s="29" t="n">
        <v>1</v>
      </c>
      <c r="T81" s="24" t="inlineStr">
        <is>
          <t>lol-neutral-series-elo-v1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0.4100 (aec-lol-vksa-kbm-2026-07-20).</t>
        </is>
      </c>
      <c r="AF81" s="31" t="inlineStr">
        <is>
          <t>Research baseline; zero-unit shadow until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KaBuM! Ilha das Lendas</t>
        </is>
      </c>
      <c r="AQ81" s="24" t="inlineStr">
        <is>
          <t>KaBuM! Ilha das Lendas</t>
        </is>
      </c>
      <c r="AR81" s="24" t="inlineStr">
        <is>
          <t>KaBuM! Ilha das Lendas</t>
        </is>
      </c>
      <c r="AS81" s="24" t="inlineStr">
        <is>
          <t>Vivo Keyd Stars Academy</t>
        </is>
      </c>
      <c r="AT81" s="24" t="inlineStr">
        <is>
          <t>Vivo Keyd Stars Academy</t>
        </is>
      </c>
      <c r="AU81" s="24" t="inlineStr">
        <is>
          <t>Vivo Keyd Stars Academy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1f56359bf30bb6d51629a345226e3008ebfe73210551f6db9f5ce09f656ffdd6</t>
        </is>
      </c>
      <c r="BB81" s="24" t="inlineStr">
        <is>
          <t>neutral_elo</t>
        </is>
      </c>
      <c r="BC81" s="24" t="inlineStr">
        <is>
          <t>lol-neutral-series-elo-v1</t>
        </is>
      </c>
      <c r="BD81" s="24" t="inlineStr">
        <is>
          <t>1f56359bf30bb6d51629a345226e3008ebfe73210551f6db9f5ce09f656ffdd6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unknown</t>
        </is>
      </c>
      <c r="BH81" s="24" t="inlineStr">
        <is>
          <t>2026-07-20T16:18:04.119469Z</t>
        </is>
      </c>
      <c r="BI81" s="24" t="inlineStr">
        <is>
          <t>["same_event","same_team_same_day","same_league_same_day"]</t>
        </is>
      </c>
      <c r="BJ81" s="25" t="n"/>
      <c r="BK81" s="26" t="n">
        <v>144</v>
      </c>
      <c r="BL81" s="27" t="n">
        <v>2.44</v>
      </c>
      <c r="BM81" s="28" t="n">
        <v>0.409836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</row>
    <row r="82" ht="36" customHeight="1">
      <c r="A82" s="24" t="inlineStr">
        <is>
          <t>6daddbd69a464322</t>
        </is>
      </c>
      <c r="B82" s="24" t="inlineStr">
        <is>
          <t>2026-07-20T16:18:04.354854Z</t>
        </is>
      </c>
      <c r="C82" s="24" t="inlineStr">
        <is>
          <t>2026-07-20T21:00:00Z</t>
        </is>
      </c>
      <c r="D82" s="24" t="inlineStr">
        <is>
          <t>54670</t>
        </is>
      </c>
      <c r="E82" s="24" t="inlineStr">
        <is>
          <t>LOL</t>
        </is>
      </c>
      <c r="F82" s="24" t="inlineStr">
        <is>
          <t>INTZ e-Sports</t>
        </is>
      </c>
      <c r="G82" s="24" t="inlineStr">
        <is>
          <t>7REX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186</v>
      </c>
      <c r="M82" s="27" t="n">
        <v>2.86</v>
      </c>
      <c r="N82" s="28" t="n">
        <v>0.34965</v>
      </c>
      <c r="O82" s="28" t="n">
        <v>0.567918</v>
      </c>
      <c r="P82" s="28" t="n"/>
      <c r="Q82" s="28" t="n">
        <v>0.217918</v>
      </c>
      <c r="R82" s="26" t="n">
        <v>100</v>
      </c>
      <c r="S82" s="29" t="n">
        <v>1.25</v>
      </c>
      <c r="T82" s="24" t="inlineStr">
        <is>
          <t>lol-neutral-series-elo-v1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0.3500 (aec-lol-itz-7rex-2026-07-20).</t>
        </is>
      </c>
      <c r="AF82" s="31" t="inlineStr">
        <is>
          <t>Research baseline; zero-unit shadow until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INTZ e-Sports</t>
        </is>
      </c>
      <c r="AQ82" s="24" t="inlineStr">
        <is>
          <t>INTZ e-Sports</t>
        </is>
      </c>
      <c r="AR82" s="24" t="inlineStr">
        <is>
          <t>INTZ e-Sports</t>
        </is>
      </c>
      <c r="AS82" s="24" t="inlineStr">
        <is>
          <t>7REX</t>
        </is>
      </c>
      <c r="AT82" s="24" t="inlineStr">
        <is>
          <t>7REX</t>
        </is>
      </c>
      <c r="AU82" s="24" t="inlineStr">
        <is>
          <t>7REX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1f56359bf30bb6d51629a345226e3008ebfe73210551f6db9f5ce09f656ffdd6</t>
        </is>
      </c>
      <c r="BB82" s="24" t="inlineStr">
        <is>
          <t>neutral_elo</t>
        </is>
      </c>
      <c r="BC82" s="24" t="inlineStr">
        <is>
          <t>lol-neutral-series-elo-v1</t>
        </is>
      </c>
      <c r="BD82" s="24" t="inlineStr">
        <is>
          <t>1f56359bf30bb6d51629a345226e3008ebfe73210551f6db9f5ce09f656ffdd6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unknown</t>
        </is>
      </c>
      <c r="BH82" s="24" t="inlineStr">
        <is>
          <t>2026-07-20T16:18:04.354854Z</t>
        </is>
      </c>
      <c r="BI82" s="24" t="inlineStr">
        <is>
          <t>["same_event","same_team_same_day","same_league_same_day"]</t>
        </is>
      </c>
      <c r="BJ82" s="25" t="n"/>
      <c r="BK82" s="26" t="n">
        <v>186</v>
      </c>
      <c r="BL82" s="27" t="n">
        <v>2.86</v>
      </c>
      <c r="BM82" s="28" t="n">
        <v>0.34965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</row>
    <row r="83" ht="36" customHeight="1">
      <c r="A83" s="24" t="inlineStr">
        <is>
          <t>a90c13efd4db44fa</t>
        </is>
      </c>
      <c r="B83" s="24" t="inlineStr">
        <is>
          <t>2026-07-20T16:18:04.555914Z</t>
        </is>
      </c>
      <c r="C83" s="24" t="inlineStr">
        <is>
          <t>2026-07-20T22:00:00Z</t>
        </is>
      </c>
      <c r="D83" s="24" t="inlineStr">
        <is>
          <t>54693</t>
        </is>
      </c>
      <c r="E83" s="24" t="inlineStr">
        <is>
          <t>LOL</t>
        </is>
      </c>
      <c r="F83" s="24" t="inlineStr">
        <is>
          <t>Ei Nerd Esports</t>
        </is>
      </c>
      <c r="G83" s="24" t="inlineStr">
        <is>
          <t>RED Academy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300</v>
      </c>
      <c r="M83" s="27" t="n">
        <v>4</v>
      </c>
      <c r="N83" s="28" t="n">
        <v>0.25</v>
      </c>
      <c r="O83" s="28" t="n">
        <v>0.674654</v>
      </c>
      <c r="P83" s="28" t="n"/>
      <c r="Q83" s="28" t="n">
        <v>0.424654</v>
      </c>
      <c r="R83" s="26" t="n">
        <v>100</v>
      </c>
      <c r="S83" s="29" t="n">
        <v>2</v>
      </c>
      <c r="T83" s="24" t="inlineStr">
        <is>
          <t>lol-neutral-series-elo-v1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0.2500 (aec-lol-reda-nerd-2026-07-20).</t>
        </is>
      </c>
      <c r="AF83" s="31" t="inlineStr">
        <is>
          <t>Research baseline; zero-unit shadow until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Ei Nerd Esports</t>
        </is>
      </c>
      <c r="AQ83" s="24" t="inlineStr">
        <is>
          <t>Ei Nerd Esports</t>
        </is>
      </c>
      <c r="AR83" s="24" t="inlineStr">
        <is>
          <t>Ei Nerd Esports</t>
        </is>
      </c>
      <c r="AS83" s="24" t="inlineStr">
        <is>
          <t>RED Academy</t>
        </is>
      </c>
      <c r="AT83" s="24" t="inlineStr">
        <is>
          <t>RED Academy</t>
        </is>
      </c>
      <c r="AU83" s="24" t="inlineStr">
        <is>
          <t>RED Academy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1f56359bf30bb6d51629a345226e3008ebfe73210551f6db9f5ce09f656ffdd6</t>
        </is>
      </c>
      <c r="BB83" s="24" t="inlineStr">
        <is>
          <t>neutral_elo</t>
        </is>
      </c>
      <c r="BC83" s="24" t="inlineStr">
        <is>
          <t>lol-neutral-series-elo-v1</t>
        </is>
      </c>
      <c r="BD83" s="24" t="inlineStr">
        <is>
          <t>1f56359bf30bb6d51629a345226e3008ebfe73210551f6db9f5ce09f656ffdd6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unknown</t>
        </is>
      </c>
      <c r="BH83" s="24" t="inlineStr">
        <is>
          <t>2026-07-20T16:18:04.555914Z</t>
        </is>
      </c>
      <c r="BI83" s="24" t="inlineStr">
        <is>
          <t>["same_event","same_team_same_day","same_league_same_day"]</t>
        </is>
      </c>
      <c r="BJ83" s="25" t="n"/>
      <c r="BK83" s="26" t="n">
        <v>300</v>
      </c>
      <c r="BL83" s="27" t="n">
        <v>4</v>
      </c>
      <c r="BM83" s="28" t="n">
        <v>0.25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</row>
    <row r="84" ht="36" customHeight="1">
      <c r="A84" s="24" t="inlineStr">
        <is>
          <t>3a2bf877040d4609</t>
        </is>
      </c>
      <c r="B84" s="24" t="inlineStr">
        <is>
          <t>2026-07-20T16:18:04.750645Z</t>
        </is>
      </c>
      <c r="C84" s="24" t="inlineStr">
        <is>
          <t>2026-07-20T23:00:00Z</t>
        </is>
      </c>
      <c r="D84" s="24" t="inlineStr">
        <is>
          <t>54724</t>
        </is>
      </c>
      <c r="E84" s="24" t="inlineStr">
        <is>
          <t>LOL</t>
        </is>
      </c>
      <c r="F84" s="24" t="inlineStr">
        <is>
          <t>Team Solid</t>
        </is>
      </c>
      <c r="G84" s="24" t="inlineStr">
        <is>
          <t>RMD Gaming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0.54815</v>
      </c>
      <c r="P84" s="28" t="n"/>
      <c r="Q84" s="28" t="n">
        <v>-0.04185</v>
      </c>
      <c r="R84" s="26" t="n">
        <v>0</v>
      </c>
      <c r="S84" s="29" t="n">
        <v>1</v>
      </c>
      <c r="T84" s="24" t="inlineStr">
        <is>
          <t>lol-neutral-series-elo-v1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0.5900 (aec-lol-tse-rmd-2026-07-20).</t>
        </is>
      </c>
      <c r="AF84" s="31" t="inlineStr">
        <is>
          <t>Research baseline; zero-unit shadow until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Team Solid</t>
        </is>
      </c>
      <c r="AQ84" s="24" t="inlineStr">
        <is>
          <t>Team Solid</t>
        </is>
      </c>
      <c r="AR84" s="24" t="inlineStr">
        <is>
          <t>Team Solid</t>
        </is>
      </c>
      <c r="AS84" s="24" t="inlineStr">
        <is>
          <t>RMD Gaming</t>
        </is>
      </c>
      <c r="AT84" s="24" t="inlineStr">
        <is>
          <t>RMD Gaming</t>
        </is>
      </c>
      <c r="AU84" s="24" t="inlineStr">
        <is>
          <t>RMD Gaming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1f56359bf30bb6d51629a345226e3008ebfe73210551f6db9f5ce09f656ffdd6</t>
        </is>
      </c>
      <c r="BB84" s="24" t="inlineStr">
        <is>
          <t>neutral_elo</t>
        </is>
      </c>
      <c r="BC84" s="24" t="inlineStr">
        <is>
          <t>lol-neutral-series-elo-v1</t>
        </is>
      </c>
      <c r="BD84" s="24" t="inlineStr">
        <is>
          <t>1f56359bf30bb6d51629a345226e3008ebfe73210551f6db9f5ce09f656ffdd6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unknown</t>
        </is>
      </c>
      <c r="BH84" s="24" t="inlineStr">
        <is>
          <t>2026-07-20T16:18:04.750645Z</t>
        </is>
      </c>
      <c r="BI84" s="24" t="inlineStr">
        <is>
          <t>["same_event","same_team_same_day","same_league_same_day"]</t>
        </is>
      </c>
      <c r="BJ84" s="25" t="n"/>
      <c r="BK84" s="26" t="n">
        <v>-144</v>
      </c>
      <c r="BL84" s="27" t="n">
        <v>1.694444</v>
      </c>
      <c r="BM84" s="28" t="n">
        <v>0.590164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</row>
    <row r="85" ht="36" customHeight="1">
      <c r="A85" s="24" t="inlineStr">
        <is>
          <t>f15dccef86584b5d</t>
        </is>
      </c>
      <c r="B85" s="24" t="inlineStr">
        <is>
          <t>2026-07-20T16:18:04.952889Z</t>
        </is>
      </c>
      <c r="C85" s="24" t="inlineStr">
        <is>
          <t>2026-07-21T00:00:00Z</t>
        </is>
      </c>
      <c r="D85" s="24" t="inlineStr">
        <is>
          <t>54745</t>
        </is>
      </c>
      <c r="E85" s="24" t="inlineStr">
        <is>
          <t>LOL</t>
        </is>
      </c>
      <c r="F85" s="24" t="inlineStr">
        <is>
          <t>Estral Esports</t>
        </is>
      </c>
      <c r="G85" s="24" t="inlineStr">
        <is>
          <t>paiN Gaming Academy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245</v>
      </c>
      <c r="M85" s="27" t="n">
        <v>3.45</v>
      </c>
      <c r="N85" s="28" t="n">
        <v>0.289855</v>
      </c>
      <c r="O85" s="28" t="n">
        <v>0.586418</v>
      </c>
      <c r="P85" s="28" t="n"/>
      <c r="Q85" s="28" t="n">
        <v>0.296418</v>
      </c>
      <c r="R85" s="26" t="n">
        <v>100</v>
      </c>
      <c r="S85" s="29" t="n">
        <v>1.25</v>
      </c>
      <c r="T85" s="24" t="inlineStr">
        <is>
          <t>lol-neutral-series-elo-v1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0.2900 (aec-lol-est-pnga-2026-07-21).</t>
        </is>
      </c>
      <c r="AF85" s="31" t="inlineStr">
        <is>
          <t>Research baseline; zero-unit shadow until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Estral Esports</t>
        </is>
      </c>
      <c r="AQ85" s="24" t="inlineStr">
        <is>
          <t>Estral Esports</t>
        </is>
      </c>
      <c r="AR85" s="24" t="inlineStr">
        <is>
          <t>Estral Esports</t>
        </is>
      </c>
      <c r="AS85" s="24" t="inlineStr">
        <is>
          <t>paiN Gaming Academy</t>
        </is>
      </c>
      <c r="AT85" s="24" t="inlineStr">
        <is>
          <t>paiN Gaming Academy</t>
        </is>
      </c>
      <c r="AU85" s="24" t="inlineStr">
        <is>
          <t>paiN Gaming Academy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1f56359bf30bb6d51629a345226e3008ebfe73210551f6db9f5ce09f656ffdd6</t>
        </is>
      </c>
      <c r="BB85" s="24" t="inlineStr">
        <is>
          <t>neutral_elo</t>
        </is>
      </c>
      <c r="BC85" s="24" t="inlineStr">
        <is>
          <t>lol-neutral-series-elo-v1</t>
        </is>
      </c>
      <c r="BD85" s="24" t="inlineStr">
        <is>
          <t>1f56359bf30bb6d51629a345226e3008ebfe73210551f6db9f5ce09f656ffdd6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unknown</t>
        </is>
      </c>
      <c r="BH85" s="24" t="inlineStr">
        <is>
          <t>2026-07-20T16:18:04.952889Z</t>
        </is>
      </c>
      <c r="BI85" s="24" t="inlineStr">
        <is>
          <t>["same_event","same_team_same_day","same_league_same_day"]</t>
        </is>
      </c>
      <c r="BJ85" s="25" t="n"/>
      <c r="BK85" s="26" t="n">
        <v>245</v>
      </c>
      <c r="BL85" s="27" t="n">
        <v>3.45</v>
      </c>
      <c r="BM85" s="28" t="n">
        <v>0.289855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</row>
    <row r="86" ht="36" customHeight="1">
      <c r="A86" s="24" t="inlineStr">
        <is>
          <t>26f5ce8f779549de</t>
        </is>
      </c>
      <c r="B86" s="24" t="inlineStr">
        <is>
          <t>2026-07-20T16:26:44.609761Z</t>
        </is>
      </c>
      <c r="C86" s="24" t="inlineStr">
        <is>
          <t>2026-07-20T17:00:00Z</t>
        </is>
      </c>
      <c r="D86" s="24" t="inlineStr">
        <is>
          <t>56113</t>
        </is>
      </c>
      <c r="E86" s="24" t="inlineStr">
        <is>
          <t>CS2</t>
        </is>
      </c>
      <c r="F86" s="24" t="inlineStr">
        <is>
          <t>Inner Circle Academy</t>
        </is>
      </c>
      <c r="G86" s="24" t="inlineStr">
        <is>
          <t>Endless Journey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-108</v>
      </c>
      <c r="M86" s="27" t="n">
        <v>1.925926</v>
      </c>
      <c r="N86" s="28" t="n">
        <v>0.519231</v>
      </c>
      <c r="O86" s="28" t="n">
        <v>0.652434</v>
      </c>
      <c r="P86" s="28" t="n"/>
      <c r="Q86" s="28" t="n">
        <v>0.132434</v>
      </c>
      <c r="R86" s="26" t="n">
        <v>100</v>
      </c>
      <c r="S86" s="29" t="n">
        <v>2</v>
      </c>
      <c r="T86" s="24" t="inlineStr">
        <is>
          <t>cs2-neutral-series-elo-v1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Neutral Elo baseline; executable ask 0.5200 (aec-cs2-ica-ej-2026-07-20).</t>
        </is>
      </c>
      <c r="AF86" s="31" t="inlineStr">
        <is>
          <t>Research baseline; zero-unit shadow until qualified.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Inner Circle Academy</t>
        </is>
      </c>
      <c r="AQ86" s="24" t="inlineStr">
        <is>
          <t>Inner Circle Academy</t>
        </is>
      </c>
      <c r="AR86" s="24" t="inlineStr">
        <is>
          <t>Inner Circle Academy</t>
        </is>
      </c>
      <c r="AS86" s="24" t="inlineStr">
        <is>
          <t>Endless Journey</t>
        </is>
      </c>
      <c r="AT86" s="24" t="inlineStr">
        <is>
          <t>Endless Journey</t>
        </is>
      </c>
      <c r="AU86" s="24" t="inlineStr">
        <is>
          <t>Endless Journey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40df7f7b9128e86cfbc485914f5801a00963b62604711b733b60f782ba9e258b</t>
        </is>
      </c>
      <c r="BB86" s="24" t="inlineStr">
        <is>
          <t>neutral_elo</t>
        </is>
      </c>
      <c r="BC86" s="24" t="inlineStr">
        <is>
          <t>cs2-neutral-series-elo-v1</t>
        </is>
      </c>
      <c r="BD86" s="24" t="inlineStr">
        <is>
          <t>40df7f7b9128e86cfbc485914f5801a00963b62604711b733b60f782ba9e258b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unknown</t>
        </is>
      </c>
      <c r="BH86" s="24" t="inlineStr">
        <is>
          <t>2026-07-20T16:26:44.609761Z</t>
        </is>
      </c>
      <c r="BI86" s="24" t="inlineStr">
        <is>
          <t>["same_event","same_team_same_day","same_league_same_day"]</t>
        </is>
      </c>
      <c r="BJ86" s="25" t="n"/>
      <c r="BK86" s="26" t="n">
        <v>-108</v>
      </c>
      <c r="BL86" s="27" t="n">
        <v>1.925926</v>
      </c>
      <c r="BM86" s="28" t="n">
        <v>0.519231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</row>
    <row r="87" ht="36" customHeight="1">
      <c r="A87" s="24" t="inlineStr">
        <is>
          <t>56fd16b43e1349fc</t>
        </is>
      </c>
      <c r="B87" s="24" t="inlineStr">
        <is>
          <t>2026-07-20T16:26:44.830487Z</t>
        </is>
      </c>
      <c r="C87" s="24" t="inlineStr">
        <is>
          <t>2026-07-20T19:00:00Z</t>
        </is>
      </c>
      <c r="D87" s="24" t="inlineStr">
        <is>
          <t>56757</t>
        </is>
      </c>
      <c r="E87" s="24" t="inlineStr">
        <is>
          <t>CS2</t>
        </is>
      </c>
      <c r="F87" s="24" t="inlineStr">
        <is>
          <t>MAGICOS</t>
        </is>
      </c>
      <c r="G87" s="24" t="inlineStr">
        <is>
          <t>Blitzkrieg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669</v>
      </c>
      <c r="M87" s="27" t="n">
        <v>7.69</v>
      </c>
      <c r="N87" s="28" t="n">
        <v>0.130039</v>
      </c>
      <c r="O87" s="28" t="n">
        <v>0.598244</v>
      </c>
      <c r="P87" s="28" t="n"/>
      <c r="Q87" s="28" t="n">
        <v>0.468244</v>
      </c>
      <c r="R87" s="26" t="n">
        <v>100</v>
      </c>
      <c r="S87" s="29" t="n">
        <v>1.5</v>
      </c>
      <c r="T87" s="24" t="inlineStr">
        <is>
          <t>cs2-neutral-series-elo-v1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0.1300 (aec-cs2-mag-bk-2026-07-20).</t>
        </is>
      </c>
      <c r="AF87" s="31" t="inlineStr">
        <is>
          <t>Research baseline; zero-unit shadow until qualified.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MAGICOS</t>
        </is>
      </c>
      <c r="AQ87" s="24" t="inlineStr">
        <is>
          <t>MAGICOS</t>
        </is>
      </c>
      <c r="AR87" s="24" t="inlineStr">
        <is>
          <t>MAGICOS</t>
        </is>
      </c>
      <c r="AS87" s="24" t="inlineStr">
        <is>
          <t>Blitzkrieg</t>
        </is>
      </c>
      <c r="AT87" s="24" t="inlineStr">
        <is>
          <t>Blitzkrieg</t>
        </is>
      </c>
      <c r="AU87" s="24" t="inlineStr">
        <is>
          <t>Blitzkrieg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40df7f7b9128e86cfbc485914f5801a00963b62604711b733b60f782ba9e258b</t>
        </is>
      </c>
      <c r="BB87" s="24" t="inlineStr">
        <is>
          <t>neutral_elo</t>
        </is>
      </c>
      <c r="BC87" s="24" t="inlineStr">
        <is>
          <t>cs2-neutral-series-elo-v1</t>
        </is>
      </c>
      <c r="BD87" s="24" t="inlineStr">
        <is>
          <t>40df7f7b9128e86cfbc485914f5801a00963b62604711b733b60f782ba9e258b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unknown</t>
        </is>
      </c>
      <c r="BH87" s="24" t="inlineStr">
        <is>
          <t>2026-07-20T16:26:44.830487Z</t>
        </is>
      </c>
      <c r="BI87" s="24" t="inlineStr">
        <is>
          <t>["same_event","same_team_same_day","same_league_same_day"]</t>
        </is>
      </c>
      <c r="BJ87" s="25" t="n"/>
      <c r="BK87" s="26" t="n">
        <v>669</v>
      </c>
      <c r="BL87" s="27" t="n">
        <v>7.69</v>
      </c>
      <c r="BM87" s="28" t="n">
        <v>0.130039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</row>
    <row r="88" ht="36" customHeight="1">
      <c r="A88" s="24" t="inlineStr">
        <is>
          <t>016345fa98e04c4d</t>
        </is>
      </c>
      <c r="B88" s="24" t="inlineStr">
        <is>
          <t>2026-07-20T16:26:45.030222Z</t>
        </is>
      </c>
      <c r="C88" s="24" t="inlineStr">
        <is>
          <t>2026-07-20T19:00:00Z</t>
        </is>
      </c>
      <c r="D88" s="24" t="inlineStr">
        <is>
          <t>54667</t>
        </is>
      </c>
      <c r="E88" s="24" t="inlineStr">
        <is>
          <t>CS2</t>
        </is>
      </c>
      <c r="F88" s="24" t="inlineStr">
        <is>
          <t>paiN Academy</t>
        </is>
      </c>
      <c r="G88" s="24" t="inlineStr">
        <is>
          <t>HATERS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335</v>
      </c>
      <c r="M88" s="27" t="n">
        <v>4.35</v>
      </c>
      <c r="N88" s="28" t="n">
        <v>0.229885</v>
      </c>
      <c r="O88" s="28" t="n">
        <v>0.558097</v>
      </c>
      <c r="P88" s="28" t="n"/>
      <c r="Q88" s="28" t="n">
        <v>0.328097</v>
      </c>
      <c r="R88" s="26" t="n">
        <v>100</v>
      </c>
      <c r="S88" s="29" t="n">
        <v>1</v>
      </c>
      <c r="T88" s="24" t="inlineStr">
        <is>
          <t>cs2-neutral-series-elo-v1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Neutral Elo baseline; executable ask 0.2300 (aec-cs2-hat-paina-2026-07-20).</t>
        </is>
      </c>
      <c r="AF88" s="31" t="inlineStr">
        <is>
          <t>Research baseline; zero-unit shadow until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paiN Academy</t>
        </is>
      </c>
      <c r="AQ88" s="24" t="inlineStr">
        <is>
          <t>paiN Academy</t>
        </is>
      </c>
      <c r="AR88" s="24" t="inlineStr">
        <is>
          <t>paiN Academy</t>
        </is>
      </c>
      <c r="AS88" s="24" t="inlineStr">
        <is>
          <t>HATERS</t>
        </is>
      </c>
      <c r="AT88" s="24" t="inlineStr">
        <is>
          <t>HATERS</t>
        </is>
      </c>
      <c r="AU88" s="24" t="inlineStr">
        <is>
          <t>HATERS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40df7f7b9128e86cfbc485914f5801a00963b62604711b733b60f782ba9e258b</t>
        </is>
      </c>
      <c r="BB88" s="24" t="inlineStr">
        <is>
          <t>neutral_elo</t>
        </is>
      </c>
      <c r="BC88" s="24" t="inlineStr">
        <is>
          <t>cs2-neutral-series-elo-v1</t>
        </is>
      </c>
      <c r="BD88" s="24" t="inlineStr">
        <is>
          <t>40df7f7b9128e86cfbc485914f5801a00963b62604711b733b60f782ba9e258b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unknown</t>
        </is>
      </c>
      <c r="BH88" s="24" t="inlineStr">
        <is>
          <t>2026-07-20T16:26:45.030222Z</t>
        </is>
      </c>
      <c r="BI88" s="24" t="inlineStr">
        <is>
          <t>["same_event","same_team_same_day","same_league_same_day"]</t>
        </is>
      </c>
      <c r="BJ88" s="25" t="n"/>
      <c r="BK88" s="26" t="n">
        <v>335</v>
      </c>
      <c r="BL88" s="27" t="n">
        <v>4.35</v>
      </c>
      <c r="BM88" s="28" t="n">
        <v>0.229885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</row>
    <row r="89" ht="36" customHeight="1">
      <c r="A89" s="24" t="inlineStr">
        <is>
          <t>817f81c59de8400e</t>
        </is>
      </c>
      <c r="B89" s="24" t="inlineStr">
        <is>
          <t>2026-07-20T16:26:45.236193Z</t>
        </is>
      </c>
      <c r="C89" s="24" t="inlineStr">
        <is>
          <t>2026-07-20T21:00:00Z</t>
        </is>
      </c>
      <c r="D89" s="24" t="inlineStr">
        <is>
          <t>54669</t>
        </is>
      </c>
      <c r="E89" s="24" t="inlineStr">
        <is>
          <t>CS2</t>
        </is>
      </c>
      <c r="F89" s="24" t="inlineStr">
        <is>
          <t>QUINTESSÊNCIA</t>
        </is>
      </c>
      <c r="G89" s="24" t="inlineStr">
        <is>
          <t>MIBR Academy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-223</v>
      </c>
      <c r="M89" s="27" t="n">
        <v>1.44843</v>
      </c>
      <c r="N89" s="28" t="n">
        <v>0.690402</v>
      </c>
      <c r="O89" s="28" t="n">
        <v>0.660032</v>
      </c>
      <c r="P89" s="28" t="n"/>
      <c r="Q89" s="28" t="n">
        <v>-0.029968</v>
      </c>
      <c r="R89" s="26" t="n">
        <v>0</v>
      </c>
      <c r="S89" s="29" t="n">
        <v>2</v>
      </c>
      <c r="T89" s="24" t="inlineStr">
        <is>
          <t>cs2-neutral-series-elo-v1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Neutral Elo baseline; executable ask 0.6900 (aec-cs2-mibra-quin-2026-07-20).</t>
        </is>
      </c>
      <c r="AF89" s="31" t="inlineStr">
        <is>
          <t>Research baseline; zero-unit shadow until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QUINTESSÊNCIA</t>
        </is>
      </c>
      <c r="AQ89" s="24" t="inlineStr">
        <is>
          <t>QUINTESSÊNCIA</t>
        </is>
      </c>
      <c r="AR89" s="24" t="inlineStr">
        <is>
          <t>QUINTESSÊNCIA</t>
        </is>
      </c>
      <c r="AS89" s="24" t="inlineStr">
        <is>
          <t>MIBR Academy</t>
        </is>
      </c>
      <c r="AT89" s="24" t="inlineStr">
        <is>
          <t>MIBR Academy</t>
        </is>
      </c>
      <c r="AU89" s="24" t="inlineStr">
        <is>
          <t>MIBR Academy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40df7f7b9128e86cfbc485914f5801a00963b62604711b733b60f782ba9e258b</t>
        </is>
      </c>
      <c r="BB89" s="24" t="inlineStr">
        <is>
          <t>neutral_elo</t>
        </is>
      </c>
      <c r="BC89" s="24" t="inlineStr">
        <is>
          <t>cs2-neutral-series-elo-v1</t>
        </is>
      </c>
      <c r="BD89" s="24" t="inlineStr">
        <is>
          <t>40df7f7b9128e86cfbc485914f5801a00963b62604711b733b60f782ba9e258b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unknown</t>
        </is>
      </c>
      <c r="BH89" s="24" t="inlineStr">
        <is>
          <t>2026-07-20T16:26:45.236193Z</t>
        </is>
      </c>
      <c r="BI89" s="24" t="inlineStr">
        <is>
          <t>["same_event","same_team_same_day","same_league_same_day"]</t>
        </is>
      </c>
      <c r="BJ89" s="25" t="n"/>
      <c r="BK89" s="26" t="n">
        <v>-223</v>
      </c>
      <c r="BL89" s="27" t="n">
        <v>1.44843</v>
      </c>
      <c r="BM89" s="28" t="n">
        <v>0.690402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</row>
    <row r="90" ht="36" customHeight="1">
      <c r="A90" s="24" t="inlineStr">
        <is>
          <t>14ea1c3a676f493a</t>
        </is>
      </c>
      <c r="B90" s="24" t="inlineStr">
        <is>
          <t>2026-07-20T16:26:45.443663Z</t>
        </is>
      </c>
      <c r="C90" s="24" t="inlineStr">
        <is>
          <t>2026-07-20T21:00:00Z</t>
        </is>
      </c>
      <c r="D90" s="24" t="inlineStr">
        <is>
          <t>54672</t>
        </is>
      </c>
      <c r="E90" s="24" t="inlineStr">
        <is>
          <t>CS2</t>
        </is>
      </c>
      <c r="F90" s="24" t="inlineStr">
        <is>
          <t>METANOIA WOLVES</t>
        </is>
      </c>
      <c r="G90" s="24" t="inlineStr">
        <is>
          <t>RED Canids Academy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-144</v>
      </c>
      <c r="M90" s="27" t="n">
        <v>1.694444</v>
      </c>
      <c r="N90" s="28" t="n">
        <v>0.590164</v>
      </c>
      <c r="O90" s="28" t="n">
        <v>0.885084</v>
      </c>
      <c r="P90" s="28" t="n"/>
      <c r="Q90" s="28" t="n">
        <v>0.295084</v>
      </c>
      <c r="R90" s="26" t="n">
        <v>100</v>
      </c>
      <c r="S90" s="29" t="n">
        <v>2</v>
      </c>
      <c r="T90" s="24" t="inlineStr">
        <is>
          <t>cs2-neutral-series-elo-v1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Neutral Elo baseline; executable ask 0.5900 (aec-cs2-reda-mw-2026-07-20).</t>
        </is>
      </c>
      <c r="AF90" s="31" t="inlineStr">
        <is>
          <t>Research baseline; zero-unit shadow until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METANOIA WOLVES</t>
        </is>
      </c>
      <c r="AQ90" s="24" t="inlineStr">
        <is>
          <t>METANOIA WOLVES</t>
        </is>
      </c>
      <c r="AR90" s="24" t="inlineStr">
        <is>
          <t>METANOIA WOLVES</t>
        </is>
      </c>
      <c r="AS90" s="24" t="inlineStr">
        <is>
          <t>RED Canids Academy</t>
        </is>
      </c>
      <c r="AT90" s="24" t="inlineStr">
        <is>
          <t>RED Canids Academy</t>
        </is>
      </c>
      <c r="AU90" s="24" t="inlineStr">
        <is>
          <t>RED Canids Academy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40df7f7b9128e86cfbc485914f5801a00963b62604711b733b60f782ba9e258b</t>
        </is>
      </c>
      <c r="BB90" s="24" t="inlineStr">
        <is>
          <t>neutral_elo</t>
        </is>
      </c>
      <c r="BC90" s="24" t="inlineStr">
        <is>
          <t>cs2-neutral-series-elo-v1</t>
        </is>
      </c>
      <c r="BD90" s="24" t="inlineStr">
        <is>
          <t>40df7f7b9128e86cfbc485914f5801a00963b62604711b733b60f782ba9e258b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unknown</t>
        </is>
      </c>
      <c r="BH90" s="24" t="inlineStr">
        <is>
          <t>2026-07-20T16:26:45.443663Z</t>
        </is>
      </c>
      <c r="BI90" s="24" t="inlineStr">
        <is>
          <t>["same_event","same_team_same_day","same_league_same_day"]</t>
        </is>
      </c>
      <c r="BJ90" s="25" t="n"/>
      <c r="BK90" s="26" t="n">
        <v>-144</v>
      </c>
      <c r="BL90" s="27" t="n">
        <v>1.694444</v>
      </c>
      <c r="BM90" s="28" t="n">
        <v>0.590164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2026-07-20T16:26:45Z</dcterms:created>
  <dcterms:modified xsi:type="dcterms:W3CDTF">2026-07-20T16:26:45Z</dcterms:modified>
</cp:coreProperties>
</file>