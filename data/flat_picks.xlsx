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5" headerRowCount="1">
  <autoFilter ref="A1:CA85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COUNTA('Picks'!$A$2:$A$85)</f>
        <v/>
      </c>
      <c r="C4" s="6">
        <f>COUNTIF('Picks'!$U$2:$U$85,"open")</f>
        <v/>
      </c>
      <c r="E4" s="6">
        <f>COUNTIF('Picks'!$U$2:$U$85,"settled")</f>
        <v/>
      </c>
      <c r="G4" s="6">
        <f>IF(COUNTIFS('Picks'!$U$2:$U$85,"settled",'Picks'!$V$2:$V$85,"win")+COUNTIFS('Picks'!$U$2:$U$85,"settled",'Picks'!$V$2:$V$85,"loss")&gt;=$L$2,"Ready","Insufficient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COUNTIF('Picks'!$BX$2:$BX$85,"&gt;0")</f>
        <v/>
      </c>
      <c r="C7" s="6">
        <f>COUNTIFS('Picks'!$BX$2:$BX$85,"&gt;0",'Picks'!$V$2:$V$85,"win")&amp;"-"&amp;COUNTIFS('Picks'!$BX$2:$BX$85,"&gt;0",'Picks'!$V$2:$V$85,"loss")</f>
        <v/>
      </c>
      <c r="E7" s="7">
        <f>IFERROR(COUNTIFS('Picks'!$BX$2:$BX$85,"&gt;0",'Picks'!$V$2:$V$85,"win")/(COUNTIFS('Picks'!$BX$2:$BX$85,"&gt;0",'Picks'!$V$2:$V$85,"win")+COUNTIFS('Picks'!$BX$2:$BX$85,"&gt;0",'Picks'!$V$2:$V$85,"loss")),0)</f>
        <v/>
      </c>
      <c r="G7" s="7">
        <f>IFERROR(SUM('Picks'!$BY$2:$BY$85)/SUM('Picks'!$BX$2:$BX$85),0)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SUM('Picks'!$BY$2:$BY$85)</f>
        <v/>
      </c>
      <c r="C10" s="9">
        <f>IFERROR(AVERAGEIF('Picks'!$AB$2:$AB$85,"&lt;&gt;",'Picks'!$AB$2:$AB$85),0)</f>
        <v/>
      </c>
      <c r="E10" s="6">
        <f>COUNTIFS('Picks'!$AM$2:$AM$85,"QUALIFIED_SHADOW_CALL",'Picks'!$U$2:$U$85,"settled")</f>
        <v/>
      </c>
      <c r="G10" s="8">
        <f>SUMIFS('Picks'!$AC$2:$AC$85,'Picks'!$AM$2:$AM$85,"QUALIFIED_SHADOW_CALL")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COUNTIFS('Picks'!$H$2:$H$85,$A14,'Picks'!$U$2:$U$85,"settled")</f>
        <v/>
      </c>
      <c r="C14" s="13">
        <f>COUNTIFS('Picks'!$H$2:$H$85,$A14,'Picks'!$U$2:$U$85,"settled",'Picks'!$V$2:$V$85,"win")</f>
        <v/>
      </c>
      <c r="D14" s="13">
        <f>COUNTIFS('Picks'!$H$2:$H$85,$A14,'Picks'!$U$2:$U$85,"settled",'Picks'!$V$2:$V$85,"loss")</f>
        <v/>
      </c>
      <c r="E14" s="14">
        <f>IFERROR(C14/(C14+D14),0)</f>
        <v/>
      </c>
      <c r="F14" s="15">
        <f>SUMIFS('Picks'!$BY$2:$BY$85,'Picks'!$H$2:$H$85,$A14)</f>
        <v/>
      </c>
      <c r="G14" s="16">
        <f>IFERROR(AVERAGEIFS('Picks'!$AB$2:$AB$85,'Picks'!$H$2:$H$85,$A14,'Picks'!$U$2:$U$85,"settled"),0)</f>
        <v/>
      </c>
    </row>
    <row r="15">
      <c r="A15" s="17" t="inlineStr">
        <is>
          <t>spread</t>
        </is>
      </c>
      <c r="B15" s="18">
        <f>COUNTIFS('Picks'!$H$2:$H$85,$A15,'Picks'!$U$2:$U$85,"settled")</f>
        <v/>
      </c>
      <c r="C15" s="18">
        <f>COUNTIFS('Picks'!$H$2:$H$85,$A15,'Picks'!$U$2:$U$85,"settled",'Picks'!$V$2:$V$85,"win")</f>
        <v/>
      </c>
      <c r="D15" s="18">
        <f>COUNTIFS('Picks'!$H$2:$H$85,$A15,'Picks'!$U$2:$U$85,"settled",'Picks'!$V$2:$V$85,"loss")</f>
        <v/>
      </c>
      <c r="E15" s="19">
        <f>IFERROR(C15/(C15+D15),0)</f>
        <v/>
      </c>
      <c r="F15" s="20">
        <f>SUMIFS('Picks'!$BY$2:$BY$85,'Picks'!$H$2:$H$85,$A15)</f>
        <v/>
      </c>
      <c r="G15" s="21">
        <f>IFERROR(AVERAGEIFS('Picks'!$AB$2:$AB$85,'Picks'!$H$2:$H$85,$A15,'Picks'!$U$2:$U$85,"settled"),0)</f>
        <v/>
      </c>
    </row>
    <row r="16">
      <c r="A16" s="12" t="inlineStr">
        <is>
          <t>total</t>
        </is>
      </c>
      <c r="B16" s="13">
        <f>COUNTIFS('Picks'!$H$2:$H$85,$A16,'Picks'!$U$2:$U$85,"settled")</f>
        <v/>
      </c>
      <c r="C16" s="13">
        <f>COUNTIFS('Picks'!$H$2:$H$85,$A16,'Picks'!$U$2:$U$85,"settled",'Picks'!$V$2:$V$85,"win")</f>
        <v/>
      </c>
      <c r="D16" s="13">
        <f>COUNTIFS('Picks'!$H$2:$H$85,$A16,'Picks'!$U$2:$U$85,"settled",'Picks'!$V$2:$V$85,"loss")</f>
        <v/>
      </c>
      <c r="E16" s="14">
        <f>IFERROR(C16/(C16+D16),0)</f>
        <v/>
      </c>
      <c r="F16" s="15">
        <f>SUMIFS('Picks'!$BY$2:$BY$85,'Picks'!$H$2:$H$85,$A16)</f>
        <v/>
      </c>
      <c r="G16" s="16">
        <f>IFERROR(AVERAGEIFS('Picks'!$AB$2:$AB$85,'Picks'!$H$2:$H$85,$A16,'Picks'!$U$2:$U$85,"settled"),0)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>
        <v>0.487562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25" t="n"/>
      <c r="Z33" s="26" t="n"/>
      <c r="AA33" s="28" t="n"/>
      <c r="AB33" s="28" t="n"/>
      <c r="AC33" s="3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>
        <v>0.457711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25" t="n"/>
      <c r="Z34" s="26" t="n"/>
      <c r="AA34" s="28" t="n"/>
      <c r="AB34" s="28" t="n"/>
      <c r="AC34" s="3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>
        <v>0.537313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117</v>
      </c>
      <c r="M35" s="27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25" t="n"/>
      <c r="BK35" s="26" t="n">
        <v>117</v>
      </c>
      <c r="BL35" s="27" t="n">
        <v>2.17</v>
      </c>
      <c r="BM35" s="28" t="n">
        <v>0.460829</v>
      </c>
      <c r="BN35" s="28" t="n">
        <v>0.457711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-106</v>
      </c>
      <c r="M36" s="27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25" t="n"/>
      <c r="BK36" s="26" t="n">
        <v>-106</v>
      </c>
      <c r="BL36" s="27" t="n">
        <v>1.943396</v>
      </c>
      <c r="BM36" s="28" t="n">
        <v>0.514563</v>
      </c>
      <c r="BN36" s="28" t="n">
        <v>0.5124379999999999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25" t="n"/>
      <c r="Z37" s="26" t="n"/>
      <c r="AA37" s="28" t="n"/>
      <c r="AB37" s="28" t="n"/>
      <c r="AC37" s="3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>
        <v>0.547264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25" t="n"/>
      <c r="Z38" s="26" t="n"/>
      <c r="AA38" s="28" t="n"/>
      <c r="AB38" s="28" t="n"/>
      <c r="AC38" s="3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25" t="n"/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25" t="n"/>
      <c r="Z39" s="26" t="n"/>
      <c r="AA39" s="28" t="n"/>
      <c r="AB39" s="28" t="n"/>
      <c r="AC39" s="3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>
        <v>0.597015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25" t="n"/>
      <c r="Z40" s="26" t="n"/>
      <c r="AA40" s="28" t="n"/>
      <c r="AB40" s="28" t="n"/>
      <c r="AC40" s="3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25" t="n"/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25" t="n"/>
      <c r="Z41" s="26" t="n"/>
      <c r="AA41" s="28" t="n"/>
      <c r="AB41" s="28" t="n"/>
      <c r="AC41" s="3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25" t="n"/>
      <c r="BK41" s="26" t="n">
        <v>-163</v>
      </c>
      <c r="BL41" s="27" t="n">
        <v>1.613497</v>
      </c>
      <c r="BM41" s="28" t="n">
        <v>0.619772</v>
      </c>
      <c r="BN41" s="28" t="n">
        <v>0.616915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-111</v>
      </c>
      <c r="M42" s="27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25" t="n"/>
      <c r="Z42" s="26" t="n"/>
      <c r="AA42" s="28" t="n"/>
      <c r="AB42" s="28" t="n"/>
      <c r="AC42" s="3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25" t="n"/>
      <c r="BK42" s="26" t="n">
        <v>-111</v>
      </c>
      <c r="BL42" s="27" t="n">
        <v>1.900901</v>
      </c>
      <c r="BM42" s="28" t="n">
        <v>0.526066</v>
      </c>
      <c r="BN42" s="28" t="n">
        <v>0.522388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>
        <v>0.517413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-400</v>
      </c>
      <c r="M44" s="27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25" t="n"/>
      <c r="Z44" s="26" t="n"/>
      <c r="AA44" s="28" t="n"/>
      <c r="AB44" s="28" t="n"/>
      <c r="AC44" s="3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25" t="n"/>
      <c r="BK44" s="26" t="n">
        <v>-400</v>
      </c>
      <c r="BL44" s="27" t="n">
        <v>1.25</v>
      </c>
      <c r="BM44" s="28" t="n">
        <v>0.8</v>
      </c>
      <c r="BN44" s="28" t="n">
        <v>0.792079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-426</v>
      </c>
      <c r="M45" s="27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25" t="n"/>
      <c r="Z45" s="26" t="n"/>
      <c r="AA45" s="28" t="n"/>
      <c r="AB45" s="28" t="n"/>
      <c r="AC45" s="3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25" t="n"/>
      <c r="BK45" s="26" t="n">
        <v>-426</v>
      </c>
      <c r="BL45" s="27" t="n">
        <v>1.234742</v>
      </c>
      <c r="BM45" s="28" t="n">
        <v>0.809886</v>
      </c>
      <c r="BN45" s="28" t="n">
        <v>0.80198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25" t="n"/>
      <c r="Z46" s="26" t="n"/>
      <c r="AA46" s="28" t="n"/>
      <c r="AB46" s="28" t="n"/>
      <c r="AC46" s="3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>
        <v>0.6039600000000001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-354</v>
      </c>
      <c r="M47" s="27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25" t="n"/>
      <c r="Z47" s="26" t="n"/>
      <c r="AA47" s="28" t="n"/>
      <c r="AB47" s="28" t="n"/>
      <c r="AC47" s="3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>
        <v>-354</v>
      </c>
      <c r="BL47" s="27" t="n">
        <v>1.282486</v>
      </c>
      <c r="BM47" s="28" t="n">
        <v>0.779736</v>
      </c>
      <c r="BN47" s="28" t="n">
        <v>0.779736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-194</v>
      </c>
      <c r="M48" s="27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25" t="n"/>
      <c r="Z48" s="26" t="n"/>
      <c r="AA48" s="28" t="n"/>
      <c r="AB48" s="28" t="n"/>
      <c r="AC48" s="3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25" t="n"/>
      <c r="BK48" s="26" t="n">
        <v>-194</v>
      </c>
      <c r="BL48" s="27" t="n">
        <v>1.515464</v>
      </c>
      <c r="BM48" s="28" t="n">
        <v>0.659864</v>
      </c>
      <c r="BN48" s="28" t="n">
        <v>0.656716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-122</v>
      </c>
      <c r="M49" s="27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25" t="n"/>
      <c r="BK49" s="26" t="n">
        <v>-122</v>
      </c>
      <c r="BL49" s="27" t="n">
        <v>1.819672</v>
      </c>
      <c r="BM49" s="28" t="n">
        <v>0.54955</v>
      </c>
      <c r="BN49" s="28" t="n">
        <v>0.547264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</t>
        </is>
      </c>
      <c r="L50" s="26" t="n">
        <v>-113</v>
      </c>
      <c r="M50" s="27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25" t="n"/>
      <c r="Z50" s="26" t="n"/>
      <c r="AA50" s="28" t="n"/>
      <c r="AB50" s="28" t="n"/>
      <c r="AC50" s="3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25" t="n"/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</t>
        </is>
      </c>
      <c r="L51" s="26" t="n">
        <v>-106</v>
      </c>
      <c r="M51" s="27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25" t="n"/>
      <c r="Z51" s="26" t="n"/>
      <c r="AA51" s="28" t="n"/>
      <c r="AB51" s="28" t="n"/>
      <c r="AC51" s="3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25" t="n"/>
      <c r="BK51" s="26" t="n">
        <v>-106</v>
      </c>
      <c r="BL51" s="27" t="n">
        <v>1.943396</v>
      </c>
      <c r="BM51" s="28" t="n">
        <v>0.514563</v>
      </c>
      <c r="BN51" s="28" t="n">
        <v>0.5124379999999999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</t>
        </is>
      </c>
      <c r="L52" s="26" t="n">
        <v>-174</v>
      </c>
      <c r="M52" s="27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25" t="n"/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</t>
        </is>
      </c>
      <c r="L53" s="26" t="n">
        <v>-376</v>
      </c>
      <c r="M53" s="27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25" t="n"/>
      <c r="Z53" s="26" t="n"/>
      <c r="AA53" s="28" t="n"/>
      <c r="AB53" s="28" t="n"/>
      <c r="AC53" s="3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25" t="n"/>
      <c r="BK53" s="26" t="n">
        <v>-376</v>
      </c>
      <c r="BL53" s="27" t="n">
        <v>1.265957</v>
      </c>
      <c r="BM53" s="28" t="n">
        <v>0.789916</v>
      </c>
      <c r="BN53" s="28" t="n">
        <v>0.782178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</t>
        </is>
      </c>
      <c r="L54" s="26" t="n">
        <v>-113</v>
      </c>
      <c r="M54" s="27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25" t="n"/>
      <c r="Z54" s="26" t="n"/>
      <c r="AA54" s="28" t="n"/>
      <c r="AB54" s="28" t="n"/>
      <c r="AC54" s="3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25" t="n"/>
      <c r="BK54" s="26" t="n">
        <v>-113</v>
      </c>
      <c r="BL54" s="27" t="n">
        <v>1.884956</v>
      </c>
      <c r="BM54" s="28" t="n">
        <v>0.530516</v>
      </c>
      <c r="BN54" s="28" t="n">
        <v>0.524752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</t>
        </is>
      </c>
      <c r="L55" s="26" t="n">
        <v>-178</v>
      </c>
      <c r="M55" s="27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25" t="n"/>
      <c r="BK55" s="26" t="n">
        <v>-178</v>
      </c>
      <c r="BL55" s="27" t="n">
        <v>1.561798</v>
      </c>
      <c r="BM55" s="28" t="n">
        <v>0.640288</v>
      </c>
      <c r="BN55" s="28" t="n">
        <v>0.633663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</t>
        </is>
      </c>
      <c r="L56" s="26" t="n">
        <v>-163</v>
      </c>
      <c r="M56" s="27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/>
      <c r="Z56" s="26" t="n"/>
      <c r="AA56" s="28" t="n"/>
      <c r="AB56" s="28" t="n"/>
      <c r="AC56" s="3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25" t="n"/>
      <c r="BK56" s="26" t="n">
        <v>-163</v>
      </c>
      <c r="BL56" s="27" t="n">
        <v>1.613497</v>
      </c>
      <c r="BM56" s="28" t="n">
        <v>0.619772</v>
      </c>
      <c r="BN56" s="28" t="n">
        <v>0.616915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</t>
        </is>
      </c>
      <c r="L57" s="26" t="n">
        <v>-111</v>
      </c>
      <c r="M57" s="27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25" t="n"/>
      <c r="Z57" s="26" t="n"/>
      <c r="AA57" s="28" t="n"/>
      <c r="AB57" s="28" t="n"/>
      <c r="AC57" s="3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25" t="n"/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</t>
        </is>
      </c>
      <c r="L58" s="26" t="n">
        <v>-138</v>
      </c>
      <c r="M58" s="27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25" t="n"/>
      <c r="Z58" s="26" t="n"/>
      <c r="AA58" s="28" t="n"/>
      <c r="AB58" s="28" t="n"/>
      <c r="AC58" s="3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25" t="n"/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</t>
        </is>
      </c>
      <c r="L59" s="26" t="n">
        <v>-178</v>
      </c>
      <c r="M59" s="27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25" t="n"/>
      <c r="Z59" s="26" t="n"/>
      <c r="AA59" s="28" t="n"/>
      <c r="AB59" s="28" t="n"/>
      <c r="AC59" s="3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25" t="n"/>
      <c r="BK59" s="26" t="n">
        <v>-178</v>
      </c>
      <c r="BL59" s="27" t="n">
        <v>1.561798</v>
      </c>
      <c r="BM59" s="28" t="n">
        <v>0.640288</v>
      </c>
      <c r="BN59" s="28" t="n">
        <v>0.636816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</t>
        </is>
      </c>
      <c r="L60" s="26" t="n">
        <v>-669</v>
      </c>
      <c r="M60" s="27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25" t="n"/>
      <c r="Z60" s="26" t="n"/>
      <c r="AA60" s="28" t="n"/>
      <c r="AB60" s="28" t="n"/>
      <c r="AC60" s="3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25" t="n"/>
      <c r="BK60" s="26" t="n">
        <v>-669</v>
      </c>
      <c r="BL60" s="27" t="n">
        <v>1.149477</v>
      </c>
      <c r="BM60" s="28" t="n">
        <v>0.869961</v>
      </c>
      <c r="BN60" s="28" t="n">
        <v>0.861386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</t>
        </is>
      </c>
      <c r="L61" s="26" t="n">
        <v>-355</v>
      </c>
      <c r="M61" s="27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25" t="n"/>
      <c r="Z61" s="26" t="n"/>
      <c r="AA61" s="28" t="n"/>
      <c r="AB61" s="28" t="n"/>
      <c r="AC61" s="3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25" t="n"/>
      <c r="BK61" s="26" t="n">
        <v>-355</v>
      </c>
      <c r="BL61" s="27" t="n">
        <v>1.28169</v>
      </c>
      <c r="BM61" s="28" t="n">
        <v>0.78022</v>
      </c>
      <c r="BN61" s="28" t="n">
        <v>0.772277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5df3c9112e914547</t>
        </is>
      </c>
      <c r="B62" s="24" t="inlineStr">
        <is>
          <t>2026-07-20T15:44:31.508407Z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0.5726869999999999</v>
      </c>
      <c r="P62" s="28" t="n"/>
      <c r="Q62" s="28" t="n">
        <v>0.103203</v>
      </c>
      <c r="R62" s="26" t="n">
        <v>100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0.5500; executable ask 0.4700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2026-07-20T15:40:37.473344Z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>
        <v>0.467662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e598241db79c4dfb</t>
        </is>
      </c>
      <c r="B63" s="24" t="inlineStr">
        <is>
          <t>2026-07-20T15:44:31.508407Z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125</v>
      </c>
      <c r="M63" s="27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2026-07-20T15:40:44.245309Z</t>
        </is>
      </c>
      <c r="BI63" s="24" t="inlineStr">
        <is>
          <t>["same_event","same_team_same_day","same_league_same_day"]</t>
        </is>
      </c>
      <c r="BJ63" s="25" t="n"/>
      <c r="BK63" s="26" t="n">
        <v>125</v>
      </c>
      <c r="BL63" s="27" t="n">
        <v>2.25</v>
      </c>
      <c r="BM63" s="28" t="n">
        <v>0.444444</v>
      </c>
      <c r="BN63" s="28" t="n">
        <v>0.442786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099694587c434b4a</t>
        </is>
      </c>
      <c r="B64" s="24" t="inlineStr">
        <is>
          <t>2026-07-20T15:44:31.508407Z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-108</v>
      </c>
      <c r="M64" s="27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2026-07-20T15:40:38.983839Z</t>
        </is>
      </c>
      <c r="BI64" s="24" t="inlineStr">
        <is>
          <t>["same_event","same_team_same_day","same_league_same_day"]</t>
        </is>
      </c>
      <c r="BJ64" s="25" t="n"/>
      <c r="BK64" s="26" t="n">
        <v>-108</v>
      </c>
      <c r="BL64" s="27" t="n">
        <v>1.925926</v>
      </c>
      <c r="BM64" s="28" t="n">
        <v>0.519231</v>
      </c>
      <c r="BN64" s="28" t="n">
        <v>0.517413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6c1b1d290ce24d73</t>
        </is>
      </c>
      <c r="B65" s="24" t="inlineStr">
        <is>
          <t>2026-07-20T15:44:31.508407Z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-147</v>
      </c>
      <c r="M65" s="27" t="n">
        <v>1.680272</v>
      </c>
      <c r="N65" s="28" t="n">
        <v>0.5951419999999999</v>
      </c>
      <c r="O65" s="28" t="n">
        <v>0.530206</v>
      </c>
      <c r="P65" s="28" t="n"/>
      <c r="Q65" s="28" t="n">
        <v>-0.06493599999999999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0.5500; executable ask 0.5950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2026-07-20T15:40:40.696549Z</t>
        </is>
      </c>
      <c r="BI65" s="24" t="inlineStr">
        <is>
          <t>["same_event","same_team_same_day","same_league_same_day"]</t>
        </is>
      </c>
      <c r="BJ65" s="25" t="n"/>
      <c r="BK65" s="26" t="n">
        <v>-147</v>
      </c>
      <c r="BL65" s="27" t="n">
        <v>1.680272</v>
      </c>
      <c r="BM65" s="28" t="n">
        <v>0.5951419999999999</v>
      </c>
      <c r="BN65" s="28" t="n">
        <v>0.59204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43b2ed970ab34f5f</t>
        </is>
      </c>
      <c r="B66" s="24" t="inlineStr">
        <is>
          <t>2026-07-20T15:44:31.508407Z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-141</v>
      </c>
      <c r="M66" s="27" t="n">
        <v>1.70922</v>
      </c>
      <c r="N66" s="28" t="n">
        <v>0.585062</v>
      </c>
      <c r="O66" s="28" t="n">
        <v>0.565797</v>
      </c>
      <c r="P66" s="28" t="n"/>
      <c r="Q66" s="28" t="n">
        <v>-0.019265</v>
      </c>
      <c r="R66" s="26" t="n">
        <v>10</v>
      </c>
      <c r="S66" s="29" t="n">
        <v>1.25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0.5500; executable ask 0.5850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2026-07-20T15:40:42.945575Z</t>
        </is>
      </c>
      <c r="BI66" s="24" t="inlineStr">
        <is>
          <t>["same_event","same_team_same_day","same_league_same_day"]</t>
        </is>
      </c>
      <c r="BJ66" s="25" t="n"/>
      <c r="BK66" s="26" t="n">
        <v>-141</v>
      </c>
      <c r="BL66" s="27" t="n">
        <v>1.70922</v>
      </c>
      <c r="BM66" s="28" t="n">
        <v>0.585062</v>
      </c>
      <c r="BN66" s="28" t="n">
        <v>0.58209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  <row r="67" ht="36" customHeight="1">
      <c r="A67" s="24" t="inlineStr">
        <is>
          <t>556a298369cf47bd</t>
        </is>
      </c>
      <c r="B67" s="24" t="inlineStr">
        <is>
          <t>2026-07-20T15:44:31.508407Z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0.550915</v>
      </c>
      <c r="P67" s="28" t="n"/>
      <c r="Q67" s="28" t="n">
        <v>-0.0199</v>
      </c>
      <c r="R67" s="26" t="n">
        <v>10</v>
      </c>
      <c r="S67" s="29" t="n">
        <v>1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0.5500; executable ask 0.5700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2026-07-20T15:40:45.418635Z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</row>
    <row r="68" ht="36" customHeight="1">
      <c r="A68" s="24" t="inlineStr">
        <is>
          <t>1ca3aac02ee1494c</t>
        </is>
      </c>
      <c r="B68" s="24" t="inlineStr">
        <is>
          <t>2026-07-20T15:44:31.508407Z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-199</v>
      </c>
      <c r="M68" s="27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2026-07-20T15:40:46.730850Z</t>
        </is>
      </c>
      <c r="BI68" s="24" t="inlineStr">
        <is>
          <t>["same_event","same_team_same_day","same_league_same_day"]</t>
        </is>
      </c>
      <c r="BJ68" s="25" t="n"/>
      <c r="BK68" s="26" t="n">
        <v>-199</v>
      </c>
      <c r="BL68" s="27" t="n">
        <v>1.502513</v>
      </c>
      <c r="BM68" s="28" t="n">
        <v>0.665552</v>
      </c>
      <c r="BN68" s="28" t="n">
        <v>0.6616919999999999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8d7ca0ea971a4878</t>
        </is>
      </c>
      <c r="B69" s="24" t="inlineStr">
        <is>
          <t>2026-07-20T15:44:31.508407Z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-111</v>
      </c>
      <c r="M69" s="27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2026-07-20T15:40:47.694396Z</t>
        </is>
      </c>
      <c r="BI69" s="24" t="inlineStr">
        <is>
          <t>["same_event","same_team_same_day","same_league_same_day"]</t>
        </is>
      </c>
      <c r="BJ69" s="25" t="n"/>
      <c r="BK69" s="26" t="n">
        <v>-111</v>
      </c>
      <c r="BL69" s="27" t="n">
        <v>1.900901</v>
      </c>
      <c r="BM69" s="28" t="n">
        <v>0.526066</v>
      </c>
      <c r="BN69" s="28" t="n">
        <v>0.522388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40fd1303ee5c40bc</t>
        </is>
      </c>
      <c r="B70" s="24" t="inlineStr">
        <is>
          <t>2026-07-20T15:44:31.508407Z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-160</v>
      </c>
      <c r="M70" s="27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2026-07-20T15:40:49.845471Z</t>
        </is>
      </c>
      <c r="BI70" s="24" t="inlineStr">
        <is>
          <t>["same_event","same_team_same_day","same_league_same_day"]</t>
        </is>
      </c>
      <c r="BJ70" s="25" t="n"/>
      <c r="BK70" s="26" t="n">
        <v>-160</v>
      </c>
      <c r="BL70" s="27" t="n">
        <v>1.625</v>
      </c>
      <c r="BM70" s="28" t="n">
        <v>0.615385</v>
      </c>
      <c r="BN70" s="28" t="n">
        <v>0.61194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f140b8e744fa42a4</t>
        </is>
      </c>
      <c r="B71" s="24" t="inlineStr">
        <is>
          <t>2026-07-20T15:44:31.508407Z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-108</v>
      </c>
      <c r="M71" s="27" t="n">
        <v>1.925926</v>
      </c>
      <c r="N71" s="28" t="n">
        <v>0.519231</v>
      </c>
      <c r="O71" s="28" t="n">
        <v>0.566967</v>
      </c>
      <c r="P71" s="28" t="n"/>
      <c r="Q71" s="28" t="n">
        <v>0.047736</v>
      </c>
      <c r="R71" s="26" t="n">
        <v>44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0.5500; executable ask 0.5200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2026-07-20T15:40:51.564498Z</t>
        </is>
      </c>
      <c r="BI71" s="24" t="inlineStr">
        <is>
          <t>["same_event","same_team_same_day","same_league_same_day"]</t>
        </is>
      </c>
      <c r="BJ71" s="25" t="n"/>
      <c r="BK71" s="26" t="n">
        <v>-108</v>
      </c>
      <c r="BL71" s="27" t="n">
        <v>1.925926</v>
      </c>
      <c r="BM71" s="28" t="n">
        <v>0.519231</v>
      </c>
      <c r="BN71" s="28" t="n">
        <v>0.5148509999999999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e2d3732e917242c3</t>
        </is>
      </c>
      <c r="B72" s="24" t="inlineStr">
        <is>
          <t>2026-07-20T15:44:31.508407Z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-115</v>
      </c>
      <c r="M72" s="27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2026-07-20T15:40:52.975565Z</t>
        </is>
      </c>
      <c r="BI72" s="24" t="inlineStr">
        <is>
          <t>["same_event","same_team_same_day","same_league_same_day"]</t>
        </is>
      </c>
      <c r="BJ72" s="25" t="n"/>
      <c r="BK72" s="26" t="n">
        <v>-115</v>
      </c>
      <c r="BL72" s="27" t="n">
        <v>1.869565</v>
      </c>
      <c r="BM72" s="28" t="n">
        <v>0.534884</v>
      </c>
      <c r="BN72" s="28" t="n">
        <v>0.532338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7088516dc8f442f0</t>
        </is>
      </c>
      <c r="B73" s="24" t="inlineStr">
        <is>
          <t>2026-07-20T15:44:31.508407Z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-117</v>
      </c>
      <c r="M73" s="27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2026-07-20T15:40:55.296261Z</t>
        </is>
      </c>
      <c r="BI73" s="24" t="inlineStr">
        <is>
          <t>["same_event","same_team_same_day","same_league_same_day"]</t>
        </is>
      </c>
      <c r="BJ73" s="25" t="n"/>
      <c r="BK73" s="26" t="n">
        <v>-117</v>
      </c>
      <c r="BL73" s="27" t="n">
        <v>1.854701</v>
      </c>
      <c r="BM73" s="28" t="n">
        <v>0.539171</v>
      </c>
      <c r="BN73" s="28" t="n">
        <v>0.537313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cbd07a2b3b254a5a</t>
        </is>
      </c>
      <c r="B74" s="24" t="inlineStr">
        <is>
          <t>2026-07-20T15:44:31.508407Z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0.58189</v>
      </c>
      <c r="P74" s="28" t="n"/>
      <c r="Q74" s="28" t="n">
        <v>-0.008274</v>
      </c>
      <c r="R74" s="26" t="n">
        <v>16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0.5500; executable ask 0.5900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2026-07-20T15:40:57.666402Z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>
        <v>0.5870649999999999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3f1ba5855ae540e0</t>
        </is>
      </c>
      <c r="B75" s="24" t="inlineStr">
        <is>
          <t>2026-07-20T15:44:31.508407Z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-141</v>
      </c>
      <c r="M75" s="27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2026-07-20T15:40:58.875708Z</t>
        </is>
      </c>
      <c r="BI75" s="24" t="inlineStr">
        <is>
          <t>["same_event","same_team_same_day","same_league_same_day"]</t>
        </is>
      </c>
      <c r="BJ75" s="25" t="n"/>
      <c r="BK75" s="26" t="n">
        <v>-141</v>
      </c>
      <c r="BL75" s="27" t="n">
        <v>1.70922</v>
      </c>
      <c r="BM75" s="28" t="n">
        <v>0.585062</v>
      </c>
      <c r="BN75" s="28" t="n">
        <v>0.58209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2bd291e543c748bf</t>
        </is>
      </c>
      <c r="B76" s="24" t="inlineStr">
        <is>
          <t>2026-07-20T15:44:31.508407Z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102</v>
      </c>
      <c r="M76" s="27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2026-07-20T15:40:59.475543Z</t>
        </is>
      </c>
      <c r="BI76" s="24" t="inlineStr">
        <is>
          <t>["same_event","same_team_same_day","same_league_same_day"]</t>
        </is>
      </c>
      <c r="BJ76" s="25" t="n"/>
      <c r="BK76" s="26" t="n">
        <v>102</v>
      </c>
      <c r="BL76" s="27" t="n">
        <v>2.02</v>
      </c>
      <c r="BM76" s="28" t="n">
        <v>0.49505</v>
      </c>
      <c r="BN76" s="28" t="n">
        <v>0.492537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</row>
    <row r="77" ht="36" customHeight="1">
      <c r="A77" s="24" t="inlineStr">
        <is>
          <t>4f41d18dabd545ca</t>
        </is>
      </c>
      <c r="B77" s="24" t="inlineStr">
        <is>
          <t>2026-07-20T15:44:38.792804Z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-488</v>
      </c>
      <c r="M77" s="27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2026-07-20T15:41:02.063056Z</t>
        </is>
      </c>
      <c r="BI77" s="24" t="inlineStr">
        <is>
          <t>["same_event","same_team_same_day","same_league_same_day"]</t>
        </is>
      </c>
      <c r="BJ77" s="25" t="n"/>
      <c r="BK77" s="26" t="n">
        <v>-488</v>
      </c>
      <c r="BL77" s="27" t="n">
        <v>1.204918</v>
      </c>
      <c r="BM77" s="28" t="n">
        <v>0.829932</v>
      </c>
      <c r="BN77" s="28" t="n">
        <v>0.821782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</row>
    <row r="78" ht="36" customHeight="1">
      <c r="A78" s="24" t="inlineStr">
        <is>
          <t>bf6f6152e282469c</t>
        </is>
      </c>
      <c r="B78" s="24" t="inlineStr">
        <is>
          <t>2026-07-20T15:44:38.792804Z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0.688998</v>
      </c>
      <c r="P78" s="28" t="n"/>
      <c r="Q78" s="28" t="n">
        <v>0.288998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0.5051; executable ask 0.4000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c20bbb99f1fff741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2026-07-20T15:41:03.863692Z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>
        <v>0.39604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</row>
    <row r="79" ht="36" customHeight="1">
      <c r="A79" s="24" t="inlineStr">
        <is>
          <t>afaf853c69284bb6</t>
        </is>
      </c>
      <c r="B79" s="24" t="inlineStr">
        <is>
          <t>2026-07-20T15:44:38.792804Z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-317</v>
      </c>
      <c r="M79" s="27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2026-07-20T15:41:06.249047Z</t>
        </is>
      </c>
      <c r="BI79" s="24" t="inlineStr">
        <is>
          <t>["same_event","same_team_same_day","same_league_same_day"]</t>
        </is>
      </c>
      <c r="BJ79" s="25" t="n"/>
      <c r="BK79" s="26" t="n">
        <v>-317</v>
      </c>
      <c r="BL79" s="27" t="n">
        <v>1.315457</v>
      </c>
      <c r="BM79" s="28" t="n">
        <v>0.760192</v>
      </c>
      <c r="BN79" s="28" t="n">
        <v>0.752475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23aad3907b4640b1</t>
        </is>
      </c>
      <c r="B80" s="24" t="inlineStr">
        <is>
          <t>2026-07-20T15:44:38.792804Z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-456</v>
      </c>
      <c r="M80" s="27" t="n">
        <v>1.219298</v>
      </c>
      <c r="N80" s="28" t="n">
        <v>0.820144</v>
      </c>
      <c r="O80" s="28" t="n">
        <v>0.738843</v>
      </c>
      <c r="P80" s="28" t="n"/>
      <c r="Q80" s="28" t="n">
        <v>-0.081301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0.5051; executable ask 0.8200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2026-07-20T15:41:07.394583Z</t>
        </is>
      </c>
      <c r="BI80" s="24" t="inlineStr">
        <is>
          <t>["same_event","same_team_same_day","same_league_same_day"]</t>
        </is>
      </c>
      <c r="BJ80" s="25" t="n"/>
      <c r="BK80" s="26" t="n">
        <v>-456</v>
      </c>
      <c r="BL80" s="27" t="n">
        <v>1.219298</v>
      </c>
      <c r="BM80" s="28" t="n">
        <v>0.820144</v>
      </c>
      <c r="BN80" s="28" t="n">
        <v>0.811881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1a48e42752fa4d4d</t>
        </is>
      </c>
      <c r="B81" s="24" t="inlineStr">
        <is>
          <t>2026-07-20T16:43:23.198474Z</t>
        </is>
      </c>
      <c r="C81" s="24" t="inlineStr">
        <is>
          <t>2026-07-20T20:00:00Z</t>
        </is>
      </c>
      <c r="D81" s="24" t="inlineStr">
        <is>
          <t>54491</t>
        </is>
      </c>
      <c r="E81" s="24" t="inlineStr">
        <is>
          <t>LOL</t>
        </is>
      </c>
      <c r="F81" s="24" t="inlineStr">
        <is>
          <t>KaBuM! Ilha das Lendas</t>
        </is>
      </c>
      <c r="G81" s="24" t="inlineStr">
        <is>
          <t>Vivo Keyd Stars Academy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144</v>
      </c>
      <c r="M81" s="27" t="n">
        <v>2.44</v>
      </c>
      <c r="N81" s="28" t="n">
        <v>0.409836</v>
      </c>
      <c r="O81" s="28" t="n">
        <v>0.597574</v>
      </c>
      <c r="P81" s="28" t="n"/>
      <c r="Q81" s="28" t="n">
        <v>0.187574</v>
      </c>
      <c r="R81" s="26" t="n">
        <v>100</v>
      </c>
      <c r="S81" s="29" t="n">
        <v>1.5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0.4100 (aec-lol-vksa-kbm-2026-07-20).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KaBuM! Ilha das Lendas</t>
        </is>
      </c>
      <c r="AQ81" s="24" t="inlineStr">
        <is>
          <t>KaBuM! Ilha das Lendas</t>
        </is>
      </c>
      <c r="AR81" s="24" t="inlineStr">
        <is>
          <t>KaBuM! Ilha das Lendas</t>
        </is>
      </c>
      <c r="AS81" s="24" t="inlineStr">
        <is>
          <t>Vivo Keyd Stars Academy</t>
        </is>
      </c>
      <c r="AT81" s="24" t="inlineStr">
        <is>
          <t>Vivo Keyd Stars Academy</t>
        </is>
      </c>
      <c r="AU81" s="24" t="inlineStr">
        <is>
          <t>Vivo Keyd Stars Academy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4657ea085a2e161ea0063f513a6bf98a7c01549b126f36526876e6d6a2152307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4657ea085a2e161ea0063f513a6bf98a7c01549b126f36526876e6d6a2152307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2026-07-20T16:43:23.198474Z</t>
        </is>
      </c>
      <c r="BI81" s="24" t="inlineStr">
        <is>
          <t>["same_event","same_team_same_day","same_league_same_day"]</t>
        </is>
      </c>
      <c r="BJ81" s="25" t="n"/>
      <c r="BK81" s="26" t="n">
        <v>144</v>
      </c>
      <c r="BL81" s="27" t="n">
        <v>2.44</v>
      </c>
      <c r="BM81" s="28" t="n">
        <v>0.409836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c8a2ce99ec2b4bb4</t>
        </is>
      </c>
      <c r="B82" s="24" t="inlineStr">
        <is>
          <t>2026-07-20T16:43:23.412348Z</t>
        </is>
      </c>
      <c r="C82" s="24" t="inlineStr">
        <is>
          <t>2026-07-20T21:00:00Z</t>
        </is>
      </c>
      <c r="D82" s="24" t="inlineStr">
        <is>
          <t>54670</t>
        </is>
      </c>
      <c r="E82" s="24" t="inlineStr">
        <is>
          <t>LOL</t>
        </is>
      </c>
      <c r="F82" s="24" t="inlineStr">
        <is>
          <t>INTZ e-Sports</t>
        </is>
      </c>
      <c r="G82" s="24" t="inlineStr">
        <is>
          <t>7REX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186</v>
      </c>
      <c r="M82" s="27" t="n">
        <v>2.86</v>
      </c>
      <c r="N82" s="28" t="n">
        <v>0.34965</v>
      </c>
      <c r="O82" s="28" t="n">
        <v>0.597891</v>
      </c>
      <c r="P82" s="28" t="n"/>
      <c r="Q82" s="28" t="n">
        <v>0.247891</v>
      </c>
      <c r="R82" s="26" t="n">
        <v>100</v>
      </c>
      <c r="S82" s="29" t="n">
        <v>1.5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0.3500 (aec-lol-itz-7rex-2026-07-20).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INTZ e-Sports</t>
        </is>
      </c>
      <c r="AQ82" s="24" t="inlineStr">
        <is>
          <t>INTZ e-Sports</t>
        </is>
      </c>
      <c r="AR82" s="24" t="inlineStr">
        <is>
          <t>INTZ e-Sports</t>
        </is>
      </c>
      <c r="AS82" s="24" t="inlineStr">
        <is>
          <t>7REX</t>
        </is>
      </c>
      <c r="AT82" s="24" t="inlineStr">
        <is>
          <t>7REX</t>
        </is>
      </c>
      <c r="AU82" s="24" t="inlineStr">
        <is>
          <t>7REX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4657ea085a2e161ea0063f513a6bf98a7c01549b126f36526876e6d6a2152307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4657ea085a2e161ea0063f513a6bf98a7c01549b126f36526876e6d6a2152307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2026-07-20T16:43:23.412348Z</t>
        </is>
      </c>
      <c r="BI82" s="24" t="inlineStr">
        <is>
          <t>["same_event","same_team_same_day","same_league_same_day"]</t>
        </is>
      </c>
      <c r="BJ82" s="25" t="n"/>
      <c r="BK82" s="26" t="n">
        <v>186</v>
      </c>
      <c r="BL82" s="27" t="n">
        <v>2.86</v>
      </c>
      <c r="BM82" s="28" t="n">
        <v>0.34965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59e23c595c724c2d</t>
        </is>
      </c>
      <c r="B83" s="24" t="inlineStr">
        <is>
          <t>2026-07-20T16:43:23.600706Z</t>
        </is>
      </c>
      <c r="C83" s="24" t="inlineStr">
        <is>
          <t>2026-07-20T23:00:00Z</t>
        </is>
      </c>
      <c r="D83" s="24" t="inlineStr">
        <is>
          <t>54724</t>
        </is>
      </c>
      <c r="E83" s="24" t="inlineStr">
        <is>
          <t>LOL</t>
        </is>
      </c>
      <c r="F83" s="24" t="inlineStr">
        <is>
          <t>Team Solid</t>
        </is>
      </c>
      <c r="G83" s="24" t="inlineStr">
        <is>
          <t>RMD Gaming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-144</v>
      </c>
      <c r="M83" s="27" t="n">
        <v>1.694444</v>
      </c>
      <c r="N83" s="28" t="n">
        <v>0.590164</v>
      </c>
      <c r="O83" s="28" t="n">
        <v>0.537815</v>
      </c>
      <c r="P83" s="28" t="n"/>
      <c r="Q83" s="28" t="n">
        <v>-0.052185</v>
      </c>
      <c r="R83" s="26" t="n">
        <v>0</v>
      </c>
      <c r="S83" s="29" t="n">
        <v>1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0.5900 (aec-lol-tse-rmd-2026-07-20).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Team Solid</t>
        </is>
      </c>
      <c r="AQ83" s="24" t="inlineStr">
        <is>
          <t>Team Solid</t>
        </is>
      </c>
      <c r="AR83" s="24" t="inlineStr">
        <is>
          <t>Team Solid</t>
        </is>
      </c>
      <c r="AS83" s="24" t="inlineStr">
        <is>
          <t>RMD Gaming</t>
        </is>
      </c>
      <c r="AT83" s="24" t="inlineStr">
        <is>
          <t>RMD Gaming</t>
        </is>
      </c>
      <c r="AU83" s="24" t="inlineStr">
        <is>
          <t>RMD Gaming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4657ea085a2e161ea0063f513a6bf98a7c01549b126f36526876e6d6a2152307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4657ea085a2e161ea0063f513a6bf98a7c01549b126f36526876e6d6a2152307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2026-07-20T16:43:23.600706Z</t>
        </is>
      </c>
      <c r="BI83" s="24" t="inlineStr">
        <is>
          <t>["same_event","same_team_same_day","same_league_same_day"]</t>
        </is>
      </c>
      <c r="BJ83" s="25" t="n"/>
      <c r="BK83" s="26" t="n">
        <v>-144</v>
      </c>
      <c r="BL83" s="27" t="n">
        <v>1.694444</v>
      </c>
      <c r="BM83" s="28" t="n">
        <v>0.590164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13b3d8aeb7054f14</t>
        </is>
      </c>
      <c r="B84" s="24" t="inlineStr">
        <is>
          <t>2026-07-20T16:43:29.969000Z</t>
        </is>
      </c>
      <c r="C84" s="24" t="inlineStr">
        <is>
          <t>2026-07-20T21:00:00Z</t>
        </is>
      </c>
      <c r="D84" s="24" t="inlineStr">
        <is>
          <t>54669</t>
        </is>
      </c>
      <c r="E84" s="24" t="inlineStr">
        <is>
          <t>CS2</t>
        </is>
      </c>
      <c r="F84" s="24" t="inlineStr">
        <is>
          <t>QUINTESSÊNCIA</t>
        </is>
      </c>
      <c r="G84" s="24" t="inlineStr">
        <is>
          <t>MIBR Academy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-223</v>
      </c>
      <c r="M84" s="27" t="n">
        <v>1.44843</v>
      </c>
      <c r="N84" s="28" t="n">
        <v>0.690402</v>
      </c>
      <c r="O84" s="28" t="n">
        <v>0.5805439999999999</v>
      </c>
      <c r="P84" s="28" t="n"/>
      <c r="Q84" s="28" t="n">
        <v>-0.109456</v>
      </c>
      <c r="R84" s="26" t="n">
        <v>0</v>
      </c>
      <c r="S84" s="29" t="n">
        <v>1.25</v>
      </c>
      <c r="T84" s="24" t="inlineStr">
        <is>
          <t>cs2-neutral-series-elo-v1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0.6900 (aec-cs2-mibra-quin-2026-07-20).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QUINTESSÊNCIA</t>
        </is>
      </c>
      <c r="AQ84" s="24" t="inlineStr">
        <is>
          <t>QUINTESSÊNCIA</t>
        </is>
      </c>
      <c r="AR84" s="24" t="inlineStr">
        <is>
          <t>QUINTESSÊNCIA</t>
        </is>
      </c>
      <c r="AS84" s="24" t="inlineStr">
        <is>
          <t>MIBR Academy</t>
        </is>
      </c>
      <c r="AT84" s="24" t="inlineStr">
        <is>
          <t>MIBR Academy</t>
        </is>
      </c>
      <c r="AU84" s="24" t="inlineStr">
        <is>
          <t>MIBR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8ec29f8dd1985b5dbc96c1339c99e2a2129c4afa4af6efce101e4f76d99dce85</t>
        </is>
      </c>
      <c r="BB84" s="24" t="inlineStr">
        <is>
          <t>neutral_elo</t>
        </is>
      </c>
      <c r="BC84" s="24" t="inlineStr">
        <is>
          <t>cs2-neutral-series-elo-v1</t>
        </is>
      </c>
      <c r="BD84" s="24" t="inlineStr">
        <is>
          <t>8ec29f8dd1985b5dbc96c1339c99e2a2129c4afa4af6efce101e4f76d99dce85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2026-07-20T16:43:29.969000Z</t>
        </is>
      </c>
      <c r="BI84" s="24" t="inlineStr">
        <is>
          <t>["same_event","same_team_same_day","same_league_same_day"]</t>
        </is>
      </c>
      <c r="BJ84" s="25" t="n"/>
      <c r="BK84" s="26" t="n">
        <v>-223</v>
      </c>
      <c r="BL84" s="27" t="n">
        <v>1.44843</v>
      </c>
      <c r="BM84" s="28" t="n">
        <v>0.690402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b56aaa797c2a4200</t>
        </is>
      </c>
      <c r="B85" s="24" t="inlineStr">
        <is>
          <t>2026-07-20T16:43:30.199856Z</t>
        </is>
      </c>
      <c r="C85" s="24" t="inlineStr">
        <is>
          <t>2026-07-20T21:00:00Z</t>
        </is>
      </c>
      <c r="D85" s="24" t="inlineStr">
        <is>
          <t>54672</t>
        </is>
      </c>
      <c r="E85" s="24" t="inlineStr">
        <is>
          <t>CS2</t>
        </is>
      </c>
      <c r="F85" s="24" t="inlineStr">
        <is>
          <t>METANOIA WOLVES</t>
        </is>
      </c>
      <c r="G85" s="24" t="inlineStr">
        <is>
          <t>RED Canids Academy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0.719007</v>
      </c>
      <c r="P85" s="28" t="n"/>
      <c r="Q85" s="28" t="n">
        <v>0.129007</v>
      </c>
      <c r="R85" s="26" t="n">
        <v>100</v>
      </c>
      <c r="S85" s="29" t="n">
        <v>2</v>
      </c>
      <c r="T85" s="24" t="inlineStr">
        <is>
          <t>cs2-neutral-series-elo-v1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0.5900 (aec-cs2-reda-mw-2026-07-20).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METANOIA WOLVES</t>
        </is>
      </c>
      <c r="AQ85" s="24" t="inlineStr">
        <is>
          <t>METANOIA WOLVES</t>
        </is>
      </c>
      <c r="AR85" s="24" t="inlineStr">
        <is>
          <t>METANOIA WOLVES</t>
        </is>
      </c>
      <c r="AS85" s="24" t="inlineStr">
        <is>
          <t>RED Canids Academy</t>
        </is>
      </c>
      <c r="AT85" s="24" t="inlineStr">
        <is>
          <t>RED Canids Academy</t>
        </is>
      </c>
      <c r="AU85" s="24" t="inlineStr">
        <is>
          <t>RED Canids Academy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8ec29f8dd1985b5dbc96c1339c99e2a2129c4afa4af6efce101e4f76d99dce85</t>
        </is>
      </c>
      <c r="BB85" s="24" t="inlineStr">
        <is>
          <t>neutral_elo</t>
        </is>
      </c>
      <c r="BC85" s="24" t="inlineStr">
        <is>
          <t>cs2-neutral-series-elo-v1</t>
        </is>
      </c>
      <c r="BD85" s="24" t="inlineStr">
        <is>
          <t>8ec29f8dd1985b5dbc96c1339c99e2a2129c4afa4af6efce101e4f76d99dce85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2026-07-20T16:43:30.199856Z</t>
        </is>
      </c>
      <c r="BI85" s="24" t="inlineStr">
        <is>
          <t>["same_event","same_team_same_day","same_league_same_day"]</t>
        </is>
      </c>
      <c r="BJ85" s="25" t="n"/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2026-07-20T16:43:30Z</dcterms:created>
  <dcterms:modified xsi:type="dcterms:W3CDTF">2026-07-20T16:43:30Z</dcterms:modified>
</cp:coreProperties>
</file>