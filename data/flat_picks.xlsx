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261" headerRowCount="1">
  <autoFilter ref="A1:CP261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COUNTA('Picks'!$A$2:$A$261)</f>
        <v/>
      </c>
      <c r="C4" s="6">
        <f>COUNTIF('Picks'!$U$2:$U$261,"open")</f>
        <v/>
      </c>
      <c r="E4" s="6">
        <f>COUNTIF('Picks'!$U$2:$U$261,"settled")</f>
        <v/>
      </c>
      <c r="G4" s="6">
        <f>IF(COUNTIFS('Picks'!$U$2:$U$261,"settled",'Picks'!$V$2:$V$261,"win")+COUNTIFS('Picks'!$U$2:$U$261,"settled",'Picks'!$V$2:$V$261,"loss")&gt;=$L$2,"Ready","Insufficient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COUNTIF('Picks'!$BX$2:$BX$261,"&gt;0")</f>
        <v/>
      </c>
      <c r="C7" s="6">
        <f>COUNTIFS('Picks'!$BX$2:$BX$261,"&gt;0",'Picks'!$V$2:$V$261,"win")&amp;"-"&amp;COUNTIFS('Picks'!$BX$2:$BX$261,"&gt;0",'Picks'!$V$2:$V$261,"loss")</f>
        <v/>
      </c>
      <c r="E7" s="7">
        <f>IFERROR(COUNTIFS('Picks'!$BX$2:$BX$261,"&gt;0",'Picks'!$V$2:$V$261,"win")/(COUNTIFS('Picks'!$BX$2:$BX$261,"&gt;0",'Picks'!$V$2:$V$261,"win")+COUNTIFS('Picks'!$BX$2:$BX$261,"&gt;0",'Picks'!$V$2:$V$261,"loss")),0)</f>
        <v/>
      </c>
      <c r="G7" s="7">
        <f>IFERROR(SUM('Picks'!$BY$2:$BY$261)/SUM('Picks'!$BX$2:$BX$261),0)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SUM('Picks'!$BY$2:$BY$261)</f>
        <v/>
      </c>
      <c r="C10" s="9">
        <f>IFERROR(AVERAGEIF('Picks'!$AB$2:$AB$261,"&lt;&gt;",'Picks'!$AB$2:$AB$261),0)</f>
        <v/>
      </c>
      <c r="E10" s="6">
        <f>COUNTIFS('Picks'!$AM$2:$AM$261,"QUALIFIED_SHADOW_CALL",'Picks'!$U$2:$U$261,"settled")</f>
        <v/>
      </c>
      <c r="G10" s="8">
        <f>SUMIFS('Picks'!$AC$2:$AC$261,'Picks'!$AM$2:$AM$261,"QUALIFIED_SHADOW_CALL")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COUNTIFS('Picks'!$H$2:$H$261,$A14,'Picks'!$U$2:$U$261,"settled")</f>
        <v/>
      </c>
      <c r="C14" s="13">
        <f>COUNTIFS('Picks'!$H$2:$H$261,$A14,'Picks'!$U$2:$U$261,"settled",'Picks'!$V$2:$V$261,"win")</f>
        <v/>
      </c>
      <c r="D14" s="13">
        <f>COUNTIFS('Picks'!$H$2:$H$261,$A14,'Picks'!$U$2:$U$261,"settled",'Picks'!$V$2:$V$261,"loss")</f>
        <v/>
      </c>
      <c r="E14" s="14">
        <f>IFERROR(C14/(C14+D14),0)</f>
        <v/>
      </c>
      <c r="F14" s="15">
        <f>SUMIFS('Picks'!$BY$2:$BY$261,'Picks'!$H$2:$H$261,$A14)</f>
        <v/>
      </c>
      <c r="G14" s="16">
        <f>IFERROR(AVERAGEIFS('Picks'!$AB$2:$AB$261,'Picks'!$H$2:$H$261,$A14,'Picks'!$U$2:$U$261,"settled"),0)</f>
        <v/>
      </c>
    </row>
    <row r="15">
      <c r="A15" s="17" t="inlineStr">
        <is>
          <t>spread</t>
        </is>
      </c>
      <c r="B15" s="18">
        <f>COUNTIFS('Picks'!$H$2:$H$261,$A15,'Picks'!$U$2:$U$261,"settled")</f>
        <v/>
      </c>
      <c r="C15" s="18">
        <f>COUNTIFS('Picks'!$H$2:$H$261,$A15,'Picks'!$U$2:$U$261,"settled",'Picks'!$V$2:$V$261,"win")</f>
        <v/>
      </c>
      <c r="D15" s="18">
        <f>COUNTIFS('Picks'!$H$2:$H$261,$A15,'Picks'!$U$2:$U$261,"settled",'Picks'!$V$2:$V$261,"loss")</f>
        <v/>
      </c>
      <c r="E15" s="19">
        <f>IFERROR(C15/(C15+D15),0)</f>
        <v/>
      </c>
      <c r="F15" s="20">
        <f>SUMIFS('Picks'!$BY$2:$BY$261,'Picks'!$H$2:$H$261,$A15)</f>
        <v/>
      </c>
      <c r="G15" s="21">
        <f>IFERROR(AVERAGEIFS('Picks'!$AB$2:$AB$261,'Picks'!$H$2:$H$261,$A15,'Picks'!$U$2:$U$261,"settled"),0)</f>
        <v/>
      </c>
    </row>
    <row r="16">
      <c r="A16" s="12" t="inlineStr">
        <is>
          <t>total</t>
        </is>
      </c>
      <c r="B16" s="13">
        <f>COUNTIFS('Picks'!$H$2:$H$261,$A16,'Picks'!$U$2:$U$261,"settled")</f>
        <v/>
      </c>
      <c r="C16" s="13">
        <f>COUNTIFS('Picks'!$H$2:$H$261,$A16,'Picks'!$U$2:$U$261,"settled",'Picks'!$V$2:$V$261,"win")</f>
        <v/>
      </c>
      <c r="D16" s="13">
        <f>COUNTIFS('Picks'!$H$2:$H$261,$A16,'Picks'!$U$2:$U$261,"settled",'Picks'!$V$2:$V$261,"loss")</f>
        <v/>
      </c>
      <c r="E16" s="14">
        <f>IFERROR(C16/(C16+D16),0)</f>
        <v/>
      </c>
      <c r="F16" s="15">
        <f>SUMIFS('Picks'!$BY$2:$BY$261,'Picks'!$H$2:$H$261,$A16)</f>
        <v/>
      </c>
      <c r="G16" s="16">
        <f>IFERROR(AVERAGEIFS('Picks'!$AB$2:$AB$261,'Picks'!$H$2:$H$261,$A16,'Picks'!$U$2:$U$261,"settled"),0)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4765ca9658a544c2</t>
        </is>
      </c>
      <c r="B9" s="24" t="inlineStr">
        <is>
          <t>2026-07-30T16:02:41.811013Z</t>
        </is>
      </c>
      <c r="C9" s="24" t="inlineStr">
        <is>
          <t>2026-07-30T12:10:00-0400</t>
        </is>
      </c>
      <c r="D9" s="24" t="inlineStr">
        <is>
          <t>401816324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Tampa Bay Rays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-160</v>
      </c>
      <c r="M9" s="27" t="n">
        <v>1.625</v>
      </c>
      <c r="N9" s="28" t="n">
        <v>0.615385</v>
      </c>
      <c r="O9" s="28" t="n">
        <v>0.560375</v>
      </c>
      <c r="P9" s="28" t="n"/>
      <c r="Q9" s="28" t="n">
        <v>-0.05501</v>
      </c>
      <c r="R9" s="26" t="n">
        <v>0</v>
      </c>
      <c r="S9" s="29" t="n">
        <v>1</v>
      </c>
      <c r="T9" s="24" t="inlineStr">
        <is>
          <t>mlb-elo-trend-lr-v7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3</v>
      </c>
      <c r="Y9" s="25" t="n"/>
      <c r="Z9" s="26" t="n">
        <v>-160</v>
      </c>
      <c r="AA9" s="28" t="n">
        <v>0.615</v>
      </c>
      <c r="AB9" s="28" t="n">
        <v>-0.000385</v>
      </c>
      <c r="AC9" s="30" t="n">
        <v>0.625</v>
      </c>
      <c r="AD9" s="24" t="inlineStr">
        <is>
          <t>2026-07-30T21:05:53.177909Z</t>
        </is>
      </c>
      <c r="AE9" s="31" t="inlineStr">
        <is>
          <t>Learned LR call at threshold 0.6242; executable ask 0.6150 (aec-mlb-tex-tb-2026-07-30); model edge vs ask -0.0546.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mlb-tb</t>
        </is>
      </c>
      <c r="AT9" s="24" t="inlineStr">
        <is>
          <t>Tampa Bay Rays</t>
        </is>
      </c>
      <c r="AU9" s="24" t="inlineStr">
        <is>
          <t>Tampa Bay Rays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464eef695bfbbdaa819ec6f5e4c5bd1068ed20b92915fb2677220ae91e20d8b6</t>
        </is>
      </c>
      <c r="BB9" s="24" t="inlineStr">
        <is>
          <t>learned_lr</t>
        </is>
      </c>
      <c r="BC9" s="24" t="inlineStr">
        <is>
          <t>mlb-elo-trend-lr-v7</t>
        </is>
      </c>
      <c r="BD9" s="24" t="inlineStr">
        <is>
          <t>464eef695bfbbdaa819ec6f5e4c5bd1068ed20b92915fb2677220ae91e20d8b6</t>
        </is>
      </c>
      <c r="BE9" s="24" t="inlineStr">
        <is>
          <t>2e5c467578e391cd</t>
        </is>
      </c>
      <c r="BF9" s="24" t="inlineStr">
        <is>
          <t>1</t>
        </is>
      </c>
      <c r="BG9" s="24" t="inlineStr">
        <is>
          <t>mlb-elo-trend-lr-v7</t>
        </is>
      </c>
      <c r="BH9" s="24" t="inlineStr">
        <is>
          <t>2026-07-30T16:01:48.107244Z</t>
        </is>
      </c>
      <c r="BI9" s="24" t="inlineStr">
        <is>
          <t>["same_event","same_team_same_day","same_league_same_day"]</t>
        </is>
      </c>
      <c r="BJ9" s="25" t="n"/>
      <c r="BK9" s="26" t="n">
        <v>-160</v>
      </c>
      <c r="BL9" s="27" t="n">
        <v>1.625</v>
      </c>
      <c r="BM9" s="28" t="n">
        <v>0.615385</v>
      </c>
      <c r="BN9" s="28" t="n">
        <v>0.61194</v>
      </c>
      <c r="BO9" s="28" t="n"/>
      <c r="BP9" s="25" t="n"/>
      <c r="BQ9" s="27" t="n">
        <v>1.625</v>
      </c>
      <c r="BR9" s="28" t="n">
        <v>0.615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0.5786000288</t>
        </is>
      </c>
      <c r="CD9" s="24" t="inlineStr">
        <is>
          <t>0.008586</t>
        </is>
      </c>
      <c r="CE9" s="24" t="inlineStr">
        <is>
          <t>0.965</t>
        </is>
      </c>
      <c r="CF9" s="24" t="inlineStr">
        <is>
          <t>1.0</t>
        </is>
      </c>
      <c r="CG9" s="24" t="inlineStr">
        <is>
          <t>-1.6</t>
        </is>
      </c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406393dea9594c0a</t>
        </is>
      </c>
      <c r="B10" s="24" t="inlineStr">
        <is>
          <t>2026-07-30T16:03:19.057215Z</t>
        </is>
      </c>
      <c r="C10" s="24" t="inlineStr">
        <is>
          <t>2026-07-30T16:10Z</t>
        </is>
      </c>
      <c r="D10" s="24" t="inlineStr">
        <is>
          <t>401816324</t>
        </is>
      </c>
      <c r="E10" s="24" t="inlineStr">
        <is>
          <t>MLB</t>
        </is>
      </c>
      <c r="F10" s="24" t="inlineStr">
        <is>
          <t>Texas Rangers</t>
        </is>
      </c>
      <c r="G10" s="24" t="inlineStr">
        <is>
          <t>Tampa Bay Rays</t>
        </is>
      </c>
      <c r="H10" s="24" t="inlineStr">
        <is>
          <t>spread</t>
        </is>
      </c>
      <c r="I10" s="24" t="inlineStr">
        <is>
          <t>away</t>
        </is>
      </c>
      <c r="J10" s="25" t="n">
        <v>1.5</v>
      </c>
      <c r="K10" s="24" t="inlineStr">
        <is>
          <t>polymarket_us</t>
        </is>
      </c>
      <c r="L10" s="26" t="n">
        <v>-125</v>
      </c>
      <c r="M10" s="27" t="n">
        <v>1.8</v>
      </c>
      <c r="N10" s="28" t="n">
        <v>0.555556</v>
      </c>
      <c r="O10" s="28" t="n">
        <v>0.542925</v>
      </c>
      <c r="P10" s="28" t="n">
        <v>0.042131</v>
      </c>
      <c r="Q10" s="28" t="n">
        <v>-0.012631</v>
      </c>
      <c r="R10" s="26" t="n">
        <v>18</v>
      </c>
      <c r="S10" s="29" t="n">
        <v>1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3</v>
      </c>
      <c r="Y10" s="25" t="n">
        <v>1.5</v>
      </c>
      <c r="Z10" s="26" t="n">
        <v>-125</v>
      </c>
      <c r="AA10" s="28" t="n">
        <v>0.555</v>
      </c>
      <c r="AB10" s="28" t="n">
        <v>-0.000556</v>
      </c>
      <c r="AC10" s="30" t="n">
        <v>0.8</v>
      </c>
      <c r="AD10" s="24" t="inlineStr">
        <is>
          <t>2026-07-30T21:05:53.337456Z</t>
        </is>
      </c>
      <c r="AE10" s="31" t="inlineStr">
        <is>
          <t>Measured Edge Margin: Trend Engine projected 4.22-4.87; raw selected-side p=0.6072, calibrated p=0.5429.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mlb-tex</t>
        </is>
      </c>
      <c r="AQ10" s="24" t="inlineStr">
        <is>
          <t>Texas Rangers</t>
        </is>
      </c>
      <c r="AR10" s="24" t="inlineStr">
        <is>
          <t>Texas Rangers</t>
        </is>
      </c>
      <c r="AS10" s="24" t="inlineStr">
        <is>
          <t>mlb-tb</t>
        </is>
      </c>
      <c r="AT10" s="24" t="inlineStr">
        <is>
          <t>Tampa Bay Rays</t>
        </is>
      </c>
      <c r="AU10" s="24" t="inlineStr">
        <is>
          <t>Tampa Bay Rays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2bc2ce55b0d39a20103f724bbddbde5394909acd49297f52665b596a0ae3ae8b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2bc2ce55b0d39a20103f724bbddbde5394909acd49297f52665b596a0ae3ae8b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2026-07-30T16:03:19.057215Z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-125</v>
      </c>
      <c r="BL10" s="27" t="n">
        <v>1.8</v>
      </c>
      <c r="BM10" s="28" t="n">
        <v>0.555556</v>
      </c>
      <c r="BN10" s="28" t="n">
        <v>0.552239</v>
      </c>
      <c r="BO10" s="28" t="n"/>
      <c r="BP10" s="25" t="n"/>
      <c r="BQ10" s="27" t="n">
        <v>1.8</v>
      </c>
      <c r="BR10" s="28" t="n">
        <v>0.555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11bd8c09245d4774</t>
        </is>
      </c>
      <c r="B11" s="24" t="inlineStr">
        <is>
          <t>2026-07-30T16:03:19.057215Z</t>
        </is>
      </c>
      <c r="C11" s="24" t="inlineStr">
        <is>
          <t>2026-07-30T16:10Z</t>
        </is>
      </c>
      <c r="D11" s="24" t="inlineStr">
        <is>
          <t>401816324</t>
        </is>
      </c>
      <c r="E11" s="24" t="inlineStr">
        <is>
          <t>MLB</t>
        </is>
      </c>
      <c r="F11" s="24" t="inlineStr">
        <is>
          <t>Texas Rangers</t>
        </is>
      </c>
      <c r="G11" s="24" t="inlineStr">
        <is>
          <t>Tampa Bay Rays</t>
        </is>
      </c>
      <c r="H11" s="24" t="inlineStr">
        <is>
          <t>total</t>
        </is>
      </c>
      <c r="I11" s="24" t="inlineStr">
        <is>
          <t>over</t>
        </is>
      </c>
      <c r="J11" s="25" t="n">
        <v>7.5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0.582045</v>
      </c>
      <c r="P11" s="28" t="n">
        <v>0.042131</v>
      </c>
      <c r="Q11" s="28" t="n">
        <v>0.051529</v>
      </c>
      <c r="R11" s="26" t="n">
        <v>50</v>
      </c>
      <c r="S11" s="29" t="n">
        <v>1.25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3</v>
      </c>
      <c r="Y11" s="25" t="n">
        <v>7.5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2026-07-30T21:05:53.492089Z</t>
        </is>
      </c>
      <c r="AE11" s="31" t="inlineStr">
        <is>
          <t>Measured Edge Totals: Trend Engine projected 4.22-4.87; raw selected-side p=0.6005, calibrated p=0.5820.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mlb-tex</t>
        </is>
      </c>
      <c r="AQ11" s="24" t="inlineStr">
        <is>
          <t>Texas Rangers</t>
        </is>
      </c>
      <c r="AR11" s="24" t="inlineStr">
        <is>
          <t>Texas Rangers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cbc2c9bf5a9569a49e1902c816d96556d704cf10819ca3a9e927721685757d0b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cbc2c9bf5a9569a49e1902c816d96556d704cf10819ca3a9e927721685757d0b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2026-07-30T16:03:19.057215Z</t>
        </is>
      </c>
      <c r="BI11" s="24" t="inlineStr">
        <is>
          <t>["same_event","same_team_same_day","same_league_same_day"]</t>
        </is>
      </c>
      <c r="BJ11" s="25" t="n">
        <v>7.5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80054eebaf564b26</t>
        </is>
      </c>
      <c r="B12" s="24" t="inlineStr">
        <is>
          <t>2026-07-30T17:36:17.628396Z</t>
        </is>
      </c>
      <c r="C12" s="24" t="inlineStr">
        <is>
          <t>2026-07-30T13:40:00-0400</t>
        </is>
      </c>
      <c r="D12" s="24" t="inlineStr">
        <is>
          <t>401816327</t>
        </is>
      </c>
      <c r="E12" s="24" t="inlineStr">
        <is>
          <t>MLB</t>
        </is>
      </c>
      <c r="F12" s="24" t="inlineStr">
        <is>
          <t>Kansas City Royals</t>
        </is>
      </c>
      <c r="G12" s="24" t="inlineStr">
        <is>
          <t>Minnesota Twins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-127</v>
      </c>
      <c r="M12" s="27" t="n">
        <v>1.787402</v>
      </c>
      <c r="N12" s="28" t="n">
        <v>0.5594710000000001</v>
      </c>
      <c r="O12" s="28" t="n">
        <v>0.529687</v>
      </c>
      <c r="P12" s="28" t="n"/>
      <c r="Q12" s="28" t="n">
        <v>-0.029784</v>
      </c>
      <c r="R12" s="26" t="n">
        <v>6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win</t>
        </is>
      </c>
      <c r="W12" s="26" t="n">
        <v>3</v>
      </c>
      <c r="X12" s="26" t="n">
        <v>4</v>
      </c>
      <c r="Y12" s="25" t="n"/>
      <c r="Z12" s="26" t="n">
        <v>-127</v>
      </c>
      <c r="AA12" s="28" t="n">
        <v>0.5600000000000001</v>
      </c>
      <c r="AB12" s="28" t="n">
        <v>0.000529</v>
      </c>
      <c r="AC12" s="30" t="n">
        <v>0.5906</v>
      </c>
      <c r="AD12" s="24" t="inlineStr">
        <is>
          <t>2026-07-30T21:05:53.645918Z</t>
        </is>
      </c>
      <c r="AE12" s="31" t="inlineStr">
        <is>
          <t>Learned LR call at threshold 0.6242; executable ask 0.5600 (aec-mlb-kc-min-2026-07-30); model edge vs ask -0.0303.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mlb-kc</t>
        </is>
      </c>
      <c r="AQ12" s="24" t="inlineStr">
        <is>
          <t>Kansas City Royals</t>
        </is>
      </c>
      <c r="AR12" s="24" t="inlineStr">
        <is>
          <t>Kansas City Royals</t>
        </is>
      </c>
      <c r="AS12" s="24" t="inlineStr">
        <is>
          <t>mlb-min</t>
        </is>
      </c>
      <c r="AT12" s="24" t="inlineStr">
        <is>
          <t>Minnesota Twins</t>
        </is>
      </c>
      <c r="AU12" s="24" t="inlineStr">
        <is>
          <t>Minnesota Twins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00a066c80876c81d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2026-07-30T17:35:31.601278Z</t>
        </is>
      </c>
      <c r="BI12" s="24" t="inlineStr">
        <is>
          <t>["same_event","same_team_same_day","same_league_same_day"]</t>
        </is>
      </c>
      <c r="BJ12" s="25" t="n"/>
      <c r="BK12" s="26" t="n">
        <v>-127</v>
      </c>
      <c r="BL12" s="27" t="n">
        <v>1.787402</v>
      </c>
      <c r="BM12" s="28" t="n">
        <v>0.5594710000000001</v>
      </c>
      <c r="BN12" s="28" t="n">
        <v>0.557214</v>
      </c>
      <c r="BO12" s="28" t="n"/>
      <c r="BP12" s="25" t="n"/>
      <c r="BQ12" s="27" t="n">
        <v>1.787402</v>
      </c>
      <c r="BR12" s="28" t="n">
        <v>0.5600000000000001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0.5433979589</t>
        </is>
      </c>
      <c r="CD12" s="24" t="inlineStr">
        <is>
          <t>-0.186414</t>
        </is>
      </c>
      <c r="CE12" s="24" t="inlineStr">
        <is>
          <t>1.037</t>
        </is>
      </c>
      <c r="CF12" s="24" t="inlineStr">
        <is>
          <t>1.018</t>
        </is>
      </c>
      <c r="CG12" s="24" t="inlineStr">
        <is>
          <t>1.8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560d43ddfce245d6</t>
        </is>
      </c>
      <c r="B13" s="24" t="inlineStr">
        <is>
          <t>2026-07-30T17:36:17.628396Z</t>
        </is>
      </c>
      <c r="C13" s="24" t="inlineStr">
        <is>
          <t>2026-07-30T14:10:00-0400</t>
        </is>
      </c>
      <c r="D13" s="24" t="inlineStr">
        <is>
          <t>401816328</t>
        </is>
      </c>
      <c r="E13" s="24" t="inlineStr">
        <is>
          <t>MLB</t>
        </is>
      </c>
      <c r="F13" s="24" t="inlineStr">
        <is>
          <t>New York Yankees</t>
        </is>
      </c>
      <c r="G13" s="24" t="inlineStr">
        <is>
          <t>Chicago White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0.507087</v>
      </c>
      <c r="P13" s="28" t="n"/>
      <c r="Q13" s="28" t="n">
        <v>-0.012144</v>
      </c>
      <c r="R13" s="26" t="n">
        <v>15</v>
      </c>
      <c r="S13" s="29" t="n">
        <v>0.5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2</v>
      </c>
      <c r="Y13" s="25" t="n"/>
      <c r="Z13" s="26" t="n">
        <v>-108</v>
      </c>
      <c r="AA13" s="28" t="n">
        <v>0.52</v>
      </c>
      <c r="AB13" s="28" t="n">
        <v>0.000769</v>
      </c>
      <c r="AC13" s="30" t="n">
        <v>0.463</v>
      </c>
      <c r="AD13" s="24" t="inlineStr">
        <is>
          <t>2026-07-31T00:54:58.572192Z</t>
        </is>
      </c>
      <c r="AE13" s="31" t="inlineStr">
        <is>
          <t>Learned LR call at threshold 0.6242; executable ask 0.5200 (aec-mlb-nyy-cws-2026-07-30); model edge vs ask -0.0129.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mlb-nyy</t>
        </is>
      </c>
      <c r="AQ13" s="24" t="inlineStr">
        <is>
          <t>New York Yankees</t>
        </is>
      </c>
      <c r="AR13" s="24" t="inlineStr">
        <is>
          <t>New York Yankees</t>
        </is>
      </c>
      <c r="AS13" s="24" t="inlineStr">
        <is>
          <t>mlb-cws</t>
        </is>
      </c>
      <c r="AT13" s="24" t="inlineStr">
        <is>
          <t>Chicago White Sox</t>
        </is>
      </c>
      <c r="AU13" s="24" t="inlineStr">
        <is>
          <t>Chicago White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2ecf6de0bc0b4429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2026-07-30T17:35:32.550865Z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>
        <v>1.925926</v>
      </c>
      <c r="BR13" s="28" t="n">
        <v>0.52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0.4790915827</t>
        </is>
      </c>
      <c r="CD13" s="24" t="inlineStr">
        <is>
          <t>0.689899</t>
        </is>
      </c>
      <c r="CE13" s="24" t="inlineStr">
        <is>
          <t>0.937</t>
        </is>
      </c>
      <c r="CF13" s="24" t="inlineStr">
        <is>
          <t>1.0009</t>
        </is>
      </c>
      <c r="CG13" s="24" t="inlineStr">
        <is>
          <t>1.0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b912ee69b50f4e34</t>
        </is>
      </c>
      <c r="B14" s="24" t="inlineStr">
        <is>
          <t>2026-07-30T17:36:17.628396Z</t>
        </is>
      </c>
      <c r="C14" s="24" t="inlineStr">
        <is>
          <t>2026-07-30T14:15:00-0400</t>
        </is>
      </c>
      <c r="D14" s="24" t="inlineStr">
        <is>
          <t>401816326</t>
        </is>
      </c>
      <c r="E14" s="24" t="inlineStr">
        <is>
          <t>MLB</t>
        </is>
      </c>
      <c r="F14" s="24" t="inlineStr">
        <is>
          <t>Chicago Cubs</t>
        </is>
      </c>
      <c r="G14" s="24" t="inlineStr">
        <is>
          <t>St. Louis Cardinals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102</v>
      </c>
      <c r="M14" s="27" t="n">
        <v>2.02</v>
      </c>
      <c r="N14" s="28" t="n">
        <v>0.49505</v>
      </c>
      <c r="O14" s="28" t="n">
        <v>0.503115</v>
      </c>
      <c r="P14" s="28" t="n"/>
      <c r="Q14" s="28" t="n">
        <v>0.008064999999999999</v>
      </c>
      <c r="R14" s="26" t="n">
        <v>25</v>
      </c>
      <c r="S14" s="29" t="n">
        <v>0.5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2</v>
      </c>
      <c r="Y14" s="25" t="n"/>
      <c r="Z14" s="26" t="n">
        <v>102</v>
      </c>
      <c r="AA14" s="28" t="n">
        <v>0.495</v>
      </c>
      <c r="AB14" s="28" t="n">
        <v>-5e-05</v>
      </c>
      <c r="AC14" s="30" t="n">
        <v>0.51</v>
      </c>
      <c r="AD14" s="24" t="inlineStr">
        <is>
          <t>2026-07-31T00:54:58.732967Z</t>
        </is>
      </c>
      <c r="AE14" s="31" t="inlineStr">
        <is>
          <t>Learned LR call at threshold 0.6242; executable ask 0.4950 (aec-mlb-chc-stl-2026-07-30); model edge vs ask +0.0081.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mlb-chc</t>
        </is>
      </c>
      <c r="AQ14" s="24" t="inlineStr">
        <is>
          <t>Chicago Cubs</t>
        </is>
      </c>
      <c r="AR14" s="24" t="inlineStr">
        <is>
          <t>Chicago Cubs</t>
        </is>
      </c>
      <c r="AS14" s="24" t="inlineStr">
        <is>
          <t>mlb-stl</t>
        </is>
      </c>
      <c r="AT14" s="24" t="inlineStr">
        <is>
          <t>St. Louis Cardinals</t>
        </is>
      </c>
      <c r="AU14" s="24" t="inlineStr">
        <is>
          <t>St. Louis Cardinals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34f50d6e3a3b635c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2026-07-30T17:35:33.545496Z</t>
        </is>
      </c>
      <c r="BI14" s="24" t="inlineStr">
        <is>
          <t>["same_event","same_team_same_day","same_league_same_day"]</t>
        </is>
      </c>
      <c r="BJ14" s="25" t="n"/>
      <c r="BK14" s="26" t="n">
        <v>102</v>
      </c>
      <c r="BL14" s="27" t="n">
        <v>2.02</v>
      </c>
      <c r="BM14" s="28" t="n">
        <v>0.49505</v>
      </c>
      <c r="BN14" s="28" t="n">
        <v>0.492537</v>
      </c>
      <c r="BO14" s="28" t="n"/>
      <c r="BP14" s="25" t="n"/>
      <c r="BQ14" s="27" t="n">
        <v>2.02</v>
      </c>
      <c r="BR14" s="28" t="n">
        <v>0.495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0.4477582072</t>
        </is>
      </c>
      <c r="CD14" s="24" t="inlineStr">
        <is>
          <t>-1.388842</t>
        </is>
      </c>
      <c r="CE14" s="24" t="inlineStr">
        <is>
          <t>0.946</t>
        </is>
      </c>
      <c r="CF14" s="24" t="inlineStr">
        <is>
          <t>1.0125</t>
        </is>
      </c>
      <c r="CG14" s="24" t="inlineStr">
        <is>
          <t>2.0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e204040905f94109</t>
        </is>
      </c>
      <c r="B15" s="24" t="inlineStr">
        <is>
          <t>2026-07-30T17:36:41.418998Z</t>
        </is>
      </c>
      <c r="C15" s="24" t="inlineStr">
        <is>
          <t>2026-07-30T17:40Z</t>
        </is>
      </c>
      <c r="D15" s="24" t="inlineStr">
        <is>
          <t>401816327</t>
        </is>
      </c>
      <c r="E15" s="24" t="inlineStr">
        <is>
          <t>MLB</t>
        </is>
      </c>
      <c r="F15" s="24" t="inlineStr">
        <is>
          <t>Kansas City Royals</t>
        </is>
      </c>
      <c r="G15" s="24" t="inlineStr">
        <is>
          <t>Minnesota Twins</t>
        </is>
      </c>
      <c r="H15" s="24" t="inlineStr">
        <is>
          <t>spread</t>
        </is>
      </c>
      <c r="I15" s="24" t="inlineStr">
        <is>
          <t>away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0.550293</v>
      </c>
      <c r="P15" s="28" t="n">
        <v>0.042131</v>
      </c>
      <c r="Q15" s="28" t="n">
        <v>-0.065092</v>
      </c>
      <c r="R15" s="26" t="n">
        <v>0</v>
      </c>
      <c r="S15" s="29" t="n">
        <v>1</v>
      </c>
      <c r="T15" s="24" t="inlineStr">
        <is>
          <t>measured-edge-margin-v1</t>
        </is>
      </c>
      <c r="U15" s="24" t="inlineStr">
        <is>
          <t>settled</t>
        </is>
      </c>
      <c r="V15" s="24" t="inlineStr">
        <is>
          <t>win</t>
        </is>
      </c>
      <c r="W15" s="26" t="n">
        <v>3</v>
      </c>
      <c r="X15" s="26" t="n">
        <v>4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2026-07-30T21:05:53.799263Z</t>
        </is>
      </c>
      <c r="AE15" s="31" t="inlineStr">
        <is>
          <t>Measured Edge Margin: Trend Engine projected 4.80-5.00; raw selected-side p=0.6448, calibrated p=0.5503.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mlb-kc</t>
        </is>
      </c>
      <c r="AQ15" s="24" t="inlineStr">
        <is>
          <t>Kansas City Royals</t>
        </is>
      </c>
      <c r="AR15" s="24" t="inlineStr">
        <is>
          <t>Kansas City Royals</t>
        </is>
      </c>
      <c r="AS15" s="24" t="inlineStr">
        <is>
          <t>mlb-min</t>
        </is>
      </c>
      <c r="AT15" s="24" t="inlineStr">
        <is>
          <t>Minnesota Twins</t>
        </is>
      </c>
      <c r="AU15" s="24" t="inlineStr">
        <is>
          <t>Minnesota Twins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2bc2ce55b0d39a20103f724bbddbde5394909acd49297f52665b596a0ae3ae8b</t>
        </is>
      </c>
      <c r="BB15" s="24" t="inlineStr">
        <is>
          <t>flat_probability_shrinkage_toward_half</t>
        </is>
      </c>
      <c r="BC15" s="24" t="inlineStr">
        <is>
          <t>measured-edge-margin-v1</t>
        </is>
      </c>
      <c r="BD15" s="24" t="inlineStr">
        <is>
          <t>2bc2ce55b0d39a20103f724bbddbde5394909acd49297f52665b596a0ae3ae8b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2026-07-30T17:36:41.418998Z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0058e2e4dee14815</t>
        </is>
      </c>
      <c r="B16" s="24" t="inlineStr">
        <is>
          <t>2026-07-30T17:36:41.418998Z</t>
        </is>
      </c>
      <c r="C16" s="24" t="inlineStr">
        <is>
          <t>2026-07-30T18:10Z</t>
        </is>
      </c>
      <c r="D16" s="24" t="inlineStr">
        <is>
          <t>401816328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polymarket_us</t>
        </is>
      </c>
      <c r="L16" s="26" t="n">
        <v>-182</v>
      </c>
      <c r="M16" s="27" t="n">
        <v>1.549451</v>
      </c>
      <c r="N16" s="28" t="n">
        <v>0.64539</v>
      </c>
      <c r="O16" s="28" t="n">
        <v>0.56787</v>
      </c>
      <c r="P16" s="28" t="n">
        <v>0.042131</v>
      </c>
      <c r="Q16" s="28" t="n">
        <v>-0.07752000000000001</v>
      </c>
      <c r="R16" s="26" t="n">
        <v>0</v>
      </c>
      <c r="S16" s="29" t="n">
        <v>1.25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2</v>
      </c>
      <c r="Y16" s="25" t="n">
        <v>1.5</v>
      </c>
      <c r="Z16" s="26" t="n">
        <v>-182</v>
      </c>
      <c r="AA16" s="28" t="n">
        <v>0.645</v>
      </c>
      <c r="AB16" s="28" t="n">
        <v>-0.00039</v>
      </c>
      <c r="AC16" s="30" t="n">
        <v>0.6868</v>
      </c>
      <c r="AD16" s="24" t="inlineStr">
        <is>
          <t>2026-07-31T00:54:58.887853Z</t>
        </is>
      </c>
      <c r="AE16" s="31" t="inlineStr">
        <is>
          <t>Measured Edge Margin: Trend Engine projected 4.07-4.77; raw selected-side p=0.7342, calibrated p=0.5679.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2026-07-30T17:36:41.418998Z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-182</v>
      </c>
      <c r="BL16" s="27" t="n">
        <v>1.549451</v>
      </c>
      <c r="BM16" s="28" t="n">
        <v>0.64539</v>
      </c>
      <c r="BN16" s="28" t="n">
        <v>0.641791</v>
      </c>
      <c r="BO16" s="28" t="n"/>
      <c r="BP16" s="25" t="n"/>
      <c r="BQ16" s="27" t="n">
        <v>1.549451</v>
      </c>
      <c r="BR16" s="28" t="n">
        <v>0.645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3fc8b2e5f3744a2c</t>
        </is>
      </c>
      <c r="B17" s="24" t="inlineStr">
        <is>
          <t>2026-07-30T17:36:41.418998Z</t>
        </is>
      </c>
      <c r="C17" s="24" t="inlineStr">
        <is>
          <t>2026-07-30T18:10Z</t>
        </is>
      </c>
      <c r="D17" s="24" t="inlineStr">
        <is>
          <t>401816328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7.5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0.562449</v>
      </c>
      <c r="P17" s="28" t="n">
        <v>0.042131</v>
      </c>
      <c r="Q17" s="28" t="n">
        <v>0.077012</v>
      </c>
      <c r="R17" s="26" t="n">
        <v>63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2</v>
      </c>
      <c r="Y17" s="25" t="n">
        <v>7.5</v>
      </c>
      <c r="Z17" s="26" t="n">
        <v>106</v>
      </c>
      <c r="AA17" s="28" t="n">
        <v>0.485</v>
      </c>
      <c r="AB17" s="28" t="n">
        <v>-0.000437</v>
      </c>
      <c r="AC17" s="30" t="n">
        <v>-1.25</v>
      </c>
      <c r="AD17" s="24" t="inlineStr">
        <is>
          <t>2026-07-31T00:54:59.047172Z</t>
        </is>
      </c>
      <c r="AE17" s="31" t="inlineStr">
        <is>
          <t>Measured Edge Totals: Trend Engine projected 4.07-4.77; raw selected-side p=0.5803, calibrated p=0.5624.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2026-07-30T17:36:41.418998Z</t>
        </is>
      </c>
      <c r="BI17" s="24" t="inlineStr">
        <is>
          <t>["same_event","same_team_same_day","same_league_same_day"]</t>
        </is>
      </c>
      <c r="BJ17" s="25" t="n">
        <v>7.5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dffb9fbd0449460f</t>
        </is>
      </c>
      <c r="B18" s="24" t="inlineStr">
        <is>
          <t>2026-07-30T17:36:41.418998Z</t>
        </is>
      </c>
      <c r="C18" s="24" t="inlineStr">
        <is>
          <t>2026-07-30T18:15Z</t>
        </is>
      </c>
      <c r="D18" s="24" t="inlineStr">
        <is>
          <t>401816326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-174</v>
      </c>
      <c r="M18" s="27" t="n">
        <v>1.574713</v>
      </c>
      <c r="N18" s="28" t="n">
        <v>0.635036</v>
      </c>
      <c r="O18" s="28" t="n">
        <v>0.556257</v>
      </c>
      <c r="P18" s="28" t="n">
        <v>0.042131</v>
      </c>
      <c r="Q18" s="28" t="n">
        <v>-0.078779</v>
      </c>
      <c r="R18" s="26" t="n">
        <v>0</v>
      </c>
      <c r="S18" s="29" t="n">
        <v>1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4</v>
      </c>
      <c r="X18" s="26" t="n">
        <v>2</v>
      </c>
      <c r="Y18" s="25" t="n">
        <v>1.5</v>
      </c>
      <c r="Z18" s="26" t="n">
        <v>-174</v>
      </c>
      <c r="AA18" s="28" t="n">
        <v>0.635</v>
      </c>
      <c r="AB18" s="28" t="n">
        <v>-3.6e-05</v>
      </c>
      <c r="AC18" s="30" t="n">
        <v>-1</v>
      </c>
      <c r="AD18" s="24" t="inlineStr">
        <is>
          <t>2026-07-31T00:54:59.202385Z</t>
        </is>
      </c>
      <c r="AE18" s="31" t="inlineStr">
        <is>
          <t>Measured Edge Margin: Trend Engine projected 4.49-4.55; raw selected-side p=0.6751, calibrated p=0.5563.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2bc2ce55b0d39a20103f724bbddbde5394909acd49297f52665b596a0ae3ae8b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2bc2ce55b0d39a20103f724bbddbde5394909acd49297f52665b596a0ae3ae8b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2026-07-30T17:36:41.418998Z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-174</v>
      </c>
      <c r="BL18" s="27" t="n">
        <v>1.574713</v>
      </c>
      <c r="BM18" s="28" t="n">
        <v>0.635036</v>
      </c>
      <c r="BN18" s="28" t="n">
        <v>0.631841</v>
      </c>
      <c r="BO18" s="28" t="n"/>
      <c r="BP18" s="25" t="n"/>
      <c r="BQ18" s="27" t="n">
        <v>1.574713</v>
      </c>
      <c r="BR18" s="28" t="n">
        <v>0.635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f51c71784cf44ec9</t>
        </is>
      </c>
      <c r="B19" s="24" t="inlineStr">
        <is>
          <t>2026-07-30T17:36:41.418998Z</t>
        </is>
      </c>
      <c r="C19" s="24" t="inlineStr">
        <is>
          <t>2026-07-30T18:15Z</t>
        </is>
      </c>
      <c r="D19" s="24" t="inlineStr">
        <is>
          <t>401816326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8.5</v>
      </c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0.500169</v>
      </c>
      <c r="P19" s="28" t="n">
        <v>0.042131</v>
      </c>
      <c r="Q19" s="28" t="n">
        <v>0.030685</v>
      </c>
      <c r="R19" s="26" t="n">
        <v>40</v>
      </c>
      <c r="S19" s="29" t="n">
        <v>1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2</v>
      </c>
      <c r="Y19" s="25" t="n">
        <v>8.5</v>
      </c>
      <c r="Z19" s="26" t="n">
        <v>113</v>
      </c>
      <c r="AA19" s="28" t="n">
        <v>0.47</v>
      </c>
      <c r="AB19" s="28" t="n">
        <v>0.000516</v>
      </c>
      <c r="AC19" s="30" t="n">
        <v>-1</v>
      </c>
      <c r="AD19" s="24" t="inlineStr">
        <is>
          <t>2026-07-31T00:54:59.357088Z</t>
        </is>
      </c>
      <c r="AE19" s="31" t="inlineStr">
        <is>
          <t>Measured Edge Totals: Trend Engine projected 4.49-4.55; raw selected-side p=0.5161, calibrated p=0.5002.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cbc2c9bf5a9569a49e1902c816d96556d704cf10819ca3a9e927721685757d0b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cbc2c9bf5a9569a49e1902c816d96556d704cf10819ca3a9e927721685757d0b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2026-07-30T17:36:41.418998Z</t>
        </is>
      </c>
      <c r="BI19" s="24" t="inlineStr">
        <is>
          <t>["same_event","same_team_same_day","same_league_same_day"]</t>
        </is>
      </c>
      <c r="BJ19" s="25" t="n">
        <v>8.5</v>
      </c>
      <c r="BK19" s="26" t="n">
        <v>113</v>
      </c>
      <c r="BL19" s="27" t="n">
        <v>2.13</v>
      </c>
      <c r="BM19" s="28" t="n">
        <v>0.469484</v>
      </c>
      <c r="BN19" s="28" t="n">
        <v>0.467662</v>
      </c>
      <c r="BO19" s="28" t="n"/>
      <c r="BP19" s="25" t="n"/>
      <c r="BQ19" s="27" t="n">
        <v>2.13</v>
      </c>
      <c r="BR19" s="28" t="n">
        <v>0.47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ecf162c53b6e43a6</t>
        </is>
      </c>
      <c r="B20" s="24" t="inlineStr">
        <is>
          <t>2026-07-30T21:07:38.996144Z</t>
        </is>
      </c>
      <c r="C20" s="24" t="inlineStr">
        <is>
          <t>2026-07-30T20:00:00-0400</t>
        </is>
      </c>
      <c r="D20" s="24" t="inlineStr">
        <is>
          <t>401857099</t>
        </is>
      </c>
      <c r="E20" s="24" t="inlineStr">
        <is>
          <t>WNBA</t>
        </is>
      </c>
      <c r="F20" s="24" t="inlineStr">
        <is>
          <t>Minnesota Lynx</t>
        </is>
      </c>
      <c r="G20" s="24" t="inlineStr">
        <is>
          <t>Toronto Tempo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-614</v>
      </c>
      <c r="M20" s="27" t="n">
        <v>1.162866</v>
      </c>
      <c r="N20" s="28" t="n">
        <v>0.859944</v>
      </c>
      <c r="O20" s="28" t="n">
        <v>0.750119</v>
      </c>
      <c r="P20" s="28" t="n"/>
      <c r="Q20" s="28" t="n">
        <v>-0.109825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104</v>
      </c>
      <c r="X20" s="26" t="n">
        <v>72</v>
      </c>
      <c r="Y20" s="25" t="n"/>
      <c r="Z20" s="26" t="n"/>
      <c r="AA20" s="28" t="n"/>
      <c r="AB20" s="28" t="n"/>
      <c r="AC20" s="30" t="n">
        <v>0.3257</v>
      </c>
      <c r="AD20" s="24" t="inlineStr">
        <is>
          <t>2026-07-31T04:29:19.818080Z</t>
        </is>
      </c>
      <c r="AE20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wnba-min</t>
        </is>
      </c>
      <c r="AQ20" s="24" t="inlineStr">
        <is>
          <t>Minnesota Lynx</t>
        </is>
      </c>
      <c r="AR20" s="24" t="inlineStr">
        <is>
          <t>Minnesota Lynx</t>
        </is>
      </c>
      <c r="AS20" s="24" t="inlineStr">
        <is>
          <t>wnba-tor</t>
        </is>
      </c>
      <c r="AT20" s="24" t="inlineStr">
        <is>
          <t>Toronto Tempo</t>
        </is>
      </c>
      <c r="AU20" s="24" t="inlineStr">
        <is>
          <t>Toronto Tempo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a8d16f9be486f04d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2026-07-30T21:07:16.651071Z</t>
        </is>
      </c>
      <c r="BI20" s="24" t="inlineStr">
        <is>
          <t>["same_event","same_team_same_day","same_league_same_day"]</t>
        </is>
      </c>
      <c r="BJ20" s="25" t="n"/>
      <c r="BK20" s="26" t="n">
        <v>-614</v>
      </c>
      <c r="BL20" s="27" t="n">
        <v>1.162866</v>
      </c>
      <c r="BM20" s="28" t="n">
        <v>0.859944</v>
      </c>
      <c r="BN20" s="28" t="n">
        <v>0.851485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0.1447442732</t>
        </is>
      </c>
      <c r="CD20" s="24" t="inlineStr">
        <is>
          <t>-5.213719</t>
        </is>
      </c>
      <c r="CE20" s="24" t="n"/>
      <c r="CF20" s="24" t="n"/>
      <c r="CG20" s="24" t="n"/>
      <c r="CH20" s="24" t="n"/>
      <c r="CI20" s="24" t="inlineStr">
        <is>
          <t>wnba_availability_source_conflict</t>
        </is>
      </c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290bae9188f1467d</t>
        </is>
      </c>
      <c r="B21" s="24" t="inlineStr">
        <is>
          <t>2026-07-30T21:07:38.996144Z</t>
        </is>
      </c>
      <c r="C21" s="24" t="inlineStr">
        <is>
          <t>2026-07-30T19:00:00-0400</t>
        </is>
      </c>
      <c r="D21" s="24" t="inlineStr">
        <is>
          <t>401816325</t>
        </is>
      </c>
      <c r="E21" s="24" t="inlineStr">
        <is>
          <t>MLB</t>
        </is>
      </c>
      <c r="F21" s="24" t="inlineStr">
        <is>
          <t>Washington Nationals</t>
        </is>
      </c>
      <c r="G21" s="24" t="inlineStr">
        <is>
          <t>Atlanta Braves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0.612872</v>
      </c>
      <c r="P21" s="28" t="n"/>
      <c r="Q21" s="28" t="n">
        <v>0.022708</v>
      </c>
      <c r="R21" s="26" t="n">
        <v>33</v>
      </c>
      <c r="S21" s="29" t="n">
        <v>1.75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/>
      <c r="Z21" s="26" t="n">
        <v>-144</v>
      </c>
      <c r="AA21" s="28" t="n">
        <v>0.59</v>
      </c>
      <c r="AB21" s="28" t="n">
        <v>-0.000164</v>
      </c>
      <c r="AC21" s="30" t="n">
        <v>1.2153</v>
      </c>
      <c r="AD21" s="24" t="inlineStr">
        <is>
          <t>2026-07-31T04:29:20.291984Z</t>
        </is>
      </c>
      <c r="AE21" s="31" t="inlineStr">
        <is>
          <t>Learned LR call at threshold 0.6242; executable ask 0.5900 (aec-mlb-wsh-atl-2026-07-30); model edge vs ask +0.0229.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mlb-wsh</t>
        </is>
      </c>
      <c r="AQ21" s="24" t="inlineStr">
        <is>
          <t>Washington Nationals</t>
        </is>
      </c>
      <c r="AR21" s="24" t="inlineStr">
        <is>
          <t>Washington Nationals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2ad0bbfc4a5ff39d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2026-07-30T21:07:13.074633Z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>
        <v>0.5870649999999999</v>
      </c>
      <c r="BO21" s="28" t="n"/>
      <c r="BP21" s="25" t="n"/>
      <c r="BQ21" s="27" t="n">
        <v>1.694444</v>
      </c>
      <c r="BR21" s="28" t="n">
        <v>0.59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0.6174839141</t>
        </is>
      </c>
      <c r="CD21" s="24" t="inlineStr">
        <is>
          <t>-0.449351</t>
        </is>
      </c>
      <c r="CE21" s="24" t="inlineStr">
        <is>
          <t>0.929</t>
        </is>
      </c>
      <c r="CF21" s="24" t="inlineStr">
        <is>
          <t>1.0174</t>
        </is>
      </c>
      <c r="CG21" s="24" t="inlineStr">
        <is>
          <t>0.2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18fa1289f8ca42ca</t>
        </is>
      </c>
      <c r="B22" s="24" t="inlineStr">
        <is>
          <t>2026-07-30T21:07:38.996144Z</t>
        </is>
      </c>
      <c r="C22" s="24" t="inlineStr">
        <is>
          <t>2026-07-30T20:00:00-0400</t>
        </is>
      </c>
      <c r="D22" s="24" t="inlineStr">
        <is>
          <t>401857100</t>
        </is>
      </c>
      <c r="E22" s="24" t="inlineStr">
        <is>
          <t>WNBA</t>
        </is>
      </c>
      <c r="F22" s="24" t="inlineStr">
        <is>
          <t>Connecticut Sun</t>
        </is>
      </c>
      <c r="G22" s="24" t="inlineStr">
        <is>
          <t>Chicago Sky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0.670401</v>
      </c>
      <c r="P22" s="28" t="n"/>
      <c r="Q22" s="28" t="n">
        <v>0.010537</v>
      </c>
      <c r="R22" s="26" t="n">
        <v>28</v>
      </c>
      <c r="S22" s="29" t="n">
        <v>2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88</v>
      </c>
      <c r="X22" s="26" t="n">
        <v>94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2026-07-31T04:29:20.464220Z</t>
        </is>
      </c>
      <c r="AE22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wnba-con</t>
        </is>
      </c>
      <c r="AQ22" s="24" t="inlineStr">
        <is>
          <t>Connecticut Sun</t>
        </is>
      </c>
      <c r="AR22" s="24" t="inlineStr">
        <is>
          <t>Connecticut Sun</t>
        </is>
      </c>
      <c r="AS22" s="24" t="inlineStr">
        <is>
          <t>wnba-chi</t>
        </is>
      </c>
      <c r="AT22" s="24" t="inlineStr">
        <is>
          <t>Chicago Sky</t>
        </is>
      </c>
      <c r="AU22" s="24" t="inlineStr">
        <is>
          <t>Chicago Sky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de1d675da66b275e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2026-07-30T21:07:18.309580Z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>
        <v>0.653465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0.6616868073</t>
        </is>
      </c>
      <c r="CD22" s="24" t="inlineStr">
        <is>
          <t>5.467445</t>
        </is>
      </c>
      <c r="CE22" s="24" t="n"/>
      <c r="CF22" s="24" t="n"/>
      <c r="CG22" s="24" t="n"/>
      <c r="CH22" s="24" t="n"/>
      <c r="CI22" s="24" t="inlineStr">
        <is>
          <t>wnba_availability_source_conflict</t>
        </is>
      </c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373898a172fe4c46</t>
        </is>
      </c>
      <c r="B23" s="24" t="inlineStr">
        <is>
          <t>2026-07-30T21:07:38.996144Z</t>
        </is>
      </c>
      <c r="C23" s="24" t="inlineStr">
        <is>
          <t>2026-07-30T19:10:00-0400</t>
        </is>
      </c>
      <c r="D23" s="24" t="inlineStr">
        <is>
          <t>401816322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-117</v>
      </c>
      <c r="M23" s="27" t="n">
        <v>1.854701</v>
      </c>
      <c r="N23" s="28" t="n">
        <v>0.539171</v>
      </c>
      <c r="O23" s="28" t="n">
        <v>0.5134919999999999</v>
      </c>
      <c r="P23" s="28" t="n"/>
      <c r="Q23" s="28" t="n">
        <v>-0.025679</v>
      </c>
      <c r="R23" s="26" t="n">
        <v>8</v>
      </c>
      <c r="S23" s="29" t="n">
        <v>0.75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4</v>
      </c>
      <c r="Y23" s="25" t="n"/>
      <c r="Z23" s="26" t="n">
        <v>-117</v>
      </c>
      <c r="AA23" s="28" t="n">
        <v>0.54</v>
      </c>
      <c r="AB23" s="28" t="n">
        <v>0.000829</v>
      </c>
      <c r="AC23" s="30" t="n">
        <v>0.641</v>
      </c>
      <c r="AD23" s="24" t="inlineStr">
        <is>
          <t>2026-07-31T04:29:20.631725Z</t>
        </is>
      </c>
      <c r="AE23" s="31" t="inlineStr">
        <is>
          <t>Learned LR call at threshold 0.6242; executable ask 0.5400 (aec-mlb-mia-nym-2026-07-30); model edge vs ask -0.0265.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e514206d77553482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2026-07-30T21:07:11.963447Z</t>
        </is>
      </c>
      <c r="BI23" s="24" t="inlineStr">
        <is>
          <t>["same_event","same_team_same_day","same_league_same_day"]</t>
        </is>
      </c>
      <c r="BJ23" s="25" t="n"/>
      <c r="BK23" s="26" t="n">
        <v>-117</v>
      </c>
      <c r="BL23" s="27" t="n">
        <v>1.854701</v>
      </c>
      <c r="BM23" s="28" t="n">
        <v>0.539171</v>
      </c>
      <c r="BN23" s="28" t="n">
        <v>0.537313</v>
      </c>
      <c r="BO23" s="28" t="n"/>
      <c r="BP23" s="25" t="n"/>
      <c r="BQ23" s="27" t="n">
        <v>1.854701</v>
      </c>
      <c r="BR23" s="28" t="n">
        <v>0.54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0.5051537166</t>
        </is>
      </c>
      <c r="CD23" s="24" t="inlineStr">
        <is>
          <t>0.008278</t>
        </is>
      </c>
      <c r="CE23" s="24" t="inlineStr">
        <is>
          <t>0.978</t>
        </is>
      </c>
      <c r="CF23" s="24" t="inlineStr">
        <is>
          <t>1.0054</t>
        </is>
      </c>
      <c r="CG23" s="24" t="inlineStr">
        <is>
          <t>-1.8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d0364ee11ff3488c</t>
        </is>
      </c>
      <c r="B24" s="24" t="inlineStr">
        <is>
          <t>2026-07-30T21:07:38.996144Z</t>
        </is>
      </c>
      <c r="C24" s="24" t="inlineStr">
        <is>
          <t>2026-07-30T19:10:00-0400</t>
        </is>
      </c>
      <c r="D24" s="24" t="inlineStr">
        <is>
          <t>401816323</t>
        </is>
      </c>
      <c r="E24" s="24" t="inlineStr">
        <is>
          <t>MLB</t>
        </is>
      </c>
      <c r="F24" s="24" t="inlineStr">
        <is>
          <t>Pittsburgh Pirates</t>
        </is>
      </c>
      <c r="G24" s="24" t="inlineStr">
        <is>
          <t>Cincinnati Reds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0.520916</v>
      </c>
      <c r="P24" s="28" t="n"/>
      <c r="Q24" s="28" t="n">
        <v>-0.00515</v>
      </c>
      <c r="R24" s="26" t="n">
        <v>19</v>
      </c>
      <c r="S24" s="29" t="n">
        <v>0.75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loss</t>
        </is>
      </c>
      <c r="W24" s="26" t="n">
        <v>2</v>
      </c>
      <c r="X24" s="26" t="n">
        <v>3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-0.75</v>
      </c>
      <c r="AD24" s="24" t="inlineStr">
        <is>
          <t>2026-07-31T04:29:20.800435Z</t>
        </is>
      </c>
      <c r="AE24" s="31" t="inlineStr">
        <is>
          <t>Learned LR call at threshold 0.6242; executable ask 0.5250 (aec-mlb-pit-cin-2026-07-30); model edge vs ask -0.0041.</t>
        </is>
      </c>
      <c r="AF24" s="31" t="inlineStr">
        <is>
          <t>Learned model; shadow-qualified via operator override.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mlb-pit</t>
        </is>
      </c>
      <c r="AQ24" s="24" t="inlineStr">
        <is>
          <t>Pittsburgh Pirates</t>
        </is>
      </c>
      <c r="AR24" s="24" t="inlineStr">
        <is>
          <t>Pittsburgh Pirates</t>
        </is>
      </c>
      <c r="AS24" s="24" t="inlineStr">
        <is>
          <t>mlb-cin</t>
        </is>
      </c>
      <c r="AT24" s="24" t="inlineStr">
        <is>
          <t>Cincinnati Reds</t>
        </is>
      </c>
      <c r="AU24" s="24" t="inlineStr">
        <is>
          <t>Cincinnati Reds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b3d67de7b6d26958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2026-07-30T21:07:11.035351Z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0.4889165025</t>
        </is>
      </c>
      <c r="CD24" s="24" t="inlineStr">
        <is>
          <t>0.498942</t>
        </is>
      </c>
      <c r="CE24" s="24" t="inlineStr">
        <is>
          <t>1.036</t>
        </is>
      </c>
      <c r="CF24" s="24" t="inlineStr">
        <is>
          <t>1.0086</t>
        </is>
      </c>
      <c r="CG24" s="24" t="inlineStr">
        <is>
          <t>-1.2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11f84971274b451c</t>
        </is>
      </c>
      <c r="B25" s="24" t="inlineStr">
        <is>
          <t>2026-07-30T21:07:52.668171Z</t>
        </is>
      </c>
      <c r="C25" s="24" t="inlineStr">
        <is>
          <t>2026-07-30T23:00Z</t>
        </is>
      </c>
      <c r="D25" s="24" t="inlineStr">
        <is>
          <t>401816325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Atlanta Braves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0.544978</v>
      </c>
      <c r="P25" s="28" t="n">
        <v>0.042131</v>
      </c>
      <c r="Q25" s="28" t="n">
        <v>-0.034854</v>
      </c>
      <c r="R25" s="26" t="n">
        <v>7</v>
      </c>
      <c r="S25" s="29" t="n">
        <v>1</v>
      </c>
      <c r="T25" s="24" t="inlineStr">
        <is>
          <t>measured-edge-margin-v1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5</v>
      </c>
      <c r="Y25" s="25" t="n">
        <v>1.5</v>
      </c>
      <c r="Z25" s="26" t="n">
        <v>-138</v>
      </c>
      <c r="AA25" s="28" t="n">
        <v>0.58</v>
      </c>
      <c r="AB25" s="28" t="n">
        <v>0.000168</v>
      </c>
      <c r="AC25" s="30" t="n">
        <v>0.7246</v>
      </c>
      <c r="AD25" s="24" t="inlineStr">
        <is>
          <t>2026-07-31T04:29:20.972006Z</t>
        </is>
      </c>
      <c r="AE25" s="31" t="inlineStr">
        <is>
          <t>Measured Edge Margin: Trend Engine projected 4.30-4.84; raw selected-side p=0.6177, calibrated p=0.5450.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mlb-atl</t>
        </is>
      </c>
      <c r="AT25" s="24" t="inlineStr">
        <is>
          <t>Atlanta Braves</t>
        </is>
      </c>
      <c r="AU25" s="24" t="inlineStr">
        <is>
          <t>Atlanta Braves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2bc2ce55b0d39a20103f724bbddbde5394909acd49297f52665b596a0ae3ae8b</t>
        </is>
      </c>
      <c r="BB25" s="24" t="inlineStr">
        <is>
          <t>flat_probability_shrinkage_toward_half</t>
        </is>
      </c>
      <c r="BC25" s="24" t="inlineStr">
        <is>
          <t>measured-edge-margin-v1</t>
        </is>
      </c>
      <c r="BD25" s="24" t="inlineStr">
        <is>
          <t>2bc2ce55b0d39a20103f724bbddbde5394909acd49297f52665b596a0ae3ae8b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2026-07-30T21:07:52.668171Z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-138</v>
      </c>
      <c r="BL25" s="27" t="n">
        <v>1.724638</v>
      </c>
      <c r="BM25" s="28" t="n">
        <v>0.579832</v>
      </c>
      <c r="BN25" s="28" t="n">
        <v>0.577114</v>
      </c>
      <c r="BO25" s="28" t="n"/>
      <c r="BP25" s="25" t="n"/>
      <c r="BQ25" s="27" t="n">
        <v>1.724638</v>
      </c>
      <c r="BR25" s="28" t="n">
        <v>0.58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fb4fab31130243f9</t>
        </is>
      </c>
      <c r="B26" s="24" t="inlineStr">
        <is>
          <t>2026-07-30T21:07:52.668171Z</t>
        </is>
      </c>
      <c r="C26" s="24" t="inlineStr">
        <is>
          <t>2026-07-30T23:00Z</t>
        </is>
      </c>
      <c r="D26" s="24" t="inlineStr">
        <is>
          <t>401816325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Atlanta Braves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115</v>
      </c>
      <c r="M26" s="27" t="n">
        <v>2.15</v>
      </c>
      <c r="N26" s="28" t="n">
        <v>0.465116</v>
      </c>
      <c r="O26" s="28" t="n">
        <v>0.567785</v>
      </c>
      <c r="P26" s="28" t="n">
        <v>0.042131</v>
      </c>
      <c r="Q26" s="28" t="n">
        <v>0.102669</v>
      </c>
      <c r="R26" s="26" t="n">
        <v>76</v>
      </c>
      <c r="S26" s="29" t="n">
        <v>1.25</v>
      </c>
      <c r="T26" s="24" t="inlineStr">
        <is>
          <t>measured-edge-totals-v1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>
        <v>9.5</v>
      </c>
      <c r="Z26" s="26" t="n">
        <v>115</v>
      </c>
      <c r="AA26" s="28" t="n">
        <v>0.465</v>
      </c>
      <c r="AB26" s="28" t="n">
        <v>-0.000116</v>
      </c>
      <c r="AC26" s="30" t="n">
        <v>1.4375</v>
      </c>
      <c r="AD26" s="24" t="inlineStr">
        <is>
          <t>2026-07-31T04:29:21.144105Z</t>
        </is>
      </c>
      <c r="AE26" s="31" t="inlineStr">
        <is>
          <t>Measured Edge Totals: Trend Engine projected 4.30-4.84; raw selected-side p=0.5858, calibrated p=0.5678.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mlb-atl</t>
        </is>
      </c>
      <c r="AT26" s="24" t="inlineStr">
        <is>
          <t>Atlanta Braves</t>
        </is>
      </c>
      <c r="AU26" s="24" t="inlineStr">
        <is>
          <t>Atlanta Braves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cbc2c9bf5a9569a49e1902c816d96556d704cf10819ca3a9e927721685757d0b</t>
        </is>
      </c>
      <c r="BB26" s="24" t="inlineStr">
        <is>
          <t>flat_probability_shrinkage_toward_half</t>
        </is>
      </c>
      <c r="BC26" s="24" t="inlineStr">
        <is>
          <t>measured-edge-totals-v1</t>
        </is>
      </c>
      <c r="BD26" s="24" t="inlineStr">
        <is>
          <t>cbc2c9bf5a9569a49e1902c816d96556d704cf10819ca3a9e927721685757d0b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2026-07-30T21:07:52.668171Z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115</v>
      </c>
      <c r="BL26" s="27" t="n">
        <v>2.15</v>
      </c>
      <c r="BM26" s="28" t="n">
        <v>0.465116</v>
      </c>
      <c r="BN26" s="28" t="n">
        <v>0.462687</v>
      </c>
      <c r="BO26" s="28" t="n"/>
      <c r="BP26" s="25" t="n"/>
      <c r="BQ26" s="27" t="n">
        <v>2.15</v>
      </c>
      <c r="BR26" s="28" t="n">
        <v>0.465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ef65643269874e11</t>
        </is>
      </c>
      <c r="B27" s="24" t="inlineStr">
        <is>
          <t>2026-07-30T21:07:52.668171Z</t>
        </is>
      </c>
      <c r="C27" s="24" t="inlineStr">
        <is>
          <t>2026-07-30T23:10Z</t>
        </is>
      </c>
      <c r="D27" s="24" t="inlineStr">
        <is>
          <t>401816322</t>
        </is>
      </c>
      <c r="E27" s="24" t="inlineStr">
        <is>
          <t>MLB</t>
        </is>
      </c>
      <c r="F27" s="24" t="inlineStr">
        <is>
          <t>Miami Marlins</t>
        </is>
      </c>
      <c r="G27" s="24" t="inlineStr">
        <is>
          <t>New York Mets</t>
        </is>
      </c>
      <c r="H27" s="24" t="inlineStr">
        <is>
          <t>total</t>
        </is>
      </c>
      <c r="I27" s="24" t="inlineStr">
        <is>
          <t>over</t>
        </is>
      </c>
      <c r="J27" s="25" t="n">
        <v>7.5</v>
      </c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0.518212</v>
      </c>
      <c r="P27" s="28" t="n">
        <v>0.042131</v>
      </c>
      <c r="Q27" s="28" t="n">
        <v>0.067762</v>
      </c>
      <c r="R27" s="26" t="n">
        <v>59</v>
      </c>
      <c r="S27" s="29" t="n">
        <v>1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4</v>
      </c>
      <c r="Y27" s="25" t="n">
        <v>7.5</v>
      </c>
      <c r="Z27" s="26" t="n">
        <v>122</v>
      </c>
      <c r="AA27" s="28" t="n">
        <v>0.45</v>
      </c>
      <c r="AB27" s="28" t="n">
        <v>-0.00045</v>
      </c>
      <c r="AC27" s="30" t="n">
        <v>-1</v>
      </c>
      <c r="AD27" s="24" t="inlineStr">
        <is>
          <t>2026-07-31T04:29:21.519443Z</t>
        </is>
      </c>
      <c r="AE27" s="31" t="inlineStr">
        <is>
          <t>Measured Edge Totals: Trend Engine projected 4.06-4.34; raw selected-side p=0.5347, calibrated p=0.5182.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mlb-mia</t>
        </is>
      </c>
      <c r="AQ27" s="24" t="inlineStr">
        <is>
          <t>Miami Marlins</t>
        </is>
      </c>
      <c r="AR27" s="24" t="inlineStr">
        <is>
          <t>Miami Marlins</t>
        </is>
      </c>
      <c r="AS27" s="24" t="inlineStr">
        <is>
          <t>mlb-nym</t>
        </is>
      </c>
      <c r="AT27" s="24" t="inlineStr">
        <is>
          <t>New York Mets</t>
        </is>
      </c>
      <c r="AU27" s="24" t="inlineStr">
        <is>
          <t>New York Mets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cbc2c9bf5a9569a49e1902c816d96556d704cf10819ca3a9e927721685757d0b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cbc2c9bf5a9569a49e1902c816d96556d704cf10819ca3a9e927721685757d0b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2026-07-30T21:07:52.668171Z</t>
        </is>
      </c>
      <c r="BI27" s="24" t="inlineStr">
        <is>
          <t>["same_event","same_team_same_day","same_league_same_day"]</t>
        </is>
      </c>
      <c r="BJ27" s="25" t="n">
        <v>7.5</v>
      </c>
      <c r="BK27" s="26" t="n">
        <v>122</v>
      </c>
      <c r="BL27" s="27" t="n">
        <v>2.22</v>
      </c>
      <c r="BM27" s="28" t="n">
        <v>0.45045</v>
      </c>
      <c r="BN27" s="28" t="n">
        <v>0.447761</v>
      </c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2114d0bdf61c4db9</t>
        </is>
      </c>
      <c r="B28" s="24" t="inlineStr">
        <is>
          <t>2026-07-30T21:07:52.668171Z</t>
        </is>
      </c>
      <c r="C28" s="24" t="inlineStr">
        <is>
          <t>2026-07-30T23:10Z</t>
        </is>
      </c>
      <c r="D28" s="24" t="inlineStr">
        <is>
          <t>401816323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Cincinnati Reds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-144</v>
      </c>
      <c r="M28" s="27" t="n">
        <v>1.694444</v>
      </c>
      <c r="N28" s="28" t="n">
        <v>0.590164</v>
      </c>
      <c r="O28" s="28" t="n">
        <v>0.547061</v>
      </c>
      <c r="P28" s="28" t="n">
        <v>0.042131</v>
      </c>
      <c r="Q28" s="28" t="n">
        <v>-0.043103</v>
      </c>
      <c r="R28" s="26" t="n">
        <v>3</v>
      </c>
      <c r="S28" s="29" t="n">
        <v>1</v>
      </c>
      <c r="T28" s="24" t="inlineStr">
        <is>
          <t>measured-edge-margin-v1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3</v>
      </c>
      <c r="Y28" s="25" t="n">
        <v>1.5</v>
      </c>
      <c r="Z28" s="26" t="n">
        <v>-144</v>
      </c>
      <c r="AA28" s="28" t="n">
        <v>0.59</v>
      </c>
      <c r="AB28" s="28" t="n">
        <v>-0.000164</v>
      </c>
      <c r="AC28" s="30" t="n">
        <v>0.6944</v>
      </c>
      <c r="AD28" s="24" t="inlineStr">
        <is>
          <t>2026-07-31T04:29:21.688701Z</t>
        </is>
      </c>
      <c r="AE28" s="31" t="inlineStr">
        <is>
          <t>Measured Edge Margin: Trend Engine projected 4.87-4.53; raw selected-side p=0.6283, calibrated p=0.5471.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mlb-pit</t>
        </is>
      </c>
      <c r="AQ28" s="24" t="inlineStr">
        <is>
          <t>Pittsburgh Pirates</t>
        </is>
      </c>
      <c r="AR28" s="24" t="inlineStr">
        <is>
          <t>Pittsburgh Pirates</t>
        </is>
      </c>
      <c r="AS28" s="24" t="inlineStr">
        <is>
          <t>mlb-cin</t>
        </is>
      </c>
      <c r="AT28" s="24" t="inlineStr">
        <is>
          <t>Cincinnati Reds</t>
        </is>
      </c>
      <c r="AU28" s="24" t="inlineStr">
        <is>
          <t>Cincinnati Reds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2bc2ce55b0d39a20103f724bbddbde5394909acd49297f52665b596a0ae3ae8b</t>
        </is>
      </c>
      <c r="BB28" s="24" t="inlineStr">
        <is>
          <t>flat_probability_shrinkage_toward_half</t>
        </is>
      </c>
      <c r="BC28" s="24" t="inlineStr">
        <is>
          <t>measured-edge-margin-v1</t>
        </is>
      </c>
      <c r="BD28" s="24" t="inlineStr">
        <is>
          <t>2bc2ce55b0d39a20103f724bbddbde5394909acd49297f52665b596a0ae3ae8b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2026-07-30T21:07:52.668171Z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-144</v>
      </c>
      <c r="BL28" s="27" t="n">
        <v>1.694444</v>
      </c>
      <c r="BM28" s="28" t="n">
        <v>0.590164</v>
      </c>
      <c r="BN28" s="28" t="n">
        <v>0.5870649999999999</v>
      </c>
      <c r="BO28" s="28" t="n"/>
      <c r="BP28" s="25" t="n"/>
      <c r="BQ28" s="27" t="n">
        <v>1.694444</v>
      </c>
      <c r="BR28" s="28" t="n">
        <v>0.59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4241eb09d71c4a6e</t>
        </is>
      </c>
      <c r="B29" s="24" t="inlineStr">
        <is>
          <t>2026-07-30T21:07:52.668171Z</t>
        </is>
      </c>
      <c r="C29" s="24" t="inlineStr">
        <is>
          <t>2026-07-30T23:10Z</t>
        </is>
      </c>
      <c r="D29" s="24" t="inlineStr">
        <is>
          <t>401816323</t>
        </is>
      </c>
      <c r="E29" s="24" t="inlineStr">
        <is>
          <t>MLB</t>
        </is>
      </c>
      <c r="F29" s="24" t="inlineStr">
        <is>
          <t>Pittsburgh Pirates</t>
        </is>
      </c>
      <c r="G29" s="24" t="inlineStr">
        <is>
          <t>Cincinnati Reds</t>
        </is>
      </c>
      <c r="H29" s="24" t="inlineStr">
        <is>
          <t>total</t>
        </is>
      </c>
      <c r="I29" s="24" t="inlineStr">
        <is>
          <t>under</t>
        </is>
      </c>
      <c r="J29" s="25" t="n">
        <v>9.5</v>
      </c>
      <c r="K29" s="24" t="inlineStr">
        <is>
          <t>polymarket_us</t>
        </is>
      </c>
      <c r="L29" s="26" t="n">
        <v>102</v>
      </c>
      <c r="M29" s="27" t="n">
        <v>2.02</v>
      </c>
      <c r="N29" s="28" t="n">
        <v>0.49505</v>
      </c>
      <c r="O29" s="28" t="n">
        <v>0.547364</v>
      </c>
      <c r="P29" s="28" t="n">
        <v>0.042131</v>
      </c>
      <c r="Q29" s="28" t="n">
        <v>0.052314</v>
      </c>
      <c r="R29" s="26" t="n">
        <v>51</v>
      </c>
      <c r="S29" s="29" t="n">
        <v>1</v>
      </c>
      <c r="T29" s="24" t="inlineStr">
        <is>
          <t>measured-edge-totals-v1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3</v>
      </c>
      <c r="Y29" s="25" t="n">
        <v>9.5</v>
      </c>
      <c r="Z29" s="26" t="n">
        <v>102</v>
      </c>
      <c r="AA29" s="28" t="n">
        <v>0.495</v>
      </c>
      <c r="AB29" s="28" t="n">
        <v>-5e-05</v>
      </c>
      <c r="AC29" s="30" t="n">
        <v>1.02</v>
      </c>
      <c r="AD29" s="24" t="inlineStr">
        <is>
          <t>2026-07-31T04:29:21.851838Z</t>
        </is>
      </c>
      <c r="AE29" s="31" t="inlineStr">
        <is>
          <t>Measured Edge Totals: Trend Engine projected 4.87-4.53; raw selected-side p=0.5647, calibrated p=0.5474.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mlb-pit</t>
        </is>
      </c>
      <c r="AQ29" s="24" t="inlineStr">
        <is>
          <t>Pittsburgh Pirates</t>
        </is>
      </c>
      <c r="AR29" s="24" t="inlineStr">
        <is>
          <t>Pittsburgh Pirates</t>
        </is>
      </c>
      <c r="AS29" s="24" t="inlineStr">
        <is>
          <t>mlb-cin</t>
        </is>
      </c>
      <c r="AT29" s="24" t="inlineStr">
        <is>
          <t>Cincinnati Reds</t>
        </is>
      </c>
      <c r="AU29" s="24" t="inlineStr">
        <is>
          <t>Cincinnati Reds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cbc2c9bf5a9569a49e1902c816d96556d704cf10819ca3a9e927721685757d0b</t>
        </is>
      </c>
      <c r="BB29" s="24" t="inlineStr">
        <is>
          <t>flat_probability_shrinkage_toward_half</t>
        </is>
      </c>
      <c r="BC29" s="24" t="inlineStr">
        <is>
          <t>measured-edge-totals-v1</t>
        </is>
      </c>
      <c r="BD29" s="24" t="inlineStr">
        <is>
          <t>cbc2c9bf5a9569a49e1902c816d96556d704cf10819ca3a9e927721685757d0b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2026-07-30T21:07:52.668171Z</t>
        </is>
      </c>
      <c r="BI29" s="24" t="inlineStr">
        <is>
          <t>["same_event","same_team_same_day","same_league_same_day"]</t>
        </is>
      </c>
      <c r="BJ29" s="25" t="n">
        <v>9.5</v>
      </c>
      <c r="BK29" s="26" t="n">
        <v>102</v>
      </c>
      <c r="BL29" s="27" t="n">
        <v>2.02</v>
      </c>
      <c r="BM29" s="28" t="n">
        <v>0.49505</v>
      </c>
      <c r="BN29" s="28" t="n">
        <v>0.492537</v>
      </c>
      <c r="BO29" s="28" t="n"/>
      <c r="BP29" s="25" t="n"/>
      <c r="BQ29" s="27" t="n">
        <v>2.02</v>
      </c>
      <c r="BR29" s="28" t="n">
        <v>0.495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9e1fb41afbf84561</t>
        </is>
      </c>
      <c r="B30" s="24" t="inlineStr">
        <is>
          <t>2026-07-31T00:56:17.350684Z</t>
        </is>
      </c>
      <c r="C30" s="24" t="inlineStr">
        <is>
          <t>2026-07-30T21:40:00-0400</t>
        </is>
      </c>
      <c r="D30" s="24" t="inlineStr">
        <is>
          <t>401816329</t>
        </is>
      </c>
      <c r="E30" s="24" t="inlineStr">
        <is>
          <t>MLB</t>
        </is>
      </c>
      <c r="F30" s="24" t="inlineStr">
        <is>
          <t>Boston Red Sox</t>
        </is>
      </c>
      <c r="G30" s="24" t="inlineStr">
        <is>
          <t>Athletics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0.598658</v>
      </c>
      <c r="P30" s="28" t="n"/>
      <c r="Q30" s="28" t="n">
        <v>-0.04163</v>
      </c>
      <c r="R30" s="26" t="n">
        <v>1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4</v>
      </c>
      <c r="Y30" s="25" t="n"/>
      <c r="Z30" s="26" t="n">
        <v>-178</v>
      </c>
      <c r="AA30" s="28" t="n">
        <v>0.64</v>
      </c>
      <c r="AB30" s="28" t="n">
        <v>-0.000288</v>
      </c>
      <c r="AC30" s="30" t="n">
        <v>0.8427</v>
      </c>
      <c r="AD30" s="24" t="inlineStr">
        <is>
          <t>2026-07-31T04:29:22.023782Z</t>
        </is>
      </c>
      <c r="AE30" s="31" t="inlineStr">
        <is>
          <t>Learned LR call at threshold 0.6242; executable ask 0.6400 (aec-mlb-bos-ath-2026-07-30); model edge vs ask -0.0413.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mlb-bos</t>
        </is>
      </c>
      <c r="AQ30" s="24" t="inlineStr">
        <is>
          <t>Boston Red Sox</t>
        </is>
      </c>
      <c r="AR30" s="24" t="inlineStr">
        <is>
          <t>Boston Red Sox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3f3c29dbbe5296b9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2026-07-31T00:56:01.505308Z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>
        <v>0.636816</v>
      </c>
      <c r="BO30" s="28" t="n"/>
      <c r="BP30" s="25" t="n"/>
      <c r="BQ30" s="27" t="n">
        <v>1.561798</v>
      </c>
      <c r="BR30" s="28" t="n">
        <v>0.64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0.3783729617</t>
        </is>
      </c>
      <c r="CD30" s="24" t="inlineStr">
        <is>
          <t>-0.254128</t>
        </is>
      </c>
      <c r="CE30" s="24" t="inlineStr">
        <is>
          <t>1.153</t>
        </is>
      </c>
      <c r="CF30" s="24" t="inlineStr">
        <is>
          <t>1.0</t>
        </is>
      </c>
      <c r="CG30" s="24" t="inlineStr">
        <is>
          <t>1.8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826fb2a467984162</t>
        </is>
      </c>
      <c r="B31" s="24" t="inlineStr">
        <is>
          <t>2026-07-31T00:56:17.350684Z</t>
        </is>
      </c>
      <c r="C31" s="24" t="inlineStr">
        <is>
          <t>2026-07-30T22:00:00-0400</t>
        </is>
      </c>
      <c r="D31" s="24" t="inlineStr">
        <is>
          <t>401857101</t>
        </is>
      </c>
      <c r="E31" s="24" t="inlineStr">
        <is>
          <t>WNBA</t>
        </is>
      </c>
      <c r="F31" s="24" t="inlineStr">
        <is>
          <t>New York Liberty</t>
        </is>
      </c>
      <c r="G31" s="24" t="inlineStr">
        <is>
          <t>Las Vegas Aces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0.615328</v>
      </c>
      <c r="P31" s="28" t="n"/>
      <c r="Q31" s="28" t="n">
        <v>-0.02496</v>
      </c>
      <c r="R31" s="26" t="n">
        <v>11</v>
      </c>
      <c r="S31" s="29" t="n">
        <v>1.75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99</v>
      </c>
      <c r="X31" s="26" t="n">
        <v>104</v>
      </c>
      <c r="Y31" s="25" t="n"/>
      <c r="Z31" s="26" t="n"/>
      <c r="AA31" s="28" t="n"/>
      <c r="AB31" s="28" t="n"/>
      <c r="AC31" s="30" t="n">
        <v>0.9831</v>
      </c>
      <c r="AD31" s="24" t="inlineStr">
        <is>
          <t>2026-07-31T04:29:22.183741Z</t>
        </is>
      </c>
      <c r="AE3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wnba-nyl</t>
        </is>
      </c>
      <c r="AQ31" s="24" t="inlineStr">
        <is>
          <t>New York Liberty</t>
        </is>
      </c>
      <c r="AR31" s="24" t="inlineStr">
        <is>
          <t>New York Liberty</t>
        </is>
      </c>
      <c r="AS31" s="24" t="inlineStr">
        <is>
          <t>wnba-lva</t>
        </is>
      </c>
      <c r="AT31" s="24" t="inlineStr">
        <is>
          <t>Las Vegas Aces</t>
        </is>
      </c>
      <c r="AU31" s="24" t="inlineStr">
        <is>
          <t>Las Vegas Aces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181554924d3d25f6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2026-07-31T00:56:07.048062Z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>
        <v>0.633663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0.6511069872</t>
        </is>
      </c>
      <c r="CD31" s="24" t="inlineStr">
        <is>
          <t>-4.276653</t>
        </is>
      </c>
      <c r="CE31" s="24" t="n"/>
      <c r="CF31" s="24" t="n"/>
      <c r="CG31" s="24" t="n"/>
      <c r="CH31" s="24" t="n"/>
      <c r="CI31" s="24" t="inlineStr">
        <is>
          <t>wnba_availability_source_conflict</t>
        </is>
      </c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67f0c9a835204f15</t>
        </is>
      </c>
      <c r="B32" s="24" t="inlineStr">
        <is>
          <t>2026-07-31T00:56:17.350684Z</t>
        </is>
      </c>
      <c r="C32" s="24" t="inlineStr">
        <is>
          <t>2026-07-30T21:40:00-0400</t>
        </is>
      </c>
      <c r="D32" s="24" t="inlineStr">
        <is>
          <t>401816331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0.594482</v>
      </c>
      <c r="P32" s="28" t="n"/>
      <c r="Q32" s="28" t="n">
        <v>-0.010261</v>
      </c>
      <c r="R32" s="26" t="n">
        <v>16</v>
      </c>
      <c r="S32" s="29" t="n">
        <v>1.5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1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-1.5</v>
      </c>
      <c r="AD32" s="24" t="inlineStr">
        <is>
          <t>2026-07-31T06:33:21.231210Z</t>
        </is>
      </c>
      <c r="AE32" s="31" t="inlineStr">
        <is>
          <t>Learned LR call at threshold 0.6242; executable ask 0.6050 (aec-mlb-sf-sd-2026-07-30); model edge vs ask -0.0105.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cd99d61acebf3df3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2026-07-31T00:56:02.562469Z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-1.602098</t>
        </is>
      </c>
      <c r="CE32" s="24" t="inlineStr">
        <is>
          <t>0.945</t>
        </is>
      </c>
      <c r="CF32" s="24" t="inlineStr">
        <is>
          <t>1.0064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c631ace0cda342d0</t>
        </is>
      </c>
      <c r="B33" s="24" t="inlineStr">
        <is>
          <t>2026-07-31T00:56:17.350684Z</t>
        </is>
      </c>
      <c r="C33" s="24" t="inlineStr">
        <is>
          <t>2026-07-30T22:10:00-0400</t>
        </is>
      </c>
      <c r="D33" s="24" t="inlineStr">
        <is>
          <t>401816330</t>
        </is>
      </c>
      <c r="E33" s="24" t="inlineStr">
        <is>
          <t>MLB</t>
        </is>
      </c>
      <c r="F33" s="24" t="inlineStr">
        <is>
          <t>Seattle Mariners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-141</v>
      </c>
      <c r="M33" s="27" t="n">
        <v>1.70922</v>
      </c>
      <c r="N33" s="28" t="n">
        <v>0.585062</v>
      </c>
      <c r="O33" s="28" t="n">
        <v>0.594031</v>
      </c>
      <c r="P33" s="28" t="n"/>
      <c r="Q33" s="28" t="n">
        <v>0.008969</v>
      </c>
      <c r="R33" s="26" t="n">
        <v>26</v>
      </c>
      <c r="S33" s="29" t="n">
        <v>1.5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6</v>
      </c>
      <c r="Y33" s="25" t="n"/>
      <c r="Z33" s="26" t="n">
        <v>-141</v>
      </c>
      <c r="AA33" s="28" t="n">
        <v>0.585</v>
      </c>
      <c r="AB33" s="28" t="n">
        <v>-6.2e-05</v>
      </c>
      <c r="AC33" s="30" t="n">
        <v>1.0638</v>
      </c>
      <c r="AD33" s="24" t="inlineStr">
        <is>
          <t>2026-07-31T06:33:21.732369Z</t>
        </is>
      </c>
      <c r="AE33" s="31" t="inlineStr">
        <is>
          <t>Learned LR call at threshold 0.6242; executable ask 0.5850 (aec-mlb-sea-lad-2026-07-30); model edge vs ask +0.0090.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mlb-sea</t>
        </is>
      </c>
      <c r="AQ33" s="24" t="inlineStr">
        <is>
          <t>Seattle Mariners</t>
        </is>
      </c>
      <c r="AR33" s="24" t="inlineStr">
        <is>
          <t>Seattle Mariners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50a6605683799b36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2026-07-31T00:56:03.538198Z</t>
        </is>
      </c>
      <c r="BI33" s="24" t="inlineStr">
        <is>
          <t>["same_event","same_team_same_day","same_league_same_day"]</t>
        </is>
      </c>
      <c r="BJ33" s="25" t="n"/>
      <c r="BK33" s="26" t="n">
        <v>-141</v>
      </c>
      <c r="BL33" s="27" t="n">
        <v>1.70922</v>
      </c>
      <c r="BM33" s="28" t="n">
        <v>0.585062</v>
      </c>
      <c r="BN33" s="28" t="n">
        <v>0.58209</v>
      </c>
      <c r="BO33" s="28" t="n"/>
      <c r="BP33" s="25" t="n"/>
      <c r="BQ33" s="27" t="n">
        <v>1.70922</v>
      </c>
      <c r="BR33" s="28" t="n">
        <v>0.585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0.6206920571</t>
        </is>
      </c>
      <c r="CD33" s="24" t="inlineStr">
        <is>
          <t>-0.391563</t>
        </is>
      </c>
      <c r="CE33" s="24" t="inlineStr">
        <is>
          <t>1.026</t>
        </is>
      </c>
      <c r="CF33" s="24" t="inlineStr">
        <is>
          <t>1.0117</t>
        </is>
      </c>
      <c r="CG33" s="24" t="inlineStr">
        <is>
          <t>-0.4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a5fbd3179ba34a33</t>
        </is>
      </c>
      <c r="B34" s="24" t="inlineStr">
        <is>
          <t>2026-07-31T00:56:25.957709Z</t>
        </is>
      </c>
      <c r="C34" s="24" t="inlineStr">
        <is>
          <t>2026-07-31T01:40Z</t>
        </is>
      </c>
      <c r="D34" s="24" t="inlineStr">
        <is>
          <t>401816329</t>
        </is>
      </c>
      <c r="E34" s="24" t="inlineStr">
        <is>
          <t>MLB</t>
        </is>
      </c>
      <c r="F34" s="24" t="inlineStr">
        <is>
          <t>Boston Red Sox</t>
        </is>
      </c>
      <c r="G34" s="24" t="inlineStr">
        <is>
          <t>Athletics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0.544516</v>
      </c>
      <c r="P34" s="28" t="n">
        <v>0.042131</v>
      </c>
      <c r="Q34" s="28" t="n">
        <v>0.07058200000000001</v>
      </c>
      <c r="R34" s="26" t="n">
        <v>60</v>
      </c>
      <c r="S34" s="29" t="n">
        <v>1</v>
      </c>
      <c r="T34" s="24" t="inlineStr">
        <is>
          <t>measured-edge-margin-v1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4</v>
      </c>
      <c r="Y34" s="25" t="n">
        <v>1.5</v>
      </c>
      <c r="Z34" s="26" t="n">
        <v>111</v>
      </c>
      <c r="AA34" s="28" t="n">
        <v>0.475</v>
      </c>
      <c r="AB34" s="28" t="n">
        <v>0.001066</v>
      </c>
      <c r="AC34" s="30" t="n">
        <v>1.11</v>
      </c>
      <c r="AD34" s="24" t="inlineStr">
        <is>
          <t>2026-07-31T04:29:22.344945Z</t>
        </is>
      </c>
      <c r="AE34" s="31" t="inlineStr">
        <is>
          <t>Measured Edge Margin: Trend Engine projected 5.03-4.48; raw selected-side p=0.6153, calibrated p=0.5445.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mlb-bos</t>
        </is>
      </c>
      <c r="AQ34" s="24" t="inlineStr">
        <is>
          <t>Boston Red Sox</t>
        </is>
      </c>
      <c r="AR34" s="24" t="inlineStr">
        <is>
          <t>Boston Red Sox</t>
        </is>
      </c>
      <c r="AS34" s="24" t="inlineStr">
        <is>
          <t>mlb-ath</t>
        </is>
      </c>
      <c r="AT34" s="24" t="inlineStr">
        <is>
          <t>Athletics</t>
        </is>
      </c>
      <c r="AU34" s="24" t="inlineStr">
        <is>
          <t>Athletics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2bc2ce55b0d39a20103f724bbddbde5394909acd49297f52665b596a0ae3ae8b</t>
        </is>
      </c>
      <c r="BB34" s="24" t="inlineStr">
        <is>
          <t>flat_probability_shrinkage_toward_half</t>
        </is>
      </c>
      <c r="BC34" s="24" t="inlineStr">
        <is>
          <t>measured-edge-margin-v1</t>
        </is>
      </c>
      <c r="BD34" s="24" t="inlineStr">
        <is>
          <t>2bc2ce55b0d39a20103f724bbddbde5394909acd49297f52665b596a0ae3ae8b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2026-07-31T00:56:25.957709Z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82aab00108c54ea7</t>
        </is>
      </c>
      <c r="B35" s="24" t="inlineStr">
        <is>
          <t>2026-07-31T00:56:25.957709Z</t>
        </is>
      </c>
      <c r="C35" s="24" t="inlineStr">
        <is>
          <t>2026-07-31T01:40Z</t>
        </is>
      </c>
      <c r="D35" s="24" t="inlineStr">
        <is>
          <t>401816329</t>
        </is>
      </c>
      <c r="E35" s="24" t="inlineStr">
        <is>
          <t>MLB</t>
        </is>
      </c>
      <c r="F35" s="24" t="inlineStr">
        <is>
          <t>Boston Red Sox</t>
        </is>
      </c>
      <c r="G35" s="24" t="inlineStr">
        <is>
          <t>Athletics</t>
        </is>
      </c>
      <c r="H35" s="24" t="inlineStr">
        <is>
          <t>total</t>
        </is>
      </c>
      <c r="I35" s="24" t="inlineStr">
        <is>
          <t>under</t>
        </is>
      </c>
      <c r="J35" s="25" t="n">
        <v>9.5</v>
      </c>
      <c r="K35" s="24" t="inlineStr">
        <is>
          <t>polymarket_us</t>
        </is>
      </c>
      <c r="L35" s="26" t="n">
        <v>115</v>
      </c>
      <c r="M35" s="27" t="n">
        <v>2.15</v>
      </c>
      <c r="N35" s="28" t="n">
        <v>0.465116</v>
      </c>
      <c r="O35" s="28" t="n">
        <v>0.5364989999999999</v>
      </c>
      <c r="P35" s="28" t="n">
        <v>0.042131</v>
      </c>
      <c r="Q35" s="28" t="n">
        <v>0.071383</v>
      </c>
      <c r="R35" s="26" t="n">
        <v>60</v>
      </c>
      <c r="S35" s="29" t="n">
        <v>1</v>
      </c>
      <c r="T35" s="24" t="inlineStr">
        <is>
          <t>measured-edge-totals-v1</t>
        </is>
      </c>
      <c r="U35" s="24" t="inlineStr">
        <is>
          <t>settled</t>
        </is>
      </c>
      <c r="V35" s="24" t="inlineStr">
        <is>
          <t>win</t>
        </is>
      </c>
      <c r="W35" s="26" t="n">
        <v>5</v>
      </c>
      <c r="X35" s="26" t="n">
        <v>4</v>
      </c>
      <c r="Y35" s="25" t="n">
        <v>9.5</v>
      </c>
      <c r="Z35" s="26" t="n">
        <v>115</v>
      </c>
      <c r="AA35" s="28" t="n">
        <v>0.465</v>
      </c>
      <c r="AB35" s="28" t="n">
        <v>-0.000116</v>
      </c>
      <c r="AC35" s="30" t="n">
        <v>1.15</v>
      </c>
      <c r="AD35" s="24" t="inlineStr">
        <is>
          <t>2026-07-31T04:29:22.516921Z</t>
        </is>
      </c>
      <c r="AE35" s="31" t="inlineStr">
        <is>
          <t>Measured Edge Totals: Trend Engine projected 5.03-4.48; raw selected-side p=0.5535, calibrated p=0.5365.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mlb-bos</t>
        </is>
      </c>
      <c r="AQ35" s="24" t="inlineStr">
        <is>
          <t>Boston Red Sox</t>
        </is>
      </c>
      <c r="AR35" s="24" t="inlineStr">
        <is>
          <t>Boston Red Sox</t>
        </is>
      </c>
      <c r="AS35" s="24" t="inlineStr">
        <is>
          <t>mlb-ath</t>
        </is>
      </c>
      <c r="AT35" s="24" t="inlineStr">
        <is>
          <t>Athletics</t>
        </is>
      </c>
      <c r="AU35" s="24" t="inlineStr">
        <is>
          <t>Athletics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cbc2c9bf5a9569a49e1902c816d96556d704cf10819ca3a9e927721685757d0b</t>
        </is>
      </c>
      <c r="BB35" s="24" t="inlineStr">
        <is>
          <t>flat_probability_shrinkage_toward_half</t>
        </is>
      </c>
      <c r="BC35" s="24" t="inlineStr">
        <is>
          <t>measured-edge-totals-v1</t>
        </is>
      </c>
      <c r="BD35" s="24" t="inlineStr">
        <is>
          <t>cbc2c9bf5a9569a49e1902c816d96556d704cf10819ca3a9e927721685757d0b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2026-07-31T00:56:25.957709Z</t>
        </is>
      </c>
      <c r="BI35" s="24" t="inlineStr">
        <is>
          <t>["same_event","same_team_same_day","same_league_same_day"]</t>
        </is>
      </c>
      <c r="BJ35" s="25" t="n">
        <v>9.5</v>
      </c>
      <c r="BK35" s="26" t="n">
        <v>115</v>
      </c>
      <c r="BL35" s="27" t="n">
        <v>2.15</v>
      </c>
      <c r="BM35" s="28" t="n">
        <v>0.465116</v>
      </c>
      <c r="BN35" s="28" t="n">
        <v>0.462687</v>
      </c>
      <c r="BO35" s="28" t="n"/>
      <c r="BP35" s="25" t="n"/>
      <c r="BQ35" s="27" t="n">
        <v>2.15</v>
      </c>
      <c r="BR35" s="28" t="n">
        <v>0.465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8474b3479ec146e5</t>
        </is>
      </c>
      <c r="B36" s="24" t="inlineStr">
        <is>
          <t>2026-07-31T00:56:25.957709Z</t>
        </is>
      </c>
      <c r="C36" s="24" t="inlineStr">
        <is>
          <t>2026-07-31T01:40Z</t>
        </is>
      </c>
      <c r="D36" s="24" t="inlineStr">
        <is>
          <t>401816331</t>
        </is>
      </c>
      <c r="E36" s="24" t="inlineStr">
        <is>
          <t>MLB</t>
        </is>
      </c>
      <c r="F36" s="24" t="inlineStr">
        <is>
          <t>San Francisco Giants</t>
        </is>
      </c>
      <c r="G36" s="24" t="inlineStr">
        <is>
          <t>San Diego Padres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0.5591159999999999</v>
      </c>
      <c r="P36" s="28" t="n">
        <v>0.05172</v>
      </c>
      <c r="Q36" s="28" t="n">
        <v>-0.020716</v>
      </c>
      <c r="R36" s="26" t="n">
        <v>9</v>
      </c>
      <c r="S36" s="29" t="n">
        <v>1</v>
      </c>
      <c r="T36" s="24" t="inlineStr">
        <is>
          <t>measured-edge-margin-v1</t>
        </is>
      </c>
      <c r="U36" s="24" t="inlineStr">
        <is>
          <t>settled</t>
        </is>
      </c>
      <c r="V36" s="24" t="inlineStr">
        <is>
          <t>win</t>
        </is>
      </c>
      <c r="W36" s="26" t="n">
        <v>4</v>
      </c>
      <c r="X36" s="26" t="n">
        <v>1</v>
      </c>
      <c r="Y36" s="25" t="n">
        <v>1.5</v>
      </c>
      <c r="Z36" s="26" t="n">
        <v>-138</v>
      </c>
      <c r="AA36" s="28" t="n">
        <v>0.58</v>
      </c>
      <c r="AB36" s="28" t="n">
        <v>0.000168</v>
      </c>
      <c r="AC36" s="30" t="n">
        <v>0.7246</v>
      </c>
      <c r="AD36" s="24" t="inlineStr">
        <is>
          <t>2026-07-31T06:33:22.232327Z</t>
        </is>
      </c>
      <c r="AE36" s="31" t="inlineStr">
        <is>
          <t>Measured Edge Margin: Trend Engine projected 4.48-4.27; raw selected-side p=0.6896, calibrated p=0.5591.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mlb-sf</t>
        </is>
      </c>
      <c r="AQ36" s="24" t="inlineStr">
        <is>
          <t>San Francisco Giants</t>
        </is>
      </c>
      <c r="AR36" s="24" t="inlineStr">
        <is>
          <t>San Francisco Giants</t>
        </is>
      </c>
      <c r="AS36" s="24" t="inlineStr">
        <is>
          <t>mlb-sd</t>
        </is>
      </c>
      <c r="AT36" s="24" t="inlineStr">
        <is>
          <t>San Diego Padres</t>
        </is>
      </c>
      <c r="AU36" s="24" t="inlineStr">
        <is>
          <t>San Diego Padres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2bc2ce55b0d39a20103f724bbddbde5394909acd49297f52665b596a0ae3ae8b</t>
        </is>
      </c>
      <c r="BB36" s="24" t="inlineStr">
        <is>
          <t>flat_probability_shrinkage_toward_half</t>
        </is>
      </c>
      <c r="BC36" s="24" t="inlineStr">
        <is>
          <t>measured-edge-margin-v1</t>
        </is>
      </c>
      <c r="BD36" s="24" t="inlineStr">
        <is>
          <t>2bc2ce55b0d39a20103f724bbddbde5394909acd49297f52665b596a0ae3ae8b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2026-07-31T00:56:25.957709Z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-138</v>
      </c>
      <c r="BL36" s="27" t="n">
        <v>1.724638</v>
      </c>
      <c r="BM36" s="28" t="n">
        <v>0.579832</v>
      </c>
      <c r="BN36" s="28" t="n">
        <v>0.577114</v>
      </c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c8e5eb08284e45ba</t>
        </is>
      </c>
      <c r="B37" s="24" t="inlineStr">
        <is>
          <t>2026-07-31T00:56:25.957709Z</t>
        </is>
      </c>
      <c r="C37" s="24" t="inlineStr">
        <is>
          <t>2026-07-31T02:10Z</t>
        </is>
      </c>
      <c r="D37" s="24" t="inlineStr">
        <is>
          <t>401816330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Los Angeles Dodgers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-141</v>
      </c>
      <c r="M37" s="27" t="n">
        <v>1.70922</v>
      </c>
      <c r="N37" s="28" t="n">
        <v>0.585062</v>
      </c>
      <c r="O37" s="28" t="n">
        <v>0.548584</v>
      </c>
      <c r="P37" s="28" t="n">
        <v>0.042131</v>
      </c>
      <c r="Q37" s="28" t="n">
        <v>-0.036478</v>
      </c>
      <c r="R37" s="26" t="n">
        <v>6</v>
      </c>
      <c r="S37" s="29" t="n">
        <v>1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6</v>
      </c>
      <c r="Y37" s="25" t="n">
        <v>1.5</v>
      </c>
      <c r="Z37" s="26" t="n">
        <v>-141</v>
      </c>
      <c r="AA37" s="28" t="n">
        <v>0.585</v>
      </c>
      <c r="AB37" s="28" t="n">
        <v>-6.2e-05</v>
      </c>
      <c r="AC37" s="30" t="n">
        <v>-1</v>
      </c>
      <c r="AD37" s="24" t="inlineStr">
        <is>
          <t>2026-07-31T06:33:23.239586Z</t>
        </is>
      </c>
      <c r="AE37" s="31" t="inlineStr">
        <is>
          <t>Measured Edge Margin: Trend Engine projected 4.65-4.92; raw selected-side p=0.6361, calibrated p=0.5486.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mlb-lad</t>
        </is>
      </c>
      <c r="AT37" s="24" t="inlineStr">
        <is>
          <t>Los Angeles Dodgers</t>
        </is>
      </c>
      <c r="AU37" s="24" t="inlineStr">
        <is>
          <t>Los Angeles Dodgers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2bc2ce55b0d39a20103f724bbddbde5394909acd49297f52665b596a0ae3ae8b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2bc2ce55b0d39a20103f724bbddbde5394909acd49297f52665b596a0ae3ae8b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2026-07-31T00:56:25.957709Z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-141</v>
      </c>
      <c r="BL37" s="27" t="n">
        <v>1.70922</v>
      </c>
      <c r="BM37" s="28" t="n">
        <v>0.585062</v>
      </c>
      <c r="BN37" s="28" t="n">
        <v>0.58209</v>
      </c>
      <c r="BO37" s="28" t="n"/>
      <c r="BP37" s="25" t="n"/>
      <c r="BQ37" s="27" t="n">
        <v>1.70922</v>
      </c>
      <c r="BR37" s="28" t="n">
        <v>0.585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60b823efaca14598</t>
        </is>
      </c>
      <c r="B38" s="24" t="inlineStr">
        <is>
          <t>2026-07-31T00:56:25.957709Z</t>
        </is>
      </c>
      <c r="C38" s="24" t="inlineStr">
        <is>
          <t>2026-07-31T02:10Z</t>
        </is>
      </c>
      <c r="D38" s="24" t="inlineStr">
        <is>
          <t>401816330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Los Angeles Dodgers</t>
        </is>
      </c>
      <c r="H38" s="24" t="inlineStr">
        <is>
          <t>total</t>
        </is>
      </c>
      <c r="I38" s="24" t="inlineStr">
        <is>
          <t>over</t>
        </is>
      </c>
      <c r="J38" s="25" t="n">
        <v>8.5</v>
      </c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0.550517</v>
      </c>
      <c r="P38" s="28" t="n">
        <v>0.042131</v>
      </c>
      <c r="Q38" s="28" t="n">
        <v>0.035954</v>
      </c>
      <c r="R38" s="26" t="n">
        <v>43</v>
      </c>
      <c r="S38" s="29" t="n">
        <v>1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2</v>
      </c>
      <c r="X38" s="26" t="n">
        <v>6</v>
      </c>
      <c r="Y38" s="25" t="n">
        <v>8.5</v>
      </c>
      <c r="Z38" s="26" t="n">
        <v>-106</v>
      </c>
      <c r="AA38" s="28" t="n">
        <v>0.515</v>
      </c>
      <c r="AB38" s="28" t="n">
        <v>0.000437</v>
      </c>
      <c r="AC38" s="30" t="n">
        <v>-1</v>
      </c>
      <c r="AD38" s="24" t="inlineStr">
        <is>
          <t>2026-07-31T06:33:23.737443Z</t>
        </is>
      </c>
      <c r="AE38" s="31" t="inlineStr">
        <is>
          <t>Measured Edge Totals: Trend Engine projected 4.65-4.92; raw selected-side p=0.5680, calibrated p=0.5505.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mlb-lad</t>
        </is>
      </c>
      <c r="AT38" s="24" t="inlineStr">
        <is>
          <t>Los Angeles Dodgers</t>
        </is>
      </c>
      <c r="AU38" s="24" t="inlineStr">
        <is>
          <t>Los Angeles Dodgers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cbc2c9bf5a9569a49e1902c816d96556d704cf10819ca3a9e927721685757d0b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cbc2c9bf5a9569a49e1902c816d96556d704cf10819ca3a9e927721685757d0b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2026-07-31T00:56:25.957709Z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>
        <v>1.943396</v>
      </c>
      <c r="BR38" s="28" t="n">
        <v>0.515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3d74b7d1bf3747a5</t>
        </is>
      </c>
      <c r="B39" s="24" t="inlineStr">
        <is>
          <t>2026-07-31T16:46:24.073866Z</t>
        </is>
      </c>
      <c r="C39" s="24" t="inlineStr">
        <is>
          <t>2026-07-31T14:20:00-0400</t>
        </is>
      </c>
      <c r="D39" s="24" t="inlineStr">
        <is>
          <t>401816339</t>
        </is>
      </c>
      <c r="E39" s="24" t="inlineStr">
        <is>
          <t>MLB</t>
        </is>
      </c>
      <c r="F39" s="24" t="inlineStr">
        <is>
          <t>New York Yankees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0.543986</v>
      </c>
      <c r="P39" s="28" t="n"/>
      <c r="Q39" s="28" t="n">
        <v>-0.051156</v>
      </c>
      <c r="R39" s="26" t="n">
        <v>0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>
        <v>-147</v>
      </c>
      <c r="AA39" s="28" t="n">
        <v>0.595</v>
      </c>
      <c r="AB39" s="28" t="n">
        <v>-0.000142</v>
      </c>
      <c r="AC39" s="30" t="n">
        <v>-1</v>
      </c>
      <c r="AD39" s="24" t="inlineStr">
        <is>
          <t>2026-07-31T21:03:20.158261Z</t>
        </is>
      </c>
      <c r="AE39" s="31" t="inlineStr">
        <is>
          <t>Learned LR call at threshold 0.6242; executable ask 0.5950 (aec-mlb-nyy-chc-2026-07-31); model edge vs ask -0.0510.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mlb-nyy</t>
        </is>
      </c>
      <c r="AQ39" s="24" t="inlineStr">
        <is>
          <t>New York Yankees</t>
        </is>
      </c>
      <c r="AR39" s="24" t="inlineStr">
        <is>
          <t>New York Yankees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e8343472130f370f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2026-07-31T16:45:32.204120Z</t>
        </is>
      </c>
      <c r="BI39" s="24" t="inlineStr">
        <is>
          <t>["same_event","same_team_same_day","same_league_same_day"]</t>
        </is>
      </c>
      <c r="BJ39" s="25" t="n"/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0.5477638437</t>
        </is>
      </c>
      <c r="CD39" s="24" t="inlineStr">
        <is>
          <t>0.6277</t>
        </is>
      </c>
      <c r="CE39" s="24" t="inlineStr">
        <is>
          <t>0.986</t>
        </is>
      </c>
      <c r="CF39" s="24" t="inlineStr">
        <is>
          <t>1.014</t>
        </is>
      </c>
      <c r="CG39" s="24" t="inlineStr">
        <is>
          <t>-1.6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39009d7bd2e0407f</t>
        </is>
      </c>
      <c r="B40" s="24" t="inlineStr">
        <is>
          <t>2026-07-31T16:46:49.961054Z</t>
        </is>
      </c>
      <c r="C40" s="24" t="inlineStr">
        <is>
          <t>2026-07-31T18:20Z</t>
        </is>
      </c>
      <c r="D40" s="24" t="inlineStr">
        <is>
          <t>401816339</t>
        </is>
      </c>
      <c r="E40" s="24" t="inlineStr">
        <is>
          <t>MLB</t>
        </is>
      </c>
      <c r="F40" s="24" t="inlineStr">
        <is>
          <t>New York Yankees</t>
        </is>
      </c>
      <c r="G40" s="24" t="inlineStr">
        <is>
          <t>Chicago Cubs</t>
        </is>
      </c>
      <c r="H40" s="24" t="inlineStr">
        <is>
          <t>spread</t>
        </is>
      </c>
      <c r="I40" s="24" t="inlineStr">
        <is>
          <t>away</t>
        </is>
      </c>
      <c r="J40" s="25" t="n">
        <v>1.5</v>
      </c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0.538268</v>
      </c>
      <c r="P40" s="28" t="n">
        <v>0.042131</v>
      </c>
      <c r="Q40" s="28" t="n">
        <v>-0.041564</v>
      </c>
      <c r="R40" s="26" t="n">
        <v>4</v>
      </c>
      <c r="S40" s="29" t="n">
        <v>1</v>
      </c>
      <c r="T40" s="24" t="inlineStr">
        <is>
          <t>measured-edge-margin-v1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0</v>
      </c>
      <c r="Y40" s="25" t="n">
        <v>1.5</v>
      </c>
      <c r="Z40" s="26" t="n">
        <v>-138</v>
      </c>
      <c r="AA40" s="28" t="n">
        <v>0.58</v>
      </c>
      <c r="AB40" s="28" t="n">
        <v>0.000168</v>
      </c>
      <c r="AC40" s="30" t="n">
        <v>0.7246</v>
      </c>
      <c r="AD40" s="24" t="inlineStr">
        <is>
          <t>2026-07-31T21:03:20.724129Z</t>
        </is>
      </c>
      <c r="AE40" s="31" t="inlineStr">
        <is>
          <t>Measured Edge Margin: Trend Engine projected 4.18-5.00; raw selected-side p=0.5836, calibrated p=0.5383.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mlb-nyy</t>
        </is>
      </c>
      <c r="AQ40" s="24" t="inlineStr">
        <is>
          <t>New York Yankees</t>
        </is>
      </c>
      <c r="AR40" s="24" t="inlineStr">
        <is>
          <t>New York Yankees</t>
        </is>
      </c>
      <c r="AS40" s="24" t="inlineStr">
        <is>
          <t>mlb-chc</t>
        </is>
      </c>
      <c r="AT40" s="24" t="inlineStr">
        <is>
          <t>Chicago Cubs</t>
        </is>
      </c>
      <c r="AU40" s="24" t="inlineStr">
        <is>
          <t>Chicago Cubs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2bc2ce55b0d39a20103f724bbddbde5394909acd49297f52665b596a0ae3ae8b</t>
        </is>
      </c>
      <c r="BB40" s="24" t="inlineStr">
        <is>
          <t>flat_probability_shrinkage_toward_half</t>
        </is>
      </c>
      <c r="BC40" s="24" t="inlineStr">
        <is>
          <t>measured-edge-margin-v1</t>
        </is>
      </c>
      <c r="BD40" s="24" t="inlineStr">
        <is>
          <t>2bc2ce55b0d39a20103f724bbddbde5394909acd49297f52665b596a0ae3ae8b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2026-07-31T16:46:49.961054Z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>
        <v>1.724638</v>
      </c>
      <c r="BR40" s="28" t="n">
        <v>0.58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803a2df03dc04a1c</t>
        </is>
      </c>
      <c r="B41" s="24" t="inlineStr">
        <is>
          <t>2026-07-31T16:46:49.961054Z</t>
        </is>
      </c>
      <c r="C41" s="24" t="inlineStr">
        <is>
          <t>2026-07-31T18:20Z</t>
        </is>
      </c>
      <c r="D41" s="24" t="inlineStr">
        <is>
          <t>401816339</t>
        </is>
      </c>
      <c r="E41" s="24" t="inlineStr">
        <is>
          <t>MLB</t>
        </is>
      </c>
      <c r="F41" s="24" t="inlineStr">
        <is>
          <t>New York Yankees</t>
        </is>
      </c>
      <c r="G41" s="24" t="inlineStr">
        <is>
          <t>Chicago Cubs</t>
        </is>
      </c>
      <c r="H41" s="24" t="inlineStr">
        <is>
          <t>total</t>
        </is>
      </c>
      <c r="I41" s="24" t="inlineStr">
        <is>
          <t>over</t>
        </is>
      </c>
      <c r="J41" s="25" t="n">
        <v>8.5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0.514138</v>
      </c>
      <c r="P41" s="28" t="n">
        <v>0.042131</v>
      </c>
      <c r="Q41" s="28" t="n">
        <v>-0.041418</v>
      </c>
      <c r="R41" s="26" t="n">
        <v>4</v>
      </c>
      <c r="S41" s="29" t="n">
        <v>1</v>
      </c>
      <c r="T41" s="24" t="inlineStr">
        <is>
          <t>measured-edge-totals-v1</t>
        </is>
      </c>
      <c r="U41" s="24" t="inlineStr">
        <is>
          <t>settled</t>
        </is>
      </c>
      <c r="V41" s="24" t="inlineStr">
        <is>
          <t>loss</t>
        </is>
      </c>
      <c r="W41" s="26" t="n">
        <v>2</v>
      </c>
      <c r="X41" s="26" t="n">
        <v>0</v>
      </c>
      <c r="Y41" s="25" t="n">
        <v>8.5</v>
      </c>
      <c r="Z41" s="26" t="n">
        <v>-125</v>
      </c>
      <c r="AA41" s="28" t="n">
        <v>0.555</v>
      </c>
      <c r="AB41" s="28" t="n">
        <v>-0.000556</v>
      </c>
      <c r="AC41" s="30" t="n">
        <v>-1</v>
      </c>
      <c r="AD41" s="24" t="inlineStr">
        <is>
          <t>2026-07-31T21:03:21.299218Z</t>
        </is>
      </c>
      <c r="AE41" s="31" t="inlineStr">
        <is>
          <t>Measured Edge Totals: Trend Engine projected 4.18-5.00; raw selected-side p=0.5305, calibrated p=0.5141.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mlb-nyy</t>
        </is>
      </c>
      <c r="AQ41" s="24" t="inlineStr">
        <is>
          <t>New York Yankees</t>
        </is>
      </c>
      <c r="AR41" s="24" t="inlineStr">
        <is>
          <t>New York Yankees</t>
        </is>
      </c>
      <c r="AS41" s="24" t="inlineStr">
        <is>
          <t>mlb-chc</t>
        </is>
      </c>
      <c r="AT41" s="24" t="inlineStr">
        <is>
          <t>Chicago Cubs</t>
        </is>
      </c>
      <c r="AU41" s="24" t="inlineStr">
        <is>
          <t>Chicago Cubs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cbc2c9bf5a9569a49e1902c816d96556d704cf10819ca3a9e927721685757d0b</t>
        </is>
      </c>
      <c r="BB41" s="24" t="inlineStr">
        <is>
          <t>flat_probability_shrinkage_toward_half</t>
        </is>
      </c>
      <c r="BC41" s="24" t="inlineStr">
        <is>
          <t>measured-edge-totals-v1</t>
        </is>
      </c>
      <c r="BD41" s="24" t="inlineStr">
        <is>
          <t>cbc2c9bf5a9569a49e1902c816d96556d704cf10819ca3a9e927721685757d0b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2026-07-31T16:46:49.961054Z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7a2edb1572dc4cd1</t>
        </is>
      </c>
      <c r="B42" s="24" t="inlineStr">
        <is>
          <t>2026-07-31T21:05:22.115641Z</t>
        </is>
      </c>
      <c r="C42" s="24" t="inlineStr">
        <is>
          <t>2026-07-31T18:10:00-0400</t>
        </is>
      </c>
      <c r="D42" s="24" t="inlineStr">
        <is>
          <t>401816336</t>
        </is>
      </c>
      <c r="E42" s="24" t="inlineStr">
        <is>
          <t>MLB</t>
        </is>
      </c>
      <c r="F42" s="24" t="inlineStr">
        <is>
          <t>Pittsburgh Pirates</t>
        </is>
      </c>
      <c r="G42" s="24" t="inlineStr">
        <is>
          <t>Cincinnati Reds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-117</v>
      </c>
      <c r="M42" s="27" t="n">
        <v>1.854701</v>
      </c>
      <c r="N42" s="28" t="n">
        <v>0.539171</v>
      </c>
      <c r="O42" s="28" t="n">
        <v>0.519691</v>
      </c>
      <c r="P42" s="28" t="n"/>
      <c r="Q42" s="28" t="n">
        <v>-0.01948</v>
      </c>
      <c r="R42" s="26" t="n">
        <v>11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8</v>
      </c>
      <c r="Y42" s="25" t="n"/>
      <c r="Z42" s="26" t="n">
        <v>-117</v>
      </c>
      <c r="AA42" s="28" t="n">
        <v>0.54</v>
      </c>
      <c r="AB42" s="28" t="n">
        <v>0.000829</v>
      </c>
      <c r="AC42" s="30" t="n">
        <v>-1</v>
      </c>
      <c r="AD42" s="24" t="inlineStr">
        <is>
          <t>2026-08-01T02:59:59.343995Z</t>
        </is>
      </c>
      <c r="AE42" s="31" t="inlineStr">
        <is>
          <t>Learned LR call at threshold 0.6242; executable ask 0.5400 (aec-mlb-pit-cin-2026-07-31); model edge vs ask -0.0203.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mlb-pit</t>
        </is>
      </c>
      <c r="AQ42" s="24" t="inlineStr">
        <is>
          <t>Pittsburgh Pirates</t>
        </is>
      </c>
      <c r="AR42" s="24" t="inlineStr">
        <is>
          <t>Pittsburgh Pirates</t>
        </is>
      </c>
      <c r="AS42" s="24" t="inlineStr">
        <is>
          <t>mlb-cin</t>
        </is>
      </c>
      <c r="AT42" s="24" t="inlineStr">
        <is>
          <t>Cincinnati Reds</t>
        </is>
      </c>
      <c r="AU42" s="24" t="inlineStr">
        <is>
          <t>Cincinnati Reds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87db1c842ab8959c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2026-07-31T21:04:14.582367Z</t>
        </is>
      </c>
      <c r="BI42" s="24" t="inlineStr">
        <is>
          <t>["same_event","same_team_same_day","same_league_same_day"]</t>
        </is>
      </c>
      <c r="BJ42" s="25" t="n"/>
      <c r="BK42" s="26" t="n">
        <v>-117</v>
      </c>
      <c r="BL42" s="27" t="n">
        <v>1.854701</v>
      </c>
      <c r="BM42" s="28" t="n">
        <v>0.539171</v>
      </c>
      <c r="BN42" s="28" t="n">
        <v>0.537313</v>
      </c>
      <c r="BO42" s="28" t="n"/>
      <c r="BP42" s="25" t="n"/>
      <c r="BQ42" s="27" t="n">
        <v>1.854701</v>
      </c>
      <c r="BR42" s="28" t="n">
        <v>0.54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0.4930079966</t>
        </is>
      </c>
      <c r="CD42" s="24" t="inlineStr">
        <is>
          <t>0.789352</t>
        </is>
      </c>
      <c r="CE42" s="24" t="inlineStr">
        <is>
          <t>1.036</t>
        </is>
      </c>
      <c r="CF42" s="24" t="inlineStr">
        <is>
          <t>1.0173</t>
        </is>
      </c>
      <c r="CG42" s="24" t="inlineStr">
        <is>
          <t>-1.2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cf884cdd45fa42a6</t>
        </is>
      </c>
      <c r="B43" s="24" t="inlineStr">
        <is>
          <t>2026-07-31T21:05:22.115641Z</t>
        </is>
      </c>
      <c r="C43" s="24" t="inlineStr">
        <is>
          <t>2026-07-31T19:05:00-0400</t>
        </is>
      </c>
      <c r="D43" s="24" t="inlineStr">
        <is>
          <t>401816335</t>
        </is>
      </c>
      <c r="E43" s="24" t="inlineStr">
        <is>
          <t>MLB</t>
        </is>
      </c>
      <c r="F43" s="24" t="inlineStr">
        <is>
          <t>Philadelphia Phillies</t>
        </is>
      </c>
      <c r="G43" s="24" t="inlineStr">
        <is>
          <t>Baltimore Orioles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106</v>
      </c>
      <c r="M43" s="27" t="n">
        <v>2.06</v>
      </c>
      <c r="N43" s="28" t="n">
        <v>0.485437</v>
      </c>
      <c r="O43" s="28" t="n">
        <v>0.509459</v>
      </c>
      <c r="P43" s="28" t="n"/>
      <c r="Q43" s="28" t="n">
        <v>0.024022</v>
      </c>
      <c r="R43" s="26" t="n">
        <v>33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loss</t>
        </is>
      </c>
      <c r="W43" s="26" t="n">
        <v>4</v>
      </c>
      <c r="X43" s="26" t="n">
        <v>6</v>
      </c>
      <c r="Y43" s="25" t="n"/>
      <c r="Z43" s="26" t="n">
        <v>106</v>
      </c>
      <c r="AA43" s="28" t="n">
        <v>0.485</v>
      </c>
      <c r="AB43" s="28" t="n">
        <v>-0.000437</v>
      </c>
      <c r="AC43" s="30" t="n">
        <v>-1</v>
      </c>
      <c r="AD43" s="24" t="inlineStr">
        <is>
          <t>2026-08-01T02:59:59.636597Z</t>
        </is>
      </c>
      <c r="AE43" s="31" t="inlineStr">
        <is>
          <t>Learned LR call at threshold 0.6242; executable ask 0.4850 (aec-mlb-phi-bal-2026-07-31); model edge vs ask +0.0245.</t>
        </is>
      </c>
      <c r="AF43" s="31" t="inlineStr">
        <is>
          <t>Learned model; shadow-qualified via operator override.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mlb-phi</t>
        </is>
      </c>
      <c r="AQ43" s="24" t="inlineStr">
        <is>
          <t>Philadelphia Phillies</t>
        </is>
      </c>
      <c r="AR43" s="24" t="inlineStr">
        <is>
          <t>Philadelphia Phillies</t>
        </is>
      </c>
      <c r="AS43" s="24" t="inlineStr">
        <is>
          <t>mlb-bal</t>
        </is>
      </c>
      <c r="AT43" s="24" t="inlineStr">
        <is>
          <t>Baltimore Orioles</t>
        </is>
      </c>
      <c r="AU43" s="24" t="inlineStr">
        <is>
          <t>Baltimore Orioles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1b69a14f3893f0c1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2026-07-31T21:04:15.613897Z</t>
        </is>
      </c>
      <c r="BI43" s="24" t="inlineStr">
        <is>
          <t>["same_event","same_team_same_day","same_league_same_day"]</t>
        </is>
      </c>
      <c r="BJ43" s="25" t="n"/>
      <c r="BK43" s="26" t="n">
        <v>106</v>
      </c>
      <c r="BL43" s="27" t="n">
        <v>2.06</v>
      </c>
      <c r="BM43" s="28" t="n">
        <v>0.485437</v>
      </c>
      <c r="BN43" s="28" t="n">
        <v>0.482587</v>
      </c>
      <c r="BO43" s="28" t="n"/>
      <c r="BP43" s="25" t="n"/>
      <c r="BQ43" s="27" t="n">
        <v>2.06</v>
      </c>
      <c r="BR43" s="28" t="n">
        <v>0.485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0.4867559615</t>
        </is>
      </c>
      <c r="CD43" s="24" t="inlineStr">
        <is>
          <t>0.736702</t>
        </is>
      </c>
      <c r="CE43" s="24" t="inlineStr">
        <is>
          <t>1.03</t>
        </is>
      </c>
      <c r="CF43" s="24" t="inlineStr">
        <is>
          <t>1.0165</t>
        </is>
      </c>
      <c r="CG43" s="24" t="inlineStr">
        <is>
          <t>3.2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b1dea9d31b774008</t>
        </is>
      </c>
      <c r="B44" s="24" t="inlineStr">
        <is>
          <t>2026-07-31T21:05:22.115641Z</t>
        </is>
      </c>
      <c r="C44" s="24" t="inlineStr">
        <is>
          <t>2026-07-31T19:07:00-0400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0.5350549999999999</v>
      </c>
      <c r="P44" s="28" t="n"/>
      <c r="Q44" s="28" t="n">
        <v>-0.09457500000000001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3</v>
      </c>
      <c r="Y44" s="25" t="n"/>
      <c r="Z44" s="26" t="n">
        <v>-170</v>
      </c>
      <c r="AA44" s="28" t="n">
        <v>0.63</v>
      </c>
      <c r="AB44" s="28" t="n">
        <v>0.00037</v>
      </c>
      <c r="AC44" s="30" t="n">
        <v>0.5881999999999999</v>
      </c>
      <c r="AD44" s="24" t="inlineStr">
        <is>
          <t>2026-08-01T02:59:59.922051Z</t>
        </is>
      </c>
      <c r="AE44" s="31" t="inlineStr">
        <is>
          <t>Learned LR call at threshold 0.6242; executable ask 0.6300 (aec-mlb-stl-tor-2026-07-31); model edge vs ask -0.0949.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d656c6c15db18eba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2026-07-31T21:04:16.588388Z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>
        <v>0.626866</v>
      </c>
      <c r="BO44" s="28" t="n"/>
      <c r="BP44" s="25" t="n"/>
      <c r="BQ44" s="27" t="n">
        <v>1.588235</v>
      </c>
      <c r="BR44" s="28" t="n">
        <v>0.63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0.5524208033</t>
        </is>
      </c>
      <c r="CD44" s="24" t="inlineStr">
        <is>
          <t>0.784126</t>
        </is>
      </c>
      <c r="CE44" s="24" t="inlineStr">
        <is>
          <t>1.019</t>
        </is>
      </c>
      <c r="CF44" s="24" t="inlineStr">
        <is>
          <t>1.0</t>
        </is>
      </c>
      <c r="CG44" s="24" t="inlineStr">
        <is>
          <t>-0.8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594cf89dbb3142f3</t>
        </is>
      </c>
      <c r="B45" s="24" t="inlineStr">
        <is>
          <t>2026-07-31T21:05:22.115641Z</t>
        </is>
      </c>
      <c r="C45" s="24" t="inlineStr">
        <is>
          <t>2026-07-31T19:10:00-0400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-130</v>
      </c>
      <c r="M45" s="27" t="n">
        <v>1.769231</v>
      </c>
      <c r="N45" s="28" t="n">
        <v>0.565217</v>
      </c>
      <c r="O45" s="28" t="n">
        <v>0.544258</v>
      </c>
      <c r="P45" s="28" t="n"/>
      <c r="Q45" s="28" t="n">
        <v>-0.020959</v>
      </c>
      <c r="R45" s="26" t="n">
        <v>11</v>
      </c>
      <c r="S45" s="29" t="n">
        <v>1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1</v>
      </c>
      <c r="Y45" s="25" t="n"/>
      <c r="Z45" s="26" t="n">
        <v>-130</v>
      </c>
      <c r="AA45" s="28" t="n">
        <v>0.5649999999999999</v>
      </c>
      <c r="AB45" s="28" t="n">
        <v>-0.000217</v>
      </c>
      <c r="AC45" s="30" t="n">
        <v>-1</v>
      </c>
      <c r="AD45" s="24" t="inlineStr">
        <is>
          <t>2026-08-01T03:00:00.243425Z</t>
        </is>
      </c>
      <c r="AE45" s="31" t="inlineStr">
        <is>
          <t>Learned LR call at threshold 0.6242; executable ask 0.5650 (aec-mlb-az-cle-2026-07-31); model edge vs ask -0.0207.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c05f3921fd3daa13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2026-07-31T21:04:18.706060Z</t>
        </is>
      </c>
      <c r="BI45" s="24" t="inlineStr">
        <is>
          <t>["same_event","same_team_same_day","same_league_same_day"]</t>
        </is>
      </c>
      <c r="BJ45" s="25" t="n"/>
      <c r="BK45" s="26" t="n">
        <v>-130</v>
      </c>
      <c r="BL45" s="27" t="n">
        <v>1.769231</v>
      </c>
      <c r="BM45" s="28" t="n">
        <v>0.565217</v>
      </c>
      <c r="BN45" s="28" t="n">
        <v>0.562189</v>
      </c>
      <c r="BO45" s="28" t="n"/>
      <c r="BP45" s="25" t="n"/>
      <c r="BQ45" s="27" t="n">
        <v>1.769231</v>
      </c>
      <c r="BR45" s="28" t="n">
        <v>0.5649999999999999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0.5330748271</t>
        </is>
      </c>
      <c r="CD45" s="24" t="inlineStr">
        <is>
          <t>-0.52933</t>
        </is>
      </c>
      <c r="CE45" s="24" t="inlineStr">
        <is>
          <t>0.966</t>
        </is>
      </c>
      <c r="CF45" s="24" t="inlineStr">
        <is>
          <t>1.01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64c9cf49c8c34227</t>
        </is>
      </c>
      <c r="B46" s="24" t="inlineStr">
        <is>
          <t>2026-07-31T21:05:22.115641Z</t>
        </is>
      </c>
      <c r="C46" s="24" t="inlineStr">
        <is>
          <t>2026-07-31T19:10:00-0400</t>
        </is>
      </c>
      <c r="D46" s="24" t="inlineStr">
        <is>
          <t>401816333</t>
        </is>
      </c>
      <c r="E46" s="24" t="inlineStr">
        <is>
          <t>MLB</t>
        </is>
      </c>
      <c r="F46" s="24" t="inlineStr">
        <is>
          <t>Chicago White Sox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0.559082</v>
      </c>
      <c r="P46" s="28" t="n"/>
      <c r="Q46" s="28" t="n">
        <v>-0.000389</v>
      </c>
      <c r="R46" s="26" t="n">
        <v>21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loss</t>
        </is>
      </c>
      <c r="W46" s="26" t="n">
        <v>6</v>
      </c>
      <c r="X46" s="26" t="n">
        <v>1</v>
      </c>
      <c r="Y46" s="25" t="n"/>
      <c r="Z46" s="26" t="n">
        <v>-127</v>
      </c>
      <c r="AA46" s="28" t="n">
        <v>0.5600000000000001</v>
      </c>
      <c r="AB46" s="28" t="n">
        <v>0.000529</v>
      </c>
      <c r="AC46" s="30" t="n">
        <v>-1</v>
      </c>
      <c r="AD46" s="24" t="inlineStr">
        <is>
          <t>2026-08-01T03:00:00.525886Z</t>
        </is>
      </c>
      <c r="AE46" s="31" t="inlineStr">
        <is>
          <t>Learned LR call at threshold 0.6242; executable ask 0.5600 (aec-mlb-cws-tb-2026-07-31); model edge vs ask -0.0009.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mlb-cws</t>
        </is>
      </c>
      <c r="AQ46" s="24" t="inlineStr">
        <is>
          <t>Chicago White Sox</t>
        </is>
      </c>
      <c r="AR46" s="24" t="inlineStr">
        <is>
          <t>Chicago White Sox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a9ebd0a8f01e6140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2026-07-31T21:04:17.593587Z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>
        <v>0.557214</v>
      </c>
      <c r="BO46" s="28" t="n"/>
      <c r="BP46" s="25" t="n"/>
      <c r="BQ46" s="27" t="n">
        <v>1.787402</v>
      </c>
      <c r="BR46" s="28" t="n">
        <v>0.5600000000000001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0.5584762442</t>
        </is>
      </c>
      <c r="CD46" s="24" t="inlineStr">
        <is>
          <t>-0.438979</t>
        </is>
      </c>
      <c r="CE46" s="24" t="inlineStr">
        <is>
          <t>0.965</t>
        </is>
      </c>
      <c r="CF46" s="24" t="inlineStr">
        <is>
          <t>1.0</t>
        </is>
      </c>
      <c r="CG46" s="24" t="inlineStr">
        <is>
          <t>-2.4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fce5992c67c64f32</t>
        </is>
      </c>
      <c r="B47" s="24" t="inlineStr">
        <is>
          <t>2026-07-31T21:05:22.115641Z</t>
        </is>
      </c>
      <c r="C47" s="24" t="inlineStr">
        <is>
          <t>2026-07-31T19:10:00-0400</t>
        </is>
      </c>
      <c r="D47" s="24" t="inlineStr">
        <is>
          <t>401816334</t>
        </is>
      </c>
      <c r="E47" s="24" t="inlineStr">
        <is>
          <t>MLB</t>
        </is>
      </c>
      <c r="F47" s="24" t="inlineStr">
        <is>
          <t>Miami Marlins</t>
        </is>
      </c>
      <c r="G47" s="24" t="inlineStr">
        <is>
          <t>New York Mets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-111</v>
      </c>
      <c r="M47" s="27" t="n">
        <v>1.900901</v>
      </c>
      <c r="N47" s="28" t="n">
        <v>0.526066</v>
      </c>
      <c r="O47" s="28" t="n">
        <v>0.515053</v>
      </c>
      <c r="P47" s="28" t="n"/>
      <c r="Q47" s="28" t="n">
        <v>-0.011013</v>
      </c>
      <c r="R47" s="26" t="n">
        <v>16</v>
      </c>
      <c r="S47" s="29" t="n">
        <v>1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>
        <v>-111</v>
      </c>
      <c r="AA47" s="28" t="n">
        <v>0.525</v>
      </c>
      <c r="AB47" s="28" t="n">
        <v>-0.001066</v>
      </c>
      <c r="AC47" s="30" t="n">
        <v>-1</v>
      </c>
      <c r="AD47" s="24" t="inlineStr">
        <is>
          <t>2026-08-01T03:00:00.882259Z</t>
        </is>
      </c>
      <c r="AE47" s="31" t="inlineStr">
        <is>
          <t>Learned LR call at threshold 0.6242; executable ask 0.5250 (aec-mlb-mia-nym-2026-07-31); model edge vs ask -0.0099.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mlb-mia</t>
        </is>
      </c>
      <c r="AQ47" s="24" t="inlineStr">
        <is>
          <t>Miami Marlins</t>
        </is>
      </c>
      <c r="AR47" s="24" t="inlineStr">
        <is>
          <t>Miami Marlins</t>
        </is>
      </c>
      <c r="AS47" s="24" t="inlineStr">
        <is>
          <t>mlb-nym</t>
        </is>
      </c>
      <c r="AT47" s="24" t="inlineStr">
        <is>
          <t>New York Mets</t>
        </is>
      </c>
      <c r="AU47" s="24" t="inlineStr">
        <is>
          <t>New York Mets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7d687c1d1c8fffaf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2026-07-31T21:04:19.683836Z</t>
        </is>
      </c>
      <c r="BI47" s="24" t="inlineStr">
        <is>
          <t>["same_event","same_team_same_day","same_league_same_day"]</t>
        </is>
      </c>
      <c r="BJ47" s="25" t="n"/>
      <c r="BK47" s="26" t="n">
        <v>-111</v>
      </c>
      <c r="BL47" s="27" t="n">
        <v>1.900901</v>
      </c>
      <c r="BM47" s="28" t="n">
        <v>0.526066</v>
      </c>
      <c r="BN47" s="28" t="n">
        <v>0.522388</v>
      </c>
      <c r="BO47" s="28" t="n"/>
      <c r="BP47" s="25" t="n"/>
      <c r="BQ47" s="27" t="n">
        <v>1.900901</v>
      </c>
      <c r="BR47" s="28" t="n">
        <v>0.525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0.5114006859</t>
        </is>
      </c>
      <c r="CD47" s="24" t="inlineStr">
        <is>
          <t>0.280262</t>
        </is>
      </c>
      <c r="CE47" s="24" t="inlineStr">
        <is>
          <t>0.978</t>
        </is>
      </c>
      <c r="CF47" s="24" t="inlineStr">
        <is>
          <t>1.0066</t>
        </is>
      </c>
      <c r="CG47" s="24" t="inlineStr">
        <is>
          <t>-2.2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0406e869a5684c9e</t>
        </is>
      </c>
      <c r="B48" s="24" t="inlineStr">
        <is>
          <t>2026-07-31T21:05:22.115641Z</t>
        </is>
      </c>
      <c r="C48" s="24" t="inlineStr">
        <is>
          <t>2026-07-31T19:15:00-0400</t>
        </is>
      </c>
      <c r="D48" s="24" t="inlineStr">
        <is>
          <t>401816338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Atlanta Braves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0.610339</v>
      </c>
      <c r="P48" s="28" t="n"/>
      <c r="Q48" s="28" t="n">
        <v>0.084273</v>
      </c>
      <c r="R48" s="26" t="n">
        <v>64</v>
      </c>
      <c r="S48" s="29" t="n">
        <v>1.5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2</v>
      </c>
      <c r="X48" s="26" t="n">
        <v>6</v>
      </c>
      <c r="Y48" s="25" t="n"/>
      <c r="Z48" s="26" t="n">
        <v>-111</v>
      </c>
      <c r="AA48" s="28" t="n">
        <v>0.525</v>
      </c>
      <c r="AB48" s="28" t="n">
        <v>-0.001066</v>
      </c>
      <c r="AC48" s="30" t="n">
        <v>1.3514</v>
      </c>
      <c r="AD48" s="24" t="inlineStr">
        <is>
          <t>2026-08-01T03:00:01.166405Z</t>
        </is>
      </c>
      <c r="AE48" s="31" t="inlineStr">
        <is>
          <t>Learned LR call at threshold 0.6242; executable ask 0.5250 (aec-mlb-wsh-atl-2026-07-31); model edge vs ask +0.0853.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mlb-atl</t>
        </is>
      </c>
      <c r="AT48" s="24" t="inlineStr">
        <is>
          <t>Atlanta Braves</t>
        </is>
      </c>
      <c r="AU48" s="24" t="inlineStr">
        <is>
          <t>Atlanta Braves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7862677c79c1ab1a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2026-07-31T21:04:20.645809Z</t>
        </is>
      </c>
      <c r="BI48" s="24" t="inlineStr">
        <is>
          <t>["same_event","same_team_same_day","same_league_same_day"]</t>
        </is>
      </c>
      <c r="BJ48" s="25" t="n"/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0.6202589708</t>
        </is>
      </c>
      <c r="CD48" s="24" t="inlineStr">
        <is>
          <t>-0.247606</t>
        </is>
      </c>
      <c r="CE48" s="24" t="inlineStr">
        <is>
          <t>0.929</t>
        </is>
      </c>
      <c r="CF48" s="24" t="inlineStr">
        <is>
          <t>1.0189</t>
        </is>
      </c>
      <c r="CG48" s="24" t="inlineStr">
        <is>
          <t>-0.6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4889dd4f50bc4c81</t>
        </is>
      </c>
      <c r="B49" s="24" t="inlineStr">
        <is>
          <t>2026-07-31T21:05:54.725871Z</t>
        </is>
      </c>
      <c r="C49" s="24" t="inlineStr">
        <is>
          <t>2026-07-31T22:10Z</t>
        </is>
      </c>
      <c r="D49" s="24" t="inlineStr">
        <is>
          <t>401816336</t>
        </is>
      </c>
      <c r="E49" s="24" t="inlineStr">
        <is>
          <t>MLB</t>
        </is>
      </c>
      <c r="F49" s="24" t="inlineStr">
        <is>
          <t>Pittsburgh Pirates</t>
        </is>
      </c>
      <c r="G49" s="24" t="inlineStr">
        <is>
          <t>Cincinnati Reds</t>
        </is>
      </c>
      <c r="H49" s="24" t="inlineStr">
        <is>
          <t>spread</t>
        </is>
      </c>
      <c r="I49" s="24" t="inlineStr">
        <is>
          <t>home</t>
        </is>
      </c>
      <c r="J49" s="25" t="n">
        <v>1.5</v>
      </c>
      <c r="K49" s="24" t="inlineStr">
        <is>
          <t>polymarket_us</t>
        </is>
      </c>
      <c r="L49" s="26" t="n">
        <v>-147</v>
      </c>
      <c r="M49" s="27" t="n">
        <v>1.680272</v>
      </c>
      <c r="N49" s="28" t="n">
        <v>0.5951419999999999</v>
      </c>
      <c r="O49" s="28" t="n">
        <v>0.551836</v>
      </c>
      <c r="P49" s="28" t="n">
        <v>0.05172</v>
      </c>
      <c r="Q49" s="28" t="n">
        <v>-0.043306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8</v>
      </c>
      <c r="Y49" s="25" t="n">
        <v>1.5</v>
      </c>
      <c r="Z49" s="26" t="n">
        <v>-147</v>
      </c>
      <c r="AA49" s="28" t="n">
        <v>0.595</v>
      </c>
      <c r="AB49" s="28" t="n">
        <v>-0.000142</v>
      </c>
      <c r="AC49" s="30" t="n">
        <v>0.6803</v>
      </c>
      <c r="AD49" s="24" t="inlineStr">
        <is>
          <t>2026-08-01T03:00:01.450523Z</t>
        </is>
      </c>
      <c r="AE49" s="31" t="inlineStr">
        <is>
          <t>Measured Edge Margin: Trend Engine projected 4.89-4.80; raw selected-side p=0.6526, calibrated p=0.5518.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mlb-pit</t>
        </is>
      </c>
      <c r="AQ49" s="24" t="inlineStr">
        <is>
          <t>Pittsburgh Pirates</t>
        </is>
      </c>
      <c r="AR49" s="24" t="inlineStr">
        <is>
          <t>Pittsburgh Pirates</t>
        </is>
      </c>
      <c r="AS49" s="24" t="inlineStr">
        <is>
          <t>mlb-cin</t>
        </is>
      </c>
      <c r="AT49" s="24" t="inlineStr">
        <is>
          <t>Cincinnati Reds</t>
        </is>
      </c>
      <c r="AU49" s="24" t="inlineStr">
        <is>
          <t>Cincinnati Reds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-147</v>
      </c>
      <c r="BL49" s="27" t="n">
        <v>1.680272</v>
      </c>
      <c r="BM49" s="28" t="n">
        <v>0.5951419999999999</v>
      </c>
      <c r="BN49" s="28" t="n">
        <v>0.59204</v>
      </c>
      <c r="BO49" s="28" t="n"/>
      <c r="BP49" s="25" t="n"/>
      <c r="BQ49" s="27" t="n">
        <v>1.680272</v>
      </c>
      <c r="BR49" s="28" t="n">
        <v>0.595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09c6d9696d4146c9</t>
        </is>
      </c>
      <c r="B50" s="24" t="inlineStr">
        <is>
          <t>2026-07-31T21:05:54.725871Z</t>
        </is>
      </c>
      <c r="C50" s="24" t="inlineStr">
        <is>
          <t>2026-07-31T22:10Z</t>
        </is>
      </c>
      <c r="D50" s="24" t="inlineStr">
        <is>
          <t>401816336</t>
        </is>
      </c>
      <c r="E50" s="24" t="inlineStr">
        <is>
          <t>MLB</t>
        </is>
      </c>
      <c r="F50" s="24" t="inlineStr">
        <is>
          <t>Pittsburgh Pirates</t>
        </is>
      </c>
      <c r="G50" s="24" t="inlineStr">
        <is>
          <t>Cincinnati Reds</t>
        </is>
      </c>
      <c r="H50" s="24" t="inlineStr">
        <is>
          <t>total</t>
        </is>
      </c>
      <c r="I50" s="24" t="inlineStr">
        <is>
          <t>over</t>
        </is>
      </c>
      <c r="J50" s="25" t="n">
        <v>7.5</v>
      </c>
      <c r="K50" s="24" t="inlineStr">
        <is>
          <t>polymarket_us</t>
        </is>
      </c>
      <c r="L50" s="26" t="n">
        <v>-113</v>
      </c>
      <c r="M50" s="27" t="n">
        <v>1.884956</v>
      </c>
      <c r="N50" s="28" t="n">
        <v>0.530516</v>
      </c>
      <c r="O50" s="28" t="n">
        <v>0.6324419999999999</v>
      </c>
      <c r="P50" s="28" t="n">
        <v>0.05172</v>
      </c>
      <c r="Q50" s="28" t="n">
        <v>0.101926</v>
      </c>
      <c r="R50" s="26" t="n">
        <v>70</v>
      </c>
      <c r="S50" s="29" t="n">
        <v>1.5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7</v>
      </c>
      <c r="X50" s="26" t="n">
        <v>8</v>
      </c>
      <c r="Y50" s="25" t="n">
        <v>7.5</v>
      </c>
      <c r="Z50" s="26" t="n">
        <v>-113</v>
      </c>
      <c r="AA50" s="28" t="n">
        <v>0.53</v>
      </c>
      <c r="AB50" s="28" t="n">
        <v>-0.000516</v>
      </c>
      <c r="AC50" s="30" t="n">
        <v>1.3274</v>
      </c>
      <c r="AD50" s="24" t="inlineStr">
        <is>
          <t>2026-08-01T03:00:01.732961Z</t>
        </is>
      </c>
      <c r="AE50" s="31" t="inlineStr">
        <is>
          <t>Measured Edge Totals: Trend Engine projected 4.89-4.80; raw selected-side p=0.6524, calibrated p=0.6324.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mlb-pit</t>
        </is>
      </c>
      <c r="AQ50" s="24" t="inlineStr">
        <is>
          <t>Pittsburgh Pirates</t>
        </is>
      </c>
      <c r="AR50" s="24" t="inlineStr">
        <is>
          <t>Pittsburgh Pirates</t>
        </is>
      </c>
      <c r="AS50" s="24" t="inlineStr">
        <is>
          <t>mlb-cin</t>
        </is>
      </c>
      <c r="AT50" s="24" t="inlineStr">
        <is>
          <t>Cincinnati Reds</t>
        </is>
      </c>
      <c r="AU50" s="24" t="inlineStr">
        <is>
          <t>Cincinnati Reds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7.5</v>
      </c>
      <c r="BK50" s="26" t="n">
        <v>-113</v>
      </c>
      <c r="BL50" s="27" t="n">
        <v>1.884956</v>
      </c>
      <c r="BM50" s="28" t="n">
        <v>0.530516</v>
      </c>
      <c r="BN50" s="28" t="n">
        <v>0.527363</v>
      </c>
      <c r="BO50" s="28" t="n"/>
      <c r="BP50" s="25" t="n"/>
      <c r="BQ50" s="27" t="n">
        <v>1.884956</v>
      </c>
      <c r="BR50" s="28" t="n">
        <v>0.53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88fa924e18344065</t>
        </is>
      </c>
      <c r="B51" s="24" t="inlineStr">
        <is>
          <t>2026-07-31T21:05:54.725871Z</t>
        </is>
      </c>
      <c r="C51" s="24" t="inlineStr">
        <is>
          <t>2026-07-31T23:05Z</t>
        </is>
      </c>
      <c r="D51" s="24" t="inlineStr">
        <is>
          <t>401816335</t>
        </is>
      </c>
      <c r="E51" s="24" t="inlineStr">
        <is>
          <t>MLB</t>
        </is>
      </c>
      <c r="F51" s="24" t="inlineStr">
        <is>
          <t>Philadelphia Phillies</t>
        </is>
      </c>
      <c r="G51" s="24" t="inlineStr">
        <is>
          <t>Baltimore Orioles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-174</v>
      </c>
      <c r="M51" s="27" t="n">
        <v>1.574713</v>
      </c>
      <c r="N51" s="28" t="n">
        <v>0.635036</v>
      </c>
      <c r="O51" s="28" t="n">
        <v>0.570936</v>
      </c>
      <c r="P51" s="28" t="n">
        <v>0.042131</v>
      </c>
      <c r="Q51" s="28" t="n">
        <v>-0.0641</v>
      </c>
      <c r="R51" s="26" t="n">
        <v>0</v>
      </c>
      <c r="S51" s="29" t="n">
        <v>1.25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6</v>
      </c>
      <c r="Y51" s="25" t="n">
        <v>1.5</v>
      </c>
      <c r="Z51" s="26" t="n">
        <v>-174</v>
      </c>
      <c r="AA51" s="28" t="n">
        <v>0.635</v>
      </c>
      <c r="AB51" s="28" t="n">
        <v>-3.6e-05</v>
      </c>
      <c r="AC51" s="30" t="n">
        <v>0.7184</v>
      </c>
      <c r="AD51" s="24" t="inlineStr">
        <is>
          <t>2026-08-01T03:00:02.014813Z</t>
        </is>
      </c>
      <c r="AE51" s="31" t="inlineStr">
        <is>
          <t>Measured Edge Margin: Trend Engine projected 4.37-5.37; raw selected-side p=0.7498, calibrated p=0.5709.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mlb-phi</t>
        </is>
      </c>
      <c r="AQ51" s="24" t="inlineStr">
        <is>
          <t>Philadelphia Phillies</t>
        </is>
      </c>
      <c r="AR51" s="24" t="inlineStr">
        <is>
          <t>Philadelphia Phillies</t>
        </is>
      </c>
      <c r="AS51" s="24" t="inlineStr">
        <is>
          <t>mlb-bal</t>
        </is>
      </c>
      <c r="AT51" s="24" t="inlineStr">
        <is>
          <t>Baltimore Orioles</t>
        </is>
      </c>
      <c r="AU51" s="24" t="inlineStr">
        <is>
          <t>Baltimore Orioles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-174</v>
      </c>
      <c r="BL51" s="27" t="n">
        <v>1.574713</v>
      </c>
      <c r="BM51" s="28" t="n">
        <v>0.635036</v>
      </c>
      <c r="BN51" s="28" t="n">
        <v>0.631841</v>
      </c>
      <c r="BO51" s="28" t="n"/>
      <c r="BP51" s="25" t="n"/>
      <c r="BQ51" s="27" t="n">
        <v>1.574713</v>
      </c>
      <c r="BR51" s="28" t="n">
        <v>0.635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1f3d7240b25b4b11</t>
        </is>
      </c>
      <c r="B52" s="24" t="inlineStr">
        <is>
          <t>2026-07-31T21:05:54.725871Z</t>
        </is>
      </c>
      <c r="C52" s="24" t="inlineStr">
        <is>
          <t>2026-07-31T23:05Z</t>
        </is>
      </c>
      <c r="D52" s="24" t="inlineStr">
        <is>
          <t>401816335</t>
        </is>
      </c>
      <c r="E52" s="24" t="inlineStr">
        <is>
          <t>MLB</t>
        </is>
      </c>
      <c r="F52" s="24" t="inlineStr">
        <is>
          <t>Philadelphia Phillies</t>
        </is>
      </c>
      <c r="G52" s="24" t="inlineStr">
        <is>
          <t>Baltimore Orioles</t>
        </is>
      </c>
      <c r="H52" s="24" t="inlineStr">
        <is>
          <t>total</t>
        </is>
      </c>
      <c r="I52" s="24" t="inlineStr">
        <is>
          <t>over</t>
        </is>
      </c>
      <c r="J52" s="25" t="n">
        <v>8.5</v>
      </c>
      <c r="K52" s="24" t="inlineStr">
        <is>
          <t>polymarket_us</t>
        </is>
      </c>
      <c r="L52" s="26" t="n">
        <v>-113</v>
      </c>
      <c r="M52" s="27" t="n">
        <v>1.884956</v>
      </c>
      <c r="N52" s="28" t="n">
        <v>0.530516</v>
      </c>
      <c r="O52" s="28" t="n">
        <v>0.560121</v>
      </c>
      <c r="P52" s="28" t="n">
        <v>0.042131</v>
      </c>
      <c r="Q52" s="28" t="n">
        <v>0.029605</v>
      </c>
      <c r="R52" s="26" t="n">
        <v>40</v>
      </c>
      <c r="S52" s="29" t="n">
        <v>1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6</v>
      </c>
      <c r="Y52" s="25" t="n">
        <v>8.5</v>
      </c>
      <c r="Z52" s="26" t="n">
        <v>-113</v>
      </c>
      <c r="AA52" s="28" t="n">
        <v>0.53</v>
      </c>
      <c r="AB52" s="28" t="n">
        <v>-0.000516</v>
      </c>
      <c r="AC52" s="30" t="n">
        <v>0.885</v>
      </c>
      <c r="AD52" s="24" t="inlineStr">
        <is>
          <t>2026-08-01T03:00:02.298810Z</t>
        </is>
      </c>
      <c r="AE52" s="31" t="inlineStr">
        <is>
          <t>Measured Edge Totals: Trend Engine projected 4.37-5.37; raw selected-side p=0.5779, calibrated p=0.5601.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mlb-phi</t>
        </is>
      </c>
      <c r="AQ52" s="24" t="inlineStr">
        <is>
          <t>Philadelphia Phillies</t>
        </is>
      </c>
      <c r="AR52" s="24" t="inlineStr">
        <is>
          <t>Philadelphia Phillies</t>
        </is>
      </c>
      <c r="AS52" s="24" t="inlineStr">
        <is>
          <t>mlb-bal</t>
        </is>
      </c>
      <c r="AT52" s="24" t="inlineStr">
        <is>
          <t>Baltimore Orioles</t>
        </is>
      </c>
      <c r="AU52" s="24" t="inlineStr">
        <is>
          <t>Baltimore Orioles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8.5</v>
      </c>
      <c r="BK52" s="26" t="n">
        <v>-113</v>
      </c>
      <c r="BL52" s="27" t="n">
        <v>1.884956</v>
      </c>
      <c r="BM52" s="28" t="n">
        <v>0.530516</v>
      </c>
      <c r="BN52" s="28" t="n">
        <v>0.527363</v>
      </c>
      <c r="BO52" s="28" t="n"/>
      <c r="BP52" s="25" t="n"/>
      <c r="BQ52" s="27" t="n">
        <v>1.884956</v>
      </c>
      <c r="BR52" s="28" t="n">
        <v>0.53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c8a9a93e5a1743ba</t>
        </is>
      </c>
      <c r="B53" s="24" t="inlineStr">
        <is>
          <t>2026-07-31T21:05:54.725871Z</t>
        </is>
      </c>
      <c r="C53" s="24" t="inlineStr">
        <is>
          <t>2026-07-31T23:07Z</t>
        </is>
      </c>
      <c r="D53" s="24" t="inlineStr">
        <is>
          <t>401816337</t>
        </is>
      </c>
      <c r="E53" s="24" t="inlineStr">
        <is>
          <t>MLB</t>
        </is>
      </c>
      <c r="F53" s="24" t="inlineStr">
        <is>
          <t>St. Louis Cardinals</t>
        </is>
      </c>
      <c r="G53" s="24" t="inlineStr">
        <is>
          <t>Toronto Blue Jays</t>
        </is>
      </c>
      <c r="H53" s="24" t="inlineStr">
        <is>
          <t>spread</t>
        </is>
      </c>
      <c r="I53" s="24" t="inlineStr">
        <is>
          <t>away</t>
        </is>
      </c>
      <c r="J53" s="25" t="n">
        <v>1.5</v>
      </c>
      <c r="K53" s="24" t="inlineStr">
        <is>
          <t>polymarket_us</t>
        </is>
      </c>
      <c r="L53" s="26" t="n">
        <v>-127</v>
      </c>
      <c r="M53" s="27" t="n">
        <v>1.787402</v>
      </c>
      <c r="N53" s="28" t="n">
        <v>0.5594710000000001</v>
      </c>
      <c r="O53" s="28" t="n">
        <v>0.548083</v>
      </c>
      <c r="P53" s="28" t="n">
        <v>0.042131</v>
      </c>
      <c r="Q53" s="28" t="n">
        <v>-0.011388</v>
      </c>
      <c r="R53" s="26" t="n">
        <v>19</v>
      </c>
      <c r="S53" s="29" t="n">
        <v>1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1.5</v>
      </c>
      <c r="Z53" s="26" t="n">
        <v>-127</v>
      </c>
      <c r="AA53" s="28" t="n">
        <v>0.5600000000000001</v>
      </c>
      <c r="AB53" s="28" t="n">
        <v>0.000529</v>
      </c>
      <c r="AC53" s="30" t="n">
        <v>-1</v>
      </c>
      <c r="AD53" s="24" t="inlineStr">
        <is>
          <t>2026-08-01T03:00:02.581322Z</t>
        </is>
      </c>
      <c r="AE53" s="31" t="inlineStr">
        <is>
          <t>Measured Edge Margin: Trend Engine projected 3.92-4.35; raw selected-side p=0.6335, calibrated p=0.5481.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mlb-stl</t>
        </is>
      </c>
      <c r="AQ53" s="24" t="inlineStr">
        <is>
          <t>St. Louis Cardinals</t>
        </is>
      </c>
      <c r="AR53" s="24" t="inlineStr">
        <is>
          <t>St. Louis Cardinals</t>
        </is>
      </c>
      <c r="AS53" s="24" t="inlineStr">
        <is>
          <t>mlb-tor</t>
        </is>
      </c>
      <c r="AT53" s="24" t="inlineStr">
        <is>
          <t>Toronto Blue Jays</t>
        </is>
      </c>
      <c r="AU53" s="24" t="inlineStr">
        <is>
          <t>Toronto Blue Jays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2bc2ce55b0d39a20103f724bbddbde5394909acd49297f52665b596a0ae3ae8b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2bc2ce55b0d39a20103f724bbddbde5394909acd49297f52665b596a0ae3ae8b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2026-07-31T21:05:54.725871Z</t>
        </is>
      </c>
      <c r="BI53" s="24" t="inlineStr">
        <is>
          <t>["same_event","same_team_same_day","same_league_same_day"]</t>
        </is>
      </c>
      <c r="BJ53" s="25" t="n">
        <v>1.5</v>
      </c>
      <c r="BK53" s="26" t="n">
        <v>-127</v>
      </c>
      <c r="BL53" s="27" t="n">
        <v>1.787402</v>
      </c>
      <c r="BM53" s="28" t="n">
        <v>0.5594710000000001</v>
      </c>
      <c r="BN53" s="28" t="n">
        <v>0.557214</v>
      </c>
      <c r="BO53" s="28" t="n"/>
      <c r="BP53" s="25" t="n"/>
      <c r="BQ53" s="27" t="n">
        <v>1.787402</v>
      </c>
      <c r="BR53" s="28" t="n">
        <v>0.5600000000000001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4618ba2b0f49412e</t>
        </is>
      </c>
      <c r="B54" s="24" t="inlineStr">
        <is>
          <t>2026-07-31T21:05:54.725871Z</t>
        </is>
      </c>
      <c r="C54" s="24" t="inlineStr">
        <is>
          <t>2026-07-31T23:07Z</t>
        </is>
      </c>
      <c r="D54" s="24" t="inlineStr">
        <is>
          <t>401816337</t>
        </is>
      </c>
      <c r="E54" s="24" t="inlineStr">
        <is>
          <t>MLB</t>
        </is>
      </c>
      <c r="F54" s="24" t="inlineStr">
        <is>
          <t>St. Louis Cardinals</t>
        </is>
      </c>
      <c r="G54" s="24" t="inlineStr">
        <is>
          <t>Toronto Blue Jays</t>
        </is>
      </c>
      <c r="H54" s="24" t="inlineStr">
        <is>
          <t>total</t>
        </is>
      </c>
      <c r="I54" s="24" t="inlineStr">
        <is>
          <t>over</t>
        </is>
      </c>
      <c r="J54" s="25" t="n">
        <v>7.5</v>
      </c>
      <c r="K54" s="24" t="inlineStr">
        <is>
          <t>polymarket_us</t>
        </is>
      </c>
      <c r="L54" s="26" t="n">
        <v>102</v>
      </c>
      <c r="M54" s="27" t="n">
        <v>2.02</v>
      </c>
      <c r="N54" s="28" t="n">
        <v>0.49505</v>
      </c>
      <c r="O54" s="28" t="n">
        <v>0.508948</v>
      </c>
      <c r="P54" s="28" t="n">
        <v>0.042131</v>
      </c>
      <c r="Q54" s="28" t="n">
        <v>0.013898</v>
      </c>
      <c r="R54" s="26" t="n">
        <v>32</v>
      </c>
      <c r="S54" s="29" t="n">
        <v>1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>
        <v>7.5</v>
      </c>
      <c r="Z54" s="26" t="n">
        <v>102</v>
      </c>
      <c r="AA54" s="28" t="n">
        <v>0.495</v>
      </c>
      <c r="AB54" s="28" t="n">
        <v>-5e-05</v>
      </c>
      <c r="AC54" s="30" t="n">
        <v>-1</v>
      </c>
      <c r="AD54" s="24" t="inlineStr">
        <is>
          <t>2026-08-01T03:00:02.903756Z</t>
        </is>
      </c>
      <c r="AE54" s="31" t="inlineStr">
        <is>
          <t>Measured Edge Totals: Trend Engine projected 3.92-4.35; raw selected-side p=0.5252, calibrated p=0.5089.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mlb-stl</t>
        </is>
      </c>
      <c r="AQ54" s="24" t="inlineStr">
        <is>
          <t>St. Louis Cardinals</t>
        </is>
      </c>
      <c r="AR54" s="24" t="inlineStr">
        <is>
          <t>St. Louis Cardinals</t>
        </is>
      </c>
      <c r="AS54" s="24" t="inlineStr">
        <is>
          <t>mlb-tor</t>
        </is>
      </c>
      <c r="AT54" s="24" t="inlineStr">
        <is>
          <t>Toronto Blue Jays</t>
        </is>
      </c>
      <c r="AU54" s="24" t="inlineStr">
        <is>
          <t>Toronto Blue Jays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cbc2c9bf5a9569a49e1902c816d96556d704cf10819ca3a9e927721685757d0b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cbc2c9bf5a9569a49e1902c816d96556d704cf10819ca3a9e927721685757d0b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2026-07-31T21:05:54.725871Z</t>
        </is>
      </c>
      <c r="BI54" s="24" t="inlineStr">
        <is>
          <t>["same_event","same_team_same_day","same_league_same_day"]</t>
        </is>
      </c>
      <c r="BJ54" s="25" t="n">
        <v>7.5</v>
      </c>
      <c r="BK54" s="26" t="n">
        <v>102</v>
      </c>
      <c r="BL54" s="27" t="n">
        <v>2.02</v>
      </c>
      <c r="BM54" s="28" t="n">
        <v>0.49505</v>
      </c>
      <c r="BN54" s="28" t="n">
        <v>0.492537</v>
      </c>
      <c r="BO54" s="28" t="n"/>
      <c r="BP54" s="25" t="n"/>
      <c r="BQ54" s="27" t="n">
        <v>2.02</v>
      </c>
      <c r="BR54" s="28" t="n">
        <v>0.495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f193d89f2b5b4630</t>
        </is>
      </c>
      <c r="B55" s="24" t="inlineStr">
        <is>
          <t>2026-07-31T21:05:54.725871Z</t>
        </is>
      </c>
      <c r="C55" s="24" t="inlineStr">
        <is>
          <t>2026-07-31T23:10Z</t>
        </is>
      </c>
      <c r="D55" s="24" t="inlineStr">
        <is>
          <t>401816332</t>
        </is>
      </c>
      <c r="E55" s="24" t="inlineStr">
        <is>
          <t>MLB</t>
        </is>
      </c>
      <c r="F55" s="24" t="inlineStr">
        <is>
          <t>Arizona Diamondbacks</t>
        </is>
      </c>
      <c r="G55" s="24" t="inlineStr">
        <is>
          <t>Cleveland Guardians</t>
        </is>
      </c>
      <c r="H55" s="24" t="inlineStr">
        <is>
          <t>spread</t>
        </is>
      </c>
      <c r="I55" s="24" t="inlineStr">
        <is>
          <t>away</t>
        </is>
      </c>
      <c r="J55" s="25" t="n">
        <v>1.5</v>
      </c>
      <c r="K55" s="24" t="inlineStr">
        <is>
          <t>polymarket_us</t>
        </is>
      </c>
      <c r="L55" s="26" t="n">
        <v>-163</v>
      </c>
      <c r="M55" s="27" t="n">
        <v>1.613497</v>
      </c>
      <c r="N55" s="28" t="n">
        <v>0.619772</v>
      </c>
      <c r="O55" s="28" t="n">
        <v>0.546432</v>
      </c>
      <c r="P55" s="28" t="n">
        <v>0.05172</v>
      </c>
      <c r="Q55" s="28" t="n">
        <v>-0.07334</v>
      </c>
      <c r="R55" s="26" t="n">
        <v>0</v>
      </c>
      <c r="S55" s="29" t="n">
        <v>1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win</t>
        </is>
      </c>
      <c r="W55" s="26" t="n">
        <v>4</v>
      </c>
      <c r="X55" s="26" t="n">
        <v>1</v>
      </c>
      <c r="Y55" s="25" t="n">
        <v>1.5</v>
      </c>
      <c r="Z55" s="26" t="n">
        <v>-163</v>
      </c>
      <c r="AA55" s="28" t="n">
        <v>0.62</v>
      </c>
      <c r="AB55" s="28" t="n">
        <v>0.000228</v>
      </c>
      <c r="AC55" s="30" t="n">
        <v>0.6135</v>
      </c>
      <c r="AD55" s="24" t="inlineStr">
        <is>
          <t>2026-08-01T03:00:03.185273Z</t>
        </is>
      </c>
      <c r="AE55" s="31" t="inlineStr">
        <is>
          <t>Measured Edge Margin: Trend Engine projected 4.51-4.92; raw selected-side p=0.6251, calibrated p=0.5464.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mlb-ari</t>
        </is>
      </c>
      <c r="AQ55" s="24" t="inlineStr">
        <is>
          <t>Arizona Diamondbacks</t>
        </is>
      </c>
      <c r="AR55" s="24" t="inlineStr">
        <is>
          <t>Arizona Diamondbacks</t>
        </is>
      </c>
      <c r="AS55" s="24" t="inlineStr">
        <is>
          <t>mlb-cle</t>
        </is>
      </c>
      <c r="AT55" s="24" t="inlineStr">
        <is>
          <t>Cleveland Guardians</t>
        </is>
      </c>
      <c r="AU55" s="24" t="inlineStr">
        <is>
          <t>Cleveland Guardians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2bc2ce55b0d39a20103f724bbddbde5394909acd49297f52665b596a0ae3ae8b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2bc2ce55b0d39a20103f724bbddbde5394909acd49297f52665b596a0ae3ae8b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2026-07-31T21:05:54.725871Z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-163</v>
      </c>
      <c r="BL55" s="27" t="n">
        <v>1.613497</v>
      </c>
      <c r="BM55" s="28" t="n">
        <v>0.619772</v>
      </c>
      <c r="BN55" s="28" t="n">
        <v>0.616915</v>
      </c>
      <c r="BO55" s="28" t="n"/>
      <c r="BP55" s="25" t="n"/>
      <c r="BQ55" s="27" t="n">
        <v>1.613497</v>
      </c>
      <c r="BR55" s="28" t="n">
        <v>0.62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e8536835105045af</t>
        </is>
      </c>
      <c r="B56" s="24" t="inlineStr">
        <is>
          <t>2026-07-31T21:05:54.725871Z</t>
        </is>
      </c>
      <c r="C56" s="24" t="inlineStr">
        <is>
          <t>2026-07-31T23:10Z</t>
        </is>
      </c>
      <c r="D56" s="24" t="inlineStr">
        <is>
          <t>401816332</t>
        </is>
      </c>
      <c r="E56" s="24" t="inlineStr">
        <is>
          <t>MLB</t>
        </is>
      </c>
      <c r="F56" s="24" t="inlineStr">
        <is>
          <t>Arizona Diamondbacks</t>
        </is>
      </c>
      <c r="G56" s="24" t="inlineStr">
        <is>
          <t>Cleveland Guardians</t>
        </is>
      </c>
      <c r="H56" s="24" t="inlineStr">
        <is>
          <t>total</t>
        </is>
      </c>
      <c r="I56" s="24" t="inlineStr">
        <is>
          <t>over</t>
        </is>
      </c>
      <c r="J56" s="25" t="n">
        <v>8.5</v>
      </c>
      <c r="K56" s="24" t="inlineStr">
        <is>
          <t>polymarket_us</t>
        </is>
      </c>
      <c r="L56" s="26" t="n">
        <v>-108</v>
      </c>
      <c r="M56" s="27" t="n">
        <v>1.925926</v>
      </c>
      <c r="N56" s="28" t="n">
        <v>0.519231</v>
      </c>
      <c r="O56" s="28" t="n">
        <v>0.532618</v>
      </c>
      <c r="P56" s="28" t="n">
        <v>0.05172</v>
      </c>
      <c r="Q56" s="28" t="n">
        <v>0.013387</v>
      </c>
      <c r="R56" s="26" t="n">
        <v>26</v>
      </c>
      <c r="S56" s="29" t="n">
        <v>1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4</v>
      </c>
      <c r="X56" s="26" t="n">
        <v>1</v>
      </c>
      <c r="Y56" s="25" t="n">
        <v>8.5</v>
      </c>
      <c r="Z56" s="26" t="n">
        <v>-108</v>
      </c>
      <c r="AA56" s="28" t="n">
        <v>0.52</v>
      </c>
      <c r="AB56" s="28" t="n">
        <v>0.000769</v>
      </c>
      <c r="AC56" s="30" t="n">
        <v>-1</v>
      </c>
      <c r="AD56" s="24" t="inlineStr">
        <is>
          <t>2026-08-01T03:00:03.468829Z</t>
        </is>
      </c>
      <c r="AE56" s="31" t="inlineStr">
        <is>
          <t>Measured Edge Totals: Trend Engine projected 4.51-4.92; raw selected-side p=0.5495, calibrated p=0.5326.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mlb-ari</t>
        </is>
      </c>
      <c r="AQ56" s="24" t="inlineStr">
        <is>
          <t>Arizona Diamondbacks</t>
        </is>
      </c>
      <c r="AR56" s="24" t="inlineStr">
        <is>
          <t>Arizona Diamondbacks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cbc2c9bf5a9569a49e1902c816d96556d704cf10819ca3a9e927721685757d0b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cbc2c9bf5a9569a49e1902c816d96556d704cf10819ca3a9e927721685757d0b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2026-07-31T21:05:54.725871Z</t>
        </is>
      </c>
      <c r="BI56" s="24" t="inlineStr">
        <is>
          <t>["same_event","same_team_same_day","same_league_same_day"]</t>
        </is>
      </c>
      <c r="BJ56" s="25" t="n">
        <v>8.5</v>
      </c>
      <c r="BK56" s="26" t="n">
        <v>-108</v>
      </c>
      <c r="BL56" s="27" t="n">
        <v>1.925926</v>
      </c>
      <c r="BM56" s="28" t="n">
        <v>0.519231</v>
      </c>
      <c r="BN56" s="28" t="n">
        <v>0.517413</v>
      </c>
      <c r="BO56" s="28" t="n"/>
      <c r="BP56" s="25" t="n"/>
      <c r="BQ56" s="27" t="n">
        <v>1.925926</v>
      </c>
      <c r="BR56" s="28" t="n">
        <v>0.52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fea60726d7dd4e66</t>
        </is>
      </c>
      <c r="B57" s="24" t="inlineStr">
        <is>
          <t>2026-07-31T21:05:54.725871Z</t>
        </is>
      </c>
      <c r="C57" s="24" t="inlineStr">
        <is>
          <t>2026-07-31T23:10Z</t>
        </is>
      </c>
      <c r="D57" s="24" t="inlineStr">
        <is>
          <t>401816333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Tampa Bay Rays</t>
        </is>
      </c>
      <c r="H57" s="24" t="inlineStr">
        <is>
          <t>spread</t>
        </is>
      </c>
      <c r="I57" s="24" t="inlineStr">
        <is>
          <t>away</t>
        </is>
      </c>
      <c r="J57" s="25" t="n">
        <v>1.5</v>
      </c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0.5435140000000001</v>
      </c>
      <c r="P57" s="28" t="n">
        <v>0.042131</v>
      </c>
      <c r="Q57" s="28" t="n">
        <v>-0.07625800000000001</v>
      </c>
      <c r="R57" s="26" t="n">
        <v>0</v>
      </c>
      <c r="S57" s="29" t="n">
        <v>1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win</t>
        </is>
      </c>
      <c r="W57" s="26" t="n">
        <v>6</v>
      </c>
      <c r="X57" s="26" t="n">
        <v>1</v>
      </c>
      <c r="Y57" s="25" t="n">
        <v>1.5</v>
      </c>
      <c r="Z57" s="26" t="n">
        <v>-163</v>
      </c>
      <c r="AA57" s="28" t="n">
        <v>0.62</v>
      </c>
      <c r="AB57" s="28" t="n">
        <v>0.000228</v>
      </c>
      <c r="AC57" s="30" t="n">
        <v>0.6135</v>
      </c>
      <c r="AD57" s="24" t="inlineStr">
        <is>
          <t>2026-08-01T03:00:03.755966Z</t>
        </is>
      </c>
      <c r="AE57" s="31" t="inlineStr">
        <is>
          <t>Measured Edge Margin: Trend Engine projected 4.01-4.68; raw selected-side p=0.6102, calibrated p=0.5435.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mlb-cws</t>
        </is>
      </c>
      <c r="AQ57" s="24" t="inlineStr">
        <is>
          <t>Chicago White Sox</t>
        </is>
      </c>
      <c r="AR57" s="24" t="inlineStr">
        <is>
          <t>Chicago White Sox</t>
        </is>
      </c>
      <c r="AS57" s="24" t="inlineStr">
        <is>
          <t>mlb-tb</t>
        </is>
      </c>
      <c r="AT57" s="24" t="inlineStr">
        <is>
          <t>Tampa Bay Rays</t>
        </is>
      </c>
      <c r="AU57" s="24" t="inlineStr">
        <is>
          <t>Tampa Bay Rays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2bc2ce55b0d39a20103f724bbddbde5394909acd49297f52665b596a0ae3ae8b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2bc2ce55b0d39a20103f724bbddbde5394909acd49297f52665b596a0ae3ae8b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2026-07-31T21:05:54.725871Z</t>
        </is>
      </c>
      <c r="BI57" s="24" t="inlineStr">
        <is>
          <t>["same_event","same_team_same_day","same_league_same_day"]</t>
        </is>
      </c>
      <c r="BJ57" s="25" t="n">
        <v>1.5</v>
      </c>
      <c r="BK57" s="26" t="n">
        <v>-163</v>
      </c>
      <c r="BL57" s="27" t="n">
        <v>1.613497</v>
      </c>
      <c r="BM57" s="28" t="n">
        <v>0.619772</v>
      </c>
      <c r="BN57" s="28" t="n">
        <v>0.616915</v>
      </c>
      <c r="BO57" s="28" t="n"/>
      <c r="BP57" s="25" t="n"/>
      <c r="BQ57" s="27" t="n">
        <v>1.613497</v>
      </c>
      <c r="BR57" s="28" t="n">
        <v>0.62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a00561c8b55b4b36</t>
        </is>
      </c>
      <c r="B58" s="24" t="inlineStr">
        <is>
          <t>2026-07-31T21:05:54.725871Z</t>
        </is>
      </c>
      <c r="C58" s="24" t="inlineStr">
        <is>
          <t>2026-07-31T23:10Z</t>
        </is>
      </c>
      <c r="D58" s="24" t="inlineStr">
        <is>
          <t>401816333</t>
        </is>
      </c>
      <c r="E58" s="24" t="inlineStr">
        <is>
          <t>MLB</t>
        </is>
      </c>
      <c r="F58" s="24" t="inlineStr">
        <is>
          <t>Chicago White Sox</t>
        </is>
      </c>
      <c r="G58" s="24" t="inlineStr">
        <is>
          <t>Tampa Bay Rays</t>
        </is>
      </c>
      <c r="H58" s="24" t="inlineStr">
        <is>
          <t>total</t>
        </is>
      </c>
      <c r="I58" s="24" t="inlineStr">
        <is>
          <t>under</t>
        </is>
      </c>
      <c r="J58" s="25" t="n">
        <v>8.5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0.499878</v>
      </c>
      <c r="P58" s="28" t="n">
        <v>0.042131</v>
      </c>
      <c r="Q58" s="28" t="n">
        <v>-0.026188</v>
      </c>
      <c r="R58" s="26" t="n">
        <v>12</v>
      </c>
      <c r="S58" s="29" t="n">
        <v>1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1</v>
      </c>
      <c r="Y58" s="25" t="n">
        <v>8.5</v>
      </c>
      <c r="Z58" s="26" t="n">
        <v>-111</v>
      </c>
      <c r="AA58" s="28" t="n">
        <v>0.525</v>
      </c>
      <c r="AB58" s="28" t="n">
        <v>-0.001066</v>
      </c>
      <c r="AC58" s="30" t="n">
        <v>0.9009</v>
      </c>
      <c r="AD58" s="24" t="inlineStr">
        <is>
          <t>2026-08-01T03:00:04.037663Z</t>
        </is>
      </c>
      <c r="AE58" s="31" t="inlineStr">
        <is>
          <t>Measured Edge Totals: Trend Engine projected 4.01-4.68; raw selected-side p=0.5158, calibrated p=0.4999.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mlb-cws</t>
        </is>
      </c>
      <c r="AQ58" s="24" t="inlineStr">
        <is>
          <t>Chicago White Sox</t>
        </is>
      </c>
      <c r="AR58" s="24" t="inlineStr">
        <is>
          <t>Chicago White Sox</t>
        </is>
      </c>
      <c r="AS58" s="24" t="inlineStr">
        <is>
          <t>mlb-tb</t>
        </is>
      </c>
      <c r="AT58" s="24" t="inlineStr">
        <is>
          <t>Tampa Bay Rays</t>
        </is>
      </c>
      <c r="AU58" s="24" t="inlineStr">
        <is>
          <t>Tampa Bay Rays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cbc2c9bf5a9569a49e1902c816d96556d704cf10819ca3a9e927721685757d0b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cbc2c9bf5a9569a49e1902c816d96556d704cf10819ca3a9e927721685757d0b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2026-07-31T21:05:54.725871Z</t>
        </is>
      </c>
      <c r="BI58" s="24" t="inlineStr">
        <is>
          <t>["same_event","same_team_same_day","same_league_same_day"]</t>
        </is>
      </c>
      <c r="BJ58" s="25" t="n">
        <v>8.5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0ccd6aa020654ef6</t>
        </is>
      </c>
      <c r="B59" s="24" t="inlineStr">
        <is>
          <t>2026-07-31T21:05:54.725871Z</t>
        </is>
      </c>
      <c r="C59" s="24" t="inlineStr">
        <is>
          <t>2026-07-31T23:10Z</t>
        </is>
      </c>
      <c r="D59" s="24" t="inlineStr">
        <is>
          <t>401816334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New York Mets</t>
        </is>
      </c>
      <c r="H59" s="24" t="inlineStr">
        <is>
          <t>spread</t>
        </is>
      </c>
      <c r="I59" s="24" t="inlineStr">
        <is>
          <t>away</t>
        </is>
      </c>
      <c r="J59" s="25" t="n">
        <v>1.5</v>
      </c>
      <c r="K59" s="24" t="inlineStr">
        <is>
          <t>polymarket_us</t>
        </is>
      </c>
      <c r="L59" s="26" t="n">
        <v>-182</v>
      </c>
      <c r="M59" s="27" t="n">
        <v>1.549451</v>
      </c>
      <c r="N59" s="28" t="n">
        <v>0.64539</v>
      </c>
      <c r="O59" s="28" t="n">
        <v>0.552976</v>
      </c>
      <c r="P59" s="28" t="n">
        <v>0.042131</v>
      </c>
      <c r="Q59" s="28" t="n">
        <v>-0.092414</v>
      </c>
      <c r="R59" s="26" t="n">
        <v>0</v>
      </c>
      <c r="S59" s="29" t="n">
        <v>1</v>
      </c>
      <c r="T59" s="24" t="inlineStr">
        <is>
          <t>measured-edge-margin-v1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2</v>
      </c>
      <c r="Y59" s="25" t="n">
        <v>1.5</v>
      </c>
      <c r="Z59" s="26" t="n">
        <v>-182</v>
      </c>
      <c r="AA59" s="28" t="n">
        <v>0.645</v>
      </c>
      <c r="AB59" s="28" t="n">
        <v>-0.00039</v>
      </c>
      <c r="AC59" s="30" t="n">
        <v>0.5495</v>
      </c>
      <c r="AD59" s="24" t="inlineStr">
        <is>
          <t>2026-08-01T03:00:04.318189Z</t>
        </is>
      </c>
      <c r="AE59" s="31" t="inlineStr">
        <is>
          <t>Measured Edge Margin: Trend Engine projected 4.94-4.95; raw selected-side p=0.6584, calibrated p=0.5530.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mlb-mia</t>
        </is>
      </c>
      <c r="AQ59" s="24" t="inlineStr">
        <is>
          <t>Miami Marlins</t>
        </is>
      </c>
      <c r="AR59" s="24" t="inlineStr">
        <is>
          <t>Miami Marlins</t>
        </is>
      </c>
      <c r="AS59" s="24" t="inlineStr">
        <is>
          <t>mlb-nym</t>
        </is>
      </c>
      <c r="AT59" s="24" t="inlineStr">
        <is>
          <t>New York Mets</t>
        </is>
      </c>
      <c r="AU59" s="24" t="inlineStr">
        <is>
          <t>New York Mets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2bc2ce55b0d39a20103f724bbddbde5394909acd49297f52665b596a0ae3ae8b</t>
        </is>
      </c>
      <c r="BB59" s="24" t="inlineStr">
        <is>
          <t>flat_probability_shrinkage_toward_half</t>
        </is>
      </c>
      <c r="BC59" s="24" t="inlineStr">
        <is>
          <t>measured-edge-margin-v1</t>
        </is>
      </c>
      <c r="BD59" s="24" t="inlineStr">
        <is>
          <t>2bc2ce55b0d39a20103f724bbddbde5394909acd49297f52665b596a0ae3ae8b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2026-07-31T21:05:54.725871Z</t>
        </is>
      </c>
      <c r="BI59" s="24" t="inlineStr">
        <is>
          <t>["same_event","same_team_same_day","same_league_same_day"]</t>
        </is>
      </c>
      <c r="BJ59" s="25" t="n">
        <v>1.5</v>
      </c>
      <c r="BK59" s="26" t="n">
        <v>-182</v>
      </c>
      <c r="BL59" s="27" t="n">
        <v>1.549451</v>
      </c>
      <c r="BM59" s="28" t="n">
        <v>0.64539</v>
      </c>
      <c r="BN59" s="28" t="n">
        <v>0.641791</v>
      </c>
      <c r="BO59" s="28" t="n"/>
      <c r="BP59" s="25" t="n"/>
      <c r="BQ59" s="27" t="n">
        <v>1.549451</v>
      </c>
      <c r="BR59" s="28" t="n">
        <v>0.645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d5fc5592ab4341dd</t>
        </is>
      </c>
      <c r="B60" s="24" t="inlineStr">
        <is>
          <t>2026-07-31T21:05:54.725871Z</t>
        </is>
      </c>
      <c r="C60" s="24" t="inlineStr">
        <is>
          <t>2026-07-31T23:10Z</t>
        </is>
      </c>
      <c r="D60" s="24" t="inlineStr">
        <is>
          <t>401816334</t>
        </is>
      </c>
      <c r="E60" s="24" t="inlineStr">
        <is>
          <t>MLB</t>
        </is>
      </c>
      <c r="F60" s="24" t="inlineStr">
        <is>
          <t>Miami Marlins</t>
        </is>
      </c>
      <c r="G60" s="24" t="inlineStr">
        <is>
          <t>New York Mets</t>
        </is>
      </c>
      <c r="H60" s="24" t="inlineStr">
        <is>
          <t>total</t>
        </is>
      </c>
      <c r="I60" s="24" t="inlineStr">
        <is>
          <t>over</t>
        </is>
      </c>
      <c r="J60" s="25" t="n">
        <v>8.5</v>
      </c>
      <c r="K60" s="24" t="inlineStr">
        <is>
          <t>polymarket_us</t>
        </is>
      </c>
      <c r="L60" s="26" t="n">
        <v>-102</v>
      </c>
      <c r="M60" s="27" t="n">
        <v>1.980392</v>
      </c>
      <c r="N60" s="28" t="n">
        <v>0.50495</v>
      </c>
      <c r="O60" s="28" t="n">
        <v>0.5740420000000001</v>
      </c>
      <c r="P60" s="28" t="n">
        <v>0.042131</v>
      </c>
      <c r="Q60" s="28" t="n">
        <v>0.069092</v>
      </c>
      <c r="R60" s="26" t="n">
        <v>59</v>
      </c>
      <c r="S60" s="29" t="n">
        <v>1.25</v>
      </c>
      <c r="T60" s="24" t="inlineStr">
        <is>
          <t>measured-edge-totals-v1</t>
        </is>
      </c>
      <c r="U60" s="24" t="inlineStr">
        <is>
          <t>settled</t>
        </is>
      </c>
      <c r="V60" s="24" t="inlineStr">
        <is>
          <t>loss</t>
        </is>
      </c>
      <c r="W60" s="26" t="n">
        <v>5</v>
      </c>
      <c r="X60" s="26" t="n">
        <v>2</v>
      </c>
      <c r="Y60" s="25" t="n">
        <v>8.5</v>
      </c>
      <c r="Z60" s="26" t="n">
        <v>-102</v>
      </c>
      <c r="AA60" s="28" t="n">
        <v>0.505</v>
      </c>
      <c r="AB60" s="28" t="n">
        <v>5e-05</v>
      </c>
      <c r="AC60" s="30" t="n">
        <v>-1.25</v>
      </c>
      <c r="AD60" s="24" t="inlineStr">
        <is>
          <t>2026-08-01T03:00:04.601965Z</t>
        </is>
      </c>
      <c r="AE60" s="31" t="inlineStr">
        <is>
          <t>Measured Edge Totals: Trend Engine projected 4.94-4.95; raw selected-side p=0.5923, calibrated p=0.5740.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mlb-mia</t>
        </is>
      </c>
      <c r="AQ60" s="24" t="inlineStr">
        <is>
          <t>Miami Marlins</t>
        </is>
      </c>
      <c r="AR60" s="24" t="inlineStr">
        <is>
          <t>Miami Marlins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cbc2c9bf5a9569a49e1902c816d96556d704cf10819ca3a9e927721685757d0b</t>
        </is>
      </c>
      <c r="BB60" s="24" t="inlineStr">
        <is>
          <t>flat_probability_shrinkage_toward_half</t>
        </is>
      </c>
      <c r="BC60" s="24" t="inlineStr">
        <is>
          <t>measured-edge-totals-v1</t>
        </is>
      </c>
      <c r="BD60" s="24" t="inlineStr">
        <is>
          <t>cbc2c9bf5a9569a49e1902c816d96556d704cf10819ca3a9e927721685757d0b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2026-07-31T21:05:54.725871Z</t>
        </is>
      </c>
      <c r="BI60" s="24" t="inlineStr">
        <is>
          <t>["same_event","same_team_same_day","same_league_same_day"]</t>
        </is>
      </c>
      <c r="BJ60" s="25" t="n">
        <v>8.5</v>
      </c>
      <c r="BK60" s="26" t="n">
        <v>-102</v>
      </c>
      <c r="BL60" s="27" t="n">
        <v>1.980392</v>
      </c>
      <c r="BM60" s="28" t="n">
        <v>0.50495</v>
      </c>
      <c r="BN60" s="28" t="n">
        <v>0.502488</v>
      </c>
      <c r="BO60" s="28" t="n"/>
      <c r="BP60" s="25" t="n"/>
      <c r="BQ60" s="27" t="n">
        <v>1.980392</v>
      </c>
      <c r="BR60" s="28" t="n">
        <v>0.505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b678fd28ca724674</t>
        </is>
      </c>
      <c r="B61" s="24" t="inlineStr">
        <is>
          <t>2026-07-31T21:05:54.725871Z</t>
        </is>
      </c>
      <c r="C61" s="24" t="inlineStr">
        <is>
          <t>2026-07-31T23:15Z</t>
        </is>
      </c>
      <c r="D61" s="24" t="inlineStr">
        <is>
          <t>401816338</t>
        </is>
      </c>
      <c r="E61" s="24" t="inlineStr">
        <is>
          <t>MLB</t>
        </is>
      </c>
      <c r="F61" s="24" t="inlineStr">
        <is>
          <t>Washington Nationals</t>
        </is>
      </c>
      <c r="G61" s="24" t="inlineStr">
        <is>
          <t>Atlanta Braves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-182</v>
      </c>
      <c r="M61" s="27" t="n">
        <v>1.549451</v>
      </c>
      <c r="N61" s="28" t="n">
        <v>0.64539</v>
      </c>
      <c r="O61" s="28" t="n">
        <v>0.546226</v>
      </c>
      <c r="P61" s="28" t="n">
        <v>0.042131</v>
      </c>
      <c r="Q61" s="28" t="n">
        <v>-0.099164</v>
      </c>
      <c r="R61" s="26" t="n">
        <v>0</v>
      </c>
      <c r="S61" s="29" t="n">
        <v>1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6</v>
      </c>
      <c r="Y61" s="25" t="n">
        <v>1.5</v>
      </c>
      <c r="Z61" s="26" t="n">
        <v>-182</v>
      </c>
      <c r="AA61" s="28" t="n">
        <v>0.645</v>
      </c>
      <c r="AB61" s="28" t="n">
        <v>-0.00039</v>
      </c>
      <c r="AC61" s="30" t="n">
        <v>0.5495</v>
      </c>
      <c r="AD61" s="24" t="inlineStr">
        <is>
          <t>2026-08-01T03:00:04.884635Z</t>
        </is>
      </c>
      <c r="AE61" s="31" t="inlineStr">
        <is>
          <t>Measured Edge Margin: Trend Engine projected 4.68-4.22; raw selected-side p=0.6240, calibrated p=0.5462.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mlb-wsh</t>
        </is>
      </c>
      <c r="AQ61" s="24" t="inlineStr">
        <is>
          <t>Washington Nationals</t>
        </is>
      </c>
      <c r="AR61" s="24" t="inlineStr">
        <is>
          <t>Washington Nationals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2bc2ce55b0d39a20103f724bbddbde5394909acd49297f52665b596a0ae3ae8b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2bc2ce55b0d39a20103f724bbddbde5394909acd49297f52665b596a0ae3ae8b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2026-07-31T21:05:54.725871Z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-182</v>
      </c>
      <c r="BL61" s="27" t="n">
        <v>1.549451</v>
      </c>
      <c r="BM61" s="28" t="n">
        <v>0.64539</v>
      </c>
      <c r="BN61" s="28" t="n">
        <v>0.641791</v>
      </c>
      <c r="BO61" s="28" t="n"/>
      <c r="BP61" s="25" t="n"/>
      <c r="BQ61" s="27" t="n">
        <v>1.549451</v>
      </c>
      <c r="BR61" s="28" t="n">
        <v>0.645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1d57acfaf49748c4</t>
        </is>
      </c>
      <c r="B62" s="24" t="inlineStr">
        <is>
          <t>2026-07-31T21:05:54.725871Z</t>
        </is>
      </c>
      <c r="C62" s="24" t="inlineStr">
        <is>
          <t>2026-07-31T23:15Z</t>
        </is>
      </c>
      <c r="D62" s="24" t="inlineStr">
        <is>
          <t>401816338</t>
        </is>
      </c>
      <c r="E62" s="24" t="inlineStr">
        <is>
          <t>MLB</t>
        </is>
      </c>
      <c r="F62" s="24" t="inlineStr">
        <is>
          <t>Washington Nationals</t>
        </is>
      </c>
      <c r="G62" s="24" t="inlineStr">
        <is>
          <t>Atlanta Braves</t>
        </is>
      </c>
      <c r="H62" s="24" t="inlineStr">
        <is>
          <t>total</t>
        </is>
      </c>
      <c r="I62" s="24" t="inlineStr">
        <is>
          <t>under</t>
        </is>
      </c>
      <c r="J62" s="25" t="n">
        <v>9.5</v>
      </c>
      <c r="K62" s="24" t="inlineStr">
        <is>
          <t>polymarket_us</t>
        </is>
      </c>
      <c r="L62" s="26" t="n">
        <v>-122</v>
      </c>
      <c r="M62" s="27" t="n">
        <v>1.819672</v>
      </c>
      <c r="N62" s="28" t="n">
        <v>0.54955</v>
      </c>
      <c r="O62" s="28" t="n">
        <v>0.586459</v>
      </c>
      <c r="P62" s="28" t="n">
        <v>0.042131</v>
      </c>
      <c r="Q62" s="28" t="n">
        <v>0.036909</v>
      </c>
      <c r="R62" s="26" t="n">
        <v>43</v>
      </c>
      <c r="S62" s="29" t="n">
        <v>1.25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>
        <v>9.5</v>
      </c>
      <c r="Z62" s="26" t="n">
        <v>-122</v>
      </c>
      <c r="AA62" s="28" t="n">
        <v>0.55</v>
      </c>
      <c r="AB62" s="28" t="n">
        <v>0.00045</v>
      </c>
      <c r="AC62" s="30" t="n">
        <v>1.0246</v>
      </c>
      <c r="AD62" s="24" t="inlineStr">
        <is>
          <t>2026-08-01T03:00:05.207093Z</t>
        </is>
      </c>
      <c r="AE62" s="31" t="inlineStr">
        <is>
          <t>Measured Edge Totals: Trend Engine projected 4.68-4.22; raw selected-side p=0.6050, calibrated p=0.5865.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mlb-wsh</t>
        </is>
      </c>
      <c r="AQ62" s="24" t="inlineStr">
        <is>
          <t>Washington Nationals</t>
        </is>
      </c>
      <c r="AR62" s="24" t="inlineStr">
        <is>
          <t>Washington Nationals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cbc2c9bf5a9569a49e1902c816d96556d704cf10819ca3a9e927721685757d0b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cbc2c9bf5a9569a49e1902c816d96556d704cf10819ca3a9e927721685757d0b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2026-07-31T21:05:54.725871Z</t>
        </is>
      </c>
      <c r="BI62" s="24" t="inlineStr">
        <is>
          <t>["same_event","same_team_same_day","same_league_same_day"]</t>
        </is>
      </c>
      <c r="BJ62" s="25" t="n">
        <v>9.5</v>
      </c>
      <c r="BK62" s="26" t="n">
        <v>-122</v>
      </c>
      <c r="BL62" s="27" t="n">
        <v>1.819672</v>
      </c>
      <c r="BM62" s="28" t="n">
        <v>0.54955</v>
      </c>
      <c r="BN62" s="28" t="n">
        <v>0.547264</v>
      </c>
      <c r="BO62" s="28" t="n"/>
      <c r="BP62" s="25" t="n"/>
      <c r="BQ62" s="27" t="n">
        <v>1.819672</v>
      </c>
      <c r="BR62" s="28" t="n">
        <v>0.55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f5699485189e4e76</t>
        </is>
      </c>
      <c r="B63" s="24" t="inlineStr">
        <is>
          <t>2026-07-31T23:29:42.171549Z</t>
        </is>
      </c>
      <c r="C63" s="24" t="inlineStr">
        <is>
          <t>2026-07-31T20:15:00-0400</t>
        </is>
      </c>
      <c r="D63" s="24" t="inlineStr">
        <is>
          <t>401816340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0.548061</v>
      </c>
      <c r="P63" s="28" t="n"/>
      <c r="Q63" s="28" t="n">
        <v>0.00889</v>
      </c>
      <c r="R63" s="26" t="n">
        <v>25</v>
      </c>
      <c r="S63" s="29" t="n">
        <v>1</v>
      </c>
      <c r="T63" s="24" t="inlineStr">
        <is>
          <t>mlb-elo-trend-lr-v7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11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2026-08-01T05:33:39.699571Z</t>
        </is>
      </c>
      <c r="AE63" s="31" t="inlineStr">
        <is>
          <t>Learned LR call at threshold 0.6242; executable ask 0.5400 (aec-mlb-tex-hou-2026-07-31); model edge vs ask +0.0081.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524a0fd0934624ad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2026-07-31T23:29:18.070151Z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>
        <v>0.537313</v>
      </c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0.5417596979</t>
        </is>
      </c>
      <c r="CD63" s="24" t="inlineStr">
        <is>
          <t>0.96412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2.2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55640aa916a34dcf</t>
        </is>
      </c>
      <c r="B64" s="24" t="inlineStr">
        <is>
          <t>2026-07-31T23:29:42.171549Z</t>
        </is>
      </c>
      <c r="C64" s="24" t="inlineStr">
        <is>
          <t>2026-07-31T19:30:00-0400</t>
        </is>
      </c>
      <c r="D64" s="24" t="inlineStr">
        <is>
          <t>401857102</t>
        </is>
      </c>
      <c r="E64" s="24" t="inlineStr">
        <is>
          <t>WNBA</t>
        </is>
      </c>
      <c r="F64" s="24" t="inlineStr">
        <is>
          <t>Seattle Storm</t>
        </is>
      </c>
      <c r="G64" s="24" t="inlineStr">
        <is>
          <t>Atlanta Dream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-525</v>
      </c>
      <c r="M64" s="27" t="n">
        <v>1.190476</v>
      </c>
      <c r="N64" s="28" t="n">
        <v>0.84</v>
      </c>
      <c r="O64" s="28" t="n">
        <v>0.737046</v>
      </c>
      <c r="P64" s="28" t="n"/>
      <c r="Q64" s="28" t="n">
        <v>-0.102954</v>
      </c>
      <c r="R64" s="26" t="n">
        <v>0</v>
      </c>
      <c r="S64" s="29" t="n">
        <v>2</v>
      </c>
      <c r="T64" s="24" t="inlineStr">
        <is>
          <t>wnba-elo-trend-lr-v4</t>
        </is>
      </c>
      <c r="U64" s="24" t="inlineStr">
        <is>
          <t>settled</t>
        </is>
      </c>
      <c r="V64" s="24" t="inlineStr">
        <is>
          <t>win</t>
        </is>
      </c>
      <c r="W64" s="26" t="n">
        <v>89</v>
      </c>
      <c r="X64" s="26" t="n">
        <v>98</v>
      </c>
      <c r="Y64" s="25" t="n"/>
      <c r="Z64" s="26" t="n"/>
      <c r="AA64" s="28" t="n"/>
      <c r="AB64" s="28" t="n"/>
      <c r="AC64" s="30" t="n">
        <v>0.381</v>
      </c>
      <c r="AD64" s="24" t="inlineStr">
        <is>
          <t>2026-08-01T03:00:06.398841Z</t>
        </is>
      </c>
      <c r="AE64" s="31" t="inlineStr">
        <is>
          <t>Learned LR call at threshold 0.5001; executable ask 0.8400 (aec-wnba-sea-atl-2026-07-31); model edge vs ask -0.1030.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wnba-sea</t>
        </is>
      </c>
      <c r="AQ64" s="24" t="inlineStr">
        <is>
          <t>Seattle Storm</t>
        </is>
      </c>
      <c r="AR64" s="24" t="inlineStr">
        <is>
          <t>Seattle Storm</t>
        </is>
      </c>
      <c r="AS64" s="24" t="inlineStr">
        <is>
          <t>wnba-atl</t>
        </is>
      </c>
      <c r="AT64" s="24" t="inlineStr">
        <is>
          <t>Atlanta Dream</t>
        </is>
      </c>
      <c r="AU64" s="24" t="inlineStr">
        <is>
          <t>Atlanta Dream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7afd5274214b58b7efd7f7febc7be3ab33b92351cda5cc6403c0a39faea0cc8c</t>
        </is>
      </c>
      <c r="BB64" s="24" t="inlineStr">
        <is>
          <t>learned_lr</t>
        </is>
      </c>
      <c r="BC64" s="24" t="inlineStr">
        <is>
          <t>wnba-elo-trend-lr-v4</t>
        </is>
      </c>
      <c r="BD64" s="24" t="inlineStr">
        <is>
          <t>7afd5274214b58b7efd7f7febc7be3ab33b92351cda5cc6403c0a39faea0cc8c</t>
        </is>
      </c>
      <c r="BE64" s="24" t="inlineStr">
        <is>
          <t>8fdca19bc32f576a</t>
        </is>
      </c>
      <c r="BF64" s="24" t="inlineStr">
        <is>
          <t>1</t>
        </is>
      </c>
      <c r="BG64" s="24" t="inlineStr">
        <is>
          <t>wnba-elo-trend-lr-v4</t>
        </is>
      </c>
      <c r="BH64" s="24" t="inlineStr">
        <is>
          <t>2026-07-31T23:29:25.425390Z</t>
        </is>
      </c>
      <c r="BI64" s="24" t="inlineStr">
        <is>
          <t>["same_event","same_team_same_day","same_league_same_day"]</t>
        </is>
      </c>
      <c r="BJ64" s="25" t="n"/>
      <c r="BK64" s="26" t="n">
        <v>-525</v>
      </c>
      <c r="BL64" s="27" t="n">
        <v>1.190476</v>
      </c>
      <c r="BM64" s="28" t="n">
        <v>0.84</v>
      </c>
      <c r="BN64" s="28" t="n">
        <v>0.831683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0.821319619</t>
        </is>
      </c>
      <c r="CD64" s="24" t="inlineStr">
        <is>
          <t>-5.618671</t>
        </is>
      </c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a5d8df625d884626</t>
        </is>
      </c>
      <c r="B65" s="24" t="inlineStr">
        <is>
          <t>2026-07-31T23:29:42.171549Z</t>
        </is>
      </c>
      <c r="C65" s="24" t="inlineStr">
        <is>
          <t>2026-07-31T20:40:00-0400</t>
        </is>
      </c>
      <c r="D65" s="24" t="inlineStr">
        <is>
          <t>401816341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0.5955</v>
      </c>
      <c r="P65" s="28" t="n"/>
      <c r="Q65" s="28" t="n">
        <v>0.08569599999999999</v>
      </c>
      <c r="R65" s="26" t="n">
        <v>64</v>
      </c>
      <c r="S65" s="29" t="n">
        <v>1.25</v>
      </c>
      <c r="T65" s="24" t="inlineStr">
        <is>
          <t>mlb-elo-trend-lr-v7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3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-1.25</v>
      </c>
      <c r="AD65" s="24" t="inlineStr">
        <is>
          <t>2026-08-01T05:33:39.994911Z</t>
        </is>
      </c>
      <c r="AE65" s="31" t="inlineStr">
        <is>
          <t>Learned LR call at threshold 0.6242; executable ask 0.5100 (aec-mlb-kc-col-2026-07-31); model edge vs ask +0.0855.</t>
        </is>
      </c>
      <c r="AF65" s="31" t="inlineStr">
        <is>
          <t>Learned model; shadow-qualified via operator override.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923d07b1b3b0c2bd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2026-07-31T23:29:19.286255Z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0.4263386442</t>
        </is>
      </c>
      <c r="CD65" s="24" t="inlineStr">
        <is>
          <t>-0.092509</t>
        </is>
      </c>
      <c r="CE65" s="24" t="inlineStr">
        <is>
          <t>1.193</t>
        </is>
      </c>
      <c r="CF65" s="24" t="inlineStr">
        <is>
          <t>1.0177</t>
        </is>
      </c>
      <c r="CG65" s="24" t="inlineStr">
        <is>
          <t>3.8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cd01f161ca044950</t>
        </is>
      </c>
      <c r="B66" s="24" t="inlineStr">
        <is>
          <t>2026-07-31T23:29:42.171549Z</t>
        </is>
      </c>
      <c r="C66" s="24" t="inlineStr">
        <is>
          <t>2026-07-31T19:30:00-0400</t>
        </is>
      </c>
      <c r="D66" s="24" t="inlineStr">
        <is>
          <t>401857103</t>
        </is>
      </c>
      <c r="E66" s="24" t="inlineStr">
        <is>
          <t>WNBA</t>
        </is>
      </c>
      <c r="F66" s="24" t="inlineStr">
        <is>
          <t>Dallas Wings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0.575648</v>
      </c>
      <c r="P66" s="28" t="n"/>
      <c r="Q66" s="28" t="n">
        <v>-0.024352</v>
      </c>
      <c r="R66" s="26" t="n">
        <v>11</v>
      </c>
      <c r="S66" s="29" t="n">
        <v>1.25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loss</t>
        </is>
      </c>
      <c r="W66" s="26" t="n">
        <v>75</v>
      </c>
      <c r="X66" s="26" t="n">
        <v>81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2026-08-01T03:00:06.684303Z</t>
        </is>
      </c>
      <c r="AE66" s="31" t="inlineStr">
        <is>
          <t>Learned LR call at threshold 0.5001; executable ask 0.6000 (aec-wnba-dal-wsh-2026-07-31); model edge vs ask -0.0244.</t>
        </is>
      </c>
      <c r="AF66" s="31" t="inlineStr">
        <is>
          <t>Learned model; shadow-qualified via operator override.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wnba-dal</t>
        </is>
      </c>
      <c r="AQ66" s="24" t="inlineStr">
        <is>
          <t>Dallas Wings</t>
        </is>
      </c>
      <c r="AR66" s="24" t="inlineStr">
        <is>
          <t>Dallas Wings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0f848d940ea26816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2026-07-31T23:29:26.294036Z</t>
        </is>
      </c>
      <c r="BI66" s="24" t="inlineStr">
        <is>
          <t>["same_event","same_team_same_day","same_league_same_day"]</t>
        </is>
      </c>
      <c r="BJ66" s="25" t="n"/>
      <c r="BK66" s="26" t="n">
        <v>-150</v>
      </c>
      <c r="BL66" s="27" t="n">
        <v>1.666667</v>
      </c>
      <c r="BM66" s="28" t="n">
        <v>0.6</v>
      </c>
      <c r="BN66" s="28" t="n">
        <v>0.594059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0.4036949453</t>
        </is>
      </c>
      <c r="CD66" s="24" t="inlineStr">
        <is>
          <t>-0.615194</t>
        </is>
      </c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a2e6ce67dd9c4ecf</t>
        </is>
      </c>
      <c r="B67" s="24" t="inlineStr">
        <is>
          <t>2026-07-31T23:29:42.171549Z</t>
        </is>
      </c>
      <c r="C67" s="24" t="inlineStr">
        <is>
          <t>2026-07-31T21:38:00-0400</t>
        </is>
      </c>
      <c r="D67" s="24" t="inlineStr">
        <is>
          <t>401816344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-156</v>
      </c>
      <c r="M67" s="27" t="n">
        <v>1.641026</v>
      </c>
      <c r="N67" s="28" t="n">
        <v>0.609375</v>
      </c>
      <c r="O67" s="28" t="n">
        <v>0.623039</v>
      </c>
      <c r="P67" s="28" t="n"/>
      <c r="Q67" s="28" t="n">
        <v>0.013664</v>
      </c>
      <c r="R67" s="26" t="n">
        <v>28</v>
      </c>
      <c r="S67" s="29" t="n">
        <v>1.5</v>
      </c>
      <c r="T67" s="24" t="inlineStr">
        <is>
          <t>mlb-elo-trend-lr-v7</t>
        </is>
      </c>
      <c r="U67" s="24" t="inlineStr">
        <is>
          <t>settled</t>
        </is>
      </c>
      <c r="V67" s="24" t="inlineStr">
        <is>
          <t>win</t>
        </is>
      </c>
      <c r="W67" s="26" t="n">
        <v>6</v>
      </c>
      <c r="X67" s="26" t="n">
        <v>2</v>
      </c>
      <c r="Y67" s="25" t="n"/>
      <c r="Z67" s="26" t="n">
        <v>-156</v>
      </c>
      <c r="AA67" s="28" t="n">
        <v>0.61</v>
      </c>
      <c r="AB67" s="28" t="n">
        <v>0.000625</v>
      </c>
      <c r="AC67" s="30" t="n">
        <v>0.9615</v>
      </c>
      <c r="AD67" s="24" t="inlineStr">
        <is>
          <t>2026-08-01T05:33:40.292879Z</t>
        </is>
      </c>
      <c r="AE67" s="31" t="inlineStr">
        <is>
          <t>Learned LR call at threshold 0.6242; executable ask 0.6100 (aec-mlb-mil-laa-2026-07-31); model edge vs ask +0.0130.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536a32a342b89fa6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2026-07-31T23:29:19.944430Z</t>
        </is>
      </c>
      <c r="BI67" s="24" t="inlineStr">
        <is>
          <t>["same_event","same_team_same_day","same_league_same_day"]</t>
        </is>
      </c>
      <c r="BJ67" s="25" t="n"/>
      <c r="BK67" s="26" t="n">
        <v>-156</v>
      </c>
      <c r="BL67" s="27" t="n">
        <v>1.641026</v>
      </c>
      <c r="BM67" s="28" t="n">
        <v>0.609375</v>
      </c>
      <c r="BN67" s="28" t="n">
        <v>0.606965</v>
      </c>
      <c r="BO67" s="28" t="n"/>
      <c r="BP67" s="25" t="n"/>
      <c r="BQ67" s="27" t="n">
        <v>1.641026</v>
      </c>
      <c r="BR67" s="28" t="n">
        <v>0.61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0.3355785191</t>
        </is>
      </c>
      <c r="CD67" s="24" t="inlineStr">
        <is>
          <t>-0.284241</t>
        </is>
      </c>
      <c r="CE67" s="24" t="inlineStr">
        <is>
          <t>1.01</t>
        </is>
      </c>
      <c r="CF67" s="24" t="inlineStr">
        <is>
          <t>1.0122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f87ad21d2fcd40e3</t>
        </is>
      </c>
      <c r="B68" s="24" t="inlineStr">
        <is>
          <t>2026-07-31T23:29:42.171549Z</t>
        </is>
      </c>
      <c r="C68" s="24" t="inlineStr">
        <is>
          <t>2026-07-31T22:00:00-0400</t>
        </is>
      </c>
      <c r="D68" s="24" t="inlineStr">
        <is>
          <t>401857104</t>
        </is>
      </c>
      <c r="E68" s="24" t="inlineStr">
        <is>
          <t>WNBA</t>
        </is>
      </c>
      <c r="F68" s="24" t="inlineStr">
        <is>
          <t>Indiana Fever</t>
        </is>
      </c>
      <c r="G68" s="24" t="inlineStr">
        <is>
          <t>Portland Fire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-300</v>
      </c>
      <c r="M68" s="27" t="n">
        <v>1.333333</v>
      </c>
      <c r="N68" s="28" t="n">
        <v>0.75</v>
      </c>
      <c r="O68" s="28" t="n">
        <v>0.650826</v>
      </c>
      <c r="P68" s="28" t="n"/>
      <c r="Q68" s="28" t="n">
        <v>-0.099174</v>
      </c>
      <c r="R68" s="26" t="n">
        <v>0</v>
      </c>
      <c r="S68" s="29" t="n">
        <v>1.75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112</v>
      </c>
      <c r="X68" s="26" t="n">
        <v>98</v>
      </c>
      <c r="Y68" s="25" t="n"/>
      <c r="Z68" s="26" t="n"/>
      <c r="AA68" s="28" t="n"/>
      <c r="AB68" s="28" t="n"/>
      <c r="AC68" s="30" t="n">
        <v>0.5833</v>
      </c>
      <c r="AD68" s="24" t="inlineStr">
        <is>
          <t>2026-08-01T05:33:40.859943Z</t>
        </is>
      </c>
      <c r="AE68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wnba-ind</t>
        </is>
      </c>
      <c r="AQ68" s="24" t="inlineStr">
        <is>
          <t>Indiana Fever</t>
        </is>
      </c>
      <c r="AR68" s="24" t="inlineStr">
        <is>
          <t>Indiana Fever</t>
        </is>
      </c>
      <c r="AS68" s="24" t="inlineStr">
        <is>
          <t>wnba-por</t>
        </is>
      </c>
      <c r="AT68" s="24" t="inlineStr">
        <is>
          <t>Portland Fire</t>
        </is>
      </c>
      <c r="AU68" s="24" t="inlineStr">
        <is>
          <t>Portland Fire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7afd5274214b58b7efd7f7febc7be3ab33b92351cda5cc6403c0a39faea0cc8c</t>
        </is>
      </c>
      <c r="BB68" s="24" t="inlineStr">
        <is>
          <t>learned_lr</t>
        </is>
      </c>
      <c r="BC68" s="24" t="inlineStr">
        <is>
          <t>wnba-elo-trend-lr-v4</t>
        </is>
      </c>
      <c r="BD68" s="24" t="inlineStr">
        <is>
          <t>7afd5274214b58b7efd7f7febc7be3ab33b92351cda5cc6403c0a39faea0cc8c</t>
        </is>
      </c>
      <c r="BE68" s="24" t="inlineStr">
        <is>
          <t>bcb9c02760c21728</t>
        </is>
      </c>
      <c r="BF68" s="24" t="inlineStr">
        <is>
          <t>1</t>
        </is>
      </c>
      <c r="BG68" s="24" t="inlineStr">
        <is>
          <t>wnba-elo-trend-lr-v4</t>
        </is>
      </c>
      <c r="BH68" s="24" t="inlineStr">
        <is>
          <t>2026-07-31T23:29:27.325378Z</t>
        </is>
      </c>
      <c r="BI68" s="24" t="inlineStr">
        <is>
          <t>["same_event","same_team_same_day","same_league_same_day"]</t>
        </is>
      </c>
      <c r="BJ68" s="25" t="n"/>
      <c r="BK68" s="26" t="n">
        <v>-300</v>
      </c>
      <c r="BL68" s="27" t="n">
        <v>1.333333</v>
      </c>
      <c r="BM68" s="28" t="n">
        <v>0.75</v>
      </c>
      <c r="BN68" s="28" t="n">
        <v>0.742574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0.2910587699</t>
        </is>
      </c>
      <c r="CD68" s="24" t="inlineStr">
        <is>
          <t>-7.416658</t>
        </is>
      </c>
      <c r="CE68" s="24" t="n"/>
      <c r="CF68" s="24" t="n"/>
      <c r="CG68" s="24" t="n"/>
      <c r="CH68" s="24" t="n"/>
      <c r="CI68" s="24" t="inlineStr">
        <is>
          <t>wnba_availability_source_conflict</t>
        </is>
      </c>
      <c r="CJ68" s="24" t="n"/>
      <c r="CK68" s="24" t="n"/>
      <c r="CL68" s="24" t="n"/>
      <c r="CM68" s="24" t="n"/>
      <c r="CN68" s="24" t="n"/>
      <c r="CO68" s="24" t="n"/>
      <c r="CP68" s="24" t="n"/>
    </row>
    <row r="69" ht="36" customHeight="1">
      <c r="A69" s="24" t="inlineStr">
        <is>
          <t>7a057b5796e04b28</t>
        </is>
      </c>
      <c r="B69" s="24" t="inlineStr">
        <is>
          <t>2026-07-31T23:29:42.171549Z</t>
        </is>
      </c>
      <c r="C69" s="24" t="inlineStr">
        <is>
          <t>2026-07-31T21:40:00-0400</t>
        </is>
      </c>
      <c r="D69" s="24" t="inlineStr">
        <is>
          <t>401816343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Athletics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-130</v>
      </c>
      <c r="M69" s="27" t="n">
        <v>1.769231</v>
      </c>
      <c r="N69" s="28" t="n">
        <v>0.565217</v>
      </c>
      <c r="O69" s="28" t="n">
        <v>0.557314</v>
      </c>
      <c r="P69" s="28" t="n"/>
      <c r="Q69" s="28" t="n">
        <v>-0.007903</v>
      </c>
      <c r="R69" s="26" t="n">
        <v>18</v>
      </c>
      <c r="S69" s="29" t="n">
        <v>1</v>
      </c>
      <c r="T69" s="24" t="inlineStr">
        <is>
          <t>mlb-elo-trend-lr-v7</t>
        </is>
      </c>
      <c r="U69" s="24" t="inlineStr">
        <is>
          <t>settled</t>
        </is>
      </c>
      <c r="V69" s="24" t="inlineStr">
        <is>
          <t>win</t>
        </is>
      </c>
      <c r="W69" s="26" t="n">
        <v>13</v>
      </c>
      <c r="X69" s="26" t="n">
        <v>1</v>
      </c>
      <c r="Y69" s="25" t="n"/>
      <c r="Z69" s="26" t="n">
        <v>-130</v>
      </c>
      <c r="AA69" s="28" t="n">
        <v>0.5649999999999999</v>
      </c>
      <c r="AB69" s="28" t="n">
        <v>-0.000217</v>
      </c>
      <c r="AC69" s="30" t="n">
        <v>0.7692</v>
      </c>
      <c r="AD69" s="24" t="inlineStr">
        <is>
          <t>2026-08-01T05:33:41.180045Z</t>
        </is>
      </c>
      <c r="AE69" s="31" t="inlineStr">
        <is>
          <t>Learned LR call at threshold 0.6242; executable ask 0.5650 (aec-mlb-det-ath-2026-07-31); model edge vs ask -0.0077.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mlb-det</t>
        </is>
      </c>
      <c r="AQ69" s="24" t="inlineStr">
        <is>
          <t>Detroit Tigers</t>
        </is>
      </c>
      <c r="AR69" s="24" t="inlineStr">
        <is>
          <t>Detroit Tigers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eaf96e9b22f1492f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2026-07-31T23:29:20.970194Z</t>
        </is>
      </c>
      <c r="BI69" s="24" t="inlineStr">
        <is>
          <t>["same_event","same_team_same_day","same_league_same_day"]</t>
        </is>
      </c>
      <c r="BJ69" s="25" t="n"/>
      <c r="BK69" s="26" t="n">
        <v>-130</v>
      </c>
      <c r="BL69" s="27" t="n">
        <v>1.769231</v>
      </c>
      <c r="BM69" s="28" t="n">
        <v>0.565217</v>
      </c>
      <c r="BN69" s="28" t="n">
        <v>0.562189</v>
      </c>
      <c r="BO69" s="28" t="n"/>
      <c r="BP69" s="25" t="n"/>
      <c r="BQ69" s="27" t="n">
        <v>1.769231</v>
      </c>
      <c r="BR69" s="28" t="n">
        <v>0.5649999999999999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0.4303979443</t>
        </is>
      </c>
      <c r="CD69" s="24" t="inlineStr">
        <is>
          <t>-2.346854</t>
        </is>
      </c>
      <c r="CE69" s="24" t="inlineStr">
        <is>
          <t>1.153</t>
        </is>
      </c>
      <c r="CF69" s="24" t="inlineStr">
        <is>
          <t>1.0239</t>
        </is>
      </c>
      <c r="CG69" s="24" t="inlineStr">
        <is>
          <t>0.6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</row>
    <row r="70" ht="36" customHeight="1">
      <c r="A70" s="24" t="inlineStr">
        <is>
          <t>6dda98bb166f4f4c</t>
        </is>
      </c>
      <c r="B70" s="24" t="inlineStr">
        <is>
          <t>2026-07-31T23:29:42.171549Z</t>
        </is>
      </c>
      <c r="C70" s="24" t="inlineStr">
        <is>
          <t>2026-07-31T21:45:00-0400</t>
        </is>
      </c>
      <c r="D70" s="24" t="inlineStr">
        <is>
          <t>401816346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0.594553</v>
      </c>
      <c r="P70" s="28" t="n"/>
      <c r="Q70" s="28" t="n">
        <v>0.014721</v>
      </c>
      <c r="R70" s="26" t="n">
        <v>29</v>
      </c>
      <c r="S70" s="29" t="n">
        <v>1.25</v>
      </c>
      <c r="T70" s="24" t="inlineStr">
        <is>
          <t>mlb-elo-trend-lr-v7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7</v>
      </c>
      <c r="Y70" s="25" t="n"/>
      <c r="Z70" s="26" t="n">
        <v>-138</v>
      </c>
      <c r="AA70" s="28" t="n">
        <v>0.58</v>
      </c>
      <c r="AB70" s="28" t="n">
        <v>0.000168</v>
      </c>
      <c r="AC70" s="30" t="n">
        <v>0.9058</v>
      </c>
      <c r="AD70" s="24" t="inlineStr">
        <is>
          <t>2026-08-01T05:33:41.504211Z</t>
        </is>
      </c>
      <c r="AE70" s="31" t="inlineStr">
        <is>
          <t>Learned LR call at threshold 0.6242; executable ask 0.5800 (aec-mlb-sf-sd-2026-07-31); model edge vs ask +0.0146.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9df16cb5c93b6892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2026-07-31T23:29:22.107755Z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>
        <v>1.724638</v>
      </c>
      <c r="BR70" s="28" t="n">
        <v>0.58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0.5827558821</t>
        </is>
      </c>
      <c r="CD70" s="24" t="inlineStr">
        <is>
          <t>-1.601104</t>
        </is>
      </c>
      <c r="CE70" s="24" t="inlineStr">
        <is>
          <t>0.945</t>
        </is>
      </c>
      <c r="CF70" s="24" t="inlineStr">
        <is>
          <t>1.0049</t>
        </is>
      </c>
      <c r="CG70" s="24" t="inlineStr">
        <is>
          <t>-0.2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</row>
    <row r="71" ht="36" customHeight="1">
      <c r="A71" s="24" t="inlineStr">
        <is>
          <t>3cc74c950ced43ef</t>
        </is>
      </c>
      <c r="B71" s="24" t="inlineStr">
        <is>
          <t>2026-07-31T23:29:42.171549Z</t>
        </is>
      </c>
      <c r="C71" s="24" t="inlineStr">
        <is>
          <t>2026-07-31T22:10:00-0400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-125</v>
      </c>
      <c r="M71" s="27" t="n">
        <v>1.8</v>
      </c>
      <c r="N71" s="28" t="n">
        <v>0.555556</v>
      </c>
      <c r="O71" s="28" t="n">
        <v>0.564527</v>
      </c>
      <c r="P71" s="28" t="n"/>
      <c r="Q71" s="28" t="n">
        <v>0.008971</v>
      </c>
      <c r="R71" s="26" t="n">
        <v>26</v>
      </c>
      <c r="S71" s="29" t="n">
        <v>1</v>
      </c>
      <c r="T71" s="24" t="inlineStr">
        <is>
          <t>mlb-elo-trend-lr-v7</t>
        </is>
      </c>
      <c r="U71" s="24" t="inlineStr">
        <is>
          <t>settled</t>
        </is>
      </c>
      <c r="V71" s="24" t="inlineStr">
        <is>
          <t>loss</t>
        </is>
      </c>
      <c r="W71" s="26" t="n">
        <v>9</v>
      </c>
      <c r="X71" s="26" t="n">
        <v>4</v>
      </c>
      <c r="Y71" s="25" t="n"/>
      <c r="Z71" s="26" t="n">
        <v>-125</v>
      </c>
      <c r="AA71" s="28" t="n">
        <v>0.555</v>
      </c>
      <c r="AB71" s="28" t="n">
        <v>-0.000556</v>
      </c>
      <c r="AC71" s="30" t="n">
        <v>-1</v>
      </c>
      <c r="AD71" s="24" t="inlineStr">
        <is>
          <t>2026-08-01T05:33:41.816447Z</t>
        </is>
      </c>
      <c r="AE71" s="31" t="inlineStr">
        <is>
          <t>Learned LR call at threshold 0.6242; executable ask 0.5550 (aec-mlb-bos-lad-2026-07-31); model edge vs ask +0.0095.</t>
        </is>
      </c>
      <c r="AF71" s="31" t="inlineStr">
        <is>
          <t>Learned model; shadow-qualified via operator override.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eadca7460f5bd810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2026-07-31T23:29:23.984993Z</t>
        </is>
      </c>
      <c r="BI71" s="24" t="inlineStr">
        <is>
          <t>["same_event","same_team_same_day","same_league_same_day"]</t>
        </is>
      </c>
      <c r="BJ71" s="25" t="n"/>
      <c r="BK71" s="26" t="n">
        <v>-125</v>
      </c>
      <c r="BL71" s="27" t="n">
        <v>1.8</v>
      </c>
      <c r="BM71" s="28" t="n">
        <v>0.555556</v>
      </c>
      <c r="BN71" s="28" t="n">
        <v>0.552239</v>
      </c>
      <c r="BO71" s="28" t="n"/>
      <c r="BP71" s="25" t="n"/>
      <c r="BQ71" s="27" t="n">
        <v>1.8</v>
      </c>
      <c r="BR71" s="28" t="n">
        <v>0.555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0.5626775445</t>
        </is>
      </c>
      <c r="CD71" s="24" t="inlineStr">
        <is>
          <t>0.365039</t>
        </is>
      </c>
      <c r="CE71" s="24" t="inlineStr">
        <is>
          <t>1.026</t>
        </is>
      </c>
      <c r="CF71" s="24" t="inlineStr">
        <is>
          <t>1.0057</t>
        </is>
      </c>
      <c r="CG71" s="24" t="inlineStr">
        <is>
          <t>2.2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</row>
    <row r="72" ht="36" customHeight="1">
      <c r="A72" s="24" t="inlineStr">
        <is>
          <t>f094a2aadd8b4718</t>
        </is>
      </c>
      <c r="B72" s="24" t="inlineStr">
        <is>
          <t>2026-07-31T23:29:42.171549Z</t>
        </is>
      </c>
      <c r="C72" s="24" t="inlineStr">
        <is>
          <t>2026-07-31T22:10:00-0400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-156</v>
      </c>
      <c r="M72" s="27" t="n">
        <v>1.641026</v>
      </c>
      <c r="N72" s="28" t="n">
        <v>0.609375</v>
      </c>
      <c r="O72" s="28" t="n">
        <v>0.5951070000000001</v>
      </c>
      <c r="P72" s="28" t="n"/>
      <c r="Q72" s="28" t="n">
        <v>-0.014268</v>
      </c>
      <c r="R72" s="26" t="n">
        <v>14</v>
      </c>
      <c r="S72" s="29" t="n">
        <v>1.25</v>
      </c>
      <c r="T72" s="24" t="inlineStr">
        <is>
          <t>mlb-elo-trend-lr-v7</t>
        </is>
      </c>
      <c r="U72" s="24" t="inlineStr">
        <is>
          <t>settled</t>
        </is>
      </c>
      <c r="V72" s="24" t="inlineStr">
        <is>
          <t>loss</t>
        </is>
      </c>
      <c r="W72" s="26" t="n">
        <v>5</v>
      </c>
      <c r="X72" s="26" t="n">
        <v>3</v>
      </c>
      <c r="Y72" s="25" t="n"/>
      <c r="Z72" s="26" t="n">
        <v>-156</v>
      </c>
      <c r="AA72" s="28" t="n">
        <v>0.61</v>
      </c>
      <c r="AB72" s="28" t="n">
        <v>0.000625</v>
      </c>
      <c r="AC72" s="30" t="n">
        <v>-1.25</v>
      </c>
      <c r="AD72" s="24" t="inlineStr">
        <is>
          <t>2026-08-01T05:33:42.121088Z</t>
        </is>
      </c>
      <c r="AE72" s="31" t="inlineStr">
        <is>
          <t>Learned LR call at threshold 0.6242; executable ask 0.6100 (aec-mlb-min-sea-2026-07-31); model edge vs ask -0.0149.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464eef695bfbbdaa819ec6f5e4c5bd1068ed20b92915fb2677220ae91e20d8b6</t>
        </is>
      </c>
      <c r="BB72" s="24" t="inlineStr">
        <is>
          <t>learned_lr</t>
        </is>
      </c>
      <c r="BC72" s="24" t="inlineStr">
        <is>
          <t>mlb-elo-trend-lr-v7</t>
        </is>
      </c>
      <c r="BD72" s="24" t="inlineStr">
        <is>
          <t>464eef695bfbbdaa819ec6f5e4c5bd1068ed20b92915fb2677220ae91e20d8b6</t>
        </is>
      </c>
      <c r="BE72" s="24" t="inlineStr">
        <is>
          <t>883ee144c0c8e904</t>
        </is>
      </c>
      <c r="BF72" s="24" t="inlineStr">
        <is>
          <t>1</t>
        </is>
      </c>
      <c r="BG72" s="24" t="inlineStr">
        <is>
          <t>mlb-elo-trend-lr-v7</t>
        </is>
      </c>
      <c r="BH72" s="24" t="inlineStr">
        <is>
          <t>2026-07-31T23:29:23.070250Z</t>
        </is>
      </c>
      <c r="BI72" s="24" t="inlineStr">
        <is>
          <t>["same_event","same_team_same_day","same_league_same_day"]</t>
        </is>
      </c>
      <c r="BJ72" s="25" t="n"/>
      <c r="BK72" s="26" t="n">
        <v>-156</v>
      </c>
      <c r="BL72" s="27" t="n">
        <v>1.641026</v>
      </c>
      <c r="BM72" s="28" t="n">
        <v>0.609375</v>
      </c>
      <c r="BN72" s="28" t="n">
        <v>0.606965</v>
      </c>
      <c r="BO72" s="28" t="n"/>
      <c r="BP72" s="25" t="n"/>
      <c r="BQ72" s="27" t="n">
        <v>1.641026</v>
      </c>
      <c r="BR72" s="28" t="n">
        <v>0.61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0.5861386615</t>
        </is>
      </c>
      <c r="CD72" s="24" t="inlineStr">
        <is>
          <t>1.241555</t>
        </is>
      </c>
      <c r="CE72" s="24" t="inlineStr">
        <is>
          <t>0.936</t>
        </is>
      </c>
      <c r="CF72" s="24" t="inlineStr">
        <is>
          <t>1.0</t>
        </is>
      </c>
      <c r="CG72" s="24" t="inlineStr">
        <is>
          <t>1.4</t>
        </is>
      </c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</row>
    <row r="73" ht="36" customHeight="1">
      <c r="A73" s="24" t="inlineStr">
        <is>
          <t>bcf76e7710a04234</t>
        </is>
      </c>
      <c r="B73" s="24" t="inlineStr">
        <is>
          <t>2026-07-31T23:29:57.351792Z</t>
        </is>
      </c>
      <c r="C73" s="24" t="inlineStr">
        <is>
          <t>2026-08-01T00:15Z</t>
        </is>
      </c>
      <c r="D73" s="24" t="inlineStr">
        <is>
          <t>401816340</t>
        </is>
      </c>
      <c r="E73" s="24" t="inlineStr">
        <is>
          <t>MLB</t>
        </is>
      </c>
      <c r="F73" s="24" t="inlineStr">
        <is>
          <t>Texas Rangers</t>
        </is>
      </c>
      <c r="G73" s="24" t="inlineStr">
        <is>
          <t>Houston Astros</t>
        </is>
      </c>
      <c r="H73" s="24" t="inlineStr">
        <is>
          <t>spread</t>
        </is>
      </c>
      <c r="I73" s="24" t="inlineStr">
        <is>
          <t>away</t>
        </is>
      </c>
      <c r="J73" s="25" t="n">
        <v>1.5</v>
      </c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0.554007</v>
      </c>
      <c r="P73" s="28" t="n">
        <v>0.05172</v>
      </c>
      <c r="Q73" s="28" t="n">
        <v>-0.096343</v>
      </c>
      <c r="R73" s="26" t="n">
        <v>0</v>
      </c>
      <c r="S73" s="29" t="n">
        <v>1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11</v>
      </c>
      <c r="Y73" s="25" t="n">
        <v>1.5</v>
      </c>
      <c r="Z73" s="26" t="n">
        <v>-186</v>
      </c>
      <c r="AA73" s="28" t="n">
        <v>0.65</v>
      </c>
      <c r="AB73" s="28" t="n">
        <v>-0.00035</v>
      </c>
      <c r="AC73" s="30" t="n">
        <v>-1</v>
      </c>
      <c r="AD73" s="24" t="inlineStr">
        <is>
          <t>2026-08-01T05:33:42.415820Z</t>
        </is>
      </c>
      <c r="AE73" s="31" t="inlineStr">
        <is>
          <t>Measured Edge Margin: Trend Engine projected 4.51-4.59; raw selected-side p=0.6636, calibrated p=0.5540.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mlb-tex</t>
        </is>
      </c>
      <c r="AQ73" s="24" t="inlineStr">
        <is>
          <t>Texas Rangers</t>
        </is>
      </c>
      <c r="AR73" s="24" t="inlineStr">
        <is>
          <t>Texas Rangers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2bc2ce55b0d39a20103f724bbddbde5394909acd49297f52665b596a0ae3ae8b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2bc2ce55b0d39a20103f724bbddbde5394909acd49297f52665b596a0ae3ae8b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-186</v>
      </c>
      <c r="BL73" s="27" t="n">
        <v>1.537634</v>
      </c>
      <c r="BM73" s="28" t="n">
        <v>0.65035</v>
      </c>
      <c r="BN73" s="28" t="n">
        <v>0.646766</v>
      </c>
      <c r="BO73" s="28" t="n"/>
      <c r="BP73" s="25" t="n"/>
      <c r="BQ73" s="27" t="n">
        <v>1.537634</v>
      </c>
      <c r="BR73" s="28" t="n">
        <v>0.65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</row>
    <row r="74" ht="36" customHeight="1">
      <c r="A74" s="24" t="inlineStr">
        <is>
          <t>c4e37775a1054297</t>
        </is>
      </c>
      <c r="B74" s="24" t="inlineStr">
        <is>
          <t>2026-07-31T23:29:57.351792Z</t>
        </is>
      </c>
      <c r="C74" s="24" t="inlineStr">
        <is>
          <t>2026-08-01T00:15Z</t>
        </is>
      </c>
      <c r="D74" s="24" t="inlineStr">
        <is>
          <t>401816340</t>
        </is>
      </c>
      <c r="E74" s="24" t="inlineStr">
        <is>
          <t>MLB</t>
        </is>
      </c>
      <c r="F74" s="24" t="inlineStr">
        <is>
          <t>Texas Rangers</t>
        </is>
      </c>
      <c r="G74" s="24" t="inlineStr">
        <is>
          <t>Houston Astros</t>
        </is>
      </c>
      <c r="H74" s="24" t="inlineStr">
        <is>
          <t>total</t>
        </is>
      </c>
      <c r="I74" s="24" t="inlineStr">
        <is>
          <t>over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0.585683</v>
      </c>
      <c r="P74" s="28" t="n">
        <v>0.05172</v>
      </c>
      <c r="Q74" s="28" t="n">
        <v>0.085683</v>
      </c>
      <c r="R74" s="26" t="n">
        <v>62</v>
      </c>
      <c r="S74" s="29" t="n">
        <v>1.25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11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1.25</v>
      </c>
      <c r="AD74" s="24" t="inlineStr">
        <is>
          <t>2026-08-01T05:33:42.712220Z</t>
        </is>
      </c>
      <c r="AE74" s="31" t="inlineStr">
        <is>
          <t>Measured Edge Totals: Trend Engine projected 4.51-4.59; raw selected-side p=0.6042, calibrated p=0.5857.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mlb-tex</t>
        </is>
      </c>
      <c r="AQ74" s="24" t="inlineStr">
        <is>
          <t>Texas Rangers</t>
        </is>
      </c>
      <c r="AR74" s="24" t="inlineStr">
        <is>
          <t>Texas Rangers</t>
        </is>
      </c>
      <c r="AS74" s="24" t="inlineStr">
        <is>
          <t>mlb-hou</t>
        </is>
      </c>
      <c r="AT74" s="24" t="inlineStr">
        <is>
          <t>Houston Astros</t>
        </is>
      </c>
      <c r="AU74" s="24" t="inlineStr">
        <is>
          <t>Houston Astros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cbc2c9bf5a9569a49e1902c816d96556d704cf10819ca3a9e927721685757d0b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cbc2c9bf5a9569a49e1902c816d96556d704cf10819ca3a9e927721685757d0b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2026-07-31T23:29:57.351792Z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</row>
    <row r="75" ht="36" customHeight="1">
      <c r="A75" s="24" t="inlineStr">
        <is>
          <t>d1c24f4002f14130</t>
        </is>
      </c>
      <c r="B75" s="24" t="inlineStr">
        <is>
          <t>2026-07-31T23:29:57.351792Z</t>
        </is>
      </c>
      <c r="C75" s="24" t="inlineStr">
        <is>
          <t>2026-08-01T00:40Z</t>
        </is>
      </c>
      <c r="D75" s="24" t="inlineStr">
        <is>
          <t>401816341</t>
        </is>
      </c>
      <c r="E75" s="24" t="inlineStr">
        <is>
          <t>MLB</t>
        </is>
      </c>
      <c r="F75" s="24" t="inlineStr">
        <is>
          <t>Kansas City Royals</t>
        </is>
      </c>
      <c r="G75" s="24" t="inlineStr">
        <is>
          <t>Colorado Rockies</t>
        </is>
      </c>
      <c r="H75" s="24" t="inlineStr">
        <is>
          <t>spread</t>
        </is>
      </c>
      <c r="I75" s="24" t="inlineStr">
        <is>
          <t>home</t>
        </is>
      </c>
      <c r="J75" s="25" t="n">
        <v>1.5</v>
      </c>
      <c r="K75" s="24" t="inlineStr">
        <is>
          <t>polymarket_us</t>
        </is>
      </c>
      <c r="L75" s="26" t="n">
        <v>-147</v>
      </c>
      <c r="M75" s="27" t="n">
        <v>1.680272</v>
      </c>
      <c r="N75" s="28" t="n">
        <v>0.5951419999999999</v>
      </c>
      <c r="O75" s="28" t="n">
        <v>0.553329</v>
      </c>
      <c r="P75" s="28" t="n">
        <v>0.042131</v>
      </c>
      <c r="Q75" s="28" t="n">
        <v>-0.041813</v>
      </c>
      <c r="R75" s="26" t="n">
        <v>4</v>
      </c>
      <c r="S75" s="29" t="n">
        <v>1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3</v>
      </c>
      <c r="Y75" s="25" t="n">
        <v>1.5</v>
      </c>
      <c r="Z75" s="26" t="n">
        <v>-147</v>
      </c>
      <c r="AA75" s="28" t="n">
        <v>0.595</v>
      </c>
      <c r="AB75" s="28" t="n">
        <v>-0.000142</v>
      </c>
      <c r="AC75" s="30" t="n">
        <v>0.6803</v>
      </c>
      <c r="AD75" s="24" t="inlineStr">
        <is>
          <t>2026-08-01T05:33:43.009062Z</t>
        </is>
      </c>
      <c r="AE75" s="31" t="inlineStr">
        <is>
          <t>Measured Edge Margin: Trend Engine projected 4.93-4.90; raw selected-side p=0.6602, calibrated p=0.5533.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mlb-kc</t>
        </is>
      </c>
      <c r="AQ75" s="24" t="inlineStr">
        <is>
          <t>Kansas City Royals</t>
        </is>
      </c>
      <c r="AR75" s="24" t="inlineStr">
        <is>
          <t>Kansas City Royals</t>
        </is>
      </c>
      <c r="AS75" s="24" t="inlineStr">
        <is>
          <t>mlb-col</t>
        </is>
      </c>
      <c r="AT75" s="24" t="inlineStr">
        <is>
          <t>Colorado Rockies</t>
        </is>
      </c>
      <c r="AU75" s="24" t="inlineStr">
        <is>
          <t>Colorado Rockies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2bc2ce55b0d39a20103f724bbddbde5394909acd49297f52665b596a0ae3ae8b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2bc2ce55b0d39a20103f724bbddbde5394909acd49297f52665b596a0ae3ae8b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2026-07-31T23:29:57.351792Z</t>
        </is>
      </c>
      <c r="BI75" s="24" t="inlineStr">
        <is>
          <t>["same_event","same_team_same_day","same_league_same_day"]</t>
        </is>
      </c>
      <c r="BJ75" s="25" t="n">
        <v>1.5</v>
      </c>
      <c r="BK75" s="26" t="n">
        <v>-147</v>
      </c>
      <c r="BL75" s="27" t="n">
        <v>1.680272</v>
      </c>
      <c r="BM75" s="28" t="n">
        <v>0.5951419999999999</v>
      </c>
      <c r="BN75" s="28" t="n">
        <v>0.59204</v>
      </c>
      <c r="BO75" s="28" t="n"/>
      <c r="BP75" s="25" t="n"/>
      <c r="BQ75" s="27" t="n">
        <v>1.680272</v>
      </c>
      <c r="BR75" s="28" t="n">
        <v>0.595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</row>
    <row r="76" ht="36" customHeight="1">
      <c r="A76" s="24" t="inlineStr">
        <is>
          <t>badc73ee4f424f71</t>
        </is>
      </c>
      <c r="B76" s="24" t="inlineStr">
        <is>
          <t>2026-07-31T23:29:57.351792Z</t>
        </is>
      </c>
      <c r="C76" s="24" t="inlineStr">
        <is>
          <t>2026-08-01T00:40Z</t>
        </is>
      </c>
      <c r="D76" s="24" t="inlineStr">
        <is>
          <t>401816341</t>
        </is>
      </c>
      <c r="E76" s="24" t="inlineStr">
        <is>
          <t>MLB</t>
        </is>
      </c>
      <c r="F76" s="24" t="inlineStr">
        <is>
          <t>Kansas City Royals</t>
        </is>
      </c>
      <c r="G76" s="24" t="inlineStr">
        <is>
          <t>Colorado Rockies</t>
        </is>
      </c>
      <c r="H76" s="24" t="inlineStr">
        <is>
          <t>total</t>
        </is>
      </c>
      <c r="I76" s="24" t="inlineStr">
        <is>
          <t>under</t>
        </is>
      </c>
      <c r="J76" s="25" t="n">
        <v>10.5</v>
      </c>
      <c r="K76" s="24" t="inlineStr">
        <is>
          <t>polymarket_us</t>
        </is>
      </c>
      <c r="L76" s="26" t="n">
        <v>120</v>
      </c>
      <c r="M76" s="27" t="n">
        <v>2.2</v>
      </c>
      <c r="N76" s="28" t="n">
        <v>0.454545</v>
      </c>
      <c r="O76" s="28" t="n">
        <v>0.577777</v>
      </c>
      <c r="P76" s="28" t="n">
        <v>0.042131</v>
      </c>
      <c r="Q76" s="28" t="n">
        <v>0.123232</v>
      </c>
      <c r="R76" s="26" t="n">
        <v>86</v>
      </c>
      <c r="S76" s="29" t="n">
        <v>1.25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3</v>
      </c>
      <c r="Y76" s="25" t="n">
        <v>10.5</v>
      </c>
      <c r="Z76" s="26" t="n">
        <v>120</v>
      </c>
      <c r="AA76" s="28" t="n">
        <v>0.455</v>
      </c>
      <c r="AB76" s="28" t="n">
        <v>0.000455</v>
      </c>
      <c r="AC76" s="30" t="n">
        <v>1.5</v>
      </c>
      <c r="AD76" s="24" t="inlineStr">
        <is>
          <t>2026-08-01T05:33:43.302748Z</t>
        </is>
      </c>
      <c r="AE76" s="31" t="inlineStr">
        <is>
          <t>Measured Edge Totals: Trend Engine projected 4.93-4.90; raw selected-side p=0.5961, calibrated p=0.5778.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mlb-kc</t>
        </is>
      </c>
      <c r="AQ76" s="24" t="inlineStr">
        <is>
          <t>Kansas City Royals</t>
        </is>
      </c>
      <c r="AR76" s="24" t="inlineStr">
        <is>
          <t>Kansas City Royals</t>
        </is>
      </c>
      <c r="AS76" s="24" t="inlineStr">
        <is>
          <t>mlb-col</t>
        </is>
      </c>
      <c r="AT76" s="24" t="inlineStr">
        <is>
          <t>Colorado Rockies</t>
        </is>
      </c>
      <c r="AU76" s="24" t="inlineStr">
        <is>
          <t>Colorado Rockies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cbc2c9bf5a9569a49e1902c816d96556d704cf10819ca3a9e927721685757d0b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cbc2c9bf5a9569a49e1902c816d96556d704cf10819ca3a9e927721685757d0b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2026-07-31T23:29:57.351792Z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120</v>
      </c>
      <c r="BL76" s="27" t="n">
        <v>2.2</v>
      </c>
      <c r="BM76" s="28" t="n">
        <v>0.454545</v>
      </c>
      <c r="BN76" s="28" t="n">
        <v>0.452736</v>
      </c>
      <c r="BO76" s="28" t="n"/>
      <c r="BP76" s="25" t="n"/>
      <c r="BQ76" s="27" t="n">
        <v>2.2</v>
      </c>
      <c r="BR76" s="28" t="n">
        <v>0.455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</row>
    <row r="77" ht="36" customHeight="1">
      <c r="A77" s="24" t="inlineStr">
        <is>
          <t>0cd03f9c80a4493d</t>
        </is>
      </c>
      <c r="B77" s="24" t="inlineStr">
        <is>
          <t>2026-07-31T23:29:57.351792Z</t>
        </is>
      </c>
      <c r="C77" s="24" t="inlineStr">
        <is>
          <t>2026-08-01T01:38Z</t>
        </is>
      </c>
      <c r="D77" s="24" t="inlineStr">
        <is>
          <t>401816344</t>
        </is>
      </c>
      <c r="E77" s="24" t="inlineStr">
        <is>
          <t>MLB</t>
        </is>
      </c>
      <c r="F77" s="24" t="inlineStr">
        <is>
          <t>Milwaukee Brewers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home</t>
        </is>
      </c>
      <c r="J77" s="25" t="n">
        <v>1.5</v>
      </c>
      <c r="K77" s="24" t="inlineStr">
        <is>
          <t>polymarket_us</t>
        </is>
      </c>
      <c r="L77" s="26" t="n">
        <v>-102</v>
      </c>
      <c r="M77" s="27" t="n">
        <v>1.980392</v>
      </c>
      <c r="N77" s="28" t="n">
        <v>0.50495</v>
      </c>
      <c r="O77" s="28" t="n">
        <v>0.549557</v>
      </c>
      <c r="P77" s="28" t="n">
        <v>0.042131</v>
      </c>
      <c r="Q77" s="28" t="n">
        <v>0.044607</v>
      </c>
      <c r="R77" s="26" t="n">
        <v>47</v>
      </c>
      <c r="S77" s="29" t="n">
        <v>1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2</v>
      </c>
      <c r="Y77" s="25" t="n">
        <v>1.5</v>
      </c>
      <c r="Z77" s="26" t="n">
        <v>-102</v>
      </c>
      <c r="AA77" s="28" t="n">
        <v>0.505</v>
      </c>
      <c r="AB77" s="28" t="n">
        <v>5e-05</v>
      </c>
      <c r="AC77" s="30" t="n">
        <v>-1</v>
      </c>
      <c r="AD77" s="24" t="inlineStr">
        <is>
          <t>2026-08-01T05:33:43.643410Z</t>
        </is>
      </c>
      <c r="AE77" s="31" t="inlineStr">
        <is>
          <t>Measured Edge Margin: Trend Engine projected 4.91-4.65; raw selected-side p=0.6410, calibrated p=0.5496.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mlb-mil</t>
        </is>
      </c>
      <c r="AQ77" s="24" t="inlineStr">
        <is>
          <t>Milwaukee Brewers</t>
        </is>
      </c>
      <c r="AR77" s="24" t="inlineStr">
        <is>
          <t>Milwaukee Brewers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2bc2ce55b0d39a20103f724bbddbde5394909acd49297f52665b596a0ae3ae8b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2bc2ce55b0d39a20103f724bbddbde5394909acd49297f52665b596a0ae3ae8b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2026-07-31T23:29:57.351792Z</t>
        </is>
      </c>
      <c r="BI77" s="24" t="inlineStr">
        <is>
          <t>["same_event","same_team_same_day","same_league_same_day"]</t>
        </is>
      </c>
      <c r="BJ77" s="25" t="n">
        <v>1.5</v>
      </c>
      <c r="BK77" s="26" t="n">
        <v>-102</v>
      </c>
      <c r="BL77" s="27" t="n">
        <v>1.980392</v>
      </c>
      <c r="BM77" s="28" t="n">
        <v>0.50495</v>
      </c>
      <c r="BN77" s="28" t="n">
        <v>0.502488</v>
      </c>
      <c r="BO77" s="28" t="n"/>
      <c r="BP77" s="25" t="n"/>
      <c r="BQ77" s="27" t="n">
        <v>1.980392</v>
      </c>
      <c r="BR77" s="28" t="n">
        <v>0.505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</row>
    <row r="78" ht="36" customHeight="1">
      <c r="A78" s="24" t="inlineStr">
        <is>
          <t>c6610733e3444d69</t>
        </is>
      </c>
      <c r="B78" s="24" t="inlineStr">
        <is>
          <t>2026-07-31T23:29:57.351792Z</t>
        </is>
      </c>
      <c r="C78" s="24" t="inlineStr">
        <is>
          <t>2026-08-01T01:38Z</t>
        </is>
      </c>
      <c r="D78" s="24" t="inlineStr">
        <is>
          <t>401816344</t>
        </is>
      </c>
      <c r="E78" s="24" t="inlineStr">
        <is>
          <t>MLB</t>
        </is>
      </c>
      <c r="F78" s="24" t="inlineStr">
        <is>
          <t>Milwaukee Brewers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8.5</v>
      </c>
      <c r="K78" s="24" t="inlineStr">
        <is>
          <t>polymarket_us</t>
        </is>
      </c>
      <c r="L78" s="26" t="n">
        <v>-120</v>
      </c>
      <c r="M78" s="27" t="n">
        <v>1.833333</v>
      </c>
      <c r="N78" s="28" t="n">
        <v>0.545455</v>
      </c>
      <c r="O78" s="28" t="n">
        <v>0.543969</v>
      </c>
      <c r="P78" s="28" t="n">
        <v>0.042131</v>
      </c>
      <c r="Q78" s="28" t="n">
        <v>-0.001486</v>
      </c>
      <c r="R78" s="26" t="n">
        <v>24</v>
      </c>
      <c r="S78" s="29" t="n">
        <v>1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loss</t>
        </is>
      </c>
      <c r="W78" s="26" t="n">
        <v>6</v>
      </c>
      <c r="X78" s="26" t="n">
        <v>2</v>
      </c>
      <c r="Y78" s="25" t="n">
        <v>8.5</v>
      </c>
      <c r="Z78" s="26" t="n">
        <v>-120</v>
      </c>
      <c r="AA78" s="28" t="n">
        <v>0.545</v>
      </c>
      <c r="AB78" s="28" t="n">
        <v>-0.000455</v>
      </c>
      <c r="AC78" s="30" t="n">
        <v>-1</v>
      </c>
      <c r="AD78" s="24" t="inlineStr">
        <is>
          <t>2026-08-01T05:33:43.942073Z</t>
        </is>
      </c>
      <c r="AE78" s="31" t="inlineStr">
        <is>
          <t>Measured Edge Totals: Trend Engine projected 4.91-4.65; raw selected-side p=0.5613, calibrated p=0.5440.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mlb-mil</t>
        </is>
      </c>
      <c r="AQ78" s="24" t="inlineStr">
        <is>
          <t>Milwaukee Brewers</t>
        </is>
      </c>
      <c r="AR78" s="24" t="inlineStr">
        <is>
          <t>Milwaukee Brewers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cbc2c9bf5a9569a49e1902c816d96556d704cf10819ca3a9e927721685757d0b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cbc2c9bf5a9569a49e1902c816d96556d704cf10819ca3a9e927721685757d0b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2026-07-31T23:29:57.351792Z</t>
        </is>
      </c>
      <c r="BI78" s="24" t="inlineStr">
        <is>
          <t>["same_event","same_team_same_day","same_league_same_day"]</t>
        </is>
      </c>
      <c r="BJ78" s="25" t="n">
        <v>8.5</v>
      </c>
      <c r="BK78" s="26" t="n">
        <v>-120</v>
      </c>
      <c r="BL78" s="27" t="n">
        <v>1.833333</v>
      </c>
      <c r="BM78" s="28" t="n">
        <v>0.545455</v>
      </c>
      <c r="BN78" s="28" t="n">
        <v>0.542289</v>
      </c>
      <c r="BO78" s="28" t="n"/>
      <c r="BP78" s="25" t="n"/>
      <c r="BQ78" s="27" t="n">
        <v>1.833333</v>
      </c>
      <c r="BR78" s="28" t="n">
        <v>0.545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</row>
    <row r="79" ht="36" customHeight="1">
      <c r="A79" s="24" t="inlineStr">
        <is>
          <t>1daf7c1b3a3f48da</t>
        </is>
      </c>
      <c r="B79" s="24" t="inlineStr">
        <is>
          <t>2026-07-31T23:29:57.351792Z</t>
        </is>
      </c>
      <c r="C79" s="24" t="inlineStr">
        <is>
          <t>2026-08-01T01:40Z</t>
        </is>
      </c>
      <c r="D79" s="24" t="inlineStr">
        <is>
          <t>401816343</t>
        </is>
      </c>
      <c r="E79" s="24" t="inlineStr">
        <is>
          <t>MLB</t>
        </is>
      </c>
      <c r="F79" s="24" t="inlineStr">
        <is>
          <t>Detroit Tigers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home</t>
        </is>
      </c>
      <c r="J79" s="25" t="n">
        <v>1.5</v>
      </c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0.541755</v>
      </c>
      <c r="P79" s="28" t="n">
        <v>0.042131</v>
      </c>
      <c r="Q79" s="28" t="n">
        <v>0.002584</v>
      </c>
      <c r="R79" s="26" t="n">
        <v>26</v>
      </c>
      <c r="S79" s="29" t="n">
        <v>1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loss</t>
        </is>
      </c>
      <c r="W79" s="26" t="n">
        <v>13</v>
      </c>
      <c r="X79" s="26" t="n">
        <v>1</v>
      </c>
      <c r="Y79" s="25" t="n">
        <v>1.5</v>
      </c>
      <c r="Z79" s="26" t="n">
        <v>-117</v>
      </c>
      <c r="AA79" s="28" t="n">
        <v>0.54</v>
      </c>
      <c r="AB79" s="28" t="n">
        <v>0.000829</v>
      </c>
      <c r="AC79" s="30" t="n">
        <v>-1</v>
      </c>
      <c r="AD79" s="24" t="inlineStr">
        <is>
          <t>2026-08-01T05:33:44.245370Z</t>
        </is>
      </c>
      <c r="AE79" s="31" t="inlineStr">
        <is>
          <t>Measured Edge Margin: Trend Engine projected 5.24-4.63; raw selected-side p=0.6013, calibrated p=0.5418.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mlb-det</t>
        </is>
      </c>
      <c r="AQ79" s="24" t="inlineStr">
        <is>
          <t>Detroit Tigers</t>
        </is>
      </c>
      <c r="AR79" s="24" t="inlineStr">
        <is>
          <t>Detroit Tigers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2bc2ce55b0d39a20103f724bbddbde5394909acd49297f52665b596a0ae3ae8b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2bc2ce55b0d39a20103f724bbddbde5394909acd49297f52665b596a0ae3ae8b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2026-07-31T23:29:57.351792Z</t>
        </is>
      </c>
      <c r="BI79" s="24" t="inlineStr">
        <is>
          <t>["same_event","same_team_same_day","same_league_same_day"]</t>
        </is>
      </c>
      <c r="BJ79" s="25" t="n">
        <v>1.5</v>
      </c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</row>
    <row r="80" ht="36" customHeight="1">
      <c r="A80" s="24" t="inlineStr">
        <is>
          <t>749fd1bc98e145c0</t>
        </is>
      </c>
      <c r="B80" s="24" t="inlineStr">
        <is>
          <t>2026-07-31T23:29:57.351792Z</t>
        </is>
      </c>
      <c r="C80" s="24" t="inlineStr">
        <is>
          <t>2026-08-01T01:40Z</t>
        </is>
      </c>
      <c r="D80" s="24" t="inlineStr">
        <is>
          <t>401816343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under</t>
        </is>
      </c>
      <c r="J80" s="25" t="n">
        <v>10.5</v>
      </c>
      <c r="K80" s="24" t="inlineStr">
        <is>
          <t>polymarket_us</t>
        </is>
      </c>
      <c r="L80" s="26" t="n">
        <v>115</v>
      </c>
      <c r="M80" s="27" t="n">
        <v>2.15</v>
      </c>
      <c r="N80" s="28" t="n">
        <v>0.465116</v>
      </c>
      <c r="O80" s="28" t="n">
        <v>0.575933</v>
      </c>
      <c r="P80" s="28" t="n">
        <v>0.042131</v>
      </c>
      <c r="Q80" s="28" t="n">
        <v>0.110817</v>
      </c>
      <c r="R80" s="26" t="n">
        <v>80</v>
      </c>
      <c r="S80" s="29" t="n">
        <v>1.25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13</v>
      </c>
      <c r="X80" s="26" t="n">
        <v>1</v>
      </c>
      <c r="Y80" s="25" t="n">
        <v>10.5</v>
      </c>
      <c r="Z80" s="26" t="n">
        <v>115</v>
      </c>
      <c r="AA80" s="28" t="n">
        <v>0.465</v>
      </c>
      <c r="AB80" s="28" t="n">
        <v>-0.000116</v>
      </c>
      <c r="AC80" s="30" t="n">
        <v>-1.25</v>
      </c>
      <c r="AD80" s="24" t="inlineStr">
        <is>
          <t>2026-08-01T05:33:44.546852Z</t>
        </is>
      </c>
      <c r="AE80" s="31" t="inlineStr">
        <is>
          <t>Measured Edge Totals: Trend Engine projected 5.24-4.63; raw selected-side p=0.5942, calibrated p=0.5759.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mlb-det</t>
        </is>
      </c>
      <c r="AQ80" s="24" t="inlineStr">
        <is>
          <t>Detroit Tigers</t>
        </is>
      </c>
      <c r="AR80" s="24" t="inlineStr">
        <is>
          <t>Detroit Tigers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cbc2c9bf5a9569a49e1902c816d96556d704cf10819ca3a9e927721685757d0b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cbc2c9bf5a9569a49e1902c816d96556d704cf10819ca3a9e927721685757d0b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2026-07-31T23:29:57.351792Z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115</v>
      </c>
      <c r="BL80" s="27" t="n">
        <v>2.15</v>
      </c>
      <c r="BM80" s="28" t="n">
        <v>0.465116</v>
      </c>
      <c r="BN80" s="28" t="n">
        <v>0.462687</v>
      </c>
      <c r="BO80" s="28" t="n"/>
      <c r="BP80" s="25" t="n"/>
      <c r="BQ80" s="27" t="n">
        <v>2.15</v>
      </c>
      <c r="BR80" s="28" t="n">
        <v>0.465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</row>
    <row r="81" ht="36" customHeight="1">
      <c r="A81" s="24" t="inlineStr">
        <is>
          <t>85aff6219f50457d</t>
        </is>
      </c>
      <c r="B81" s="24" t="inlineStr">
        <is>
          <t>2026-07-31T23:29:57.351792Z</t>
        </is>
      </c>
      <c r="C81" s="24" t="inlineStr">
        <is>
          <t>2026-08-01T01:45Z</t>
        </is>
      </c>
      <c r="D81" s="24" t="inlineStr">
        <is>
          <t>401816346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San Diego Padres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-153</v>
      </c>
      <c r="M81" s="27" t="n">
        <v>1.653595</v>
      </c>
      <c r="N81" s="28" t="n">
        <v>0.604743</v>
      </c>
      <c r="O81" s="28" t="n">
        <v>0.547277</v>
      </c>
      <c r="P81" s="28" t="n">
        <v>0.05172</v>
      </c>
      <c r="Q81" s="28" t="n">
        <v>-0.057466</v>
      </c>
      <c r="R81" s="26" t="n">
        <v>0</v>
      </c>
      <c r="S81" s="29" t="n">
        <v>1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7</v>
      </c>
      <c r="Y81" s="25" t="n">
        <v>1.5</v>
      </c>
      <c r="Z81" s="26" t="n">
        <v>-153</v>
      </c>
      <c r="AA81" s="28" t="n">
        <v>0.605</v>
      </c>
      <c r="AB81" s="28" t="n">
        <v>0.000257</v>
      </c>
      <c r="AC81" s="30" t="n">
        <v>-1</v>
      </c>
      <c r="AD81" s="24" t="inlineStr">
        <is>
          <t>2026-08-01T05:33:44.866682Z</t>
        </is>
      </c>
      <c r="AE81" s="31" t="inlineStr">
        <is>
          <t>Measured Edge Margin: Trend Engine projected 4.29-4.73; raw selected-side p=0.6294, calibrated p=0.5473.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mlb-sf</t>
        </is>
      </c>
      <c r="AQ81" s="24" t="inlineStr">
        <is>
          <t>San Francisco Giants</t>
        </is>
      </c>
      <c r="AR81" s="24" t="inlineStr">
        <is>
          <t>San Francisco Giants</t>
        </is>
      </c>
      <c r="AS81" s="24" t="inlineStr">
        <is>
          <t>mlb-sd</t>
        </is>
      </c>
      <c r="AT81" s="24" t="inlineStr">
        <is>
          <t>San Diego Padres</t>
        </is>
      </c>
      <c r="AU81" s="24" t="inlineStr">
        <is>
          <t>San Diego Padres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2bc2ce55b0d39a20103f724bbddbde5394909acd49297f52665b596a0ae3ae8b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2bc2ce55b0d39a20103f724bbddbde5394909acd49297f52665b596a0ae3ae8b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2026-07-31T23:29:57.351792Z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-153</v>
      </c>
      <c r="BL81" s="27" t="n">
        <v>1.653595</v>
      </c>
      <c r="BM81" s="28" t="n">
        <v>0.604743</v>
      </c>
      <c r="BN81" s="28" t="n">
        <v>0.60199</v>
      </c>
      <c r="BO81" s="28" t="n"/>
      <c r="BP81" s="25" t="n"/>
      <c r="BQ81" s="27" t="n">
        <v>1.653595</v>
      </c>
      <c r="BR81" s="28" t="n">
        <v>0.605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</row>
    <row r="82" ht="36" customHeight="1">
      <c r="A82" s="24" t="inlineStr">
        <is>
          <t>8f72c0641b3f438a</t>
        </is>
      </c>
      <c r="B82" s="24" t="inlineStr">
        <is>
          <t>2026-07-31T23:29:57.351792Z</t>
        </is>
      </c>
      <c r="C82" s="24" t="inlineStr">
        <is>
          <t>2026-08-01T01:45Z</t>
        </is>
      </c>
      <c r="D82" s="24" t="inlineStr">
        <is>
          <t>401816346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San Diego Padres</t>
        </is>
      </c>
      <c r="H82" s="24" t="inlineStr">
        <is>
          <t>total</t>
        </is>
      </c>
      <c r="I82" s="24" t="inlineStr">
        <is>
          <t>over</t>
        </is>
      </c>
      <c r="J82" s="25" t="n">
        <v>8.5</v>
      </c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0.50565</v>
      </c>
      <c r="P82" s="28" t="n">
        <v>0.05172</v>
      </c>
      <c r="Q82" s="28" t="n">
        <v>-0.004154</v>
      </c>
      <c r="R82" s="26" t="n">
        <v>17</v>
      </c>
      <c r="S82" s="29" t="n">
        <v>1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loss</t>
        </is>
      </c>
      <c r="W82" s="26" t="n">
        <v>0</v>
      </c>
      <c r="X82" s="26" t="n">
        <v>7</v>
      </c>
      <c r="Y82" s="25" t="n">
        <v>8.5</v>
      </c>
      <c r="Z82" s="26" t="n">
        <v>-104</v>
      </c>
      <c r="AA82" s="28" t="n">
        <v>0.51</v>
      </c>
      <c r="AB82" s="28" t="n">
        <v>0.000196</v>
      </c>
      <c r="AC82" s="30" t="n">
        <v>-1</v>
      </c>
      <c r="AD82" s="24" t="inlineStr">
        <is>
          <t>2026-08-01T05:33:45.178918Z</t>
        </is>
      </c>
      <c r="AE82" s="31" t="inlineStr">
        <is>
          <t>Measured Edge Totals: Trend Engine projected 4.29-4.73; raw selected-side p=0.5218, calibrated p=0.5056.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mlb-sf</t>
        </is>
      </c>
      <c r="AQ82" s="24" t="inlineStr">
        <is>
          <t>San Francisco Giants</t>
        </is>
      </c>
      <c r="AR82" s="24" t="inlineStr">
        <is>
          <t>San Francisco Giants</t>
        </is>
      </c>
      <c r="AS82" s="24" t="inlineStr">
        <is>
          <t>mlb-sd</t>
        </is>
      </c>
      <c r="AT82" s="24" t="inlineStr">
        <is>
          <t>San Diego Padres</t>
        </is>
      </c>
      <c r="AU82" s="24" t="inlineStr">
        <is>
          <t>San Diego Padres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cbc2c9bf5a9569a49e1902c816d96556d704cf10819ca3a9e927721685757d0b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cbc2c9bf5a9569a49e1902c816d96556d704cf10819ca3a9e927721685757d0b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2026-07-31T23:29:57.351792Z</t>
        </is>
      </c>
      <c r="BI82" s="24" t="inlineStr">
        <is>
          <t>["same_event","same_team_same_day","same_league_same_day"]</t>
        </is>
      </c>
      <c r="BJ82" s="25" t="n">
        <v>8.5</v>
      </c>
      <c r="BK82" s="26" t="n">
        <v>-104</v>
      </c>
      <c r="BL82" s="27" t="n">
        <v>1.961538</v>
      </c>
      <c r="BM82" s="28" t="n">
        <v>0.509804</v>
      </c>
      <c r="BN82" s="28" t="n">
        <v>0.507463</v>
      </c>
      <c r="BO82" s="28" t="n"/>
      <c r="BP82" s="25" t="n"/>
      <c r="BQ82" s="27" t="n">
        <v>1.961538</v>
      </c>
      <c r="BR82" s="28" t="n">
        <v>0.51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</row>
    <row r="83" ht="36" customHeight="1">
      <c r="A83" s="24" t="inlineStr">
        <is>
          <t>332900b6d965481d</t>
        </is>
      </c>
      <c r="B83" s="24" t="inlineStr">
        <is>
          <t>2026-07-31T23:29:57.351792Z</t>
        </is>
      </c>
      <c r="C83" s="24" t="inlineStr">
        <is>
          <t>2026-08-01T02:10Z</t>
        </is>
      </c>
      <c r="D83" s="24" t="inlineStr">
        <is>
          <t>401816342</t>
        </is>
      </c>
      <c r="E83" s="24" t="inlineStr">
        <is>
          <t>MLB</t>
        </is>
      </c>
      <c r="F83" s="24" t="inlineStr">
        <is>
          <t>Boston Red Sox</t>
        </is>
      </c>
      <c r="G83" s="24" t="inlineStr">
        <is>
          <t>Los Angeles Dodgers</t>
        </is>
      </c>
      <c r="H83" s="24" t="inlineStr">
        <is>
          <t>spread</t>
        </is>
      </c>
      <c r="I83" s="24" t="inlineStr">
        <is>
          <t>away</t>
        </is>
      </c>
      <c r="J83" s="25" t="n">
        <v>1.5</v>
      </c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0.555903</v>
      </c>
      <c r="P83" s="28" t="n">
        <v>0.042131</v>
      </c>
      <c r="Q83" s="28" t="n">
        <v>-0.084385</v>
      </c>
      <c r="R83" s="26" t="n">
        <v>0</v>
      </c>
      <c r="S83" s="29" t="n">
        <v>1</v>
      </c>
      <c r="T83" s="24" t="inlineStr">
        <is>
          <t>measured-edge-margin-v1</t>
        </is>
      </c>
      <c r="U83" s="24" t="inlineStr">
        <is>
          <t>settled</t>
        </is>
      </c>
      <c r="V83" s="24" t="inlineStr">
        <is>
          <t>win</t>
        </is>
      </c>
      <c r="W83" s="26" t="n">
        <v>9</v>
      </c>
      <c r="X83" s="26" t="n">
        <v>4</v>
      </c>
      <c r="Y83" s="25" t="n">
        <v>1.5</v>
      </c>
      <c r="Z83" s="26" t="n">
        <v>-178</v>
      </c>
      <c r="AA83" s="28" t="n">
        <v>0.64</v>
      </c>
      <c r="AB83" s="28" t="n">
        <v>-0.000288</v>
      </c>
      <c r="AC83" s="30" t="n">
        <v>0.5618</v>
      </c>
      <c r="AD83" s="24" t="inlineStr">
        <is>
          <t>2026-08-01T05:33:45.473501Z</t>
        </is>
      </c>
      <c r="AE83" s="31" t="inlineStr">
        <is>
          <t>Measured Edge Margin: Trend Engine projected 4.51-4.43; raw selected-side p=0.6733, calibrated p=0.5559.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mlb-bos</t>
        </is>
      </c>
      <c r="AQ83" s="24" t="inlineStr">
        <is>
          <t>Boston Red Sox</t>
        </is>
      </c>
      <c r="AR83" s="24" t="inlineStr">
        <is>
          <t>Boston Red Sox</t>
        </is>
      </c>
      <c r="AS83" s="24" t="inlineStr">
        <is>
          <t>mlb-lad</t>
        </is>
      </c>
      <c r="AT83" s="24" t="inlineStr">
        <is>
          <t>Los Angeles Dodgers</t>
        </is>
      </c>
      <c r="AU83" s="24" t="inlineStr">
        <is>
          <t>Los Angeles Dodgers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2bc2ce55b0d39a20103f724bbddbde5394909acd49297f52665b596a0ae3ae8b</t>
        </is>
      </c>
      <c r="BB83" s="24" t="inlineStr">
        <is>
          <t>flat_probability_shrinkage_toward_half</t>
        </is>
      </c>
      <c r="BC83" s="24" t="inlineStr">
        <is>
          <t>measured-edge-margin-v1</t>
        </is>
      </c>
      <c r="BD83" s="24" t="inlineStr">
        <is>
          <t>2bc2ce55b0d39a20103f724bbddbde5394909acd49297f52665b596a0ae3ae8b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2026-07-31T23:29:57.351792Z</t>
        </is>
      </c>
      <c r="BI83" s="24" t="inlineStr">
        <is>
          <t>["same_event","same_team_same_day","same_league_same_day"]</t>
        </is>
      </c>
      <c r="BJ83" s="25" t="n">
        <v>1.5</v>
      </c>
      <c r="BK83" s="26" t="n">
        <v>-178</v>
      </c>
      <c r="BL83" s="27" t="n">
        <v>1.561798</v>
      </c>
      <c r="BM83" s="28" t="n">
        <v>0.640288</v>
      </c>
      <c r="BN83" s="28" t="n">
        <v>0.636816</v>
      </c>
      <c r="BO83" s="28" t="n"/>
      <c r="BP83" s="25" t="n"/>
      <c r="BQ83" s="27" t="n">
        <v>1.561798</v>
      </c>
      <c r="BR83" s="28" t="n">
        <v>0.64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</row>
    <row r="84" ht="36" customHeight="1">
      <c r="A84" s="24" t="inlineStr">
        <is>
          <t>7c1539ed2e204ea4</t>
        </is>
      </c>
      <c r="B84" s="24" t="inlineStr">
        <is>
          <t>2026-07-31T23:29:57.351792Z</t>
        </is>
      </c>
      <c r="C84" s="24" t="inlineStr">
        <is>
          <t>2026-08-01T02:10Z</t>
        </is>
      </c>
      <c r="D84" s="24" t="inlineStr">
        <is>
          <t>401816342</t>
        </is>
      </c>
      <c r="E84" s="24" t="inlineStr">
        <is>
          <t>MLB</t>
        </is>
      </c>
      <c r="F84" s="24" t="inlineStr">
        <is>
          <t>Boston Red Sox</t>
        </is>
      </c>
      <c r="G84" s="24" t="inlineStr">
        <is>
          <t>Los Angeles Dodgers</t>
        </is>
      </c>
      <c r="H84" s="24" t="inlineStr">
        <is>
          <t>total</t>
        </is>
      </c>
      <c r="I84" s="24" t="inlineStr">
        <is>
          <t>over</t>
        </is>
      </c>
      <c r="J84" s="25" t="n">
        <v>8.5</v>
      </c>
      <c r="K84" s="24" t="inlineStr">
        <is>
          <t>polymarket_us</t>
        </is>
      </c>
      <c r="L84" s="26" t="n">
        <v>113</v>
      </c>
      <c r="M84" s="27" t="n">
        <v>2.13</v>
      </c>
      <c r="N84" s="28" t="n">
        <v>0.469484</v>
      </c>
      <c r="O84" s="28" t="n">
        <v>0.492456</v>
      </c>
      <c r="P84" s="28" t="n">
        <v>0.042131</v>
      </c>
      <c r="Q84" s="28" t="n">
        <v>0.022972</v>
      </c>
      <c r="R84" s="26" t="n">
        <v>36</v>
      </c>
      <c r="S84" s="29" t="n">
        <v>1</v>
      </c>
      <c r="T84" s="24" t="inlineStr">
        <is>
          <t>measured-edge-totals-v1</t>
        </is>
      </c>
      <c r="U84" s="24" t="inlineStr">
        <is>
          <t>settled</t>
        </is>
      </c>
      <c r="V84" s="24" t="inlineStr">
        <is>
          <t>win</t>
        </is>
      </c>
      <c r="W84" s="26" t="n">
        <v>9</v>
      </c>
      <c r="X84" s="26" t="n">
        <v>4</v>
      </c>
      <c r="Y84" s="25" t="n">
        <v>8.5</v>
      </c>
      <c r="Z84" s="26" t="n">
        <v>113</v>
      </c>
      <c r="AA84" s="28" t="n">
        <v>0.47</v>
      </c>
      <c r="AB84" s="28" t="n">
        <v>0.000516</v>
      </c>
      <c r="AC84" s="30" t="n">
        <v>1.13</v>
      </c>
      <c r="AD84" s="24" t="inlineStr">
        <is>
          <t>2026-08-01T05:33:45.765690Z</t>
        </is>
      </c>
      <c r="AE84" s="31" t="inlineStr">
        <is>
          <t>Measured Edge Totals: Trend Engine projected 4.51-4.43; raw selected-side p=0.5081, calibrated p=0.4925.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mlb-bos</t>
        </is>
      </c>
      <c r="AQ84" s="24" t="inlineStr">
        <is>
          <t>Boston Red Sox</t>
        </is>
      </c>
      <c r="AR84" s="24" t="inlineStr">
        <is>
          <t>Boston Red Sox</t>
        </is>
      </c>
      <c r="AS84" s="24" t="inlineStr">
        <is>
          <t>mlb-lad</t>
        </is>
      </c>
      <c r="AT84" s="24" t="inlineStr">
        <is>
          <t>Los Angeles Dodgers</t>
        </is>
      </c>
      <c r="AU84" s="24" t="inlineStr">
        <is>
          <t>Los Angeles Dodgers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cbc2c9bf5a9569a49e1902c816d96556d704cf10819ca3a9e927721685757d0b</t>
        </is>
      </c>
      <c r="BB84" s="24" t="inlineStr">
        <is>
          <t>flat_probability_shrinkage_toward_half</t>
        </is>
      </c>
      <c r="BC84" s="24" t="inlineStr">
        <is>
          <t>measured-edge-totals-v1</t>
        </is>
      </c>
      <c r="BD84" s="24" t="inlineStr">
        <is>
          <t>cbc2c9bf5a9569a49e1902c816d96556d704cf10819ca3a9e927721685757d0b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2026-07-31T23:29:57.351792Z</t>
        </is>
      </c>
      <c r="BI84" s="24" t="inlineStr">
        <is>
          <t>["same_event","same_team_same_day","same_league_same_day"]</t>
        </is>
      </c>
      <c r="BJ84" s="25" t="n">
        <v>8.5</v>
      </c>
      <c r="BK84" s="26" t="n">
        <v>113</v>
      </c>
      <c r="BL84" s="27" t="n">
        <v>2.13</v>
      </c>
      <c r="BM84" s="28" t="n">
        <v>0.469484</v>
      </c>
      <c r="BN84" s="28" t="n">
        <v>0.467662</v>
      </c>
      <c r="BO84" s="28" t="n"/>
      <c r="BP84" s="25" t="n"/>
      <c r="BQ84" s="27" t="n">
        <v>2.13</v>
      </c>
      <c r="BR84" s="28" t="n">
        <v>0.47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</row>
    <row r="85" ht="36" customHeight="1">
      <c r="A85" s="24" t="inlineStr">
        <is>
          <t>1f026f8edb744cf0</t>
        </is>
      </c>
      <c r="B85" s="24" t="inlineStr">
        <is>
          <t>2026-07-31T23:29:57.351792Z</t>
        </is>
      </c>
      <c r="C85" s="24" t="inlineStr">
        <is>
          <t>2026-08-01T02:10Z</t>
        </is>
      </c>
      <c r="D85" s="24" t="inlineStr">
        <is>
          <t>401816345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-138</v>
      </c>
      <c r="M85" s="27" t="n">
        <v>1.724638</v>
      </c>
      <c r="N85" s="28" t="n">
        <v>0.579832</v>
      </c>
      <c r="O85" s="28" t="n">
        <v>0.54319</v>
      </c>
      <c r="P85" s="28" t="n">
        <v>0.042131</v>
      </c>
      <c r="Q85" s="28" t="n">
        <v>-0.036642</v>
      </c>
      <c r="R85" s="26" t="n">
        <v>6</v>
      </c>
      <c r="S85" s="29" t="n">
        <v>1</v>
      </c>
      <c r="T85" s="24" t="inlineStr">
        <is>
          <t>measured-edge-margin-v1</t>
        </is>
      </c>
      <c r="U85" s="24" t="inlineStr">
        <is>
          <t>settled</t>
        </is>
      </c>
      <c r="V85" s="24" t="inlineStr">
        <is>
          <t>win</t>
        </is>
      </c>
      <c r="W85" s="26" t="n">
        <v>5</v>
      </c>
      <c r="X85" s="26" t="n">
        <v>3</v>
      </c>
      <c r="Y85" s="25" t="n">
        <v>1.5</v>
      </c>
      <c r="Z85" s="26" t="n">
        <v>-138</v>
      </c>
      <c r="AA85" s="28" t="n">
        <v>0.58</v>
      </c>
      <c r="AB85" s="28" t="n">
        <v>0.000168</v>
      </c>
      <c r="AC85" s="30" t="n">
        <v>0.7246</v>
      </c>
      <c r="AD85" s="24" t="inlineStr">
        <is>
          <t>2026-08-01T05:33:46.062823Z</t>
        </is>
      </c>
      <c r="AE85" s="31" t="inlineStr">
        <is>
          <t>Measured Edge Margin: Trend Engine projected 4.36-4.92; raw selected-side p=0.6086, calibrated p=0.5432.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2bc2ce55b0d39a20103f724bbddbde5394909acd49297f52665b596a0ae3ae8b</t>
        </is>
      </c>
      <c r="BB85" s="24" t="inlineStr">
        <is>
          <t>flat_probability_shrinkage_toward_half</t>
        </is>
      </c>
      <c r="BC85" s="24" t="inlineStr">
        <is>
          <t>measured-edge-margin-v1</t>
        </is>
      </c>
      <c r="BD85" s="24" t="inlineStr">
        <is>
          <t>2bc2ce55b0d39a20103f724bbddbde5394909acd49297f52665b596a0ae3ae8b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2026-07-31T23:29:57.351792Z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-138</v>
      </c>
      <c r="BL85" s="27" t="n">
        <v>1.724638</v>
      </c>
      <c r="BM85" s="28" t="n">
        <v>0.579832</v>
      </c>
      <c r="BN85" s="28" t="n">
        <v>0.577114</v>
      </c>
      <c r="BO85" s="28" t="n"/>
      <c r="BP85" s="25" t="n"/>
      <c r="BQ85" s="27" t="n">
        <v>1.724638</v>
      </c>
      <c r="BR85" s="28" t="n">
        <v>0.58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</row>
    <row r="86" ht="36" customHeight="1">
      <c r="A86" s="24" t="inlineStr">
        <is>
          <t>fdb8dae6fb2c4054</t>
        </is>
      </c>
      <c r="B86" s="24" t="inlineStr">
        <is>
          <t>2026-07-31T23:29:57.351792Z</t>
        </is>
      </c>
      <c r="C86" s="24" t="inlineStr">
        <is>
          <t>2026-08-01T02:10Z</t>
        </is>
      </c>
      <c r="D86" s="24" t="inlineStr">
        <is>
          <t>401816345</t>
        </is>
      </c>
      <c r="E86" s="24" t="inlineStr">
        <is>
          <t>MLB</t>
        </is>
      </c>
      <c r="F86" s="24" t="inlineStr">
        <is>
          <t>Minnesota Twins</t>
        </is>
      </c>
      <c r="G86" s="24" t="inlineStr">
        <is>
          <t>Seattle Mariners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0.588884</v>
      </c>
      <c r="P86" s="28" t="n">
        <v>0.042131</v>
      </c>
      <c r="Q86" s="28" t="n">
        <v>0.074321</v>
      </c>
      <c r="R86" s="26" t="n">
        <v>62</v>
      </c>
      <c r="S86" s="29" t="n">
        <v>1.25</v>
      </c>
      <c r="T86" s="24" t="inlineStr">
        <is>
          <t>measured-edge-totals-v1</t>
        </is>
      </c>
      <c r="U86" s="24" t="inlineStr">
        <is>
          <t>settled</t>
        </is>
      </c>
      <c r="V86" s="24" t="inlineStr">
        <is>
          <t>win</t>
        </is>
      </c>
      <c r="W86" s="26" t="n">
        <v>5</v>
      </c>
      <c r="X86" s="26" t="n">
        <v>3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1.1792</v>
      </c>
      <c r="AD86" s="24" t="inlineStr">
        <is>
          <t>2026-08-01T05:33:46.404912Z</t>
        </is>
      </c>
      <c r="AE86" s="31" t="inlineStr">
        <is>
          <t>Measured Edge Totals: Trend Engine projected 4.36-4.92; raw selected-side p=0.6076, calibrated p=0.5889.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mlb-min</t>
        </is>
      </c>
      <c r="AQ86" s="24" t="inlineStr">
        <is>
          <t>Minnesota Twins</t>
        </is>
      </c>
      <c r="AR86" s="24" t="inlineStr">
        <is>
          <t>Minnesota Twins</t>
        </is>
      </c>
      <c r="AS86" s="24" t="inlineStr">
        <is>
          <t>mlb-sea</t>
        </is>
      </c>
      <c r="AT86" s="24" t="inlineStr">
        <is>
          <t>Seattle Mariners</t>
        </is>
      </c>
      <c r="AU86" s="24" t="inlineStr">
        <is>
          <t>Seattle Mariners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cbc2c9bf5a9569a49e1902c816d96556d704cf10819ca3a9e927721685757d0b</t>
        </is>
      </c>
      <c r="BB86" s="24" t="inlineStr">
        <is>
          <t>flat_probability_shrinkage_toward_half</t>
        </is>
      </c>
      <c r="BC86" s="24" t="inlineStr">
        <is>
          <t>measured-edge-totals-v1</t>
        </is>
      </c>
      <c r="BD86" s="24" t="inlineStr">
        <is>
          <t>cbc2c9bf5a9569a49e1902c816d96556d704cf10819ca3a9e927721685757d0b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2026-07-31T23:29:57.351792Z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</row>
    <row r="87" ht="36" customHeight="1">
      <c r="A87" s="24" t="inlineStr">
        <is>
          <t>3714d2fbafec4e5d</t>
        </is>
      </c>
      <c r="B87" s="24" t="inlineStr">
        <is>
          <t>2026-08-01T16:50:21.394933Z</t>
        </is>
      </c>
      <c r="C87" s="24" t="inlineStr">
        <is>
          <t>2026-08-01T13:00:00-0400</t>
        </is>
      </c>
      <c r="D87" s="24" t="inlineStr">
        <is>
          <t>401857105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Chicago Sky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-245</v>
      </c>
      <c r="M87" s="27" t="n">
        <v>1.408163</v>
      </c>
      <c r="N87" s="28" t="n">
        <v>0.710145</v>
      </c>
      <c r="O87" s="28" t="n">
        <v>0.646163</v>
      </c>
      <c r="P87" s="28" t="n"/>
      <c r="Q87" s="28" t="n">
        <v>-0.063982</v>
      </c>
      <c r="R87" s="26" t="n">
        <v>0</v>
      </c>
      <c r="S87" s="29" t="n">
        <v>1.75</v>
      </c>
      <c r="T87" s="24" t="inlineStr">
        <is>
          <t>wnba-elo-trend-lr-v4</t>
        </is>
      </c>
      <c r="U87" s="24" t="inlineStr">
        <is>
          <t>settled</t>
        </is>
      </c>
      <c r="V87" s="24" t="inlineStr">
        <is>
          <t>loss</t>
        </is>
      </c>
      <c r="W87" s="26" t="n">
        <v>83</v>
      </c>
      <c r="X87" s="26" t="n">
        <v>84</v>
      </c>
      <c r="Y87" s="25" t="n"/>
      <c r="Z87" s="26" t="n"/>
      <c r="AA87" s="28" t="n"/>
      <c r="AB87" s="28" t="n"/>
      <c r="AC87" s="30" t="n">
        <v>-1.75</v>
      </c>
      <c r="AD87" s="24" t="inlineStr">
        <is>
          <t>2026-08-01T20:13:05.677373Z</t>
        </is>
      </c>
      <c r="AE87" s="31" t="inlineStr">
        <is>
          <t>Learned LR call at threshold 0.5001; executable ask 0.7100 (aec-wnba-lv-chi-2026-08-01); model edge vs ask -0.0638.</t>
        </is>
      </c>
      <c r="AF87" s="31" t="inlineStr">
        <is>
          <t>Learned model; shadow-qualified via operator override.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wnba-chi</t>
        </is>
      </c>
      <c r="AT87" s="24" t="inlineStr">
        <is>
          <t>Chicago Sky</t>
        </is>
      </c>
      <c r="AU87" s="24" t="inlineStr">
        <is>
          <t>Chicago Sky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7afd5274214b58b7efd7f7febc7be3ab33b92351cda5cc6403c0a39faea0cc8c</t>
        </is>
      </c>
      <c r="BB87" s="24" t="inlineStr">
        <is>
          <t>learned_lr</t>
        </is>
      </c>
      <c r="BC87" s="24" t="inlineStr">
        <is>
          <t>wnba-elo-trend-lr-v4</t>
        </is>
      </c>
      <c r="BD87" s="24" t="inlineStr">
        <is>
          <t>7afd5274214b58b7efd7f7febc7be3ab33b92351cda5cc6403c0a39faea0cc8c</t>
        </is>
      </c>
      <c r="BE87" s="24" t="inlineStr">
        <is>
          <t>51a2c72f2e141b8b</t>
        </is>
      </c>
      <c r="BF87" s="24" t="inlineStr">
        <is>
          <t>1</t>
        </is>
      </c>
      <c r="BG87" s="24" t="inlineStr">
        <is>
          <t>wnba-elo-trend-lr-v4</t>
        </is>
      </c>
      <c r="BH87" s="24" t="inlineStr">
        <is>
          <t>2026-08-01T16:49:04.221920Z</t>
        </is>
      </c>
      <c r="BI87" s="24" t="inlineStr">
        <is>
          <t>["same_event","same_team_same_day","same_league_same_day"]</t>
        </is>
      </c>
      <c r="BJ87" s="25" t="n"/>
      <c r="BK87" s="26" t="n">
        <v>-245</v>
      </c>
      <c r="BL87" s="27" t="n">
        <v>1.408163</v>
      </c>
      <c r="BM87" s="28" t="n">
        <v>0.710145</v>
      </c>
      <c r="BN87" s="28" t="n">
        <v>0.70297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0.317202935</t>
        </is>
      </c>
      <c r="CD87" s="24" t="inlineStr">
        <is>
          <t>4.001837</t>
        </is>
      </c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</row>
    <row r="88" ht="36" customHeight="1">
      <c r="A88" s="24" t="inlineStr">
        <is>
          <t>95dfdf1aeb5c4314</t>
        </is>
      </c>
      <c r="B88" s="24" t="inlineStr">
        <is>
          <t>2026-08-01T18:37:44.379324Z</t>
        </is>
      </c>
      <c r="C88" s="24" t="inlineStr">
        <is>
          <t>2026-08-01T15:00:00-0400</t>
        </is>
      </c>
      <c r="D88" s="24" t="inlineStr">
        <is>
          <t>401857106</t>
        </is>
      </c>
      <c r="E88" s="24" t="inlineStr">
        <is>
          <t>WNBA</t>
        </is>
      </c>
      <c r="F88" s="24" t="inlineStr">
        <is>
          <t>New York Liberty</t>
        </is>
      </c>
      <c r="G88" s="24" t="inlineStr">
        <is>
          <t>Phoenix Mercury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-144</v>
      </c>
      <c r="M88" s="27" t="n">
        <v>1.694444</v>
      </c>
      <c r="N88" s="28" t="n">
        <v>0.590164</v>
      </c>
      <c r="O88" s="28" t="n">
        <v>0.568764</v>
      </c>
      <c r="P88" s="28" t="n"/>
      <c r="Q88" s="28" t="n">
        <v>-0.0214</v>
      </c>
      <c r="R88" s="26" t="n">
        <v>12</v>
      </c>
      <c r="S88" s="29" t="n">
        <v>1.25</v>
      </c>
      <c r="T88" s="24" t="inlineStr">
        <is>
          <t>wnba-elo-trend-lr-v4</t>
        </is>
      </c>
      <c r="U88" s="24" t="inlineStr">
        <is>
          <t>settled</t>
        </is>
      </c>
      <c r="V88" s="24" t="inlineStr">
        <is>
          <t>win</t>
        </is>
      </c>
      <c r="W88" s="26" t="n">
        <v>94</v>
      </c>
      <c r="X88" s="26" t="n">
        <v>92</v>
      </c>
      <c r="Y88" s="25" t="n"/>
      <c r="Z88" s="26" t="n"/>
      <c r="AA88" s="28" t="n"/>
      <c r="AB88" s="28" t="n"/>
      <c r="AC88" s="30" t="n">
        <v>0.8681</v>
      </c>
      <c r="AD88" s="24" t="inlineStr">
        <is>
          <t>2026-08-01T21:25:18.148772Z</t>
        </is>
      </c>
      <c r="AE88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wnba-nyl</t>
        </is>
      </c>
      <c r="AQ88" s="24" t="inlineStr">
        <is>
          <t>New York Liberty</t>
        </is>
      </c>
      <c r="AR88" s="24" t="inlineStr">
        <is>
          <t>New York Liberty</t>
        </is>
      </c>
      <c r="AS88" s="24" t="inlineStr">
        <is>
          <t>wnba-phx</t>
        </is>
      </c>
      <c r="AT88" s="24" t="inlineStr">
        <is>
          <t>Phoenix Mercury</t>
        </is>
      </c>
      <c r="AU88" s="24" t="inlineStr">
        <is>
          <t>Phoenix Mercury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bbef9e1b90cf700b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2026-08-01T18:36:36.294824Z</t>
        </is>
      </c>
      <c r="BI88" s="24" t="inlineStr">
        <is>
          <t>["same_event","same_team_same_day","same_league_same_day"]</t>
        </is>
      </c>
      <c r="BJ88" s="25" t="n"/>
      <c r="BK88" s="26" t="n">
        <v>-144</v>
      </c>
      <c r="BL88" s="27" t="n">
        <v>1.694444</v>
      </c>
      <c r="BM88" s="28" t="n">
        <v>0.590164</v>
      </c>
      <c r="BN88" s="28" t="n">
        <v>0.584158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0.4080094464</t>
        </is>
      </c>
      <c r="CD88" s="24" t="inlineStr">
        <is>
          <t>-5.162465</t>
        </is>
      </c>
      <c r="CE88" s="24" t="n"/>
      <c r="CF88" s="24" t="n"/>
      <c r="CG88" s="24" t="n"/>
      <c r="CH88" s="24" t="n"/>
      <c r="CI88" s="24" t="inlineStr">
        <is>
          <t>NO_CALL_AVAILABILITY_PLAYER_UNMAPPED</t>
        </is>
      </c>
      <c r="CJ88" s="24" t="n"/>
      <c r="CK88" s="24" t="n"/>
      <c r="CL88" s="24" t="n"/>
      <c r="CM88" s="24" t="n"/>
      <c r="CN88" s="24" t="n"/>
      <c r="CO88" s="24" t="n"/>
      <c r="CP88" s="24" t="n"/>
    </row>
    <row r="89" ht="36" customHeight="1">
      <c r="A89" s="24" t="inlineStr">
        <is>
          <t>090523d0258d47a7</t>
        </is>
      </c>
      <c r="B89" s="24" t="inlineStr">
        <is>
          <t>2026-08-01T18:37:44.379324Z</t>
        </is>
      </c>
      <c r="C89" s="24" t="inlineStr">
        <is>
          <t>2026-08-01T15:07:00-0400</t>
        </is>
      </c>
      <c r="D89" s="24" t="inlineStr">
        <is>
          <t>401816352</t>
        </is>
      </c>
      <c r="E89" s="24" t="inlineStr">
        <is>
          <t>MLB</t>
        </is>
      </c>
      <c r="F89" s="24" t="inlineStr">
        <is>
          <t>St. Louis Cardinals</t>
        </is>
      </c>
      <c r="G89" s="24" t="inlineStr">
        <is>
          <t>Toronto Blue Jays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-153</v>
      </c>
      <c r="M89" s="27" t="n">
        <v>1.653595</v>
      </c>
      <c r="N89" s="28" t="n">
        <v>0.604743</v>
      </c>
      <c r="O89" s="28" t="n">
        <v>0.5354640000000001</v>
      </c>
      <c r="P89" s="28" t="n"/>
      <c r="Q89" s="28" t="n">
        <v>-0.06927899999999999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5</v>
      </c>
      <c r="Y89" s="25" t="n"/>
      <c r="Z89" s="26" t="n">
        <v>-153</v>
      </c>
      <c r="AA89" s="28" t="n">
        <v>0.605</v>
      </c>
      <c r="AB89" s="28" t="n">
        <v>0.000257</v>
      </c>
      <c r="AC89" s="30" t="n">
        <v>0.6536</v>
      </c>
      <c r="AD89" s="24" t="inlineStr">
        <is>
          <t>2026-08-01T23:50:52.446031Z</t>
        </is>
      </c>
      <c r="AE89" s="31" t="inlineStr">
        <is>
          <t>Learned LR call at threshold 0.6242; executable ask 0.6050 (aec-mlb-stl-tor-2026-08-01); model edge vs ask -0.0695.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mlb-stl</t>
        </is>
      </c>
      <c r="AQ89" s="24" t="inlineStr">
        <is>
          <t>St. Louis Cardinals</t>
        </is>
      </c>
      <c r="AR89" s="24" t="inlineStr">
        <is>
          <t>St. Louis Cardinals</t>
        </is>
      </c>
      <c r="AS89" s="24" t="inlineStr">
        <is>
          <t>mlb-tor</t>
        </is>
      </c>
      <c r="AT89" s="24" t="inlineStr">
        <is>
          <t>Toronto Blue Jays</t>
        </is>
      </c>
      <c r="AU89" s="24" t="inlineStr">
        <is>
          <t>Toronto Blue Jays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a0f0dfbb182ff37a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2026-08-01T18:36:19.970556Z</t>
        </is>
      </c>
      <c r="BI89" s="24" t="inlineStr">
        <is>
          <t>["same_event","same_team_same_day","same_league_same_day"]</t>
        </is>
      </c>
      <c r="BJ89" s="25" t="n"/>
      <c r="BK89" s="26" t="n">
        <v>-153</v>
      </c>
      <c r="BL89" s="27" t="n">
        <v>1.653595</v>
      </c>
      <c r="BM89" s="28" t="n">
        <v>0.604743</v>
      </c>
      <c r="BN89" s="28" t="n">
        <v>0.60199</v>
      </c>
      <c r="BO89" s="28" t="n"/>
      <c r="BP89" s="25" t="n"/>
      <c r="BQ89" s="27" t="n">
        <v>1.653595</v>
      </c>
      <c r="BR89" s="28" t="n">
        <v>0.605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0.5579214953</t>
        </is>
      </c>
      <c r="CD89" s="24" t="inlineStr">
        <is>
          <t>0.999429</t>
        </is>
      </c>
      <c r="CE89" s="24" t="inlineStr">
        <is>
          <t>1.019</t>
        </is>
      </c>
      <c r="CF89" s="24" t="inlineStr">
        <is>
          <t>1.0</t>
        </is>
      </c>
      <c r="CG89" s="24" t="inlineStr">
        <is>
          <t>-1.4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</row>
    <row r="90" ht="36" customHeight="1">
      <c r="A90" s="24" t="inlineStr">
        <is>
          <t>4b1679abe3c34170</t>
        </is>
      </c>
      <c r="B90" s="24" t="inlineStr">
        <is>
          <t>2026-08-01T18:37:44.379324Z</t>
        </is>
      </c>
      <c r="C90" s="24" t="inlineStr">
        <is>
          <t>2026-08-01T16:10:00-0400</t>
        </is>
      </c>
      <c r="D90" s="24" t="inlineStr">
        <is>
          <t>401816348</t>
        </is>
      </c>
      <c r="E90" s="24" t="inlineStr">
        <is>
          <t>MLB</t>
        </is>
      </c>
      <c r="F90" s="24" t="inlineStr">
        <is>
          <t>Chicago White Sox</t>
        </is>
      </c>
      <c r="G90" s="24" t="inlineStr">
        <is>
          <t>Tampa Bay Rays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0.558419</v>
      </c>
      <c r="P90" s="28" t="n"/>
      <c r="Q90" s="28" t="n">
        <v>-0.050956</v>
      </c>
      <c r="R90" s="26" t="n">
        <v>0</v>
      </c>
      <c r="S90" s="29" t="n">
        <v>1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-156</v>
      </c>
      <c r="AA90" s="28" t="n">
        <v>0.61</v>
      </c>
      <c r="AB90" s="28" t="n">
        <v>0.000625</v>
      </c>
      <c r="AC90" s="30" t="n">
        <v>0.641</v>
      </c>
      <c r="AD90" s="24" t="inlineStr">
        <is>
          <t>2026-08-01T23:50:53.182001Z</t>
        </is>
      </c>
      <c r="AE90" s="31" t="inlineStr">
        <is>
          <t>Learned LR call at threshold 0.6242; executable ask 0.6100 (aec-mlb-cws-tb-2026-08-01); model edge vs ask -0.0516.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mlb-cws</t>
        </is>
      </c>
      <c r="AQ90" s="24" t="inlineStr">
        <is>
          <t>Chicago White Sox</t>
        </is>
      </c>
      <c r="AR90" s="24" t="inlineStr">
        <is>
          <t>Chicago White Sox</t>
        </is>
      </c>
      <c r="AS90" s="24" t="inlineStr">
        <is>
          <t>mlb-tb</t>
        </is>
      </c>
      <c r="AT90" s="24" t="inlineStr">
        <is>
          <t>Tampa Bay Rays</t>
        </is>
      </c>
      <c r="AU90" s="24" t="inlineStr">
        <is>
          <t>Tampa Bay Rays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ad676df45ee6e775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2026-08-01T18:36:22.182386Z</t>
        </is>
      </c>
      <c r="BI90" s="24" t="inlineStr">
        <is>
          <t>["same_event","same_team_same_day","same_league_same_day"]</t>
        </is>
      </c>
      <c r="BJ90" s="25" t="n"/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0.5468687943</t>
        </is>
      </c>
      <c r="CD90" s="24" t="inlineStr">
        <is>
          <t>-1.164825</t>
        </is>
      </c>
      <c r="CE90" s="24" t="inlineStr">
        <is>
          <t>0.965</t>
        </is>
      </c>
      <c r="CF90" s="24" t="inlineStr">
        <is>
          <t>1.0</t>
        </is>
      </c>
      <c r="CG90" s="24" t="inlineStr">
        <is>
          <t>-1.4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</row>
    <row r="91" ht="36" customHeight="1">
      <c r="A91" s="24" t="inlineStr">
        <is>
          <t>ea6695362828438e</t>
        </is>
      </c>
      <c r="B91" s="24" t="inlineStr">
        <is>
          <t>2026-08-01T18:37:44.379324Z</t>
        </is>
      </c>
      <c r="C91" s="24" t="inlineStr">
        <is>
          <t>2026-08-01T16:10:00-0400</t>
        </is>
      </c>
      <c r="D91" s="24" t="inlineStr">
        <is>
          <t>401816349</t>
        </is>
      </c>
      <c r="E91" s="24" t="inlineStr">
        <is>
          <t>MLB</t>
        </is>
      </c>
      <c r="F91" s="24" t="inlineStr">
        <is>
          <t>Miami Marlins</t>
        </is>
      </c>
      <c r="G91" s="24" t="inlineStr">
        <is>
          <t>New York Mets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0.515788</v>
      </c>
      <c r="P91" s="28" t="n"/>
      <c r="Q91" s="28" t="n">
        <v>-0.033762</v>
      </c>
      <c r="R91" s="26" t="n">
        <v>4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2</v>
      </c>
      <c r="Y91" s="25" t="n"/>
      <c r="Z91" s="26" t="n">
        <v>-122</v>
      </c>
      <c r="AA91" s="28" t="n">
        <v>0.55</v>
      </c>
      <c r="AB91" s="28" t="n">
        <v>0.00045</v>
      </c>
      <c r="AC91" s="30" t="n">
        <v>-1</v>
      </c>
      <c r="AD91" s="24" t="inlineStr">
        <is>
          <t>2026-08-01T23:50:53.987612Z</t>
        </is>
      </c>
      <c r="AE91" s="31" t="inlineStr">
        <is>
          <t>Learned LR call at threshold 0.6242; executable ask 0.5500 (aec-mlb-mia-nym-2026-08-01); model edge vs ask -0.0342.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mlb-mia</t>
        </is>
      </c>
      <c r="AQ91" s="24" t="inlineStr">
        <is>
          <t>Miami Marlins</t>
        </is>
      </c>
      <c r="AR91" s="24" t="inlineStr">
        <is>
          <t>Miami Marlins</t>
        </is>
      </c>
      <c r="AS91" s="24" t="inlineStr">
        <is>
          <t>mlb-nym</t>
        </is>
      </c>
      <c r="AT91" s="24" t="inlineStr">
        <is>
          <t>New York Mets</t>
        </is>
      </c>
      <c r="AU91" s="24" t="inlineStr">
        <is>
          <t>New York Mets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8e71ffd6fce569a4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2026-08-01T18:36:23.073759Z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>
        <v>0.547264</v>
      </c>
      <c r="BO91" s="28" t="n"/>
      <c r="BP91" s="25" t="n"/>
      <c r="BQ91" s="27" t="n">
        <v>1.819672</v>
      </c>
      <c r="BR91" s="28" t="n">
        <v>0.55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0.5032110055</t>
        </is>
      </c>
      <c r="CD91" s="24" t="inlineStr">
        <is>
          <t>-0.346453</t>
        </is>
      </c>
      <c r="CE91" s="24" t="inlineStr">
        <is>
          <t>0.978</t>
        </is>
      </c>
      <c r="CF91" s="24" t="inlineStr">
        <is>
          <t>1.0209</t>
        </is>
      </c>
      <c r="CG91" s="24" t="inlineStr">
        <is>
          <t>-1.2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</row>
    <row r="92" ht="36" customHeight="1">
      <c r="A92" s="24" t="inlineStr">
        <is>
          <t>d303a55c7be64746</t>
        </is>
      </c>
      <c r="B92" s="24" t="inlineStr">
        <is>
          <t>2026-08-01T18:37:44.379324Z</t>
        </is>
      </c>
      <c r="C92" s="24" t="inlineStr">
        <is>
          <t>2026-08-01T16:10:00-0400</t>
        </is>
      </c>
      <c r="D92" s="24" t="inlineStr">
        <is>
          <t>401816360</t>
        </is>
      </c>
      <c r="E92" s="24" t="inlineStr">
        <is>
          <t>MLB</t>
        </is>
      </c>
      <c r="F92" s="24" t="inlineStr">
        <is>
          <t>Minnesota Twins</t>
        </is>
      </c>
      <c r="G92" s="24" t="inlineStr">
        <is>
          <t>Seattle Mariners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0.591702</v>
      </c>
      <c r="P92" s="28" t="n"/>
      <c r="Q92" s="28" t="n">
        <v>-0.017673</v>
      </c>
      <c r="R92" s="26" t="n">
        <v>12</v>
      </c>
      <c r="S92" s="29" t="n">
        <v>1.25</v>
      </c>
      <c r="T92" s="24" t="inlineStr">
        <is>
          <t>mlb-elo-trend-lr-v7</t>
        </is>
      </c>
      <c r="U92" s="24" t="inlineStr">
        <is>
          <t>settled</t>
        </is>
      </c>
      <c r="V92" s="24" t="inlineStr">
        <is>
          <t>win</t>
        </is>
      </c>
      <c r="W92" s="26" t="n">
        <v>3</v>
      </c>
      <c r="X92" s="26" t="n">
        <v>4</v>
      </c>
      <c r="Y92" s="25" t="n"/>
      <c r="Z92" s="26" t="n">
        <v>-156</v>
      </c>
      <c r="AA92" s="28" t="n">
        <v>0.61</v>
      </c>
      <c r="AB92" s="28" t="n">
        <v>0.000625</v>
      </c>
      <c r="AC92" s="30" t="n">
        <v>0.8013</v>
      </c>
      <c r="AD92" s="24" t="inlineStr">
        <is>
          <t>2026-08-01T23:50:54.713841Z</t>
        </is>
      </c>
      <c r="AE92" s="31" t="inlineStr">
        <is>
          <t>Learned LR call at threshold 0.6242; executable ask 0.6100 (aec-mlb-min-sea-2026-08-01); model edge vs ask -0.0183.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mlb-min</t>
        </is>
      </c>
      <c r="AQ92" s="24" t="inlineStr">
        <is>
          <t>Minnesota Twins</t>
        </is>
      </c>
      <c r="AR92" s="24" t="inlineStr">
        <is>
          <t>Minnesota Twins</t>
        </is>
      </c>
      <c r="AS92" s="24" t="inlineStr">
        <is>
          <t>mlb-sea</t>
        </is>
      </c>
      <c r="AT92" s="24" t="inlineStr">
        <is>
          <t>Seattle Mariners</t>
        </is>
      </c>
      <c r="AU92" s="24" t="inlineStr">
        <is>
          <t>Seattle Mariners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53175a4c13f251cb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2026-08-01T18:36:21.090185Z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>
        <v>0.606965</v>
      </c>
      <c r="BO92" s="28" t="n"/>
      <c r="BP92" s="25" t="n"/>
      <c r="BQ92" s="27" t="n">
        <v>1.641026</v>
      </c>
      <c r="BR92" s="28" t="n">
        <v>0.61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0.578722894</t>
        </is>
      </c>
      <c r="CD92" s="24" t="inlineStr">
        <is>
          <t>0.628201</t>
        </is>
      </c>
      <c r="CE92" s="24" t="inlineStr">
        <is>
          <t>0.936</t>
        </is>
      </c>
      <c r="CF92" s="24" t="inlineStr">
        <is>
          <t>1.0</t>
        </is>
      </c>
      <c r="CG92" s="24" t="inlineStr">
        <is>
          <t>1.2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</row>
    <row r="93" ht="36" customHeight="1">
      <c r="A93" s="24" t="inlineStr">
        <is>
          <t>dce89bd9695442a5</t>
        </is>
      </c>
      <c r="B93" s="24" t="inlineStr">
        <is>
          <t>2026-08-01T18:38:25.468461Z</t>
        </is>
      </c>
      <c r="C93" s="24" t="inlineStr">
        <is>
          <t>2026-08-01T19:07Z</t>
        </is>
      </c>
      <c r="D93" s="24" t="inlineStr">
        <is>
          <t>401816352</t>
        </is>
      </c>
      <c r="E93" s="24" t="inlineStr">
        <is>
          <t>MLB</t>
        </is>
      </c>
      <c r="F93" s="24" t="inlineStr">
        <is>
          <t>St. Louis Cardinals</t>
        </is>
      </c>
      <c r="G93" s="24" t="inlineStr">
        <is>
          <t>Toronto Blue Jays</t>
        </is>
      </c>
      <c r="H93" s="24" t="inlineStr">
        <is>
          <t>spread</t>
        </is>
      </c>
      <c r="I93" s="24" t="inlineStr">
        <is>
          <t>away</t>
        </is>
      </c>
      <c r="J93" s="25" t="n">
        <v>1.5</v>
      </c>
      <c r="K93" s="24" t="inlineStr">
        <is>
          <t>polymarket_us</t>
        </is>
      </c>
      <c r="L93" s="26" t="n">
        <v>-144</v>
      </c>
      <c r="M93" s="27" t="n">
        <v>1.694444</v>
      </c>
      <c r="N93" s="28" t="n">
        <v>0.590164</v>
      </c>
      <c r="O93" s="28" t="n">
        <v>0.5529849999999999</v>
      </c>
      <c r="P93" s="28" t="n">
        <v>0.05172</v>
      </c>
      <c r="Q93" s="28" t="n">
        <v>-0.037179</v>
      </c>
      <c r="R93" s="26" t="n">
        <v>0</v>
      </c>
      <c r="S93" s="29" t="n">
        <v>1</v>
      </c>
      <c r="T93" s="24" t="inlineStr">
        <is>
          <t>measured-edge-margin-v1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5</v>
      </c>
      <c r="Y93" s="25" t="n">
        <v>1.5</v>
      </c>
      <c r="Z93" s="26" t="n">
        <v>-144</v>
      </c>
      <c r="AA93" s="28" t="n">
        <v>0.59</v>
      </c>
      <c r="AB93" s="28" t="n">
        <v>-0.000164</v>
      </c>
      <c r="AC93" s="30" t="n">
        <v>-1</v>
      </c>
      <c r="AD93" s="24" t="inlineStr">
        <is>
          <t>2026-08-01T23:50:55.435425Z</t>
        </is>
      </c>
      <c r="AE93" s="31" t="inlineStr">
        <is>
          <t>Measured Edge Margin: Trend Engine projected 4.64-4.73; raw selected-side p=0.6584, calibrated p=0.5530.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mlb-stl</t>
        </is>
      </c>
      <c r="AQ93" s="24" t="inlineStr">
        <is>
          <t>St. Louis Cardinals</t>
        </is>
      </c>
      <c r="AR93" s="24" t="inlineStr">
        <is>
          <t>St. Louis Cardinals</t>
        </is>
      </c>
      <c r="AS93" s="24" t="inlineStr">
        <is>
          <t>mlb-tor</t>
        </is>
      </c>
      <c r="AT93" s="24" t="inlineStr">
        <is>
          <t>Toronto Blue Jays</t>
        </is>
      </c>
      <c r="AU93" s="24" t="inlineStr">
        <is>
          <t>Toronto Blue Jays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2bc2ce55b0d39a20103f724bbddbde5394909acd49297f52665b596a0ae3ae8b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2bc2ce55b0d39a20103f724bbddbde5394909acd49297f52665b596a0ae3ae8b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2026-08-01T18:38:25.468461Z</t>
        </is>
      </c>
      <c r="BI93" s="24" t="inlineStr">
        <is>
          <t>["same_event","same_team_same_day","same_league_same_day"]</t>
        </is>
      </c>
      <c r="BJ93" s="25" t="n">
        <v>1.5</v>
      </c>
      <c r="BK93" s="26" t="n">
        <v>-144</v>
      </c>
      <c r="BL93" s="27" t="n">
        <v>1.694444</v>
      </c>
      <c r="BM93" s="28" t="n">
        <v>0.590164</v>
      </c>
      <c r="BN93" s="28" t="n">
        <v>0.5870649999999999</v>
      </c>
      <c r="BO93" s="28" t="n"/>
      <c r="BP93" s="25" t="n"/>
      <c r="BQ93" s="27" t="n">
        <v>1.694444</v>
      </c>
      <c r="BR93" s="28" t="n">
        <v>0.59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</row>
    <row r="94" ht="36" customHeight="1">
      <c r="A94" s="24" t="inlineStr">
        <is>
          <t>fde80a4b2f894318</t>
        </is>
      </c>
      <c r="B94" s="24" t="inlineStr">
        <is>
          <t>2026-08-01T18:38:25.468461Z</t>
        </is>
      </c>
      <c r="C94" s="24" t="inlineStr">
        <is>
          <t>2026-08-01T19:07Z</t>
        </is>
      </c>
      <c r="D94" s="24" t="inlineStr">
        <is>
          <t>401816352</t>
        </is>
      </c>
      <c r="E94" s="24" t="inlineStr">
        <is>
          <t>MLB</t>
        </is>
      </c>
      <c r="F94" s="24" t="inlineStr">
        <is>
          <t>St. Louis Cardinals</t>
        </is>
      </c>
      <c r="G94" s="24" t="inlineStr">
        <is>
          <t>Toronto Blue Jays</t>
        </is>
      </c>
      <c r="H94" s="24" t="inlineStr">
        <is>
          <t>total</t>
        </is>
      </c>
      <c r="I94" s="24" t="inlineStr">
        <is>
          <t>over</t>
        </is>
      </c>
      <c r="J94" s="25" t="n">
        <v>8.5</v>
      </c>
      <c r="K94" s="24" t="inlineStr">
        <is>
          <t>polymarket_us</t>
        </is>
      </c>
      <c r="L94" s="26" t="n">
        <v>111</v>
      </c>
      <c r="M94" s="27" t="n">
        <v>2.11</v>
      </c>
      <c r="N94" s="28" t="n">
        <v>0.473934</v>
      </c>
      <c r="O94" s="28" t="n">
        <v>0.528302</v>
      </c>
      <c r="P94" s="28" t="n">
        <v>0.05172</v>
      </c>
      <c r="Q94" s="28" t="n">
        <v>0.054368</v>
      </c>
      <c r="R94" s="26" t="n">
        <v>46</v>
      </c>
      <c r="S94" s="29" t="n">
        <v>1</v>
      </c>
      <c r="T94" s="24" t="inlineStr">
        <is>
          <t>measured-edge-totals-v1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5</v>
      </c>
      <c r="Y94" s="25" t="n">
        <v>8.5</v>
      </c>
      <c r="Z94" s="26" t="n">
        <v>111</v>
      </c>
      <c r="AA94" s="28" t="n">
        <v>0.475</v>
      </c>
      <c r="AB94" s="28" t="n">
        <v>0.001066</v>
      </c>
      <c r="AC94" s="30" t="n">
        <v>-1</v>
      </c>
      <c r="AD94" s="24" t="inlineStr">
        <is>
          <t>2026-08-01T23:50:56.176778Z</t>
        </is>
      </c>
      <c r="AE94" s="31" t="inlineStr">
        <is>
          <t>Measured Edge Totals: Trend Engine projected 4.64-4.73; raw selected-side p=0.5451, calibrated p=0.5283.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mlb-stl</t>
        </is>
      </c>
      <c r="AQ94" s="24" t="inlineStr">
        <is>
          <t>St. Louis Cardinals</t>
        </is>
      </c>
      <c r="AR94" s="24" t="inlineStr">
        <is>
          <t>St. Louis Cardinals</t>
        </is>
      </c>
      <c r="AS94" s="24" t="inlineStr">
        <is>
          <t>mlb-tor</t>
        </is>
      </c>
      <c r="AT94" s="24" t="inlineStr">
        <is>
          <t>Toronto Blue Jays</t>
        </is>
      </c>
      <c r="AU94" s="24" t="inlineStr">
        <is>
          <t>Toronto Blue Jays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cbc2c9bf5a9569a49e1902c816d96556d704cf10819ca3a9e927721685757d0b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cbc2c9bf5a9569a49e1902c816d96556d704cf10819ca3a9e927721685757d0b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2026-08-01T18:38:25.468461Z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111</v>
      </c>
      <c r="BL94" s="27" t="n">
        <v>2.11</v>
      </c>
      <c r="BM94" s="28" t="n">
        <v>0.473934</v>
      </c>
      <c r="BN94" s="28" t="n">
        <v>0.472637</v>
      </c>
      <c r="BO94" s="28" t="n"/>
      <c r="BP94" s="25" t="n"/>
      <c r="BQ94" s="27" t="n">
        <v>2.11</v>
      </c>
      <c r="BR94" s="28" t="n">
        <v>0.475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</row>
    <row r="95" ht="36" customHeight="1">
      <c r="A95" s="24" t="inlineStr">
        <is>
          <t>53a2e3a55ed248f0</t>
        </is>
      </c>
      <c r="B95" s="24" t="inlineStr">
        <is>
          <t>2026-08-01T18:38:25.468461Z</t>
        </is>
      </c>
      <c r="C95" s="24" t="inlineStr">
        <is>
          <t>2026-08-01T20:10Z</t>
        </is>
      </c>
      <c r="D95" s="24" t="inlineStr">
        <is>
          <t>401816348</t>
        </is>
      </c>
      <c r="E95" s="24" t="inlineStr">
        <is>
          <t>MLB</t>
        </is>
      </c>
      <c r="F95" s="24" t="inlineStr">
        <is>
          <t>Chicago White Sox</t>
        </is>
      </c>
      <c r="G95" s="24" t="inlineStr">
        <is>
          <t>Tampa Bay Rays</t>
        </is>
      </c>
      <c r="H95" s="24" t="inlineStr">
        <is>
          <t>spread</t>
        </is>
      </c>
      <c r="I95" s="24" t="inlineStr">
        <is>
          <t>away</t>
        </is>
      </c>
      <c r="J95" s="25" t="n">
        <v>1.5</v>
      </c>
      <c r="K95" s="24" t="inlineStr">
        <is>
          <t>polymarket_us</t>
        </is>
      </c>
      <c r="L95" s="26" t="n">
        <v>-135</v>
      </c>
      <c r="M95" s="27" t="n">
        <v>1.740741</v>
      </c>
      <c r="N95" s="28" t="n">
        <v>0.574468</v>
      </c>
      <c r="O95" s="28" t="n">
        <v>0.556866</v>
      </c>
      <c r="P95" s="28" t="n">
        <v>0.042131</v>
      </c>
      <c r="Q95" s="28" t="n">
        <v>-0.017602</v>
      </c>
      <c r="R95" s="26" t="n">
        <v>16</v>
      </c>
      <c r="S95" s="29" t="n">
        <v>1</v>
      </c>
      <c r="T95" s="24" t="inlineStr">
        <is>
          <t>measured-edge-margin-v1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>
        <v>1.5</v>
      </c>
      <c r="Z95" s="26" t="n">
        <v>-135</v>
      </c>
      <c r="AA95" s="28" t="n">
        <v>0.575</v>
      </c>
      <c r="AB95" s="28" t="n">
        <v>0.000532</v>
      </c>
      <c r="AC95" s="30" t="n">
        <v>0.7407</v>
      </c>
      <c r="AD95" s="24" t="inlineStr">
        <is>
          <t>2026-08-01T23:50:56.898718Z</t>
        </is>
      </c>
      <c r="AE95" s="31" t="inlineStr">
        <is>
          <t>Measured Edge Margin: Trend Engine projected 4.52-4.44; raw selected-side p=0.6782, calibrated p=0.5569.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mlb-cws</t>
        </is>
      </c>
      <c r="AQ95" s="24" t="inlineStr">
        <is>
          <t>Chicago White Sox</t>
        </is>
      </c>
      <c r="AR95" s="24" t="inlineStr">
        <is>
          <t>Chicago White Sox</t>
        </is>
      </c>
      <c r="AS95" s="24" t="inlineStr">
        <is>
          <t>mlb-tb</t>
        </is>
      </c>
      <c r="AT95" s="24" t="inlineStr">
        <is>
          <t>Tampa Bay Rays</t>
        </is>
      </c>
      <c r="AU95" s="24" t="inlineStr">
        <is>
          <t>Tampa Bay Rays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2bc2ce55b0d39a20103f724bbddbde5394909acd49297f52665b596a0ae3ae8b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2bc2ce55b0d39a20103f724bbddbde5394909acd49297f52665b596a0ae3ae8b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2026-08-01T18:38:25.468461Z</t>
        </is>
      </c>
      <c r="BI95" s="24" t="inlineStr">
        <is>
          <t>["same_event","same_team_same_day","same_league_same_day"]</t>
        </is>
      </c>
      <c r="BJ95" s="25" t="n">
        <v>1.5</v>
      </c>
      <c r="BK95" s="26" t="n">
        <v>-135</v>
      </c>
      <c r="BL95" s="27" t="n">
        <v>1.740741</v>
      </c>
      <c r="BM95" s="28" t="n">
        <v>0.574468</v>
      </c>
      <c r="BN95" s="28" t="n">
        <v>0.572139</v>
      </c>
      <c r="BO95" s="28" t="n"/>
      <c r="BP95" s="25" t="n"/>
      <c r="BQ95" s="27" t="n">
        <v>1.740741</v>
      </c>
      <c r="BR95" s="28" t="n">
        <v>0.575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</row>
    <row r="96" ht="36" customHeight="1">
      <c r="A96" s="24" t="inlineStr">
        <is>
          <t>cc33b13ed9b840b9</t>
        </is>
      </c>
      <c r="B96" s="24" t="inlineStr">
        <is>
          <t>2026-08-01T18:38:25.468461Z</t>
        </is>
      </c>
      <c r="C96" s="24" t="inlineStr">
        <is>
          <t>2026-08-01T20:10Z</t>
        </is>
      </c>
      <c r="D96" s="24" t="inlineStr">
        <is>
          <t>401816348</t>
        </is>
      </c>
      <c r="E96" s="24" t="inlineStr">
        <is>
          <t>MLB</t>
        </is>
      </c>
      <c r="F96" s="24" t="inlineStr">
        <is>
          <t>Chicago White Sox</t>
        </is>
      </c>
      <c r="G96" s="24" t="inlineStr">
        <is>
          <t>Tampa Bay Rays</t>
        </is>
      </c>
      <c r="H96" s="24" t="inlineStr">
        <is>
          <t>total</t>
        </is>
      </c>
      <c r="I96" s="24" t="inlineStr">
        <is>
          <t>over</t>
        </is>
      </c>
      <c r="J96" s="25" t="n">
        <v>7.5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0.567639</v>
      </c>
      <c r="P96" s="28" t="n">
        <v>0.042131</v>
      </c>
      <c r="Q96" s="28" t="n">
        <v>0.067639</v>
      </c>
      <c r="R96" s="26" t="n">
        <v>59</v>
      </c>
      <c r="S96" s="29" t="n">
        <v>1.25</v>
      </c>
      <c r="T96" s="24" t="inlineStr">
        <is>
          <t>measured-edge-totals-v1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1</v>
      </c>
      <c r="Y96" s="25" t="n">
        <v>7.5</v>
      </c>
      <c r="Z96" s="26" t="n">
        <v>100</v>
      </c>
      <c r="AA96" s="28" t="n">
        <v>0.5</v>
      </c>
      <c r="AB96" s="28" t="n">
        <v>0</v>
      </c>
      <c r="AC96" s="30" t="n">
        <v>-1.25</v>
      </c>
      <c r="AD96" s="24" t="inlineStr">
        <is>
          <t>2026-08-01T23:50:57.728981Z</t>
        </is>
      </c>
      <c r="AE96" s="31" t="inlineStr">
        <is>
          <t>Measured Edge Totals: Trend Engine projected 4.52-4.44; raw selected-side p=0.5857, calibrated p=0.5676.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mlb-cws</t>
        </is>
      </c>
      <c r="AQ96" s="24" t="inlineStr">
        <is>
          <t>Chicago White Sox</t>
        </is>
      </c>
      <c r="AR96" s="24" t="inlineStr">
        <is>
          <t>Chicago White Sox</t>
        </is>
      </c>
      <c r="AS96" s="24" t="inlineStr">
        <is>
          <t>mlb-tb</t>
        </is>
      </c>
      <c r="AT96" s="24" t="inlineStr">
        <is>
          <t>Tampa Bay Rays</t>
        </is>
      </c>
      <c r="AU96" s="24" t="inlineStr">
        <is>
          <t>Tampa Bay Rays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cbc2c9bf5a9569a49e1902c816d96556d704cf10819ca3a9e927721685757d0b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cbc2c9bf5a9569a49e1902c816d96556d704cf10819ca3a9e927721685757d0b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2026-08-01T18:38:25.468461Z</t>
        </is>
      </c>
      <c r="BI96" s="24" t="inlineStr">
        <is>
          <t>["same_event","same_team_same_day","same_league_same_day"]</t>
        </is>
      </c>
      <c r="BJ96" s="25" t="n">
        <v>7.5</v>
      </c>
      <c r="BK96" s="26" t="n">
        <v>100</v>
      </c>
      <c r="BL96" s="27" t="n">
        <v>2</v>
      </c>
      <c r="BM96" s="28" t="n">
        <v>0.5</v>
      </c>
      <c r="BN96" s="28" t="n">
        <v>0.497512</v>
      </c>
      <c r="BO96" s="28" t="n"/>
      <c r="BP96" s="25" t="n"/>
      <c r="BQ96" s="27" t="n">
        <v>2</v>
      </c>
      <c r="BR96" s="28" t="n">
        <v>0.5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</row>
    <row r="97" ht="36" customHeight="1">
      <c r="A97" s="24" t="inlineStr">
        <is>
          <t>d3fdf8f34a1b4649</t>
        </is>
      </c>
      <c r="B97" s="24" t="inlineStr">
        <is>
          <t>2026-08-01T18:38:25.468461Z</t>
        </is>
      </c>
      <c r="C97" s="24" t="inlineStr">
        <is>
          <t>2026-08-01T20:10Z</t>
        </is>
      </c>
      <c r="D97" s="24" t="inlineStr">
        <is>
          <t>401816349</t>
        </is>
      </c>
      <c r="E97" s="24" t="inlineStr">
        <is>
          <t>MLB</t>
        </is>
      </c>
      <c r="F97" s="24" t="inlineStr">
        <is>
          <t>Miami Marlins</t>
        </is>
      </c>
      <c r="G97" s="24" t="inlineStr">
        <is>
          <t>New York Mets</t>
        </is>
      </c>
      <c r="H97" s="24" t="inlineStr">
        <is>
          <t>spread</t>
        </is>
      </c>
      <c r="I97" s="24" t="inlineStr">
        <is>
          <t>away</t>
        </is>
      </c>
      <c r="J97" s="25" t="n">
        <v>1.5</v>
      </c>
      <c r="K97" s="24" t="inlineStr">
        <is>
          <t>polymarket_us</t>
        </is>
      </c>
      <c r="L97" s="26" t="n">
        <v>-170</v>
      </c>
      <c r="M97" s="27" t="n">
        <v>1.588235</v>
      </c>
      <c r="N97" s="28" t="n">
        <v>0.62963</v>
      </c>
      <c r="O97" s="28" t="n">
        <v>0.544015</v>
      </c>
      <c r="P97" s="28" t="n">
        <v>0.05172</v>
      </c>
      <c r="Q97" s="28" t="n">
        <v>-0.085615</v>
      </c>
      <c r="R97" s="26" t="n">
        <v>0</v>
      </c>
      <c r="S97" s="29" t="n">
        <v>1</v>
      </c>
      <c r="T97" s="24" t="inlineStr">
        <is>
          <t>measured-edge-margin-v1</t>
        </is>
      </c>
      <c r="U97" s="24" t="inlineStr">
        <is>
          <t>settled</t>
        </is>
      </c>
      <c r="V97" s="24" t="inlineStr">
        <is>
          <t>win</t>
        </is>
      </c>
      <c r="W97" s="26" t="n">
        <v>6</v>
      </c>
      <c r="X97" s="26" t="n">
        <v>2</v>
      </c>
      <c r="Y97" s="25" t="n">
        <v>1.5</v>
      </c>
      <c r="Z97" s="26" t="n">
        <v>-170</v>
      </c>
      <c r="AA97" s="28" t="n">
        <v>0.63</v>
      </c>
      <c r="AB97" s="28" t="n">
        <v>0.00037</v>
      </c>
      <c r="AC97" s="30" t="n">
        <v>0.5881999999999999</v>
      </c>
      <c r="AD97" s="24" t="inlineStr">
        <is>
          <t>2026-08-01T23:50:58.540283Z</t>
        </is>
      </c>
      <c r="AE97" s="31" t="inlineStr">
        <is>
          <t>Measured Edge Margin: Trend Engine projected 4.21-4.73; raw selected-side p=0.6128, calibrated p=0.5440.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mlb-mia</t>
        </is>
      </c>
      <c r="AQ97" s="24" t="inlineStr">
        <is>
          <t>Miami Marlins</t>
        </is>
      </c>
      <c r="AR97" s="24" t="inlineStr">
        <is>
          <t>Miami Marlins</t>
        </is>
      </c>
      <c r="AS97" s="24" t="inlineStr">
        <is>
          <t>mlb-nym</t>
        </is>
      </c>
      <c r="AT97" s="24" t="inlineStr">
        <is>
          <t>New York Mets</t>
        </is>
      </c>
      <c r="AU97" s="24" t="inlineStr">
        <is>
          <t>New York Mets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2bc2ce55b0d39a20103f724bbddbde5394909acd49297f52665b596a0ae3ae8b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2bc2ce55b0d39a20103f724bbddbde5394909acd49297f52665b596a0ae3ae8b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2026-08-01T18:38:25.468461Z</t>
        </is>
      </c>
      <c r="BI97" s="24" t="inlineStr">
        <is>
          <t>["same_event","same_team_same_day","same_league_same_day"]</t>
        </is>
      </c>
      <c r="BJ97" s="25" t="n">
        <v>1.5</v>
      </c>
      <c r="BK97" s="26" t="n">
        <v>-170</v>
      </c>
      <c r="BL97" s="27" t="n">
        <v>1.588235</v>
      </c>
      <c r="BM97" s="28" t="n">
        <v>0.62963</v>
      </c>
      <c r="BN97" s="28" t="n">
        <v>0.626866</v>
      </c>
      <c r="BO97" s="28" t="n"/>
      <c r="BP97" s="25" t="n"/>
      <c r="BQ97" s="27" t="n">
        <v>1.588235</v>
      </c>
      <c r="BR97" s="28" t="n">
        <v>0.63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</row>
    <row r="98" ht="36" customHeight="1">
      <c r="A98" s="24" t="inlineStr">
        <is>
          <t>31fc43af9c9848fa</t>
        </is>
      </c>
      <c r="B98" s="24" t="inlineStr">
        <is>
          <t>2026-08-01T18:38:25.468461Z</t>
        </is>
      </c>
      <c r="C98" s="24" t="inlineStr">
        <is>
          <t>2026-08-01T20:10Z</t>
        </is>
      </c>
      <c r="D98" s="24" t="inlineStr">
        <is>
          <t>401816349</t>
        </is>
      </c>
      <c r="E98" s="24" t="inlineStr">
        <is>
          <t>MLB</t>
        </is>
      </c>
      <c r="F98" s="24" t="inlineStr">
        <is>
          <t>Miami Marlins</t>
        </is>
      </c>
      <c r="G98" s="24" t="inlineStr">
        <is>
          <t>New York Mets</t>
        </is>
      </c>
      <c r="H98" s="24" t="inlineStr">
        <is>
          <t>total</t>
        </is>
      </c>
      <c r="I98" s="24" t="inlineStr">
        <is>
          <t>over</t>
        </is>
      </c>
      <c r="J98" s="25" t="n">
        <v>8.5</v>
      </c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0.488139</v>
      </c>
      <c r="P98" s="28" t="n">
        <v>0.05172</v>
      </c>
      <c r="Q98" s="28" t="n">
        <v>-0.061411</v>
      </c>
      <c r="R98" s="26" t="n">
        <v>0</v>
      </c>
      <c r="S98" s="29" t="n">
        <v>1</v>
      </c>
      <c r="T98" s="24" t="inlineStr">
        <is>
          <t>measured-edge-totals-v1</t>
        </is>
      </c>
      <c r="U98" s="24" t="inlineStr">
        <is>
          <t>settled</t>
        </is>
      </c>
      <c r="V98" s="24" t="inlineStr">
        <is>
          <t>loss</t>
        </is>
      </c>
      <c r="W98" s="26" t="n">
        <v>6</v>
      </c>
      <c r="X98" s="26" t="n">
        <v>2</v>
      </c>
      <c r="Y98" s="25" t="n">
        <v>8.5</v>
      </c>
      <c r="Z98" s="26" t="n">
        <v>-122</v>
      </c>
      <c r="AA98" s="28" t="n">
        <v>0.55</v>
      </c>
      <c r="AB98" s="28" t="n">
        <v>0.00045</v>
      </c>
      <c r="AC98" s="30" t="n">
        <v>-1</v>
      </c>
      <c r="AD98" s="24" t="inlineStr">
        <is>
          <t>2026-08-01T23:50:59.262224Z</t>
        </is>
      </c>
      <c r="AE98" s="31" t="inlineStr">
        <is>
          <t>Measured Edge Totals: Trend Engine projected 4.21-4.73; raw selected-side p=0.5037, calibrated p=0.4881.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mlb-mia</t>
        </is>
      </c>
      <c r="AQ98" s="24" t="inlineStr">
        <is>
          <t>Miami Marlins</t>
        </is>
      </c>
      <c r="AR98" s="24" t="inlineStr">
        <is>
          <t>Miami Marlins</t>
        </is>
      </c>
      <c r="AS98" s="24" t="inlineStr">
        <is>
          <t>mlb-nym</t>
        </is>
      </c>
      <c r="AT98" s="24" t="inlineStr">
        <is>
          <t>New York Mets</t>
        </is>
      </c>
      <c r="AU98" s="24" t="inlineStr">
        <is>
          <t>New York Mets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cbc2c9bf5a9569a49e1902c816d96556d704cf10819ca3a9e927721685757d0b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cbc2c9bf5a9569a49e1902c816d96556d704cf10819ca3a9e927721685757d0b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2026-08-01T18:38:25.468461Z</t>
        </is>
      </c>
      <c r="BI98" s="24" t="inlineStr">
        <is>
          <t>["same_event","same_team_same_day","same_league_same_day"]</t>
        </is>
      </c>
      <c r="BJ98" s="25" t="n">
        <v>8.5</v>
      </c>
      <c r="BK98" s="26" t="n">
        <v>-122</v>
      </c>
      <c r="BL98" s="27" t="n">
        <v>1.819672</v>
      </c>
      <c r="BM98" s="28" t="n">
        <v>0.54955</v>
      </c>
      <c r="BN98" s="28" t="n">
        <v>0.547264</v>
      </c>
      <c r="BO98" s="28" t="n"/>
      <c r="BP98" s="25" t="n"/>
      <c r="BQ98" s="27" t="n">
        <v>1.819672</v>
      </c>
      <c r="BR98" s="28" t="n">
        <v>0.55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</row>
    <row r="99" ht="36" customHeight="1">
      <c r="A99" s="24" t="inlineStr">
        <is>
          <t>ec83628205ea4fed</t>
        </is>
      </c>
      <c r="B99" s="24" t="inlineStr">
        <is>
          <t>2026-08-01T18:38:25.468461Z</t>
        </is>
      </c>
      <c r="C99" s="24" t="inlineStr">
        <is>
          <t>2026-08-01T20:10Z</t>
        </is>
      </c>
      <c r="D99" s="24" t="inlineStr">
        <is>
          <t>401816360</t>
        </is>
      </c>
      <c r="E99" s="24" t="inlineStr">
        <is>
          <t>MLB</t>
        </is>
      </c>
      <c r="F99" s="24" t="inlineStr">
        <is>
          <t>Minnesota Twins</t>
        </is>
      </c>
      <c r="G99" s="24" t="inlineStr">
        <is>
          <t>Seattle Mariners</t>
        </is>
      </c>
      <c r="H99" s="24" t="inlineStr">
        <is>
          <t>spread</t>
        </is>
      </c>
      <c r="I99" s="24" t="inlineStr">
        <is>
          <t>away</t>
        </is>
      </c>
      <c r="J99" s="25" t="n">
        <v>1.5</v>
      </c>
      <c r="K99" s="24" t="inlineStr">
        <is>
          <t>polymarket_us</t>
        </is>
      </c>
      <c r="L99" s="26" t="n">
        <v>-144</v>
      </c>
      <c r="M99" s="27" t="n">
        <v>1.694444</v>
      </c>
      <c r="N99" s="28" t="n">
        <v>0.590164</v>
      </c>
      <c r="O99" s="28" t="n">
        <v>0.548643</v>
      </c>
      <c r="P99" s="28" t="n">
        <v>0.042131</v>
      </c>
      <c r="Q99" s="28" t="n">
        <v>-0.041521</v>
      </c>
      <c r="R99" s="26" t="n">
        <v>4</v>
      </c>
      <c r="S99" s="29" t="n">
        <v>1</v>
      </c>
      <c r="T99" s="24" t="inlineStr">
        <is>
          <t>measured-edge-margin-v1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>
        <v>1.5</v>
      </c>
      <c r="Z99" s="26" t="n">
        <v>-144</v>
      </c>
      <c r="AA99" s="28" t="n">
        <v>0.59</v>
      </c>
      <c r="AB99" s="28" t="n">
        <v>-0.000164</v>
      </c>
      <c r="AC99" s="30" t="n">
        <v>0.6944</v>
      </c>
      <c r="AD99" s="24" t="inlineStr">
        <is>
          <t>2026-08-01T23:50:59.981913Z</t>
        </is>
      </c>
      <c r="AE99" s="31" t="inlineStr">
        <is>
          <t>Measured Edge Margin: Trend Engine projected 4.36-4.68; raw selected-side p=0.6363, calibrated p=0.5486.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mlb-min</t>
        </is>
      </c>
      <c r="AQ99" s="24" t="inlineStr">
        <is>
          <t>Minnesota Twins</t>
        </is>
      </c>
      <c r="AR99" s="24" t="inlineStr">
        <is>
          <t>Minnesota Twins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2bc2ce55b0d39a20103f724bbddbde5394909acd49297f52665b596a0ae3ae8b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2bc2ce55b0d39a20103f724bbddbde5394909acd49297f52665b596a0ae3ae8b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2026-08-01T18:38:25.468461Z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-144</v>
      </c>
      <c r="BL99" s="27" t="n">
        <v>1.694444</v>
      </c>
      <c r="BM99" s="28" t="n">
        <v>0.590164</v>
      </c>
      <c r="BN99" s="28" t="n">
        <v>0.5870649999999999</v>
      </c>
      <c r="BO99" s="28" t="n"/>
      <c r="BP99" s="25" t="n"/>
      <c r="BQ99" s="27" t="n">
        <v>1.694444</v>
      </c>
      <c r="BR99" s="28" t="n">
        <v>0.59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</row>
    <row r="100" ht="36" customHeight="1">
      <c r="A100" s="24" t="inlineStr">
        <is>
          <t>21428e43c77d4c5e</t>
        </is>
      </c>
      <c r="B100" s="24" t="inlineStr">
        <is>
          <t>2026-08-01T18:38:25.468461Z</t>
        </is>
      </c>
      <c r="C100" s="24" t="inlineStr">
        <is>
          <t>2026-08-01T20:10Z</t>
        </is>
      </c>
      <c r="D100" s="24" t="inlineStr">
        <is>
          <t>401816360</t>
        </is>
      </c>
      <c r="E100" s="24" t="inlineStr">
        <is>
          <t>MLB</t>
        </is>
      </c>
      <c r="F100" s="24" t="inlineStr">
        <is>
          <t>Minnesota Twins</t>
        </is>
      </c>
      <c r="G100" s="24" t="inlineStr">
        <is>
          <t>Seattle Mariners</t>
        </is>
      </c>
      <c r="H100" s="24" t="inlineStr">
        <is>
          <t>total</t>
        </is>
      </c>
      <c r="I100" s="24" t="inlineStr">
        <is>
          <t>over</t>
        </is>
      </c>
      <c r="J100" s="25" t="n">
        <v>7.5</v>
      </c>
      <c r="K100" s="24" t="inlineStr">
        <is>
          <t>polymarket_us</t>
        </is>
      </c>
      <c r="L100" s="26" t="n">
        <v>117</v>
      </c>
      <c r="M100" s="27" t="n">
        <v>2.17</v>
      </c>
      <c r="N100" s="28" t="n">
        <v>0.460829</v>
      </c>
      <c r="O100" s="28" t="n">
        <v>0.5787949999999999</v>
      </c>
      <c r="P100" s="28" t="n">
        <v>0.042131</v>
      </c>
      <c r="Q100" s="28" t="n">
        <v>0.117966</v>
      </c>
      <c r="R100" s="26" t="n">
        <v>84</v>
      </c>
      <c r="S100" s="29" t="n">
        <v>1.25</v>
      </c>
      <c r="T100" s="24" t="inlineStr">
        <is>
          <t>measured-edge-totals-v1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4</v>
      </c>
      <c r="Y100" s="25" t="n">
        <v>7.5</v>
      </c>
      <c r="Z100" s="26" t="n">
        <v>117</v>
      </c>
      <c r="AA100" s="28" t="n">
        <v>0.46</v>
      </c>
      <c r="AB100" s="28" t="n">
        <v>-0.000829</v>
      </c>
      <c r="AC100" s="30" t="n">
        <v>-1.25</v>
      </c>
      <c r="AD100" s="24" t="inlineStr">
        <is>
          <t>2026-08-01T23:51:00.708985Z</t>
        </is>
      </c>
      <c r="AE100" s="31" t="inlineStr">
        <is>
          <t>Measured Edge Totals: Trend Engine projected 4.36-4.68; raw selected-side p=0.5971, calibrated p=0.5788.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mlb-min</t>
        </is>
      </c>
      <c r="AQ100" s="24" t="inlineStr">
        <is>
          <t>Minnesota Twins</t>
        </is>
      </c>
      <c r="AR100" s="24" t="inlineStr">
        <is>
          <t>Minnesota Twins</t>
        </is>
      </c>
      <c r="AS100" s="24" t="inlineStr">
        <is>
          <t>mlb-sea</t>
        </is>
      </c>
      <c r="AT100" s="24" t="inlineStr">
        <is>
          <t>Seattle Mariners</t>
        </is>
      </c>
      <c r="AU100" s="24" t="inlineStr">
        <is>
          <t>Seattle Mariners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cbc2c9bf5a9569a49e1902c816d96556d704cf10819ca3a9e927721685757d0b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cbc2c9bf5a9569a49e1902c816d96556d704cf10819ca3a9e927721685757d0b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2026-08-01T18:38:25.468461Z</t>
        </is>
      </c>
      <c r="BI100" s="24" t="inlineStr">
        <is>
          <t>["same_event","same_team_same_day","same_league_same_day"]</t>
        </is>
      </c>
      <c r="BJ100" s="25" t="n">
        <v>7.5</v>
      </c>
      <c r="BK100" s="26" t="n">
        <v>117</v>
      </c>
      <c r="BL100" s="27" t="n">
        <v>2.17</v>
      </c>
      <c r="BM100" s="28" t="n">
        <v>0.460829</v>
      </c>
      <c r="BN100" s="28" t="n">
        <v>0.457711</v>
      </c>
      <c r="BO100" s="28" t="n"/>
      <c r="BP100" s="25" t="n"/>
      <c r="BQ100" s="27" t="n">
        <v>2.17</v>
      </c>
      <c r="BR100" s="28" t="n">
        <v>0.46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</row>
    <row r="101" ht="36" customHeight="1">
      <c r="A101" s="24" t="inlineStr">
        <is>
          <t>2469e3d27f3d4837</t>
        </is>
      </c>
      <c r="B101" s="24" t="inlineStr">
        <is>
          <t>2026-08-01T20:15:07.885436Z</t>
        </is>
      </c>
      <c r="C101" s="24" t="inlineStr">
        <is>
          <t>2026-08-01T18:40:00-0400</t>
        </is>
      </c>
      <c r="D101" s="24" t="inlineStr">
        <is>
          <t>401816351</t>
        </is>
      </c>
      <c r="E101" s="24" t="inlineStr">
        <is>
          <t>MLB</t>
        </is>
      </c>
      <c r="F101" s="24" t="inlineStr">
        <is>
          <t>Pittsburgh Pirates</t>
        </is>
      </c>
      <c r="G101" s="24" t="inlineStr">
        <is>
          <t>Cincinnati Reds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0.514401</v>
      </c>
      <c r="P101" s="28" t="n"/>
      <c r="Q101" s="28" t="n">
        <v>-0.016115</v>
      </c>
      <c r="R101" s="26" t="n">
        <v>14</v>
      </c>
      <c r="S101" s="29" t="n">
        <v>1</v>
      </c>
      <c r="T101" s="24" t="inlineStr">
        <is>
          <t>mlb-elo-trend-lr-v7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1</v>
      </c>
      <c r="Y101" s="25" t="n"/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2026-08-02T03:25:53.630797Z</t>
        </is>
      </c>
      <c r="AE101" s="31" t="inlineStr">
        <is>
          <t>Learned LR call at threshold 0.6242; executable ask 0.5300 (aec-mlb-pit-cin-2026-08-01); model edge vs ask -0.0156.</t>
        </is>
      </c>
      <c r="AF101" s="31" t="inlineStr">
        <is>
          <t>Learned model; shadow-qualified via operator override.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mlb-pit</t>
        </is>
      </c>
      <c r="AQ101" s="24" t="inlineStr">
        <is>
          <t>Pittsburgh Pirates</t>
        </is>
      </c>
      <c r="AR101" s="24" t="inlineStr">
        <is>
          <t>Pittsburgh Pirates</t>
        </is>
      </c>
      <c r="AS101" s="24" t="inlineStr">
        <is>
          <t>mlb-cin</t>
        </is>
      </c>
      <c r="AT101" s="24" t="inlineStr">
        <is>
          <t>Cincinnati Reds</t>
        </is>
      </c>
      <c r="AU101" s="24" t="inlineStr">
        <is>
          <t>Cincinnati Reds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464eef695bfbbdaa819ec6f5e4c5bd1068ed20b92915fb2677220ae91e20d8b6</t>
        </is>
      </c>
      <c r="BB101" s="24" t="inlineStr">
        <is>
          <t>learned_lr</t>
        </is>
      </c>
      <c r="BC101" s="24" t="inlineStr">
        <is>
          <t>mlb-elo-trend-lr-v7</t>
        </is>
      </c>
      <c r="BD101" s="24" t="inlineStr">
        <is>
          <t>464eef695bfbbdaa819ec6f5e4c5bd1068ed20b92915fb2677220ae91e20d8b6</t>
        </is>
      </c>
      <c r="BE101" s="24" t="inlineStr">
        <is>
          <t>8c1940db78503612</t>
        </is>
      </c>
      <c r="BF101" s="24" t="inlineStr">
        <is>
          <t>1</t>
        </is>
      </c>
      <c r="BG101" s="24" t="inlineStr">
        <is>
          <t>mlb-elo-trend-lr-v7</t>
        </is>
      </c>
      <c r="BH101" s="24" t="inlineStr">
        <is>
          <t>2026-08-01T20:14:06.422794Z</t>
        </is>
      </c>
      <c r="BI101" s="24" t="inlineStr">
        <is>
          <t>["same_event","same_team_same_day","same_league_same_day"]</t>
        </is>
      </c>
      <c r="BJ101" s="25" t="n"/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inlineStr">
        <is>
          <t>0.4970624032</t>
        </is>
      </c>
      <c r="CD101" s="24" t="inlineStr">
        <is>
          <t>1.00651</t>
        </is>
      </c>
      <c r="CE101" s="24" t="inlineStr">
        <is>
          <t>1.036</t>
        </is>
      </c>
      <c r="CF101" s="24" t="inlineStr">
        <is>
          <t>1.0084</t>
        </is>
      </c>
      <c r="CG101" s="24" t="inlineStr">
        <is>
          <t>-0.6</t>
        </is>
      </c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</row>
    <row r="102" ht="36" customHeight="1">
      <c r="A102" s="24" t="inlineStr">
        <is>
          <t>bdb8ee06112d422a</t>
        </is>
      </c>
      <c r="B102" s="24" t="inlineStr">
        <is>
          <t>2026-08-01T20:15:07.885436Z</t>
        </is>
      </c>
      <c r="C102" s="24" t="inlineStr">
        <is>
          <t>2026-08-01T19:05:00-0400</t>
        </is>
      </c>
      <c r="D102" s="24" t="inlineStr">
        <is>
          <t>401816350</t>
        </is>
      </c>
      <c r="E102" s="24" t="inlineStr">
        <is>
          <t>MLB</t>
        </is>
      </c>
      <c r="F102" s="24" t="inlineStr">
        <is>
          <t>Philadelphia Phillies</t>
        </is>
      </c>
      <c r="G102" s="24" t="inlineStr">
        <is>
          <t>Baltimore Orioles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1.724638</v>
      </c>
      <c r="N102" s="28" t="n">
        <v>0.579832</v>
      </c>
      <c r="O102" s="28" t="n">
        <v>0.513137</v>
      </c>
      <c r="P102" s="28" t="n"/>
      <c r="Q102" s="28" t="n">
        <v>-0.066695</v>
      </c>
      <c r="R102" s="26" t="n">
        <v>0</v>
      </c>
      <c r="S102" s="29" t="n">
        <v>1</v>
      </c>
      <c r="T102" s="24" t="inlineStr">
        <is>
          <t>mlb-elo-trend-lr-v7</t>
        </is>
      </c>
      <c r="U102" s="24" t="inlineStr">
        <is>
          <t>settled</t>
        </is>
      </c>
      <c r="V102" s="24" t="inlineStr">
        <is>
          <t>win</t>
        </is>
      </c>
      <c r="W102" s="26" t="n">
        <v>5</v>
      </c>
      <c r="X102" s="26" t="n">
        <v>0</v>
      </c>
      <c r="Y102" s="25" t="n"/>
      <c r="Z102" s="26" t="n">
        <v>-138</v>
      </c>
      <c r="AA102" s="28" t="n">
        <v>0.58</v>
      </c>
      <c r="AB102" s="28" t="n">
        <v>0.000168</v>
      </c>
      <c r="AC102" s="30" t="n">
        <v>0.7246</v>
      </c>
      <c r="AD102" s="24" t="inlineStr">
        <is>
          <t>2026-08-02T03:25:54.081558Z</t>
        </is>
      </c>
      <c r="AE102" s="31" t="inlineStr">
        <is>
          <t>Learned LR call at threshold 0.6242; executable ask 0.5800 (aec-mlb-phi-bal-2026-08-01); model edge vs ask -0.0669.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mlb-phi</t>
        </is>
      </c>
      <c r="AQ102" s="24" t="inlineStr">
        <is>
          <t>Philadelphia Phillies</t>
        </is>
      </c>
      <c r="AR102" s="24" t="inlineStr">
        <is>
          <t>Philadelphia Phillies</t>
        </is>
      </c>
      <c r="AS102" s="24" t="inlineStr">
        <is>
          <t>mlb-bal</t>
        </is>
      </c>
      <c r="AT102" s="24" t="inlineStr">
        <is>
          <t>Baltimore Orioles</t>
        </is>
      </c>
      <c r="AU102" s="24" t="inlineStr">
        <is>
          <t>Baltimore Orioles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464eef695bfbbdaa819ec6f5e4c5bd1068ed20b92915fb2677220ae91e20d8b6</t>
        </is>
      </c>
      <c r="BB102" s="24" t="inlineStr">
        <is>
          <t>learned_lr</t>
        </is>
      </c>
      <c r="BC102" s="24" t="inlineStr">
        <is>
          <t>mlb-elo-trend-lr-v7</t>
        </is>
      </c>
      <c r="BD102" s="24" t="inlineStr">
        <is>
          <t>464eef695bfbbdaa819ec6f5e4c5bd1068ed20b92915fb2677220ae91e20d8b6</t>
        </is>
      </c>
      <c r="BE102" s="24" t="inlineStr">
        <is>
          <t>d586eb6336d4b039</t>
        </is>
      </c>
      <c r="BF102" s="24" t="inlineStr">
        <is>
          <t>1</t>
        </is>
      </c>
      <c r="BG102" s="24" t="inlineStr">
        <is>
          <t>mlb-elo-trend-lr-v7</t>
        </is>
      </c>
      <c r="BH102" s="24" t="inlineStr">
        <is>
          <t>2026-08-01T20:14:07.264311Z</t>
        </is>
      </c>
      <c r="BI102" s="24" t="inlineStr">
        <is>
          <t>["same_event","same_team_same_day","same_league_same_day"]</t>
        </is>
      </c>
      <c r="BJ102" s="25" t="n"/>
      <c r="BK102" s="26" t="n">
        <v>-138</v>
      </c>
      <c r="BL102" s="27" t="n">
        <v>1.724638</v>
      </c>
      <c r="BM102" s="28" t="n">
        <v>0.579832</v>
      </c>
      <c r="BN102" s="28" t="n">
        <v>0.577114</v>
      </c>
      <c r="BO102" s="28" t="n"/>
      <c r="BP102" s="25" t="n"/>
      <c r="BQ102" s="27" t="n">
        <v>1.724638</v>
      </c>
      <c r="BR102" s="28" t="n">
        <v>0.58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0.4932721792</t>
        </is>
      </c>
      <c r="CD102" s="24" t="inlineStr">
        <is>
          <t>1.020825</t>
        </is>
      </c>
      <c r="CE102" s="24" t="inlineStr">
        <is>
          <t>1.03</t>
        </is>
      </c>
      <c r="CF102" s="24" t="inlineStr">
        <is>
          <t>1.0145</t>
        </is>
      </c>
      <c r="CG102" s="24" t="inlineStr">
        <is>
          <t>1.6</t>
        </is>
      </c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</row>
    <row r="103" ht="36" customHeight="1">
      <c r="A103" s="24" t="inlineStr">
        <is>
          <t>9afb3d9535a94f55</t>
        </is>
      </c>
      <c r="B103" s="24" t="inlineStr">
        <is>
          <t>2026-08-01T20:15:07.885436Z</t>
        </is>
      </c>
      <c r="C103" s="24" t="inlineStr">
        <is>
          <t>2026-08-01T19:10:00-0400</t>
        </is>
      </c>
      <c r="D103" s="24" t="inlineStr">
        <is>
          <t>401816355</t>
        </is>
      </c>
      <c r="E103" s="24" t="inlineStr">
        <is>
          <t>MLB</t>
        </is>
      </c>
      <c r="F103" s="24" t="inlineStr">
        <is>
          <t>Texas Rangers</t>
        </is>
      </c>
      <c r="G103" s="24" t="inlineStr">
        <is>
          <t>Houston Astros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0.542652</v>
      </c>
      <c r="P103" s="28" t="n"/>
      <c r="Q103" s="28" t="n">
        <v>0.07753599999999999</v>
      </c>
      <c r="R103" s="26" t="n">
        <v>60</v>
      </c>
      <c r="S103" s="29" t="n">
        <v>1</v>
      </c>
      <c r="T103" s="24" t="inlineStr">
        <is>
          <t>mlb-elo-trend-lr-v7</t>
        </is>
      </c>
      <c r="U103" s="24" t="inlineStr">
        <is>
          <t>settled</t>
        </is>
      </c>
      <c r="V103" s="24" t="inlineStr">
        <is>
          <t>win</t>
        </is>
      </c>
      <c r="W103" s="26" t="n">
        <v>4</v>
      </c>
      <c r="X103" s="26" t="n">
        <v>5</v>
      </c>
      <c r="Y103" s="25" t="n"/>
      <c r="Z103" s="26" t="n">
        <v>115</v>
      </c>
      <c r="AA103" s="28" t="n">
        <v>0.465</v>
      </c>
      <c r="AB103" s="28" t="n">
        <v>-0.000116</v>
      </c>
      <c r="AC103" s="30" t="n">
        <v>1.15</v>
      </c>
      <c r="AD103" s="24" t="inlineStr">
        <is>
          <t>2026-08-02T03:25:54.632517Z</t>
        </is>
      </c>
      <c r="AE103" s="31" t="inlineStr">
        <is>
          <t>Learned LR call at threshold 0.6242; executable ask 0.4650 (aec-mlb-tex-hou-2026-08-01); model edge vs ask +0.0777.</t>
        </is>
      </c>
      <c r="AF103" s="31" t="inlineStr">
        <is>
          <t>Learned model; shadow-qualified via operator override.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mlb-tex</t>
        </is>
      </c>
      <c r="AQ103" s="24" t="inlineStr">
        <is>
          <t>Texas Rangers</t>
        </is>
      </c>
      <c r="AR103" s="24" t="inlineStr">
        <is>
          <t>Texas Rangers</t>
        </is>
      </c>
      <c r="AS103" s="24" t="inlineStr">
        <is>
          <t>mlb-hou</t>
        </is>
      </c>
      <c r="AT103" s="24" t="inlineStr">
        <is>
          <t>Houston Astros</t>
        </is>
      </c>
      <c r="AU103" s="24" t="inlineStr">
        <is>
          <t>Houston Astros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464eef695bfbbdaa819ec6f5e4c5bd1068ed20b92915fb2677220ae91e20d8b6</t>
        </is>
      </c>
      <c r="BB103" s="24" t="inlineStr">
        <is>
          <t>learned_lr</t>
        </is>
      </c>
      <c r="BC103" s="24" t="inlineStr">
        <is>
          <t>mlb-elo-trend-lr-v7</t>
        </is>
      </c>
      <c r="BD103" s="24" t="inlineStr">
        <is>
          <t>464eef695bfbbdaa819ec6f5e4c5bd1068ed20b92915fb2677220ae91e20d8b6</t>
        </is>
      </c>
      <c r="BE103" s="24" t="inlineStr">
        <is>
          <t>f2965fa6c6fef7a3</t>
        </is>
      </c>
      <c r="BF103" s="24" t="inlineStr">
        <is>
          <t>1</t>
        </is>
      </c>
      <c r="BG103" s="24" t="inlineStr">
        <is>
          <t>mlb-elo-trend-lr-v7</t>
        </is>
      </c>
      <c r="BH103" s="24" t="inlineStr">
        <is>
          <t>2026-08-01T20:14:08.292559Z</t>
        </is>
      </c>
      <c r="BI103" s="24" t="inlineStr">
        <is>
          <t>["same_event","same_team_same_day","same_league_same_day"]</t>
        </is>
      </c>
      <c r="BJ103" s="25" t="n"/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>
        <v>2.15</v>
      </c>
      <c r="BR103" s="28" t="n">
        <v>0.465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inlineStr">
        <is>
          <t>0.5536392121</t>
        </is>
      </c>
      <c r="CD103" s="24" t="inlineStr">
        <is>
          <t>2.366358</t>
        </is>
      </c>
      <c r="CE103" s="24" t="inlineStr">
        <is>
          <t>0.956</t>
        </is>
      </c>
      <c r="CF103" s="24" t="inlineStr">
        <is>
          <t>1.0</t>
        </is>
      </c>
      <c r="CG103" s="24" t="inlineStr">
        <is>
          <t>0.6</t>
        </is>
      </c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</row>
    <row r="104" ht="36" customHeight="1">
      <c r="A104" s="24" t="inlineStr">
        <is>
          <t>80decdff0e21477d</t>
        </is>
      </c>
      <c r="B104" s="24" t="inlineStr">
        <is>
          <t>2026-08-01T20:15:07.885436Z</t>
        </is>
      </c>
      <c r="C104" s="24" t="inlineStr">
        <is>
          <t>2026-08-01T19:15:00-0400</t>
        </is>
      </c>
      <c r="D104" s="24" t="inlineStr">
        <is>
          <t>401816347</t>
        </is>
      </c>
      <c r="E104" s="24" t="inlineStr">
        <is>
          <t>MLB</t>
        </is>
      </c>
      <c r="F104" s="24" t="inlineStr">
        <is>
          <t>Arizona Diamondbacks</t>
        </is>
      </c>
      <c r="G104" s="24" t="inlineStr">
        <is>
          <t>Cleveland Guardians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-163</v>
      </c>
      <c r="M104" s="27" t="n">
        <v>1.613497</v>
      </c>
      <c r="N104" s="28" t="n">
        <v>0.619772</v>
      </c>
      <c r="O104" s="28" t="n">
        <v>0.534072</v>
      </c>
      <c r="P104" s="28" t="n"/>
      <c r="Q104" s="28" t="n">
        <v>-0.0857</v>
      </c>
      <c r="R104" s="26" t="n">
        <v>0</v>
      </c>
      <c r="S104" s="29" t="n">
        <v>1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12</v>
      </c>
      <c r="X104" s="26" t="n">
        <v>8</v>
      </c>
      <c r="Y104" s="25" t="n"/>
      <c r="Z104" s="26" t="n">
        <v>-163</v>
      </c>
      <c r="AA104" s="28" t="n">
        <v>0.62</v>
      </c>
      <c r="AB104" s="28" t="n">
        <v>0.000228</v>
      </c>
      <c r="AC104" s="30" t="n">
        <v>-1</v>
      </c>
      <c r="AD104" s="24" t="inlineStr">
        <is>
          <t>2026-08-02T03:25:55.198220Z</t>
        </is>
      </c>
      <c r="AE104" s="31" t="inlineStr">
        <is>
          <t>Learned LR call at threshold 0.6242; executable ask 0.6200 (aec-mlb-az-cle-2026-08-01); model edge vs ask -0.0859.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mlb-ari</t>
        </is>
      </c>
      <c r="AQ104" s="24" t="inlineStr">
        <is>
          <t>Arizona Diamondbacks</t>
        </is>
      </c>
      <c r="AR104" s="24" t="inlineStr">
        <is>
          <t>Arizona Diamondbacks</t>
        </is>
      </c>
      <c r="AS104" s="24" t="inlineStr">
        <is>
          <t>mlb-cle</t>
        </is>
      </c>
      <c r="AT104" s="24" t="inlineStr">
        <is>
          <t>Cleveland Guardians</t>
        </is>
      </c>
      <c r="AU104" s="24" t="inlineStr">
        <is>
          <t>Cleveland Guardians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5291b1c09a366ec8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2026-08-01T20:14:10.378899Z</t>
        </is>
      </c>
      <c r="BI104" s="24" t="inlineStr">
        <is>
          <t>["same_event","same_team_same_day","same_league_same_day"]</t>
        </is>
      </c>
      <c r="BJ104" s="25" t="n"/>
      <c r="BK104" s="26" t="n">
        <v>-163</v>
      </c>
      <c r="BL104" s="27" t="n">
        <v>1.613497</v>
      </c>
      <c r="BM104" s="28" t="n">
        <v>0.619772</v>
      </c>
      <c r="BN104" s="28" t="n">
        <v>0.616915</v>
      </c>
      <c r="BO104" s="28" t="n"/>
      <c r="BP104" s="25" t="n"/>
      <c r="BQ104" s="27" t="n">
        <v>1.613497</v>
      </c>
      <c r="BR104" s="28" t="n">
        <v>0.62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0.5245055589</t>
        </is>
      </c>
      <c r="CD104" s="24" t="inlineStr">
        <is>
          <t>-0.916106</t>
        </is>
      </c>
      <c r="CE104" s="24" t="inlineStr">
        <is>
          <t>0.966</t>
        </is>
      </c>
      <c r="CF104" s="24" t="inlineStr">
        <is>
          <t>1.0098</t>
        </is>
      </c>
      <c r="CG104" s="24" t="inlineStr">
        <is>
          <t>-1.6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</row>
    <row r="105" ht="36" customHeight="1">
      <c r="A105" s="24" t="inlineStr">
        <is>
          <t>826ef427778d489b</t>
        </is>
      </c>
      <c r="B105" s="24" t="inlineStr">
        <is>
          <t>2026-08-01T20:15:07.885436Z</t>
        </is>
      </c>
      <c r="C105" s="24" t="inlineStr">
        <is>
          <t>2026-08-01T19:15:00-0400</t>
        </is>
      </c>
      <c r="D105" s="24" t="inlineStr">
        <is>
          <t>401816353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-160</v>
      </c>
      <c r="M105" s="27" t="n">
        <v>1.625</v>
      </c>
      <c r="N105" s="28" t="n">
        <v>0.615385</v>
      </c>
      <c r="O105" s="28" t="n">
        <v>0.6128</v>
      </c>
      <c r="P105" s="28" t="n"/>
      <c r="Q105" s="28" t="n">
        <v>-0.002585</v>
      </c>
      <c r="R105" s="26" t="n">
        <v>20</v>
      </c>
      <c r="S105" s="29" t="n">
        <v>1.5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8</v>
      </c>
      <c r="Y105" s="25" t="n"/>
      <c r="Z105" s="26" t="n">
        <v>-160</v>
      </c>
      <c r="AA105" s="28" t="n">
        <v>0.615</v>
      </c>
      <c r="AB105" s="28" t="n">
        <v>-0.000385</v>
      </c>
      <c r="AC105" s="30" t="n">
        <v>0.9375</v>
      </c>
      <c r="AD105" s="24" t="inlineStr">
        <is>
          <t>2026-08-02T03:25:55.762276Z</t>
        </is>
      </c>
      <c r="AE105" s="31" t="inlineStr">
        <is>
          <t>Learned LR call at threshold 0.6242; executable ask 0.6150 (aec-mlb-wsh-atl-2026-08-01); model edge vs ask -0.0022.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d766ec0b9c7d91f2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2026-08-01T20:14:11.394186Z</t>
        </is>
      </c>
      <c r="BI105" s="24" t="inlineStr">
        <is>
          <t>["same_event","same_team_same_day","same_league_same_day"]</t>
        </is>
      </c>
      <c r="BJ105" s="25" t="n"/>
      <c r="BK105" s="26" t="n">
        <v>-160</v>
      </c>
      <c r="BL105" s="27" t="n">
        <v>1.625</v>
      </c>
      <c r="BM105" s="28" t="n">
        <v>0.615385</v>
      </c>
      <c r="BN105" s="28" t="n">
        <v>0.61194</v>
      </c>
      <c r="BO105" s="28" t="n"/>
      <c r="BP105" s="25" t="n"/>
      <c r="BQ105" s="27" t="n">
        <v>1.625</v>
      </c>
      <c r="BR105" s="28" t="n">
        <v>0.615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0.6266199013</t>
        </is>
      </c>
      <c r="CD105" s="24" t="inlineStr">
        <is>
          <t>0.430565</t>
        </is>
      </c>
      <c r="CE105" s="24" t="inlineStr">
        <is>
          <t>0.929</t>
        </is>
      </c>
      <c r="CF105" s="24" t="inlineStr">
        <is>
          <t>1.0145</t>
        </is>
      </c>
      <c r="CG105" s="24" t="inlineStr">
        <is>
          <t>-0.4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</row>
    <row r="106" ht="36" customHeight="1">
      <c r="A106" s="24" t="inlineStr">
        <is>
          <t>33337a0a2b594340</t>
        </is>
      </c>
      <c r="B106" s="24" t="inlineStr">
        <is>
          <t>2026-08-01T20:15:07.885436Z</t>
        </is>
      </c>
      <c r="C106" s="24" t="inlineStr">
        <is>
          <t>2026-08-01T19:15:00-0400</t>
        </is>
      </c>
      <c r="D106" s="24" t="inlineStr">
        <is>
          <t>401816354</t>
        </is>
      </c>
      <c r="E106" s="24" t="inlineStr">
        <is>
          <t>MLB</t>
        </is>
      </c>
      <c r="F106" s="24" t="inlineStr">
        <is>
          <t>New York Yankees</t>
        </is>
      </c>
      <c r="G106" s="24" t="inlineStr">
        <is>
          <t>Chicago Cubs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-111</v>
      </c>
      <c r="M106" s="27" t="n">
        <v>1.900901</v>
      </c>
      <c r="N106" s="28" t="n">
        <v>0.526066</v>
      </c>
      <c r="O106" s="28" t="n">
        <v>0.546777</v>
      </c>
      <c r="P106" s="28" t="n"/>
      <c r="Q106" s="28" t="n">
        <v>0.020711</v>
      </c>
      <c r="R106" s="26" t="n">
        <v>32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win</t>
        </is>
      </c>
      <c r="W106" s="26" t="n">
        <v>2</v>
      </c>
      <c r="X106" s="26" t="n">
        <v>5</v>
      </c>
      <c r="Y106" s="25" t="n"/>
      <c r="Z106" s="26" t="n">
        <v>-111</v>
      </c>
      <c r="AA106" s="28" t="n">
        <v>0.525</v>
      </c>
      <c r="AB106" s="28" t="n">
        <v>-0.001066</v>
      </c>
      <c r="AC106" s="30" t="n">
        <v>0.9009</v>
      </c>
      <c r="AD106" s="24" t="inlineStr">
        <is>
          <t>2026-08-02T03:25:56.350258Z</t>
        </is>
      </c>
      <c r="AE106" s="31" t="inlineStr">
        <is>
          <t>Learned LR call at threshold 0.6242; executable ask 0.5250 (aec-mlb-nyy-chc-2026-08-01); model edge vs ask +0.0218.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mlb-nyy</t>
        </is>
      </c>
      <c r="AQ106" s="24" t="inlineStr">
        <is>
          <t>New York Yankees</t>
        </is>
      </c>
      <c r="AR106" s="24" t="inlineStr">
        <is>
          <t>New York Yankees</t>
        </is>
      </c>
      <c r="AS106" s="24" t="inlineStr">
        <is>
          <t>mlb-chc</t>
        </is>
      </c>
      <c r="AT106" s="24" t="inlineStr">
        <is>
          <t>Chicago Cubs</t>
        </is>
      </c>
      <c r="AU106" s="24" t="inlineStr">
        <is>
          <t>Chicago Cubs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7cb47d99adfeb29c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2026-08-01T20:14:09.257400Z</t>
        </is>
      </c>
      <c r="BI106" s="24" t="inlineStr">
        <is>
          <t>["same_event","same_team_same_day","same_league_same_day"]</t>
        </is>
      </c>
      <c r="BJ106" s="25" t="n"/>
      <c r="BK106" s="26" t="n">
        <v>-111</v>
      </c>
      <c r="BL106" s="27" t="n">
        <v>1.900901</v>
      </c>
      <c r="BM106" s="28" t="n">
        <v>0.526066</v>
      </c>
      <c r="BN106" s="28" t="n">
        <v>0.522388</v>
      </c>
      <c r="BO106" s="28" t="n"/>
      <c r="BP106" s="25" t="n"/>
      <c r="BQ106" s="27" t="n">
        <v>1.900901</v>
      </c>
      <c r="BR106" s="28" t="n">
        <v>0.525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0.5407844181</t>
        </is>
      </c>
      <c r="CD106" s="24" t="inlineStr">
        <is>
          <t>-0.04604</t>
        </is>
      </c>
      <c r="CE106" s="24" t="inlineStr">
        <is>
          <t>0.986</t>
        </is>
      </c>
      <c r="CF106" s="24" t="inlineStr">
        <is>
          <t>1.0117</t>
        </is>
      </c>
      <c r="CG106" s="24" t="inlineStr">
        <is>
          <t>-0.6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</row>
    <row r="107" ht="36" customHeight="1">
      <c r="A107" s="24" t="inlineStr">
        <is>
          <t>4aa24f315791436a</t>
        </is>
      </c>
      <c r="B107" s="24" t="inlineStr">
        <is>
          <t>2026-08-01T20:15:41.530944Z</t>
        </is>
      </c>
      <c r="C107" s="24" t="inlineStr">
        <is>
          <t>2026-08-01T22:40Z</t>
        </is>
      </c>
      <c r="D107" s="24" t="inlineStr">
        <is>
          <t>401816351</t>
        </is>
      </c>
      <c r="E107" s="24" t="inlineStr">
        <is>
          <t>MLB</t>
        </is>
      </c>
      <c r="F107" s="24" t="inlineStr">
        <is>
          <t>Pittsburgh Pirates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home</t>
        </is>
      </c>
      <c r="J107" s="25" t="n">
        <v>1.5</v>
      </c>
      <c r="K107" s="24" t="inlineStr">
        <is>
          <t>polymarket_us</t>
        </is>
      </c>
      <c r="L107" s="26" t="n">
        <v>-147</v>
      </c>
      <c r="M107" s="27" t="n">
        <v>1.680272</v>
      </c>
      <c r="N107" s="28" t="n">
        <v>0.5951419999999999</v>
      </c>
      <c r="O107" s="28" t="n">
        <v>0.641669</v>
      </c>
      <c r="P107" s="28" t="n">
        <v>0.042131</v>
      </c>
      <c r="Q107" s="28" t="n">
        <v>0.046527</v>
      </c>
      <c r="R107" s="26" t="n">
        <v>48</v>
      </c>
      <c r="S107" s="29" t="n">
        <v>1.75</v>
      </c>
      <c r="T107" s="24" t="inlineStr">
        <is>
          <t>measured-edge-margin-v2</t>
        </is>
      </c>
      <c r="U107" s="24" t="inlineStr">
        <is>
          <t>settled</t>
        </is>
      </c>
      <c r="V107" s="24" t="inlineStr">
        <is>
          <t>loss</t>
        </is>
      </c>
      <c r="W107" s="26" t="n">
        <v>4</v>
      </c>
      <c r="X107" s="26" t="n">
        <v>1</v>
      </c>
      <c r="Y107" s="25" t="n">
        <v>1.5</v>
      </c>
      <c r="Z107" s="26" t="n">
        <v>-147</v>
      </c>
      <c r="AA107" s="28" t="n">
        <v>0.595</v>
      </c>
      <c r="AB107" s="28" t="n">
        <v>-0.000142</v>
      </c>
      <c r="AC107" s="30" t="n">
        <v>-1.75</v>
      </c>
      <c r="AD107" s="24" t="inlineStr">
        <is>
          <t>2026-08-02T03:25:57.031730Z</t>
        </is>
      </c>
      <c r="AE107" s="31" t="inlineStr">
        <is>
          <t>Measured Edge Margin: Trend Engine projected 4.48-5.03; raw selected-side p=0.7158, calibrated p=0.6417.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mlb-pit</t>
        </is>
      </c>
      <c r="AQ107" s="24" t="inlineStr">
        <is>
          <t>Pittsburgh Pirates</t>
        </is>
      </c>
      <c r="AR107" s="24" t="inlineStr">
        <is>
          <t>Pittsburgh Pirates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8360b122264b796b0fb193095cfe4506c7e064e5f3f8c0a659aec41efd08dd25</t>
        </is>
      </c>
      <c r="BB107" s="24" t="inlineStr">
        <is>
          <t>flat_probability_shrinkage_toward_half</t>
        </is>
      </c>
      <c r="BC107" s="24" t="inlineStr">
        <is>
          <t>measured-edge-margin-v2</t>
        </is>
      </c>
      <c r="BD107" s="24" t="inlineStr">
        <is>
          <t>8360b122264b796b0fb193095cfe4506c7e064e5f3f8c0a659aec41efd08dd25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2026-08-01T20:15:41.530944Z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-147</v>
      </c>
      <c r="BL107" s="27" t="n">
        <v>1.680272</v>
      </c>
      <c r="BM107" s="28" t="n">
        <v>0.5951419999999999</v>
      </c>
      <c r="BN107" s="28" t="n">
        <v>0.59204</v>
      </c>
      <c r="BO107" s="28" t="n"/>
      <c r="BP107" s="25" t="n"/>
      <c r="BQ107" s="27" t="n">
        <v>1.680272</v>
      </c>
      <c r="BR107" s="28" t="n">
        <v>0.595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</row>
    <row r="108" ht="36" customHeight="1">
      <c r="A108" s="24" t="inlineStr">
        <is>
          <t>f8042d9d33e049b2</t>
        </is>
      </c>
      <c r="B108" s="24" t="inlineStr">
        <is>
          <t>2026-08-01T20:15:41.530944Z</t>
        </is>
      </c>
      <c r="C108" s="24" t="inlineStr">
        <is>
          <t>2026-08-01T22:40Z</t>
        </is>
      </c>
      <c r="D108" s="24" t="inlineStr">
        <is>
          <t>401816351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over</t>
        </is>
      </c>
      <c r="J108" s="25" t="n">
        <v>8.5</v>
      </c>
      <c r="K108" s="24" t="inlineStr">
        <is>
          <t>polymarket_us</t>
        </is>
      </c>
      <c r="L108" s="26" t="n">
        <v>106</v>
      </c>
      <c r="M108" s="27" t="n">
        <v>2.06</v>
      </c>
      <c r="N108" s="28" t="n">
        <v>0.485437</v>
      </c>
      <c r="O108" s="28" t="n">
        <v>0.529614</v>
      </c>
      <c r="P108" s="28" t="n">
        <v>0.042131</v>
      </c>
      <c r="Q108" s="28" t="n">
        <v>0.044177</v>
      </c>
      <c r="R108" s="26" t="n">
        <v>47</v>
      </c>
      <c r="S108" s="29" t="n">
        <v>1</v>
      </c>
      <c r="T108" s="24" t="inlineStr">
        <is>
          <t>measured-edge-totals-v2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1</v>
      </c>
      <c r="Y108" s="25" t="n">
        <v>8.5</v>
      </c>
      <c r="Z108" s="26" t="n">
        <v>106</v>
      </c>
      <c r="AA108" s="28" t="n">
        <v>0.485</v>
      </c>
      <c r="AB108" s="28" t="n">
        <v>-0.000437</v>
      </c>
      <c r="AC108" s="30" t="n">
        <v>-1</v>
      </c>
      <c r="AD108" s="24" t="inlineStr">
        <is>
          <t>2026-08-02T03:25:57.664534Z</t>
        </is>
      </c>
      <c r="AE108" s="31" t="inlineStr">
        <is>
          <t>Measured Edge Totals: Trend Engine projected 4.48-5.03; raw selected-side p=0.5634, calibrated p=0.5296.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433578016242b27f9c1c7132cc6b5a2bcc7dd1b0234590c12a944455a88e71bd</t>
        </is>
      </c>
      <c r="BB108" s="24" t="inlineStr">
        <is>
          <t>flat_probability_shrinkage_toward_half</t>
        </is>
      </c>
      <c r="BC108" s="24" t="inlineStr">
        <is>
          <t>measured-edge-totals-v2</t>
        </is>
      </c>
      <c r="BD108" s="24" t="inlineStr">
        <is>
          <t>433578016242b27f9c1c7132cc6b5a2bcc7dd1b0234590c12a944455a88e71bd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2026-08-01T20:15:41.530944Z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106</v>
      </c>
      <c r="BL108" s="27" t="n">
        <v>2.06</v>
      </c>
      <c r="BM108" s="28" t="n">
        <v>0.485437</v>
      </c>
      <c r="BN108" s="28" t="n">
        <v>0.482587</v>
      </c>
      <c r="BO108" s="28" t="n"/>
      <c r="BP108" s="25" t="n"/>
      <c r="BQ108" s="27" t="n">
        <v>2.06</v>
      </c>
      <c r="BR108" s="28" t="n">
        <v>0.485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</row>
    <row r="109" ht="36" customHeight="1">
      <c r="A109" s="24" t="inlineStr">
        <is>
          <t>467a3dcd365542d4</t>
        </is>
      </c>
      <c r="B109" s="24" t="inlineStr">
        <is>
          <t>2026-08-01T20:15:41.530944Z</t>
        </is>
      </c>
      <c r="C109" s="24" t="inlineStr">
        <is>
          <t>2026-08-01T23:05Z</t>
        </is>
      </c>
      <c r="D109" s="24" t="inlineStr">
        <is>
          <t>401816350</t>
        </is>
      </c>
      <c r="E109" s="24" t="inlineStr">
        <is>
          <t>MLB</t>
        </is>
      </c>
      <c r="F109" s="24" t="inlineStr">
        <is>
          <t>Philadelphia Phillies</t>
        </is>
      </c>
      <c r="G109" s="24" t="inlineStr">
        <is>
          <t>Baltimore Orioles</t>
        </is>
      </c>
      <c r="H109" s="24" t="inlineStr">
        <is>
          <t>spread</t>
        </is>
      </c>
      <c r="I109" s="24" t="inlineStr">
        <is>
          <t>home</t>
        </is>
      </c>
      <c r="J109" s="25" t="n">
        <v>1.5</v>
      </c>
      <c r="K109" s="24" t="inlineStr">
        <is>
          <t>polymarket_us</t>
        </is>
      </c>
      <c r="L109" s="26" t="n">
        <v>-125</v>
      </c>
      <c r="M109" s="27" t="n">
        <v>1.8</v>
      </c>
      <c r="N109" s="28" t="n">
        <v>0.555556</v>
      </c>
      <c r="O109" s="28" t="n">
        <v>0.634813</v>
      </c>
      <c r="P109" s="28" t="n">
        <v>0.042131</v>
      </c>
      <c r="Q109" s="28" t="n">
        <v>0.07925699999999999</v>
      </c>
      <c r="R109" s="26" t="n">
        <v>64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0</v>
      </c>
      <c r="Y109" s="25" t="n">
        <v>1.5</v>
      </c>
      <c r="Z109" s="26" t="n">
        <v>-125</v>
      </c>
      <c r="AA109" s="28" t="n">
        <v>0.555</v>
      </c>
      <c r="AB109" s="28" t="n">
        <v>-0.000556</v>
      </c>
      <c r="AC109" s="30" t="n">
        <v>-1.5</v>
      </c>
      <c r="AD109" s="24" t="inlineStr">
        <is>
          <t>2026-08-02T03:25:58.270271Z</t>
        </is>
      </c>
      <c r="AE109" s="31" t="inlineStr">
        <is>
          <t>Measured Edge Margin: Trend Engine projected 4.43-4.91; raw selected-side p=0.7054, calibrated p=0.6348.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mlb-phi</t>
        </is>
      </c>
      <c r="AQ109" s="24" t="inlineStr">
        <is>
          <t>Philadelphia Phillies</t>
        </is>
      </c>
      <c r="AR109" s="24" t="inlineStr">
        <is>
          <t>Philadelphia Phillies</t>
        </is>
      </c>
      <c r="AS109" s="24" t="inlineStr">
        <is>
          <t>mlb-bal</t>
        </is>
      </c>
      <c r="AT109" s="24" t="inlineStr">
        <is>
          <t>Baltimore Orioles</t>
        </is>
      </c>
      <c r="AU109" s="24" t="inlineStr">
        <is>
          <t>Baltimore Orioles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2026-08-01T20:15:41.530944Z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-125</v>
      </c>
      <c r="BL109" s="27" t="n">
        <v>1.8</v>
      </c>
      <c r="BM109" s="28" t="n">
        <v>0.555556</v>
      </c>
      <c r="BN109" s="28" t="n">
        <v>0.552239</v>
      </c>
      <c r="BO109" s="28" t="n"/>
      <c r="BP109" s="25" t="n"/>
      <c r="BQ109" s="27" t="n">
        <v>1.8</v>
      </c>
      <c r="BR109" s="28" t="n">
        <v>0.555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</row>
    <row r="110" ht="36" customHeight="1">
      <c r="A110" s="24" t="inlineStr">
        <is>
          <t>524e6e93080f4caf</t>
        </is>
      </c>
      <c r="B110" s="24" t="inlineStr">
        <is>
          <t>2026-08-01T20:15:41.530944Z</t>
        </is>
      </c>
      <c r="C110" s="24" t="inlineStr">
        <is>
          <t>2026-08-01T23:05Z</t>
        </is>
      </c>
      <c r="D110" s="24" t="inlineStr">
        <is>
          <t>401816350</t>
        </is>
      </c>
      <c r="E110" s="24" t="inlineStr">
        <is>
          <t>MLB</t>
        </is>
      </c>
      <c r="F110" s="24" t="inlineStr">
        <is>
          <t>Philadelphia Phillies</t>
        </is>
      </c>
      <c r="G110" s="24" t="inlineStr">
        <is>
          <t>Baltimore Orioles</t>
        </is>
      </c>
      <c r="H110" s="24" t="inlineStr">
        <is>
          <t>total</t>
        </is>
      </c>
      <c r="I110" s="24" t="inlineStr">
        <is>
          <t>over</t>
        </is>
      </c>
      <c r="J110" s="25" t="n">
        <v>8.5</v>
      </c>
      <c r="K110" s="24" t="inlineStr">
        <is>
          <t>polymarket_us</t>
        </is>
      </c>
      <c r="L110" s="26" t="n">
        <v>111</v>
      </c>
      <c r="M110" s="27" t="n">
        <v>2.11</v>
      </c>
      <c r="N110" s="28" t="n">
        <v>0.473934</v>
      </c>
      <c r="O110" s="28" t="n">
        <v>0.523873</v>
      </c>
      <c r="P110" s="28" t="n">
        <v>0.042131</v>
      </c>
      <c r="Q110" s="28" t="n">
        <v>0.049939</v>
      </c>
      <c r="R110" s="26" t="n">
        <v>50</v>
      </c>
      <c r="S110" s="29" t="n">
        <v>1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5</v>
      </c>
      <c r="X110" s="26" t="n">
        <v>0</v>
      </c>
      <c r="Y110" s="25" t="n">
        <v>8.5</v>
      </c>
      <c r="Z110" s="26" t="n">
        <v>111</v>
      </c>
      <c r="AA110" s="28" t="n">
        <v>0.475</v>
      </c>
      <c r="AB110" s="28" t="n">
        <v>0.001066</v>
      </c>
      <c r="AC110" s="30" t="n">
        <v>-1</v>
      </c>
      <c r="AD110" s="24" t="inlineStr">
        <is>
          <t>2026-08-02T03:25:58.832776Z</t>
        </is>
      </c>
      <c r="AE110" s="31" t="inlineStr">
        <is>
          <t>Measured Edge Totals: Trend Engine projected 4.43-4.91; raw selected-side p=0.5466, calibrated p=0.5239.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mlb-phi</t>
        </is>
      </c>
      <c r="AQ110" s="24" t="inlineStr">
        <is>
          <t>Philadelphia Phillies</t>
        </is>
      </c>
      <c r="AR110" s="24" t="inlineStr">
        <is>
          <t>Philadelphia Phillies</t>
        </is>
      </c>
      <c r="AS110" s="24" t="inlineStr">
        <is>
          <t>mlb-bal</t>
        </is>
      </c>
      <c r="AT110" s="24" t="inlineStr">
        <is>
          <t>Baltimore Orioles</t>
        </is>
      </c>
      <c r="AU110" s="24" t="inlineStr">
        <is>
          <t>Baltimore Orioles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2026-08-01T20:15:41.530944Z</t>
        </is>
      </c>
      <c r="BI110" s="24" t="inlineStr">
        <is>
          <t>["same_event","same_team_same_day","same_league_same_day"]</t>
        </is>
      </c>
      <c r="BJ110" s="25" t="n">
        <v>8.5</v>
      </c>
      <c r="BK110" s="26" t="n">
        <v>111</v>
      </c>
      <c r="BL110" s="27" t="n">
        <v>2.11</v>
      </c>
      <c r="BM110" s="28" t="n">
        <v>0.473934</v>
      </c>
      <c r="BN110" s="28" t="n">
        <v>0.472637</v>
      </c>
      <c r="BO110" s="28" t="n"/>
      <c r="BP110" s="25" t="n"/>
      <c r="BQ110" s="27" t="n">
        <v>2.11</v>
      </c>
      <c r="BR110" s="28" t="n">
        <v>0.475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</row>
    <row r="111" ht="36" customHeight="1">
      <c r="A111" s="24" t="inlineStr">
        <is>
          <t>a4bc30a0261348a3</t>
        </is>
      </c>
      <c r="B111" s="24" t="inlineStr">
        <is>
          <t>2026-08-01T20:15:41.530944Z</t>
        </is>
      </c>
      <c r="C111" s="24" t="inlineStr">
        <is>
          <t>2026-08-01T23:10Z</t>
        </is>
      </c>
      <c r="D111" s="24" t="inlineStr">
        <is>
          <t>401816355</t>
        </is>
      </c>
      <c r="E111" s="24" t="inlineStr">
        <is>
          <t>MLB</t>
        </is>
      </c>
      <c r="F111" s="24" t="inlineStr">
        <is>
          <t>Texas Rangers</t>
        </is>
      </c>
      <c r="G111" s="24" t="inlineStr">
        <is>
          <t>Houston Astros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-147</v>
      </c>
      <c r="M111" s="27" t="n">
        <v>1.680272</v>
      </c>
      <c r="N111" s="28" t="n">
        <v>0.5951419999999999</v>
      </c>
      <c r="O111" s="28" t="n">
        <v>0.599055</v>
      </c>
      <c r="P111" s="28" t="n">
        <v>0.05172</v>
      </c>
      <c r="Q111" s="28" t="n">
        <v>0.003913</v>
      </c>
      <c r="R111" s="26" t="n">
        <v>21</v>
      </c>
      <c r="S111" s="29" t="n">
        <v>1.25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4</v>
      </c>
      <c r="X111" s="26" t="n">
        <v>5</v>
      </c>
      <c r="Y111" s="25" t="n">
        <v>1.5</v>
      </c>
      <c r="Z111" s="26" t="n">
        <v>-147</v>
      </c>
      <c r="AA111" s="28" t="n">
        <v>0.595</v>
      </c>
      <c r="AB111" s="28" t="n">
        <v>-0.000142</v>
      </c>
      <c r="AC111" s="30" t="n">
        <v>0.8502999999999999</v>
      </c>
      <c r="AD111" s="24" t="inlineStr">
        <is>
          <t>2026-08-02T03:25:59.357983Z</t>
        </is>
      </c>
      <c r="AE111" s="31" t="inlineStr">
        <is>
          <t>Measured Edge Margin: Trend Engine projected 4.79-4.61; raw selected-side p=0.6509, calibrated p=0.5991.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mlb-tex</t>
        </is>
      </c>
      <c r="AQ111" s="24" t="inlineStr">
        <is>
          <t>Texas Rangers</t>
        </is>
      </c>
      <c r="AR111" s="24" t="inlineStr">
        <is>
          <t>Texas Rangers</t>
        </is>
      </c>
      <c r="AS111" s="24" t="inlineStr">
        <is>
          <t>mlb-hou</t>
        </is>
      </c>
      <c r="AT111" s="24" t="inlineStr">
        <is>
          <t>Houston Astros</t>
        </is>
      </c>
      <c r="AU111" s="24" t="inlineStr">
        <is>
          <t>Houston Astros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2026-08-01T20:15:41.530944Z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-147</v>
      </c>
      <c r="BL111" s="27" t="n">
        <v>1.680272</v>
      </c>
      <c r="BM111" s="28" t="n">
        <v>0.5951419999999999</v>
      </c>
      <c r="BN111" s="28" t="n">
        <v>0.59204</v>
      </c>
      <c r="BO111" s="28" t="n"/>
      <c r="BP111" s="25" t="n"/>
      <c r="BQ111" s="27" t="n">
        <v>1.680272</v>
      </c>
      <c r="BR111" s="28" t="n">
        <v>0.595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</row>
    <row r="112" ht="36" customHeight="1">
      <c r="A112" s="24" t="inlineStr">
        <is>
          <t>a13b680f399c4008</t>
        </is>
      </c>
      <c r="B112" s="24" t="inlineStr">
        <is>
          <t>2026-08-01T20:15:41.530944Z</t>
        </is>
      </c>
      <c r="C112" s="24" t="inlineStr">
        <is>
          <t>2026-08-01T23:10Z</t>
        </is>
      </c>
      <c r="D112" s="24" t="inlineStr">
        <is>
          <t>401816355</t>
        </is>
      </c>
      <c r="E112" s="24" t="inlineStr">
        <is>
          <t>MLB</t>
        </is>
      </c>
      <c r="F112" s="24" t="inlineStr">
        <is>
          <t>Texas Rangers</t>
        </is>
      </c>
      <c r="G112" s="24" t="inlineStr">
        <is>
          <t>Houston Astros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106</v>
      </c>
      <c r="M112" s="27" t="n">
        <v>2.06</v>
      </c>
      <c r="N112" s="28" t="n">
        <v>0.485437</v>
      </c>
      <c r="O112" s="28" t="n">
        <v>0.526641</v>
      </c>
      <c r="P112" s="28" t="n">
        <v>0.05172</v>
      </c>
      <c r="Q112" s="28" t="n">
        <v>0.041204</v>
      </c>
      <c r="R112" s="26" t="n">
        <v>40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4</v>
      </c>
      <c r="X112" s="26" t="n">
        <v>5</v>
      </c>
      <c r="Y112" s="25" t="n">
        <v>8.5</v>
      </c>
      <c r="Z112" s="26" t="n">
        <v>106</v>
      </c>
      <c r="AA112" s="28" t="n">
        <v>0.485</v>
      </c>
      <c r="AB112" s="28" t="n">
        <v>-0.000437</v>
      </c>
      <c r="AC112" s="30" t="n">
        <v>1.06</v>
      </c>
      <c r="AD112" s="24" t="inlineStr">
        <is>
          <t>2026-08-02T03:25:59.884982Z</t>
        </is>
      </c>
      <c r="AE112" s="31" t="inlineStr">
        <is>
          <t>Measured Edge Totals: Trend Engine projected 4.79-4.61; raw selected-side p=0.5547, calibrated p=0.5266.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mlb-tex</t>
        </is>
      </c>
      <c r="AQ112" s="24" t="inlineStr">
        <is>
          <t>Texas Rangers</t>
        </is>
      </c>
      <c r="AR112" s="24" t="inlineStr">
        <is>
          <t>Texas Rangers</t>
        </is>
      </c>
      <c r="AS112" s="24" t="inlineStr">
        <is>
          <t>mlb-hou</t>
        </is>
      </c>
      <c r="AT112" s="24" t="inlineStr">
        <is>
          <t>Houston Astros</t>
        </is>
      </c>
      <c r="AU112" s="24" t="inlineStr">
        <is>
          <t>Houston Astros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2026-08-01T20:15:41.530944Z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106</v>
      </c>
      <c r="BL112" s="27" t="n">
        <v>2.06</v>
      </c>
      <c r="BM112" s="28" t="n">
        <v>0.485437</v>
      </c>
      <c r="BN112" s="28" t="n">
        <v>0.482587</v>
      </c>
      <c r="BO112" s="28" t="n"/>
      <c r="BP112" s="25" t="n"/>
      <c r="BQ112" s="27" t="n">
        <v>2.06</v>
      </c>
      <c r="BR112" s="28" t="n">
        <v>0.485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</row>
    <row r="113" ht="36" customHeight="1">
      <c r="A113" s="24" t="inlineStr">
        <is>
          <t>025e6dfc254a4339</t>
        </is>
      </c>
      <c r="B113" s="24" t="inlineStr">
        <is>
          <t>2026-08-01T20:15:41.530944Z</t>
        </is>
      </c>
      <c r="C113" s="24" t="inlineStr">
        <is>
          <t>2026-08-01T23:15Z</t>
        </is>
      </c>
      <c r="D113" s="24" t="inlineStr">
        <is>
          <t>401816347</t>
        </is>
      </c>
      <c r="E113" s="24" t="inlineStr">
        <is>
          <t>MLB</t>
        </is>
      </c>
      <c r="F113" s="24" t="inlineStr">
        <is>
          <t>Arizona Diamondbacks</t>
        </is>
      </c>
      <c r="G113" s="24" t="inlineStr">
        <is>
          <t>Cleveland Guardians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0.567924</v>
      </c>
      <c r="P113" s="28" t="n">
        <v>0.05172</v>
      </c>
      <c r="Q113" s="28" t="n">
        <v>-0.002891</v>
      </c>
      <c r="R113" s="26" t="n">
        <v>18</v>
      </c>
      <c r="S113" s="29" t="n">
        <v>1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12</v>
      </c>
      <c r="X113" s="26" t="n">
        <v>8</v>
      </c>
      <c r="Y113" s="25" t="n">
        <v>1.5</v>
      </c>
      <c r="Z113" s="26" t="n">
        <v>-133</v>
      </c>
      <c r="AA113" s="28" t="n">
        <v>0.57</v>
      </c>
      <c r="AB113" s="28" t="n">
        <v>-0.000815</v>
      </c>
      <c r="AC113" s="30" t="n">
        <v>0.7519</v>
      </c>
      <c r="AD113" s="24" t="inlineStr">
        <is>
          <t>2026-08-02T03:26:00.414987Z</t>
        </is>
      </c>
      <c r="AE113" s="31" t="inlineStr">
        <is>
          <t>Measured Edge Margin: Trend Engine projected 4.02-4.73; raw selected-side p=0.6035, calibrated p=0.5679.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mlb-ari</t>
        </is>
      </c>
      <c r="AQ113" s="24" t="inlineStr">
        <is>
          <t>Arizona Diamondbacks</t>
        </is>
      </c>
      <c r="AR113" s="24" t="inlineStr">
        <is>
          <t>Arizona Diamondbacks</t>
        </is>
      </c>
      <c r="AS113" s="24" t="inlineStr">
        <is>
          <t>mlb-cle</t>
        </is>
      </c>
      <c r="AT113" s="24" t="inlineStr">
        <is>
          <t>Cleveland Guardians</t>
        </is>
      </c>
      <c r="AU113" s="24" t="inlineStr">
        <is>
          <t>Cleveland Guardians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2026-08-01T20:15:41.530944Z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-133</v>
      </c>
      <c r="BL113" s="27" t="n">
        <v>1.75188</v>
      </c>
      <c r="BM113" s="28" t="n">
        <v>0.570815</v>
      </c>
      <c r="BN113" s="28" t="n">
        <v>0.567164</v>
      </c>
      <c r="BO113" s="28" t="n"/>
      <c r="BP113" s="25" t="n"/>
      <c r="BQ113" s="27" t="n">
        <v>1.75188</v>
      </c>
      <c r="BR113" s="28" t="n">
        <v>0.57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</row>
    <row r="114" ht="36" customHeight="1">
      <c r="A114" s="24" t="inlineStr">
        <is>
          <t>e7eb99b6b7d34a9d</t>
        </is>
      </c>
      <c r="B114" s="24" t="inlineStr">
        <is>
          <t>2026-08-01T20:15:41.530944Z</t>
        </is>
      </c>
      <c r="C114" s="24" t="inlineStr">
        <is>
          <t>2026-08-01T23:15Z</t>
        </is>
      </c>
      <c r="D114" s="24" t="inlineStr">
        <is>
          <t>401816347</t>
        </is>
      </c>
      <c r="E114" s="24" t="inlineStr">
        <is>
          <t>MLB</t>
        </is>
      </c>
      <c r="F114" s="24" t="inlineStr">
        <is>
          <t>Arizona Diamondbacks</t>
        </is>
      </c>
      <c r="G114" s="24" t="inlineStr">
        <is>
          <t>Cleveland Guardians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-111</v>
      </c>
      <c r="M114" s="27" t="n">
        <v>1.900901</v>
      </c>
      <c r="N114" s="28" t="n">
        <v>0.526066</v>
      </c>
      <c r="O114" s="28" t="n">
        <v>0.509231</v>
      </c>
      <c r="P114" s="28" t="n">
        <v>0.05172</v>
      </c>
      <c r="Q114" s="28" t="n">
        <v>-0.016835</v>
      </c>
      <c r="R114" s="26" t="n">
        <v>11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12</v>
      </c>
      <c r="X114" s="26" t="n">
        <v>8</v>
      </c>
      <c r="Y114" s="25" t="n">
        <v>8.5</v>
      </c>
      <c r="Z114" s="26" t="n">
        <v>-111</v>
      </c>
      <c r="AA114" s="28" t="n">
        <v>0.525</v>
      </c>
      <c r="AB114" s="28" t="n">
        <v>-0.001066</v>
      </c>
      <c r="AC114" s="30" t="n">
        <v>-1</v>
      </c>
      <c r="AD114" s="24" t="inlineStr">
        <is>
          <t>2026-08-02T03:26:00.966797Z</t>
        </is>
      </c>
      <c r="AE114" s="31" t="inlineStr">
        <is>
          <t>Measured Edge Totals: Trend Engine projected 4.02-4.73; raw selected-side p=0.5038, calibrated p=0.5092.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mlb-ari</t>
        </is>
      </c>
      <c r="AQ114" s="24" t="inlineStr">
        <is>
          <t>Arizona Diamondbacks</t>
        </is>
      </c>
      <c r="AR114" s="24" t="inlineStr">
        <is>
          <t>Arizona Diamondbacks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2026-08-01T20:15:41.530944Z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-111</v>
      </c>
      <c r="BL114" s="27" t="n">
        <v>1.900901</v>
      </c>
      <c r="BM114" s="28" t="n">
        <v>0.526066</v>
      </c>
      <c r="BN114" s="28" t="n">
        <v>0.522388</v>
      </c>
      <c r="BO114" s="28" t="n"/>
      <c r="BP114" s="25" t="n"/>
      <c r="BQ114" s="27" t="n">
        <v>1.900901</v>
      </c>
      <c r="BR114" s="28" t="n">
        <v>0.525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</row>
    <row r="115" ht="36" customHeight="1">
      <c r="A115" s="24" t="inlineStr">
        <is>
          <t>c6abafb6682c4b30</t>
        </is>
      </c>
      <c r="B115" s="24" t="inlineStr">
        <is>
          <t>2026-08-01T20:15:41.530944Z</t>
        </is>
      </c>
      <c r="C115" s="24" t="inlineStr">
        <is>
          <t>2026-08-01T23:15Z</t>
        </is>
      </c>
      <c r="D115" s="24" t="inlineStr">
        <is>
          <t>401816353</t>
        </is>
      </c>
      <c r="E115" s="24" t="inlineStr">
        <is>
          <t>MLB</t>
        </is>
      </c>
      <c r="F115" s="24" t="inlineStr">
        <is>
          <t>Washington Nationals</t>
        </is>
      </c>
      <c r="G115" s="24" t="inlineStr">
        <is>
          <t>Atlanta Braves</t>
        </is>
      </c>
      <c r="H115" s="24" t="inlineStr">
        <is>
          <t>spread</t>
        </is>
      </c>
      <c r="I115" s="24" t="inlineStr">
        <is>
          <t>away</t>
        </is>
      </c>
      <c r="J115" s="25" t="n">
        <v>1.5</v>
      </c>
      <c r="K115" s="24" t="inlineStr">
        <is>
          <t>polymarket_us</t>
        </is>
      </c>
      <c r="L115" s="26" t="n">
        <v>-127</v>
      </c>
      <c r="M115" s="27" t="n">
        <v>1.787402</v>
      </c>
      <c r="N115" s="28" t="n">
        <v>0.5594710000000001</v>
      </c>
      <c r="O115" s="28" t="n">
        <v>0.571729</v>
      </c>
      <c r="P115" s="28" t="n">
        <v>0.042131</v>
      </c>
      <c r="Q115" s="28" t="n">
        <v>0.012258</v>
      </c>
      <c r="R115" s="26" t="n">
        <v>31</v>
      </c>
      <c r="S115" s="29" t="n">
        <v>1.25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8</v>
      </c>
      <c r="Y115" s="25" t="n">
        <v>1.5</v>
      </c>
      <c r="Z115" s="26" t="n">
        <v>-127</v>
      </c>
      <c r="AA115" s="28" t="n">
        <v>0.5600000000000001</v>
      </c>
      <c r="AB115" s="28" t="n">
        <v>0.000529</v>
      </c>
      <c r="AC115" s="30" t="n">
        <v>-1.25</v>
      </c>
      <c r="AD115" s="24" t="inlineStr">
        <is>
          <t>2026-08-02T03:26:01.546903Z</t>
        </is>
      </c>
      <c r="AE115" s="31" t="inlineStr">
        <is>
          <t>Measured Edge Margin: Trend Engine projected 4.41-5.01; raw selected-side p=0.6092, calibrated p=0.5717.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mlb-wsh</t>
        </is>
      </c>
      <c r="AQ115" s="24" t="inlineStr">
        <is>
          <t>Washington Nationals</t>
        </is>
      </c>
      <c r="AR115" s="24" t="inlineStr">
        <is>
          <t>Washington Nationals</t>
        </is>
      </c>
      <c r="AS115" s="24" t="inlineStr">
        <is>
          <t>mlb-atl</t>
        </is>
      </c>
      <c r="AT115" s="24" t="inlineStr">
        <is>
          <t>Atlanta Braves</t>
        </is>
      </c>
      <c r="AU115" s="24" t="inlineStr">
        <is>
          <t>Atlanta Braves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2026-08-01T20:15:41.530944Z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-127</v>
      </c>
      <c r="BL115" s="27" t="n">
        <v>1.787402</v>
      </c>
      <c r="BM115" s="28" t="n">
        <v>0.5594710000000001</v>
      </c>
      <c r="BN115" s="28" t="n">
        <v>0.557214</v>
      </c>
      <c r="BO115" s="28" t="n"/>
      <c r="BP115" s="25" t="n"/>
      <c r="BQ115" s="27" t="n">
        <v>1.787402</v>
      </c>
      <c r="BR115" s="28" t="n">
        <v>0.5600000000000001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</row>
    <row r="116" ht="36" customHeight="1">
      <c r="A116" s="24" t="inlineStr">
        <is>
          <t>6fb5c07d4adc473f</t>
        </is>
      </c>
      <c r="B116" s="24" t="inlineStr">
        <is>
          <t>2026-08-01T20:15:41.530944Z</t>
        </is>
      </c>
      <c r="C116" s="24" t="inlineStr">
        <is>
          <t>2026-08-01T23:15Z</t>
        </is>
      </c>
      <c r="D116" s="24" t="inlineStr">
        <is>
          <t>401816353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Atlanta Braves</t>
        </is>
      </c>
      <c r="H116" s="24" t="inlineStr">
        <is>
          <t>total</t>
        </is>
      </c>
      <c r="I116" s="24" t="inlineStr">
        <is>
          <t>under</t>
        </is>
      </c>
      <c r="J116" s="25" t="n">
        <v>9.5</v>
      </c>
      <c r="K116" s="24" t="inlineStr">
        <is>
          <t>polymarket_us</t>
        </is>
      </c>
      <c r="L116" s="26" t="n">
        <v>-111</v>
      </c>
      <c r="M116" s="27" t="n">
        <v>1.900901</v>
      </c>
      <c r="N116" s="28" t="n">
        <v>0.526066</v>
      </c>
      <c r="O116" s="28" t="n">
        <v>0.527495</v>
      </c>
      <c r="P116" s="28" t="n">
        <v>0.042131</v>
      </c>
      <c r="Q116" s="28" t="n">
        <v>0.001429</v>
      </c>
      <c r="R116" s="26" t="n">
        <v>25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8</v>
      </c>
      <c r="Y116" s="25" t="n">
        <v>9.5</v>
      </c>
      <c r="Z116" s="26" t="n">
        <v>-111</v>
      </c>
      <c r="AA116" s="28" t="n">
        <v>0.525</v>
      </c>
      <c r="AB116" s="28" t="n">
        <v>-0.001066</v>
      </c>
      <c r="AC116" s="30" t="n">
        <v>-1</v>
      </c>
      <c r="AD116" s="24" t="inlineStr">
        <is>
          <t>2026-08-02T03:26:02.159533Z</t>
        </is>
      </c>
      <c r="AE116" s="31" t="inlineStr">
        <is>
          <t>Measured Edge Totals: Trend Engine projected 4.41-5.01; raw selected-side p=0.5572, calibrated p=0.5275.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mlb-atl</t>
        </is>
      </c>
      <c r="AT116" s="24" t="inlineStr">
        <is>
          <t>Atlanta Braves</t>
        </is>
      </c>
      <c r="AU116" s="24" t="inlineStr">
        <is>
          <t>Atlanta Braves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2026-08-01T20:15:41.530944Z</t>
        </is>
      </c>
      <c r="BI116" s="24" t="inlineStr">
        <is>
          <t>["same_event","same_team_same_day","same_league_same_day"]</t>
        </is>
      </c>
      <c r="BJ116" s="25" t="n">
        <v>9.5</v>
      </c>
      <c r="BK116" s="26" t="n">
        <v>-111</v>
      </c>
      <c r="BL116" s="27" t="n">
        <v>1.900901</v>
      </c>
      <c r="BM116" s="28" t="n">
        <v>0.526066</v>
      </c>
      <c r="BN116" s="28" t="n">
        <v>0.522388</v>
      </c>
      <c r="BO116" s="28" t="n"/>
      <c r="BP116" s="25" t="n"/>
      <c r="BQ116" s="27" t="n">
        <v>1.900901</v>
      </c>
      <c r="BR116" s="28" t="n">
        <v>0.525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</row>
    <row r="117" ht="36" customHeight="1">
      <c r="A117" s="24" t="inlineStr">
        <is>
          <t>65c158a1a4f34697</t>
        </is>
      </c>
      <c r="B117" s="24" t="inlineStr">
        <is>
          <t>2026-08-01T20:15:41.530944Z</t>
        </is>
      </c>
      <c r="C117" s="24" t="inlineStr">
        <is>
          <t>2026-08-01T23:15Z</t>
        </is>
      </c>
      <c r="D117" s="24" t="inlineStr">
        <is>
          <t>401816354</t>
        </is>
      </c>
      <c r="E117" s="24" t="inlineStr">
        <is>
          <t>MLB</t>
        </is>
      </c>
      <c r="F117" s="24" t="inlineStr">
        <is>
          <t>New York Yankees</t>
        </is>
      </c>
      <c r="G117" s="24" t="inlineStr">
        <is>
          <t>Chicago Cubs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0.608372</v>
      </c>
      <c r="P117" s="28" t="n">
        <v>0.042131</v>
      </c>
      <c r="Q117" s="28" t="n">
        <v>-0.051492</v>
      </c>
      <c r="R117" s="26" t="n">
        <v>0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win</t>
        </is>
      </c>
      <c r="W117" s="26" t="n">
        <v>2</v>
      </c>
      <c r="X117" s="26" t="n">
        <v>5</v>
      </c>
      <c r="Y117" s="25" t="n">
        <v>1.5</v>
      </c>
      <c r="Z117" s="26" t="n">
        <v>-194</v>
      </c>
      <c r="AA117" s="28" t="n">
        <v>0.66</v>
      </c>
      <c r="AB117" s="28" t="n">
        <v>0.000136</v>
      </c>
      <c r="AC117" s="30" t="n">
        <v>0.7732</v>
      </c>
      <c r="AD117" s="24" t="inlineStr">
        <is>
          <t>2026-08-02T03:26:02.756178Z</t>
        </is>
      </c>
      <c r="AE117" s="31" t="inlineStr">
        <is>
          <t>Measured Edge Margin: Trend Engine projected 4.74-4.76; raw selected-side p=0.6651, calibrated p=0.6084.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mlb-nyy</t>
        </is>
      </c>
      <c r="AQ117" s="24" t="inlineStr">
        <is>
          <t>New York Yankees</t>
        </is>
      </c>
      <c r="AR117" s="24" t="inlineStr">
        <is>
          <t>New York Yankees</t>
        </is>
      </c>
      <c r="AS117" s="24" t="inlineStr">
        <is>
          <t>mlb-chc</t>
        </is>
      </c>
      <c r="AT117" s="24" t="inlineStr">
        <is>
          <t>Chicago Cubs</t>
        </is>
      </c>
      <c r="AU117" s="24" t="inlineStr">
        <is>
          <t>Chicago Cubs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2026-08-01T20:15:41.530944Z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</row>
    <row r="118" ht="36" customHeight="1">
      <c r="A118" s="24" t="inlineStr">
        <is>
          <t>dccae496dc9d4020</t>
        </is>
      </c>
      <c r="B118" s="24" t="inlineStr">
        <is>
          <t>2026-08-01T20:15:41.530944Z</t>
        </is>
      </c>
      <c r="C118" s="24" t="inlineStr">
        <is>
          <t>2026-08-01T23:15Z</t>
        </is>
      </c>
      <c r="D118" s="24" t="inlineStr">
        <is>
          <t>401816354</t>
        </is>
      </c>
      <c r="E118" s="24" t="inlineStr">
        <is>
          <t>MLB</t>
        </is>
      </c>
      <c r="F118" s="24" t="inlineStr">
        <is>
          <t>New York Yankees</t>
        </is>
      </c>
      <c r="G118" s="24" t="inlineStr">
        <is>
          <t>Chicago Cubs</t>
        </is>
      </c>
      <c r="H118" s="24" t="inlineStr">
        <is>
          <t>total</t>
        </is>
      </c>
      <c r="I118" s="24" t="inlineStr">
        <is>
          <t>over</t>
        </is>
      </c>
      <c r="J118" s="25" t="n">
        <v>6.5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0.592316</v>
      </c>
      <c r="P118" s="28" t="n">
        <v>0.042131</v>
      </c>
      <c r="Q118" s="28" t="n">
        <v>0.122832</v>
      </c>
      <c r="R118" s="26" t="n">
        <v>86</v>
      </c>
      <c r="S118" s="29" t="n">
        <v>1.25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win</t>
        </is>
      </c>
      <c r="W118" s="26" t="n">
        <v>2</v>
      </c>
      <c r="X118" s="26" t="n">
        <v>5</v>
      </c>
      <c r="Y118" s="25" t="n">
        <v>6.5</v>
      </c>
      <c r="Z118" s="26" t="n">
        <v>113</v>
      </c>
      <c r="AA118" s="28" t="n">
        <v>0.47</v>
      </c>
      <c r="AB118" s="28" t="n">
        <v>0.000516</v>
      </c>
      <c r="AC118" s="30" t="n">
        <v>1.4125</v>
      </c>
      <c r="AD118" s="24" t="inlineStr">
        <is>
          <t>2026-08-02T03:26:03.339275Z</t>
        </is>
      </c>
      <c r="AE118" s="31" t="inlineStr">
        <is>
          <t>Measured Edge Totals: Trend Engine projected 4.74-4.76; raw selected-side p=0.7469, calibrated p=0.5923.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mlb-nyy</t>
        </is>
      </c>
      <c r="AQ118" s="24" t="inlineStr">
        <is>
          <t>New York Yankees</t>
        </is>
      </c>
      <c r="AR118" s="24" t="inlineStr">
        <is>
          <t>New York Yankees</t>
        </is>
      </c>
      <c r="AS118" s="24" t="inlineStr">
        <is>
          <t>mlb-chc</t>
        </is>
      </c>
      <c r="AT118" s="24" t="inlineStr">
        <is>
          <t>Chicago Cubs</t>
        </is>
      </c>
      <c r="AU118" s="24" t="inlineStr">
        <is>
          <t>Chicago Cubs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2026-08-01T20:15:41.530944Z</t>
        </is>
      </c>
      <c r="BI118" s="24" t="inlineStr">
        <is>
          <t>["same_event","same_team_same_day","same_league_same_day"]</t>
        </is>
      </c>
      <c r="BJ118" s="25" t="n">
        <v>6.5</v>
      </c>
      <c r="BK118" s="26" t="n">
        <v>113</v>
      </c>
      <c r="BL118" s="27" t="n">
        <v>2.13</v>
      </c>
      <c r="BM118" s="28" t="n">
        <v>0.469484</v>
      </c>
      <c r="BN118" s="28" t="n">
        <v>0.467662</v>
      </c>
      <c r="BO118" s="28" t="n"/>
      <c r="BP118" s="25" t="n"/>
      <c r="BQ118" s="27" t="n">
        <v>2.13</v>
      </c>
      <c r="BR118" s="28" t="n">
        <v>0.47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</row>
    <row r="119" ht="36" customHeight="1">
      <c r="A119" s="24" t="inlineStr">
        <is>
          <t>3b5841d83fef493f</t>
        </is>
      </c>
      <c r="B119" s="24" t="inlineStr">
        <is>
          <t>2026-08-01T23:52:21.502342Z</t>
        </is>
      </c>
      <c r="C119" s="24" t="inlineStr">
        <is>
          <t>2026-08-01T20:10:00-0400</t>
        </is>
      </c>
      <c r="D119" s="24" t="inlineStr">
        <is>
          <t>401816356</t>
        </is>
      </c>
      <c r="E119" s="24" t="inlineStr">
        <is>
          <t>MLB</t>
        </is>
      </c>
      <c r="F119" s="24" t="inlineStr">
        <is>
          <t>Kansas City Royals</t>
        </is>
      </c>
      <c r="G119" s="24" t="inlineStr">
        <is>
          <t>Colorado Rockies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115</v>
      </c>
      <c r="M119" s="27" t="n">
        <v>2.15</v>
      </c>
      <c r="N119" s="28" t="n">
        <v>0.465116</v>
      </c>
      <c r="O119" s="28" t="n">
        <v>0.59943</v>
      </c>
      <c r="P119" s="28" t="n"/>
      <c r="Q119" s="28" t="n">
        <v>0.134314</v>
      </c>
      <c r="R119" s="26" t="n">
        <v>88</v>
      </c>
      <c r="S119" s="29" t="n">
        <v>1.25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loss</t>
        </is>
      </c>
      <c r="W119" s="26" t="n">
        <v>6</v>
      </c>
      <c r="X119" s="26" t="n">
        <v>12</v>
      </c>
      <c r="Y119" s="25" t="n"/>
      <c r="Z119" s="26" t="n">
        <v>115</v>
      </c>
      <c r="AA119" s="28" t="n">
        <v>0.465</v>
      </c>
      <c r="AB119" s="28" t="n">
        <v>-0.000116</v>
      </c>
      <c r="AC119" s="30" t="n">
        <v>-1.25</v>
      </c>
      <c r="AD119" s="24" t="inlineStr">
        <is>
          <t>2026-08-02T03:26:03.879357Z</t>
        </is>
      </c>
      <c r="AE119" s="31" t="inlineStr">
        <is>
          <t>Learned LR call at threshold 0.6242; executable ask 0.4650 (aec-mlb-kc-col-2026-08-01); model edge vs ask +0.1344.</t>
        </is>
      </c>
      <c r="AF119" s="31" t="inlineStr">
        <is>
          <t>Learned model; shadow-qualified via operator override.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mlb-kc</t>
        </is>
      </c>
      <c r="AQ119" s="24" t="inlineStr">
        <is>
          <t>Kansas City Royals</t>
        </is>
      </c>
      <c r="AR119" s="24" t="inlineStr">
        <is>
          <t>Kansas City Royals</t>
        </is>
      </c>
      <c r="AS119" s="24" t="inlineStr">
        <is>
          <t>mlb-col</t>
        </is>
      </c>
      <c r="AT119" s="24" t="inlineStr">
        <is>
          <t>Colorado Rockies</t>
        </is>
      </c>
      <c r="AU119" s="24" t="inlineStr">
        <is>
          <t>Colorado Rockies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f816e731583b605d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2026-08-01T23:51:47.419062Z</t>
        </is>
      </c>
      <c r="BI119" s="24" t="inlineStr">
        <is>
          <t>["same_event","same_team_same_day","same_league_same_day"]</t>
        </is>
      </c>
      <c r="BJ119" s="25" t="n"/>
      <c r="BK119" s="26" t="n">
        <v>115</v>
      </c>
      <c r="BL119" s="27" t="n">
        <v>2.15</v>
      </c>
      <c r="BM119" s="28" t="n">
        <v>0.465116</v>
      </c>
      <c r="BN119" s="28" t="n">
        <v>0.462687</v>
      </c>
      <c r="BO119" s="28" t="n"/>
      <c r="BP119" s="25" t="n"/>
      <c r="BQ119" s="27" t="n">
        <v>2.15</v>
      </c>
      <c r="BR119" s="28" t="n">
        <v>0.465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0.4336227344</t>
        </is>
      </c>
      <c r="CD119" s="24" t="inlineStr">
        <is>
          <t>0.282629</t>
        </is>
      </c>
      <c r="CE119" s="24" t="inlineStr">
        <is>
          <t>1.193</t>
        </is>
      </c>
      <c r="CF119" s="24" t="inlineStr">
        <is>
          <t>1.0257</t>
        </is>
      </c>
      <c r="CG119" s="24" t="inlineStr">
        <is>
          <t>2.2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</row>
    <row r="120" ht="36" customHeight="1">
      <c r="A120" s="24" t="inlineStr">
        <is>
          <t>49b9445418b14f77</t>
        </is>
      </c>
      <c r="B120" s="24" t="inlineStr">
        <is>
          <t>2026-08-01T23:52:21.502342Z</t>
        </is>
      </c>
      <c r="C120" s="24" t="inlineStr">
        <is>
          <t>2026-08-01T20:40:00-0400</t>
        </is>
      </c>
      <c r="D120" s="24" t="inlineStr">
        <is>
          <t>401816361</t>
        </is>
      </c>
      <c r="E120" s="24" t="inlineStr">
        <is>
          <t>MLB</t>
        </is>
      </c>
      <c r="F120" s="24" t="inlineStr">
        <is>
          <t>San Francisco Giants</t>
        </is>
      </c>
      <c r="G120" s="24" t="inlineStr">
        <is>
          <t>San Diego Padres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-141</v>
      </c>
      <c r="M120" s="27" t="n">
        <v>1.70922</v>
      </c>
      <c r="N120" s="28" t="n">
        <v>0.585062</v>
      </c>
      <c r="O120" s="28" t="n">
        <v>0.586302</v>
      </c>
      <c r="P120" s="28" t="n"/>
      <c r="Q120" s="28" t="n">
        <v>0.00124</v>
      </c>
      <c r="R120" s="26" t="n">
        <v>22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5</v>
      </c>
      <c r="X120" s="26" t="n">
        <v>6</v>
      </c>
      <c r="Y120" s="25" t="n"/>
      <c r="Z120" s="26" t="n">
        <v>-141</v>
      </c>
      <c r="AA120" s="28" t="n">
        <v>0.585</v>
      </c>
      <c r="AB120" s="28" t="n">
        <v>-6.2e-05</v>
      </c>
      <c r="AC120" s="30" t="n">
        <v>0.8865</v>
      </c>
      <c r="AD120" s="24" t="inlineStr">
        <is>
          <t>2026-08-02T04:26:12.354214Z</t>
        </is>
      </c>
      <c r="AE120" s="31" t="inlineStr">
        <is>
          <t>Learned LR call at threshold 0.6242; executable ask 0.5850 (aec-mlb-sf-sd-2026-08-01); model edge vs ask +0.0013.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mlb-sf</t>
        </is>
      </c>
      <c r="AQ120" s="24" t="inlineStr">
        <is>
          <t>San Francisco Giants</t>
        </is>
      </c>
      <c r="AR120" s="24" t="inlineStr">
        <is>
          <t>San Francisco Giants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3254957dc6cbdcf2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2026-08-01T23:51:48.315062Z</t>
        </is>
      </c>
      <c r="BI120" s="24" t="inlineStr">
        <is>
          <t>["same_event","same_team_same_day","same_league_same_day"]</t>
        </is>
      </c>
      <c r="BJ120" s="25" t="n"/>
      <c r="BK120" s="26" t="n">
        <v>-141</v>
      </c>
      <c r="BL120" s="27" t="n">
        <v>1.70922</v>
      </c>
      <c r="BM120" s="28" t="n">
        <v>0.585062</v>
      </c>
      <c r="BN120" s="28" t="n">
        <v>0.58209</v>
      </c>
      <c r="BO120" s="28" t="n"/>
      <c r="BP120" s="25" t="n"/>
      <c r="BQ120" s="27" t="n">
        <v>1.70922</v>
      </c>
      <c r="BR120" s="28" t="n">
        <v>0.585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0.5921899564</t>
        </is>
      </c>
      <c r="CD120" s="24" t="inlineStr">
        <is>
          <t>-0.027918</t>
        </is>
      </c>
      <c r="CE120" s="24" t="inlineStr">
        <is>
          <t>0.945</t>
        </is>
      </c>
      <c r="CF120" s="24" t="inlineStr">
        <is>
          <t>1.0097</t>
        </is>
      </c>
      <c r="CG120" s="24" t="inlineStr">
        <is>
          <t>-1.8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</row>
    <row r="121" ht="36" customHeight="1">
      <c r="A121" s="24" t="inlineStr">
        <is>
          <t>dac17ac452fb4da5</t>
        </is>
      </c>
      <c r="B121" s="24" t="inlineStr">
        <is>
          <t>2026-08-01T23:52:21.502342Z</t>
        </is>
      </c>
      <c r="C121" s="24" t="inlineStr">
        <is>
          <t>2026-08-01T21:10:00-0400</t>
        </is>
      </c>
      <c r="D121" s="24" t="inlineStr">
        <is>
          <t>401816357</t>
        </is>
      </c>
      <c r="E121" s="24" t="inlineStr">
        <is>
          <t>MLB</t>
        </is>
      </c>
      <c r="F121" s="24" t="inlineStr">
        <is>
          <t>Boston Red Sox</t>
        </is>
      </c>
      <c r="G121" s="24" t="inlineStr">
        <is>
          <t>Los Angeles Dodgers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-167</v>
      </c>
      <c r="M121" s="27" t="n">
        <v>1.598802</v>
      </c>
      <c r="N121" s="28" t="n">
        <v>0.625468</v>
      </c>
      <c r="O121" s="28" t="n">
        <v>0.561639</v>
      </c>
      <c r="P121" s="28" t="n"/>
      <c r="Q121" s="28" t="n">
        <v>-0.063829</v>
      </c>
      <c r="R121" s="26" t="n">
        <v>0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3</v>
      </c>
      <c r="X121" s="26" t="n">
        <v>2</v>
      </c>
      <c r="Y121" s="25" t="n"/>
      <c r="Z121" s="26" t="n">
        <v>-167</v>
      </c>
      <c r="AA121" s="28" t="n">
        <v>0.625</v>
      </c>
      <c r="AB121" s="28" t="n">
        <v>-0.000468</v>
      </c>
      <c r="AC121" s="30" t="n">
        <v>-1</v>
      </c>
      <c r="AD121" s="24" t="inlineStr">
        <is>
          <t>2026-08-02T03:26:04.410132Z</t>
        </is>
      </c>
      <c r="AE121" s="31" t="inlineStr">
        <is>
          <t>Learned LR call at threshold 0.6242; executable ask 0.6250 (aec-mlb-bos-lad-2026-08-01); model edge vs ask -0.0634.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mlb-bos</t>
        </is>
      </c>
      <c r="AQ121" s="24" t="inlineStr">
        <is>
          <t>Boston Red Sox</t>
        </is>
      </c>
      <c r="AR121" s="24" t="inlineStr">
        <is>
          <t>Boston Red Sox</t>
        </is>
      </c>
      <c r="AS121" s="24" t="inlineStr">
        <is>
          <t>mlb-lad</t>
        </is>
      </c>
      <c r="AT121" s="24" t="inlineStr">
        <is>
          <t>Los Angeles Dodgers</t>
        </is>
      </c>
      <c r="AU121" s="24" t="inlineStr">
        <is>
          <t>Los Angeles Dodgers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066806f0bd99b27f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2026-08-01T23:51:49.237000Z</t>
        </is>
      </c>
      <c r="BI121" s="24" t="inlineStr">
        <is>
          <t>["same_event","same_team_same_day","same_league_same_day"]</t>
        </is>
      </c>
      <c r="BJ121" s="25" t="n"/>
      <c r="BK121" s="26" t="n">
        <v>-167</v>
      </c>
      <c r="BL121" s="27" t="n">
        <v>1.598802</v>
      </c>
      <c r="BM121" s="28" t="n">
        <v>0.625468</v>
      </c>
      <c r="BN121" s="28" t="n">
        <v>0.621891</v>
      </c>
      <c r="BO121" s="28" t="n"/>
      <c r="BP121" s="25" t="n"/>
      <c r="BQ121" s="27" t="n">
        <v>1.598802</v>
      </c>
      <c r="BR121" s="28" t="n">
        <v>0.625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0.5509882979</t>
        </is>
      </c>
      <c r="CD121" s="24" t="inlineStr">
        <is>
          <t>-0.724816</t>
        </is>
      </c>
      <c r="CE121" s="24" t="inlineStr">
        <is>
          <t>1.026</t>
        </is>
      </c>
      <c r="CF121" s="24" t="inlineStr">
        <is>
          <t>1.0134</t>
        </is>
      </c>
      <c r="CG121" s="24" t="inlineStr">
        <is>
          <t>2.4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</row>
    <row r="122" ht="36" customHeight="1">
      <c r="A122" s="24" t="inlineStr">
        <is>
          <t>34961301f0b6462c</t>
        </is>
      </c>
      <c r="B122" s="24" t="inlineStr">
        <is>
          <t>2026-08-01T23:52:21.502342Z</t>
        </is>
      </c>
      <c r="C122" s="24" t="inlineStr">
        <is>
          <t>2026-08-01T21:38:00-0400</t>
        </is>
      </c>
      <c r="D122" s="24" t="inlineStr">
        <is>
          <t>401816359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Los Angeles Angels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-138</v>
      </c>
      <c r="M122" s="27" t="n">
        <v>1.724638</v>
      </c>
      <c r="N122" s="28" t="n">
        <v>0.579832</v>
      </c>
      <c r="O122" s="28" t="n">
        <v>0.623445</v>
      </c>
      <c r="P122" s="28" t="n"/>
      <c r="Q122" s="28" t="n">
        <v>0.043613</v>
      </c>
      <c r="R122" s="26" t="n">
        <v>43</v>
      </c>
      <c r="S122" s="29" t="n">
        <v>1.5</v>
      </c>
      <c r="T122" s="24" t="inlineStr">
        <is>
          <t>mlb-elo-trend-lr-v7</t>
        </is>
      </c>
      <c r="U122" s="24" t="inlineStr">
        <is>
          <t>settled</t>
        </is>
      </c>
      <c r="V122" s="24" t="inlineStr">
        <is>
          <t>win</t>
        </is>
      </c>
      <c r="W122" s="26" t="n">
        <v>3</v>
      </c>
      <c r="X122" s="26" t="n">
        <v>1</v>
      </c>
      <c r="Y122" s="25" t="n"/>
      <c r="Z122" s="26" t="n">
        <v>-138</v>
      </c>
      <c r="AA122" s="28" t="n">
        <v>0.58</v>
      </c>
      <c r="AB122" s="28" t="n">
        <v>0.000168</v>
      </c>
      <c r="AC122" s="30" t="n">
        <v>1.087</v>
      </c>
      <c r="AD122" s="24" t="inlineStr">
        <is>
          <t>2026-08-02T04:26:13.049162Z</t>
        </is>
      </c>
      <c r="AE122" s="31" t="inlineStr">
        <is>
          <t>Learned LR call at threshold 0.6242; executable ask 0.5800 (aec-mlb-mil-laa-2026-08-01); model edge vs ask +0.0434.</t>
        </is>
      </c>
      <c r="AF122" s="31" t="inlineStr">
        <is>
          <t>Learned model; shadow-qualified via operator override.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mlb-laa</t>
        </is>
      </c>
      <c r="AT122" s="24" t="inlineStr">
        <is>
          <t>Los Angeles Angels</t>
        </is>
      </c>
      <c r="AU122" s="24" t="inlineStr">
        <is>
          <t>Los Angeles Angels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464eef695bfbbdaa819ec6f5e4c5bd1068ed20b92915fb2677220ae91e20d8b6</t>
        </is>
      </c>
      <c r="BB122" s="24" t="inlineStr">
        <is>
          <t>learned_lr</t>
        </is>
      </c>
      <c r="BC122" s="24" t="inlineStr">
        <is>
          <t>mlb-elo-trend-lr-v7</t>
        </is>
      </c>
      <c r="BD122" s="24" t="inlineStr">
        <is>
          <t>464eef695bfbbdaa819ec6f5e4c5bd1068ed20b92915fb2677220ae91e20d8b6</t>
        </is>
      </c>
      <c r="BE122" s="24" t="inlineStr">
        <is>
          <t>bf9d0c69dcbae233</t>
        </is>
      </c>
      <c r="BF122" s="24" t="inlineStr">
        <is>
          <t>1</t>
        </is>
      </c>
      <c r="BG122" s="24" t="inlineStr">
        <is>
          <t>mlb-elo-trend-lr-v7</t>
        </is>
      </c>
      <c r="BH122" s="24" t="inlineStr">
        <is>
          <t>2026-08-01T23:51:49.966869Z</t>
        </is>
      </c>
      <c r="BI122" s="24" t="inlineStr">
        <is>
          <t>["same_event","same_team_same_day","same_league_same_day"]</t>
        </is>
      </c>
      <c r="BJ122" s="25" t="n"/>
      <c r="BK122" s="26" t="n">
        <v>-138</v>
      </c>
      <c r="BL122" s="27" t="n">
        <v>1.724638</v>
      </c>
      <c r="BM122" s="28" t="n">
        <v>0.579832</v>
      </c>
      <c r="BN122" s="28" t="n">
        <v>0.577114</v>
      </c>
      <c r="BO122" s="28" t="n"/>
      <c r="BP122" s="25" t="n"/>
      <c r="BQ122" s="27" t="n">
        <v>1.724638</v>
      </c>
      <c r="BR122" s="28" t="n">
        <v>0.58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inlineStr">
        <is>
          <t>0.3303372609</t>
        </is>
      </c>
      <c r="CD122" s="24" t="inlineStr">
        <is>
          <t>-0.606627</t>
        </is>
      </c>
      <c r="CE122" s="24" t="inlineStr">
        <is>
          <t>1.01</t>
        </is>
      </c>
      <c r="CF122" s="24" t="inlineStr">
        <is>
          <t>1.0096</t>
        </is>
      </c>
      <c r="CG122" s="24" t="inlineStr">
        <is>
          <t>0.0</t>
        </is>
      </c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</row>
    <row r="123" ht="36" customHeight="1">
      <c r="A123" s="24" t="inlineStr">
        <is>
          <t>906e1e669bac4779</t>
        </is>
      </c>
      <c r="B123" s="24" t="inlineStr">
        <is>
          <t>2026-08-01T23:52:21.502342Z</t>
        </is>
      </c>
      <c r="C123" s="24" t="inlineStr">
        <is>
          <t>2026-08-01T21:40:00-0400</t>
        </is>
      </c>
      <c r="D123" s="24" t="inlineStr">
        <is>
          <t>401816358</t>
        </is>
      </c>
      <c r="E123" s="24" t="inlineStr">
        <is>
          <t>MLB</t>
        </is>
      </c>
      <c r="F123" s="24" t="inlineStr">
        <is>
          <t>Detroit Tigers</t>
        </is>
      </c>
      <c r="G123" s="24" t="inlineStr">
        <is>
          <t>Athletics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-163</v>
      </c>
      <c r="M123" s="27" t="n">
        <v>1.613497</v>
      </c>
      <c r="N123" s="28" t="n">
        <v>0.619772</v>
      </c>
      <c r="O123" s="28" t="n">
        <v>0.55925</v>
      </c>
      <c r="P123" s="28" t="n"/>
      <c r="Q123" s="28" t="n">
        <v>-0.060522</v>
      </c>
      <c r="R123" s="26" t="n">
        <v>0</v>
      </c>
      <c r="S123" s="29" t="n">
        <v>1</v>
      </c>
      <c r="T123" s="24" t="inlineStr">
        <is>
          <t>mlb-elo-trend-lr-v7</t>
        </is>
      </c>
      <c r="U123" s="24" t="inlineStr">
        <is>
          <t>settled</t>
        </is>
      </c>
      <c r="V123" s="24" t="inlineStr">
        <is>
          <t>win</t>
        </is>
      </c>
      <c r="W123" s="26" t="n">
        <v>8</v>
      </c>
      <c r="X123" s="26" t="n">
        <v>6</v>
      </c>
      <c r="Y123" s="25" t="n"/>
      <c r="Z123" s="26" t="n">
        <v>-163</v>
      </c>
      <c r="AA123" s="28" t="n">
        <v>0.62</v>
      </c>
      <c r="AB123" s="28" t="n">
        <v>0.000228</v>
      </c>
      <c r="AC123" s="30" t="n">
        <v>0.6135</v>
      </c>
      <c r="AD123" s="24" t="inlineStr">
        <is>
          <t>2026-08-02T05:39:16.890092Z</t>
        </is>
      </c>
      <c r="AE123" s="31" t="inlineStr">
        <is>
          <t>Learned LR call at threshold 0.6242; executable ask 0.6200 (aec-mlb-det-ath-2026-08-01); model edge vs ask -0.0607.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mlb-det</t>
        </is>
      </c>
      <c r="AQ123" s="24" t="inlineStr">
        <is>
          <t>Detroit Tigers</t>
        </is>
      </c>
      <c r="AR123" s="24" t="inlineStr">
        <is>
          <t>Detroit Tigers</t>
        </is>
      </c>
      <c r="AS123" s="24" t="inlineStr">
        <is>
          <t>mlb-ath</t>
        </is>
      </c>
      <c r="AT123" s="24" t="inlineStr">
        <is>
          <t>Athletics</t>
        </is>
      </c>
      <c r="AU123" s="24" t="inlineStr">
        <is>
          <t>Athletics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464eef695bfbbdaa819ec6f5e4c5bd1068ed20b92915fb2677220ae91e20d8b6</t>
        </is>
      </c>
      <c r="BB123" s="24" t="inlineStr">
        <is>
          <t>learned_lr</t>
        </is>
      </c>
      <c r="BC123" s="24" t="inlineStr">
        <is>
          <t>mlb-elo-trend-lr-v7</t>
        </is>
      </c>
      <c r="BD123" s="24" t="inlineStr">
        <is>
          <t>464eef695bfbbdaa819ec6f5e4c5bd1068ed20b92915fb2677220ae91e20d8b6</t>
        </is>
      </c>
      <c r="BE123" s="24" t="inlineStr">
        <is>
          <t>c336d1fbc170b694</t>
        </is>
      </c>
      <c r="BF123" s="24" t="inlineStr">
        <is>
          <t>1</t>
        </is>
      </c>
      <c r="BG123" s="24" t="inlineStr">
        <is>
          <t>mlb-elo-trend-lr-v7</t>
        </is>
      </c>
      <c r="BH123" s="24" t="inlineStr">
        <is>
          <t>2026-08-01T23:51:51.085087Z</t>
        </is>
      </c>
      <c r="BI123" s="24" t="inlineStr">
        <is>
          <t>["same_event","same_team_same_day","same_league_same_day"]</t>
        </is>
      </c>
      <c r="BJ123" s="25" t="n"/>
      <c r="BK123" s="26" t="n">
        <v>-163</v>
      </c>
      <c r="BL123" s="27" t="n">
        <v>1.613497</v>
      </c>
      <c r="BM123" s="28" t="n">
        <v>0.619772</v>
      </c>
      <c r="BN123" s="28" t="n">
        <v>0.616915</v>
      </c>
      <c r="BO123" s="28" t="n"/>
      <c r="BP123" s="25" t="n"/>
      <c r="BQ123" s="27" t="n">
        <v>1.613497</v>
      </c>
      <c r="BR123" s="28" t="n">
        <v>0.62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0.4182489247</t>
        </is>
      </c>
      <c r="CD123" s="24" t="inlineStr">
        <is>
          <t>-3.451557</t>
        </is>
      </c>
      <c r="CE123" s="24" t="inlineStr">
        <is>
          <t>1.153</t>
        </is>
      </c>
      <c r="CF123" s="24" t="inlineStr">
        <is>
          <t>1.0254</t>
        </is>
      </c>
      <c r="CG123" s="24" t="inlineStr">
        <is>
          <t>1.0</t>
        </is>
      </c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</row>
    <row r="124" ht="36" customHeight="1">
      <c r="A124" s="24" t="inlineStr">
        <is>
          <t>a8302dcd85cc4351</t>
        </is>
      </c>
      <c r="B124" s="24" t="inlineStr">
        <is>
          <t>2026-08-01T23:52:39.479166Z</t>
        </is>
      </c>
      <c r="C124" s="24" t="inlineStr">
        <is>
          <t>2026-08-02T00:10Z</t>
        </is>
      </c>
      <c r="D124" s="24" t="inlineStr">
        <is>
          <t>401816356</t>
        </is>
      </c>
      <c r="E124" s="24" t="inlineStr">
        <is>
          <t>MLB</t>
        </is>
      </c>
      <c r="F124" s="24" t="inlineStr">
        <is>
          <t>Kansas City Royals</t>
        </is>
      </c>
      <c r="G124" s="24" t="inlineStr">
        <is>
          <t>Colorado Rockies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-167</v>
      </c>
      <c r="M124" s="27" t="n">
        <v>1.598802</v>
      </c>
      <c r="N124" s="28" t="n">
        <v>0.625468</v>
      </c>
      <c r="O124" s="28" t="n">
        <v>0.608274</v>
      </c>
      <c r="P124" s="28" t="n">
        <v>0.042131</v>
      </c>
      <c r="Q124" s="28" t="n">
        <v>-0.017194</v>
      </c>
      <c r="R124" s="26" t="n">
        <v>16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6</v>
      </c>
      <c r="X124" s="26" t="n">
        <v>12</v>
      </c>
      <c r="Y124" s="25" t="n">
        <v>1.5</v>
      </c>
      <c r="Z124" s="26" t="n">
        <v>-167</v>
      </c>
      <c r="AA124" s="28" t="n">
        <v>0.625</v>
      </c>
      <c r="AB124" s="28" t="n">
        <v>-0.000468</v>
      </c>
      <c r="AC124" s="30" t="n">
        <v>-1.5</v>
      </c>
      <c r="AD124" s="24" t="inlineStr">
        <is>
          <t>2026-08-02T03:26:04.987733Z</t>
        </is>
      </c>
      <c r="AE124" s="31" t="inlineStr">
        <is>
          <t>Measured Edge Margin: Trend Engine projected 5.10-5.03; raw selected-side p=0.6650, calibrated p=0.6083.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mlb-kc</t>
        </is>
      </c>
      <c r="AQ124" s="24" t="inlineStr">
        <is>
          <t>Kansas City Royals</t>
        </is>
      </c>
      <c r="AR124" s="24" t="inlineStr">
        <is>
          <t>Kansas City Royals</t>
        </is>
      </c>
      <c r="AS124" s="24" t="inlineStr">
        <is>
          <t>mlb-col</t>
        </is>
      </c>
      <c r="AT124" s="24" t="inlineStr">
        <is>
          <t>Colorado Rockies</t>
        </is>
      </c>
      <c r="AU124" s="24" t="inlineStr">
        <is>
          <t>Colorado Rockies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2026-08-01T23:52:39.479166Z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-167</v>
      </c>
      <c r="BL124" s="27" t="n">
        <v>1.598802</v>
      </c>
      <c r="BM124" s="28" t="n">
        <v>0.625468</v>
      </c>
      <c r="BN124" s="28" t="n">
        <v>0.621891</v>
      </c>
      <c r="BO124" s="28" t="n"/>
      <c r="BP124" s="25" t="n"/>
      <c r="BQ124" s="27" t="n">
        <v>1.598802</v>
      </c>
      <c r="BR124" s="28" t="n">
        <v>0.625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</row>
    <row r="125" ht="36" customHeight="1">
      <c r="A125" s="24" t="inlineStr">
        <is>
          <t>0f21a302528244cc</t>
        </is>
      </c>
      <c r="B125" s="24" t="inlineStr">
        <is>
          <t>2026-08-01T23:52:39.479166Z</t>
        </is>
      </c>
      <c r="C125" s="24" t="inlineStr">
        <is>
          <t>2026-08-02T00:10Z</t>
        </is>
      </c>
      <c r="D125" s="24" t="inlineStr">
        <is>
          <t>401816356</t>
        </is>
      </c>
      <c r="E125" s="24" t="inlineStr">
        <is>
          <t>MLB</t>
        </is>
      </c>
      <c r="F125" s="24" t="inlineStr">
        <is>
          <t>Kansas City Royals</t>
        </is>
      </c>
      <c r="G125" s="24" t="inlineStr">
        <is>
          <t>Colorado Rockies</t>
        </is>
      </c>
      <c r="H125" s="24" t="inlineStr">
        <is>
          <t>total</t>
        </is>
      </c>
      <c r="I125" s="24" t="inlineStr">
        <is>
          <t>under</t>
        </is>
      </c>
      <c r="J125" s="25" t="n">
        <v>11.5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0.561409</v>
      </c>
      <c r="P125" s="28" t="n">
        <v>0.042131</v>
      </c>
      <c r="Q125" s="28" t="n">
        <v>0.061409</v>
      </c>
      <c r="R125" s="26" t="n">
        <v>55</v>
      </c>
      <c r="S125" s="29" t="n">
        <v>1.25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6</v>
      </c>
      <c r="X125" s="26" t="n">
        <v>12</v>
      </c>
      <c r="Y125" s="25" t="n">
        <v>11.5</v>
      </c>
      <c r="Z125" s="26" t="n">
        <v>100</v>
      </c>
      <c r="AA125" s="28" t="n">
        <v>0.5</v>
      </c>
      <c r="AB125" s="28" t="n">
        <v>0</v>
      </c>
      <c r="AC125" s="30" t="n">
        <v>-1.25</v>
      </c>
      <c r="AD125" s="24" t="inlineStr">
        <is>
          <t>2026-08-02T03:26:05.548958Z</t>
        </is>
      </c>
      <c r="AE125" s="31" t="inlineStr">
        <is>
          <t>Measured Edge Totals: Trend Engine projected 5.10-5.03; raw selected-side p=0.6564, calibrated p=0.5614.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NO_CALL_MODEL_UNVALIDATED</t>
        </is>
      </c>
      <c r="AP125" s="24" t="inlineStr">
        <is>
          <t>mlb-kc</t>
        </is>
      </c>
      <c r="AQ125" s="24" t="inlineStr">
        <is>
          <t>Kansas City Royals</t>
        </is>
      </c>
      <c r="AR125" s="24" t="inlineStr">
        <is>
          <t>Kansas City Royals</t>
        </is>
      </c>
      <c r="AS125" s="24" t="inlineStr">
        <is>
          <t>mlb-col</t>
        </is>
      </c>
      <c r="AT125" s="24" t="inlineStr">
        <is>
          <t>Colorado Rockies</t>
        </is>
      </c>
      <c r="AU125" s="24" t="inlineStr">
        <is>
          <t>Colorado Rockies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2026-08-01T23:52:39.479166Z</t>
        </is>
      </c>
      <c r="BI125" s="24" t="inlineStr">
        <is>
          <t>["same_event","same_team_same_day","same_league_same_day"]</t>
        </is>
      </c>
      <c r="BJ125" s="25" t="n">
        <v>11.5</v>
      </c>
      <c r="BK125" s="26" t="n">
        <v>100</v>
      </c>
      <c r="BL125" s="27" t="n">
        <v>2</v>
      </c>
      <c r="BM125" s="28" t="n">
        <v>0.5</v>
      </c>
      <c r="BN125" s="28" t="n">
        <v>0.497512</v>
      </c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</row>
    <row r="126" ht="36" customHeight="1">
      <c r="A126" s="24" t="inlineStr">
        <is>
          <t>cd2d9862386a4efc</t>
        </is>
      </c>
      <c r="B126" s="24" t="inlineStr">
        <is>
          <t>2026-08-01T23:52:39.479166Z</t>
        </is>
      </c>
      <c r="C126" s="24" t="inlineStr">
        <is>
          <t>2026-08-02T00:40Z</t>
        </is>
      </c>
      <c r="D126" s="24" t="inlineStr">
        <is>
          <t>401816361</t>
        </is>
      </c>
      <c r="E126" s="24" t="inlineStr">
        <is>
          <t>MLB</t>
        </is>
      </c>
      <c r="F126" s="24" t="inlineStr">
        <is>
          <t>San Francisco Giants</t>
        </is>
      </c>
      <c r="G126" s="24" t="inlineStr">
        <is>
          <t>San Diego Padres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-153</v>
      </c>
      <c r="M126" s="27" t="n">
        <v>1.653595</v>
      </c>
      <c r="N126" s="28" t="n">
        <v>0.604743</v>
      </c>
      <c r="O126" s="28" t="n">
        <v>0.621429</v>
      </c>
      <c r="P126" s="28" t="n">
        <v>0.042131</v>
      </c>
      <c r="Q126" s="28" t="n">
        <v>0.016686</v>
      </c>
      <c r="R126" s="26" t="n">
        <v>33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6</v>
      </c>
      <c r="Y126" s="25" t="n">
        <v>1.5</v>
      </c>
      <c r="Z126" s="26" t="n">
        <v>-153</v>
      </c>
      <c r="AA126" s="28" t="n">
        <v>0.605</v>
      </c>
      <c r="AB126" s="28" t="n">
        <v>0.000257</v>
      </c>
      <c r="AC126" s="30" t="n">
        <v>0.9804</v>
      </c>
      <c r="AD126" s="24" t="inlineStr">
        <is>
          <t>2026-08-02T04:26:13.568842Z</t>
        </is>
      </c>
      <c r="AE126" s="31" t="inlineStr">
        <is>
          <t>Measured Edge Margin: Trend Engine projected 4.97-4.72; raw selected-side p=0.6850, calibrated p=0.6214.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mlb-sf</t>
        </is>
      </c>
      <c r="AQ126" s="24" t="inlineStr">
        <is>
          <t>San Francisco Giants</t>
        </is>
      </c>
      <c r="AR126" s="24" t="inlineStr">
        <is>
          <t>San Francisco Giants</t>
        </is>
      </c>
      <c r="AS126" s="24" t="inlineStr">
        <is>
          <t>mlb-sd</t>
        </is>
      </c>
      <c r="AT126" s="24" t="inlineStr">
        <is>
          <t>San Diego Padres</t>
        </is>
      </c>
      <c r="AU126" s="24" t="inlineStr">
        <is>
          <t>San Diego Padres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2026-08-01T23:52:39.479166Z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-153</v>
      </c>
      <c r="BL126" s="27" t="n">
        <v>1.653595</v>
      </c>
      <c r="BM126" s="28" t="n">
        <v>0.604743</v>
      </c>
      <c r="BN126" s="28" t="n">
        <v>0.60199</v>
      </c>
      <c r="BO126" s="28" t="n"/>
      <c r="BP126" s="25" t="n"/>
      <c r="BQ126" s="27" t="n">
        <v>1.653595</v>
      </c>
      <c r="BR126" s="28" t="n">
        <v>0.605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</row>
    <row r="127" ht="36" customHeight="1">
      <c r="A127" s="24" t="inlineStr">
        <is>
          <t>460d3ac964b54fb9</t>
        </is>
      </c>
      <c r="B127" s="24" t="inlineStr">
        <is>
          <t>2026-08-01T23:52:39.479166Z</t>
        </is>
      </c>
      <c r="C127" s="24" t="inlineStr">
        <is>
          <t>2026-08-02T00:40Z</t>
        </is>
      </c>
      <c r="D127" s="24" t="inlineStr">
        <is>
          <t>401816361</t>
        </is>
      </c>
      <c r="E127" s="24" t="inlineStr">
        <is>
          <t>MLB</t>
        </is>
      </c>
      <c r="F127" s="24" t="inlineStr">
        <is>
          <t>San Francisco Giants</t>
        </is>
      </c>
      <c r="G127" s="24" t="inlineStr">
        <is>
          <t>San Diego Padres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0.5338000000000001</v>
      </c>
      <c r="P127" s="28" t="n">
        <v>0.042131</v>
      </c>
      <c r="Q127" s="28" t="n">
        <v>0.053031</v>
      </c>
      <c r="R127" s="26" t="n">
        <v>51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win</t>
        </is>
      </c>
      <c r="W127" s="26" t="n">
        <v>5</v>
      </c>
      <c r="X127" s="26" t="n">
        <v>6</v>
      </c>
      <c r="Y127" s="25" t="n">
        <v>8.5</v>
      </c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2026-08-02T04:26:14.039588Z</t>
        </is>
      </c>
      <c r="AE127" s="31" t="inlineStr">
        <is>
          <t>Measured Edge Totals: Trend Engine projected 4.97-4.72; raw selected-side p=0.5756, calibrated p=0.5338.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NO_CALL_MODEL_UNVALIDATED</t>
        </is>
      </c>
      <c r="AP127" s="24" t="inlineStr">
        <is>
          <t>mlb-sf</t>
        </is>
      </c>
      <c r="AQ127" s="24" t="inlineStr">
        <is>
          <t>San Francisco Giants</t>
        </is>
      </c>
      <c r="AR127" s="24" t="inlineStr">
        <is>
          <t>San Francisco Giants</t>
        </is>
      </c>
      <c r="AS127" s="24" t="inlineStr">
        <is>
          <t>mlb-sd</t>
        </is>
      </c>
      <c r="AT127" s="24" t="inlineStr">
        <is>
          <t>San Diego Padres</t>
        </is>
      </c>
      <c r="AU127" s="24" t="inlineStr">
        <is>
          <t>San Diego Padres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2026-08-01T23:52:39.479166Z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108</v>
      </c>
      <c r="BL127" s="27" t="n">
        <v>2.08</v>
      </c>
      <c r="BM127" s="28" t="n">
        <v>0.480769</v>
      </c>
      <c r="BN127" s="28" t="n">
        <v>0.477612</v>
      </c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</row>
    <row r="128" ht="36" customHeight="1">
      <c r="A128" s="24" t="inlineStr">
        <is>
          <t>33bd68b7d7af45d1</t>
        </is>
      </c>
      <c r="B128" s="24" t="inlineStr">
        <is>
          <t>2026-08-01T23:52:39.479166Z</t>
        </is>
      </c>
      <c r="C128" s="24" t="inlineStr">
        <is>
          <t>2026-08-02T01:10Z</t>
        </is>
      </c>
      <c r="D128" s="24" t="inlineStr">
        <is>
          <t>401816357</t>
        </is>
      </c>
      <c r="E128" s="24" t="inlineStr">
        <is>
          <t>MLB</t>
        </is>
      </c>
      <c r="F128" s="24" t="inlineStr">
        <is>
          <t>Boston Red Sox</t>
        </is>
      </c>
      <c r="G128" s="24" t="inlineStr">
        <is>
          <t>Los Angeles Dodgers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-138</v>
      </c>
      <c r="M128" s="27" t="n">
        <v>1.724638</v>
      </c>
      <c r="N128" s="28" t="n">
        <v>0.579832</v>
      </c>
      <c r="O128" s="28" t="n">
        <v>0.5855399999999999</v>
      </c>
      <c r="P128" s="28" t="n">
        <v>0.042131</v>
      </c>
      <c r="Q128" s="28" t="n">
        <v>0.005708</v>
      </c>
      <c r="R128" s="26" t="n">
        <v>28</v>
      </c>
      <c r="S128" s="29" t="n">
        <v>1.25</v>
      </c>
      <c r="T128" s="24" t="inlineStr">
        <is>
          <t>measured-edge-margin-v2</t>
        </is>
      </c>
      <c r="U128" s="24" t="inlineStr">
        <is>
          <t>settled</t>
        </is>
      </c>
      <c r="V128" s="24" t="inlineStr">
        <is>
          <t>win</t>
        </is>
      </c>
      <c r="W128" s="26" t="n">
        <v>3</v>
      </c>
      <c r="X128" s="26" t="n">
        <v>2</v>
      </c>
      <c r="Y128" s="25" t="n">
        <v>1.5</v>
      </c>
      <c r="Z128" s="26" t="n">
        <v>-138</v>
      </c>
      <c r="AA128" s="28" t="n">
        <v>0.58</v>
      </c>
      <c r="AB128" s="28" t="n">
        <v>0.000168</v>
      </c>
      <c r="AC128" s="30" t="n">
        <v>0.9058</v>
      </c>
      <c r="AD128" s="24" t="inlineStr">
        <is>
          <t>2026-08-02T03:26:06.086063Z</t>
        </is>
      </c>
      <c r="AE128" s="31" t="inlineStr">
        <is>
          <t>Measured Edge Margin: Trend Engine projected 4.26-4.73; raw selected-side p=0.6303, calibrated p=0.5855.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NO_CALL_MODEL_UNVALIDATED</t>
        </is>
      </c>
      <c r="AP128" s="24" t="inlineStr">
        <is>
          <t>mlb-bos</t>
        </is>
      </c>
      <c r="AQ128" s="24" t="inlineStr">
        <is>
          <t>Boston Red Sox</t>
        </is>
      </c>
      <c r="AR128" s="24" t="inlineStr">
        <is>
          <t>Boston Red Sox</t>
        </is>
      </c>
      <c r="AS128" s="24" t="inlineStr">
        <is>
          <t>mlb-lad</t>
        </is>
      </c>
      <c r="AT128" s="24" t="inlineStr">
        <is>
          <t>Los Angeles Dodgers</t>
        </is>
      </c>
      <c r="AU128" s="24" t="inlineStr">
        <is>
          <t>Los Angeles Dodgers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8360b122264b796b0fb193095cfe4506c7e064e5f3f8c0a659aec41efd08dd25</t>
        </is>
      </c>
      <c r="BB128" s="24" t="inlineStr">
        <is>
          <t>flat_probability_shrinkage_toward_half</t>
        </is>
      </c>
      <c r="BC128" s="24" t="inlineStr">
        <is>
          <t>measured-edge-margin-v2</t>
        </is>
      </c>
      <c r="BD128" s="24" t="inlineStr">
        <is>
          <t>8360b122264b796b0fb193095cfe4506c7e064e5f3f8c0a659aec41efd08dd25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2026-08-01T23:52:39.479166Z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-138</v>
      </c>
      <c r="BL128" s="27" t="n">
        <v>1.724638</v>
      </c>
      <c r="BM128" s="28" t="n">
        <v>0.579832</v>
      </c>
      <c r="BN128" s="28" t="n">
        <v>0.577114</v>
      </c>
      <c r="BO128" s="28" t="n"/>
      <c r="BP128" s="25" t="n"/>
      <c r="BQ128" s="27" t="n">
        <v>1.724638</v>
      </c>
      <c r="BR128" s="28" t="n">
        <v>0.58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</row>
    <row r="129" ht="36" customHeight="1">
      <c r="A129" s="24" t="inlineStr">
        <is>
          <t>fd4b348108b34346</t>
        </is>
      </c>
      <c r="B129" s="24" t="inlineStr">
        <is>
          <t>2026-08-01T23:52:39.479166Z</t>
        </is>
      </c>
      <c r="C129" s="24" t="inlineStr">
        <is>
          <t>2026-08-02T01:10Z</t>
        </is>
      </c>
      <c r="D129" s="24" t="inlineStr">
        <is>
          <t>401816357</t>
        </is>
      </c>
      <c r="E129" s="24" t="inlineStr">
        <is>
          <t>MLB</t>
        </is>
      </c>
      <c r="F129" s="24" t="inlineStr">
        <is>
          <t>Boston Red Sox</t>
        </is>
      </c>
      <c r="G129" s="24" t="inlineStr">
        <is>
          <t>Los Angeles Dodgers</t>
        </is>
      </c>
      <c r="H129" s="24" t="inlineStr">
        <is>
          <t>total</t>
        </is>
      </c>
      <c r="I129" s="24" t="inlineStr">
        <is>
          <t>over</t>
        </is>
      </c>
      <c r="J129" s="25" t="n">
        <v>7.5</v>
      </c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0.536875</v>
      </c>
      <c r="P129" s="28" t="n">
        <v>0.042131</v>
      </c>
      <c r="Q129" s="28" t="n">
        <v>0.076046</v>
      </c>
      <c r="R129" s="26" t="n">
        <v>63</v>
      </c>
      <c r="S129" s="29" t="n">
        <v>1</v>
      </c>
      <c r="T129" s="24" t="inlineStr">
        <is>
          <t>measured-edge-totals-v2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2</v>
      </c>
      <c r="Y129" s="25" t="n">
        <v>7.5</v>
      </c>
      <c r="Z129" s="26" t="n">
        <v>117</v>
      </c>
      <c r="AA129" s="28" t="n">
        <v>0.46</v>
      </c>
      <c r="AB129" s="28" t="n">
        <v>-0.000829</v>
      </c>
      <c r="AC129" s="30" t="n">
        <v>-1</v>
      </c>
      <c r="AD129" s="24" t="inlineStr">
        <is>
          <t>2026-08-02T03:26:06.617227Z</t>
        </is>
      </c>
      <c r="AE129" s="31" t="inlineStr">
        <is>
          <t>Measured Edge Totals: Trend Engine projected 4.26-4.73; raw selected-side p=0.5847, calibrated p=0.5369.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NO_CALL_MODEL_UNVALIDATED</t>
        </is>
      </c>
      <c r="AP129" s="24" t="inlineStr">
        <is>
          <t>mlb-bos</t>
        </is>
      </c>
      <c r="AQ129" s="24" t="inlineStr">
        <is>
          <t>Boston Red Sox</t>
        </is>
      </c>
      <c r="AR129" s="24" t="inlineStr">
        <is>
          <t>Boston Red Sox</t>
        </is>
      </c>
      <c r="AS129" s="24" t="inlineStr">
        <is>
          <t>mlb-lad</t>
        </is>
      </c>
      <c r="AT129" s="24" t="inlineStr">
        <is>
          <t>Los Angeles Dodgers</t>
        </is>
      </c>
      <c r="AU129" s="24" t="inlineStr">
        <is>
          <t>Los Angeles Dodgers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433578016242b27f9c1c7132cc6b5a2bcc7dd1b0234590c12a944455a88e71bd</t>
        </is>
      </c>
      <c r="BB129" s="24" t="inlineStr">
        <is>
          <t>flat_probability_shrinkage_toward_half</t>
        </is>
      </c>
      <c r="BC129" s="24" t="inlineStr">
        <is>
          <t>measured-edge-totals-v2</t>
        </is>
      </c>
      <c r="BD129" s="24" t="inlineStr">
        <is>
          <t>433578016242b27f9c1c7132cc6b5a2bcc7dd1b0234590c12a944455a88e71bd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2026-08-01T23:52:39.479166Z</t>
        </is>
      </c>
      <c r="BI129" s="24" t="inlineStr">
        <is>
          <t>["same_event","same_team_same_day","same_league_same_day"]</t>
        </is>
      </c>
      <c r="BJ129" s="25" t="n">
        <v>7.5</v>
      </c>
      <c r="BK129" s="26" t="n">
        <v>117</v>
      </c>
      <c r="BL129" s="27" t="n">
        <v>2.17</v>
      </c>
      <c r="BM129" s="28" t="n">
        <v>0.460829</v>
      </c>
      <c r="BN129" s="28" t="n">
        <v>0.457711</v>
      </c>
      <c r="BO129" s="28" t="n"/>
      <c r="BP129" s="25" t="n"/>
      <c r="BQ129" s="27" t="n">
        <v>2.17</v>
      </c>
      <c r="BR129" s="28" t="n">
        <v>0.46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</row>
    <row r="130" ht="36" customHeight="1">
      <c r="A130" s="24" t="inlineStr">
        <is>
          <t>a68808b3454d43b2</t>
        </is>
      </c>
      <c r="B130" s="24" t="inlineStr">
        <is>
          <t>2026-08-01T23:52:39.479166Z</t>
        </is>
      </c>
      <c r="C130" s="24" t="inlineStr">
        <is>
          <t>2026-08-02T01:38Z</t>
        </is>
      </c>
      <c r="D130" s="24" t="inlineStr">
        <is>
          <t>401816359</t>
        </is>
      </c>
      <c r="E130" s="24" t="inlineStr">
        <is>
          <t>MLB</t>
        </is>
      </c>
      <c r="F130" s="24" t="inlineStr">
        <is>
          <t>Milwaukee Brewers</t>
        </is>
      </c>
      <c r="G130" s="24" t="inlineStr">
        <is>
          <t>Los Angeles Angels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-117</v>
      </c>
      <c r="M130" s="27" t="n">
        <v>1.854701</v>
      </c>
      <c r="N130" s="28" t="n">
        <v>0.539171</v>
      </c>
      <c r="O130" s="28" t="n">
        <v>0.6323530000000001</v>
      </c>
      <c r="P130" s="28" t="n">
        <v>0.042131</v>
      </c>
      <c r="Q130" s="28" t="n">
        <v>0.093182</v>
      </c>
      <c r="R130" s="26" t="n">
        <v>71</v>
      </c>
      <c r="S130" s="29" t="n">
        <v>1.5</v>
      </c>
      <c r="T130" s="24" t="inlineStr">
        <is>
          <t>measured-edge-margin-v2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>
        <v>1.5</v>
      </c>
      <c r="Z130" s="26" t="n">
        <v>-117</v>
      </c>
      <c r="AA130" s="28" t="n">
        <v>0.54</v>
      </c>
      <c r="AB130" s="28" t="n">
        <v>0.000829</v>
      </c>
      <c r="AC130" s="30" t="n">
        <v>-1.5</v>
      </c>
      <c r="AD130" s="24" t="inlineStr">
        <is>
          <t>2026-08-02T04:26:14.595420Z</t>
        </is>
      </c>
      <c r="AE130" s="31" t="inlineStr">
        <is>
          <t>Measured Edge Margin: Trend Engine projected 4.46-4.83; raw selected-side p=0.7016, calibrated p=0.6324.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NO_CALL_MODEL_UNVALIDATED</t>
        </is>
      </c>
      <c r="AP130" s="24" t="inlineStr">
        <is>
          <t>mlb-mil</t>
        </is>
      </c>
      <c r="AQ130" s="24" t="inlineStr">
        <is>
          <t>Milwaukee Brewers</t>
        </is>
      </c>
      <c r="AR130" s="24" t="inlineStr">
        <is>
          <t>Milwaukee Brewers</t>
        </is>
      </c>
      <c r="AS130" s="24" t="inlineStr">
        <is>
          <t>mlb-laa</t>
        </is>
      </c>
      <c r="AT130" s="24" t="inlineStr">
        <is>
          <t>Los Angeles Angels</t>
        </is>
      </c>
      <c r="AU130" s="24" t="inlineStr">
        <is>
          <t>Los Angeles Angels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8360b122264b796b0fb193095cfe4506c7e064e5f3f8c0a659aec41efd08dd25</t>
        </is>
      </c>
      <c r="BB130" s="24" t="inlineStr">
        <is>
          <t>flat_probability_shrinkage_toward_half</t>
        </is>
      </c>
      <c r="BC130" s="24" t="inlineStr">
        <is>
          <t>measured-edge-margin-v2</t>
        </is>
      </c>
      <c r="BD130" s="24" t="inlineStr">
        <is>
          <t>8360b122264b796b0fb193095cfe4506c7e064e5f3f8c0a659aec41efd08dd25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2026-08-01T23:52:39.479166Z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-117</v>
      </c>
      <c r="BL130" s="27" t="n">
        <v>1.854701</v>
      </c>
      <c r="BM130" s="28" t="n">
        <v>0.539171</v>
      </c>
      <c r="BN130" s="28" t="n">
        <v>0.537313</v>
      </c>
      <c r="BO130" s="28" t="n"/>
      <c r="BP130" s="25" t="n"/>
      <c r="BQ130" s="27" t="n">
        <v>1.854701</v>
      </c>
      <c r="BR130" s="28" t="n">
        <v>0.54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</row>
    <row r="131" ht="36" customHeight="1">
      <c r="A131" s="24" t="inlineStr">
        <is>
          <t>2476d7cf9c294516</t>
        </is>
      </c>
      <c r="B131" s="24" t="inlineStr">
        <is>
          <t>2026-08-01T23:52:39.479166Z</t>
        </is>
      </c>
      <c r="C131" s="24" t="inlineStr">
        <is>
          <t>2026-08-02T01:38Z</t>
        </is>
      </c>
      <c r="D131" s="24" t="inlineStr">
        <is>
          <t>401816359</t>
        </is>
      </c>
      <c r="E131" s="24" t="inlineStr">
        <is>
          <t>MLB</t>
        </is>
      </c>
      <c r="F131" s="24" t="inlineStr">
        <is>
          <t>Milwaukee Brewers</t>
        </is>
      </c>
      <c r="G131" s="24" t="inlineStr">
        <is>
          <t>Los Angeles Angels</t>
        </is>
      </c>
      <c r="H131" s="24" t="inlineStr">
        <is>
          <t>total</t>
        </is>
      </c>
      <c r="I131" s="24" t="inlineStr">
        <is>
          <t>over</t>
        </is>
      </c>
      <c r="J131" s="25" t="n">
        <v>8.5</v>
      </c>
      <c r="K131" s="24" t="inlineStr">
        <is>
          <t>polymarket_us</t>
        </is>
      </c>
      <c r="L131" s="26" t="n">
        <v>-120</v>
      </c>
      <c r="M131" s="27" t="n">
        <v>1.833333</v>
      </c>
      <c r="N131" s="28" t="n">
        <v>0.545455</v>
      </c>
      <c r="O131" s="28" t="n">
        <v>0.521054</v>
      </c>
      <c r="P131" s="28" t="n">
        <v>0.042131</v>
      </c>
      <c r="Q131" s="28" t="n">
        <v>-0.024401</v>
      </c>
      <c r="R131" s="26" t="n">
        <v>13</v>
      </c>
      <c r="S131" s="29" t="n">
        <v>1</v>
      </c>
      <c r="T131" s="24" t="inlineStr">
        <is>
          <t>measured-edge-totals-v2</t>
        </is>
      </c>
      <c r="U131" s="24" t="inlineStr">
        <is>
          <t>settled</t>
        </is>
      </c>
      <c r="V131" s="24" t="inlineStr">
        <is>
          <t>loss</t>
        </is>
      </c>
      <c r="W131" s="26" t="n">
        <v>3</v>
      </c>
      <c r="X131" s="26" t="n">
        <v>1</v>
      </c>
      <c r="Y131" s="25" t="n">
        <v>8.5</v>
      </c>
      <c r="Z131" s="26" t="n">
        <v>-120</v>
      </c>
      <c r="AA131" s="28" t="n">
        <v>0.545</v>
      </c>
      <c r="AB131" s="28" t="n">
        <v>-0.000455</v>
      </c>
      <c r="AC131" s="30" t="n">
        <v>-1</v>
      </c>
      <c r="AD131" s="24" t="inlineStr">
        <is>
          <t>2026-08-02T04:26:15.051688Z</t>
        </is>
      </c>
      <c r="AE131" s="31" t="inlineStr">
        <is>
          <t>Measured Edge Totals: Trend Engine projected 4.46-4.83; raw selected-side p=0.5383, calibrated p=0.5211.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NO_CALL_MODEL_UNVALIDATED</t>
        </is>
      </c>
      <c r="AP131" s="24" t="inlineStr">
        <is>
          <t>mlb-mil</t>
        </is>
      </c>
      <c r="AQ131" s="24" t="inlineStr">
        <is>
          <t>Milwaukee Brewers</t>
        </is>
      </c>
      <c r="AR131" s="24" t="inlineStr">
        <is>
          <t>Milwaukee Brewers</t>
        </is>
      </c>
      <c r="AS131" s="24" t="inlineStr">
        <is>
          <t>mlb-laa</t>
        </is>
      </c>
      <c r="AT131" s="24" t="inlineStr">
        <is>
          <t>Los Angeles Angels</t>
        </is>
      </c>
      <c r="AU131" s="24" t="inlineStr">
        <is>
          <t>Los Angeles Angels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433578016242b27f9c1c7132cc6b5a2bcc7dd1b0234590c12a944455a88e71bd</t>
        </is>
      </c>
      <c r="BB131" s="24" t="inlineStr">
        <is>
          <t>flat_probability_shrinkage_toward_half</t>
        </is>
      </c>
      <c r="BC131" s="24" t="inlineStr">
        <is>
          <t>measured-edge-totals-v2</t>
        </is>
      </c>
      <c r="BD131" s="24" t="inlineStr">
        <is>
          <t>433578016242b27f9c1c7132cc6b5a2bcc7dd1b0234590c12a944455a88e71bd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2026-08-01T23:52:39.479166Z</t>
        </is>
      </c>
      <c r="BI131" s="24" t="inlineStr">
        <is>
          <t>["same_event","same_team_same_day","same_league_same_day"]</t>
        </is>
      </c>
      <c r="BJ131" s="25" t="n">
        <v>8.5</v>
      </c>
      <c r="BK131" s="26" t="n">
        <v>-120</v>
      </c>
      <c r="BL131" s="27" t="n">
        <v>1.833333</v>
      </c>
      <c r="BM131" s="28" t="n">
        <v>0.545455</v>
      </c>
      <c r="BN131" s="28" t="n">
        <v>0.542289</v>
      </c>
      <c r="BO131" s="28" t="n"/>
      <c r="BP131" s="25" t="n"/>
      <c r="BQ131" s="27" t="n">
        <v>1.833333</v>
      </c>
      <c r="BR131" s="28" t="n">
        <v>0.545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</row>
    <row r="132" ht="36" customHeight="1">
      <c r="A132" s="24" t="inlineStr">
        <is>
          <t>6c913b248fc5448c</t>
        </is>
      </c>
      <c r="B132" s="24" t="inlineStr">
        <is>
          <t>2026-08-01T23:52:39.479166Z</t>
        </is>
      </c>
      <c r="C132" s="24" t="inlineStr">
        <is>
          <t>2026-08-02T01:40Z</t>
        </is>
      </c>
      <c r="D132" s="24" t="inlineStr">
        <is>
          <t>401816358</t>
        </is>
      </c>
      <c r="E132" s="24" t="inlineStr">
        <is>
          <t>MLB</t>
        </is>
      </c>
      <c r="F132" s="24" t="inlineStr">
        <is>
          <t>Detroit Tigers</t>
        </is>
      </c>
      <c r="G132" s="24" t="inlineStr">
        <is>
          <t>Athletics</t>
        </is>
      </c>
      <c r="H132" s="24" t="inlineStr">
        <is>
          <t>spread</t>
        </is>
      </c>
      <c r="I132" s="24" t="inlineStr">
        <is>
          <t>home</t>
        </is>
      </c>
      <c r="J132" s="25" t="n">
        <v>1.5</v>
      </c>
      <c r="K132" s="24" t="inlineStr">
        <is>
          <t>polymarket_us</t>
        </is>
      </c>
      <c r="L132" s="26" t="n">
        <v>106</v>
      </c>
      <c r="M132" s="27" t="n">
        <v>2.06</v>
      </c>
      <c r="N132" s="28" t="n">
        <v>0.485437</v>
      </c>
      <c r="O132" s="28" t="n">
        <v>0.605321</v>
      </c>
      <c r="P132" s="28" t="n">
        <v>0.042131</v>
      </c>
      <c r="Q132" s="28" t="n">
        <v>0.119884</v>
      </c>
      <c r="R132" s="26" t="n">
        <v>85</v>
      </c>
      <c r="S132" s="29" t="n">
        <v>1.5</v>
      </c>
      <c r="T132" s="24" t="inlineStr">
        <is>
          <t>measured-edge-margin-v2</t>
        </is>
      </c>
      <c r="U132" s="24" t="inlineStr">
        <is>
          <t>settled</t>
        </is>
      </c>
      <c r="V132" s="24" t="inlineStr">
        <is>
          <t>loss</t>
        </is>
      </c>
      <c r="W132" s="26" t="n">
        <v>8</v>
      </c>
      <c r="X132" s="26" t="n">
        <v>6</v>
      </c>
      <c r="Y132" s="25" t="n">
        <v>1.5</v>
      </c>
      <c r="Z132" s="26" t="n">
        <v>106</v>
      </c>
      <c r="AA132" s="28" t="n">
        <v>0.485</v>
      </c>
      <c r="AB132" s="28" t="n">
        <v>-0.000437</v>
      </c>
      <c r="AC132" s="30" t="n">
        <v>-1.5</v>
      </c>
      <c r="AD132" s="24" t="inlineStr">
        <is>
          <t>2026-08-02T05:39:17.917036Z</t>
        </is>
      </c>
      <c r="AE132" s="31" t="inlineStr">
        <is>
          <t>Measured Edge Margin: Trend Engine projected 5.11-5.12; raw selected-side p=0.6604, calibrated p=0.6053.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NO_CALL_MODEL_UNVALIDATED</t>
        </is>
      </c>
      <c r="AP132" s="24" t="inlineStr">
        <is>
          <t>mlb-det</t>
        </is>
      </c>
      <c r="AQ132" s="24" t="inlineStr">
        <is>
          <t>Detroit Tigers</t>
        </is>
      </c>
      <c r="AR132" s="24" t="inlineStr">
        <is>
          <t>Detroit Tigers</t>
        </is>
      </c>
      <c r="AS132" s="24" t="inlineStr">
        <is>
          <t>mlb-ath</t>
        </is>
      </c>
      <c r="AT132" s="24" t="inlineStr">
        <is>
          <t>Athletics</t>
        </is>
      </c>
      <c r="AU132" s="24" t="inlineStr">
        <is>
          <t>Athletics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8360b122264b796b0fb193095cfe4506c7e064e5f3f8c0a659aec41efd08dd25</t>
        </is>
      </c>
      <c r="BB132" s="24" t="inlineStr">
        <is>
          <t>flat_probability_shrinkage_toward_half</t>
        </is>
      </c>
      <c r="BC132" s="24" t="inlineStr">
        <is>
          <t>measured-edge-margin-v2</t>
        </is>
      </c>
      <c r="BD132" s="24" t="inlineStr">
        <is>
          <t>8360b122264b796b0fb193095cfe4506c7e064e5f3f8c0a659aec41efd08dd25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2026-08-01T23:52:39.479166Z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106</v>
      </c>
      <c r="BL132" s="27" t="n">
        <v>2.06</v>
      </c>
      <c r="BM132" s="28" t="n">
        <v>0.485437</v>
      </c>
      <c r="BN132" s="28" t="n">
        <v>0.482587</v>
      </c>
      <c r="BO132" s="28" t="n"/>
      <c r="BP132" s="25" t="n"/>
      <c r="BQ132" s="27" t="n">
        <v>2.06</v>
      </c>
      <c r="BR132" s="28" t="n">
        <v>0.485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</row>
    <row r="133" ht="36" customHeight="1">
      <c r="A133" s="24" t="inlineStr">
        <is>
          <t>76c280e71b0f4b3b</t>
        </is>
      </c>
      <c r="B133" s="24" t="inlineStr">
        <is>
          <t>2026-08-01T23:52:39.479166Z</t>
        </is>
      </c>
      <c r="C133" s="24" t="inlineStr">
        <is>
          <t>2026-08-02T01:40Z</t>
        </is>
      </c>
      <c r="D133" s="24" t="inlineStr">
        <is>
          <t>401816358</t>
        </is>
      </c>
      <c r="E133" s="24" t="inlineStr">
        <is>
          <t>MLB</t>
        </is>
      </c>
      <c r="F133" s="24" t="inlineStr">
        <is>
          <t>Detroit Tigers</t>
        </is>
      </c>
      <c r="G133" s="24" t="inlineStr">
        <is>
          <t>Athletics</t>
        </is>
      </c>
      <c r="H133" s="24" t="inlineStr">
        <is>
          <t>total</t>
        </is>
      </c>
      <c r="I133" s="24" t="inlineStr">
        <is>
          <t>under</t>
        </is>
      </c>
      <c r="J133" s="25" t="n">
        <v>10.5</v>
      </c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0.526846</v>
      </c>
      <c r="P133" s="28" t="n">
        <v>0.042131</v>
      </c>
      <c r="Q133" s="28" t="n">
        <v>0.007615</v>
      </c>
      <c r="R133" s="26" t="n">
        <v>29</v>
      </c>
      <c r="S133" s="29" t="n">
        <v>1</v>
      </c>
      <c r="T133" s="24" t="inlineStr">
        <is>
          <t>measured-edge-totals-v2</t>
        </is>
      </c>
      <c r="U133" s="24" t="inlineStr">
        <is>
          <t>settled</t>
        </is>
      </c>
      <c r="V133" s="24" t="inlineStr">
        <is>
          <t>loss</t>
        </is>
      </c>
      <c r="W133" s="26" t="n">
        <v>8</v>
      </c>
      <c r="X133" s="26" t="n">
        <v>6</v>
      </c>
      <c r="Y133" s="25" t="n">
        <v>10.5</v>
      </c>
      <c r="Z133" s="26" t="n">
        <v>-108</v>
      </c>
      <c r="AA133" s="28" t="n">
        <v>0.52</v>
      </c>
      <c r="AB133" s="28" t="n">
        <v>0.000769</v>
      </c>
      <c r="AC133" s="30" t="n">
        <v>-1</v>
      </c>
      <c r="AD133" s="24" t="inlineStr">
        <is>
          <t>2026-08-02T05:39:18.942737Z</t>
        </is>
      </c>
      <c r="AE133" s="31" t="inlineStr">
        <is>
          <t>Measured Edge Totals: Trend Engine projected 5.11-5.12; raw selected-side p=0.5553, calibrated p=0.5268.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NO_CALL_MODEL_UNVALIDATED</t>
        </is>
      </c>
      <c r="AP133" s="24" t="inlineStr">
        <is>
          <t>mlb-det</t>
        </is>
      </c>
      <c r="AQ133" s="24" t="inlineStr">
        <is>
          <t>Detroit Tigers</t>
        </is>
      </c>
      <c r="AR133" s="24" t="inlineStr">
        <is>
          <t>Detroit Tigers</t>
        </is>
      </c>
      <c r="AS133" s="24" t="inlineStr">
        <is>
          <t>mlb-ath</t>
        </is>
      </c>
      <c r="AT133" s="24" t="inlineStr">
        <is>
          <t>Athletics</t>
        </is>
      </c>
      <c r="AU133" s="24" t="inlineStr">
        <is>
          <t>Athletics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433578016242b27f9c1c7132cc6b5a2bcc7dd1b0234590c12a944455a88e71bd</t>
        </is>
      </c>
      <c r="BB133" s="24" t="inlineStr">
        <is>
          <t>flat_probability_shrinkage_toward_half</t>
        </is>
      </c>
      <c r="BC133" s="24" t="inlineStr">
        <is>
          <t>measured-edge-totals-v2</t>
        </is>
      </c>
      <c r="BD133" s="24" t="inlineStr">
        <is>
          <t>433578016242b27f9c1c7132cc6b5a2bcc7dd1b0234590c12a944455a88e71bd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2026-08-01T23:52:39.479166Z</t>
        </is>
      </c>
      <c r="BI133" s="24" t="inlineStr">
        <is>
          <t>["same_event","same_team_same_day","same_league_same_day"]</t>
        </is>
      </c>
      <c r="BJ133" s="25" t="n">
        <v>10.5</v>
      </c>
      <c r="BK133" s="26" t="n">
        <v>-108</v>
      </c>
      <c r="BL133" s="27" t="n">
        <v>1.925926</v>
      </c>
      <c r="BM133" s="28" t="n">
        <v>0.519231</v>
      </c>
      <c r="BN133" s="28" t="n">
        <v>0.517413</v>
      </c>
      <c r="BO133" s="28" t="n"/>
      <c r="BP133" s="25" t="n"/>
      <c r="BQ133" s="27" t="n">
        <v>1.925926</v>
      </c>
      <c r="BR133" s="28" t="n">
        <v>0.52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</row>
    <row r="134" ht="36" customHeight="1">
      <c r="A134" s="24" t="inlineStr">
        <is>
          <t>7a7b4ead9f41446d</t>
        </is>
      </c>
      <c r="B134" s="24" t="inlineStr">
        <is>
          <t>2026-07-27T17:35:44.644443Z</t>
        </is>
      </c>
      <c r="C134" s="24" t="inlineStr">
        <is>
          <t>2026-07-27T18:00Z</t>
        </is>
      </c>
      <c r="D134" s="24" t="inlineStr">
        <is>
          <t>401886548</t>
        </is>
      </c>
      <c r="E134" s="24" t="inlineStr">
        <is>
          <t>SOCCER</t>
        </is>
      </c>
      <c r="F134" s="24" t="inlineStr">
        <is>
          <t>Venezia</t>
        </is>
      </c>
      <c r="G134" s="24" t="inlineStr">
        <is>
          <t>Galatasaray</t>
        </is>
      </c>
      <c r="H134" s="24" t="inlineStr">
        <is>
          <t>total</t>
        </is>
      </c>
      <c r="I134" s="24" t="inlineStr">
        <is>
          <t>under</t>
        </is>
      </c>
      <c r="J134" s="25" t="n">
        <v>2.5</v>
      </c>
      <c r="K134" s="24" t="inlineStr">
        <is>
          <t>polymarket_us</t>
        </is>
      </c>
      <c r="L134" s="26" t="n">
        <v>203</v>
      </c>
      <c r="M134" s="27" t="n">
        <v>3.03</v>
      </c>
      <c r="N134" s="28" t="n">
        <v>0.330033</v>
      </c>
      <c r="O134" s="28" t="n">
        <v>0.523162</v>
      </c>
      <c r="P134" s="28" t="n">
        <v>0.08</v>
      </c>
      <c r="Q134" s="28" t="n">
        <v>0.193129</v>
      </c>
      <c r="R134" s="26" t="n">
        <v>99</v>
      </c>
      <c r="S134" s="29" t="n">
        <v>1</v>
      </c>
      <c r="T134" s="24" t="inlineStr">
        <is>
          <t>soccer-poisson-dc-v1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0</v>
      </c>
      <c r="Y134" s="25" t="n"/>
      <c r="Z134" s="26" t="n"/>
      <c r="AA134" s="28" t="n"/>
      <c r="AB134" s="28" t="n"/>
      <c r="AC134" s="30" t="n">
        <v>-1</v>
      </c>
      <c r="AD134" s="24" t="inlineStr">
        <is>
          <t>2026-07-27T22:51:58.565109Z</t>
        </is>
      </c>
      <c r="AE134" s="31" t="inlineStr">
        <is>
          <t>Poisson-DC rates 1.63 (home) / 0.95 (away) from EWMA attack/defense strengths. Executable ask 0.3300 (tsc-clbf-gal-ven-2026-07-27-2pt5).</t>
        </is>
      </c>
      <c r="AF134" s="31" t="inlineStr">
        <is>
          <t>Research-only soccer score model; draw-aware, but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NO_CALL_MODEL_UNVALIDATED</t>
        </is>
      </c>
      <c r="AP134" s="24" t="inlineStr">
        <is>
          <t>Venezia</t>
        </is>
      </c>
      <c r="AQ134" s="24" t="inlineStr">
        <is>
          <t>Venezia</t>
        </is>
      </c>
      <c r="AR134" s="24" t="inlineStr">
        <is>
          <t>Venezia</t>
        </is>
      </c>
      <c r="AS134" s="24" t="inlineStr">
        <is>
          <t>Galatasaray</t>
        </is>
      </c>
      <c r="AT134" s="24" t="inlineStr">
        <is>
          <t>Galatasaray</t>
        </is>
      </c>
      <c r="AU134" s="24" t="inlineStr">
        <is>
          <t>Galatasaray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0361718a19f38c3d244b71cb6b1f2e7e14a86925e833d2186645250fc084b969</t>
        </is>
      </c>
      <c r="BB134" s="24" t="inlineStr">
        <is>
          <t>poisson_dixon_coles</t>
        </is>
      </c>
      <c r="BC134" s="24" t="inlineStr">
        <is>
          <t>soccer-poisson-dc-v1</t>
        </is>
      </c>
      <c r="BD134" s="24" t="inlineStr">
        <is>
          <t>0361718a19f38c3d244b71cb6b1f2e7e14a86925e833d2186645250fc084b969</t>
        </is>
      </c>
      <c r="BE134" s="24" t="inlineStr">
        <is>
          <t>soccer-poisson-dc-v1</t>
        </is>
      </c>
      <c r="BF134" s="24" t="inlineStr">
        <is>
          <t>1</t>
        </is>
      </c>
      <c r="BG134" s="24" t="inlineStr">
        <is>
          <t>0361718a19f38c3d244b71cb6b1f2e7e14a86925e833d2186645250fc084b969</t>
        </is>
      </c>
      <c r="BH134" s="24" t="inlineStr">
        <is>
          <t>2026-07-27T17:34:15.330265Z</t>
        </is>
      </c>
      <c r="BI134" s="24" t="inlineStr">
        <is>
          <t>["same_event","same_team_same_day","same_league_same_day"]</t>
        </is>
      </c>
      <c r="BJ134" s="25" t="n">
        <v>2.5</v>
      </c>
      <c r="BK134" s="26" t="n">
        <v>203</v>
      </c>
      <c r="BL134" s="27" t="n">
        <v>3.03</v>
      </c>
      <c r="BM134" s="28" t="n">
        <v>0.330033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</row>
    <row r="135" ht="36" customHeight="1">
      <c r="A135" s="24" t="inlineStr">
        <is>
          <t>19fc9ad985604d74</t>
        </is>
      </c>
      <c r="B135" s="24" t="inlineStr">
        <is>
          <t>2026-07-27T17:35:44.644443Z</t>
        </is>
      </c>
      <c r="C135" s="24" t="inlineStr">
        <is>
          <t>2026-07-27T18:00Z</t>
        </is>
      </c>
      <c r="D135" s="24" t="inlineStr">
        <is>
          <t>401886548</t>
        </is>
      </c>
      <c r="E135" s="24" t="inlineStr">
        <is>
          <t>SOCCER</t>
        </is>
      </c>
      <c r="F135" s="24" t="inlineStr">
        <is>
          <t>Venezia</t>
        </is>
      </c>
      <c r="G135" s="24" t="inlineStr">
        <is>
          <t>Galatasaray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-178</v>
      </c>
      <c r="M135" s="27" t="n">
        <v>1.561798</v>
      </c>
      <c r="N135" s="28" t="n">
        <v>0.640288</v>
      </c>
      <c r="O135" s="28" t="n">
        <v>0.5234799999999999</v>
      </c>
      <c r="P135" s="28" t="n">
        <v>0.08</v>
      </c>
      <c r="Q135" s="28" t="n">
        <v>-0.116808</v>
      </c>
      <c r="R135" s="26" t="n">
        <v>0</v>
      </c>
      <c r="S135" s="29" t="n">
        <v>1</v>
      </c>
      <c r="T135" s="24" t="inlineStr">
        <is>
          <t>soccer-poisson-dc-v1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2026-07-27T22:51:58.610670Z</t>
        </is>
      </c>
      <c r="AE135" s="31" t="inlineStr">
        <is>
          <t>Poisson-DC rates 1.63 (home) / 0.95 (away) from EWMA attack/defense strengths. Executable ask 0.6400 (atc-clbf-gal-ven-2026-07-27-gal).</t>
        </is>
      </c>
      <c r="AF135" s="31" t="inlineStr">
        <is>
          <t>Research-only soccer score model; draw-aware, but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NO_CALL_MODEL_UNVALIDATED</t>
        </is>
      </c>
      <c r="AP135" s="24" t="inlineStr">
        <is>
          <t>Venezia</t>
        </is>
      </c>
      <c r="AQ135" s="24" t="inlineStr">
        <is>
          <t>Venezia</t>
        </is>
      </c>
      <c r="AR135" s="24" t="inlineStr">
        <is>
          <t>Venezia</t>
        </is>
      </c>
      <c r="AS135" s="24" t="inlineStr">
        <is>
          <t>Galatasaray</t>
        </is>
      </c>
      <c r="AT135" s="24" t="inlineStr">
        <is>
          <t>Galatasaray</t>
        </is>
      </c>
      <c r="AU135" s="24" t="inlineStr">
        <is>
          <t>Galatasaray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0361718a19f38c3d244b71cb6b1f2e7e14a86925e833d2186645250fc084b969</t>
        </is>
      </c>
      <c r="BB135" s="24" t="inlineStr">
        <is>
          <t>poisson_dixon_coles</t>
        </is>
      </c>
      <c r="BC135" s="24" t="inlineStr">
        <is>
          <t>soccer-poisson-dc-v1</t>
        </is>
      </c>
      <c r="BD135" s="24" t="inlineStr">
        <is>
          <t>0361718a19f38c3d244b71cb6b1f2e7e14a86925e833d2186645250fc084b969</t>
        </is>
      </c>
      <c r="BE135" s="24" t="inlineStr">
        <is>
          <t>soccer-poisson-dc-v1</t>
        </is>
      </c>
      <c r="BF135" s="24" t="inlineStr">
        <is>
          <t>1</t>
        </is>
      </c>
      <c r="BG135" s="24" t="inlineStr">
        <is>
          <t>0361718a19f38c3d244b71cb6b1f2e7e14a86925e833d2186645250fc084b969</t>
        </is>
      </c>
      <c r="BH135" s="24" t="inlineStr">
        <is>
          <t>2026-07-27T17:34:15.326479Z</t>
        </is>
      </c>
      <c r="BI135" s="24" t="inlineStr">
        <is>
          <t>["same_event","same_team_same_day","same_league_same_day"]</t>
        </is>
      </c>
      <c r="BJ135" s="25" t="n"/>
      <c r="BK135" s="26" t="n">
        <v>-178</v>
      </c>
      <c r="BL135" s="27" t="n">
        <v>1.561798</v>
      </c>
      <c r="BM135" s="28" t="n">
        <v>0.640288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</row>
    <row r="136" ht="36" customHeight="1">
      <c r="A136" s="24" t="inlineStr">
        <is>
          <t>c75f6d1022da4a63</t>
        </is>
      </c>
      <c r="B136" s="24" t="inlineStr">
        <is>
          <t>2026-07-27T22:53:46.963522Z</t>
        </is>
      </c>
      <c r="C136" s="24" t="inlineStr">
        <is>
          <t>2026-07-27T23:00Z</t>
        </is>
      </c>
      <c r="D136" s="24" t="inlineStr">
        <is>
          <t>401843998</t>
        </is>
      </c>
      <c r="E136" s="24" t="inlineStr">
        <is>
          <t>SOCCER</t>
        </is>
      </c>
      <c r="F136" s="24" t="inlineStr">
        <is>
          <t>Almagro</t>
        </is>
      </c>
      <c r="G136" s="24" t="inlineStr">
        <is>
          <t>Atlanta</t>
        </is>
      </c>
      <c r="H136" s="24" t="inlineStr">
        <is>
          <t>total</t>
        </is>
      </c>
      <c r="I136" s="24" t="inlineStr">
        <is>
          <t>over</t>
        </is>
      </c>
      <c r="J136" s="25" t="n">
        <v>2.5</v>
      </c>
      <c r="K136" s="24" t="inlineStr">
        <is>
          <t>polymarket_us</t>
        </is>
      </c>
      <c r="L136" s="26" t="n">
        <v>170</v>
      </c>
      <c r="M136" s="27" t="n">
        <v>2.7</v>
      </c>
      <c r="N136" s="28" t="n">
        <v>0.37037</v>
      </c>
      <c r="O136" s="28" t="n">
        <v>0.550664</v>
      </c>
      <c r="P136" s="28" t="n">
        <v>0.2</v>
      </c>
      <c r="Q136" s="28" t="n">
        <v>0.180294</v>
      </c>
      <c r="R136" s="26" t="n">
        <v>20</v>
      </c>
      <c r="S136" s="29" t="n">
        <v>1</v>
      </c>
      <c r="T136" s="24" t="inlineStr">
        <is>
          <t>soccer-poisson-dc-v1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1</v>
      </c>
      <c r="Y136" s="25" t="n"/>
      <c r="Z136" s="26" t="n"/>
      <c r="AA136" s="28" t="n"/>
      <c r="AB136" s="28" t="n"/>
      <c r="AC136" s="30" t="n">
        <v>1.7</v>
      </c>
      <c r="AD136" s="24" t="inlineStr">
        <is>
          <t>2026-07-28T01:57:11.783634Z</t>
        </is>
      </c>
      <c r="AE136" s="31" t="inlineStr">
        <is>
          <t>Poisson-DC rates 1.64 (home) / 1.24 (away) from EWMA attack/defense strengths. Executable ask 0.3700 (tsc-arg2-atl-alm-2026-07-27-2pt5).</t>
        </is>
      </c>
      <c r="AF136" s="31" t="inlineStr">
        <is>
          <t>Research-only soccer score model; draw-aware, but not yet locked-holdout qualified.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NO_CALL_MODEL_UNVALIDATED</t>
        </is>
      </c>
      <c r="AP136" s="24" t="inlineStr">
        <is>
          <t>Almagro</t>
        </is>
      </c>
      <c r="AQ136" s="24" t="inlineStr">
        <is>
          <t>Almagro</t>
        </is>
      </c>
      <c r="AR136" s="24" t="inlineStr">
        <is>
          <t>Almagro</t>
        </is>
      </c>
      <c r="AS136" s="24" t="inlineStr">
        <is>
          <t>Atlanta</t>
        </is>
      </c>
      <c r="AT136" s="24" t="inlineStr">
        <is>
          <t>Atlanta</t>
        </is>
      </c>
      <c r="AU136" s="24" t="inlineStr">
        <is>
          <t>Atlanta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0361718a19f38c3d244b71cb6b1f2e7e14a86925e833d2186645250fc084b969</t>
        </is>
      </c>
      <c r="BB136" s="24" t="inlineStr">
        <is>
          <t>poisson_dixon_coles</t>
        </is>
      </c>
      <c r="BC136" s="24" t="inlineStr">
        <is>
          <t>soccer-poisson-dc-v1</t>
        </is>
      </c>
      <c r="BD136" s="24" t="inlineStr">
        <is>
          <t>0361718a19f38c3d244b71cb6b1f2e7e14a86925e833d2186645250fc084b969</t>
        </is>
      </c>
      <c r="BE136" s="24" t="inlineStr">
        <is>
          <t>soccer-poisson-dc-v1</t>
        </is>
      </c>
      <c r="BF136" s="24" t="inlineStr">
        <is>
          <t>1</t>
        </is>
      </c>
      <c r="BG136" s="24" t="inlineStr">
        <is>
          <t>0361718a19f38c3d244b71cb6b1f2e7e14a86925e833d2186645250fc084b969</t>
        </is>
      </c>
      <c r="BH136" s="24" t="inlineStr">
        <is>
          <t>2026-07-27T22:52:46.180696Z</t>
        </is>
      </c>
      <c r="BI136" s="24" t="inlineStr">
        <is>
          <t>["same_event","same_team_same_day","same_league_same_day"]</t>
        </is>
      </c>
      <c r="BJ136" s="25" t="n">
        <v>2.5</v>
      </c>
      <c r="BK136" s="26" t="n">
        <v>170</v>
      </c>
      <c r="BL136" s="27" t="n">
        <v>2.7</v>
      </c>
      <c r="BM136" s="28" t="n">
        <v>0.37037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</row>
    <row r="137" ht="36" customHeight="1">
      <c r="A137" s="24" t="inlineStr">
        <is>
          <t>a46c289941a345c2</t>
        </is>
      </c>
      <c r="B137" s="24" t="inlineStr">
        <is>
          <t>2026-07-27T22:53:46.963522Z</t>
        </is>
      </c>
      <c r="C137" s="24" t="inlineStr">
        <is>
          <t>2026-07-27T23:00Z</t>
        </is>
      </c>
      <c r="D137" s="24" t="inlineStr">
        <is>
          <t>401843998</t>
        </is>
      </c>
      <c r="E137" s="24" t="inlineStr">
        <is>
          <t>SOCCER</t>
        </is>
      </c>
      <c r="F137" s="24" t="inlineStr">
        <is>
          <t>Almagro</t>
        </is>
      </c>
      <c r="G137" s="24" t="inlineStr">
        <is>
          <t>Atlanta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-156</v>
      </c>
      <c r="M137" s="27" t="n">
        <v>1.641026</v>
      </c>
      <c r="N137" s="28" t="n">
        <v>0.609375</v>
      </c>
      <c r="O137" s="28" t="n">
        <v>0.456199</v>
      </c>
      <c r="P137" s="28" t="n">
        <v>0.2</v>
      </c>
      <c r="Q137" s="28" t="n">
        <v>-0.153176</v>
      </c>
      <c r="R137" s="26" t="n">
        <v>0</v>
      </c>
      <c r="S137" s="29" t="n">
        <v>1</v>
      </c>
      <c r="T137" s="24" t="inlineStr">
        <is>
          <t>soccer-poisson-dc-v1</t>
        </is>
      </c>
      <c r="U137" s="24" t="inlineStr">
        <is>
          <t>settled</t>
        </is>
      </c>
      <c r="V137" s="24" t="inlineStr">
        <is>
          <t>loss</t>
        </is>
      </c>
      <c r="W137" s="26" t="n">
        <v>3</v>
      </c>
      <c r="X137" s="26" t="n">
        <v>1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2026-07-28T01:57:11.829328Z</t>
        </is>
      </c>
      <c r="AE137" s="31" t="inlineStr">
        <is>
          <t>Poisson-DC rates 1.64 (home) / 1.24 (away) from EWMA attack/defense strengths. Executable ask 0.6100 (atc-arg2-atl-alm-2026-07-27-atl).</t>
        </is>
      </c>
      <c r="AF137" s="31" t="inlineStr">
        <is>
          <t>Research-only soccer score model; draw-aware, but not yet locked-holdout qualified.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Almagro</t>
        </is>
      </c>
      <c r="AQ137" s="24" t="inlineStr">
        <is>
          <t>Almagro</t>
        </is>
      </c>
      <c r="AR137" s="24" t="inlineStr">
        <is>
          <t>Almagro</t>
        </is>
      </c>
      <c r="AS137" s="24" t="inlineStr">
        <is>
          <t>Atlanta</t>
        </is>
      </c>
      <c r="AT137" s="24" t="inlineStr">
        <is>
          <t>Atlanta</t>
        </is>
      </c>
      <c r="AU137" s="24" t="inlineStr">
        <is>
          <t>Atlanta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0361718a19f38c3d244b71cb6b1f2e7e14a86925e833d2186645250fc084b969</t>
        </is>
      </c>
      <c r="BB137" s="24" t="inlineStr">
        <is>
          <t>poisson_dixon_coles</t>
        </is>
      </c>
      <c r="BC137" s="24" t="inlineStr">
        <is>
          <t>soccer-poisson-dc-v1</t>
        </is>
      </c>
      <c r="BD137" s="24" t="inlineStr">
        <is>
          <t>0361718a19f38c3d244b71cb6b1f2e7e14a86925e833d2186645250fc084b969</t>
        </is>
      </c>
      <c r="BE137" s="24" t="inlineStr">
        <is>
          <t>soccer-poisson-dc-v1</t>
        </is>
      </c>
      <c r="BF137" s="24" t="inlineStr">
        <is>
          <t>1</t>
        </is>
      </c>
      <c r="BG137" s="24" t="inlineStr">
        <is>
          <t>0361718a19f38c3d244b71cb6b1f2e7e14a86925e833d2186645250fc084b969</t>
        </is>
      </c>
      <c r="BH137" s="24" t="inlineStr">
        <is>
          <t>2026-07-27T22:52:46.097852Z</t>
        </is>
      </c>
      <c r="BI137" s="24" t="inlineStr">
        <is>
          <t>["same_event","same_team_same_day","same_league_same_day"]</t>
        </is>
      </c>
      <c r="BJ137" s="25" t="n"/>
      <c r="BK137" s="26" t="n">
        <v>-156</v>
      </c>
      <c r="BL137" s="27" t="n">
        <v>1.641026</v>
      </c>
      <c r="BM137" s="28" t="n">
        <v>0.609375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</row>
    <row r="138" ht="36" customHeight="1">
      <c r="A138" s="24" t="inlineStr">
        <is>
          <t>5dcf18c1bd674c37</t>
        </is>
      </c>
      <c r="B138" s="24" t="inlineStr">
        <is>
          <t>2026-07-28T20:34:14.874473Z</t>
        </is>
      </c>
      <c r="C138" s="24" t="inlineStr">
        <is>
          <t>2026-07-28T22:30Z</t>
        </is>
      </c>
      <c r="D138" s="24" t="inlineStr">
        <is>
          <t>401860254</t>
        </is>
      </c>
      <c r="E138" s="24" t="inlineStr">
        <is>
          <t>SOCCER</t>
        </is>
      </c>
      <c r="F138" s="24" t="inlineStr">
        <is>
          <t>Avaí</t>
        </is>
      </c>
      <c r="G138" s="24" t="inlineStr">
        <is>
          <t>Juventude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-127</v>
      </c>
      <c r="M138" s="27" t="n">
        <v>1.787402</v>
      </c>
      <c r="N138" s="28" t="n">
        <v>0.5594710000000001</v>
      </c>
      <c r="O138" s="28" t="n">
        <v>0.456199</v>
      </c>
      <c r="P138" s="28" t="n">
        <v>0.2</v>
      </c>
      <c r="Q138" s="28" t="n">
        <v>-0.103272</v>
      </c>
      <c r="R138" s="26" t="n">
        <v>0</v>
      </c>
      <c r="S138" s="29" t="n">
        <v>1</v>
      </c>
      <c r="T138" s="24" t="inlineStr">
        <is>
          <t>soccer-poisson-dc-v1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/>
      <c r="AA138" s="28" t="n"/>
      <c r="AB138" s="28" t="n"/>
      <c r="AC138" s="30" t="n">
        <v>0.7874</v>
      </c>
      <c r="AD138" s="24" t="inlineStr">
        <is>
          <t>2026-07-29T02:41:46.905781Z</t>
        </is>
      </c>
      <c r="AE138" s="31" t="inlineStr">
        <is>
          <t>Poisson-DC rates 1.64 (home) / 1.24 (away) from EWMA attack/defense strengths. Executable ask 0.5600 (atc-brb-juv-ava-2026-07-28-juv).</t>
        </is>
      </c>
      <c r="AF138" s="31" t="inlineStr">
        <is>
          <t>Research-only soccer score model; draw-aware, but not yet locked-holdout qualified.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NO_CALL_MODEL_UNVALIDATED</t>
        </is>
      </c>
      <c r="AP138" s="24" t="inlineStr">
        <is>
          <t>Avaí</t>
        </is>
      </c>
      <c r="AQ138" s="24" t="inlineStr">
        <is>
          <t>Avaí</t>
        </is>
      </c>
      <c r="AR138" s="24" t="inlineStr">
        <is>
          <t>Avaí</t>
        </is>
      </c>
      <c r="AS138" s="24" t="inlineStr">
        <is>
          <t>Juventude</t>
        </is>
      </c>
      <c r="AT138" s="24" t="inlineStr">
        <is>
          <t>Juventude</t>
        </is>
      </c>
      <c r="AU138" s="24" t="inlineStr">
        <is>
          <t>Juventude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0361718a19f38c3d244b71cb6b1f2e7e14a86925e833d2186645250fc084b969</t>
        </is>
      </c>
      <c r="BB138" s="24" t="inlineStr">
        <is>
          <t>poisson_dixon_coles</t>
        </is>
      </c>
      <c r="BC138" s="24" t="inlineStr">
        <is>
          <t>soccer-poisson-dc-v1</t>
        </is>
      </c>
      <c r="BD138" s="24" t="inlineStr">
        <is>
          <t>0361718a19f38c3d244b71cb6b1f2e7e14a86925e833d2186645250fc084b969</t>
        </is>
      </c>
      <c r="BE138" s="24" t="inlineStr">
        <is>
          <t>soccer-poisson-dc-v1</t>
        </is>
      </c>
      <c r="BF138" s="24" t="inlineStr">
        <is>
          <t>1</t>
        </is>
      </c>
      <c r="BG138" s="24" t="inlineStr">
        <is>
          <t>0361718a19f38c3d244b71cb6b1f2e7e14a86925e833d2186645250fc084b969</t>
        </is>
      </c>
      <c r="BH138" s="24" t="inlineStr">
        <is>
          <t>2026-07-28T20:32:26.107744Z</t>
        </is>
      </c>
      <c r="BI138" s="24" t="inlineStr">
        <is>
          <t>["same_event","same_team_same_day","same_league_same_day"]</t>
        </is>
      </c>
      <c r="BJ138" s="25" t="n"/>
      <c r="BK138" s="26" t="n">
        <v>-127</v>
      </c>
      <c r="BL138" s="27" t="n">
        <v>1.787402</v>
      </c>
      <c r="BM138" s="28" t="n">
        <v>0.5594710000000001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</row>
    <row r="139" ht="36" customHeight="1">
      <c r="A139" s="24" t="inlineStr">
        <is>
          <t>c1a2615685634f23</t>
        </is>
      </c>
      <c r="B139" s="24" t="inlineStr">
        <is>
          <t>2026-07-28T20:34:14.874473Z</t>
        </is>
      </c>
      <c r="C139" s="24" t="inlineStr">
        <is>
          <t>2026-07-28T22:30Z</t>
        </is>
      </c>
      <c r="D139" s="24" t="inlineStr">
        <is>
          <t>401860261</t>
        </is>
      </c>
      <c r="E139" s="24" t="inlineStr">
        <is>
          <t>SOCCER</t>
        </is>
      </c>
      <c r="F139" s="24" t="inlineStr">
        <is>
          <t>Athletic</t>
        </is>
      </c>
      <c r="G139" s="24" t="inlineStr">
        <is>
          <t>Ponte Preta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300</v>
      </c>
      <c r="M139" s="27" t="n">
        <v>4</v>
      </c>
      <c r="N139" s="28" t="n">
        <v>0.25</v>
      </c>
      <c r="O139" s="28" t="n">
        <v>0.456199</v>
      </c>
      <c r="P139" s="28" t="n">
        <v>0.2</v>
      </c>
      <c r="Q139" s="28" t="n">
        <v>0.206199</v>
      </c>
      <c r="R139" s="26" t="n">
        <v>33</v>
      </c>
      <c r="S139" s="29" t="n">
        <v>1</v>
      </c>
      <c r="T139" s="24" t="inlineStr">
        <is>
          <t>soccer-poisson-dc-v1</t>
        </is>
      </c>
      <c r="U139" s="24" t="inlineStr">
        <is>
          <t>settled</t>
        </is>
      </c>
      <c r="V139" s="24" t="inlineStr">
        <is>
          <t>push</t>
        </is>
      </c>
      <c r="W139" s="26" t="n">
        <v>1</v>
      </c>
      <c r="X139" s="26" t="n">
        <v>1</v>
      </c>
      <c r="Y139" s="25" t="n"/>
      <c r="Z139" s="26" t="n"/>
      <c r="AA139" s="28" t="n"/>
      <c r="AB139" s="28" t="n"/>
      <c r="AC139" s="30" t="n">
        <v>0</v>
      </c>
      <c r="AD139" s="24" t="inlineStr">
        <is>
          <t>2026-07-29T02:41:46.978948Z</t>
        </is>
      </c>
      <c r="AE139" s="31" t="inlineStr">
        <is>
          <t>Poisson-DC rates 1.64 (home) / 1.24 (away) from EWMA attack/defense strengths. Executable ask 0.2500 (atc-brb-pop-ath-2026-07-28-pop).</t>
        </is>
      </c>
      <c r="AF139" s="31" t="inlineStr">
        <is>
          <t>Research-only soccer score model; draw-aware, but not yet locked-holdout qualified.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NO_CALL_MODEL_UNVALIDATED</t>
        </is>
      </c>
      <c r="AP139" s="24" t="inlineStr">
        <is>
          <t>Athletic</t>
        </is>
      </c>
      <c r="AQ139" s="24" t="inlineStr">
        <is>
          <t>Athletic</t>
        </is>
      </c>
      <c r="AR139" s="24" t="inlineStr">
        <is>
          <t>Athletic</t>
        </is>
      </c>
      <c r="AS139" s="24" t="inlineStr">
        <is>
          <t>Ponte Preta</t>
        </is>
      </c>
      <c r="AT139" s="24" t="inlineStr">
        <is>
          <t>Ponte Preta</t>
        </is>
      </c>
      <c r="AU139" s="24" t="inlineStr">
        <is>
          <t>Ponte Preta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0361718a19f38c3d244b71cb6b1f2e7e14a86925e833d2186645250fc084b969</t>
        </is>
      </c>
      <c r="BB139" s="24" t="inlineStr">
        <is>
          <t>poisson_dixon_coles</t>
        </is>
      </c>
      <c r="BC139" s="24" t="inlineStr">
        <is>
          <t>soccer-poisson-dc-v1</t>
        </is>
      </c>
      <c r="BD139" s="24" t="inlineStr">
        <is>
          <t>0361718a19f38c3d244b71cb6b1f2e7e14a86925e833d2186645250fc084b969</t>
        </is>
      </c>
      <c r="BE139" s="24" t="inlineStr">
        <is>
          <t>soccer-poisson-dc-v1</t>
        </is>
      </c>
      <c r="BF139" s="24" t="inlineStr">
        <is>
          <t>1</t>
        </is>
      </c>
      <c r="BG139" s="24" t="inlineStr">
        <is>
          <t>0361718a19f38c3d244b71cb6b1f2e7e14a86925e833d2186645250fc084b969</t>
        </is>
      </c>
      <c r="BH139" s="24" t="inlineStr">
        <is>
          <t>2026-07-28T20:32:26.083099Z</t>
        </is>
      </c>
      <c r="BI139" s="24" t="inlineStr">
        <is>
          <t>["same_event","same_team_same_day","same_league_same_day"]</t>
        </is>
      </c>
      <c r="BJ139" s="25" t="n"/>
      <c r="BK139" s="26" t="n">
        <v>300</v>
      </c>
      <c r="BL139" s="27" t="n">
        <v>4</v>
      </c>
      <c r="BM139" s="28" t="n">
        <v>0.25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</row>
    <row r="140" ht="36" customHeight="1">
      <c r="A140" s="24" t="inlineStr">
        <is>
          <t>71dc8bd5d8eb498a</t>
        </is>
      </c>
      <c r="B140" s="24" t="inlineStr">
        <is>
          <t>2026-07-28T20:34:14.874473Z</t>
        </is>
      </c>
      <c r="C140" s="24" t="inlineStr">
        <is>
          <t>2026-07-28T22:00Z</t>
        </is>
      </c>
      <c r="D140" s="24" t="inlineStr">
        <is>
          <t>401841452</t>
        </is>
      </c>
      <c r="E140" s="24" t="inlineStr">
        <is>
          <t>SOCCER</t>
        </is>
      </c>
      <c r="F140" s="24" t="inlineStr">
        <is>
          <t>Gimnasia (Mendoza)</t>
        </is>
      </c>
      <c r="G140" s="24" t="inlineStr">
        <is>
          <t>San Lorenzo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100</v>
      </c>
      <c r="M140" s="27" t="n">
        <v>2</v>
      </c>
      <c r="N140" s="28" t="n">
        <v>0.5</v>
      </c>
      <c r="O140" s="28" t="n">
        <v>0.456199</v>
      </c>
      <c r="P140" s="28" t="n">
        <v>0.2</v>
      </c>
      <c r="Q140" s="28" t="n">
        <v>-0.043801</v>
      </c>
      <c r="R140" s="26" t="n">
        <v>0</v>
      </c>
      <c r="S140" s="29" t="n">
        <v>1</v>
      </c>
      <c r="T140" s="24" t="inlineStr">
        <is>
          <t>soccer-poisson-dc-v1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/>
      <c r="AA140" s="28" t="n"/>
      <c r="AB140" s="28" t="n"/>
      <c r="AC140" s="30" t="n">
        <v>1</v>
      </c>
      <c r="AD140" s="24" t="inlineStr">
        <is>
          <t>2026-07-29T02:41:47.313571Z</t>
        </is>
      </c>
      <c r="AE140" s="31" t="inlineStr">
        <is>
          <t>Poisson-DC rates 1.64 (home) / 1.24 (away) from EWMA attack/defense strengths. Executable ask 0.5000 (atc-lpa-slo-gye-2026-07-28-slo).</t>
        </is>
      </c>
      <c r="AF140" s="31" t="inlineStr">
        <is>
          <t>Research-only soccer score model; draw-aware, but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NO_CALL_MODEL_UNVALIDATED</t>
        </is>
      </c>
      <c r="AP140" s="24" t="inlineStr">
        <is>
          <t>Gimnasia (Mendoza)</t>
        </is>
      </c>
      <c r="AQ140" s="24" t="inlineStr">
        <is>
          <t>Gimnasia (Mendoza)</t>
        </is>
      </c>
      <c r="AR140" s="24" t="inlineStr">
        <is>
          <t>Gimnasia (Mendoza)</t>
        </is>
      </c>
      <c r="AS140" s="24" t="inlineStr">
        <is>
          <t>San Lorenzo</t>
        </is>
      </c>
      <c r="AT140" s="24" t="inlineStr">
        <is>
          <t>San Lorenzo</t>
        </is>
      </c>
      <c r="AU140" s="24" t="inlineStr">
        <is>
          <t>San Lorenzo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0361718a19f38c3d244b71cb6b1f2e7e14a86925e833d2186645250fc084b969</t>
        </is>
      </c>
      <c r="BB140" s="24" t="inlineStr">
        <is>
          <t>poisson_dixon_coles</t>
        </is>
      </c>
      <c r="BC140" s="24" t="inlineStr">
        <is>
          <t>soccer-poisson-dc-v1</t>
        </is>
      </c>
      <c r="BD140" s="24" t="inlineStr">
        <is>
          <t>0361718a19f38c3d244b71cb6b1f2e7e14a86925e833d2186645250fc084b969</t>
        </is>
      </c>
      <c r="BE140" s="24" t="inlineStr">
        <is>
          <t>soccer-poisson-dc-v1</t>
        </is>
      </c>
      <c r="BF140" s="24" t="inlineStr">
        <is>
          <t>1</t>
        </is>
      </c>
      <c r="BG140" s="24" t="inlineStr">
        <is>
          <t>0361718a19f38c3d244b71cb6b1f2e7e14a86925e833d2186645250fc084b969</t>
        </is>
      </c>
      <c r="BH140" s="24" t="inlineStr">
        <is>
          <t>2026-07-28T20:32:27.095637Z</t>
        </is>
      </c>
      <c r="BI140" s="24" t="inlineStr">
        <is>
          <t>["same_event","same_team_same_day","same_league_same_day"]</t>
        </is>
      </c>
      <c r="BJ140" s="25" t="n"/>
      <c r="BK140" s="26" t="n">
        <v>100</v>
      </c>
      <c r="BL140" s="27" t="n">
        <v>2</v>
      </c>
      <c r="BM140" s="28" t="n">
        <v>0.5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</row>
    <row r="141" ht="36" customHeight="1">
      <c r="A141" s="24" t="inlineStr">
        <is>
          <t>538e4eae98a44836</t>
        </is>
      </c>
      <c r="B141" s="24" t="inlineStr">
        <is>
          <t>2026-07-28T20:34:14.874473Z</t>
        </is>
      </c>
      <c r="C141" s="24" t="inlineStr">
        <is>
          <t>2026-07-28T22:00Z</t>
        </is>
      </c>
      <c r="D141" s="24" t="inlineStr">
        <is>
          <t>401874071</t>
        </is>
      </c>
      <c r="E141" s="24" t="inlineStr">
        <is>
          <t>SOCCER</t>
        </is>
      </c>
      <c r="F141" s="24" t="inlineStr">
        <is>
          <t>Nacional</t>
        </is>
      </c>
      <c r="G141" s="24" t="inlineStr">
        <is>
          <t>Tigre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122</v>
      </c>
      <c r="M141" s="27" t="n">
        <v>2.22</v>
      </c>
      <c r="N141" s="28" t="n">
        <v>0.45045</v>
      </c>
      <c r="O141" s="28" t="n">
        <v>0.456199</v>
      </c>
      <c r="P141" s="28" t="n">
        <v>0.2</v>
      </c>
      <c r="Q141" s="28" t="n">
        <v>0.005749</v>
      </c>
      <c r="R141" s="26" t="n">
        <v>0</v>
      </c>
      <c r="S141" s="29" t="n">
        <v>1</v>
      </c>
      <c r="T141" s="24" t="inlineStr">
        <is>
          <t>soccer-poisson-dc-v1</t>
        </is>
      </c>
      <c r="U141" s="24" t="inlineStr">
        <is>
          <t>settled</t>
        </is>
      </c>
      <c r="V141" s="24" t="inlineStr">
        <is>
          <t>loss</t>
        </is>
      </c>
      <c r="W141" s="26" t="n">
        <v>2</v>
      </c>
      <c r="X141" s="26" t="n">
        <v>1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2026-07-29T02:41:49.355103Z</t>
        </is>
      </c>
      <c r="AE141" s="31" t="inlineStr">
        <is>
          <t>Poisson-DC rates 1.64 (home) / 1.24 (away) from EWMA attack/defense strengths. Executable ask 0.4500 (atc-sud-tig-nac-2026-07-28-tig).</t>
        </is>
      </c>
      <c r="AF141" s="31" t="inlineStr">
        <is>
          <t>Research-only soccer score model; draw-aware, but not yet locked-holdout qualified.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Nacional</t>
        </is>
      </c>
      <c r="AQ141" s="24" t="inlineStr">
        <is>
          <t>Nacional</t>
        </is>
      </c>
      <c r="AR141" s="24" t="inlineStr">
        <is>
          <t>Nacional</t>
        </is>
      </c>
      <c r="AS141" s="24" t="inlineStr">
        <is>
          <t>Tigre</t>
        </is>
      </c>
      <c r="AT141" s="24" t="inlineStr">
        <is>
          <t>Tigre</t>
        </is>
      </c>
      <c r="AU141" s="24" t="inlineStr">
        <is>
          <t>Tigre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0361718a19f38c3d244b71cb6b1f2e7e14a86925e833d2186645250fc084b969</t>
        </is>
      </c>
      <c r="BB141" s="24" t="inlineStr">
        <is>
          <t>poisson_dixon_coles</t>
        </is>
      </c>
      <c r="BC141" s="24" t="inlineStr">
        <is>
          <t>soccer-poisson-dc-v1</t>
        </is>
      </c>
      <c r="BD141" s="24" t="inlineStr">
        <is>
          <t>0361718a19f38c3d244b71cb6b1f2e7e14a86925e833d2186645250fc084b969</t>
        </is>
      </c>
      <c r="BE141" s="24" t="inlineStr">
        <is>
          <t>soccer-poisson-dc-v1</t>
        </is>
      </c>
      <c r="BF141" s="24" t="inlineStr">
        <is>
          <t>1</t>
        </is>
      </c>
      <c r="BG141" s="24" t="inlineStr">
        <is>
          <t>0361718a19f38c3d244b71cb6b1f2e7e14a86925e833d2186645250fc084b969</t>
        </is>
      </c>
      <c r="BH141" s="24" t="inlineStr">
        <is>
          <t>2026-07-28T20:32:28.187625Z</t>
        </is>
      </c>
      <c r="BI141" s="24" t="inlineStr">
        <is>
          <t>["same_event","same_team_same_day","same_league_same_day"]</t>
        </is>
      </c>
      <c r="BJ141" s="25" t="n"/>
      <c r="BK141" s="26" t="n">
        <v>122</v>
      </c>
      <c r="BL141" s="27" t="n">
        <v>2.22</v>
      </c>
      <c r="BM141" s="28" t="n">
        <v>0.45045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</row>
    <row r="142" ht="36" customHeight="1">
      <c r="A142" s="24" t="inlineStr">
        <is>
          <t>9d29b7c025c54f14</t>
        </is>
      </c>
      <c r="B142" s="24" t="inlineStr">
        <is>
          <t>2026-07-28T23:39:16.759753Z</t>
        </is>
      </c>
      <c r="C142" s="24" t="inlineStr">
        <is>
          <t>2026-07-29T00:35Z</t>
        </is>
      </c>
      <c r="D142" s="24" t="inlineStr">
        <is>
          <t>401860253</t>
        </is>
      </c>
      <c r="E142" s="24" t="inlineStr">
        <is>
          <t>SOCCER</t>
        </is>
      </c>
      <c r="F142" s="24" t="inlineStr">
        <is>
          <t>Botafogo-SP</t>
        </is>
      </c>
      <c r="G142" s="24" t="inlineStr">
        <is>
          <t>Fortaleza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-104</v>
      </c>
      <c r="M142" s="27" t="n">
        <v>1.961538</v>
      </c>
      <c r="N142" s="28" t="n">
        <v>0.509804</v>
      </c>
      <c r="O142" s="28" t="n">
        <v>0.456199</v>
      </c>
      <c r="P142" s="28" t="n">
        <v>0.2</v>
      </c>
      <c r="Q142" s="28" t="n">
        <v>-0.053605</v>
      </c>
      <c r="R142" s="26" t="n">
        <v>0</v>
      </c>
      <c r="S142" s="29" t="n">
        <v>1</v>
      </c>
      <c r="T142" s="24" t="inlineStr">
        <is>
          <t>soccer-poisson-dc-v1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/>
      <c r="AA142" s="28" t="n"/>
      <c r="AB142" s="28" t="n"/>
      <c r="AC142" s="30" t="n">
        <v>0.9615</v>
      </c>
      <c r="AD142" s="24" t="inlineStr">
        <is>
          <t>2026-07-29T02:41:49.433624Z</t>
        </is>
      </c>
      <c r="AE142" s="31" t="inlineStr">
        <is>
          <t>Poisson-DC rates 1.64 (home) / 1.24 (away) from EWMA attack/defense strengths. Executable ask 0.5100 (atc-brb-fec-bot-2026-07-28-fec).</t>
        </is>
      </c>
      <c r="AF142" s="31" t="inlineStr">
        <is>
          <t>Research-only soccer score model; draw-aware, but not yet locked-holdout qualified.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NO_CALL_MODEL_UNVALIDATED</t>
        </is>
      </c>
      <c r="AP142" s="24" t="inlineStr">
        <is>
          <t>Botafogo-SP</t>
        </is>
      </c>
      <c r="AQ142" s="24" t="inlineStr">
        <is>
          <t>Botafogo-SP</t>
        </is>
      </c>
      <c r="AR142" s="24" t="inlineStr">
        <is>
          <t>Botafogo-SP</t>
        </is>
      </c>
      <c r="AS142" s="24" t="inlineStr">
        <is>
          <t>Fortaleza</t>
        </is>
      </c>
      <c r="AT142" s="24" t="inlineStr">
        <is>
          <t>Fortaleza</t>
        </is>
      </c>
      <c r="AU142" s="24" t="inlineStr">
        <is>
          <t>Fortaleza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0361718a19f38c3d244b71cb6b1f2e7e14a86925e833d2186645250fc084b969</t>
        </is>
      </c>
      <c r="BB142" s="24" t="inlineStr">
        <is>
          <t>poisson_dixon_coles</t>
        </is>
      </c>
      <c r="BC142" s="24" t="inlineStr">
        <is>
          <t>soccer-poisson-dc-v1</t>
        </is>
      </c>
      <c r="BD142" s="24" t="inlineStr">
        <is>
          <t>0361718a19f38c3d244b71cb6b1f2e7e14a86925e833d2186645250fc084b969</t>
        </is>
      </c>
      <c r="BE142" s="24" t="inlineStr">
        <is>
          <t>soccer-poisson-dc-v1</t>
        </is>
      </c>
      <c r="BF142" s="24" t="inlineStr">
        <is>
          <t>1</t>
        </is>
      </c>
      <c r="BG142" s="24" t="inlineStr">
        <is>
          <t>0361718a19f38c3d244b71cb6b1f2e7e14a86925e833d2186645250fc084b969</t>
        </is>
      </c>
      <c r="BH142" s="24" t="inlineStr">
        <is>
          <t>2026-07-28T23:37:59.431647Z</t>
        </is>
      </c>
      <c r="BI142" s="24" t="inlineStr">
        <is>
          <t>["same_event","same_team_same_day","same_league_same_day"]</t>
        </is>
      </c>
      <c r="BJ142" s="25" t="n"/>
      <c r="BK142" s="26" t="n">
        <v>-104</v>
      </c>
      <c r="BL142" s="27" t="n">
        <v>1.961538</v>
      </c>
      <c r="BM142" s="28" t="n">
        <v>0.509804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</row>
    <row r="143" ht="36" customHeight="1">
      <c r="A143" s="24" t="inlineStr">
        <is>
          <t>b4c3bd27b9274dbf</t>
        </is>
      </c>
      <c r="B143" s="24" t="inlineStr">
        <is>
          <t>2026-07-28T23:39:16.759753Z</t>
        </is>
      </c>
      <c r="C143" s="24" t="inlineStr">
        <is>
          <t>2026-07-29T00:15Z</t>
        </is>
      </c>
      <c r="D143" s="24" t="inlineStr">
        <is>
          <t>401841453</t>
        </is>
      </c>
      <c r="E143" s="24" t="inlineStr">
        <is>
          <t>SOCCER</t>
        </is>
      </c>
      <c r="F143" s="24" t="inlineStr">
        <is>
          <t>Racing Club</t>
        </is>
      </c>
      <c r="G143" s="24" t="inlineStr">
        <is>
          <t>Rosario Central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108</v>
      </c>
      <c r="M143" s="27" t="n">
        <v>2.08</v>
      </c>
      <c r="N143" s="28" t="n">
        <v>0.480769</v>
      </c>
      <c r="O143" s="28" t="n">
        <v>0.456199</v>
      </c>
      <c r="P143" s="28" t="n">
        <v>0.2</v>
      </c>
      <c r="Q143" s="28" t="n">
        <v>-0.02457</v>
      </c>
      <c r="R143" s="26" t="n">
        <v>0</v>
      </c>
      <c r="S143" s="29" t="n">
        <v>1</v>
      </c>
      <c r="T143" s="24" t="inlineStr">
        <is>
          <t>soccer-poisson-dc-v1</t>
        </is>
      </c>
      <c r="U143" s="24" t="inlineStr">
        <is>
          <t>settled</t>
        </is>
      </c>
      <c r="V143" s="24" t="inlineStr">
        <is>
          <t>push</t>
        </is>
      </c>
      <c r="W143" s="26" t="n">
        <v>0</v>
      </c>
      <c r="X143" s="26" t="n">
        <v>0</v>
      </c>
      <c r="Y143" s="25" t="n"/>
      <c r="Z143" s="26" t="n"/>
      <c r="AA143" s="28" t="n"/>
      <c r="AB143" s="28" t="n"/>
      <c r="AC143" s="30" t="n">
        <v>0</v>
      </c>
      <c r="AD143" s="24" t="inlineStr">
        <is>
          <t>2026-07-29T02:41:49.507236Z</t>
        </is>
      </c>
      <c r="AE143" s="31" t="inlineStr">
        <is>
          <t>Poisson-DC rates 1.64 (home) / 1.24 (away) from EWMA attack/defense strengths. Executable ask 0.4800 (atc-lpa-ros-rac-2026-07-28-ros).</t>
        </is>
      </c>
      <c r="AF143" s="31" t="inlineStr">
        <is>
          <t>Research-only soccer score model; draw-aware, but not yet locked-holdout qualified.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NO_CALL_MODEL_UNVALIDATED</t>
        </is>
      </c>
      <c r="AP143" s="24" t="inlineStr">
        <is>
          <t>Racing Club</t>
        </is>
      </c>
      <c r="AQ143" s="24" t="inlineStr">
        <is>
          <t>Racing Club</t>
        </is>
      </c>
      <c r="AR143" s="24" t="inlineStr">
        <is>
          <t>Racing Club</t>
        </is>
      </c>
      <c r="AS143" s="24" t="inlineStr">
        <is>
          <t>Rosario Central</t>
        </is>
      </c>
      <c r="AT143" s="24" t="inlineStr">
        <is>
          <t>Rosario Central</t>
        </is>
      </c>
      <c r="AU143" s="24" t="inlineStr">
        <is>
          <t>Rosario Central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0361718a19f38c3d244b71cb6b1f2e7e14a86925e833d2186645250fc084b969</t>
        </is>
      </c>
      <c r="BB143" s="24" t="inlineStr">
        <is>
          <t>poisson_dixon_coles</t>
        </is>
      </c>
      <c r="BC143" s="24" t="inlineStr">
        <is>
          <t>soccer-poisson-dc-v1</t>
        </is>
      </c>
      <c r="BD143" s="24" t="inlineStr">
        <is>
          <t>0361718a19f38c3d244b71cb6b1f2e7e14a86925e833d2186645250fc084b969</t>
        </is>
      </c>
      <c r="BE143" s="24" t="inlineStr">
        <is>
          <t>soccer-poisson-dc-v1</t>
        </is>
      </c>
      <c r="BF143" s="24" t="inlineStr">
        <is>
          <t>1</t>
        </is>
      </c>
      <c r="BG143" s="24" t="inlineStr">
        <is>
          <t>0361718a19f38c3d244b71cb6b1f2e7e14a86925e833d2186645250fc084b969</t>
        </is>
      </c>
      <c r="BH143" s="24" t="inlineStr">
        <is>
          <t>2026-07-28T23:38:00.751821Z</t>
        </is>
      </c>
      <c r="BI143" s="24" t="inlineStr">
        <is>
          <t>["same_event","same_team_same_day","same_league_same_day"]</t>
        </is>
      </c>
      <c r="BJ143" s="25" t="n"/>
      <c r="BK143" s="26" t="n">
        <v>108</v>
      </c>
      <c r="BL143" s="27" t="n">
        <v>2.08</v>
      </c>
      <c r="BM143" s="28" t="n">
        <v>0.480769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</row>
    <row r="144" ht="36" customHeight="1">
      <c r="A144" s="24" t="inlineStr">
        <is>
          <t>5d005d5149204d49</t>
        </is>
      </c>
      <c r="B144" s="24" t="inlineStr">
        <is>
          <t>2026-07-29T08:55:19.773254Z</t>
        </is>
      </c>
      <c r="C144" s="24" t="inlineStr">
        <is>
          <t>2026-07-29T10:00Z</t>
        </is>
      </c>
      <c r="D144" s="24" t="inlineStr">
        <is>
          <t>401872736</t>
        </is>
      </c>
      <c r="E144" s="24" t="inlineStr">
        <is>
          <t>SOCCER</t>
        </is>
      </c>
      <c r="F144" s="24" t="inlineStr">
        <is>
          <t>Borussia Dortmund</t>
        </is>
      </c>
      <c r="G144" s="24" t="inlineStr">
        <is>
          <t>Cerezo Osaka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-178</v>
      </c>
      <c r="M144" s="27" t="n">
        <v>1.561798</v>
      </c>
      <c r="N144" s="28" t="n">
        <v>0.640288</v>
      </c>
      <c r="O144" s="28" t="n">
        <v>0.440542</v>
      </c>
      <c r="P144" s="28" t="n">
        <v>0.2</v>
      </c>
      <c r="Q144" s="28" t="n">
        <v>-0.199746</v>
      </c>
      <c r="R144" s="26" t="n">
        <v>0</v>
      </c>
      <c r="S144" s="29" t="n">
        <v>1</v>
      </c>
      <c r="T144" s="24" t="inlineStr">
        <is>
          <t>soccer-poisson-dc-v1</t>
        </is>
      </c>
      <c r="U144" s="24" t="inlineStr">
        <is>
          <t>settled</t>
        </is>
      </c>
      <c r="V144" s="24" t="inlineStr">
        <is>
          <t>loss</t>
        </is>
      </c>
      <c r="W144" s="26" t="n">
        <v>0</v>
      </c>
      <c r="X144" s="26" t="n">
        <v>1</v>
      </c>
      <c r="Y144" s="25" t="n"/>
      <c r="Z144" s="26" t="n"/>
      <c r="AA144" s="28" t="n"/>
      <c r="AB144" s="28" t="n"/>
      <c r="AC144" s="30" t="n">
        <v>-1</v>
      </c>
      <c r="AD144" s="24" t="inlineStr">
        <is>
          <t>2026-07-29T15:04:55.440111Z</t>
        </is>
      </c>
      <c r="AE144" s="31" t="inlineStr">
        <is>
          <t>Poisson-DC rates 1.39 (home) / 1.71 (away) from EWMA attack/defense strengths. Executable ask 0.6400 (atc-clbf-cer-bvb-2026-07-29-bvb).</t>
        </is>
      </c>
      <c r="AF144" s="31" t="inlineStr">
        <is>
          <t>Research-only soccer score model; draw-aware, but not yet locked-holdout qualified.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NO_CALL_MODEL_UNVALIDATED</t>
        </is>
      </c>
      <c r="AP144" s="24" t="inlineStr">
        <is>
          <t>Borussia Dortmund</t>
        </is>
      </c>
      <c r="AQ144" s="24" t="inlineStr">
        <is>
          <t>Borussia Dortmund</t>
        </is>
      </c>
      <c r="AR144" s="24" t="inlineStr">
        <is>
          <t>Borussia Dortmund</t>
        </is>
      </c>
      <c r="AS144" s="24" t="inlineStr">
        <is>
          <t>Cerezo Osaka</t>
        </is>
      </c>
      <c r="AT144" s="24" t="inlineStr">
        <is>
          <t>Cerezo Osaka</t>
        </is>
      </c>
      <c r="AU144" s="24" t="inlineStr">
        <is>
          <t>Cerezo Osaka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0361718a19f38c3d244b71cb6b1f2e7e14a86925e833d2186645250fc084b969</t>
        </is>
      </c>
      <c r="BB144" s="24" t="inlineStr">
        <is>
          <t>poisson_dixon_coles</t>
        </is>
      </c>
      <c r="BC144" s="24" t="inlineStr">
        <is>
          <t>soccer-poisson-dc-v1</t>
        </is>
      </c>
      <c r="BD144" s="24" t="inlineStr">
        <is>
          <t>0361718a19f38c3d244b71cb6b1f2e7e14a86925e833d2186645250fc084b969</t>
        </is>
      </c>
      <c r="BE144" s="24" t="inlineStr">
        <is>
          <t>soccer-poisson-dc-v1</t>
        </is>
      </c>
      <c r="BF144" s="24" t="inlineStr">
        <is>
          <t>1</t>
        </is>
      </c>
      <c r="BG144" s="24" t="inlineStr">
        <is>
          <t>0361718a19f38c3d244b71cb6b1f2e7e14a86925e833d2186645250fc084b969</t>
        </is>
      </c>
      <c r="BH144" s="24" t="inlineStr">
        <is>
          <t>2026-07-29T08:52:45.504203Z</t>
        </is>
      </c>
      <c r="BI144" s="24" t="inlineStr">
        <is>
          <t>["same_event","same_team_same_day","same_league_same_day"]</t>
        </is>
      </c>
      <c r="BJ144" s="25" t="n"/>
      <c r="BK144" s="26" t="n">
        <v>-178</v>
      </c>
      <c r="BL144" s="27" t="n">
        <v>1.561798</v>
      </c>
      <c r="BM144" s="28" t="n">
        <v>0.640288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</row>
    <row r="145" ht="36" customHeight="1">
      <c r="A145" s="24" t="inlineStr">
        <is>
          <t>f8c013a541034830</t>
        </is>
      </c>
      <c r="B145" s="24" t="inlineStr">
        <is>
          <t>2026-07-29T15:07:40.379188Z</t>
        </is>
      </c>
      <c r="C145" s="24" t="inlineStr">
        <is>
          <t>2026-07-29T17:30Z</t>
        </is>
      </c>
      <c r="D145" s="24" t="inlineStr">
        <is>
          <t>401841461</t>
        </is>
      </c>
      <c r="E145" s="24" t="inlineStr">
        <is>
          <t>SOCCER</t>
        </is>
      </c>
      <c r="F145" s="24" t="inlineStr">
        <is>
          <t>Aldosivi</t>
        </is>
      </c>
      <c r="G145" s="24" t="inlineStr">
        <is>
          <t>Barracas Central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144</v>
      </c>
      <c r="M145" s="27" t="n">
        <v>2.44</v>
      </c>
      <c r="N145" s="28" t="n">
        <v>0.409836</v>
      </c>
      <c r="O145" s="28" t="n">
        <v>0.456199</v>
      </c>
      <c r="P145" s="28" t="n">
        <v>0.2</v>
      </c>
      <c r="Q145" s="28" t="n">
        <v>0.046363</v>
      </c>
      <c r="R145" s="26" t="n">
        <v>0</v>
      </c>
      <c r="S145" s="29" t="n">
        <v>1</v>
      </c>
      <c r="T145" s="24" t="inlineStr">
        <is>
          <t>soccer-poisson-dc-v1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/>
      <c r="AA145" s="28" t="n"/>
      <c r="AB145" s="28" t="n"/>
      <c r="AC145" s="30" t="n">
        <v>1.44</v>
      </c>
      <c r="AD145" s="24" t="inlineStr">
        <is>
          <t>2026-07-30T04:12:52.147509Z</t>
        </is>
      </c>
      <c r="AE145" s="31" t="inlineStr">
        <is>
          <t>Poisson-DC rates 1.64 (home) / 1.24 (away) from EWMA attack/defense strengths. Executable ask 0.4100 (atc-lpa-bar-ald-2026-07-29-bar).</t>
        </is>
      </c>
      <c r="AF145" s="31" t="inlineStr">
        <is>
          <t>Research-only soccer score model; draw-aware, but not yet locked-holdout qualified.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NO_CALL_MODEL_UNVALIDATED</t>
        </is>
      </c>
      <c r="AP145" s="24" t="inlineStr">
        <is>
          <t>Aldosivi</t>
        </is>
      </c>
      <c r="AQ145" s="24" t="inlineStr">
        <is>
          <t>Aldosivi</t>
        </is>
      </c>
      <c r="AR145" s="24" t="inlineStr">
        <is>
          <t>Aldosivi</t>
        </is>
      </c>
      <c r="AS145" s="24" t="inlineStr">
        <is>
          <t>Barracas Central</t>
        </is>
      </c>
      <c r="AT145" s="24" t="inlineStr">
        <is>
          <t>Barracas Central</t>
        </is>
      </c>
      <c r="AU145" s="24" t="inlineStr">
        <is>
          <t>Barracas Central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0361718a19f38c3d244b71cb6b1f2e7e14a86925e833d2186645250fc084b969</t>
        </is>
      </c>
      <c r="BB145" s="24" t="inlineStr">
        <is>
          <t>poisson_dixon_coles</t>
        </is>
      </c>
      <c r="BC145" s="24" t="inlineStr">
        <is>
          <t>soccer-poisson-dc-v1</t>
        </is>
      </c>
      <c r="BD145" s="24" t="inlineStr">
        <is>
          <t>0361718a19f38c3d244b71cb6b1f2e7e14a86925e833d2186645250fc084b969</t>
        </is>
      </c>
      <c r="BE145" s="24" t="inlineStr">
        <is>
          <t>soccer-poisson-dc-v1</t>
        </is>
      </c>
      <c r="BF145" s="24" t="inlineStr">
        <is>
          <t>1</t>
        </is>
      </c>
      <c r="BG145" s="24" t="inlineStr">
        <is>
          <t>0361718a19f38c3d244b71cb6b1f2e7e14a86925e833d2186645250fc084b969</t>
        </is>
      </c>
      <c r="BH145" s="24" t="inlineStr">
        <is>
          <t>2026-07-29T15:06:01.050931Z</t>
        </is>
      </c>
      <c r="BI145" s="24" t="inlineStr">
        <is>
          <t>["same_event","same_team_same_day","same_league_same_day"]</t>
        </is>
      </c>
      <c r="BJ145" s="25" t="n"/>
      <c r="BK145" s="26" t="n">
        <v>144</v>
      </c>
      <c r="BL145" s="27" t="n">
        <v>2.44</v>
      </c>
      <c r="BM145" s="28" t="n">
        <v>0.409836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</row>
    <row r="146" ht="36" customHeight="1">
      <c r="A146" s="24" t="inlineStr">
        <is>
          <t>2016ad82b8004b89</t>
        </is>
      </c>
      <c r="B146" s="24" t="inlineStr">
        <is>
          <t>2026-07-29T17:45:15.881226Z</t>
        </is>
      </c>
      <c r="C146" s="24" t="inlineStr">
        <is>
          <t>2026-07-29T22:30Z</t>
        </is>
      </c>
      <c r="D146" s="24" t="inlineStr">
        <is>
          <t>401841171</t>
        </is>
      </c>
      <c r="E146" s="24" t="inlineStr">
        <is>
          <t>SOCCER</t>
        </is>
      </c>
      <c r="F146" s="24" t="inlineStr">
        <is>
          <t>Flamengo</t>
        </is>
      </c>
      <c r="G146" s="24" t="inlineStr">
        <is>
          <t>Internacional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285</v>
      </c>
      <c r="M146" s="27" t="n">
        <v>3.85</v>
      </c>
      <c r="N146" s="28" t="n">
        <v>0.25974</v>
      </c>
      <c r="O146" s="28" t="n">
        <v>0.456199</v>
      </c>
      <c r="P146" s="28" t="n">
        <v>0.2</v>
      </c>
      <c r="Q146" s="28" t="n">
        <v>0.196459</v>
      </c>
      <c r="R146" s="26" t="n">
        <v>28</v>
      </c>
      <c r="S146" s="29" t="n">
        <v>1</v>
      </c>
      <c r="T146" s="24" t="inlineStr">
        <is>
          <t>soccer-poisson-dc-v1</t>
        </is>
      </c>
      <c r="U146" s="24" t="inlineStr">
        <is>
          <t>settled</t>
        </is>
      </c>
      <c r="V146" s="24" t="inlineStr">
        <is>
          <t>push</t>
        </is>
      </c>
      <c r="W146" s="26" t="n">
        <v>1</v>
      </c>
      <c r="X146" s="26" t="n">
        <v>1</v>
      </c>
      <c r="Y146" s="25" t="n"/>
      <c r="Z146" s="26" t="n"/>
      <c r="AA146" s="28" t="n"/>
      <c r="AB146" s="28" t="n"/>
      <c r="AC146" s="30" t="n">
        <v>0</v>
      </c>
      <c r="AD146" s="24" t="inlineStr">
        <is>
          <t>2026-07-30T04:12:52.241515Z</t>
        </is>
      </c>
      <c r="AE146" s="31" t="inlineStr">
        <is>
          <t>Poisson-DC rates 1.64 (home) / 1.24 (away) from EWMA attack/defense strengths. Executable ask 0.2600 (atc-bra-int-fla-2026-07-29-int).</t>
        </is>
      </c>
      <c r="AF146" s="31" t="inlineStr">
        <is>
          <t>Research-only soccer score model; draw-aware, but not yet locked-holdout qualified.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NO_CALL_MODEL_UNVALIDATED</t>
        </is>
      </c>
      <c r="AP146" s="24" t="inlineStr">
        <is>
          <t>Flamengo</t>
        </is>
      </c>
      <c r="AQ146" s="24" t="inlineStr">
        <is>
          <t>Flamengo</t>
        </is>
      </c>
      <c r="AR146" s="24" t="inlineStr">
        <is>
          <t>Flamengo</t>
        </is>
      </c>
      <c r="AS146" s="24" t="inlineStr">
        <is>
          <t>Internacional</t>
        </is>
      </c>
      <c r="AT146" s="24" t="inlineStr">
        <is>
          <t>Internacional</t>
        </is>
      </c>
      <c r="AU146" s="24" t="inlineStr">
        <is>
          <t>Internacional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0361718a19f38c3d244b71cb6b1f2e7e14a86925e833d2186645250fc084b969</t>
        </is>
      </c>
      <c r="BB146" s="24" t="inlineStr">
        <is>
          <t>poisson_dixon_coles</t>
        </is>
      </c>
      <c r="BC146" s="24" t="inlineStr">
        <is>
          <t>soccer-poisson-dc-v1</t>
        </is>
      </c>
      <c r="BD146" s="24" t="inlineStr">
        <is>
          <t>0361718a19f38c3d244b71cb6b1f2e7e14a86925e833d2186645250fc084b969</t>
        </is>
      </c>
      <c r="BE146" s="24" t="inlineStr">
        <is>
          <t>soccer-poisson-dc-v1</t>
        </is>
      </c>
      <c r="BF146" s="24" t="inlineStr">
        <is>
          <t>1</t>
        </is>
      </c>
      <c r="BG146" s="24" t="inlineStr">
        <is>
          <t>0361718a19f38c3d244b71cb6b1f2e7e14a86925e833d2186645250fc084b969</t>
        </is>
      </c>
      <c r="BH146" s="24" t="inlineStr">
        <is>
          <t>2026-07-29T17:43:19.651886Z</t>
        </is>
      </c>
      <c r="BI146" s="24" t="inlineStr">
        <is>
          <t>["same_event","same_team_same_day","same_league_same_day"]</t>
        </is>
      </c>
      <c r="BJ146" s="25" t="n"/>
      <c r="BK146" s="26" t="n">
        <v>285</v>
      </c>
      <c r="BL146" s="27" t="n">
        <v>3.85</v>
      </c>
      <c r="BM146" s="28" t="n">
        <v>0.25974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</row>
    <row r="147" ht="36" customHeight="1">
      <c r="A147" s="24" t="inlineStr">
        <is>
          <t>9eab45bc1b49434a</t>
        </is>
      </c>
      <c r="B147" s="24" t="inlineStr">
        <is>
          <t>2026-07-29T17:45:15.881226Z</t>
        </is>
      </c>
      <c r="C147" s="24" t="inlineStr">
        <is>
          <t>2026-07-29T22:30Z</t>
        </is>
      </c>
      <c r="D147" s="24" t="inlineStr">
        <is>
          <t>401841170</t>
        </is>
      </c>
      <c r="E147" s="24" t="inlineStr">
        <is>
          <t>SOCCER</t>
        </is>
      </c>
      <c r="F147" s="24" t="inlineStr">
        <is>
          <t>Remo</t>
        </is>
      </c>
      <c r="G147" s="24" t="inlineStr">
        <is>
          <t>Mirassol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-138</v>
      </c>
      <c r="M147" s="27" t="n">
        <v>1.724638</v>
      </c>
      <c r="N147" s="28" t="n">
        <v>0.579832</v>
      </c>
      <c r="O147" s="28" t="n">
        <v>0.456199</v>
      </c>
      <c r="P147" s="28" t="n">
        <v>0.2</v>
      </c>
      <c r="Q147" s="28" t="n">
        <v>-0.123633</v>
      </c>
      <c r="R147" s="26" t="n">
        <v>0</v>
      </c>
      <c r="S147" s="29" t="n">
        <v>1</v>
      </c>
      <c r="T147" s="24" t="inlineStr">
        <is>
          <t>soccer-poisson-dc-v1</t>
        </is>
      </c>
      <c r="U147" s="24" t="inlineStr">
        <is>
          <t>settled</t>
        </is>
      </c>
      <c r="V147" s="24" t="inlineStr">
        <is>
          <t>win</t>
        </is>
      </c>
      <c r="W147" s="26" t="n">
        <v>1</v>
      </c>
      <c r="X147" s="26" t="n">
        <v>2</v>
      </c>
      <c r="Y147" s="25" t="n"/>
      <c r="Z147" s="26" t="n"/>
      <c r="AA147" s="28" t="n"/>
      <c r="AB147" s="28" t="n"/>
      <c r="AC147" s="30" t="n">
        <v>0.7246</v>
      </c>
      <c r="AD147" s="24" t="inlineStr">
        <is>
          <t>2026-07-30T04:12:52.337713Z</t>
        </is>
      </c>
      <c r="AE147" s="31" t="inlineStr">
        <is>
          <t>Poisson-DC rates 1.64 (home) / 1.24 (away) from EWMA attack/defense strengths. Executable ask 0.5800 (atc-bra-mir-cre-2026-07-29-mir).</t>
        </is>
      </c>
      <c r="AF147" s="31" t="inlineStr">
        <is>
          <t>Research-only soccer score model; draw-aware, but not yet locked-holdout qualified.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>Remo</t>
        </is>
      </c>
      <c r="AQ147" s="24" t="inlineStr">
        <is>
          <t>Remo</t>
        </is>
      </c>
      <c r="AR147" s="24" t="inlineStr">
        <is>
          <t>Remo</t>
        </is>
      </c>
      <c r="AS147" s="24" t="inlineStr">
        <is>
          <t>Mirassol</t>
        </is>
      </c>
      <c r="AT147" s="24" t="inlineStr">
        <is>
          <t>Mirassol</t>
        </is>
      </c>
      <c r="AU147" s="24" t="inlineStr">
        <is>
          <t>Mirassol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0361718a19f38c3d244b71cb6b1f2e7e14a86925e833d2186645250fc084b969</t>
        </is>
      </c>
      <c r="BB147" s="24" t="inlineStr">
        <is>
          <t>poisson_dixon_coles</t>
        </is>
      </c>
      <c r="BC147" s="24" t="inlineStr">
        <is>
          <t>soccer-poisson-dc-v1</t>
        </is>
      </c>
      <c r="BD147" s="24" t="inlineStr">
        <is>
          <t>0361718a19f38c3d244b71cb6b1f2e7e14a86925e833d2186645250fc084b969</t>
        </is>
      </c>
      <c r="BE147" s="24" t="inlineStr">
        <is>
          <t>soccer-poisson-dc-v1</t>
        </is>
      </c>
      <c r="BF147" s="24" t="inlineStr">
        <is>
          <t>1</t>
        </is>
      </c>
      <c r="BG147" s="24" t="inlineStr">
        <is>
          <t>0361718a19f38c3d244b71cb6b1f2e7e14a86925e833d2186645250fc084b969</t>
        </is>
      </c>
      <c r="BH147" s="24" t="inlineStr">
        <is>
          <t>2026-07-29T17:43:19.742689Z</t>
        </is>
      </c>
      <c r="BI147" s="24" t="inlineStr">
        <is>
          <t>["same_event","same_team_same_day","same_league_same_day"]</t>
        </is>
      </c>
      <c r="BJ147" s="25" t="n"/>
      <c r="BK147" s="26" t="n">
        <v>-138</v>
      </c>
      <c r="BL147" s="27" t="n">
        <v>1.724638</v>
      </c>
      <c r="BM147" s="28" t="n">
        <v>0.579832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</row>
    <row r="148" ht="36" customHeight="1">
      <c r="A148" s="24" t="inlineStr">
        <is>
          <t>543936a84904488a</t>
        </is>
      </c>
      <c r="B148" s="24" t="inlineStr">
        <is>
          <t>2026-07-29T17:45:15.881226Z</t>
        </is>
      </c>
      <c r="C148" s="24" t="inlineStr">
        <is>
          <t>2026-07-30T00:30Z</t>
        </is>
      </c>
      <c r="D148" s="24" t="inlineStr">
        <is>
          <t>401841177</t>
        </is>
      </c>
      <c r="E148" s="24" t="inlineStr">
        <is>
          <t>SOCCER</t>
        </is>
      </c>
      <c r="F148" s="24" t="inlineStr">
        <is>
          <t>Bahia</t>
        </is>
      </c>
      <c r="G148" s="24" t="inlineStr">
        <is>
          <t>Fluminense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-133</v>
      </c>
      <c r="M148" s="27" t="n">
        <v>1.75188</v>
      </c>
      <c r="N148" s="28" t="n">
        <v>0.570815</v>
      </c>
      <c r="O148" s="28" t="n">
        <v>0.456199</v>
      </c>
      <c r="P148" s="28" t="n">
        <v>0.2</v>
      </c>
      <c r="Q148" s="28" t="n">
        <v>-0.114616</v>
      </c>
      <c r="R148" s="26" t="n">
        <v>0</v>
      </c>
      <c r="S148" s="29" t="n">
        <v>1</v>
      </c>
      <c r="T148" s="24" t="inlineStr">
        <is>
          <t>soccer-poisson-dc-v1</t>
        </is>
      </c>
      <c r="U148" s="24" t="inlineStr">
        <is>
          <t>settled</t>
        </is>
      </c>
      <c r="V148" s="24" t="inlineStr">
        <is>
          <t>push</t>
        </is>
      </c>
      <c r="W148" s="26" t="n">
        <v>0</v>
      </c>
      <c r="X148" s="26" t="n">
        <v>0</v>
      </c>
      <c r="Y148" s="25" t="n"/>
      <c r="Z148" s="26" t="n"/>
      <c r="AA148" s="28" t="n"/>
      <c r="AB148" s="28" t="n"/>
      <c r="AC148" s="30" t="n">
        <v>0</v>
      </c>
      <c r="AD148" s="24" t="inlineStr">
        <is>
          <t>2026-07-30T04:12:52.435602Z</t>
        </is>
      </c>
      <c r="AE148" s="31" t="inlineStr">
        <is>
          <t>Poisson-DC rates 1.64 (home) / 1.24 (away) from EWMA attack/defense strengths. Executable ask 0.5700 (atc-bra-flu-bah-2026-07-29-flu).</t>
        </is>
      </c>
      <c r="AF148" s="31" t="inlineStr">
        <is>
          <t>Research-only soccer score model; draw-aware, but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NO_CALL_MODEL_UNVALIDATED</t>
        </is>
      </c>
      <c r="AP148" s="24" t="inlineStr">
        <is>
          <t>Bahia</t>
        </is>
      </c>
      <c r="AQ148" s="24" t="inlineStr">
        <is>
          <t>Bahia</t>
        </is>
      </c>
      <c r="AR148" s="24" t="inlineStr">
        <is>
          <t>Bahia</t>
        </is>
      </c>
      <c r="AS148" s="24" t="inlineStr">
        <is>
          <t>Fluminense</t>
        </is>
      </c>
      <c r="AT148" s="24" t="inlineStr">
        <is>
          <t>Fluminense</t>
        </is>
      </c>
      <c r="AU148" s="24" t="inlineStr">
        <is>
          <t>Fluminense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0361718a19f38c3d244b71cb6b1f2e7e14a86925e833d2186645250fc084b969</t>
        </is>
      </c>
      <c r="BB148" s="24" t="inlineStr">
        <is>
          <t>poisson_dixon_coles</t>
        </is>
      </c>
      <c r="BC148" s="24" t="inlineStr">
        <is>
          <t>soccer-poisson-dc-v1</t>
        </is>
      </c>
      <c r="BD148" s="24" t="inlineStr">
        <is>
          <t>0361718a19f38c3d244b71cb6b1f2e7e14a86925e833d2186645250fc084b969</t>
        </is>
      </c>
      <c r="BE148" s="24" t="inlineStr">
        <is>
          <t>soccer-poisson-dc-v1</t>
        </is>
      </c>
      <c r="BF148" s="24" t="inlineStr">
        <is>
          <t>1</t>
        </is>
      </c>
      <c r="BG148" s="24" t="inlineStr">
        <is>
          <t>0361718a19f38c3d244b71cb6b1f2e7e14a86925e833d2186645250fc084b969</t>
        </is>
      </c>
      <c r="BH148" s="24" t="inlineStr">
        <is>
          <t>2026-07-29T17:43:20.222742Z</t>
        </is>
      </c>
      <c r="BI148" s="24" t="inlineStr">
        <is>
          <t>["same_event","same_team_same_day","same_league_same_day"]</t>
        </is>
      </c>
      <c r="BJ148" s="25" t="n"/>
      <c r="BK148" s="26" t="n">
        <v>-133</v>
      </c>
      <c r="BL148" s="27" t="n">
        <v>1.75188</v>
      </c>
      <c r="BM148" s="28" t="n">
        <v>0.570815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</row>
    <row r="149" ht="36" customHeight="1">
      <c r="A149" s="24" t="inlineStr">
        <is>
          <t>e4ff84b7e06b4da7</t>
        </is>
      </c>
      <c r="B149" s="24" t="inlineStr">
        <is>
          <t>2026-07-29T17:45:15.881226Z</t>
        </is>
      </c>
      <c r="C149" s="24" t="inlineStr">
        <is>
          <t>2026-07-29T22:15Z</t>
        </is>
      </c>
      <c r="D149" s="24" t="inlineStr">
        <is>
          <t>401841457</t>
        </is>
      </c>
      <c r="E149" s="24" t="inlineStr">
        <is>
          <t>SOCCER</t>
        </is>
      </c>
      <c r="F149" s="24" t="inlineStr">
        <is>
          <t>River Plate</t>
        </is>
      </c>
      <c r="G149" s="24" t="inlineStr">
        <is>
          <t>Gimnasia La Plata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355</v>
      </c>
      <c r="M149" s="27" t="n">
        <v>4.55</v>
      </c>
      <c r="N149" s="28" t="n">
        <v>0.21978</v>
      </c>
      <c r="O149" s="28" t="n">
        <v>0.456199</v>
      </c>
      <c r="P149" s="28" t="n">
        <v>0.2</v>
      </c>
      <c r="Q149" s="28" t="n">
        <v>0.236419</v>
      </c>
      <c r="R149" s="26" t="n">
        <v>48</v>
      </c>
      <c r="S149" s="29" t="n">
        <v>1</v>
      </c>
      <c r="T149" s="24" t="inlineStr">
        <is>
          <t>soccer-poisson-dc-v1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/>
      <c r="AA149" s="28" t="n"/>
      <c r="AB149" s="28" t="n"/>
      <c r="AC149" s="30" t="n">
        <v>3.55</v>
      </c>
      <c r="AD149" s="24" t="inlineStr">
        <is>
          <t>2026-07-30T04:12:52.533511Z</t>
        </is>
      </c>
      <c r="AE149" s="31" t="inlineStr">
        <is>
          <t>Poisson-DC rates 1.64 (home) / 1.24 (away) from EWMA attack/defense strengths. Executable ask 0.2200 (atc-lpa-gim-riv-2026-07-29-gim).</t>
        </is>
      </c>
      <c r="AF149" s="31" t="inlineStr">
        <is>
          <t>Research-only soccer score model; draw-aware, but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NO_CALL_MODEL_UNVALIDATED</t>
        </is>
      </c>
      <c r="AP149" s="24" t="inlineStr">
        <is>
          <t>River Plate</t>
        </is>
      </c>
      <c r="AQ149" s="24" t="inlineStr">
        <is>
          <t>River Plate</t>
        </is>
      </c>
      <c r="AR149" s="24" t="inlineStr">
        <is>
          <t>River Plate</t>
        </is>
      </c>
      <c r="AS149" s="24" t="inlineStr">
        <is>
          <t>Gimnasia La Plata</t>
        </is>
      </c>
      <c r="AT149" s="24" t="inlineStr">
        <is>
          <t>Gimnasia La Plata</t>
        </is>
      </c>
      <c r="AU149" s="24" t="inlineStr">
        <is>
          <t>Gimnasia La Plata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0361718a19f38c3d244b71cb6b1f2e7e14a86925e833d2186645250fc084b969</t>
        </is>
      </c>
      <c r="BB149" s="24" t="inlineStr">
        <is>
          <t>poisson_dixon_coles</t>
        </is>
      </c>
      <c r="BC149" s="24" t="inlineStr">
        <is>
          <t>soccer-poisson-dc-v1</t>
        </is>
      </c>
      <c r="BD149" s="24" t="inlineStr">
        <is>
          <t>0361718a19f38c3d244b71cb6b1f2e7e14a86925e833d2186645250fc084b969</t>
        </is>
      </c>
      <c r="BE149" s="24" t="inlineStr">
        <is>
          <t>soccer-poisson-dc-v1</t>
        </is>
      </c>
      <c r="BF149" s="24" t="inlineStr">
        <is>
          <t>1</t>
        </is>
      </c>
      <c r="BG149" s="24" t="inlineStr">
        <is>
          <t>0361718a19f38c3d244b71cb6b1f2e7e14a86925e833d2186645250fc084b969</t>
        </is>
      </c>
      <c r="BH149" s="24" t="inlineStr">
        <is>
          <t>2026-07-29T17:43:20.814669Z</t>
        </is>
      </c>
      <c r="BI149" s="24" t="inlineStr">
        <is>
          <t>["same_event","same_team_same_day","same_league_same_day"]</t>
        </is>
      </c>
      <c r="BJ149" s="25" t="n"/>
      <c r="BK149" s="26" t="n">
        <v>355</v>
      </c>
      <c r="BL149" s="27" t="n">
        <v>4.55</v>
      </c>
      <c r="BM149" s="28" t="n">
        <v>0.21978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</row>
    <row r="150" ht="36" customHeight="1">
      <c r="A150" s="24" t="inlineStr">
        <is>
          <t>6fe762116e044f29</t>
        </is>
      </c>
      <c r="B150" s="24" t="inlineStr">
        <is>
          <t>2026-07-29T17:45:15.881226Z</t>
        </is>
      </c>
      <c r="C150" s="24" t="inlineStr">
        <is>
          <t>2026-07-29T23:30Z</t>
        </is>
      </c>
      <c r="D150" s="24" t="inlineStr">
        <is>
          <t>401863532</t>
        </is>
      </c>
      <c r="E150" s="24" t="inlineStr">
        <is>
          <t>SOCCER</t>
        </is>
      </c>
      <c r="F150" s="24" t="inlineStr">
        <is>
          <t>Wrexham</t>
        </is>
      </c>
      <c r="G150" s="24" t="inlineStr">
        <is>
          <t>Liverpool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-233</v>
      </c>
      <c r="M150" s="27" t="n">
        <v>1.429185</v>
      </c>
      <c r="N150" s="28" t="n">
        <v>0.6997</v>
      </c>
      <c r="O150" s="28" t="n">
        <v>0.5541700000000001</v>
      </c>
      <c r="P150" s="28" t="n">
        <v>0.04</v>
      </c>
      <c r="Q150" s="28" t="n">
        <v>-0.14553</v>
      </c>
      <c r="R150" s="26" t="n">
        <v>0</v>
      </c>
      <c r="S150" s="29" t="n">
        <v>1</v>
      </c>
      <c r="T150" s="24" t="inlineStr">
        <is>
          <t>soccer-poisson-dc-v1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/>
      <c r="AA150" s="28" t="n"/>
      <c r="AB150" s="28" t="n"/>
      <c r="AC150" s="30" t="n">
        <v>0.4292</v>
      </c>
      <c r="AD150" s="24" t="inlineStr">
        <is>
          <t>2026-07-30T04:12:55.723807Z</t>
        </is>
      </c>
      <c r="AE150" s="31" t="inlineStr">
        <is>
          <t>Poisson-DC rates 2.12 (home) / 1.29 (away) from EWMA attack/defense strengths. Executable ask 0.7000 (atc-clbf-lfc-wre-2026-07-29-lfc).</t>
        </is>
      </c>
      <c r="AF150" s="31" t="inlineStr">
        <is>
          <t>Research-only soccer score model; draw-aware, but not yet locked-holdout qualified.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NO_CALL_MODEL_UNVALIDATED</t>
        </is>
      </c>
      <c r="AP150" s="24" t="inlineStr">
        <is>
          <t>Wrexham</t>
        </is>
      </c>
      <c r="AQ150" s="24" t="inlineStr">
        <is>
          <t>Wrexham</t>
        </is>
      </c>
      <c r="AR150" s="24" t="inlineStr">
        <is>
          <t>Wrexham</t>
        </is>
      </c>
      <c r="AS150" s="24" t="inlineStr">
        <is>
          <t>Liverpool</t>
        </is>
      </c>
      <c r="AT150" s="24" t="inlineStr">
        <is>
          <t>Liverpool</t>
        </is>
      </c>
      <c r="AU150" s="24" t="inlineStr">
        <is>
          <t>Liverpool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0361718a19f38c3d244b71cb6b1f2e7e14a86925e833d2186645250fc084b969</t>
        </is>
      </c>
      <c r="BB150" s="24" t="inlineStr">
        <is>
          <t>poisson_dixon_coles</t>
        </is>
      </c>
      <c r="BC150" s="24" t="inlineStr">
        <is>
          <t>soccer-poisson-dc-v1</t>
        </is>
      </c>
      <c r="BD150" s="24" t="inlineStr">
        <is>
          <t>0361718a19f38c3d244b71cb6b1f2e7e14a86925e833d2186645250fc084b969</t>
        </is>
      </c>
      <c r="BE150" s="24" t="inlineStr">
        <is>
          <t>soccer-poisson-dc-v1</t>
        </is>
      </c>
      <c r="BF150" s="24" t="inlineStr">
        <is>
          <t>1</t>
        </is>
      </c>
      <c r="BG150" s="24" t="inlineStr">
        <is>
          <t>0361718a19f38c3d244b71cb6b1f2e7e14a86925e833d2186645250fc084b969</t>
        </is>
      </c>
      <c r="BH150" s="24" t="inlineStr">
        <is>
          <t>2026-07-29T17:43:24.705734Z</t>
        </is>
      </c>
      <c r="BI150" s="24" t="inlineStr">
        <is>
          <t>["same_event","same_team_same_day","same_league_same_day"]</t>
        </is>
      </c>
      <c r="BJ150" s="25" t="n"/>
      <c r="BK150" s="26" t="n">
        <v>-233</v>
      </c>
      <c r="BL150" s="27" t="n">
        <v>1.429185</v>
      </c>
      <c r="BM150" s="28" t="n">
        <v>0.6997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</row>
    <row r="151" ht="36" customHeight="1">
      <c r="A151" s="24" t="inlineStr">
        <is>
          <t>5f5afef2c6ff418f</t>
        </is>
      </c>
      <c r="B151" s="24" t="inlineStr">
        <is>
          <t>2026-07-30T21:08:36.264404Z</t>
        </is>
      </c>
      <c r="C151" s="24" t="inlineStr">
        <is>
          <t>2026-07-31T00:30Z</t>
        </is>
      </c>
      <c r="D151" s="24" t="inlineStr">
        <is>
          <t>401841173</t>
        </is>
      </c>
      <c r="E151" s="24" t="inlineStr">
        <is>
          <t>SOCCER</t>
        </is>
      </c>
      <c r="F151" s="24" t="inlineStr">
        <is>
          <t>Cruzeiro</t>
        </is>
      </c>
      <c r="G151" s="24" t="inlineStr">
        <is>
          <t>Coritiba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245</v>
      </c>
      <c r="M151" s="27" t="n">
        <v>3.45</v>
      </c>
      <c r="N151" s="28" t="n">
        <v>0.289855</v>
      </c>
      <c r="O151" s="28" t="n">
        <v>0.456135</v>
      </c>
      <c r="P151" s="28" t="n">
        <v>0.2</v>
      </c>
      <c r="Q151" s="28" t="n">
        <v>0.16628</v>
      </c>
      <c r="R151" s="26" t="n">
        <v>13</v>
      </c>
      <c r="S151" s="29" t="n">
        <v>1</v>
      </c>
      <c r="T151" s="24" t="inlineStr">
        <is>
          <t>soccer-poisson-dc-v1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2026-07-31T04:29:36.196646Z</t>
        </is>
      </c>
      <c r="AE151" s="31" t="inlineStr">
        <is>
          <t>Poisson-DC rates 1.64 (home) / 1.24 (away) from EWMA attack/defense strengths. Executable ask 0.2900 (atc-bra-cor-cru-2026-07-30-cor).</t>
        </is>
      </c>
      <c r="AF151" s="31" t="inlineStr">
        <is>
          <t>Research-only soccer score model; draw-aware, but not yet locked-holdout qualified.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Cruzeiro</t>
        </is>
      </c>
      <c r="AQ151" s="24" t="inlineStr">
        <is>
          <t>Cruzeiro</t>
        </is>
      </c>
      <c r="AR151" s="24" t="inlineStr">
        <is>
          <t>Cruzeiro</t>
        </is>
      </c>
      <c r="AS151" s="24" t="inlineStr">
        <is>
          <t>Coritiba</t>
        </is>
      </c>
      <c r="AT151" s="24" t="inlineStr">
        <is>
          <t>Coritiba</t>
        </is>
      </c>
      <c r="AU151" s="24" t="inlineStr">
        <is>
          <t>Coritiba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34d1568aad0ff11b5db35f118324684f93281e1c21fa7b80be7a4a4e2cb4bb03</t>
        </is>
      </c>
      <c r="BB151" s="24" t="inlineStr">
        <is>
          <t>poisson_dixon_coles</t>
        </is>
      </c>
      <c r="BC151" s="24" t="inlineStr">
        <is>
          <t>soccer-poisson-dc-v1</t>
        </is>
      </c>
      <c r="BD151" s="24" t="inlineStr">
        <is>
          <t>34d1568aad0ff11b5db35f118324684f93281e1c21fa7b80be7a4a4e2cb4bb03</t>
        </is>
      </c>
      <c r="BE151" s="24" t="inlineStr">
        <is>
          <t>soccer-poisson-dc-v1</t>
        </is>
      </c>
      <c r="BF151" s="24" t="inlineStr">
        <is>
          <t>1</t>
        </is>
      </c>
      <c r="BG151" s="24" t="inlineStr">
        <is>
          <t>34d1568aad0ff11b5db35f118324684f93281e1c21fa7b80be7a4a4e2cb4bb03</t>
        </is>
      </c>
      <c r="BH151" s="24" t="inlineStr">
        <is>
          <t>2026-07-30T21:07:20.486954Z</t>
        </is>
      </c>
      <c r="BI151" s="24" t="inlineStr">
        <is>
          <t>["same_event","same_team_same_day","same_league_same_day"]</t>
        </is>
      </c>
      <c r="BJ151" s="25" t="n"/>
      <c r="BK151" s="26" t="n">
        <v>245</v>
      </c>
      <c r="BL151" s="27" t="n">
        <v>3.45</v>
      </c>
      <c r="BM151" s="28" t="n">
        <v>0.289855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</row>
    <row r="152" ht="36" customHeight="1">
      <c r="A152" s="24" t="inlineStr">
        <is>
          <t>9bfe664e8e5b4a8b</t>
        </is>
      </c>
      <c r="B152" s="24" t="inlineStr">
        <is>
          <t>2026-07-30T21:08:36.264404Z</t>
        </is>
      </c>
      <c r="C152" s="24" t="inlineStr">
        <is>
          <t>2026-07-31T00:15Z</t>
        </is>
      </c>
      <c r="D152" s="24" t="inlineStr">
        <is>
          <t>401841456</t>
        </is>
      </c>
      <c r="E152" s="24" t="inlineStr">
        <is>
          <t>SOCCER</t>
        </is>
      </c>
      <c r="F152" s="24" t="inlineStr">
        <is>
          <t>Newell's Old Boys</t>
        </is>
      </c>
      <c r="G152" s="24" t="inlineStr">
        <is>
          <t>Independiente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-156</v>
      </c>
      <c r="M152" s="27" t="n">
        <v>1.641026</v>
      </c>
      <c r="N152" s="28" t="n">
        <v>0.609375</v>
      </c>
      <c r="O152" s="28" t="n">
        <v>0.456135</v>
      </c>
      <c r="P152" s="28" t="n">
        <v>0.2</v>
      </c>
      <c r="Q152" s="28" t="n">
        <v>-0.15324</v>
      </c>
      <c r="R152" s="26" t="n">
        <v>0</v>
      </c>
      <c r="S152" s="29" t="n">
        <v>1</v>
      </c>
      <c r="T152" s="24" t="inlineStr">
        <is>
          <t>soccer-poisson-dc-v1</t>
        </is>
      </c>
      <c r="U152" s="24" t="inlineStr">
        <is>
          <t>settled</t>
        </is>
      </c>
      <c r="V152" s="24" t="inlineStr">
        <is>
          <t>win</t>
        </is>
      </c>
      <c r="W152" s="26" t="n">
        <v>0</v>
      </c>
      <c r="X152" s="26" t="n">
        <v>1</v>
      </c>
      <c r="Y152" s="25" t="n"/>
      <c r="Z152" s="26" t="n"/>
      <c r="AA152" s="28" t="n"/>
      <c r="AB152" s="28" t="n"/>
      <c r="AC152" s="30" t="n">
        <v>0.641</v>
      </c>
      <c r="AD152" s="24" t="inlineStr">
        <is>
          <t>2026-07-31T04:29:36.979280Z</t>
        </is>
      </c>
      <c r="AE152" s="31" t="inlineStr">
        <is>
          <t>Poisson-DC rates 1.64 (home) / 1.24 (away) from EWMA attack/defense strengths. Executable ask 0.6100 (atc-lpa-ind-new-2026-07-30-ind).</t>
        </is>
      </c>
      <c r="AF152" s="31" t="inlineStr">
        <is>
          <t>Research-only soccer score model; draw-aware, but not yet locked-holdout qualified.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NO_CALL_MODEL_UNVALIDATED</t>
        </is>
      </c>
      <c r="AP152" s="24" t="inlineStr">
        <is>
          <t>Newell's Old Boys</t>
        </is>
      </c>
      <c r="AQ152" s="24" t="inlineStr">
        <is>
          <t>Newell's Old Boys</t>
        </is>
      </c>
      <c r="AR152" s="24" t="inlineStr">
        <is>
          <t>Newell's Old Boys</t>
        </is>
      </c>
      <c r="AS152" s="24" t="inlineStr">
        <is>
          <t>Independiente</t>
        </is>
      </c>
      <c r="AT152" s="24" t="inlineStr">
        <is>
          <t>Independiente</t>
        </is>
      </c>
      <c r="AU152" s="24" t="inlineStr">
        <is>
          <t>Independiente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34d1568aad0ff11b5db35f118324684f93281e1c21fa7b80be7a4a4e2cb4bb03</t>
        </is>
      </c>
      <c r="BB152" s="24" t="inlineStr">
        <is>
          <t>poisson_dixon_coles</t>
        </is>
      </c>
      <c r="BC152" s="24" t="inlineStr">
        <is>
          <t>soccer-poisson-dc-v1</t>
        </is>
      </c>
      <c r="BD152" s="24" t="inlineStr">
        <is>
          <t>34d1568aad0ff11b5db35f118324684f93281e1c21fa7b80be7a4a4e2cb4bb03</t>
        </is>
      </c>
      <c r="BE152" s="24" t="inlineStr">
        <is>
          <t>soccer-poisson-dc-v1</t>
        </is>
      </c>
      <c r="BF152" s="24" t="inlineStr">
        <is>
          <t>1</t>
        </is>
      </c>
      <c r="BG152" s="24" t="inlineStr">
        <is>
          <t>34d1568aad0ff11b5db35f118324684f93281e1c21fa7b80be7a4a4e2cb4bb03</t>
        </is>
      </c>
      <c r="BH152" s="24" t="inlineStr">
        <is>
          <t>2026-07-30T21:07:21.770185Z</t>
        </is>
      </c>
      <c r="BI152" s="24" t="inlineStr">
        <is>
          <t>["same_event","same_team_same_day","same_league_same_day"]</t>
        </is>
      </c>
      <c r="BJ152" s="25" t="n"/>
      <c r="BK152" s="26" t="n">
        <v>-156</v>
      </c>
      <c r="BL152" s="27" t="n">
        <v>1.641026</v>
      </c>
      <c r="BM152" s="28" t="n">
        <v>0.609375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</row>
    <row r="153" ht="36" customHeight="1">
      <c r="A153" s="24" t="inlineStr">
        <is>
          <t>97c8cc75e04649d2</t>
        </is>
      </c>
      <c r="B153" s="24" t="inlineStr">
        <is>
          <t>2026-07-30T21:08:36.264404Z</t>
        </is>
      </c>
      <c r="C153" s="24" t="inlineStr">
        <is>
          <t>2026-07-31T00:30Z</t>
        </is>
      </c>
      <c r="D153" s="24" t="inlineStr">
        <is>
          <t>401874162</t>
        </is>
      </c>
      <c r="E153" s="24" t="inlineStr">
        <is>
          <t>SOCCER</t>
        </is>
      </c>
      <c r="F153" s="24" t="inlineStr">
        <is>
          <t>Independiente Santa Fe</t>
        </is>
      </c>
      <c r="G153" s="24" t="inlineStr">
        <is>
          <t>Caracas FC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223</v>
      </c>
      <c r="M153" s="27" t="n">
        <v>3.23</v>
      </c>
      <c r="N153" s="28" t="n">
        <v>0.309598</v>
      </c>
      <c r="O153" s="28" t="n">
        <v>0.456135</v>
      </c>
      <c r="P153" s="28" t="n">
        <v>0.2</v>
      </c>
      <c r="Q153" s="28" t="n">
        <v>0.146537</v>
      </c>
      <c r="R153" s="26" t="n">
        <v>3</v>
      </c>
      <c r="S153" s="29" t="n">
        <v>1</v>
      </c>
      <c r="T153" s="24" t="inlineStr">
        <is>
          <t>soccer-poisson-dc-v1</t>
        </is>
      </c>
      <c r="U153" s="24" t="inlineStr">
        <is>
          <t>settled</t>
        </is>
      </c>
      <c r="V153" s="24" t="inlineStr">
        <is>
          <t>loss</t>
        </is>
      </c>
      <c r="W153" s="26" t="n">
        <v>3</v>
      </c>
      <c r="X153" s="26" t="n">
        <v>0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2026-07-31T04:29:39.457874Z</t>
        </is>
      </c>
      <c r="AE153" s="31" t="inlineStr">
        <is>
          <t>Poisson-DC rates 1.64 (home) / 1.24 (away) from EWMA attack/defense strengths. Executable ask 0.3100 (atc-sud-cfa-isf-2026-07-30-cfa).</t>
        </is>
      </c>
      <c r="AF153" s="31" t="inlineStr">
        <is>
          <t>Research-only soccer score model; draw-aware, but not yet locked-holdout qualified.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NO_CALL_MODEL_UNVALIDATED</t>
        </is>
      </c>
      <c r="AP153" s="24" t="inlineStr">
        <is>
          <t>Independiente Santa Fe</t>
        </is>
      </c>
      <c r="AQ153" s="24" t="inlineStr">
        <is>
          <t>Independiente Santa Fe</t>
        </is>
      </c>
      <c r="AR153" s="24" t="inlineStr">
        <is>
          <t>Independiente Santa Fe</t>
        </is>
      </c>
      <c r="AS153" s="24" t="inlineStr">
        <is>
          <t>Caracas FC</t>
        </is>
      </c>
      <c r="AT153" s="24" t="inlineStr">
        <is>
          <t>Caracas FC</t>
        </is>
      </c>
      <c r="AU153" s="24" t="inlineStr">
        <is>
          <t>Caracas FC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34d1568aad0ff11b5db35f118324684f93281e1c21fa7b80be7a4a4e2cb4bb03</t>
        </is>
      </c>
      <c r="BB153" s="24" t="inlineStr">
        <is>
          <t>poisson_dixon_coles</t>
        </is>
      </c>
      <c r="BC153" s="24" t="inlineStr">
        <is>
          <t>soccer-poisson-dc-v1</t>
        </is>
      </c>
      <c r="BD153" s="24" t="inlineStr">
        <is>
          <t>34d1568aad0ff11b5db35f118324684f93281e1c21fa7b80be7a4a4e2cb4bb03</t>
        </is>
      </c>
      <c r="BE153" s="24" t="inlineStr">
        <is>
          <t>soccer-poisson-dc-v1</t>
        </is>
      </c>
      <c r="BF153" s="24" t="inlineStr">
        <is>
          <t>1</t>
        </is>
      </c>
      <c r="BG153" s="24" t="inlineStr">
        <is>
          <t>34d1568aad0ff11b5db35f118324684f93281e1c21fa7b80be7a4a4e2cb4bb03</t>
        </is>
      </c>
      <c r="BH153" s="24" t="inlineStr">
        <is>
          <t>2026-07-30T21:07:22.865296Z</t>
        </is>
      </c>
      <c r="BI153" s="24" t="inlineStr">
        <is>
          <t>["same_event","same_team_same_day","same_league_same_day"]</t>
        </is>
      </c>
      <c r="BJ153" s="25" t="n"/>
      <c r="BK153" s="26" t="n">
        <v>223</v>
      </c>
      <c r="BL153" s="27" t="n">
        <v>3.23</v>
      </c>
      <c r="BM153" s="28" t="n">
        <v>0.309598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</row>
    <row r="154" ht="36" customHeight="1">
      <c r="A154" s="24" t="inlineStr">
        <is>
          <t>5332b99f26d14835</t>
        </is>
      </c>
      <c r="B154" s="24" t="inlineStr">
        <is>
          <t>2026-07-30T21:08:36.264404Z</t>
        </is>
      </c>
      <c r="C154" s="24" t="inlineStr">
        <is>
          <t>2026-07-31T00:30Z</t>
        </is>
      </c>
      <c r="D154" s="24" t="inlineStr">
        <is>
          <t>401874164</t>
        </is>
      </c>
      <c r="E154" s="24" t="inlineStr">
        <is>
          <t>SOCCER</t>
        </is>
      </c>
      <c r="F154" s="24" t="inlineStr">
        <is>
          <t>Boca Juniors</t>
        </is>
      </c>
      <c r="G154" s="24" t="inlineStr">
        <is>
          <t>O'Higgins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-104</v>
      </c>
      <c r="M154" s="27" t="n">
        <v>1.961538</v>
      </c>
      <c r="N154" s="28" t="n">
        <v>0.509804</v>
      </c>
      <c r="O154" s="28" t="n">
        <v>0.396866</v>
      </c>
      <c r="P154" s="28" t="n">
        <v>0.19</v>
      </c>
      <c r="Q154" s="28" t="n">
        <v>-0.112938</v>
      </c>
      <c r="R154" s="26" t="n">
        <v>0</v>
      </c>
      <c r="S154" s="29" t="n">
        <v>1</v>
      </c>
      <c r="T154" s="24" t="inlineStr">
        <is>
          <t>soccer-poisson-dc-v1</t>
        </is>
      </c>
      <c r="U154" s="24" t="inlineStr">
        <is>
          <t>settled</t>
        </is>
      </c>
      <c r="V154" s="24" t="inlineStr">
        <is>
          <t>loss</t>
        </is>
      </c>
      <c r="W154" s="26" t="n">
        <v>0</v>
      </c>
      <c r="X154" s="26" t="n">
        <v>1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2026-07-31T04:29:39.572875Z</t>
        </is>
      </c>
      <c r="AE154" s="31" t="inlineStr">
        <is>
          <t>Poisson-DC rates 1.30 (home) / 1.46 (away) from EWMA attack/defense strengths. Executable ask 0.5100 (atc-sud-ohi-boc-2026-07-30-boc).</t>
        </is>
      </c>
      <c r="AF154" s="31" t="inlineStr">
        <is>
          <t>Research-only soccer score model; draw-aware, but not yet locked-holdout qualified.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Boca Juniors</t>
        </is>
      </c>
      <c r="AQ154" s="24" t="inlineStr">
        <is>
          <t>Boca Juniors</t>
        </is>
      </c>
      <c r="AR154" s="24" t="inlineStr">
        <is>
          <t>Boca Juniors</t>
        </is>
      </c>
      <c r="AS154" s="24" t="inlineStr">
        <is>
          <t>O'Higgins</t>
        </is>
      </c>
      <c r="AT154" s="24" t="inlineStr">
        <is>
          <t>O'Higgins</t>
        </is>
      </c>
      <c r="AU154" s="24" t="inlineStr">
        <is>
          <t>O'Higgins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34d1568aad0ff11b5db35f118324684f93281e1c21fa7b80be7a4a4e2cb4bb03</t>
        </is>
      </c>
      <c r="BB154" s="24" t="inlineStr">
        <is>
          <t>poisson_dixon_coles</t>
        </is>
      </c>
      <c r="BC154" s="24" t="inlineStr">
        <is>
          <t>soccer-poisson-dc-v1</t>
        </is>
      </c>
      <c r="BD154" s="24" t="inlineStr">
        <is>
          <t>34d1568aad0ff11b5db35f118324684f93281e1c21fa7b80be7a4a4e2cb4bb03</t>
        </is>
      </c>
      <c r="BE154" s="24" t="inlineStr">
        <is>
          <t>soccer-poisson-dc-v1</t>
        </is>
      </c>
      <c r="BF154" s="24" t="inlineStr">
        <is>
          <t>1</t>
        </is>
      </c>
      <c r="BG154" s="24" t="inlineStr">
        <is>
          <t>34d1568aad0ff11b5db35f118324684f93281e1c21fa7b80be7a4a4e2cb4bb03</t>
        </is>
      </c>
      <c r="BH154" s="24" t="inlineStr">
        <is>
          <t>2026-07-30T21:07:23.262683Z</t>
        </is>
      </c>
      <c r="BI154" s="24" t="inlineStr">
        <is>
          <t>["same_event","same_team_same_day","same_league_same_day"]</t>
        </is>
      </c>
      <c r="BJ154" s="25" t="n"/>
      <c r="BK154" s="26" t="n">
        <v>-104</v>
      </c>
      <c r="BL154" s="27" t="n">
        <v>1.961538</v>
      </c>
      <c r="BM154" s="28" t="n">
        <v>0.509804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</row>
    <row r="155" ht="36" customHeight="1">
      <c r="A155" s="24" t="inlineStr">
        <is>
          <t>0ea3ba73ea6147e2</t>
        </is>
      </c>
      <c r="B155" s="24" t="inlineStr">
        <is>
          <t>2026-07-30T21:08:36.264404Z</t>
        </is>
      </c>
      <c r="C155" s="24" t="inlineStr">
        <is>
          <t>2026-07-30T23:30Z</t>
        </is>
      </c>
      <c r="D155" s="24" t="inlineStr">
        <is>
          <t>401897750</t>
        </is>
      </c>
      <c r="E155" s="24" t="inlineStr">
        <is>
          <t>SOCCER</t>
        </is>
      </c>
      <c r="F155" s="24" t="inlineStr">
        <is>
          <t>Leeds United</t>
        </is>
      </c>
      <c r="G155" s="24" t="inlineStr">
        <is>
          <t>Sunderland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178</v>
      </c>
      <c r="M155" s="27" t="n">
        <v>2.78</v>
      </c>
      <c r="N155" s="28" t="n">
        <v>0.359712</v>
      </c>
      <c r="O155" s="28" t="n">
        <v>0.356905</v>
      </c>
      <c r="P155" s="28" t="n">
        <v>0.04</v>
      </c>
      <c r="Q155" s="28" t="n">
        <v>-0.002807</v>
      </c>
      <c r="R155" s="26" t="n">
        <v>25</v>
      </c>
      <c r="S155" s="29" t="n">
        <v>1.75</v>
      </c>
      <c r="T155" s="24" t="inlineStr">
        <is>
          <t>soccer-poisson-dc-v1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2026-07-31T04:29:40.244393Z</t>
        </is>
      </c>
      <c r="AE155" s="31" t="inlineStr">
        <is>
          <t>Poisson-DC rates 1.19 (home) / 1.15 (away) from EWMA attack/defense strengths. Executable ask 0.3600 (atc-clbf-lee-sun-2026-07-30-sun).</t>
        </is>
      </c>
      <c r="AF155" s="31" t="inlineStr">
        <is>
          <t>Research-only soccer score model; draw-aware, but not yet locked-holdout qualified.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NO_CALL_MODEL_UNVALIDATED</t>
        </is>
      </c>
      <c r="AP155" s="24" t="inlineStr">
        <is>
          <t>Leeds United</t>
        </is>
      </c>
      <c r="AQ155" s="24" t="inlineStr">
        <is>
          <t>Leeds United</t>
        </is>
      </c>
      <c r="AR155" s="24" t="inlineStr">
        <is>
          <t>Leeds United</t>
        </is>
      </c>
      <c r="AS155" s="24" t="inlineStr">
        <is>
          <t>Sunderland</t>
        </is>
      </c>
      <c r="AT155" s="24" t="inlineStr">
        <is>
          <t>Sunderland</t>
        </is>
      </c>
      <c r="AU155" s="24" t="inlineStr">
        <is>
          <t>Sunderland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34d1568aad0ff11b5db35f118324684f93281e1c21fa7b80be7a4a4e2cb4bb03</t>
        </is>
      </c>
      <c r="BB155" s="24" t="inlineStr">
        <is>
          <t>poisson_dixon_coles</t>
        </is>
      </c>
      <c r="BC155" s="24" t="inlineStr">
        <is>
          <t>soccer-poisson-dc-v1</t>
        </is>
      </c>
      <c r="BD155" s="24" t="inlineStr">
        <is>
          <t>34d1568aad0ff11b5db35f118324684f93281e1c21fa7b80be7a4a4e2cb4bb03</t>
        </is>
      </c>
      <c r="BE155" s="24" t="inlineStr">
        <is>
          <t>soccer-poisson-dc-v1</t>
        </is>
      </c>
      <c r="BF155" s="24" t="inlineStr">
        <is>
          <t>1</t>
        </is>
      </c>
      <c r="BG155" s="24" t="inlineStr">
        <is>
          <t>34d1568aad0ff11b5db35f118324684f93281e1c21fa7b80be7a4a4e2cb4bb03</t>
        </is>
      </c>
      <c r="BH155" s="24" t="inlineStr">
        <is>
          <t>2026-07-30T21:07:23.815408Z</t>
        </is>
      </c>
      <c r="BI155" s="24" t="inlineStr">
        <is>
          <t>["same_event","same_team_same_day","same_league_same_day"]</t>
        </is>
      </c>
      <c r="BJ155" s="25" t="n"/>
      <c r="BK155" s="26" t="n">
        <v>178</v>
      </c>
      <c r="BL155" s="27" t="n">
        <v>2.78</v>
      </c>
      <c r="BM155" s="28" t="n">
        <v>0.359712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</row>
    <row r="156" ht="36" customHeight="1">
      <c r="A156" s="24" t="inlineStr">
        <is>
          <t>c200651130f34160</t>
        </is>
      </c>
      <c r="B156" s="24" t="inlineStr">
        <is>
          <t>2026-07-31T13:42:15.135577Z</t>
        </is>
      </c>
      <c r="C156" s="24" t="inlineStr">
        <is>
          <t>2026-07-31T16:00Z</t>
        </is>
      </c>
      <c r="D156" s="24" t="inlineStr">
        <is>
          <t>401887800</t>
        </is>
      </c>
      <c r="E156" s="24" t="inlineStr">
        <is>
          <t>SOCCER</t>
        </is>
      </c>
      <c r="F156" s="24" t="inlineStr">
        <is>
          <t>Nice</t>
        </is>
      </c>
      <c r="G156" s="24" t="inlineStr">
        <is>
          <t>Juventus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0.657201</v>
      </c>
      <c r="P156" s="28" t="n">
        <v>0.04</v>
      </c>
      <c r="Q156" s="28" t="n">
        <v>0.016913</v>
      </c>
      <c r="R156" s="26" t="n">
        <v>34</v>
      </c>
      <c r="S156" s="29" t="n">
        <v>1.75</v>
      </c>
      <c r="T156" s="24" t="inlineStr">
        <is>
          <t>soccer-poisson-dc-v1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2</v>
      </c>
      <c r="Y156" s="25" t="n"/>
      <c r="Z156" s="26" t="n"/>
      <c r="AA156" s="28" t="n"/>
      <c r="AB156" s="28" t="n"/>
      <c r="AC156" s="30" t="n">
        <v>0.9831</v>
      </c>
      <c r="AD156" s="24" t="inlineStr">
        <is>
          <t>2026-07-31T19:51:18.407364Z</t>
        </is>
      </c>
      <c r="AE156" s="31" t="inlineStr">
        <is>
          <t>Poisson-DC rates 1.85 (home) / 0.63 (away) from EWMA attack/defense strengths. Executable ask 0.6400 (atc-clbf-juv-nic-2026-07-31-juv).</t>
        </is>
      </c>
      <c r="AF156" s="31" t="inlineStr">
        <is>
          <t>Research-only soccer score model; draw-aware, but not yet locked-holdout qualified.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NO_CALL_MODEL_UNVALIDATED</t>
        </is>
      </c>
      <c r="AP156" s="24" t="inlineStr">
        <is>
          <t>Nice</t>
        </is>
      </c>
      <c r="AQ156" s="24" t="inlineStr">
        <is>
          <t>Nice</t>
        </is>
      </c>
      <c r="AR156" s="24" t="inlineStr">
        <is>
          <t>Nice</t>
        </is>
      </c>
      <c r="AS156" s="24" t="inlineStr">
        <is>
          <t>Juventus</t>
        </is>
      </c>
      <c r="AT156" s="24" t="inlineStr">
        <is>
          <t>Juventus</t>
        </is>
      </c>
      <c r="AU156" s="24" t="inlineStr">
        <is>
          <t>Juventus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34d1568aad0ff11b5db35f118324684f93281e1c21fa7b80be7a4a4e2cb4bb03</t>
        </is>
      </c>
      <c r="BB156" s="24" t="inlineStr">
        <is>
          <t>poisson_dixon_coles</t>
        </is>
      </c>
      <c r="BC156" s="24" t="inlineStr">
        <is>
          <t>soccer-poisson-dc-v1</t>
        </is>
      </c>
      <c r="BD156" s="24" t="inlineStr">
        <is>
          <t>34d1568aad0ff11b5db35f118324684f93281e1c21fa7b80be7a4a4e2cb4bb03</t>
        </is>
      </c>
      <c r="BE156" s="24" t="inlineStr">
        <is>
          <t>soccer-poisson-dc-v1</t>
        </is>
      </c>
      <c r="BF156" s="24" t="inlineStr">
        <is>
          <t>1</t>
        </is>
      </c>
      <c r="BG156" s="24" t="inlineStr">
        <is>
          <t>34d1568aad0ff11b5db35f118324684f93281e1c21fa7b80be7a4a4e2cb4bb03</t>
        </is>
      </c>
      <c r="BH156" s="24" t="inlineStr">
        <is>
          <t>2026-07-31T13:39:47.941159Z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</row>
    <row r="157" ht="36" customHeight="1">
      <c r="A157" s="24" t="inlineStr">
        <is>
          <t>de331d6e34e540e2</t>
        </is>
      </c>
      <c r="B157" s="24" t="inlineStr">
        <is>
          <t>2026-07-31T16:48:13.817502Z</t>
        </is>
      </c>
      <c r="C157" s="24" t="inlineStr">
        <is>
          <t>2026-07-31T18:45Z</t>
        </is>
      </c>
      <c r="D157" s="24" t="inlineStr">
        <is>
          <t>401886550</t>
        </is>
      </c>
      <c r="E157" s="24" t="inlineStr">
        <is>
          <t>SOCCER</t>
        </is>
      </c>
      <c r="F157" s="24" t="inlineStr">
        <is>
          <t>Barcelona</t>
        </is>
      </c>
      <c r="G157" s="24" t="inlineStr">
        <is>
          <t>Birmingham City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-186</v>
      </c>
      <c r="M157" s="27" t="n">
        <v>1.537634</v>
      </c>
      <c r="N157" s="28" t="n">
        <v>0.65035</v>
      </c>
      <c r="O157" s="28" t="n">
        <v>0.480022</v>
      </c>
      <c r="P157" s="28" t="n">
        <v>0.04</v>
      </c>
      <c r="Q157" s="28" t="n">
        <v>-0.170328</v>
      </c>
      <c r="R157" s="26" t="n">
        <v>0</v>
      </c>
      <c r="S157" s="29" t="n">
        <v>1</v>
      </c>
      <c r="T157" s="24" t="inlineStr">
        <is>
          <t>soccer-poisson-dc-v1</t>
        </is>
      </c>
      <c r="U157" s="24" t="inlineStr">
        <is>
          <t>settled</t>
        </is>
      </c>
      <c r="V157" s="24" t="inlineStr">
        <is>
          <t>push</t>
        </is>
      </c>
      <c r="W157" s="26" t="n">
        <v>2</v>
      </c>
      <c r="X157" s="26" t="n">
        <v>2</v>
      </c>
      <c r="Y157" s="25" t="n"/>
      <c r="Z157" s="26" t="n"/>
      <c r="AA157" s="28" t="n"/>
      <c r="AB157" s="28" t="n"/>
      <c r="AC157" s="30" t="n">
        <v>0</v>
      </c>
      <c r="AD157" s="24" t="inlineStr">
        <is>
          <t>2026-07-31T21:03:36.213553Z</t>
        </is>
      </c>
      <c r="AE157" s="31" t="inlineStr">
        <is>
          <t>Poisson-DC rates 1.04 (home) / 1.55 (away) from EWMA attack/defense strengths. Executable ask 0.6500 (atc-clbf-bc-bar-2026-07-31-bar).</t>
        </is>
      </c>
      <c r="AF157" s="31" t="inlineStr">
        <is>
          <t>Research-only soccer score model; draw-aware, but not yet locked-holdout qualified.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Barcelona</t>
        </is>
      </c>
      <c r="AQ157" s="24" t="inlineStr">
        <is>
          <t>Barcelona</t>
        </is>
      </c>
      <c r="AR157" s="24" t="inlineStr">
        <is>
          <t>Barcelona</t>
        </is>
      </c>
      <c r="AS157" s="24" t="inlineStr">
        <is>
          <t>Birmingham City</t>
        </is>
      </c>
      <c r="AT157" s="24" t="inlineStr">
        <is>
          <t>Birmingham City</t>
        </is>
      </c>
      <c r="AU157" s="24" t="inlineStr">
        <is>
          <t>Birmingham City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34d1568aad0ff11b5db35f118324684f93281e1c21fa7b80be7a4a4e2cb4bb03</t>
        </is>
      </c>
      <c r="BB157" s="24" t="inlineStr">
        <is>
          <t>poisson_dixon_coles</t>
        </is>
      </c>
      <c r="BC157" s="24" t="inlineStr">
        <is>
          <t>soccer-poisson-dc-v1</t>
        </is>
      </c>
      <c r="BD157" s="24" t="inlineStr">
        <is>
          <t>34d1568aad0ff11b5db35f118324684f93281e1c21fa7b80be7a4a4e2cb4bb03</t>
        </is>
      </c>
      <c r="BE157" s="24" t="inlineStr">
        <is>
          <t>soccer-poisson-dc-v1</t>
        </is>
      </c>
      <c r="BF157" s="24" t="inlineStr">
        <is>
          <t>1</t>
        </is>
      </c>
      <c r="BG157" s="24" t="inlineStr">
        <is>
          <t>34d1568aad0ff11b5db35f118324684f93281e1c21fa7b80be7a4a4e2cb4bb03</t>
        </is>
      </c>
      <c r="BH157" s="24" t="inlineStr">
        <is>
          <t>2026-07-31T16:45:56.333365Z</t>
        </is>
      </c>
      <c r="BI157" s="24" t="inlineStr">
        <is>
          <t>["same_event","same_team_same_day","same_league_same_day"]</t>
        </is>
      </c>
      <c r="BJ157" s="25" t="n"/>
      <c r="BK157" s="26" t="n">
        <v>-186</v>
      </c>
      <c r="BL157" s="27" t="n">
        <v>1.537634</v>
      </c>
      <c r="BM157" s="28" t="n">
        <v>0.65035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</row>
    <row r="158" ht="36" customHeight="1">
      <c r="A158" s="24" t="inlineStr">
        <is>
          <t>36b16f24c1db4baa</t>
        </is>
      </c>
      <c r="B158" s="24" t="inlineStr">
        <is>
          <t>2026-07-31T19:55:16.083099Z</t>
        </is>
      </c>
      <c r="C158" s="24" t="inlineStr">
        <is>
          <t>2026-07-31T20:00Z</t>
        </is>
      </c>
      <c r="D158" s="24" t="inlineStr">
        <is>
          <t>401885639</t>
        </is>
      </c>
      <c r="E158" s="24" t="inlineStr">
        <is>
          <t>SOCCER</t>
        </is>
      </c>
      <c r="F158" s="24" t="inlineStr">
        <is>
          <t>Comerciantes Unidos</t>
        </is>
      </c>
      <c r="G158" s="24" t="inlineStr">
        <is>
          <t>Los Chankas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104</v>
      </c>
      <c r="M158" s="27" t="n">
        <v>2.04</v>
      </c>
      <c r="N158" s="28" t="n">
        <v>0.490196</v>
      </c>
      <c r="O158" s="28" t="n">
        <v>0.461873</v>
      </c>
      <c r="P158" s="28" t="n">
        <v>0.2</v>
      </c>
      <c r="Q158" s="28" t="n">
        <v>-0.028323</v>
      </c>
      <c r="R158" s="26" t="n">
        <v>0</v>
      </c>
      <c r="S158" s="29" t="n">
        <v>1</v>
      </c>
      <c r="T158" s="24" t="inlineStr">
        <is>
          <t>soccer-poisson-dc-v1</t>
        </is>
      </c>
      <c r="U158" s="24" t="inlineStr">
        <is>
          <t>settled</t>
        </is>
      </c>
      <c r="V158" s="24" t="inlineStr">
        <is>
          <t>win</t>
        </is>
      </c>
      <c r="W158" s="26" t="n">
        <v>2</v>
      </c>
      <c r="X158" s="26" t="n">
        <v>3</v>
      </c>
      <c r="Y158" s="25" t="n"/>
      <c r="Z158" s="26" t="n"/>
      <c r="AA158" s="28" t="n"/>
      <c r="AB158" s="28" t="n"/>
      <c r="AC158" s="30" t="n">
        <v>1.04</v>
      </c>
      <c r="AD158" s="24" t="inlineStr">
        <is>
          <t>2026-07-31T23:28:42.654733Z</t>
        </is>
      </c>
      <c r="AE158" s="31" t="inlineStr">
        <is>
          <t>Poisson-DC rates 1.72 (home) / 1.30 (away) from EWMA attack/defense strengths. Executable ask 0.4900 (atc-pl1-cha-cou-2026-07-31-cha).</t>
        </is>
      </c>
      <c r="AF158" s="31" t="inlineStr">
        <is>
          <t>Research-only soccer score model; draw-aware, but not yet locked-holdout qualified.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NO_CALL_MODEL_UNVALIDATED</t>
        </is>
      </c>
      <c r="AP158" s="24" t="inlineStr">
        <is>
          <t>Comerciantes Unidos</t>
        </is>
      </c>
      <c r="AQ158" s="24" t="inlineStr">
        <is>
          <t>Comerciantes Unidos</t>
        </is>
      </c>
      <c r="AR158" s="24" t="inlineStr">
        <is>
          <t>Comerciantes Unidos</t>
        </is>
      </c>
      <c r="AS158" s="24" t="inlineStr">
        <is>
          <t>Los Chankas</t>
        </is>
      </c>
      <c r="AT158" s="24" t="inlineStr">
        <is>
          <t>Los Chankas</t>
        </is>
      </c>
      <c r="AU158" s="24" t="inlineStr">
        <is>
          <t>Los Chankas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34d1568aad0ff11b5db35f118324684f93281e1c21fa7b80be7a4a4e2cb4bb03</t>
        </is>
      </c>
      <c r="BB158" s="24" t="inlineStr">
        <is>
          <t>poisson_dixon_coles</t>
        </is>
      </c>
      <c r="BC158" s="24" t="inlineStr">
        <is>
          <t>soccer-poisson-dc-v1</t>
        </is>
      </c>
      <c r="BD158" s="24" t="inlineStr">
        <is>
          <t>34d1568aad0ff11b5db35f118324684f93281e1c21fa7b80be7a4a4e2cb4bb03</t>
        </is>
      </c>
      <c r="BE158" s="24" t="inlineStr">
        <is>
          <t>soccer-poisson-dc-v1</t>
        </is>
      </c>
      <c r="BF158" s="24" t="inlineStr">
        <is>
          <t>1</t>
        </is>
      </c>
      <c r="BG158" s="24" t="inlineStr">
        <is>
          <t>34d1568aad0ff11b5db35f118324684f93281e1c21fa7b80be7a4a4e2cb4bb03</t>
        </is>
      </c>
      <c r="BH158" s="24" t="inlineStr">
        <is>
          <t>2026-07-31T19:53:00.380208Z</t>
        </is>
      </c>
      <c r="BI158" s="24" t="inlineStr">
        <is>
          <t>["same_event","same_team_same_day","same_league_same_day"]</t>
        </is>
      </c>
      <c r="BJ158" s="25" t="n"/>
      <c r="BK158" s="26" t="n">
        <v>104</v>
      </c>
      <c r="BL158" s="27" t="n">
        <v>2.04</v>
      </c>
      <c r="BM158" s="28" t="n">
        <v>0.490196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</row>
    <row r="159" ht="36" customHeight="1">
      <c r="A159" s="24" t="inlineStr">
        <is>
          <t>11de6f56f5344bcf</t>
        </is>
      </c>
      <c r="B159" s="24" t="inlineStr">
        <is>
          <t>2026-07-31T21:07:21.705734Z</t>
        </is>
      </c>
      <c r="C159" s="24" t="inlineStr">
        <is>
          <t>2026-07-31T22:00Z</t>
        </is>
      </c>
      <c r="D159" s="24" t="inlineStr">
        <is>
          <t>401872731</t>
        </is>
      </c>
      <c r="E159" s="24" t="inlineStr">
        <is>
          <t>SOCCER</t>
        </is>
      </c>
      <c r="F159" s="24" t="inlineStr">
        <is>
          <t>Montevideo Wanderers</t>
        </is>
      </c>
      <c r="G159" s="24" t="inlineStr">
        <is>
          <t>Montevideo City Torque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-122</v>
      </c>
      <c r="M159" s="27" t="n">
        <v>1.819672</v>
      </c>
      <c r="N159" s="28" t="n">
        <v>0.54955</v>
      </c>
      <c r="O159" s="28" t="n">
        <v>0.440521</v>
      </c>
      <c r="P159" s="28" t="n">
        <v>0.2</v>
      </c>
      <c r="Q159" s="28" t="n">
        <v>-0.109029</v>
      </c>
      <c r="R159" s="26" t="n">
        <v>0</v>
      </c>
      <c r="S159" s="29" t="n">
        <v>1</v>
      </c>
      <c r="T159" s="24" t="inlineStr">
        <is>
          <t>soccer-poisson-dc-v1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2026-08-01T03:00:15.210003Z</t>
        </is>
      </c>
      <c r="AE159" s="31" t="inlineStr">
        <is>
          <t>Poisson-DC rates 1.46 (home) / 1.10 (away) from EWMA attack/defense strengths. Executable ask 0.5500 (atc-uru1-tor-wan-2026-07-31-tor).</t>
        </is>
      </c>
      <c r="AF159" s="31" t="inlineStr">
        <is>
          <t>Research-only soccer score model; draw-aware, but not yet locked-holdout qualified.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Montevideo Wanderers</t>
        </is>
      </c>
      <c r="AQ159" s="24" t="inlineStr">
        <is>
          <t>Montevideo Wanderers</t>
        </is>
      </c>
      <c r="AR159" s="24" t="inlineStr">
        <is>
          <t>Montevideo Wanderers</t>
        </is>
      </c>
      <c r="AS159" s="24" t="inlineStr">
        <is>
          <t>Montevideo City Torque</t>
        </is>
      </c>
      <c r="AT159" s="24" t="inlineStr">
        <is>
          <t>Montevideo City Torque</t>
        </is>
      </c>
      <c r="AU159" s="24" t="inlineStr">
        <is>
          <t>Montevideo City Torque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34d1568aad0ff11b5db35f118324684f93281e1c21fa7b80be7a4a4e2cb4bb03</t>
        </is>
      </c>
      <c r="BB159" s="24" t="inlineStr">
        <is>
          <t>poisson_dixon_coles</t>
        </is>
      </c>
      <c r="BC159" s="24" t="inlineStr">
        <is>
          <t>soccer-poisson-dc-v1</t>
        </is>
      </c>
      <c r="BD159" s="24" t="inlineStr">
        <is>
          <t>34d1568aad0ff11b5db35f118324684f93281e1c21fa7b80be7a4a4e2cb4bb03</t>
        </is>
      </c>
      <c r="BE159" s="24" t="inlineStr">
        <is>
          <t>soccer-poisson-dc-v1</t>
        </is>
      </c>
      <c r="BF159" s="24" t="inlineStr">
        <is>
          <t>1</t>
        </is>
      </c>
      <c r="BG159" s="24" t="inlineStr">
        <is>
          <t>34d1568aad0ff11b5db35f118324684f93281e1c21fa7b80be7a4a4e2cb4bb03</t>
        </is>
      </c>
      <c r="BH159" s="24" t="inlineStr">
        <is>
          <t>2026-07-31T21:05:05.319813Z</t>
        </is>
      </c>
      <c r="BI159" s="24" t="inlineStr">
        <is>
          <t>["same_event","same_team_same_day","same_league_same_day"]</t>
        </is>
      </c>
      <c r="BJ159" s="25" t="n"/>
      <c r="BK159" s="26" t="n">
        <v>-122</v>
      </c>
      <c r="BL159" s="27" t="n">
        <v>1.819672</v>
      </c>
      <c r="BM159" s="28" t="n">
        <v>0.54955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</row>
    <row r="160" ht="36" customHeight="1">
      <c r="A160" s="24" t="inlineStr">
        <is>
          <t>4f0ea301459047d5</t>
        </is>
      </c>
      <c r="B160" s="24" t="inlineStr">
        <is>
          <t>2026-08-01T06:40:10.134766Z</t>
        </is>
      </c>
      <c r="C160" s="24" t="inlineStr">
        <is>
          <t>2026-08-01T10:00Z</t>
        </is>
      </c>
      <c r="D160" s="24" t="inlineStr">
        <is>
          <t>401872737</t>
        </is>
      </c>
      <c r="E160" s="24" t="inlineStr">
        <is>
          <t>SOCCER</t>
        </is>
      </c>
      <c r="F160" s="24" t="inlineStr">
        <is>
          <t>Borussia Dortmund</t>
        </is>
      </c>
      <c r="G160" s="24" t="inlineStr">
        <is>
          <t>FC Tokyo</t>
        </is>
      </c>
      <c r="H160" s="24" t="inlineStr">
        <is>
          <t>moneyline</t>
        </is>
      </c>
      <c r="I160" s="24" t="inlineStr">
        <is>
          <t>away</t>
        </is>
      </c>
      <c r="J160" s="25" t="n"/>
      <c r="K160" s="24" t="inlineStr">
        <is>
          <t>polymarket_us</t>
        </is>
      </c>
      <c r="L160" s="26" t="n">
        <v>-122</v>
      </c>
      <c r="M160" s="27" t="n">
        <v>1.819672</v>
      </c>
      <c r="N160" s="28" t="n">
        <v>0.54955</v>
      </c>
      <c r="O160" s="28" t="n">
        <v>0.45654</v>
      </c>
      <c r="P160" s="28" t="n">
        <v>0.2</v>
      </c>
      <c r="Q160" s="28" t="n">
        <v>-0.09301</v>
      </c>
      <c r="R160" s="26" t="n">
        <v>0</v>
      </c>
      <c r="S160" s="29" t="n">
        <v>1</v>
      </c>
      <c r="T160" s="24" t="inlineStr">
        <is>
          <t>soccer-poisson-dc-v1</t>
        </is>
      </c>
      <c r="U160" s="24" t="inlineStr">
        <is>
          <t>settled</t>
        </is>
      </c>
      <c r="V160" s="24" t="inlineStr">
        <is>
          <t>win</t>
        </is>
      </c>
      <c r="W160" s="26" t="n">
        <v>1</v>
      </c>
      <c r="X160" s="26" t="n">
        <v>0</v>
      </c>
      <c r="Y160" s="25" t="n"/>
      <c r="Z160" s="26" t="n"/>
      <c r="AA160" s="28" t="n"/>
      <c r="AB160" s="28" t="n"/>
      <c r="AC160" s="30" t="n">
        <v>0.8197</v>
      </c>
      <c r="AD160" s="24" t="inlineStr">
        <is>
          <t>2026-08-01T13:41:19.925310Z</t>
        </is>
      </c>
      <c r="AE160" s="31" t="inlineStr">
        <is>
          <t>Poisson-DC rates 1.38 (home) / 1.77 (away) from EWMA attack/defense strengths. Executable ask 0.5500 (atc-clbf-tok-bvb-2026-08-01-bvb).</t>
        </is>
      </c>
      <c r="AF160" s="31" t="inlineStr">
        <is>
          <t>Research-only soccer score model; draw-aware, but not yet locked-holdout qualified.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NO_CALL_MODEL_UNVALIDATED</t>
        </is>
      </c>
      <c r="AP160" s="24" t="inlineStr">
        <is>
          <t>Borussia Dortmund</t>
        </is>
      </c>
      <c r="AQ160" s="24" t="inlineStr">
        <is>
          <t>Borussia Dortmund</t>
        </is>
      </c>
      <c r="AR160" s="24" t="inlineStr">
        <is>
          <t>Borussia Dortmund</t>
        </is>
      </c>
      <c r="AS160" s="24" t="inlineStr">
        <is>
          <t>FC Tokyo</t>
        </is>
      </c>
      <c r="AT160" s="24" t="inlineStr">
        <is>
          <t>FC Tokyo</t>
        </is>
      </c>
      <c r="AU160" s="24" t="inlineStr">
        <is>
          <t>FC Tokyo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34d1568aad0ff11b5db35f118324684f93281e1c21fa7b80be7a4a4e2cb4bb03</t>
        </is>
      </c>
      <c r="BB160" s="24" t="inlineStr">
        <is>
          <t>poisson_dixon_coles</t>
        </is>
      </c>
      <c r="BC160" s="24" t="inlineStr">
        <is>
          <t>soccer-poisson-dc-v1</t>
        </is>
      </c>
      <c r="BD160" s="24" t="inlineStr">
        <is>
          <t>34d1568aad0ff11b5db35f118324684f93281e1c21fa7b80be7a4a4e2cb4bb03</t>
        </is>
      </c>
      <c r="BE160" s="24" t="inlineStr">
        <is>
          <t>soccer-poisson-dc-v1</t>
        </is>
      </c>
      <c r="BF160" s="24" t="inlineStr">
        <is>
          <t>1</t>
        </is>
      </c>
      <c r="BG160" s="24" t="inlineStr">
        <is>
          <t>34d1568aad0ff11b5db35f118324684f93281e1c21fa7b80be7a4a4e2cb4bb03</t>
        </is>
      </c>
      <c r="BH160" s="24" t="inlineStr">
        <is>
          <t>2026-08-01T06:36:26.090957Z</t>
        </is>
      </c>
      <c r="BI160" s="24" t="inlineStr">
        <is>
          <t>["same_event","same_team_same_day","same_league_same_day"]</t>
        </is>
      </c>
      <c r="BJ160" s="25" t="n"/>
      <c r="BK160" s="26" t="n">
        <v>-122</v>
      </c>
      <c r="BL160" s="27" t="n">
        <v>1.819672</v>
      </c>
      <c r="BM160" s="28" t="n">
        <v>0.54955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</row>
    <row r="161" ht="36" customHeight="1">
      <c r="A161" s="24" t="inlineStr">
        <is>
          <t>c87494a621b142c6</t>
        </is>
      </c>
      <c r="B161" s="24" t="inlineStr">
        <is>
          <t>2026-08-01T13:44:56.720128Z</t>
        </is>
      </c>
      <c r="C161" s="24" t="inlineStr">
        <is>
          <t>2026-08-01T15:00Z</t>
        </is>
      </c>
      <c r="D161" s="24" t="inlineStr">
        <is>
          <t>401872727</t>
        </is>
      </c>
      <c r="E161" s="24" t="inlineStr">
        <is>
          <t>SOCCER</t>
        </is>
      </c>
      <c r="F161" s="24" t="inlineStr">
        <is>
          <t>Danubio</t>
        </is>
      </c>
      <c r="G161" s="24" t="inlineStr">
        <is>
          <t>Albion FC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122</v>
      </c>
      <c r="M161" s="27" t="n">
        <v>2.22</v>
      </c>
      <c r="N161" s="28" t="n">
        <v>0.45045</v>
      </c>
      <c r="O161" s="28" t="n">
        <v>0.456135</v>
      </c>
      <c r="P161" s="28" t="n">
        <v>0.2</v>
      </c>
      <c r="Q161" s="28" t="n">
        <v>0.005685</v>
      </c>
      <c r="R161" s="26" t="n">
        <v>0</v>
      </c>
      <c r="S161" s="29" t="n">
        <v>1</v>
      </c>
      <c r="T161" s="24" t="inlineStr">
        <is>
          <t>soccer-poisson-dc-v1</t>
        </is>
      </c>
      <c r="U161" s="24" t="inlineStr">
        <is>
          <t>settled</t>
        </is>
      </c>
      <c r="V161" s="24" t="inlineStr">
        <is>
          <t>push</t>
        </is>
      </c>
      <c r="W161" s="26" t="n">
        <v>2</v>
      </c>
      <c r="X161" s="26" t="n">
        <v>2</v>
      </c>
      <c r="Y161" s="25" t="n"/>
      <c r="Z161" s="26" t="n"/>
      <c r="AA161" s="28" t="n"/>
      <c r="AB161" s="28" t="n"/>
      <c r="AC161" s="30" t="n">
        <v>0</v>
      </c>
      <c r="AD161" s="24" t="inlineStr">
        <is>
          <t>2026-08-01T18:35:32.929288Z</t>
        </is>
      </c>
      <c r="AE161" s="31" t="inlineStr">
        <is>
          <t>Poisson-DC rates 1.64 (home) / 1.24 (away) from EWMA attack/defense strengths. Executable ask 0.4500 (atc-uru1-alb-dan-2026-08-01-alb).</t>
        </is>
      </c>
      <c r="AF161" s="31" t="inlineStr">
        <is>
          <t>Research-only soccer score model; draw-aware, but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NO_CALL_MODEL_UNVALIDATED</t>
        </is>
      </c>
      <c r="AP161" s="24" t="inlineStr">
        <is>
          <t>Danubio</t>
        </is>
      </c>
      <c r="AQ161" s="24" t="inlineStr">
        <is>
          <t>Danubio</t>
        </is>
      </c>
      <c r="AR161" s="24" t="inlineStr">
        <is>
          <t>Danubio</t>
        </is>
      </c>
      <c r="AS161" s="24" t="inlineStr">
        <is>
          <t>Albion FC</t>
        </is>
      </c>
      <c r="AT161" s="24" t="inlineStr">
        <is>
          <t>Albion FC</t>
        </is>
      </c>
      <c r="AU161" s="24" t="inlineStr">
        <is>
          <t>Albion FC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34d1568aad0ff11b5db35f118324684f93281e1c21fa7b80be7a4a4e2cb4bb03</t>
        </is>
      </c>
      <c r="BB161" s="24" t="inlineStr">
        <is>
          <t>poisson_dixon_coles</t>
        </is>
      </c>
      <c r="BC161" s="24" t="inlineStr">
        <is>
          <t>soccer-poisson-dc-v1</t>
        </is>
      </c>
      <c r="BD161" s="24" t="inlineStr">
        <is>
          <t>34d1568aad0ff11b5db35f118324684f93281e1c21fa7b80be7a4a4e2cb4bb03</t>
        </is>
      </c>
      <c r="BE161" s="24" t="inlineStr">
        <is>
          <t>soccer-poisson-dc-v1</t>
        </is>
      </c>
      <c r="BF161" s="24" t="inlineStr">
        <is>
          <t>1</t>
        </is>
      </c>
      <c r="BG161" s="24" t="inlineStr">
        <is>
          <t>34d1568aad0ff11b5db35f118324684f93281e1c21fa7b80be7a4a4e2cb4bb03</t>
        </is>
      </c>
      <c r="BH161" s="24" t="inlineStr">
        <is>
          <t>2026-08-01T13:42:37.826503Z</t>
        </is>
      </c>
      <c r="BI161" s="24" t="inlineStr">
        <is>
          <t>["same_event","same_team_same_day","same_league_same_day"]</t>
        </is>
      </c>
      <c r="BJ161" s="25" t="n"/>
      <c r="BK161" s="26" t="n">
        <v>122</v>
      </c>
      <c r="BL161" s="27" t="n">
        <v>2.22</v>
      </c>
      <c r="BM161" s="28" t="n">
        <v>0.45045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</row>
    <row r="162" ht="36" customHeight="1">
      <c r="A162" s="24" t="inlineStr">
        <is>
          <t>8a0779918c9d4a86</t>
        </is>
      </c>
      <c r="B162" s="24" t="inlineStr">
        <is>
          <t>2026-08-01T13:44:56.720128Z</t>
        </is>
      </c>
      <c r="C162" s="24" t="inlineStr">
        <is>
          <t>2026-08-01T16:00Z</t>
        </is>
      </c>
      <c r="D162" s="24" t="inlineStr">
        <is>
          <t>401888842</t>
        </is>
      </c>
      <c r="E162" s="24" t="inlineStr">
        <is>
          <t>SOCCER</t>
        </is>
      </c>
      <c r="F162" s="24" t="inlineStr">
        <is>
          <t>Fiorentina</t>
        </is>
      </c>
      <c r="G162" s="24" t="inlineStr">
        <is>
          <t>Real Madrid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0.592521</v>
      </c>
      <c r="P162" s="28" t="n">
        <v>0.04</v>
      </c>
      <c r="Q162" s="28" t="n">
        <v>0.05335</v>
      </c>
      <c r="R162" s="26" t="n">
        <v>53</v>
      </c>
      <c r="S162" s="29" t="n">
        <v>1.25</v>
      </c>
      <c r="T162" s="24" t="inlineStr">
        <is>
          <t>soccer-poisson-dc-v1</t>
        </is>
      </c>
      <c r="U162" s="24" t="inlineStr">
        <is>
          <t>settled</t>
        </is>
      </c>
      <c r="V162" s="24" t="inlineStr">
        <is>
          <t>push</t>
        </is>
      </c>
      <c r="W162" s="26" t="n">
        <v>2</v>
      </c>
      <c r="X162" s="26" t="n">
        <v>2</v>
      </c>
      <c r="Y162" s="25" t="n"/>
      <c r="Z162" s="26" t="n"/>
      <c r="AA162" s="28" t="n"/>
      <c r="AB162" s="28" t="n"/>
      <c r="AC162" s="30" t="n">
        <v>0</v>
      </c>
      <c r="AD162" s="24" t="inlineStr">
        <is>
          <t>2026-08-01T18:35:34.883257Z</t>
        </is>
      </c>
      <c r="AE162" s="31" t="inlineStr">
        <is>
          <t>Poisson-DC rates 1.76 (home) / 0.80 (away) from EWMA attack/defense strengths. Executable ask 0.5400 (atc-clbf-rme-fio-2026-08-01-rme).</t>
        </is>
      </c>
      <c r="AF162" s="31" t="inlineStr">
        <is>
          <t>Research-only soccer score model; draw-aware, but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NO_CALL_MODEL_UNVALIDATED</t>
        </is>
      </c>
      <c r="AP162" s="24" t="inlineStr">
        <is>
          <t>Fiorentina</t>
        </is>
      </c>
      <c r="AQ162" s="24" t="inlineStr">
        <is>
          <t>Fiorentina</t>
        </is>
      </c>
      <c r="AR162" s="24" t="inlineStr">
        <is>
          <t>Fiorentina</t>
        </is>
      </c>
      <c r="AS162" s="24" t="inlineStr">
        <is>
          <t>Real Madrid</t>
        </is>
      </c>
      <c r="AT162" s="24" t="inlineStr">
        <is>
          <t>Real Madrid</t>
        </is>
      </c>
      <c r="AU162" s="24" t="inlineStr">
        <is>
          <t>Real Madrid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34d1568aad0ff11b5db35f118324684f93281e1c21fa7b80be7a4a4e2cb4bb03</t>
        </is>
      </c>
      <c r="BB162" s="24" t="inlineStr">
        <is>
          <t>poisson_dixon_coles</t>
        </is>
      </c>
      <c r="BC162" s="24" t="inlineStr">
        <is>
          <t>soccer-poisson-dc-v1</t>
        </is>
      </c>
      <c r="BD162" s="24" t="inlineStr">
        <is>
          <t>34d1568aad0ff11b5db35f118324684f93281e1c21fa7b80be7a4a4e2cb4bb03</t>
        </is>
      </c>
      <c r="BE162" s="24" t="inlineStr">
        <is>
          <t>soccer-poisson-dc-v1</t>
        </is>
      </c>
      <c r="BF162" s="24" t="inlineStr">
        <is>
          <t>1</t>
        </is>
      </c>
      <c r="BG162" s="24" t="inlineStr">
        <is>
          <t>34d1568aad0ff11b5db35f118324684f93281e1c21fa7b80be7a4a4e2cb4bb03</t>
        </is>
      </c>
      <c r="BH162" s="24" t="inlineStr">
        <is>
          <t>2026-08-01T13:42:44.313687Z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</row>
    <row r="163" ht="36" customHeight="1">
      <c r="A163" s="24" t="inlineStr">
        <is>
          <t>f8ad772a47164d5f</t>
        </is>
      </c>
      <c r="B163" s="24" t="inlineStr">
        <is>
          <t>2026-08-01T16:52:27.367453Z</t>
        </is>
      </c>
      <c r="C163" s="24" t="inlineStr">
        <is>
          <t>2026-08-01T18:00Z</t>
        </is>
      </c>
      <c r="D163" s="24" t="inlineStr">
        <is>
          <t>401844028</t>
        </is>
      </c>
      <c r="E163" s="24" t="inlineStr">
        <is>
          <t>SOCCER</t>
        </is>
      </c>
      <c r="F163" s="24" t="inlineStr">
        <is>
          <t>Midland</t>
        </is>
      </c>
      <c r="G163" s="24" t="inlineStr">
        <is>
          <t>Almagro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233</v>
      </c>
      <c r="M163" s="27" t="n">
        <v>3.33</v>
      </c>
      <c r="N163" s="28" t="n">
        <v>0.3003</v>
      </c>
      <c r="O163" s="28" t="n">
        <v>0.456135</v>
      </c>
      <c r="P163" s="28" t="n">
        <v>0.2</v>
      </c>
      <c r="Q163" s="28" t="n">
        <v>0.155835</v>
      </c>
      <c r="R163" s="26" t="n">
        <v>8</v>
      </c>
      <c r="S163" s="29" t="n">
        <v>1</v>
      </c>
      <c r="T163" s="24" t="inlineStr">
        <is>
          <t>soccer-poisson-dc-v1</t>
        </is>
      </c>
      <c r="U163" s="24" t="inlineStr">
        <is>
          <t>settled</t>
        </is>
      </c>
      <c r="V163" s="24" t="inlineStr">
        <is>
          <t>push</t>
        </is>
      </c>
      <c r="W163" s="26" t="n">
        <v>1</v>
      </c>
      <c r="X163" s="26" t="n">
        <v>1</v>
      </c>
      <c r="Y163" s="25" t="n"/>
      <c r="Z163" s="26" t="n"/>
      <c r="AA163" s="28" t="n"/>
      <c r="AB163" s="28" t="n"/>
      <c r="AC163" s="30" t="n">
        <v>0</v>
      </c>
      <c r="AD163" s="24" t="inlineStr">
        <is>
          <t>2026-08-01T20:34:14.764038Z</t>
        </is>
      </c>
      <c r="AE163" s="31" t="inlineStr">
        <is>
          <t>Poisson-DC rates 1.64 (home) / 1.24 (away) from EWMA attack/defense strengths. Executable ask 0.3000 (atc-arg2-alm-afm-2026-08-02-alm).</t>
        </is>
      </c>
      <c r="AF163" s="31" t="inlineStr">
        <is>
          <t>Research-only soccer score model; draw-aware, but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NO_CALL_MODEL_UNVALIDATED</t>
        </is>
      </c>
      <c r="AP163" s="24" t="inlineStr">
        <is>
          <t>Midland</t>
        </is>
      </c>
      <c r="AQ163" s="24" t="inlineStr">
        <is>
          <t>Midland</t>
        </is>
      </c>
      <c r="AR163" s="24" t="inlineStr">
        <is>
          <t>Midland</t>
        </is>
      </c>
      <c r="AS163" s="24" t="inlineStr">
        <is>
          <t>Almagro</t>
        </is>
      </c>
      <c r="AT163" s="24" t="inlineStr">
        <is>
          <t>Almagro</t>
        </is>
      </c>
      <c r="AU163" s="24" t="inlineStr">
        <is>
          <t>Almagro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34d1568aad0ff11b5db35f118324684f93281e1c21fa7b80be7a4a4e2cb4bb03</t>
        </is>
      </c>
      <c r="BB163" s="24" t="inlineStr">
        <is>
          <t>poisson_dixon_coles</t>
        </is>
      </c>
      <c r="BC163" s="24" t="inlineStr">
        <is>
          <t>soccer-poisson-dc-v1</t>
        </is>
      </c>
      <c r="BD163" s="24" t="inlineStr">
        <is>
          <t>34d1568aad0ff11b5db35f118324684f93281e1c21fa7b80be7a4a4e2cb4bb03</t>
        </is>
      </c>
      <c r="BE163" s="24" t="inlineStr">
        <is>
          <t>soccer-poisson-dc-v1</t>
        </is>
      </c>
      <c r="BF163" s="24" t="inlineStr">
        <is>
          <t>1</t>
        </is>
      </c>
      <c r="BG163" s="24" t="inlineStr">
        <is>
          <t>34d1568aad0ff11b5db35f118324684f93281e1c21fa7b80be7a4a4e2cb4bb03</t>
        </is>
      </c>
      <c r="BH163" s="24" t="inlineStr">
        <is>
          <t>2026-08-01T16:49:30.902860Z</t>
        </is>
      </c>
      <c r="BI163" s="24" t="inlineStr">
        <is>
          <t>["same_event","same_team_same_day","same_league_same_day"]</t>
        </is>
      </c>
      <c r="BJ163" s="25" t="n"/>
      <c r="BK163" s="26" t="n">
        <v>233</v>
      </c>
      <c r="BL163" s="27" t="n">
        <v>3.33</v>
      </c>
      <c r="BM163" s="28" t="n">
        <v>0.3003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</row>
    <row r="164" ht="36" customHeight="1">
      <c r="A164" s="24" t="inlineStr">
        <is>
          <t>02eb8e6babd749a2</t>
        </is>
      </c>
      <c r="B164" s="24" t="inlineStr">
        <is>
          <t>2026-08-01T16:52:27.367453Z</t>
        </is>
      </c>
      <c r="C164" s="24" t="inlineStr">
        <is>
          <t>2026-08-01T18:00Z</t>
        </is>
      </c>
      <c r="D164" s="24" t="inlineStr">
        <is>
          <t>401844018</t>
        </is>
      </c>
      <c r="E164" s="24" t="inlineStr">
        <is>
          <t>SOCCER</t>
        </is>
      </c>
      <c r="F164" s="24" t="inlineStr">
        <is>
          <t>Gimnasia y Esgrima (Jujuy)</t>
        </is>
      </c>
      <c r="G164" s="24" t="inlineStr">
        <is>
          <t>Colegiales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133</v>
      </c>
      <c r="M164" s="27" t="n">
        <v>2.33</v>
      </c>
      <c r="N164" s="28" t="n">
        <v>0.429185</v>
      </c>
      <c r="O164" s="28" t="n">
        <v>0.456135</v>
      </c>
      <c r="P164" s="28" t="n">
        <v>0.2</v>
      </c>
      <c r="Q164" s="28" t="n">
        <v>0.02695</v>
      </c>
      <c r="R164" s="26" t="n">
        <v>0</v>
      </c>
      <c r="S164" s="29" t="n">
        <v>1</v>
      </c>
      <c r="T164" s="24" t="inlineStr">
        <is>
          <t>soccer-poisson-dc-v1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2</v>
      </c>
      <c r="Y164" s="25" t="n"/>
      <c r="Z164" s="26" t="n"/>
      <c r="AA164" s="28" t="n"/>
      <c r="AB164" s="28" t="n"/>
      <c r="AC164" s="30" t="n">
        <v>1.33</v>
      </c>
      <c r="AD164" s="24" t="inlineStr">
        <is>
          <t>2026-08-01T20:13:19.135597Z</t>
        </is>
      </c>
      <c r="AE164" s="31" t="inlineStr">
        <is>
          <t>Poisson-DC rates 1.64 (home) / 1.24 (away) from EWMA attack/defense strengths. Executable ask 0.4300 (atc-arg2-cac-ge-2026-08-01-cac).</t>
        </is>
      </c>
      <c r="AF164" s="31" t="inlineStr">
        <is>
          <t>Research-only soccer score model; draw-aware, but not yet locked-holdout qualified.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NO_CALL_MODEL_UNVALIDATED</t>
        </is>
      </c>
      <c r="AP164" s="24" t="inlineStr">
        <is>
          <t>Gimnasia y Esgrima (Jujuy)</t>
        </is>
      </c>
      <c r="AQ164" s="24" t="inlineStr">
        <is>
          <t>Gimnasia y Esgrima (Jujuy)</t>
        </is>
      </c>
      <c r="AR164" s="24" t="inlineStr">
        <is>
          <t>Gimnasia y Esgrima (Jujuy)</t>
        </is>
      </c>
      <c r="AS164" s="24" t="inlineStr">
        <is>
          <t>Colegiales</t>
        </is>
      </c>
      <c r="AT164" s="24" t="inlineStr">
        <is>
          <t>Colegiales</t>
        </is>
      </c>
      <c r="AU164" s="24" t="inlineStr">
        <is>
          <t>Colegiales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34d1568aad0ff11b5db35f118324684f93281e1c21fa7b80be7a4a4e2cb4bb03</t>
        </is>
      </c>
      <c r="BB164" s="24" t="inlineStr">
        <is>
          <t>poisson_dixon_coles</t>
        </is>
      </c>
      <c r="BC164" s="24" t="inlineStr">
        <is>
          <t>soccer-poisson-dc-v1</t>
        </is>
      </c>
      <c r="BD164" s="24" t="inlineStr">
        <is>
          <t>34d1568aad0ff11b5db35f118324684f93281e1c21fa7b80be7a4a4e2cb4bb03</t>
        </is>
      </c>
      <c r="BE164" s="24" t="inlineStr">
        <is>
          <t>soccer-poisson-dc-v1</t>
        </is>
      </c>
      <c r="BF164" s="24" t="inlineStr">
        <is>
          <t>1</t>
        </is>
      </c>
      <c r="BG164" s="24" t="inlineStr">
        <is>
          <t>34d1568aad0ff11b5db35f118324684f93281e1c21fa7b80be7a4a4e2cb4bb03</t>
        </is>
      </c>
      <c r="BH164" s="24" t="inlineStr">
        <is>
          <t>2026-08-01T16:49:30.893071Z</t>
        </is>
      </c>
      <c r="BI164" s="24" t="inlineStr">
        <is>
          <t>["same_event","same_team_same_day","same_league_same_day"]</t>
        </is>
      </c>
      <c r="BJ164" s="25" t="n"/>
      <c r="BK164" s="26" t="n">
        <v>133</v>
      </c>
      <c r="BL164" s="27" t="n">
        <v>2.33</v>
      </c>
      <c r="BM164" s="28" t="n">
        <v>0.429185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</row>
    <row r="165" ht="36" customHeight="1">
      <c r="A165" s="24" t="inlineStr">
        <is>
          <t>4b09a9d9374d46a7</t>
        </is>
      </c>
      <c r="B165" s="24" t="inlineStr">
        <is>
          <t>2026-08-01T16:52:27.367453Z</t>
        </is>
      </c>
      <c r="C165" s="24" t="inlineStr">
        <is>
          <t>2026-08-01T18:30Z</t>
        </is>
      </c>
      <c r="D165" s="24" t="inlineStr">
        <is>
          <t>401844021</t>
        </is>
      </c>
      <c r="E165" s="24" t="inlineStr">
        <is>
          <t>SOCCER</t>
        </is>
      </c>
      <c r="F165" s="24" t="inlineStr">
        <is>
          <t>Quilmes</t>
        </is>
      </c>
      <c r="G165" s="24" t="inlineStr">
        <is>
          <t>Patronato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144</v>
      </c>
      <c r="M165" s="27" t="n">
        <v>2.44</v>
      </c>
      <c r="N165" s="28" t="n">
        <v>0.409836</v>
      </c>
      <c r="O165" s="28" t="n">
        <v>0.440521</v>
      </c>
      <c r="P165" s="28" t="n">
        <v>0.2</v>
      </c>
      <c r="Q165" s="28" t="n">
        <v>0.030685</v>
      </c>
      <c r="R165" s="26" t="n">
        <v>0</v>
      </c>
      <c r="S165" s="29" t="n">
        <v>1</v>
      </c>
      <c r="T165" s="24" t="inlineStr">
        <is>
          <t>soccer-poisson-dc-v1</t>
        </is>
      </c>
      <c r="U165" s="24" t="inlineStr">
        <is>
          <t>settled</t>
        </is>
      </c>
      <c r="V165" s="24" t="inlineStr">
        <is>
          <t>push</t>
        </is>
      </c>
      <c r="W165" s="26" t="n">
        <v>3</v>
      </c>
      <c r="X165" s="26" t="n">
        <v>3</v>
      </c>
      <c r="Y165" s="25" t="n"/>
      <c r="Z165" s="26" t="n"/>
      <c r="AA165" s="28" t="n"/>
      <c r="AB165" s="28" t="n"/>
      <c r="AC165" s="30" t="n">
        <v>0</v>
      </c>
      <c r="AD165" s="24" t="inlineStr">
        <is>
          <t>2026-08-01T21:25:27.602390Z</t>
        </is>
      </c>
      <c r="AE165" s="31" t="inlineStr">
        <is>
          <t>Poisson-DC rates 1.46 (home) / 1.10 (away) from EWMA attack/defense strengths. Executable ask 0.4100 (atc-arg2-cap-qui-2026-08-02-cap).</t>
        </is>
      </c>
      <c r="AF165" s="31" t="inlineStr">
        <is>
          <t>Research-only soccer score model; draw-aware, but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NO_CALL_MODEL_UNVALIDATED</t>
        </is>
      </c>
      <c r="AP165" s="24" t="inlineStr">
        <is>
          <t>Quilmes</t>
        </is>
      </c>
      <c r="AQ165" s="24" t="inlineStr">
        <is>
          <t>Quilmes</t>
        </is>
      </c>
      <c r="AR165" s="24" t="inlineStr">
        <is>
          <t>Quilmes</t>
        </is>
      </c>
      <c r="AS165" s="24" t="inlineStr">
        <is>
          <t>Patronato</t>
        </is>
      </c>
      <c r="AT165" s="24" t="inlineStr">
        <is>
          <t>Patronato</t>
        </is>
      </c>
      <c r="AU165" s="24" t="inlineStr">
        <is>
          <t>Patronato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34d1568aad0ff11b5db35f118324684f93281e1c21fa7b80be7a4a4e2cb4bb03</t>
        </is>
      </c>
      <c r="BB165" s="24" t="inlineStr">
        <is>
          <t>poisson_dixon_coles</t>
        </is>
      </c>
      <c r="BC165" s="24" t="inlineStr">
        <is>
          <t>soccer-poisson-dc-v1</t>
        </is>
      </c>
      <c r="BD165" s="24" t="inlineStr">
        <is>
          <t>34d1568aad0ff11b5db35f118324684f93281e1c21fa7b80be7a4a4e2cb4bb03</t>
        </is>
      </c>
      <c r="BE165" s="24" t="inlineStr">
        <is>
          <t>soccer-poisson-dc-v1</t>
        </is>
      </c>
      <c r="BF165" s="24" t="inlineStr">
        <is>
          <t>1</t>
        </is>
      </c>
      <c r="BG165" s="24" t="inlineStr">
        <is>
          <t>34d1568aad0ff11b5db35f118324684f93281e1c21fa7b80be7a4a4e2cb4bb03</t>
        </is>
      </c>
      <c r="BH165" s="24" t="inlineStr">
        <is>
          <t>2026-08-01T16:49:31.486214Z</t>
        </is>
      </c>
      <c r="BI165" s="24" t="inlineStr">
        <is>
          <t>["same_event","same_team_same_day","same_league_same_day"]</t>
        </is>
      </c>
      <c r="BJ165" s="25" t="n"/>
      <c r="BK165" s="26" t="n">
        <v>144</v>
      </c>
      <c r="BL165" s="27" t="n">
        <v>2.44</v>
      </c>
      <c r="BM165" s="28" t="n">
        <v>0.409836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</row>
    <row r="166" ht="36" customHeight="1">
      <c r="A166" s="24" t="inlineStr">
        <is>
          <t>ce8bcb5176c94e2f</t>
        </is>
      </c>
      <c r="B166" s="24" t="inlineStr">
        <is>
          <t>2026-08-01T16:52:27.367453Z</t>
        </is>
      </c>
      <c r="C166" s="24" t="inlineStr">
        <is>
          <t>2026-08-01T18:00Z</t>
        </is>
      </c>
      <c r="D166" s="24" t="inlineStr">
        <is>
          <t>401872730</t>
        </is>
      </c>
      <c r="E166" s="24" t="inlineStr">
        <is>
          <t>SOCCER</t>
        </is>
      </c>
      <c r="F166" s="24" t="inlineStr">
        <is>
          <t>Juventud</t>
        </is>
      </c>
      <c r="G166" s="24" t="inlineStr">
        <is>
          <t>Deportivo Maldonado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-117</v>
      </c>
      <c r="M166" s="27" t="n">
        <v>1.854701</v>
      </c>
      <c r="N166" s="28" t="n">
        <v>0.539171</v>
      </c>
      <c r="O166" s="28" t="n">
        <v>0.418807</v>
      </c>
      <c r="P166" s="28" t="n">
        <v>0.2</v>
      </c>
      <c r="Q166" s="28" t="n">
        <v>-0.120364</v>
      </c>
      <c r="R166" s="26" t="n">
        <v>0</v>
      </c>
      <c r="S166" s="29" t="n">
        <v>1</v>
      </c>
      <c r="T166" s="24" t="inlineStr">
        <is>
          <t>soccer-poisson-dc-v1</t>
        </is>
      </c>
      <c r="U166" s="24" t="inlineStr">
        <is>
          <t>settled</t>
        </is>
      </c>
      <c r="V166" s="24" t="inlineStr">
        <is>
          <t>push</t>
        </is>
      </c>
      <c r="W166" s="26" t="n">
        <v>0</v>
      </c>
      <c r="X166" s="26" t="n">
        <v>0</v>
      </c>
      <c r="Y166" s="25" t="n"/>
      <c r="Z166" s="26" t="n"/>
      <c r="AA166" s="28" t="n"/>
      <c r="AB166" s="28" t="n"/>
      <c r="AC166" s="30" t="n">
        <v>0</v>
      </c>
      <c r="AD166" s="24" t="inlineStr">
        <is>
          <t>2026-08-01T20:13:20.615731Z</t>
        </is>
      </c>
      <c r="AE166" s="31" t="inlineStr">
        <is>
          <t>Poisson-DC rates 1.46 (home) / 1.20 (away) from EWMA attack/defense strengths. Executable ask 0.5400 (atc-uru1-mal-juv-2026-08-01-mal).</t>
        </is>
      </c>
      <c r="AF166" s="31" t="inlineStr">
        <is>
          <t>Research-only soccer score model; draw-aware, but not yet locked-holdout qualified.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NO_CALL_MODEL_UNVALIDATED</t>
        </is>
      </c>
      <c r="AP166" s="24" t="inlineStr">
        <is>
          <t>Juventud</t>
        </is>
      </c>
      <c r="AQ166" s="24" t="inlineStr">
        <is>
          <t>Juventud</t>
        </is>
      </c>
      <c r="AR166" s="24" t="inlineStr">
        <is>
          <t>Juventud</t>
        </is>
      </c>
      <c r="AS166" s="24" t="inlineStr">
        <is>
          <t>Deportivo Maldonado</t>
        </is>
      </c>
      <c r="AT166" s="24" t="inlineStr">
        <is>
          <t>Deportivo Maldonado</t>
        </is>
      </c>
      <c r="AU166" s="24" t="inlineStr">
        <is>
          <t>Deportivo Maldonado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34d1568aad0ff11b5db35f118324684f93281e1c21fa7b80be7a4a4e2cb4bb03</t>
        </is>
      </c>
      <c r="BB166" s="24" t="inlineStr">
        <is>
          <t>poisson_dixon_coles</t>
        </is>
      </c>
      <c r="BC166" s="24" t="inlineStr">
        <is>
          <t>soccer-poisson-dc-v1</t>
        </is>
      </c>
      <c r="BD166" s="24" t="inlineStr">
        <is>
          <t>34d1568aad0ff11b5db35f118324684f93281e1c21fa7b80be7a4a4e2cb4bb03</t>
        </is>
      </c>
      <c r="BE166" s="24" t="inlineStr">
        <is>
          <t>soccer-poisson-dc-v1</t>
        </is>
      </c>
      <c r="BF166" s="24" t="inlineStr">
        <is>
          <t>1</t>
        </is>
      </c>
      <c r="BG166" s="24" t="inlineStr">
        <is>
          <t>34d1568aad0ff11b5db35f118324684f93281e1c21fa7b80be7a4a4e2cb4bb03</t>
        </is>
      </c>
      <c r="BH166" s="24" t="inlineStr">
        <is>
          <t>2026-08-01T16:49:34.759598Z</t>
        </is>
      </c>
      <c r="BI166" s="24" t="inlineStr">
        <is>
          <t>["same_event","same_team_same_day","same_league_same_day"]</t>
        </is>
      </c>
      <c r="BJ166" s="25" t="n"/>
      <c r="BK166" s="26" t="n">
        <v>-117</v>
      </c>
      <c r="BL166" s="27" t="n">
        <v>1.854701</v>
      </c>
      <c r="BM166" s="28" t="n">
        <v>0.539171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</row>
    <row r="167" ht="36" customHeight="1">
      <c r="A167" s="24" t="inlineStr">
        <is>
          <t>3119afb8f63442b9</t>
        </is>
      </c>
      <c r="B167" s="24" t="inlineStr">
        <is>
          <t>2026-08-01T16:52:27.367453Z</t>
        </is>
      </c>
      <c r="C167" s="24" t="inlineStr">
        <is>
          <t>2026-08-01T18:00Z</t>
        </is>
      </c>
      <c r="D167" s="24" t="inlineStr">
        <is>
          <t>401886553</t>
        </is>
      </c>
      <c r="E167" s="24" t="inlineStr">
        <is>
          <t>SOCCER</t>
        </is>
      </c>
      <c r="F167" s="24" t="inlineStr">
        <is>
          <t>Arsenal</t>
        </is>
      </c>
      <c r="G167" s="24" t="inlineStr">
        <is>
          <t>Girona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-144</v>
      </c>
      <c r="M167" s="27" t="n">
        <v>1.694444</v>
      </c>
      <c r="N167" s="28" t="n">
        <v>0.590164</v>
      </c>
      <c r="O167" s="28" t="n">
        <v>0.51186</v>
      </c>
      <c r="P167" s="28" t="n">
        <v>0.04</v>
      </c>
      <c r="Q167" s="28" t="n">
        <v>-0.078304</v>
      </c>
      <c r="R167" s="26" t="n">
        <v>0</v>
      </c>
      <c r="S167" s="29" t="n">
        <v>1</v>
      </c>
      <c r="T167" s="24" t="inlineStr">
        <is>
          <t>soccer-poisson-dc-v1</t>
        </is>
      </c>
      <c r="U167" s="24" t="inlineStr">
        <is>
          <t>settled</t>
        </is>
      </c>
      <c r="V167" s="24" t="inlineStr">
        <is>
          <t>win</t>
        </is>
      </c>
      <c r="W167" s="26" t="n">
        <v>4</v>
      </c>
      <c r="X167" s="26" t="n">
        <v>1</v>
      </c>
      <c r="Y167" s="25" t="n"/>
      <c r="Z167" s="26" t="n"/>
      <c r="AA167" s="28" t="n"/>
      <c r="AB167" s="28" t="n"/>
      <c r="AC167" s="30" t="n">
        <v>0.6944</v>
      </c>
      <c r="AD167" s="24" t="inlineStr">
        <is>
          <t>2026-08-01T20:13:22.602729Z</t>
        </is>
      </c>
      <c r="AE167" s="31" t="inlineStr">
        <is>
          <t>Poisson-DC rates 0.58 (home) / 1.23 (away) from EWMA attack/defense strengths. Executable ask 0.5900 (atc-clbf-gir-afr-2026-08-01-afr).</t>
        </is>
      </c>
      <c r="AF167" s="31" t="inlineStr">
        <is>
          <t>Research-only soccer score model; draw-aware, but not yet locked-holdout qualified.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NO_CALL_MODEL_UNVALIDATED</t>
        </is>
      </c>
      <c r="AP167" s="24" t="inlineStr">
        <is>
          <t>Arsenal</t>
        </is>
      </c>
      <c r="AQ167" s="24" t="inlineStr">
        <is>
          <t>Arsenal</t>
        </is>
      </c>
      <c r="AR167" s="24" t="inlineStr">
        <is>
          <t>Arsenal</t>
        </is>
      </c>
      <c r="AS167" s="24" t="inlineStr">
        <is>
          <t>Girona</t>
        </is>
      </c>
      <c r="AT167" s="24" t="inlineStr">
        <is>
          <t>Girona</t>
        </is>
      </c>
      <c r="AU167" s="24" t="inlineStr">
        <is>
          <t>Girona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34d1568aad0ff11b5db35f118324684f93281e1c21fa7b80be7a4a4e2cb4bb03</t>
        </is>
      </c>
      <c r="BB167" s="24" t="inlineStr">
        <is>
          <t>poisson_dixon_coles</t>
        </is>
      </c>
      <c r="BC167" s="24" t="inlineStr">
        <is>
          <t>soccer-poisson-dc-v1</t>
        </is>
      </c>
      <c r="BD167" s="24" t="inlineStr">
        <is>
          <t>34d1568aad0ff11b5db35f118324684f93281e1c21fa7b80be7a4a4e2cb4bb03</t>
        </is>
      </c>
      <c r="BE167" s="24" t="inlineStr">
        <is>
          <t>soccer-poisson-dc-v1</t>
        </is>
      </c>
      <c r="BF167" s="24" t="inlineStr">
        <is>
          <t>1</t>
        </is>
      </c>
      <c r="BG167" s="24" t="inlineStr">
        <is>
          <t>34d1568aad0ff11b5db35f118324684f93281e1c21fa7b80be7a4a4e2cb4bb03</t>
        </is>
      </c>
      <c r="BH167" s="24" t="inlineStr">
        <is>
          <t>2026-08-01T16:49:39.645100Z</t>
        </is>
      </c>
      <c r="BI167" s="24" t="inlineStr">
        <is>
          <t>["same_event","same_team_same_day","same_league_same_day"]</t>
        </is>
      </c>
      <c r="BJ167" s="25" t="n"/>
      <c r="BK167" s="26" t="n">
        <v>-144</v>
      </c>
      <c r="BL167" s="27" t="n">
        <v>1.694444</v>
      </c>
      <c r="BM167" s="28" t="n">
        <v>0.590164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</row>
    <row r="168" ht="36" customHeight="1">
      <c r="A168" s="24" t="inlineStr">
        <is>
          <t>45d01ab1161349e2</t>
        </is>
      </c>
      <c r="B168" s="24" t="inlineStr">
        <is>
          <t>2026-08-01T18:40:16.324475Z</t>
        </is>
      </c>
      <c r="C168" s="24" t="inlineStr">
        <is>
          <t>2026-08-01T19:00Z</t>
        </is>
      </c>
      <c r="D168" s="24" t="inlineStr">
        <is>
          <t>401850610</t>
        </is>
      </c>
      <c r="E168" s="24" t="inlineStr">
        <is>
          <t>SOCCER</t>
        </is>
      </c>
      <c r="F168" s="24" t="inlineStr">
        <is>
          <t>Colo Colo</t>
        </is>
      </c>
      <c r="G168" s="24" t="inlineStr">
        <is>
          <t>Everton CD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245</v>
      </c>
      <c r="M168" s="27" t="n">
        <v>3.45</v>
      </c>
      <c r="N168" s="28" t="n">
        <v>0.289855</v>
      </c>
      <c r="O168" s="28" t="n">
        <v>0.447172</v>
      </c>
      <c r="P168" s="28" t="n">
        <v>0.19</v>
      </c>
      <c r="Q168" s="28" t="n">
        <v>0.157317</v>
      </c>
      <c r="R168" s="26" t="n">
        <v>15</v>
      </c>
      <c r="S168" s="29" t="n">
        <v>1</v>
      </c>
      <c r="T168" s="24" t="inlineStr">
        <is>
          <t>soccer-poisson-dc-v1</t>
        </is>
      </c>
      <c r="U168" s="24" t="inlineStr">
        <is>
          <t>settled</t>
        </is>
      </c>
      <c r="V168" s="24" t="inlineStr">
        <is>
          <t>loss</t>
        </is>
      </c>
      <c r="W168" s="26" t="n">
        <v>4</v>
      </c>
      <c r="X168" s="26" t="n">
        <v>3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2026-08-01T23:51:10.166427Z</t>
        </is>
      </c>
      <c r="AE168" s="31" t="inlineStr">
        <is>
          <t>Poisson-DC rates 1.53 (home) / 1.16 (away) from EWMA attack/defense strengths. Executable ask 0.2900 (atc-pdc-eve-col-2026-08-01-eve).</t>
        </is>
      </c>
      <c r="AF168" s="31" t="inlineStr">
        <is>
          <t>Research-only soccer score model; draw-aware, but not yet locked-holdout qualified.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NO_CALL_MODEL_UNVALIDATED</t>
        </is>
      </c>
      <c r="AP168" s="24" t="inlineStr">
        <is>
          <t>Colo Colo</t>
        </is>
      </c>
      <c r="AQ168" s="24" t="inlineStr">
        <is>
          <t>Colo Colo</t>
        </is>
      </c>
      <c r="AR168" s="24" t="inlineStr">
        <is>
          <t>Colo Colo</t>
        </is>
      </c>
      <c r="AS168" s="24" t="inlineStr">
        <is>
          <t>Everton CD</t>
        </is>
      </c>
      <c r="AT168" s="24" t="inlineStr">
        <is>
          <t>Everton CD</t>
        </is>
      </c>
      <c r="AU168" s="24" t="inlineStr">
        <is>
          <t>Everton CD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34d1568aad0ff11b5db35f118324684f93281e1c21fa7b80be7a4a4e2cb4bb03</t>
        </is>
      </c>
      <c r="BB168" s="24" t="inlineStr">
        <is>
          <t>poisson_dixon_coles</t>
        </is>
      </c>
      <c r="BC168" s="24" t="inlineStr">
        <is>
          <t>soccer-poisson-dc-v1</t>
        </is>
      </c>
      <c r="BD168" s="24" t="inlineStr">
        <is>
          <t>34d1568aad0ff11b5db35f118324684f93281e1c21fa7b80be7a4a4e2cb4bb03</t>
        </is>
      </c>
      <c r="BE168" s="24" t="inlineStr">
        <is>
          <t>soccer-poisson-dc-v1</t>
        </is>
      </c>
      <c r="BF168" s="24" t="inlineStr">
        <is>
          <t>1</t>
        </is>
      </c>
      <c r="BG168" s="24" t="inlineStr">
        <is>
          <t>34d1568aad0ff11b5db35f118324684f93281e1c21fa7b80be7a4a4e2cb4bb03</t>
        </is>
      </c>
      <c r="BH168" s="24" t="inlineStr">
        <is>
          <t>2026-08-01T18:37:04.072976Z</t>
        </is>
      </c>
      <c r="BI168" s="24" t="inlineStr">
        <is>
          <t>["same_event","same_team_same_day","same_league_same_day"]</t>
        </is>
      </c>
      <c r="BJ168" s="25" t="n"/>
      <c r="BK168" s="26" t="n">
        <v>245</v>
      </c>
      <c r="BL168" s="27" t="n">
        <v>3.45</v>
      </c>
      <c r="BM168" s="28" t="n">
        <v>0.289855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</row>
    <row r="169" ht="36" customHeight="1">
      <c r="A169" s="24" t="inlineStr">
        <is>
          <t>49d8e97b6d0a49e1</t>
        </is>
      </c>
      <c r="B169" s="24" t="inlineStr">
        <is>
          <t>2026-08-01T18:40:16.324475Z</t>
        </is>
      </c>
      <c r="C169" s="24" t="inlineStr">
        <is>
          <t>2026-08-01T19:00Z</t>
        </is>
      </c>
      <c r="D169" s="24" t="inlineStr">
        <is>
          <t>401859643</t>
        </is>
      </c>
      <c r="E169" s="24" t="inlineStr">
        <is>
          <t>SOCCER</t>
        </is>
      </c>
      <c r="F169" s="24" t="inlineStr">
        <is>
          <t>Mushuc Runa</t>
        </is>
      </c>
      <c r="G169" s="24" t="inlineStr">
        <is>
          <t>Manta F.C.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186</v>
      </c>
      <c r="M169" s="27" t="n">
        <v>2.86</v>
      </c>
      <c r="N169" s="28" t="n">
        <v>0.34965</v>
      </c>
      <c r="O169" s="28" t="n">
        <v>0.456135</v>
      </c>
      <c r="P169" s="28" t="n">
        <v>0.2</v>
      </c>
      <c r="Q169" s="28" t="n">
        <v>0.106485</v>
      </c>
      <c r="R169" s="26" t="n">
        <v>0</v>
      </c>
      <c r="S169" s="29" t="n">
        <v>1</v>
      </c>
      <c r="T169" s="24" t="inlineStr">
        <is>
          <t>soccer-poisson-dc-v1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</v>
      </c>
      <c r="X169" s="26" t="n">
        <v>1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2026-08-01T21:40:58.484236Z</t>
        </is>
      </c>
      <c r="AE169" s="31" t="inlineStr">
        <is>
          <t>Poisson-DC rates 1.64 (home) / 1.24 (away) from EWMA attack/defense strengths. Executable ask 0.3500 (atc-ecu1-man-mur-2026-08-01-man).</t>
        </is>
      </c>
      <c r="AF169" s="31" t="inlineStr">
        <is>
          <t>Research-only soccer score model; draw-aware, but not yet locked-holdout qualified.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NO_CALL_MODEL_UNVALIDATED</t>
        </is>
      </c>
      <c r="AP169" s="24" t="inlineStr">
        <is>
          <t>Mushuc Runa</t>
        </is>
      </c>
      <c r="AQ169" s="24" t="inlineStr">
        <is>
          <t>Mushuc Runa</t>
        </is>
      </c>
      <c r="AR169" s="24" t="inlineStr">
        <is>
          <t>Mushuc Runa</t>
        </is>
      </c>
      <c r="AS169" s="24" t="inlineStr">
        <is>
          <t>Manta F.C.</t>
        </is>
      </c>
      <c r="AT169" s="24" t="inlineStr">
        <is>
          <t>Manta F.C.</t>
        </is>
      </c>
      <c r="AU169" s="24" t="inlineStr">
        <is>
          <t>Manta F.C.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34d1568aad0ff11b5db35f118324684f93281e1c21fa7b80be7a4a4e2cb4bb03</t>
        </is>
      </c>
      <c r="BB169" s="24" t="inlineStr">
        <is>
          <t>poisson_dixon_coles</t>
        </is>
      </c>
      <c r="BC169" s="24" t="inlineStr">
        <is>
          <t>soccer-poisson-dc-v1</t>
        </is>
      </c>
      <c r="BD169" s="24" t="inlineStr">
        <is>
          <t>34d1568aad0ff11b5db35f118324684f93281e1c21fa7b80be7a4a4e2cb4bb03</t>
        </is>
      </c>
      <c r="BE169" s="24" t="inlineStr">
        <is>
          <t>soccer-poisson-dc-v1</t>
        </is>
      </c>
      <c r="BF169" s="24" t="inlineStr">
        <is>
          <t>1</t>
        </is>
      </c>
      <c r="BG169" s="24" t="inlineStr">
        <is>
          <t>34d1568aad0ff11b5db35f118324684f93281e1c21fa7b80be7a4a4e2cb4bb03</t>
        </is>
      </c>
      <c r="BH169" s="24" t="inlineStr">
        <is>
          <t>2026-08-01T18:37:05.727261Z</t>
        </is>
      </c>
      <c r="BI169" s="24" t="inlineStr">
        <is>
          <t>["same_event","same_team_same_day","same_league_same_day"]</t>
        </is>
      </c>
      <c r="BJ169" s="25" t="n"/>
      <c r="BK169" s="26" t="n">
        <v>186</v>
      </c>
      <c r="BL169" s="27" t="n">
        <v>2.86</v>
      </c>
      <c r="BM169" s="28" t="n">
        <v>0.34965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</row>
    <row r="170" ht="36" customHeight="1">
      <c r="A170" s="24" t="inlineStr">
        <is>
          <t>6335060e4ee644f9</t>
        </is>
      </c>
      <c r="B170" s="24" t="inlineStr">
        <is>
          <t>2026-08-01T20:17:05.741632Z</t>
        </is>
      </c>
      <c r="C170" s="24" t="inlineStr">
        <is>
          <t>2026-08-01T23:30Z</t>
        </is>
      </c>
      <c r="D170" s="24" t="inlineStr">
        <is>
          <t>761699</t>
        </is>
      </c>
      <c r="E170" s="24" t="inlineStr">
        <is>
          <t>SOCCER</t>
        </is>
      </c>
      <c r="F170" s="24" t="inlineStr">
        <is>
          <t>Nashville SC</t>
        </is>
      </c>
      <c r="G170" s="24" t="inlineStr">
        <is>
          <t>D.C. United</t>
        </is>
      </c>
      <c r="H170" s="24" t="inlineStr">
        <is>
          <t>total</t>
        </is>
      </c>
      <c r="I170" s="24" t="inlineStr">
        <is>
          <t>over</t>
        </is>
      </c>
      <c r="J170" s="25" t="n">
        <v>2.5</v>
      </c>
      <c r="K170" s="24" t="inlineStr">
        <is>
          <t>polymarket_us</t>
        </is>
      </c>
      <c r="L170" s="26" t="n">
        <v>-104</v>
      </c>
      <c r="M170" s="27" t="n">
        <v>1.961538</v>
      </c>
      <c r="N170" s="28" t="n">
        <v>0.509804</v>
      </c>
      <c r="O170" s="28" t="n">
        <v>0.654047</v>
      </c>
      <c r="P170" s="28" t="n">
        <v>0.04</v>
      </c>
      <c r="Q170" s="28" t="n">
        <v>0.144243</v>
      </c>
      <c r="R170" s="26" t="n">
        <v>98</v>
      </c>
      <c r="S170" s="29" t="n">
        <v>1.75</v>
      </c>
      <c r="T170" s="24" t="inlineStr">
        <is>
          <t>soccer-poisson-dc-v1</t>
        </is>
      </c>
      <c r="U170" s="24" t="inlineStr">
        <is>
          <t>settled</t>
        </is>
      </c>
      <c r="V170" s="24" t="inlineStr">
        <is>
          <t>win</t>
        </is>
      </c>
      <c r="W170" s="26" t="n">
        <v>2</v>
      </c>
      <c r="X170" s="26" t="n">
        <v>2</v>
      </c>
      <c r="Y170" s="25" t="n"/>
      <c r="Z170" s="26" t="n"/>
      <c r="AA170" s="28" t="n"/>
      <c r="AB170" s="28" t="n"/>
      <c r="AC170" s="30" t="n">
        <v>1.6827</v>
      </c>
      <c r="AD170" s="24" t="inlineStr">
        <is>
          <t>2026-08-02T03:26:14.226095Z</t>
        </is>
      </c>
      <c r="AE170" s="31" t="inlineStr">
        <is>
          <t>Poisson-DC rates 1.27 (home) / 2.09 (away) from EWMA attack/defense strengths. Executable ask 0.5100 (tsc-mls-dcu-nas-2026-08-01-2pt5).</t>
        </is>
      </c>
      <c r="AF170" s="31" t="inlineStr">
        <is>
          <t>Research-only soccer score model; draw-aware, but not yet locked-holdout qualified.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NO_CALL_MODEL_UNVALIDATED</t>
        </is>
      </c>
      <c r="AP170" s="24" t="inlineStr">
        <is>
          <t>Nashville SC</t>
        </is>
      </c>
      <c r="AQ170" s="24" t="inlineStr">
        <is>
          <t>Nashville SC</t>
        </is>
      </c>
      <c r="AR170" s="24" t="inlineStr">
        <is>
          <t>Nashville SC</t>
        </is>
      </c>
      <c r="AS170" s="24" t="inlineStr">
        <is>
          <t>D.C. United</t>
        </is>
      </c>
      <c r="AT170" s="24" t="inlineStr">
        <is>
          <t>D.C. United</t>
        </is>
      </c>
      <c r="AU170" s="24" t="inlineStr">
        <is>
          <t>D.C. United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34d1568aad0ff11b5db35f118324684f93281e1c21fa7b80be7a4a4e2cb4bb03</t>
        </is>
      </c>
      <c r="BB170" s="24" t="inlineStr">
        <is>
          <t>poisson_dixon_coles</t>
        </is>
      </c>
      <c r="BC170" s="24" t="inlineStr">
        <is>
          <t>soccer-poisson-dc-v1</t>
        </is>
      </c>
      <c r="BD170" s="24" t="inlineStr">
        <is>
          <t>34d1568aad0ff11b5db35f118324684f93281e1c21fa7b80be7a4a4e2cb4bb03</t>
        </is>
      </c>
      <c r="BE170" s="24" t="inlineStr">
        <is>
          <t>soccer-poisson-dc-v1</t>
        </is>
      </c>
      <c r="BF170" s="24" t="inlineStr">
        <is>
          <t>1</t>
        </is>
      </c>
      <c r="BG170" s="24" t="inlineStr">
        <is>
          <t>34d1568aad0ff11b5db35f118324684f93281e1c21fa7b80be7a4a4e2cb4bb03</t>
        </is>
      </c>
      <c r="BH170" s="24" t="inlineStr">
        <is>
          <t>2026-08-01T20:14:21.274394Z</t>
        </is>
      </c>
      <c r="BI170" s="24" t="inlineStr">
        <is>
          <t>["same_event","same_team_same_day","same_league_same_day"]</t>
        </is>
      </c>
      <c r="BJ170" s="25" t="n">
        <v>2.5</v>
      </c>
      <c r="BK170" s="26" t="n">
        <v>-104</v>
      </c>
      <c r="BL170" s="27" t="n">
        <v>1.961538</v>
      </c>
      <c r="BM170" s="28" t="n">
        <v>0.509804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</row>
    <row r="171" ht="36" customHeight="1">
      <c r="A171" s="24" t="inlineStr">
        <is>
          <t>b700c24ab7bb44a3</t>
        </is>
      </c>
      <c r="B171" s="24" t="inlineStr">
        <is>
          <t>2026-08-01T20:17:05.741632Z</t>
        </is>
      </c>
      <c r="C171" s="24" t="inlineStr">
        <is>
          <t>2026-08-01T23:30Z</t>
        </is>
      </c>
      <c r="D171" s="24" t="inlineStr">
        <is>
          <t>761700</t>
        </is>
      </c>
      <c r="E171" s="24" t="inlineStr">
        <is>
          <t>SOCCER</t>
        </is>
      </c>
      <c r="F171" s="24" t="inlineStr">
        <is>
          <t>San Jose Earthquakes</t>
        </is>
      </c>
      <c r="G171" s="24" t="inlineStr">
        <is>
          <t>FC Cincinnati</t>
        </is>
      </c>
      <c r="H171" s="24" t="inlineStr">
        <is>
          <t>total</t>
        </is>
      </c>
      <c r="I171" s="24" t="inlineStr">
        <is>
          <t>over</t>
        </is>
      </c>
      <c r="J171" s="25" t="n">
        <v>2.5</v>
      </c>
      <c r="K171" s="24" t="inlineStr">
        <is>
          <t>polymarket_us</t>
        </is>
      </c>
      <c r="L171" s="26" t="n">
        <v>-317</v>
      </c>
      <c r="M171" s="27" t="n">
        <v>1.315457</v>
      </c>
      <c r="N171" s="28" t="n">
        <v>0.760192</v>
      </c>
      <c r="O171" s="28" t="n">
        <v>0.884924</v>
      </c>
      <c r="P171" s="28" t="n">
        <v>0.04</v>
      </c>
      <c r="Q171" s="28" t="n">
        <v>0.124732</v>
      </c>
      <c r="R171" s="26" t="n">
        <v>88</v>
      </c>
      <c r="S171" s="29" t="n">
        <v>2</v>
      </c>
      <c r="T171" s="24" t="inlineStr">
        <is>
          <t>soccer-poisson-dc-v1</t>
        </is>
      </c>
      <c r="U171" s="24" t="inlineStr">
        <is>
          <t>settled</t>
        </is>
      </c>
      <c r="V171" s="24" t="inlineStr">
        <is>
          <t>win</t>
        </is>
      </c>
      <c r="W171" s="26" t="n">
        <v>2</v>
      </c>
      <c r="X171" s="26" t="n">
        <v>4</v>
      </c>
      <c r="Y171" s="25" t="n"/>
      <c r="Z171" s="26" t="n"/>
      <c r="AA171" s="28" t="n"/>
      <c r="AB171" s="28" t="n"/>
      <c r="AC171" s="30" t="n">
        <v>0.6309</v>
      </c>
      <c r="AD171" s="24" t="inlineStr">
        <is>
          <t>2026-08-02T04:26:21.106575Z</t>
        </is>
      </c>
      <c r="AE171" s="31" t="inlineStr">
        <is>
          <t>Poisson-DC rates 2.60 (home) / 2.52 (away) from EWMA attack/defense strengths. Executable ask 0.7600 (tsc-mls-fcc-sje-2026-08-01-2pt5).</t>
        </is>
      </c>
      <c r="AF171" s="31" t="inlineStr">
        <is>
          <t>Research-only soccer score model; draw-aware, but not yet locked-holdout qualified.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NO_CALL_MODEL_UNVALIDATED</t>
        </is>
      </c>
      <c r="AP171" s="24" t="inlineStr">
        <is>
          <t>San Jose Earthquakes</t>
        </is>
      </c>
      <c r="AQ171" s="24" t="inlineStr">
        <is>
          <t>San Jose Earthquakes</t>
        </is>
      </c>
      <c r="AR171" s="24" t="inlineStr">
        <is>
          <t>San Jose Earthquakes</t>
        </is>
      </c>
      <c r="AS171" s="24" t="inlineStr">
        <is>
          <t>FC Cincinnati</t>
        </is>
      </c>
      <c r="AT171" s="24" t="inlineStr">
        <is>
          <t>FC Cincinnati</t>
        </is>
      </c>
      <c r="AU171" s="24" t="inlineStr">
        <is>
          <t>FC Cincinnati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34d1568aad0ff11b5db35f118324684f93281e1c21fa7b80be7a4a4e2cb4bb03</t>
        </is>
      </c>
      <c r="BB171" s="24" t="inlineStr">
        <is>
          <t>poisson_dixon_coles</t>
        </is>
      </c>
      <c r="BC171" s="24" t="inlineStr">
        <is>
          <t>soccer-poisson-dc-v1</t>
        </is>
      </c>
      <c r="BD171" s="24" t="inlineStr">
        <is>
          <t>34d1568aad0ff11b5db35f118324684f93281e1c21fa7b80be7a4a4e2cb4bb03</t>
        </is>
      </c>
      <c r="BE171" s="24" t="inlineStr">
        <is>
          <t>soccer-poisson-dc-v1</t>
        </is>
      </c>
      <c r="BF171" s="24" t="inlineStr">
        <is>
          <t>1</t>
        </is>
      </c>
      <c r="BG171" s="24" t="inlineStr">
        <is>
          <t>34d1568aad0ff11b5db35f118324684f93281e1c21fa7b80be7a4a4e2cb4bb03</t>
        </is>
      </c>
      <c r="BH171" s="24" t="inlineStr">
        <is>
          <t>2026-08-01T20:14:22.110761Z</t>
        </is>
      </c>
      <c r="BI171" s="24" t="inlineStr">
        <is>
          <t>["same_event","same_team_same_day","same_league_same_day"]</t>
        </is>
      </c>
      <c r="BJ171" s="25" t="n">
        <v>2.5</v>
      </c>
      <c r="BK171" s="26" t="n">
        <v>-317</v>
      </c>
      <c r="BL171" s="27" t="n">
        <v>1.315457</v>
      </c>
      <c r="BM171" s="28" t="n">
        <v>0.760192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</row>
    <row r="172" ht="36" customHeight="1">
      <c r="A172" s="24" t="inlineStr">
        <is>
          <t>1f48bd79d56a4307</t>
        </is>
      </c>
      <c r="B172" s="24" t="inlineStr">
        <is>
          <t>2026-08-01T20:17:05.741632Z</t>
        </is>
      </c>
      <c r="C172" s="24" t="inlineStr">
        <is>
          <t>2026-08-01T23:30Z</t>
        </is>
      </c>
      <c r="D172" s="24" t="inlineStr">
        <is>
          <t>761701</t>
        </is>
      </c>
      <c r="E172" s="24" t="inlineStr">
        <is>
          <t>SOCCER</t>
        </is>
      </c>
      <c r="F172" s="24" t="inlineStr">
        <is>
          <t>Columbus Crew</t>
        </is>
      </c>
      <c r="G172" s="24" t="inlineStr">
        <is>
          <t>Inter Miami CF</t>
        </is>
      </c>
      <c r="H172" s="24" t="inlineStr">
        <is>
          <t>total</t>
        </is>
      </c>
      <c r="I172" s="24" t="inlineStr">
        <is>
          <t>over</t>
        </is>
      </c>
      <c r="J172" s="25" t="n">
        <v>2.5</v>
      </c>
      <c r="K172" s="24" t="inlineStr">
        <is>
          <t>polymarket_us</t>
        </is>
      </c>
      <c r="L172" s="26" t="n">
        <v>-285</v>
      </c>
      <c r="M172" s="27" t="n">
        <v>1.350877</v>
      </c>
      <c r="N172" s="28" t="n">
        <v>0.74026</v>
      </c>
      <c r="O172" s="28" t="n">
        <v>0.8701759999999999</v>
      </c>
      <c r="P172" s="28" t="n">
        <v>0.04</v>
      </c>
      <c r="Q172" s="28" t="n">
        <v>0.129916</v>
      </c>
      <c r="R172" s="26" t="n">
        <v>91</v>
      </c>
      <c r="S172" s="29" t="n">
        <v>2</v>
      </c>
      <c r="T172" s="24" t="inlineStr">
        <is>
          <t>soccer-poisson-dc-v1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2</v>
      </c>
      <c r="Y172" s="25" t="n"/>
      <c r="Z172" s="26" t="n"/>
      <c r="AA172" s="28" t="n"/>
      <c r="AB172" s="28" t="n"/>
      <c r="AC172" s="30" t="n">
        <v>0.7018</v>
      </c>
      <c r="AD172" s="24" t="inlineStr">
        <is>
          <t>2026-08-02T03:26:14.497023Z</t>
        </is>
      </c>
      <c r="AE172" s="31" t="inlineStr">
        <is>
          <t>Poisson-DC rates 3.37 (home) / 1.57 (away) from EWMA attack/defense strengths. Executable ask 0.7400 (tsc-mls-mia-clb-2026-08-01-2pt5).</t>
        </is>
      </c>
      <c r="AF172" s="31" t="inlineStr">
        <is>
          <t>Research-only soccer score model; draw-aware, but not yet locked-holdout qualified.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NO_CALL_MODEL_UNVALIDATED</t>
        </is>
      </c>
      <c r="AP172" s="24" t="inlineStr">
        <is>
          <t>Columbus Crew</t>
        </is>
      </c>
      <c r="AQ172" s="24" t="inlineStr">
        <is>
          <t>Columbus Crew</t>
        </is>
      </c>
      <c r="AR172" s="24" t="inlineStr">
        <is>
          <t>Columbus Crew</t>
        </is>
      </c>
      <c r="AS172" s="24" t="inlineStr">
        <is>
          <t>Inter Miami CF</t>
        </is>
      </c>
      <c r="AT172" s="24" t="inlineStr">
        <is>
          <t>Inter Miami CF</t>
        </is>
      </c>
      <c r="AU172" s="24" t="inlineStr">
        <is>
          <t>Inter Miami CF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34d1568aad0ff11b5db35f118324684f93281e1c21fa7b80be7a4a4e2cb4bb03</t>
        </is>
      </c>
      <c r="BB172" s="24" t="inlineStr">
        <is>
          <t>poisson_dixon_coles</t>
        </is>
      </c>
      <c r="BC172" s="24" t="inlineStr">
        <is>
          <t>soccer-poisson-dc-v1</t>
        </is>
      </c>
      <c r="BD172" s="24" t="inlineStr">
        <is>
          <t>34d1568aad0ff11b5db35f118324684f93281e1c21fa7b80be7a4a4e2cb4bb03</t>
        </is>
      </c>
      <c r="BE172" s="24" t="inlineStr">
        <is>
          <t>soccer-poisson-dc-v1</t>
        </is>
      </c>
      <c r="BF172" s="24" t="inlineStr">
        <is>
          <t>1</t>
        </is>
      </c>
      <c r="BG172" s="24" t="inlineStr">
        <is>
          <t>34d1568aad0ff11b5db35f118324684f93281e1c21fa7b80be7a4a4e2cb4bb03</t>
        </is>
      </c>
      <c r="BH172" s="24" t="inlineStr">
        <is>
          <t>2026-08-01T20:14:24.561641Z</t>
        </is>
      </c>
      <c r="BI172" s="24" t="inlineStr">
        <is>
          <t>["same_event","same_team_same_day","same_league_same_day"]</t>
        </is>
      </c>
      <c r="BJ172" s="25" t="n">
        <v>2.5</v>
      </c>
      <c r="BK172" s="26" t="n">
        <v>-285</v>
      </c>
      <c r="BL172" s="27" t="n">
        <v>1.350877</v>
      </c>
      <c r="BM172" s="28" t="n">
        <v>0.74026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</row>
    <row r="173" ht="36" customHeight="1">
      <c r="A173" s="24" t="inlineStr">
        <is>
          <t>534c606f8d994efb</t>
        </is>
      </c>
      <c r="B173" s="24" t="inlineStr">
        <is>
          <t>2026-08-01T20:17:05.741632Z</t>
        </is>
      </c>
      <c r="C173" s="24" t="inlineStr">
        <is>
          <t>2026-08-01T23:30Z</t>
        </is>
      </c>
      <c r="D173" s="24" t="inlineStr">
        <is>
          <t>761702</t>
        </is>
      </c>
      <c r="E173" s="24" t="inlineStr">
        <is>
          <t>SOCCER</t>
        </is>
      </c>
      <c r="F173" s="24" t="inlineStr">
        <is>
          <t>Atlanta United FC</t>
        </is>
      </c>
      <c r="G173" s="24" t="inlineStr">
        <is>
          <t>Philadelphia Union</t>
        </is>
      </c>
      <c r="H173" s="24" t="inlineStr">
        <is>
          <t>total</t>
        </is>
      </c>
      <c r="I173" s="24" t="inlineStr">
        <is>
          <t>over</t>
        </is>
      </c>
      <c r="J173" s="25" t="n">
        <v>2.5</v>
      </c>
      <c r="K173" s="24" t="inlineStr">
        <is>
          <t>polymarket_us</t>
        </is>
      </c>
      <c r="L173" s="26" t="n">
        <v>-163</v>
      </c>
      <c r="M173" s="27" t="n">
        <v>1.613497</v>
      </c>
      <c r="N173" s="28" t="n">
        <v>0.619772</v>
      </c>
      <c r="O173" s="28" t="n">
        <v>0.579545</v>
      </c>
      <c r="P173" s="28" t="n">
        <v>0.04</v>
      </c>
      <c r="Q173" s="28" t="n">
        <v>-0.040227</v>
      </c>
      <c r="R173" s="26" t="n">
        <v>6</v>
      </c>
      <c r="S173" s="29" t="n">
        <v>1.25</v>
      </c>
      <c r="T173" s="24" t="inlineStr">
        <is>
          <t>soccer-poisson-dc-v1</t>
        </is>
      </c>
      <c r="U173" s="24" t="inlineStr">
        <is>
          <t>settled</t>
        </is>
      </c>
      <c r="V173" s="24" t="inlineStr">
        <is>
          <t>win</t>
        </is>
      </c>
      <c r="W173" s="26" t="n">
        <v>2</v>
      </c>
      <c r="X173" s="26" t="n">
        <v>3</v>
      </c>
      <c r="Y173" s="25" t="n"/>
      <c r="Z173" s="26" t="n"/>
      <c r="AA173" s="28" t="n"/>
      <c r="AB173" s="28" t="n"/>
      <c r="AC173" s="30" t="n">
        <v>0.7669</v>
      </c>
      <c r="AD173" s="24" t="inlineStr">
        <is>
          <t>2026-08-02T03:26:14.740324Z</t>
        </is>
      </c>
      <c r="AE173" s="31" t="inlineStr">
        <is>
          <t>Poisson-DC rates 1.93 (home) / 1.08 (away) from EWMA attack/defense strengths. Executable ask 0.6200 (tsc-mls-phi-atl-2026-08-01-2pt5).</t>
        </is>
      </c>
      <c r="AF173" s="31" t="inlineStr">
        <is>
          <t>Research-only soccer score model; draw-aware, but not yet locked-holdout qualified.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NO_CALL_MODEL_UNVALIDATED</t>
        </is>
      </c>
      <c r="AP173" s="24" t="inlineStr">
        <is>
          <t>Atlanta United FC</t>
        </is>
      </c>
      <c r="AQ173" s="24" t="inlineStr">
        <is>
          <t>Atlanta United FC</t>
        </is>
      </c>
      <c r="AR173" s="24" t="inlineStr">
        <is>
          <t>Atlanta United FC</t>
        </is>
      </c>
      <c r="AS173" s="24" t="inlineStr">
        <is>
          <t>Philadelphia Union</t>
        </is>
      </c>
      <c r="AT173" s="24" t="inlineStr">
        <is>
          <t>Philadelphia Union</t>
        </is>
      </c>
      <c r="AU173" s="24" t="inlineStr">
        <is>
          <t>Philadelphia Union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34d1568aad0ff11b5db35f118324684f93281e1c21fa7b80be7a4a4e2cb4bb03</t>
        </is>
      </c>
      <c r="BB173" s="24" t="inlineStr">
        <is>
          <t>poisson_dixon_coles</t>
        </is>
      </c>
      <c r="BC173" s="24" t="inlineStr">
        <is>
          <t>soccer-poisson-dc-v1</t>
        </is>
      </c>
      <c r="BD173" s="24" t="inlineStr">
        <is>
          <t>34d1568aad0ff11b5db35f118324684f93281e1c21fa7b80be7a4a4e2cb4bb03</t>
        </is>
      </c>
      <c r="BE173" s="24" t="inlineStr">
        <is>
          <t>soccer-poisson-dc-v1</t>
        </is>
      </c>
      <c r="BF173" s="24" t="inlineStr">
        <is>
          <t>1</t>
        </is>
      </c>
      <c r="BG173" s="24" t="inlineStr">
        <is>
          <t>34d1568aad0ff11b5db35f118324684f93281e1c21fa7b80be7a4a4e2cb4bb03</t>
        </is>
      </c>
      <c r="BH173" s="24" t="inlineStr">
        <is>
          <t>2026-08-01T20:14:26.713468Z</t>
        </is>
      </c>
      <c r="BI173" s="24" t="inlineStr">
        <is>
          <t>["same_event","same_team_same_day","same_league_same_day"]</t>
        </is>
      </c>
      <c r="BJ173" s="25" t="n">
        <v>2.5</v>
      </c>
      <c r="BK173" s="26" t="n">
        <v>-163</v>
      </c>
      <c r="BL173" s="27" t="n">
        <v>1.613497</v>
      </c>
      <c r="BM173" s="28" t="n">
        <v>0.619772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</row>
    <row r="174" ht="36" customHeight="1">
      <c r="A174" s="24" t="inlineStr">
        <is>
          <t>95372c50a2ed4ced</t>
        </is>
      </c>
      <c r="B174" s="24" t="inlineStr">
        <is>
          <t>2026-08-01T20:17:05.741632Z</t>
        </is>
      </c>
      <c r="C174" s="24" t="inlineStr">
        <is>
          <t>2026-08-01T23:30Z</t>
        </is>
      </c>
      <c r="D174" s="24" t="inlineStr">
        <is>
          <t>761699</t>
        </is>
      </c>
      <c r="E174" s="24" t="inlineStr">
        <is>
          <t>SOCCER</t>
        </is>
      </c>
      <c r="F174" s="24" t="inlineStr">
        <is>
          <t>Nashville SC</t>
        </is>
      </c>
      <c r="G174" s="24" t="inlineStr">
        <is>
          <t>D.C. United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polymarket_us</t>
        </is>
      </c>
      <c r="L174" s="26" t="n">
        <v>144</v>
      </c>
      <c r="M174" s="27" t="n">
        <v>2.44</v>
      </c>
      <c r="N174" s="28" t="n">
        <v>0.409836</v>
      </c>
      <c r="O174" s="28" t="n">
        <v>0.552914</v>
      </c>
      <c r="P174" s="28" t="n">
        <v>0.04</v>
      </c>
      <c r="Q174" s="28" t="n">
        <v>0.143078</v>
      </c>
      <c r="R174" s="26" t="n">
        <v>98</v>
      </c>
      <c r="S174" s="29" t="n">
        <v>1</v>
      </c>
      <c r="T174" s="24" t="inlineStr">
        <is>
          <t>soccer-poisson-dc-v1</t>
        </is>
      </c>
      <c r="U174" s="24" t="inlineStr">
        <is>
          <t>settled</t>
        </is>
      </c>
      <c r="V174" s="24" t="inlineStr">
        <is>
          <t>push</t>
        </is>
      </c>
      <c r="W174" s="26" t="n">
        <v>2</v>
      </c>
      <c r="X174" s="26" t="n">
        <v>2</v>
      </c>
      <c r="Y174" s="25" t="n"/>
      <c r="Z174" s="26" t="n"/>
      <c r="AA174" s="28" t="n"/>
      <c r="AB174" s="28" t="n"/>
      <c r="AC174" s="30" t="n">
        <v>0</v>
      </c>
      <c r="AD174" s="24" t="inlineStr">
        <is>
          <t>2026-08-02T03:26:15.055587Z</t>
        </is>
      </c>
      <c r="AE174" s="31" t="inlineStr">
        <is>
          <t>Poisson-DC rates 1.27 (home) / 2.09 (away) from EWMA attack/defense strengths. Executable ask 0.4100 (atc-mls-dcu-nas-2026-08-01-nas).</t>
        </is>
      </c>
      <c r="AF174" s="31" t="inlineStr">
        <is>
          <t>Research-only soccer score model; draw-aware, but not yet locked-holdout qualified.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NO_CALL_MODEL_UNVALIDATED</t>
        </is>
      </c>
      <c r="AP174" s="24" t="inlineStr">
        <is>
          <t>Nashville SC</t>
        </is>
      </c>
      <c r="AQ174" s="24" t="inlineStr">
        <is>
          <t>Nashville SC</t>
        </is>
      </c>
      <c r="AR174" s="24" t="inlineStr">
        <is>
          <t>Nashville SC</t>
        </is>
      </c>
      <c r="AS174" s="24" t="inlineStr">
        <is>
          <t>D.C. United</t>
        </is>
      </c>
      <c r="AT174" s="24" t="inlineStr">
        <is>
          <t>D.C. United</t>
        </is>
      </c>
      <c r="AU174" s="24" t="inlineStr">
        <is>
          <t>D.C. United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34d1568aad0ff11b5db35f118324684f93281e1c21fa7b80be7a4a4e2cb4bb03</t>
        </is>
      </c>
      <c r="BB174" s="24" t="inlineStr">
        <is>
          <t>poisson_dixon_coles</t>
        </is>
      </c>
      <c r="BC174" s="24" t="inlineStr">
        <is>
          <t>soccer-poisson-dc-v1</t>
        </is>
      </c>
      <c r="BD174" s="24" t="inlineStr">
        <is>
          <t>34d1568aad0ff11b5db35f118324684f93281e1c21fa7b80be7a4a4e2cb4bb03</t>
        </is>
      </c>
      <c r="BE174" s="24" t="inlineStr">
        <is>
          <t>soccer-poisson-dc-v1</t>
        </is>
      </c>
      <c r="BF174" s="24" t="inlineStr">
        <is>
          <t>1</t>
        </is>
      </c>
      <c r="BG174" s="24" t="inlineStr">
        <is>
          <t>34d1568aad0ff11b5db35f118324684f93281e1c21fa7b80be7a4a4e2cb4bb03</t>
        </is>
      </c>
      <c r="BH174" s="24" t="inlineStr">
        <is>
          <t>2026-08-01T20:14:20.050683Z</t>
        </is>
      </c>
      <c r="BI174" s="24" t="inlineStr">
        <is>
          <t>["same_event","same_team_same_day","same_league_same_day"]</t>
        </is>
      </c>
      <c r="BJ174" s="25" t="n"/>
      <c r="BK174" s="26" t="n">
        <v>144</v>
      </c>
      <c r="BL174" s="27" t="n">
        <v>2.44</v>
      </c>
      <c r="BM174" s="28" t="n">
        <v>0.409836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</row>
    <row r="175" ht="36" customHeight="1">
      <c r="A175" s="24" t="inlineStr">
        <is>
          <t>ae6c537b76914b00</t>
        </is>
      </c>
      <c r="B175" s="24" t="inlineStr">
        <is>
          <t>2026-08-01T20:17:05.741632Z</t>
        </is>
      </c>
      <c r="C175" s="24" t="inlineStr">
        <is>
          <t>2026-08-01T23:30Z</t>
        </is>
      </c>
      <c r="D175" s="24" t="inlineStr">
        <is>
          <t>761700</t>
        </is>
      </c>
      <c r="E175" s="24" t="inlineStr">
        <is>
          <t>SOCCER</t>
        </is>
      </c>
      <c r="F175" s="24" t="inlineStr">
        <is>
          <t>San Jose Earthquakes</t>
        </is>
      </c>
      <c r="G175" s="24" t="inlineStr">
        <is>
          <t>FC Cincinnati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-108</v>
      </c>
      <c r="M175" s="27" t="n">
        <v>1.925926</v>
      </c>
      <c r="N175" s="28" t="n">
        <v>0.519231</v>
      </c>
      <c r="O175" s="28" t="n">
        <v>0.418282</v>
      </c>
      <c r="P175" s="28" t="n">
        <v>0.04</v>
      </c>
      <c r="Q175" s="28" t="n">
        <v>-0.100949</v>
      </c>
      <c r="R175" s="26" t="n">
        <v>0</v>
      </c>
      <c r="S175" s="29" t="n">
        <v>1.25</v>
      </c>
      <c r="T175" s="24" t="inlineStr">
        <is>
          <t>soccer-poisson-dc-v1</t>
        </is>
      </c>
      <c r="U175" s="24" t="inlineStr">
        <is>
          <t>settled</t>
        </is>
      </c>
      <c r="V175" s="24" t="inlineStr">
        <is>
          <t>win</t>
        </is>
      </c>
      <c r="W175" s="26" t="n">
        <v>2</v>
      </c>
      <c r="X175" s="26" t="n">
        <v>4</v>
      </c>
      <c r="Y175" s="25" t="n"/>
      <c r="Z175" s="26" t="n"/>
      <c r="AA175" s="28" t="n"/>
      <c r="AB175" s="28" t="n"/>
      <c r="AC175" s="30" t="n">
        <v>1.1574</v>
      </c>
      <c r="AD175" s="24" t="inlineStr">
        <is>
          <t>2026-08-02T04:26:21.397669Z</t>
        </is>
      </c>
      <c r="AE175" s="31" t="inlineStr">
        <is>
          <t>Poisson-DC rates 2.60 (home) / 2.52 (away) from EWMA attack/defense strengths. Executable ask 0.5200 (atc-mls-fcc-sje-2026-08-01-fcc).</t>
        </is>
      </c>
      <c r="AF175" s="31" t="inlineStr">
        <is>
          <t>Research-only soccer score model; draw-aware, but not yet locked-holdout qualified.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NO_CALL_MODEL_UNVALIDATED</t>
        </is>
      </c>
      <c r="AP175" s="24" t="inlineStr">
        <is>
          <t>San Jose Earthquakes</t>
        </is>
      </c>
      <c r="AQ175" s="24" t="inlineStr">
        <is>
          <t>San Jose Earthquakes</t>
        </is>
      </c>
      <c r="AR175" s="24" t="inlineStr">
        <is>
          <t>San Jose Earthquakes</t>
        </is>
      </c>
      <c r="AS175" s="24" t="inlineStr">
        <is>
          <t>FC Cincinnati</t>
        </is>
      </c>
      <c r="AT175" s="24" t="inlineStr">
        <is>
          <t>FC Cincinnati</t>
        </is>
      </c>
      <c r="AU175" s="24" t="inlineStr">
        <is>
          <t>FC Cincinnati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34d1568aad0ff11b5db35f118324684f93281e1c21fa7b80be7a4a4e2cb4bb03</t>
        </is>
      </c>
      <c r="BB175" s="24" t="inlineStr">
        <is>
          <t>poisson_dixon_coles</t>
        </is>
      </c>
      <c r="BC175" s="24" t="inlineStr">
        <is>
          <t>soccer-poisson-dc-v1</t>
        </is>
      </c>
      <c r="BD175" s="24" t="inlineStr">
        <is>
          <t>34d1568aad0ff11b5db35f118324684f93281e1c21fa7b80be7a4a4e2cb4bb03</t>
        </is>
      </c>
      <c r="BE175" s="24" t="inlineStr">
        <is>
          <t>soccer-poisson-dc-v1</t>
        </is>
      </c>
      <c r="BF175" s="24" t="inlineStr">
        <is>
          <t>1</t>
        </is>
      </c>
      <c r="BG175" s="24" t="inlineStr">
        <is>
          <t>34d1568aad0ff11b5db35f118324684f93281e1c21fa7b80be7a4a4e2cb4bb03</t>
        </is>
      </c>
      <c r="BH175" s="24" t="inlineStr">
        <is>
          <t>2026-08-01T20:14:21.554713Z</t>
        </is>
      </c>
      <c r="BI175" s="24" t="inlineStr">
        <is>
          <t>["same_event","same_team_same_day","same_league_same_day"]</t>
        </is>
      </c>
      <c r="BJ175" s="25" t="n"/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</row>
    <row r="176" ht="36" customHeight="1">
      <c r="A176" s="24" t="inlineStr">
        <is>
          <t>b586e7aa165f48df</t>
        </is>
      </c>
      <c r="B176" s="24" t="inlineStr">
        <is>
          <t>2026-08-01T20:17:05.741632Z</t>
        </is>
      </c>
      <c r="C176" s="24" t="inlineStr">
        <is>
          <t>2026-08-01T23:30Z</t>
        </is>
      </c>
      <c r="D176" s="24" t="inlineStr">
        <is>
          <t>761701</t>
        </is>
      </c>
      <c r="E176" s="24" t="inlineStr">
        <is>
          <t>SOCCER</t>
        </is>
      </c>
      <c r="F176" s="24" t="inlineStr">
        <is>
          <t>Columbus Crew</t>
        </is>
      </c>
      <c r="G176" s="24" t="inlineStr">
        <is>
          <t>Inter Miami CF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-170</v>
      </c>
      <c r="M176" s="27" t="n">
        <v>1.588235</v>
      </c>
      <c r="N176" s="28" t="n">
        <v>0.62963</v>
      </c>
      <c r="O176" s="28" t="n">
        <v>0.715665</v>
      </c>
      <c r="P176" s="28" t="n">
        <v>0.04</v>
      </c>
      <c r="Q176" s="28" t="n">
        <v>0.086035</v>
      </c>
      <c r="R176" s="26" t="n">
        <v>69</v>
      </c>
      <c r="S176" s="29" t="n">
        <v>2</v>
      </c>
      <c r="T176" s="24" t="inlineStr">
        <is>
          <t>soccer-poisson-dc-v1</t>
        </is>
      </c>
      <c r="U176" s="24" t="inlineStr">
        <is>
          <t>settled</t>
        </is>
      </c>
      <c r="V176" s="24" t="inlineStr">
        <is>
          <t>push</t>
        </is>
      </c>
      <c r="W176" s="26" t="n">
        <v>2</v>
      </c>
      <c r="X176" s="26" t="n">
        <v>2</v>
      </c>
      <c r="Y176" s="25" t="n"/>
      <c r="Z176" s="26" t="n"/>
      <c r="AA176" s="28" t="n"/>
      <c r="AB176" s="28" t="n"/>
      <c r="AC176" s="30" t="n">
        <v>0</v>
      </c>
      <c r="AD176" s="24" t="inlineStr">
        <is>
          <t>2026-08-02T03:26:15.417178Z</t>
        </is>
      </c>
      <c r="AE176" s="31" t="inlineStr">
        <is>
          <t>Poisson-DC rates 3.37 (home) / 1.57 (away) from EWMA attack/defense strengths. Executable ask 0.6300 (atc-mls-mia-clb-2026-08-01-mia).</t>
        </is>
      </c>
      <c r="AF176" s="31" t="inlineStr">
        <is>
          <t>Research-only soccer score model; draw-aware, but not yet locked-holdout qualified.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NO_CALL_MODEL_UNVALIDATED</t>
        </is>
      </c>
      <c r="AP176" s="24" t="inlineStr">
        <is>
          <t>Columbus Crew</t>
        </is>
      </c>
      <c r="AQ176" s="24" t="inlineStr">
        <is>
          <t>Columbus Crew</t>
        </is>
      </c>
      <c r="AR176" s="24" t="inlineStr">
        <is>
          <t>Columbus Crew</t>
        </is>
      </c>
      <c r="AS176" s="24" t="inlineStr">
        <is>
          <t>Inter Miami CF</t>
        </is>
      </c>
      <c r="AT176" s="24" t="inlineStr">
        <is>
          <t>Inter Miami CF</t>
        </is>
      </c>
      <c r="AU176" s="24" t="inlineStr">
        <is>
          <t>Inter Miami CF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34d1568aad0ff11b5db35f118324684f93281e1c21fa7b80be7a4a4e2cb4bb03</t>
        </is>
      </c>
      <c r="BB176" s="24" t="inlineStr">
        <is>
          <t>poisson_dixon_coles</t>
        </is>
      </c>
      <c r="BC176" s="24" t="inlineStr">
        <is>
          <t>soccer-poisson-dc-v1</t>
        </is>
      </c>
      <c r="BD176" s="24" t="inlineStr">
        <is>
          <t>34d1568aad0ff11b5db35f118324684f93281e1c21fa7b80be7a4a4e2cb4bb03</t>
        </is>
      </c>
      <c r="BE176" s="24" t="inlineStr">
        <is>
          <t>soccer-poisson-dc-v1</t>
        </is>
      </c>
      <c r="BF176" s="24" t="inlineStr">
        <is>
          <t>1</t>
        </is>
      </c>
      <c r="BG176" s="24" t="inlineStr">
        <is>
          <t>34d1568aad0ff11b5db35f118324684f93281e1c21fa7b80be7a4a4e2cb4bb03</t>
        </is>
      </c>
      <c r="BH176" s="24" t="inlineStr">
        <is>
          <t>2026-08-01T20:14:23.116312Z</t>
        </is>
      </c>
      <c r="BI176" s="24" t="inlineStr">
        <is>
          <t>["same_event","same_team_same_day","same_league_same_day"]</t>
        </is>
      </c>
      <c r="BJ176" s="25" t="n"/>
      <c r="BK176" s="26" t="n">
        <v>-170</v>
      </c>
      <c r="BL176" s="27" t="n">
        <v>1.588235</v>
      </c>
      <c r="BM176" s="28" t="n">
        <v>0.62963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</row>
    <row r="177" ht="36" customHeight="1">
      <c r="A177" s="24" t="inlineStr">
        <is>
          <t>1e573e73d5d24ee5</t>
        </is>
      </c>
      <c r="B177" s="24" t="inlineStr">
        <is>
          <t>2026-08-01T20:17:05.741632Z</t>
        </is>
      </c>
      <c r="C177" s="24" t="inlineStr">
        <is>
          <t>2026-08-01T23:30Z</t>
        </is>
      </c>
      <c r="D177" s="24" t="inlineStr">
        <is>
          <t>761702</t>
        </is>
      </c>
      <c r="E177" s="24" t="inlineStr">
        <is>
          <t>SOCCER</t>
        </is>
      </c>
      <c r="F177" s="24" t="inlineStr">
        <is>
          <t>Atlanta United FC</t>
        </is>
      </c>
      <c r="G177" s="24" t="inlineStr">
        <is>
          <t>Philadelphia Union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-156</v>
      </c>
      <c r="M177" s="27" t="n">
        <v>1.641026</v>
      </c>
      <c r="N177" s="28" t="n">
        <v>0.609375</v>
      </c>
      <c r="O177" s="28" t="n">
        <v>0.5599229999999999</v>
      </c>
      <c r="P177" s="28" t="n">
        <v>0.04</v>
      </c>
      <c r="Q177" s="28" t="n">
        <v>-0.049452</v>
      </c>
      <c r="R177" s="26" t="n">
        <v>1</v>
      </c>
      <c r="S177" s="29" t="n">
        <v>1.25</v>
      </c>
      <c r="T177" s="24" t="inlineStr">
        <is>
          <t>soccer-poisson-dc-v1</t>
        </is>
      </c>
      <c r="U177" s="24" t="inlineStr">
        <is>
          <t>settled</t>
        </is>
      </c>
      <c r="V177" s="24" t="inlineStr">
        <is>
          <t>win</t>
        </is>
      </c>
      <c r="W177" s="26" t="n">
        <v>2</v>
      </c>
      <c r="X177" s="26" t="n">
        <v>3</v>
      </c>
      <c r="Y177" s="25" t="n"/>
      <c r="Z177" s="26" t="n"/>
      <c r="AA177" s="28" t="n"/>
      <c r="AB177" s="28" t="n"/>
      <c r="AC177" s="30" t="n">
        <v>0.8013</v>
      </c>
      <c r="AD177" s="24" t="inlineStr">
        <is>
          <t>2026-08-02T03:26:15.763444Z</t>
        </is>
      </c>
      <c r="AE177" s="31" t="inlineStr">
        <is>
          <t>Poisson-DC rates 1.93 (home) / 1.08 (away) from EWMA attack/defense strengths. Executable ask 0.6100 (atc-mls-phi-atl-2026-08-01-phi).</t>
        </is>
      </c>
      <c r="AF177" s="31" t="inlineStr">
        <is>
          <t>Research-only soccer score model; draw-aware, but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NO_CALL_MODEL_UNVALIDATED</t>
        </is>
      </c>
      <c r="AP177" s="24" t="inlineStr">
        <is>
          <t>Atlanta United FC</t>
        </is>
      </c>
      <c r="AQ177" s="24" t="inlineStr">
        <is>
          <t>Atlanta United FC</t>
        </is>
      </c>
      <c r="AR177" s="24" t="inlineStr">
        <is>
          <t>Atlanta United FC</t>
        </is>
      </c>
      <c r="AS177" s="24" t="inlineStr">
        <is>
          <t>Philadelphia Union</t>
        </is>
      </c>
      <c r="AT177" s="24" t="inlineStr">
        <is>
          <t>Philadelphia Union</t>
        </is>
      </c>
      <c r="AU177" s="24" t="inlineStr">
        <is>
          <t>Philadelphia Union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34d1568aad0ff11b5db35f118324684f93281e1c21fa7b80be7a4a4e2cb4bb03</t>
        </is>
      </c>
      <c r="BB177" s="24" t="inlineStr">
        <is>
          <t>poisson_dixon_coles</t>
        </is>
      </c>
      <c r="BC177" s="24" t="inlineStr">
        <is>
          <t>soccer-poisson-dc-v1</t>
        </is>
      </c>
      <c r="BD177" s="24" t="inlineStr">
        <is>
          <t>34d1568aad0ff11b5db35f118324684f93281e1c21fa7b80be7a4a4e2cb4bb03</t>
        </is>
      </c>
      <c r="BE177" s="24" t="inlineStr">
        <is>
          <t>soccer-poisson-dc-v1</t>
        </is>
      </c>
      <c r="BF177" s="24" t="inlineStr">
        <is>
          <t>1</t>
        </is>
      </c>
      <c r="BG177" s="24" t="inlineStr">
        <is>
          <t>34d1568aad0ff11b5db35f118324684f93281e1c21fa7b80be7a4a4e2cb4bb03</t>
        </is>
      </c>
      <c r="BH177" s="24" t="inlineStr">
        <is>
          <t>2026-08-01T20:14:26.266239Z</t>
        </is>
      </c>
      <c r="BI177" s="24" t="inlineStr">
        <is>
          <t>["same_event","same_team_same_day","same_league_same_day"]</t>
        </is>
      </c>
      <c r="BJ177" s="25" t="n"/>
      <c r="BK177" s="26" t="n">
        <v>-156</v>
      </c>
      <c r="BL177" s="27" t="n">
        <v>1.641026</v>
      </c>
      <c r="BM177" s="28" t="n">
        <v>0.609375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</row>
    <row r="178" ht="36" customHeight="1">
      <c r="A178" s="24" t="inlineStr">
        <is>
          <t>40b54f606eb04e02</t>
        </is>
      </c>
      <c r="B178" s="24" t="inlineStr">
        <is>
          <t>2026-08-01T20:17:05.741632Z</t>
        </is>
      </c>
      <c r="C178" s="24" t="inlineStr">
        <is>
          <t>2026-08-01T21:00Z</t>
        </is>
      </c>
      <c r="D178" s="24" t="inlineStr">
        <is>
          <t>401841478</t>
        </is>
      </c>
      <c r="E178" s="24" t="inlineStr">
        <is>
          <t>SOCCER</t>
        </is>
      </c>
      <c r="F178" s="24" t="inlineStr">
        <is>
          <t>Defensa y Justicia</t>
        </is>
      </c>
      <c r="G178" s="24" t="inlineStr">
        <is>
          <t>Estudiantes de La Plata</t>
        </is>
      </c>
      <c r="H178" s="24" t="inlineStr">
        <is>
          <t>moneyline</t>
        </is>
      </c>
      <c r="I178" s="24" t="inlineStr">
        <is>
          <t>home</t>
        </is>
      </c>
      <c r="J178" s="25" t="n"/>
      <c r="K178" s="24" t="inlineStr">
        <is>
          <t>polymarket_us</t>
        </is>
      </c>
      <c r="L178" s="26" t="n">
        <v>-144</v>
      </c>
      <c r="M178" s="27" t="n">
        <v>1.694444</v>
      </c>
      <c r="N178" s="28" t="n">
        <v>0.590164</v>
      </c>
      <c r="O178" s="28" t="n">
        <v>0.451659</v>
      </c>
      <c r="P178" s="28" t="n">
        <v>0.2</v>
      </c>
      <c r="Q178" s="28" t="n">
        <v>-0.138505</v>
      </c>
      <c r="R178" s="26" t="n">
        <v>0</v>
      </c>
      <c r="S178" s="29" t="n">
        <v>1</v>
      </c>
      <c r="T178" s="24" t="inlineStr">
        <is>
          <t>soccer-poisson-dc-v1</t>
        </is>
      </c>
      <c r="U178" s="24" t="inlineStr">
        <is>
          <t>settled</t>
        </is>
      </c>
      <c r="V178" s="24" t="inlineStr">
        <is>
          <t>win</t>
        </is>
      </c>
      <c r="W178" s="26" t="n">
        <v>0</v>
      </c>
      <c r="X178" s="26" t="n">
        <v>3</v>
      </c>
      <c r="Y178" s="25" t="n"/>
      <c r="Z178" s="26" t="n"/>
      <c r="AA178" s="28" t="n"/>
      <c r="AB178" s="28" t="n"/>
      <c r="AC178" s="30" t="n">
        <v>0.6944</v>
      </c>
      <c r="AD178" s="24" t="inlineStr">
        <is>
          <t>2026-08-01T23:51:10.459392Z</t>
        </is>
      </c>
      <c r="AE178" s="31" t="inlineStr">
        <is>
          <t>Poisson-DC rates 1.59 (home) / 1.20 (away) from EWMA attack/defense strengths. Executable ask 0.5900 (atc-lpa-est-def-2026-08-01-est).</t>
        </is>
      </c>
      <c r="AF178" s="31" t="inlineStr">
        <is>
          <t>Research-only soccer score model; draw-aware, but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NO_CALL_MODEL_UNVALIDATED</t>
        </is>
      </c>
      <c r="AP178" s="24" t="inlineStr">
        <is>
          <t>Defensa y Justicia</t>
        </is>
      </c>
      <c r="AQ178" s="24" t="inlineStr">
        <is>
          <t>Defensa y Justicia</t>
        </is>
      </c>
      <c r="AR178" s="24" t="inlineStr">
        <is>
          <t>Defensa y Justicia</t>
        </is>
      </c>
      <c r="AS178" s="24" t="inlineStr">
        <is>
          <t>Estudiantes de La Plata</t>
        </is>
      </c>
      <c r="AT178" s="24" t="inlineStr">
        <is>
          <t>Estudiantes de La Plata</t>
        </is>
      </c>
      <c r="AU178" s="24" t="inlineStr">
        <is>
          <t>Estudiantes de La Plata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34d1568aad0ff11b5db35f118324684f93281e1c21fa7b80be7a4a4e2cb4bb03</t>
        </is>
      </c>
      <c r="BB178" s="24" t="inlineStr">
        <is>
          <t>poisson_dixon_coles</t>
        </is>
      </c>
      <c r="BC178" s="24" t="inlineStr">
        <is>
          <t>soccer-poisson-dc-v1</t>
        </is>
      </c>
      <c r="BD178" s="24" t="inlineStr">
        <is>
          <t>34d1568aad0ff11b5db35f118324684f93281e1c21fa7b80be7a4a4e2cb4bb03</t>
        </is>
      </c>
      <c r="BE178" s="24" t="inlineStr">
        <is>
          <t>soccer-poisson-dc-v1</t>
        </is>
      </c>
      <c r="BF178" s="24" t="inlineStr">
        <is>
          <t>1</t>
        </is>
      </c>
      <c r="BG178" s="24" t="inlineStr">
        <is>
          <t>34d1568aad0ff11b5db35f118324684f93281e1c21fa7b80be7a4a4e2cb4bb03</t>
        </is>
      </c>
      <c r="BH178" s="24" t="inlineStr">
        <is>
          <t>2026-08-01T20:14:41.137983Z</t>
        </is>
      </c>
      <c r="BI178" s="24" t="inlineStr">
        <is>
          <t>["same_event","same_team_same_day","same_league_same_day"]</t>
        </is>
      </c>
      <c r="BJ178" s="25" t="n"/>
      <c r="BK178" s="26" t="n">
        <v>-144</v>
      </c>
      <c r="BL178" s="27" t="n">
        <v>1.694444</v>
      </c>
      <c r="BM178" s="28" t="n">
        <v>0.590164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</row>
    <row r="179" ht="36" customHeight="1">
      <c r="A179" s="24" t="inlineStr">
        <is>
          <t>0318e2143c9e4155</t>
        </is>
      </c>
      <c r="B179" s="24" t="inlineStr">
        <is>
          <t>2026-08-01T20:17:05.741632Z</t>
        </is>
      </c>
      <c r="C179" s="24" t="inlineStr">
        <is>
          <t>2026-08-01T23:30Z</t>
        </is>
      </c>
      <c r="D179" s="24" t="inlineStr">
        <is>
          <t>401841475</t>
        </is>
      </c>
      <c r="E179" s="24" t="inlineStr">
        <is>
          <t>SOCCER</t>
        </is>
      </c>
      <c r="F179" s="24" t="inlineStr">
        <is>
          <t>Tigre</t>
        </is>
      </c>
      <c r="G179" s="24" t="inlineStr">
        <is>
          <t>Racing Club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113</v>
      </c>
      <c r="M179" s="27" t="n">
        <v>2.13</v>
      </c>
      <c r="N179" s="28" t="n">
        <v>0.469484</v>
      </c>
      <c r="O179" s="28" t="n">
        <v>0.483295</v>
      </c>
      <c r="P179" s="28" t="n">
        <v>0.2</v>
      </c>
      <c r="Q179" s="28" t="n">
        <v>0.013811</v>
      </c>
      <c r="R179" s="26" t="n">
        <v>0</v>
      </c>
      <c r="S179" s="29" t="n">
        <v>1</v>
      </c>
      <c r="T179" s="24" t="inlineStr">
        <is>
          <t>soccer-poisson-dc-v1</t>
        </is>
      </c>
      <c r="U179" s="24" t="inlineStr">
        <is>
          <t>settled</t>
        </is>
      </c>
      <c r="V179" s="24" t="inlineStr">
        <is>
          <t>loss</t>
        </is>
      </c>
      <c r="W179" s="26" t="n">
        <v>3</v>
      </c>
      <c r="X179" s="26" t="n">
        <v>1</v>
      </c>
      <c r="Y179" s="25" t="n"/>
      <c r="Z179" s="26" t="n"/>
      <c r="AA179" s="28" t="n"/>
      <c r="AB179" s="28" t="n"/>
      <c r="AC179" s="30" t="n">
        <v>-1</v>
      </c>
      <c r="AD179" s="24" t="inlineStr">
        <is>
          <t>2026-08-02T03:26:17.235577Z</t>
        </is>
      </c>
      <c r="AE179" s="31" t="inlineStr">
        <is>
          <t>Poisson-DC rates 1.72 (home) / 1.20 (away) from EWMA attack/defense strengths. Executable ask 0.4700 (atc-lpa-rac-tig-2026-08-01-rac).</t>
        </is>
      </c>
      <c r="AF179" s="31" t="inlineStr">
        <is>
          <t>Research-only soccer score model; draw-aware, but not yet locked-holdout qualified.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Tigre</t>
        </is>
      </c>
      <c r="AQ179" s="24" t="inlineStr">
        <is>
          <t>Tigre</t>
        </is>
      </c>
      <c r="AR179" s="24" t="inlineStr">
        <is>
          <t>Tigre</t>
        </is>
      </c>
      <c r="AS179" s="24" t="inlineStr">
        <is>
          <t>Racing Club</t>
        </is>
      </c>
      <c r="AT179" s="24" t="inlineStr">
        <is>
          <t>Racing Club</t>
        </is>
      </c>
      <c r="AU179" s="24" t="inlineStr">
        <is>
          <t>Racing Club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34d1568aad0ff11b5db35f118324684f93281e1c21fa7b80be7a4a4e2cb4bb03</t>
        </is>
      </c>
      <c r="BB179" s="24" t="inlineStr">
        <is>
          <t>poisson_dixon_coles</t>
        </is>
      </c>
      <c r="BC179" s="24" t="inlineStr">
        <is>
          <t>soccer-poisson-dc-v1</t>
        </is>
      </c>
      <c r="BD179" s="24" t="inlineStr">
        <is>
          <t>34d1568aad0ff11b5db35f118324684f93281e1c21fa7b80be7a4a4e2cb4bb03</t>
        </is>
      </c>
      <c r="BE179" s="24" t="inlineStr">
        <is>
          <t>soccer-poisson-dc-v1</t>
        </is>
      </c>
      <c r="BF179" s="24" t="inlineStr">
        <is>
          <t>1</t>
        </is>
      </c>
      <c r="BG179" s="24" t="inlineStr">
        <is>
          <t>34d1568aad0ff11b5db35f118324684f93281e1c21fa7b80be7a4a4e2cb4bb03</t>
        </is>
      </c>
      <c r="BH179" s="24" t="inlineStr">
        <is>
          <t>2026-08-01T20:14:41.628532Z</t>
        </is>
      </c>
      <c r="BI179" s="24" t="inlineStr">
        <is>
          <t>["same_event","same_team_same_day","same_league_same_day"]</t>
        </is>
      </c>
      <c r="BJ179" s="25" t="n"/>
      <c r="BK179" s="26" t="n">
        <v>113</v>
      </c>
      <c r="BL179" s="27" t="n">
        <v>2.13</v>
      </c>
      <c r="BM179" s="28" t="n">
        <v>0.469484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</row>
    <row r="180" ht="36" customHeight="1">
      <c r="A180" s="24" t="inlineStr">
        <is>
          <t>711928eecb964b43</t>
        </is>
      </c>
      <c r="B180" s="24" t="inlineStr">
        <is>
          <t>2026-08-01T20:17:05.741632Z</t>
        </is>
      </c>
      <c r="C180" s="24" t="inlineStr">
        <is>
          <t>2026-08-01T21:30Z</t>
        </is>
      </c>
      <c r="D180" s="24" t="inlineStr">
        <is>
          <t>401850608</t>
        </is>
      </c>
      <c r="E180" s="24" t="inlineStr">
        <is>
          <t>SOCCER</t>
        </is>
      </c>
      <c r="F180" s="24" t="inlineStr">
        <is>
          <t>Coquimbo Unido</t>
        </is>
      </c>
      <c r="G180" s="24" t="inlineStr">
        <is>
          <t>Palestino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186</v>
      </c>
      <c r="M180" s="27" t="n">
        <v>2.86</v>
      </c>
      <c r="N180" s="28" t="n">
        <v>0.34965</v>
      </c>
      <c r="O180" s="28" t="n">
        <v>0.505507</v>
      </c>
      <c r="P180" s="28" t="n">
        <v>0.2</v>
      </c>
      <c r="Q180" s="28" t="n">
        <v>0.155857</v>
      </c>
      <c r="R180" s="26" t="n">
        <v>8</v>
      </c>
      <c r="S180" s="29" t="n">
        <v>1</v>
      </c>
      <c r="T180" s="24" t="inlineStr">
        <is>
          <t>soccer-poisson-dc-v1</t>
        </is>
      </c>
      <c r="U180" s="24" t="inlineStr">
        <is>
          <t>settled</t>
        </is>
      </c>
      <c r="V180" s="24" t="inlineStr">
        <is>
          <t>win</t>
        </is>
      </c>
      <c r="W180" s="26" t="n">
        <v>1</v>
      </c>
      <c r="X180" s="26" t="n">
        <v>2</v>
      </c>
      <c r="Y180" s="25" t="n"/>
      <c r="Z180" s="26" t="n"/>
      <c r="AA180" s="28" t="n"/>
      <c r="AB180" s="28" t="n"/>
      <c r="AC180" s="30" t="n">
        <v>1.86</v>
      </c>
      <c r="AD180" s="24" t="inlineStr">
        <is>
          <t>2026-08-01T23:51:10.837881Z</t>
        </is>
      </c>
      <c r="AE180" s="31" t="inlineStr">
        <is>
          <t>Poisson-DC rates 1.72 (home) / 1.10 (away) from EWMA attack/defense strengths. Executable ask 0.3500 (atc-pdc-pal-coq-2026-08-01-pal).</t>
        </is>
      </c>
      <c r="AF180" s="31" t="inlineStr">
        <is>
          <t>Research-only soccer score model; draw-aware, but not yet locked-holdout qualified.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Coquimbo Unido</t>
        </is>
      </c>
      <c r="AQ180" s="24" t="inlineStr">
        <is>
          <t>Coquimbo Unido</t>
        </is>
      </c>
      <c r="AR180" s="24" t="inlineStr">
        <is>
          <t>Coquimbo Unido</t>
        </is>
      </c>
      <c r="AS180" s="24" t="inlineStr">
        <is>
          <t>Palestino</t>
        </is>
      </c>
      <c r="AT180" s="24" t="inlineStr">
        <is>
          <t>Palestino</t>
        </is>
      </c>
      <c r="AU180" s="24" t="inlineStr">
        <is>
          <t>Palestino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34d1568aad0ff11b5db35f118324684f93281e1c21fa7b80be7a4a4e2cb4bb03</t>
        </is>
      </c>
      <c r="BB180" s="24" t="inlineStr">
        <is>
          <t>poisson_dixon_coles</t>
        </is>
      </c>
      <c r="BC180" s="24" t="inlineStr">
        <is>
          <t>soccer-poisson-dc-v1</t>
        </is>
      </c>
      <c r="BD180" s="24" t="inlineStr">
        <is>
          <t>34d1568aad0ff11b5db35f118324684f93281e1c21fa7b80be7a4a4e2cb4bb03</t>
        </is>
      </c>
      <c r="BE180" s="24" t="inlineStr">
        <is>
          <t>soccer-poisson-dc-v1</t>
        </is>
      </c>
      <c r="BF180" s="24" t="inlineStr">
        <is>
          <t>1</t>
        </is>
      </c>
      <c r="BG180" s="24" t="inlineStr">
        <is>
          <t>34d1568aad0ff11b5db35f118324684f93281e1c21fa7b80be7a4a4e2cb4bb03</t>
        </is>
      </c>
      <c r="BH180" s="24" t="inlineStr">
        <is>
          <t>2026-08-01T20:14:43.888722Z</t>
        </is>
      </c>
      <c r="BI180" s="24" t="inlineStr">
        <is>
          <t>["same_event","same_team_same_day","same_league_same_day"]</t>
        </is>
      </c>
      <c r="BJ180" s="25" t="n"/>
      <c r="BK180" s="26" t="n">
        <v>186</v>
      </c>
      <c r="BL180" s="27" t="n">
        <v>2.86</v>
      </c>
      <c r="BM180" s="28" t="n">
        <v>0.34965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</row>
    <row r="181" ht="36" customHeight="1">
      <c r="A181" s="24" t="inlineStr">
        <is>
          <t>d5a1a0d79fb04e60</t>
        </is>
      </c>
      <c r="B181" s="24" t="inlineStr">
        <is>
          <t>2026-08-01T23:53:24.455746Z</t>
        </is>
      </c>
      <c r="C181" s="24" t="inlineStr">
        <is>
          <t>2026-08-02T00:30Z</t>
        </is>
      </c>
      <c r="D181" s="24" t="inlineStr">
        <is>
          <t>761704</t>
        </is>
      </c>
      <c r="E181" s="24" t="inlineStr">
        <is>
          <t>SOCCER</t>
        </is>
      </c>
      <c r="F181" s="24" t="inlineStr">
        <is>
          <t>Charlotte FC</t>
        </is>
      </c>
      <c r="G181" s="24" t="inlineStr">
        <is>
          <t>Chicago Fire FC</t>
        </is>
      </c>
      <c r="H181" s="24" t="inlineStr">
        <is>
          <t>total</t>
        </is>
      </c>
      <c r="I181" s="24" t="inlineStr">
        <is>
          <t>over</t>
        </is>
      </c>
      <c r="J181" s="25" t="n">
        <v>2.5</v>
      </c>
      <c r="K181" s="24" t="inlineStr">
        <is>
          <t>polymarket_us</t>
        </is>
      </c>
      <c r="L181" s="26" t="n">
        <v>-223</v>
      </c>
      <c r="M181" s="27" t="n">
        <v>1.44843</v>
      </c>
      <c r="N181" s="28" t="n">
        <v>0.690402</v>
      </c>
      <c r="O181" s="28" t="n">
        <v>0.676403</v>
      </c>
      <c r="P181" s="28" t="n">
        <v>0.04</v>
      </c>
      <c r="Q181" s="28" t="n">
        <v>-0.013999</v>
      </c>
      <c r="R181" s="26" t="n">
        <v>19</v>
      </c>
      <c r="S181" s="29" t="n">
        <v>2</v>
      </c>
      <c r="T181" s="24" t="inlineStr">
        <is>
          <t>soccer-poisson-dc-v1</t>
        </is>
      </c>
      <c r="U181" s="24" t="inlineStr">
        <is>
          <t>settled</t>
        </is>
      </c>
      <c r="V181" s="24" t="inlineStr">
        <is>
          <t>win</t>
        </is>
      </c>
      <c r="W181" s="26" t="n">
        <v>1</v>
      </c>
      <c r="X181" s="26" t="n">
        <v>2</v>
      </c>
      <c r="Y181" s="25" t="n"/>
      <c r="Z181" s="26" t="n"/>
      <c r="AA181" s="28" t="n"/>
      <c r="AB181" s="28" t="n"/>
      <c r="AC181" s="30" t="n">
        <v>0.8969</v>
      </c>
      <c r="AD181" s="24" t="inlineStr">
        <is>
          <t>2026-08-02T03:26:17.505871Z</t>
        </is>
      </c>
      <c r="AE181" s="31" t="inlineStr">
        <is>
          <t>Poisson-DC rates 2.21 (home) / 1.28 (away) from EWMA attack/defense strengths. Executable ask 0.6900 (tsc-mls-chi-clt-2026-08-01-2pt5).</t>
        </is>
      </c>
      <c r="AF181" s="31" t="inlineStr">
        <is>
          <t>Research-only soccer score model; draw-aware, but not yet locked-holdout qualified.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NO_CALL_MODEL_UNVALIDATED</t>
        </is>
      </c>
      <c r="AP181" s="24" t="inlineStr">
        <is>
          <t>Charlotte FC</t>
        </is>
      </c>
      <c r="AQ181" s="24" t="inlineStr">
        <is>
          <t>Charlotte FC</t>
        </is>
      </c>
      <c r="AR181" s="24" t="inlineStr">
        <is>
          <t>Charlotte FC</t>
        </is>
      </c>
      <c r="AS181" s="24" t="inlineStr">
        <is>
          <t>Chicago Fire FC</t>
        </is>
      </c>
      <c r="AT181" s="24" t="inlineStr">
        <is>
          <t>Chicago Fire FC</t>
        </is>
      </c>
      <c r="AU181" s="24" t="inlineStr">
        <is>
          <t>Chicago Fire FC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34d1568aad0ff11b5db35f118324684f93281e1c21fa7b80be7a4a4e2cb4bb03</t>
        </is>
      </c>
      <c r="BB181" s="24" t="inlineStr">
        <is>
          <t>poisson_dixon_coles</t>
        </is>
      </c>
      <c r="BC181" s="24" t="inlineStr">
        <is>
          <t>soccer-poisson-dc-v1</t>
        </is>
      </c>
      <c r="BD181" s="24" t="inlineStr">
        <is>
          <t>34d1568aad0ff11b5db35f118324684f93281e1c21fa7b80be7a4a4e2cb4bb03</t>
        </is>
      </c>
      <c r="BE181" s="24" t="inlineStr">
        <is>
          <t>soccer-poisson-dc-v1</t>
        </is>
      </c>
      <c r="BF181" s="24" t="inlineStr">
        <is>
          <t>1</t>
        </is>
      </c>
      <c r="BG181" s="24" t="inlineStr">
        <is>
          <t>34d1568aad0ff11b5db35f118324684f93281e1c21fa7b80be7a4a4e2cb4bb03</t>
        </is>
      </c>
      <c r="BH181" s="24" t="inlineStr">
        <is>
          <t>2026-08-01T23:52:03.726485Z</t>
        </is>
      </c>
      <c r="BI181" s="24" t="inlineStr">
        <is>
          <t>["same_event","same_team_same_day","same_league_same_day"]</t>
        </is>
      </c>
      <c r="BJ181" s="25" t="n">
        <v>2.5</v>
      </c>
      <c r="BK181" s="26" t="n">
        <v>-223</v>
      </c>
      <c r="BL181" s="27" t="n">
        <v>1.44843</v>
      </c>
      <c r="BM181" s="28" t="n">
        <v>0.690402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</row>
    <row r="182" ht="36" customHeight="1">
      <c r="A182" s="24" t="inlineStr">
        <is>
          <t>77cbdb972f24408c</t>
        </is>
      </c>
      <c r="B182" s="24" t="inlineStr">
        <is>
          <t>2026-08-01T23:53:24.455746Z</t>
        </is>
      </c>
      <c r="C182" s="24" t="inlineStr">
        <is>
          <t>2026-08-02T00:30Z</t>
        </is>
      </c>
      <c r="D182" s="24" t="inlineStr">
        <is>
          <t>761703</t>
        </is>
      </c>
      <c r="E182" s="24" t="inlineStr">
        <is>
          <t>SOCCER</t>
        </is>
      </c>
      <c r="F182" s="24" t="inlineStr">
        <is>
          <t>San Diego FC</t>
        </is>
      </c>
      <c r="G182" s="24" t="inlineStr">
        <is>
          <t>Minnesota United FC</t>
        </is>
      </c>
      <c r="H182" s="24" t="inlineStr">
        <is>
          <t>total</t>
        </is>
      </c>
      <c r="I182" s="24" t="inlineStr">
        <is>
          <t>over</t>
        </is>
      </c>
      <c r="J182" s="25" t="n">
        <v>2.5</v>
      </c>
      <c r="K182" s="24" t="inlineStr">
        <is>
          <t>polymarket_us</t>
        </is>
      </c>
      <c r="L182" s="26" t="n">
        <v>-170</v>
      </c>
      <c r="M182" s="27" t="n">
        <v>1.588235</v>
      </c>
      <c r="N182" s="28" t="n">
        <v>0.62963</v>
      </c>
      <c r="O182" s="28" t="n">
        <v>0.66611</v>
      </c>
      <c r="P182" s="28" t="n">
        <v>0.04</v>
      </c>
      <c r="Q182" s="28" t="n">
        <v>0.03648</v>
      </c>
      <c r="R182" s="26" t="n">
        <v>44</v>
      </c>
      <c r="S182" s="29" t="n">
        <v>1.75</v>
      </c>
      <c r="T182" s="24" t="inlineStr">
        <is>
          <t>soccer-poisson-dc-v1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1</v>
      </c>
      <c r="Y182" s="25" t="n"/>
      <c r="Z182" s="26" t="n"/>
      <c r="AA182" s="28" t="n"/>
      <c r="AB182" s="28" t="n"/>
      <c r="AC182" s="30" t="n">
        <v>-1.75</v>
      </c>
      <c r="AD182" s="24" t="inlineStr">
        <is>
          <t>2026-08-02T03:26:17.790482Z</t>
        </is>
      </c>
      <c r="AE182" s="31" t="inlineStr">
        <is>
          <t>Poisson-DC rates 1.78 (home) / 1.65 (away) from EWMA attack/defense strengths. Executable ask 0.6300 (tsc-mls-min-sdg-2026-08-01-2pt5).</t>
        </is>
      </c>
      <c r="AF182" s="31" t="inlineStr">
        <is>
          <t>Research-only soccer score model; draw-aware, but not yet locked-holdout qualified.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NO_CALL_MODEL_UNVALIDATED</t>
        </is>
      </c>
      <c r="AP182" s="24" t="inlineStr">
        <is>
          <t>San Diego FC</t>
        </is>
      </c>
      <c r="AQ182" s="24" t="inlineStr">
        <is>
          <t>San Diego FC</t>
        </is>
      </c>
      <c r="AR182" s="24" t="inlineStr">
        <is>
          <t>San Diego FC</t>
        </is>
      </c>
      <c r="AS182" s="24" t="inlineStr">
        <is>
          <t>Minnesota United FC</t>
        </is>
      </c>
      <c r="AT182" s="24" t="inlineStr">
        <is>
          <t>Minnesota United FC</t>
        </is>
      </c>
      <c r="AU182" s="24" t="inlineStr">
        <is>
          <t>Minnesota United FC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34d1568aad0ff11b5db35f118324684f93281e1c21fa7b80be7a4a4e2cb4bb03</t>
        </is>
      </c>
      <c r="BB182" s="24" t="inlineStr">
        <is>
          <t>poisson_dixon_coles</t>
        </is>
      </c>
      <c r="BC182" s="24" t="inlineStr">
        <is>
          <t>soccer-poisson-dc-v1</t>
        </is>
      </c>
      <c r="BD182" s="24" t="inlineStr">
        <is>
          <t>34d1568aad0ff11b5db35f118324684f93281e1c21fa7b80be7a4a4e2cb4bb03</t>
        </is>
      </c>
      <c r="BE182" s="24" t="inlineStr">
        <is>
          <t>soccer-poisson-dc-v1</t>
        </is>
      </c>
      <c r="BF182" s="24" t="inlineStr">
        <is>
          <t>1</t>
        </is>
      </c>
      <c r="BG182" s="24" t="inlineStr">
        <is>
          <t>34d1568aad0ff11b5db35f118324684f93281e1c21fa7b80be7a4a4e2cb4bb03</t>
        </is>
      </c>
      <c r="BH182" s="24" t="inlineStr">
        <is>
          <t>2026-08-01T23:52:06.222075Z</t>
        </is>
      </c>
      <c r="BI182" s="24" t="inlineStr">
        <is>
          <t>["same_event","same_team_same_day","same_league_same_day"]</t>
        </is>
      </c>
      <c r="BJ182" s="25" t="n">
        <v>2.5</v>
      </c>
      <c r="BK182" s="26" t="n">
        <v>-170</v>
      </c>
      <c r="BL182" s="27" t="n">
        <v>1.588235</v>
      </c>
      <c r="BM182" s="28" t="n">
        <v>0.62963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</row>
    <row r="183" ht="36" customHeight="1">
      <c r="A183" s="24" t="inlineStr">
        <is>
          <t>6fd0a3d28ba44e1a</t>
        </is>
      </c>
      <c r="B183" s="24" t="inlineStr">
        <is>
          <t>2026-08-01T23:53:24.455746Z</t>
        </is>
      </c>
      <c r="C183" s="24" t="inlineStr">
        <is>
          <t>2026-08-02T00:30Z</t>
        </is>
      </c>
      <c r="D183" s="24" t="inlineStr">
        <is>
          <t>761706</t>
        </is>
      </c>
      <c r="E183" s="24" t="inlineStr">
        <is>
          <t>SOCCER</t>
        </is>
      </c>
      <c r="F183" s="24" t="inlineStr">
        <is>
          <t>Houston Dynamo FC</t>
        </is>
      </c>
      <c r="G183" s="24" t="inlineStr">
        <is>
          <t>Sporting Kansas City</t>
        </is>
      </c>
      <c r="H183" s="24" t="inlineStr">
        <is>
          <t>total</t>
        </is>
      </c>
      <c r="I183" s="24" t="inlineStr">
        <is>
          <t>over</t>
        </is>
      </c>
      <c r="J183" s="25" t="n">
        <v>2.5</v>
      </c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0.651724</v>
      </c>
      <c r="P183" s="28" t="n">
        <v>0.04</v>
      </c>
      <c r="Q183" s="28" t="n">
        <v>0.06156</v>
      </c>
      <c r="R183" s="26" t="n">
        <v>57</v>
      </c>
      <c r="S183" s="29" t="n">
        <v>1.75</v>
      </c>
      <c r="T183" s="24" t="inlineStr">
        <is>
          <t>soccer-poisson-dc-v1</t>
        </is>
      </c>
      <c r="U183" s="24" t="inlineStr">
        <is>
          <t>settled</t>
        </is>
      </c>
      <c r="V183" s="24" t="inlineStr">
        <is>
          <t>loss</t>
        </is>
      </c>
      <c r="W183" s="26" t="n">
        <v>2</v>
      </c>
      <c r="X183" s="26" t="n">
        <v>0</v>
      </c>
      <c r="Y183" s="25" t="n"/>
      <c r="Z183" s="26" t="n"/>
      <c r="AA183" s="28" t="n"/>
      <c r="AB183" s="28" t="n"/>
      <c r="AC183" s="30" t="n">
        <v>-1.75</v>
      </c>
      <c r="AD183" s="24" t="inlineStr">
        <is>
          <t>2026-08-02T03:26:18.086130Z</t>
        </is>
      </c>
      <c r="AE183" s="31" t="inlineStr">
        <is>
          <t>Poisson-DC rates 1.49 (home) / 1.87 (away) from EWMA attack/defense strengths. Executable ask 0.5900 (tsc-mls-skc-hou-2026-08-01-2pt5).</t>
        </is>
      </c>
      <c r="AF183" s="31" t="inlineStr">
        <is>
          <t>Research-only soccer score model; draw-aware, but not yet locked-holdout qualified.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NO_CALL_MODEL_UNVALIDATED</t>
        </is>
      </c>
      <c r="AP183" s="24" t="inlineStr">
        <is>
          <t>Houston Dynamo FC</t>
        </is>
      </c>
      <c r="AQ183" s="24" t="inlineStr">
        <is>
          <t>Houston Dynamo FC</t>
        </is>
      </c>
      <c r="AR183" s="24" t="inlineStr">
        <is>
          <t>Houston Dynamo FC</t>
        </is>
      </c>
      <c r="AS183" s="24" t="inlineStr">
        <is>
          <t>Sporting Kansas City</t>
        </is>
      </c>
      <c r="AT183" s="24" t="inlineStr">
        <is>
          <t>Sporting Kansas City</t>
        </is>
      </c>
      <c r="AU183" s="24" t="inlineStr">
        <is>
          <t>Sporting Kansas City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34d1568aad0ff11b5db35f118324684f93281e1c21fa7b80be7a4a4e2cb4bb03</t>
        </is>
      </c>
      <c r="BB183" s="24" t="inlineStr">
        <is>
          <t>poisson_dixon_coles</t>
        </is>
      </c>
      <c r="BC183" s="24" t="inlineStr">
        <is>
          <t>soccer-poisson-dc-v1</t>
        </is>
      </c>
      <c r="BD183" s="24" t="inlineStr">
        <is>
          <t>34d1568aad0ff11b5db35f118324684f93281e1c21fa7b80be7a4a4e2cb4bb03</t>
        </is>
      </c>
      <c r="BE183" s="24" t="inlineStr">
        <is>
          <t>soccer-poisson-dc-v1</t>
        </is>
      </c>
      <c r="BF183" s="24" t="inlineStr">
        <is>
          <t>1</t>
        </is>
      </c>
      <c r="BG183" s="24" t="inlineStr">
        <is>
          <t>34d1568aad0ff11b5db35f118324684f93281e1c21fa7b80be7a4a4e2cb4bb03</t>
        </is>
      </c>
      <c r="BH183" s="24" t="inlineStr">
        <is>
          <t>2026-08-01T23:52:07.836349Z</t>
        </is>
      </c>
      <c r="BI183" s="24" t="inlineStr">
        <is>
          <t>["same_event","same_team_same_day","same_league_same_day"]</t>
        </is>
      </c>
      <c r="BJ183" s="25" t="n">
        <v>2.5</v>
      </c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</row>
    <row r="184" ht="36" customHeight="1">
      <c r="A184" s="24" t="inlineStr">
        <is>
          <t>90c023aa72c64cfc</t>
        </is>
      </c>
      <c r="B184" s="24" t="inlineStr">
        <is>
          <t>2026-08-01T23:53:24.455746Z</t>
        </is>
      </c>
      <c r="C184" s="24" t="inlineStr">
        <is>
          <t>2026-08-02T00:30Z</t>
        </is>
      </c>
      <c r="D184" s="24" t="inlineStr">
        <is>
          <t>761705</t>
        </is>
      </c>
      <c r="E184" s="24" t="inlineStr">
        <is>
          <t>SOCCER</t>
        </is>
      </c>
      <c r="F184" s="24" t="inlineStr">
        <is>
          <t>Real Salt Lake</t>
        </is>
      </c>
      <c r="G184" s="24" t="inlineStr">
        <is>
          <t>St. Louis CITY SC</t>
        </is>
      </c>
      <c r="H184" s="24" t="inlineStr">
        <is>
          <t>total</t>
        </is>
      </c>
      <c r="I184" s="24" t="inlineStr">
        <is>
          <t>over</t>
        </is>
      </c>
      <c r="J184" s="25" t="n">
        <v>2.5</v>
      </c>
      <c r="K184" s="24" t="inlineStr">
        <is>
          <t>polymarket_us</t>
        </is>
      </c>
      <c r="L184" s="26" t="n">
        <v>-178</v>
      </c>
      <c r="M184" s="27" t="n">
        <v>1.561798</v>
      </c>
      <c r="N184" s="28" t="n">
        <v>0.640288</v>
      </c>
      <c r="O184" s="28" t="n">
        <v>0.623765</v>
      </c>
      <c r="P184" s="28" t="n">
        <v>0.04</v>
      </c>
      <c r="Q184" s="28" t="n">
        <v>-0.016523</v>
      </c>
      <c r="R184" s="26" t="n">
        <v>18</v>
      </c>
      <c r="S184" s="29" t="n">
        <v>1.5</v>
      </c>
      <c r="T184" s="24" t="inlineStr">
        <is>
          <t>soccer-poisson-dc-v1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1</v>
      </c>
      <c r="Y184" s="25" t="n"/>
      <c r="Z184" s="26" t="n"/>
      <c r="AA184" s="28" t="n"/>
      <c r="AB184" s="28" t="n"/>
      <c r="AC184" s="30" t="n">
        <v>-1.5</v>
      </c>
      <c r="AD184" s="24" t="inlineStr">
        <is>
          <t>2026-08-02T03:26:18.397668Z</t>
        </is>
      </c>
      <c r="AE184" s="31" t="inlineStr">
        <is>
          <t>Poisson-DC rates 1.71 (home) / 1.51 (away) from EWMA attack/defense strengths. Executable ask 0.6400 (tsc-mls-stl-rsl-2026-08-01-2pt5).</t>
        </is>
      </c>
      <c r="AF184" s="31" t="inlineStr">
        <is>
          <t>Research-only soccer score model; draw-aware, but not yet locked-holdout qualified.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NO_CALL_MODEL_UNVALIDATED</t>
        </is>
      </c>
      <c r="AP184" s="24" t="inlineStr">
        <is>
          <t>Real Salt Lake</t>
        </is>
      </c>
      <c r="AQ184" s="24" t="inlineStr">
        <is>
          <t>Real Salt Lake</t>
        </is>
      </c>
      <c r="AR184" s="24" t="inlineStr">
        <is>
          <t>Real Salt Lake</t>
        </is>
      </c>
      <c r="AS184" s="24" t="inlineStr">
        <is>
          <t>St. Louis CITY SC</t>
        </is>
      </c>
      <c r="AT184" s="24" t="inlineStr">
        <is>
          <t>St. Louis CITY SC</t>
        </is>
      </c>
      <c r="AU184" s="24" t="inlineStr">
        <is>
          <t>St. Louis CITY SC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34d1568aad0ff11b5db35f118324684f93281e1c21fa7b80be7a4a4e2cb4bb03</t>
        </is>
      </c>
      <c r="BB184" s="24" t="inlineStr">
        <is>
          <t>poisson_dixon_coles</t>
        </is>
      </c>
      <c r="BC184" s="24" t="inlineStr">
        <is>
          <t>soccer-poisson-dc-v1</t>
        </is>
      </c>
      <c r="BD184" s="24" t="inlineStr">
        <is>
          <t>34d1568aad0ff11b5db35f118324684f93281e1c21fa7b80be7a4a4e2cb4bb03</t>
        </is>
      </c>
      <c r="BE184" s="24" t="inlineStr">
        <is>
          <t>soccer-poisson-dc-v1</t>
        </is>
      </c>
      <c r="BF184" s="24" t="inlineStr">
        <is>
          <t>1</t>
        </is>
      </c>
      <c r="BG184" s="24" t="inlineStr">
        <is>
          <t>34d1568aad0ff11b5db35f118324684f93281e1c21fa7b80be7a4a4e2cb4bb03</t>
        </is>
      </c>
      <c r="BH184" s="24" t="inlineStr">
        <is>
          <t>2026-08-01T23:52:08.422932Z</t>
        </is>
      </c>
      <c r="BI184" s="24" t="inlineStr">
        <is>
          <t>["same_event","same_team_same_day","same_league_same_day"]</t>
        </is>
      </c>
      <c r="BJ184" s="25" t="n">
        <v>2.5</v>
      </c>
      <c r="BK184" s="26" t="n">
        <v>-178</v>
      </c>
      <c r="BL184" s="27" t="n">
        <v>1.561798</v>
      </c>
      <c r="BM184" s="28" t="n">
        <v>0.640288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</row>
    <row r="185" ht="36" customHeight="1">
      <c r="A185" s="24" t="inlineStr">
        <is>
          <t>0d3ad5512fa74cd7</t>
        </is>
      </c>
      <c r="B185" s="24" t="inlineStr">
        <is>
          <t>2026-08-01T23:53:24.455746Z</t>
        </is>
      </c>
      <c r="C185" s="24" t="inlineStr">
        <is>
          <t>2026-08-02T01:30Z</t>
        </is>
      </c>
      <c r="D185" s="24" t="inlineStr">
        <is>
          <t>761707</t>
        </is>
      </c>
      <c r="E185" s="24" t="inlineStr">
        <is>
          <t>SOCCER</t>
        </is>
      </c>
      <c r="F185" s="24" t="inlineStr">
        <is>
          <t>Austin FC</t>
        </is>
      </c>
      <c r="G185" s="24" t="inlineStr">
        <is>
          <t>Colorado Rapids</t>
        </is>
      </c>
      <c r="H185" s="24" t="inlineStr">
        <is>
          <t>total</t>
        </is>
      </c>
      <c r="I185" s="24" t="inlineStr">
        <is>
          <t>over</t>
        </is>
      </c>
      <c r="J185" s="25" t="n">
        <v>2.5</v>
      </c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0.683176</v>
      </c>
      <c r="P185" s="28" t="n">
        <v>0.04</v>
      </c>
      <c r="Q185" s="28" t="n">
        <v>0.103344</v>
      </c>
      <c r="R185" s="26" t="n">
        <v>78</v>
      </c>
      <c r="S185" s="29" t="n">
        <v>2</v>
      </c>
      <c r="T185" s="24" t="inlineStr">
        <is>
          <t>soccer-poisson-dc-v1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1</v>
      </c>
      <c r="Y185" s="25" t="n"/>
      <c r="Z185" s="26" t="n"/>
      <c r="AA185" s="28" t="n"/>
      <c r="AB185" s="28" t="n"/>
      <c r="AC185" s="30" t="n">
        <v>-2</v>
      </c>
      <c r="AD185" s="24" t="inlineStr">
        <is>
          <t>2026-08-02T04:26:21.660283Z</t>
        </is>
      </c>
      <c r="AE185" s="31" t="inlineStr">
        <is>
          <t>Poisson-DC rates 2.28 (home) / 1.24 (away) from EWMA attack/defense strengths. Executable ask 0.5800 (tsc-mls-col-aus-2026-08-01-2pt5).</t>
        </is>
      </c>
      <c r="AF185" s="31" t="inlineStr">
        <is>
          <t>Research-only soccer score model; draw-aware, but not yet locked-holdout qualified.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NO_CALL_MODEL_UNVALIDATED</t>
        </is>
      </c>
      <c r="AP185" s="24" t="inlineStr">
        <is>
          <t>Austin FC</t>
        </is>
      </c>
      <c r="AQ185" s="24" t="inlineStr">
        <is>
          <t>Austin FC</t>
        </is>
      </c>
      <c r="AR185" s="24" t="inlineStr">
        <is>
          <t>Austin FC</t>
        </is>
      </c>
      <c r="AS185" s="24" t="inlineStr">
        <is>
          <t>Colorado Rapids</t>
        </is>
      </c>
      <c r="AT185" s="24" t="inlineStr">
        <is>
          <t>Colorado Rapids</t>
        </is>
      </c>
      <c r="AU185" s="24" t="inlineStr">
        <is>
          <t>Colorado Rapids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34d1568aad0ff11b5db35f118324684f93281e1c21fa7b80be7a4a4e2cb4bb03</t>
        </is>
      </c>
      <c r="BB185" s="24" t="inlineStr">
        <is>
          <t>poisson_dixon_coles</t>
        </is>
      </c>
      <c r="BC185" s="24" t="inlineStr">
        <is>
          <t>soccer-poisson-dc-v1</t>
        </is>
      </c>
      <c r="BD185" s="24" t="inlineStr">
        <is>
          <t>34d1568aad0ff11b5db35f118324684f93281e1c21fa7b80be7a4a4e2cb4bb03</t>
        </is>
      </c>
      <c r="BE185" s="24" t="inlineStr">
        <is>
          <t>soccer-poisson-dc-v1</t>
        </is>
      </c>
      <c r="BF185" s="24" t="inlineStr">
        <is>
          <t>1</t>
        </is>
      </c>
      <c r="BG185" s="24" t="inlineStr">
        <is>
          <t>34d1568aad0ff11b5db35f118324684f93281e1c21fa7b80be7a4a4e2cb4bb03</t>
        </is>
      </c>
      <c r="BH185" s="24" t="inlineStr">
        <is>
          <t>2026-08-01T23:52:11.070621Z</t>
        </is>
      </c>
      <c r="BI185" s="24" t="inlineStr">
        <is>
          <t>["same_event","same_team_same_day","same_league_same_day"]</t>
        </is>
      </c>
      <c r="BJ185" s="25" t="n">
        <v>2.5</v>
      </c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</row>
    <row r="186" ht="36" customHeight="1">
      <c r="A186" s="24" t="inlineStr">
        <is>
          <t>bc1b966bcbff4244</t>
        </is>
      </c>
      <c r="B186" s="24" t="inlineStr">
        <is>
          <t>2026-08-01T23:53:24.455746Z</t>
        </is>
      </c>
      <c r="C186" s="24" t="inlineStr">
        <is>
          <t>2026-08-02T02:30Z</t>
        </is>
      </c>
      <c r="D186" s="24" t="inlineStr">
        <is>
          <t>761709</t>
        </is>
      </c>
      <c r="E186" s="24" t="inlineStr">
        <is>
          <t>SOCCER</t>
        </is>
      </c>
      <c r="F186" s="24" t="inlineStr">
        <is>
          <t>FC Dallas</t>
        </is>
      </c>
      <c r="G186" s="24" t="inlineStr">
        <is>
          <t>LA Galaxy</t>
        </is>
      </c>
      <c r="H186" s="24" t="inlineStr">
        <is>
          <t>total</t>
        </is>
      </c>
      <c r="I186" s="24" t="inlineStr">
        <is>
          <t>over</t>
        </is>
      </c>
      <c r="J186" s="25" t="n">
        <v>2.5</v>
      </c>
      <c r="K186" s="24" t="inlineStr">
        <is>
          <t>polymarket_us</t>
        </is>
      </c>
      <c r="L186" s="26" t="n">
        <v>-178</v>
      </c>
      <c r="M186" s="27" t="n">
        <v>1.561798</v>
      </c>
      <c r="N186" s="28" t="n">
        <v>0.640288</v>
      </c>
      <c r="O186" s="28" t="n">
        <v>0.6876370000000001</v>
      </c>
      <c r="P186" s="28" t="n">
        <v>0.04</v>
      </c>
      <c r="Q186" s="28" t="n">
        <v>0.047349</v>
      </c>
      <c r="R186" s="26" t="n">
        <v>50</v>
      </c>
      <c r="S186" s="29" t="n">
        <v>2</v>
      </c>
      <c r="T186" s="24" t="inlineStr">
        <is>
          <t>soccer-poisson-dc-v1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0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2026-08-02T05:39:24.511943Z</t>
        </is>
      </c>
      <c r="AE186" s="31" t="inlineStr">
        <is>
          <t>Poisson-DC rates 1.76 (home) / 1.79 (away) from EWMA attack/defense strengths. Executable ask 0.6400 (tsc-mls-lag-dal-2026-08-01-2pt5).</t>
        </is>
      </c>
      <c r="AF186" s="31" t="inlineStr">
        <is>
          <t>Research-only soccer score model; draw-aware, but not yet locked-holdout qualified.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NO_CALL_MODEL_UNVALIDATED</t>
        </is>
      </c>
      <c r="AP186" s="24" t="inlineStr">
        <is>
          <t>FC Dallas</t>
        </is>
      </c>
      <c r="AQ186" s="24" t="inlineStr">
        <is>
          <t>FC Dallas</t>
        </is>
      </c>
      <c r="AR186" s="24" t="inlineStr">
        <is>
          <t>FC Dallas</t>
        </is>
      </c>
      <c r="AS186" s="24" t="inlineStr">
        <is>
          <t>LA Galaxy</t>
        </is>
      </c>
      <c r="AT186" s="24" t="inlineStr">
        <is>
          <t>LA Galaxy</t>
        </is>
      </c>
      <c r="AU186" s="24" t="inlineStr">
        <is>
          <t>LA Galaxy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34d1568aad0ff11b5db35f118324684f93281e1c21fa7b80be7a4a4e2cb4bb03</t>
        </is>
      </c>
      <c r="BB186" s="24" t="inlineStr">
        <is>
          <t>poisson_dixon_coles</t>
        </is>
      </c>
      <c r="BC186" s="24" t="inlineStr">
        <is>
          <t>soccer-poisson-dc-v1</t>
        </is>
      </c>
      <c r="BD186" s="24" t="inlineStr">
        <is>
          <t>34d1568aad0ff11b5db35f118324684f93281e1c21fa7b80be7a4a4e2cb4bb03</t>
        </is>
      </c>
      <c r="BE186" s="24" t="inlineStr">
        <is>
          <t>soccer-poisson-dc-v1</t>
        </is>
      </c>
      <c r="BF186" s="24" t="inlineStr">
        <is>
          <t>1</t>
        </is>
      </c>
      <c r="BG186" s="24" t="inlineStr">
        <is>
          <t>34d1568aad0ff11b5db35f118324684f93281e1c21fa7b80be7a4a4e2cb4bb03</t>
        </is>
      </c>
      <c r="BH186" s="24" t="inlineStr">
        <is>
          <t>2026-08-01T23:52:12.107324Z</t>
        </is>
      </c>
      <c r="BI186" s="24" t="inlineStr">
        <is>
          <t>["same_event","same_team_same_day","same_league_same_day"]</t>
        </is>
      </c>
      <c r="BJ186" s="25" t="n">
        <v>2.5</v>
      </c>
      <c r="BK186" s="26" t="n">
        <v>-178</v>
      </c>
      <c r="BL186" s="27" t="n">
        <v>1.561798</v>
      </c>
      <c r="BM186" s="28" t="n">
        <v>0.640288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</row>
    <row r="187" ht="36" customHeight="1">
      <c r="A187" s="24" t="inlineStr">
        <is>
          <t>22fbb5383a354f59</t>
        </is>
      </c>
      <c r="B187" s="24" t="inlineStr">
        <is>
          <t>2026-08-01T23:53:24.455746Z</t>
        </is>
      </c>
      <c r="C187" s="24" t="inlineStr">
        <is>
          <t>2026-08-02T02:45Z</t>
        </is>
      </c>
      <c r="D187" s="24" t="inlineStr">
        <is>
          <t>761708</t>
        </is>
      </c>
      <c r="E187" s="24" t="inlineStr">
        <is>
          <t>SOCCER</t>
        </is>
      </c>
      <c r="F187" s="24" t="inlineStr">
        <is>
          <t>Seattle Sounders FC</t>
        </is>
      </c>
      <c r="G187" s="24" t="inlineStr">
        <is>
          <t>Portland Timbers</t>
        </is>
      </c>
      <c r="H187" s="24" t="inlineStr">
        <is>
          <t>total</t>
        </is>
      </c>
      <c r="I187" s="24" t="inlineStr">
        <is>
          <t>over</t>
        </is>
      </c>
      <c r="J187" s="25" t="n">
        <v>2.5</v>
      </c>
      <c r="K187" s="24" t="inlineStr">
        <is>
          <t>polymarket_us</t>
        </is>
      </c>
      <c r="L187" s="26" t="n">
        <v>-203</v>
      </c>
      <c r="M187" s="27" t="n">
        <v>1.492611</v>
      </c>
      <c r="N187" s="28" t="n">
        <v>0.669967</v>
      </c>
      <c r="O187" s="28" t="n">
        <v>0.666723</v>
      </c>
      <c r="P187" s="28" t="n">
        <v>0.04</v>
      </c>
      <c r="Q187" s="28" t="n">
        <v>-0.003244</v>
      </c>
      <c r="R187" s="26" t="n">
        <v>24</v>
      </c>
      <c r="S187" s="29" t="n">
        <v>1.75</v>
      </c>
      <c r="T187" s="24" t="inlineStr">
        <is>
          <t>soccer-poisson-dc-v1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2</v>
      </c>
      <c r="Y187" s="25" t="n"/>
      <c r="Z187" s="26" t="n"/>
      <c r="AA187" s="28" t="n"/>
      <c r="AB187" s="28" t="n"/>
      <c r="AC187" s="30" t="n">
        <v>0.8621</v>
      </c>
      <c r="AD187" s="24" t="inlineStr">
        <is>
          <t>2026-08-02T05:39:25.044697Z</t>
        </is>
      </c>
      <c r="AE187" s="31" t="inlineStr">
        <is>
          <t>Poisson-DC rates 1.85 (home) / 1.59 (away) from EWMA attack/defense strengths. Executable ask 0.6700 (tsc-mls-por-sea-2026-08-01-2pt5).</t>
        </is>
      </c>
      <c r="AF187" s="31" t="inlineStr">
        <is>
          <t>Research-only soccer score model; draw-aware, but not yet locked-holdout qualified.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Seattle Sounders FC</t>
        </is>
      </c>
      <c r="AQ187" s="24" t="inlineStr">
        <is>
          <t>Seattle Sounders FC</t>
        </is>
      </c>
      <c r="AR187" s="24" t="inlineStr">
        <is>
          <t>Seattle Sounders FC</t>
        </is>
      </c>
      <c r="AS187" s="24" t="inlineStr">
        <is>
          <t>Portland Timbers</t>
        </is>
      </c>
      <c r="AT187" s="24" t="inlineStr">
        <is>
          <t>Portland Timbers</t>
        </is>
      </c>
      <c r="AU187" s="24" t="inlineStr">
        <is>
          <t>Portland Timbers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34d1568aad0ff11b5db35f118324684f93281e1c21fa7b80be7a4a4e2cb4bb03</t>
        </is>
      </c>
      <c r="BB187" s="24" t="inlineStr">
        <is>
          <t>poisson_dixon_coles</t>
        </is>
      </c>
      <c r="BC187" s="24" t="inlineStr">
        <is>
          <t>soccer-poisson-dc-v1</t>
        </is>
      </c>
      <c r="BD187" s="24" t="inlineStr">
        <is>
          <t>34d1568aad0ff11b5db35f118324684f93281e1c21fa7b80be7a4a4e2cb4bb03</t>
        </is>
      </c>
      <c r="BE187" s="24" t="inlineStr">
        <is>
          <t>soccer-poisson-dc-v1</t>
        </is>
      </c>
      <c r="BF187" s="24" t="inlineStr">
        <is>
          <t>1</t>
        </is>
      </c>
      <c r="BG187" s="24" t="inlineStr">
        <is>
          <t>34d1568aad0ff11b5db35f118324684f93281e1c21fa7b80be7a4a4e2cb4bb03</t>
        </is>
      </c>
      <c r="BH187" s="24" t="inlineStr">
        <is>
          <t>2026-08-01T23:52:13.426637Z</t>
        </is>
      </c>
      <c r="BI187" s="24" t="inlineStr">
        <is>
          <t>["same_event","same_team_same_day","same_league_same_day"]</t>
        </is>
      </c>
      <c r="BJ187" s="25" t="n">
        <v>2.5</v>
      </c>
      <c r="BK187" s="26" t="n">
        <v>-203</v>
      </c>
      <c r="BL187" s="27" t="n">
        <v>1.492611</v>
      </c>
      <c r="BM187" s="28" t="n">
        <v>0.669967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</row>
    <row r="188" ht="36" customHeight="1">
      <c r="A188" s="24" t="inlineStr">
        <is>
          <t>fc4e7c8832354064</t>
        </is>
      </c>
      <c r="B188" s="24" t="inlineStr">
        <is>
          <t>2026-08-01T23:53:24.455746Z</t>
        </is>
      </c>
      <c r="C188" s="24" t="inlineStr">
        <is>
          <t>2026-08-02T00:30Z</t>
        </is>
      </c>
      <c r="D188" s="24" t="inlineStr">
        <is>
          <t>761704</t>
        </is>
      </c>
      <c r="E188" s="24" t="inlineStr">
        <is>
          <t>SOCCER</t>
        </is>
      </c>
      <c r="F188" s="24" t="inlineStr">
        <is>
          <t>Charlotte FC</t>
        </is>
      </c>
      <c r="G188" s="24" t="inlineStr">
        <is>
          <t>Chicago Fire FC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-186</v>
      </c>
      <c r="M188" s="27" t="n">
        <v>1.537634</v>
      </c>
      <c r="N188" s="28" t="n">
        <v>0.65035</v>
      </c>
      <c r="O188" s="28" t="n">
        <v>0.576863</v>
      </c>
      <c r="P188" s="28" t="n">
        <v>0.04</v>
      </c>
      <c r="Q188" s="28" t="n">
        <v>-0.073487</v>
      </c>
      <c r="R188" s="26" t="n">
        <v>0</v>
      </c>
      <c r="S188" s="29" t="n">
        <v>1.25</v>
      </c>
      <c r="T188" s="24" t="inlineStr">
        <is>
          <t>soccer-poisson-dc-v1</t>
        </is>
      </c>
      <c r="U188" s="24" t="inlineStr">
        <is>
          <t>settled</t>
        </is>
      </c>
      <c r="V188" s="24" t="inlineStr">
        <is>
          <t>win</t>
        </is>
      </c>
      <c r="W188" s="26" t="n">
        <v>1</v>
      </c>
      <c r="X188" s="26" t="n">
        <v>2</v>
      </c>
      <c r="Y188" s="25" t="n"/>
      <c r="Z188" s="26" t="n"/>
      <c r="AA188" s="28" t="n"/>
      <c r="AB188" s="28" t="n"/>
      <c r="AC188" s="30" t="n">
        <v>0.672</v>
      </c>
      <c r="AD188" s="24" t="inlineStr">
        <is>
          <t>2026-08-02T03:26:18.789170Z</t>
        </is>
      </c>
      <c r="AE188" s="31" t="inlineStr">
        <is>
          <t>Poisson-DC rates 2.21 (home) / 1.28 (away) from EWMA attack/defense strengths. Executable ask 0.6500 (atc-mls-chi-clt-2026-08-01-chi).</t>
        </is>
      </c>
      <c r="AF188" s="31" t="inlineStr">
        <is>
          <t>Research-only soccer score model; draw-aware, but not yet locked-holdout qualified.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NO_CALL_MODEL_UNVALIDATED</t>
        </is>
      </c>
      <c r="AP188" s="24" t="inlineStr">
        <is>
          <t>Charlotte FC</t>
        </is>
      </c>
      <c r="AQ188" s="24" t="inlineStr">
        <is>
          <t>Charlotte FC</t>
        </is>
      </c>
      <c r="AR188" s="24" t="inlineStr">
        <is>
          <t>Charlotte FC</t>
        </is>
      </c>
      <c r="AS188" s="24" t="inlineStr">
        <is>
          <t>Chicago Fire FC</t>
        </is>
      </c>
      <c r="AT188" s="24" t="inlineStr">
        <is>
          <t>Chicago Fire FC</t>
        </is>
      </c>
      <c r="AU188" s="24" t="inlineStr">
        <is>
          <t>Chicago Fire FC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34d1568aad0ff11b5db35f118324684f93281e1c21fa7b80be7a4a4e2cb4bb03</t>
        </is>
      </c>
      <c r="BB188" s="24" t="inlineStr">
        <is>
          <t>poisson_dixon_coles</t>
        </is>
      </c>
      <c r="BC188" s="24" t="inlineStr">
        <is>
          <t>soccer-poisson-dc-v1</t>
        </is>
      </c>
      <c r="BD188" s="24" t="inlineStr">
        <is>
          <t>34d1568aad0ff11b5db35f118324684f93281e1c21fa7b80be7a4a4e2cb4bb03</t>
        </is>
      </c>
      <c r="BE188" s="24" t="inlineStr">
        <is>
          <t>soccer-poisson-dc-v1</t>
        </is>
      </c>
      <c r="BF188" s="24" t="inlineStr">
        <is>
          <t>1</t>
        </is>
      </c>
      <c r="BG188" s="24" t="inlineStr">
        <is>
          <t>34d1568aad0ff11b5db35f118324684f93281e1c21fa7b80be7a4a4e2cb4bb03</t>
        </is>
      </c>
      <c r="BH188" s="24" t="inlineStr">
        <is>
          <t>2026-08-01T23:52:03.002096Z</t>
        </is>
      </c>
      <c r="BI188" s="24" t="inlineStr">
        <is>
          <t>["same_event","same_team_same_day","same_league_same_day"]</t>
        </is>
      </c>
      <c r="BJ188" s="25" t="n"/>
      <c r="BK188" s="26" t="n">
        <v>-186</v>
      </c>
      <c r="BL188" s="27" t="n">
        <v>1.537634</v>
      </c>
      <c r="BM188" s="28" t="n">
        <v>0.65035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</row>
    <row r="189" ht="36" customHeight="1">
      <c r="A189" s="24" t="inlineStr">
        <is>
          <t>0c98127e634e4762</t>
        </is>
      </c>
      <c r="B189" s="24" t="inlineStr">
        <is>
          <t>2026-08-01T23:53:24.455746Z</t>
        </is>
      </c>
      <c r="C189" s="24" t="inlineStr">
        <is>
          <t>2026-08-02T00:30Z</t>
        </is>
      </c>
      <c r="D189" s="24" t="inlineStr">
        <is>
          <t>761703</t>
        </is>
      </c>
      <c r="E189" s="24" t="inlineStr">
        <is>
          <t>SOCCER</t>
        </is>
      </c>
      <c r="F189" s="24" t="inlineStr">
        <is>
          <t>San Diego FC</t>
        </is>
      </c>
      <c r="G189" s="24" t="inlineStr">
        <is>
          <t>Minnesota United FC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104</v>
      </c>
      <c r="M189" s="27" t="n">
        <v>2.04</v>
      </c>
      <c r="N189" s="28" t="n">
        <v>0.490196</v>
      </c>
      <c r="O189" s="28" t="n">
        <v>0.405166</v>
      </c>
      <c r="P189" s="28" t="n">
        <v>0.04</v>
      </c>
      <c r="Q189" s="28" t="n">
        <v>-0.08502999999999999</v>
      </c>
      <c r="R189" s="26" t="n">
        <v>0</v>
      </c>
      <c r="S189" s="29" t="n">
        <v>1.25</v>
      </c>
      <c r="T189" s="24" t="inlineStr">
        <is>
          <t>soccer-poisson-dc-v1</t>
        </is>
      </c>
      <c r="U189" s="24" t="inlineStr">
        <is>
          <t>settled</t>
        </is>
      </c>
      <c r="V189" s="24" t="inlineStr">
        <is>
          <t>push</t>
        </is>
      </c>
      <c r="W189" s="26" t="n">
        <v>1</v>
      </c>
      <c r="X189" s="26" t="n">
        <v>1</v>
      </c>
      <c r="Y189" s="25" t="n"/>
      <c r="Z189" s="26" t="n"/>
      <c r="AA189" s="28" t="n"/>
      <c r="AB189" s="28" t="n"/>
      <c r="AC189" s="30" t="n">
        <v>0</v>
      </c>
      <c r="AD189" s="24" t="inlineStr">
        <is>
          <t>2026-08-02T03:26:19.306168Z</t>
        </is>
      </c>
      <c r="AE189" s="31" t="inlineStr">
        <is>
          <t>Poisson-DC rates 1.78 (home) / 1.65 (away) from EWMA attack/defense strengths. Executable ask 0.4900 (atc-mls-min-sdg-2026-08-01-min).</t>
        </is>
      </c>
      <c r="AF189" s="31" t="inlineStr">
        <is>
          <t>Research-only soccer score model; draw-aware, but not yet locked-holdout qualified.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NO_CALL_MODEL_UNVALIDATED</t>
        </is>
      </c>
      <c r="AP189" s="24" t="inlineStr">
        <is>
          <t>San Diego FC</t>
        </is>
      </c>
      <c r="AQ189" s="24" t="inlineStr">
        <is>
          <t>San Diego FC</t>
        </is>
      </c>
      <c r="AR189" s="24" t="inlineStr">
        <is>
          <t>San Diego FC</t>
        </is>
      </c>
      <c r="AS189" s="24" t="inlineStr">
        <is>
          <t>Minnesota United FC</t>
        </is>
      </c>
      <c r="AT189" s="24" t="inlineStr">
        <is>
          <t>Minnesota United FC</t>
        </is>
      </c>
      <c r="AU189" s="24" t="inlineStr">
        <is>
          <t>Minnesota United FC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34d1568aad0ff11b5db35f118324684f93281e1c21fa7b80be7a4a4e2cb4bb03</t>
        </is>
      </c>
      <c r="BB189" s="24" t="inlineStr">
        <is>
          <t>poisson_dixon_coles</t>
        </is>
      </c>
      <c r="BC189" s="24" t="inlineStr">
        <is>
          <t>soccer-poisson-dc-v1</t>
        </is>
      </c>
      <c r="BD189" s="24" t="inlineStr">
        <is>
          <t>34d1568aad0ff11b5db35f118324684f93281e1c21fa7b80be7a4a4e2cb4bb03</t>
        </is>
      </c>
      <c r="BE189" s="24" t="inlineStr">
        <is>
          <t>soccer-poisson-dc-v1</t>
        </is>
      </c>
      <c r="BF189" s="24" t="inlineStr">
        <is>
          <t>1</t>
        </is>
      </c>
      <c r="BG189" s="24" t="inlineStr">
        <is>
          <t>34d1568aad0ff11b5db35f118324684f93281e1c21fa7b80be7a4a4e2cb4bb03</t>
        </is>
      </c>
      <c r="BH189" s="24" t="inlineStr">
        <is>
          <t>2026-08-01T23:52:04.626307Z</t>
        </is>
      </c>
      <c r="BI189" s="24" t="inlineStr">
        <is>
          <t>["same_event","same_team_same_day","same_league_same_day"]</t>
        </is>
      </c>
      <c r="BJ189" s="25" t="n"/>
      <c r="BK189" s="26" t="n">
        <v>104</v>
      </c>
      <c r="BL189" s="27" t="n">
        <v>2.04</v>
      </c>
      <c r="BM189" s="28" t="n">
        <v>0.490196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</row>
    <row r="190" ht="36" customHeight="1">
      <c r="A190" s="24" t="inlineStr">
        <is>
          <t>6faae02228ba477e</t>
        </is>
      </c>
      <c r="B190" s="24" t="inlineStr">
        <is>
          <t>2026-08-01T23:53:24.455746Z</t>
        </is>
      </c>
      <c r="C190" s="24" t="inlineStr">
        <is>
          <t>2026-08-02T00:30Z</t>
        </is>
      </c>
      <c r="D190" s="24" t="inlineStr">
        <is>
          <t>761706</t>
        </is>
      </c>
      <c r="E190" s="24" t="inlineStr">
        <is>
          <t>SOCCER</t>
        </is>
      </c>
      <c r="F190" s="24" t="inlineStr">
        <is>
          <t>Houston Dynamo FC</t>
        </is>
      </c>
      <c r="G190" s="24" t="inlineStr">
        <is>
          <t>Sporting Kansas City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117</v>
      </c>
      <c r="M190" s="27" t="n">
        <v>2.17</v>
      </c>
      <c r="N190" s="28" t="n">
        <v>0.460829</v>
      </c>
      <c r="O190" s="28" t="n">
        <v>0.458041</v>
      </c>
      <c r="P190" s="28" t="n">
        <v>0.04</v>
      </c>
      <c r="Q190" s="28" t="n">
        <v>-0.002788</v>
      </c>
      <c r="R190" s="26" t="n">
        <v>25</v>
      </c>
      <c r="S190" s="29" t="n">
        <v>1</v>
      </c>
      <c r="T190" s="24" t="inlineStr">
        <is>
          <t>soccer-poisson-dc-v1</t>
        </is>
      </c>
      <c r="U190" s="24" t="inlineStr">
        <is>
          <t>settled</t>
        </is>
      </c>
      <c r="V190" s="24" t="inlineStr">
        <is>
          <t>win</t>
        </is>
      </c>
      <c r="W190" s="26" t="n">
        <v>2</v>
      </c>
      <c r="X190" s="26" t="n">
        <v>0</v>
      </c>
      <c r="Y190" s="25" t="n"/>
      <c r="Z190" s="26" t="n"/>
      <c r="AA190" s="28" t="n"/>
      <c r="AB190" s="28" t="n"/>
      <c r="AC190" s="30" t="n">
        <v>1.17</v>
      </c>
      <c r="AD190" s="24" t="inlineStr">
        <is>
          <t>2026-08-02T03:26:19.661895Z</t>
        </is>
      </c>
      <c r="AE190" s="31" t="inlineStr">
        <is>
          <t>Poisson-DC rates 1.49 (home) / 1.87 (away) from EWMA attack/defense strengths. Executable ask 0.4600 (atc-mls-skc-hou-2026-08-01-hou).</t>
        </is>
      </c>
      <c r="AF190" s="31" t="inlineStr">
        <is>
          <t>Research-only soccer score model; draw-aware, but not yet locked-holdout qualified.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NO_CALL_MODEL_UNVALIDATED</t>
        </is>
      </c>
      <c r="AP190" s="24" t="inlineStr">
        <is>
          <t>Houston Dynamo FC</t>
        </is>
      </c>
      <c r="AQ190" s="24" t="inlineStr">
        <is>
          <t>Houston Dynamo FC</t>
        </is>
      </c>
      <c r="AR190" s="24" t="inlineStr">
        <is>
          <t>Houston Dynamo FC</t>
        </is>
      </c>
      <c r="AS190" s="24" t="inlineStr">
        <is>
          <t>Sporting Kansas City</t>
        </is>
      </c>
      <c r="AT190" s="24" t="inlineStr">
        <is>
          <t>Sporting Kansas City</t>
        </is>
      </c>
      <c r="AU190" s="24" t="inlineStr">
        <is>
          <t>Sporting Kansas City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34d1568aad0ff11b5db35f118324684f93281e1c21fa7b80be7a4a4e2cb4bb03</t>
        </is>
      </c>
      <c r="BB190" s="24" t="inlineStr">
        <is>
          <t>poisson_dixon_coles</t>
        </is>
      </c>
      <c r="BC190" s="24" t="inlineStr">
        <is>
          <t>soccer-poisson-dc-v1</t>
        </is>
      </c>
      <c r="BD190" s="24" t="inlineStr">
        <is>
          <t>34d1568aad0ff11b5db35f118324684f93281e1c21fa7b80be7a4a4e2cb4bb03</t>
        </is>
      </c>
      <c r="BE190" s="24" t="inlineStr">
        <is>
          <t>soccer-poisson-dc-v1</t>
        </is>
      </c>
      <c r="BF190" s="24" t="inlineStr">
        <is>
          <t>1</t>
        </is>
      </c>
      <c r="BG190" s="24" t="inlineStr">
        <is>
          <t>34d1568aad0ff11b5db35f118324684f93281e1c21fa7b80be7a4a4e2cb4bb03</t>
        </is>
      </c>
      <c r="BH190" s="24" t="inlineStr">
        <is>
          <t>2026-08-01T23:52:06.344991Z</t>
        </is>
      </c>
      <c r="BI190" s="24" t="inlineStr">
        <is>
          <t>["same_event","same_team_same_day","same_league_same_day"]</t>
        </is>
      </c>
      <c r="BJ190" s="25" t="n"/>
      <c r="BK190" s="26" t="n">
        <v>117</v>
      </c>
      <c r="BL190" s="27" t="n">
        <v>2.17</v>
      </c>
      <c r="BM190" s="28" t="n">
        <v>0.460829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</row>
    <row r="191" ht="36" customHeight="1">
      <c r="A191" s="24" t="inlineStr">
        <is>
          <t>cc6b8b218f134422</t>
        </is>
      </c>
      <c r="B191" s="24" t="inlineStr">
        <is>
          <t>2026-08-01T23:53:24.455746Z</t>
        </is>
      </c>
      <c r="C191" s="24" t="inlineStr">
        <is>
          <t>2026-08-02T00:30Z</t>
        </is>
      </c>
      <c r="D191" s="24" t="inlineStr">
        <is>
          <t>761705</t>
        </is>
      </c>
      <c r="E191" s="24" t="inlineStr">
        <is>
          <t>SOCCER</t>
        </is>
      </c>
      <c r="F191" s="24" t="inlineStr">
        <is>
          <t>Real Salt Lake</t>
        </is>
      </c>
      <c r="G191" s="24" t="inlineStr">
        <is>
          <t>St. Louis CITY SC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100</v>
      </c>
      <c r="M191" s="27" t="n">
        <v>2</v>
      </c>
      <c r="N191" s="28" t="n">
        <v>0.5</v>
      </c>
      <c r="O191" s="28" t="n">
        <v>0.416937</v>
      </c>
      <c r="P191" s="28" t="n">
        <v>0.04</v>
      </c>
      <c r="Q191" s="28" t="n">
        <v>-0.083063</v>
      </c>
      <c r="R191" s="26" t="n">
        <v>0</v>
      </c>
      <c r="S191" s="29" t="n">
        <v>1.25</v>
      </c>
      <c r="T191" s="24" t="inlineStr">
        <is>
          <t>soccer-poisson-dc-v1</t>
        </is>
      </c>
      <c r="U191" s="24" t="inlineStr">
        <is>
          <t>settled</t>
        </is>
      </c>
      <c r="V191" s="24" t="inlineStr">
        <is>
          <t>push</t>
        </is>
      </c>
      <c r="W191" s="26" t="n">
        <v>1</v>
      </c>
      <c r="X191" s="26" t="n">
        <v>1</v>
      </c>
      <c r="Y191" s="25" t="n"/>
      <c r="Z191" s="26" t="n"/>
      <c r="AA191" s="28" t="n"/>
      <c r="AB191" s="28" t="n"/>
      <c r="AC191" s="30" t="n">
        <v>0</v>
      </c>
      <c r="AD191" s="24" t="inlineStr">
        <is>
          <t>2026-08-02T03:26:20.027864Z</t>
        </is>
      </c>
      <c r="AE191" s="31" t="inlineStr">
        <is>
          <t>Poisson-DC rates 1.71 (home) / 1.51 (away) from EWMA attack/defense strengths. Executable ask 0.5000 (atc-mls-stl-rsl-2026-08-01-stl).</t>
        </is>
      </c>
      <c r="AF191" s="31" t="inlineStr">
        <is>
          <t>Research-only soccer score model; draw-aware, but not yet locked-holdout qualified.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NO_CALL_MODEL_UNVALIDATED</t>
        </is>
      </c>
      <c r="AP191" s="24" t="inlineStr">
        <is>
          <t>Real Salt Lake</t>
        </is>
      </c>
      <c r="AQ191" s="24" t="inlineStr">
        <is>
          <t>Real Salt Lake</t>
        </is>
      </c>
      <c r="AR191" s="24" t="inlineStr">
        <is>
          <t>Real Salt Lake</t>
        </is>
      </c>
      <c r="AS191" s="24" t="inlineStr">
        <is>
          <t>St. Louis CITY SC</t>
        </is>
      </c>
      <c r="AT191" s="24" t="inlineStr">
        <is>
          <t>St. Louis CITY SC</t>
        </is>
      </c>
      <c r="AU191" s="24" t="inlineStr">
        <is>
          <t>St. Louis CITY SC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34d1568aad0ff11b5db35f118324684f93281e1c21fa7b80be7a4a4e2cb4bb03</t>
        </is>
      </c>
      <c r="BB191" s="24" t="inlineStr">
        <is>
          <t>poisson_dixon_coles</t>
        </is>
      </c>
      <c r="BC191" s="24" t="inlineStr">
        <is>
          <t>soccer-poisson-dc-v1</t>
        </is>
      </c>
      <c r="BD191" s="24" t="inlineStr">
        <is>
          <t>34d1568aad0ff11b5db35f118324684f93281e1c21fa7b80be7a4a4e2cb4bb03</t>
        </is>
      </c>
      <c r="BE191" s="24" t="inlineStr">
        <is>
          <t>soccer-poisson-dc-v1</t>
        </is>
      </c>
      <c r="BF191" s="24" t="inlineStr">
        <is>
          <t>1</t>
        </is>
      </c>
      <c r="BG191" s="24" t="inlineStr">
        <is>
          <t>34d1568aad0ff11b5db35f118324684f93281e1c21fa7b80be7a4a4e2cb4bb03</t>
        </is>
      </c>
      <c r="BH191" s="24" t="inlineStr">
        <is>
          <t>2026-08-01T23:52:07.835197Z</t>
        </is>
      </c>
      <c r="BI191" s="24" t="inlineStr">
        <is>
          <t>["same_event","same_team_same_day","same_league_same_day"]</t>
        </is>
      </c>
      <c r="BJ191" s="25" t="n"/>
      <c r="BK191" s="26" t="n">
        <v>100</v>
      </c>
      <c r="BL191" s="27" t="n">
        <v>2</v>
      </c>
      <c r="BM191" s="28" t="n">
        <v>0.5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</row>
    <row r="192" ht="36" customHeight="1">
      <c r="A192" s="24" t="inlineStr">
        <is>
          <t>22f0f340d5054823</t>
        </is>
      </c>
      <c r="B192" s="24" t="inlineStr">
        <is>
          <t>2026-08-01T23:53:24.455746Z</t>
        </is>
      </c>
      <c r="C192" s="24" t="inlineStr">
        <is>
          <t>2026-08-02T01:30Z</t>
        </is>
      </c>
      <c r="D192" s="24" t="inlineStr">
        <is>
          <t>761707</t>
        </is>
      </c>
      <c r="E192" s="24" t="inlineStr">
        <is>
          <t>SOCCER</t>
        </is>
      </c>
      <c r="F192" s="24" t="inlineStr">
        <is>
          <t>Austin FC</t>
        </is>
      </c>
      <c r="G192" s="24" t="inlineStr">
        <is>
          <t>Colorado Rapids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-127</v>
      </c>
      <c r="M192" s="27" t="n">
        <v>1.787402</v>
      </c>
      <c r="N192" s="28" t="n">
        <v>0.5594710000000001</v>
      </c>
      <c r="O192" s="28" t="n">
        <v>0.6000259999999999</v>
      </c>
      <c r="P192" s="28" t="n">
        <v>0.04</v>
      </c>
      <c r="Q192" s="28" t="n">
        <v>0.040555</v>
      </c>
      <c r="R192" s="26" t="n">
        <v>46</v>
      </c>
      <c r="S192" s="29" t="n">
        <v>1.5</v>
      </c>
      <c r="T192" s="24" t="inlineStr">
        <is>
          <t>soccer-poisson-dc-v1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1.1811</v>
      </c>
      <c r="AD192" s="24" t="inlineStr">
        <is>
          <t>2026-08-02T04:26:21.937064Z</t>
        </is>
      </c>
      <c r="AE192" s="31" t="inlineStr">
        <is>
          <t>Poisson-DC rates 2.28 (home) / 1.24 (away) from EWMA attack/defense strengths. Executable ask 0.5600 (atc-mls-col-aus-2026-08-01-col).</t>
        </is>
      </c>
      <c r="AF192" s="31" t="inlineStr">
        <is>
          <t>Research-only soccer score model; draw-aware, but not yet locked-holdout qualified.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NO_CALL_MODEL_UNVALIDATED</t>
        </is>
      </c>
      <c r="AP192" s="24" t="inlineStr">
        <is>
          <t>Austin FC</t>
        </is>
      </c>
      <c r="AQ192" s="24" t="inlineStr">
        <is>
          <t>Austin FC</t>
        </is>
      </c>
      <c r="AR192" s="24" t="inlineStr">
        <is>
          <t>Austin FC</t>
        </is>
      </c>
      <c r="AS192" s="24" t="inlineStr">
        <is>
          <t>Colorado Rapids</t>
        </is>
      </c>
      <c r="AT192" s="24" t="inlineStr">
        <is>
          <t>Colorado Rapids</t>
        </is>
      </c>
      <c r="AU192" s="24" t="inlineStr">
        <is>
          <t>Colorado Rapids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34d1568aad0ff11b5db35f118324684f93281e1c21fa7b80be7a4a4e2cb4bb03</t>
        </is>
      </c>
      <c r="BB192" s="24" t="inlineStr">
        <is>
          <t>poisson_dixon_coles</t>
        </is>
      </c>
      <c r="BC192" s="24" t="inlineStr">
        <is>
          <t>soccer-poisson-dc-v1</t>
        </is>
      </c>
      <c r="BD192" s="24" t="inlineStr">
        <is>
          <t>34d1568aad0ff11b5db35f118324684f93281e1c21fa7b80be7a4a4e2cb4bb03</t>
        </is>
      </c>
      <c r="BE192" s="24" t="inlineStr">
        <is>
          <t>soccer-poisson-dc-v1</t>
        </is>
      </c>
      <c r="BF192" s="24" t="inlineStr">
        <is>
          <t>1</t>
        </is>
      </c>
      <c r="BG192" s="24" t="inlineStr">
        <is>
          <t>34d1568aad0ff11b5db35f118324684f93281e1c21fa7b80be7a4a4e2cb4bb03</t>
        </is>
      </c>
      <c r="BH192" s="24" t="inlineStr">
        <is>
          <t>2026-08-01T23:52:09.543896Z</t>
        </is>
      </c>
      <c r="BI192" s="24" t="inlineStr">
        <is>
          <t>["same_event","same_team_same_day","same_league_same_day"]</t>
        </is>
      </c>
      <c r="BJ192" s="25" t="n"/>
      <c r="BK192" s="26" t="n">
        <v>-127</v>
      </c>
      <c r="BL192" s="27" t="n">
        <v>1.787402</v>
      </c>
      <c r="BM192" s="28" t="n">
        <v>0.5594710000000001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</row>
    <row r="193" ht="36" customHeight="1">
      <c r="A193" s="24" t="inlineStr">
        <is>
          <t>17c41ca1fdf74770</t>
        </is>
      </c>
      <c r="B193" s="24" t="inlineStr">
        <is>
          <t>2026-08-01T23:53:24.455746Z</t>
        </is>
      </c>
      <c r="C193" s="24" t="inlineStr">
        <is>
          <t>2026-08-02T02:30Z</t>
        </is>
      </c>
      <c r="D193" s="24" t="inlineStr">
        <is>
          <t>761709</t>
        </is>
      </c>
      <c r="E193" s="24" t="inlineStr">
        <is>
          <t>SOCCER</t>
        </is>
      </c>
      <c r="F193" s="24" t="inlineStr">
        <is>
          <t>FC Dallas</t>
        </is>
      </c>
      <c r="G193" s="24" t="inlineStr">
        <is>
          <t>LA Galaxy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186</v>
      </c>
      <c r="M193" s="27" t="n">
        <v>2.86</v>
      </c>
      <c r="N193" s="28" t="n">
        <v>0.34965</v>
      </c>
      <c r="O193" s="28" t="n">
        <v>0.38746</v>
      </c>
      <c r="P193" s="28" t="n">
        <v>0.04</v>
      </c>
      <c r="Q193" s="28" t="n">
        <v>0.03781</v>
      </c>
      <c r="R193" s="26" t="n">
        <v>45</v>
      </c>
      <c r="S193" s="29" t="n">
        <v>1.5</v>
      </c>
      <c r="T193" s="24" t="inlineStr">
        <is>
          <t>soccer-poisson-dc-v1</t>
        </is>
      </c>
      <c r="U193" s="24" t="inlineStr">
        <is>
          <t>settled</t>
        </is>
      </c>
      <c r="V193" s="24" t="inlineStr">
        <is>
          <t>push</t>
        </is>
      </c>
      <c r="W193" s="26" t="n">
        <v>0</v>
      </c>
      <c r="X193" s="26" t="n">
        <v>0</v>
      </c>
      <c r="Y193" s="25" t="n"/>
      <c r="Z193" s="26" t="n"/>
      <c r="AA193" s="28" t="n"/>
      <c r="AB193" s="28" t="n"/>
      <c r="AC193" s="30" t="n">
        <v>0</v>
      </c>
      <c r="AD193" s="24" t="inlineStr">
        <is>
          <t>2026-08-02T05:39:25.608387Z</t>
        </is>
      </c>
      <c r="AE193" s="31" t="inlineStr">
        <is>
          <t>Poisson-DC rates 1.76 (home) / 1.79 (away) from EWMA attack/defense strengths. Executable ask 0.3500 (atc-mls-lag-dal-2026-08-01-dal).</t>
        </is>
      </c>
      <c r="AF193" s="31" t="inlineStr">
        <is>
          <t>Research-only soccer score model; draw-aware, but not yet locked-holdout qualified.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NO_CALL_MODEL_UNVALIDATED</t>
        </is>
      </c>
      <c r="AP193" s="24" t="inlineStr">
        <is>
          <t>FC Dallas</t>
        </is>
      </c>
      <c r="AQ193" s="24" t="inlineStr">
        <is>
          <t>FC Dallas</t>
        </is>
      </c>
      <c r="AR193" s="24" t="inlineStr">
        <is>
          <t>FC Dallas</t>
        </is>
      </c>
      <c r="AS193" s="24" t="inlineStr">
        <is>
          <t>LA Galaxy</t>
        </is>
      </c>
      <c r="AT193" s="24" t="inlineStr">
        <is>
          <t>LA Galaxy</t>
        </is>
      </c>
      <c r="AU193" s="24" t="inlineStr">
        <is>
          <t>LA Galaxy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34d1568aad0ff11b5db35f118324684f93281e1c21fa7b80be7a4a4e2cb4bb03</t>
        </is>
      </c>
      <c r="BB193" s="24" t="inlineStr">
        <is>
          <t>poisson_dixon_coles</t>
        </is>
      </c>
      <c r="BC193" s="24" t="inlineStr">
        <is>
          <t>soccer-poisson-dc-v1</t>
        </is>
      </c>
      <c r="BD193" s="24" t="inlineStr">
        <is>
          <t>34d1568aad0ff11b5db35f118324684f93281e1c21fa7b80be7a4a4e2cb4bb03</t>
        </is>
      </c>
      <c r="BE193" s="24" t="inlineStr">
        <is>
          <t>soccer-poisson-dc-v1</t>
        </is>
      </c>
      <c r="BF193" s="24" t="inlineStr">
        <is>
          <t>1</t>
        </is>
      </c>
      <c r="BG193" s="24" t="inlineStr">
        <is>
          <t>34d1568aad0ff11b5db35f118324684f93281e1c21fa7b80be7a4a4e2cb4bb03</t>
        </is>
      </c>
      <c r="BH193" s="24" t="inlineStr">
        <is>
          <t>2026-08-01T23:52:11.231740Z</t>
        </is>
      </c>
      <c r="BI193" s="24" t="inlineStr">
        <is>
          <t>["same_event","same_team_same_day","same_league_same_day"]</t>
        </is>
      </c>
      <c r="BJ193" s="25" t="n"/>
      <c r="BK193" s="26" t="n">
        <v>186</v>
      </c>
      <c r="BL193" s="27" t="n">
        <v>2.86</v>
      </c>
      <c r="BM193" s="28" t="n">
        <v>0.34965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</row>
    <row r="194" ht="36" customHeight="1">
      <c r="A194" s="24" t="inlineStr">
        <is>
          <t>6a04218c09a84664</t>
        </is>
      </c>
      <c r="B194" s="24" t="inlineStr">
        <is>
          <t>2026-08-01T23:53:24.455746Z</t>
        </is>
      </c>
      <c r="C194" s="24" t="inlineStr">
        <is>
          <t>2026-08-02T02:45Z</t>
        </is>
      </c>
      <c r="D194" s="24" t="inlineStr">
        <is>
          <t>761708</t>
        </is>
      </c>
      <c r="E194" s="24" t="inlineStr">
        <is>
          <t>SOCCER</t>
        </is>
      </c>
      <c r="F194" s="24" t="inlineStr">
        <is>
          <t>Seattle Sounders FC</t>
        </is>
      </c>
      <c r="G194" s="24" t="inlineStr">
        <is>
          <t>Portland Timbers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113</v>
      </c>
      <c r="M194" s="27" t="n">
        <v>2.13</v>
      </c>
      <c r="N194" s="28" t="n">
        <v>0.469484</v>
      </c>
      <c r="O194" s="28" t="n">
        <v>0.432832</v>
      </c>
      <c r="P194" s="28" t="n">
        <v>0.04</v>
      </c>
      <c r="Q194" s="28" t="n">
        <v>-0.036652</v>
      </c>
      <c r="R194" s="26" t="n">
        <v>8</v>
      </c>
      <c r="S194" s="29" t="n">
        <v>1.25</v>
      </c>
      <c r="T194" s="24" t="inlineStr">
        <is>
          <t>soccer-poisson-dc-v1</t>
        </is>
      </c>
      <c r="U194" s="24" t="inlineStr">
        <is>
          <t>settled</t>
        </is>
      </c>
      <c r="V194" s="24" t="inlineStr">
        <is>
          <t>win</t>
        </is>
      </c>
      <c r="W194" s="26" t="n">
        <v>1</v>
      </c>
      <c r="X194" s="26" t="n">
        <v>2</v>
      </c>
      <c r="Y194" s="25" t="n"/>
      <c r="Z194" s="26" t="n"/>
      <c r="AA194" s="28" t="n"/>
      <c r="AB194" s="28" t="n"/>
      <c r="AC194" s="30" t="n">
        <v>1.4125</v>
      </c>
      <c r="AD194" s="24" t="inlineStr">
        <is>
          <t>2026-08-02T05:39:26.164706Z</t>
        </is>
      </c>
      <c r="AE194" s="31" t="inlineStr">
        <is>
          <t>Poisson-DC rates 1.85 (home) / 1.59 (away) from EWMA attack/defense strengths. Executable ask 0.4700 (atc-mls-por-sea-2026-08-01-por).</t>
        </is>
      </c>
      <c r="AF194" s="31" t="inlineStr">
        <is>
          <t>Research-only soccer score model; draw-aware, but not yet locked-holdout qualified.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NO_CALL_MODEL_UNVALIDATED</t>
        </is>
      </c>
      <c r="AP194" s="24" t="inlineStr">
        <is>
          <t>Seattle Sounders FC</t>
        </is>
      </c>
      <c r="AQ194" s="24" t="inlineStr">
        <is>
          <t>Seattle Sounders FC</t>
        </is>
      </c>
      <c r="AR194" s="24" t="inlineStr">
        <is>
          <t>Seattle Sounders FC</t>
        </is>
      </c>
      <c r="AS194" s="24" t="inlineStr">
        <is>
          <t>Portland Timbers</t>
        </is>
      </c>
      <c r="AT194" s="24" t="inlineStr">
        <is>
          <t>Portland Timbers</t>
        </is>
      </c>
      <c r="AU194" s="24" t="inlineStr">
        <is>
          <t>Portland Timbers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34d1568aad0ff11b5db35f118324684f93281e1c21fa7b80be7a4a4e2cb4bb03</t>
        </is>
      </c>
      <c r="BB194" s="24" t="inlineStr">
        <is>
          <t>poisson_dixon_coles</t>
        </is>
      </c>
      <c r="BC194" s="24" t="inlineStr">
        <is>
          <t>soccer-poisson-dc-v1</t>
        </is>
      </c>
      <c r="BD194" s="24" t="inlineStr">
        <is>
          <t>34d1568aad0ff11b5db35f118324684f93281e1c21fa7b80be7a4a4e2cb4bb03</t>
        </is>
      </c>
      <c r="BE194" s="24" t="inlineStr">
        <is>
          <t>soccer-poisson-dc-v1</t>
        </is>
      </c>
      <c r="BF194" s="24" t="inlineStr">
        <is>
          <t>1</t>
        </is>
      </c>
      <c r="BG194" s="24" t="inlineStr">
        <is>
          <t>34d1568aad0ff11b5db35f118324684f93281e1c21fa7b80be7a4a4e2cb4bb03</t>
        </is>
      </c>
      <c r="BH194" s="24" t="inlineStr">
        <is>
          <t>2026-08-01T23:52:12.696180Z</t>
        </is>
      </c>
      <c r="BI194" s="24" t="inlineStr">
        <is>
          <t>["same_event","same_team_same_day","same_league_same_day"]</t>
        </is>
      </c>
      <c r="BJ194" s="25" t="n"/>
      <c r="BK194" s="26" t="n">
        <v>113</v>
      </c>
      <c r="BL194" s="27" t="n">
        <v>2.13</v>
      </c>
      <c r="BM194" s="28" t="n">
        <v>0.469484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</row>
    <row r="195" ht="36" customHeight="1">
      <c r="A195" s="24" t="inlineStr">
        <is>
          <t>3d7c6e251fde488b</t>
        </is>
      </c>
      <c r="B195" s="24" t="inlineStr">
        <is>
          <t>2026-08-01T23:53:24.455746Z</t>
        </is>
      </c>
      <c r="C195" s="24" t="inlineStr">
        <is>
          <t>2026-08-02T00:00Z</t>
        </is>
      </c>
      <c r="D195" s="24" t="inlineStr">
        <is>
          <t>401859646</t>
        </is>
      </c>
      <c r="E195" s="24" t="inlineStr">
        <is>
          <t>SOCCER</t>
        </is>
      </c>
      <c r="F195" s="24" t="inlineStr">
        <is>
          <t>Aucas</t>
        </is>
      </c>
      <c r="G195" s="24" t="inlineStr">
        <is>
          <t>Emelec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133</v>
      </c>
      <c r="M195" s="27" t="n">
        <v>2.33</v>
      </c>
      <c r="N195" s="28" t="n">
        <v>0.429185</v>
      </c>
      <c r="O195" s="28" t="n">
        <v>0.456135</v>
      </c>
      <c r="P195" s="28" t="n">
        <v>0.2</v>
      </c>
      <c r="Q195" s="28" t="n">
        <v>0.02695</v>
      </c>
      <c r="R195" s="26" t="n">
        <v>0</v>
      </c>
      <c r="S195" s="29" t="n">
        <v>1</v>
      </c>
      <c r="T195" s="24" t="inlineStr">
        <is>
          <t>soccer-poisson-dc-v1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0</v>
      </c>
      <c r="Y195" s="25" t="n"/>
      <c r="Z195" s="26" t="n"/>
      <c r="AA195" s="28" t="n"/>
      <c r="AB195" s="28" t="n"/>
      <c r="AC195" s="30" t="n">
        <v>-1</v>
      </c>
      <c r="AD195" s="24" t="inlineStr">
        <is>
          <t>2026-08-02T03:26:22.035170Z</t>
        </is>
      </c>
      <c r="AE195" s="31" t="inlineStr">
        <is>
          <t>Poisson-DC rates 1.64 (home) / 1.24 (away) from EWMA attack/defense strengths. Executable ask 0.4300 (atc-ecu1-cse-sda-2026-08-01-cse).</t>
        </is>
      </c>
      <c r="AF195" s="31" t="inlineStr">
        <is>
          <t>Research-only soccer score model; draw-aware, but not yet locked-holdout qualified.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Aucas</t>
        </is>
      </c>
      <c r="AQ195" s="24" t="inlineStr">
        <is>
          <t>Aucas</t>
        </is>
      </c>
      <c r="AR195" s="24" t="inlineStr">
        <is>
          <t>Aucas</t>
        </is>
      </c>
      <c r="AS195" s="24" t="inlineStr">
        <is>
          <t>Emelec</t>
        </is>
      </c>
      <c r="AT195" s="24" t="inlineStr">
        <is>
          <t>Emelec</t>
        </is>
      </c>
      <c r="AU195" s="24" t="inlineStr">
        <is>
          <t>Emelec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34d1568aad0ff11b5db35f118324684f93281e1c21fa7b80be7a4a4e2cb4bb03</t>
        </is>
      </c>
      <c r="BB195" s="24" t="inlineStr">
        <is>
          <t>poisson_dixon_coles</t>
        </is>
      </c>
      <c r="BC195" s="24" t="inlineStr">
        <is>
          <t>soccer-poisson-dc-v1</t>
        </is>
      </c>
      <c r="BD195" s="24" t="inlineStr">
        <is>
          <t>34d1568aad0ff11b5db35f118324684f93281e1c21fa7b80be7a4a4e2cb4bb03</t>
        </is>
      </c>
      <c r="BE195" s="24" t="inlineStr">
        <is>
          <t>soccer-poisson-dc-v1</t>
        </is>
      </c>
      <c r="BF195" s="24" t="inlineStr">
        <is>
          <t>1</t>
        </is>
      </c>
      <c r="BG195" s="24" t="inlineStr">
        <is>
          <t>34d1568aad0ff11b5db35f118324684f93281e1c21fa7b80be7a4a4e2cb4bb03</t>
        </is>
      </c>
      <c r="BH195" s="24" t="inlineStr">
        <is>
          <t>2026-08-01T23:52:16.427787Z</t>
        </is>
      </c>
      <c r="BI195" s="24" t="inlineStr">
        <is>
          <t>["same_event","same_team_same_day","same_league_same_day"]</t>
        </is>
      </c>
      <c r="BJ195" s="25" t="n"/>
      <c r="BK195" s="26" t="n">
        <v>133</v>
      </c>
      <c r="BL195" s="27" t="n">
        <v>2.33</v>
      </c>
      <c r="BM195" s="28" t="n">
        <v>0.429185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</row>
    <row r="196" ht="36" customHeight="1">
      <c r="A196" s="24" t="inlineStr">
        <is>
          <t>1570b2da88bb4c5a</t>
        </is>
      </c>
      <c r="B196" s="24" t="inlineStr">
        <is>
          <t>2026-08-02T12:28:25.454250Z</t>
        </is>
      </c>
      <c r="C196" s="24" t="inlineStr">
        <is>
          <t>2026-08-02T12:30Z</t>
        </is>
      </c>
      <c r="D196" s="24" t="inlineStr">
        <is>
          <t>401886552</t>
        </is>
      </c>
      <c r="E196" s="24" t="inlineStr">
        <is>
          <t>SOCCER</t>
        </is>
      </c>
      <c r="F196" s="24" t="inlineStr">
        <is>
          <t>Ajax Amsterdam</t>
        </is>
      </c>
      <c r="G196" s="24" t="inlineStr">
        <is>
          <t>FC Volendam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-194</v>
      </c>
      <c r="M196" s="27" t="n">
        <v>1.515464</v>
      </c>
      <c r="N196" s="28" t="n">
        <v>0.659864</v>
      </c>
      <c r="O196" s="28" t="n">
        <v>0.515227</v>
      </c>
      <c r="P196" s="28" t="n">
        <v>0.04</v>
      </c>
      <c r="Q196" s="28" t="n">
        <v>-0.144637</v>
      </c>
      <c r="R196" s="26" t="n">
        <v>0</v>
      </c>
      <c r="S196" s="29" t="n">
        <v>1</v>
      </c>
      <c r="T196" s="24" t="inlineStr">
        <is>
          <t>soccer-poisson-dc-v1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Poisson-DC rates 0.88 (home) / 1.54 (away) from EWMA attack/defense strengths. Executable ask 0.6600 (atc-clbf-fvco-aja-2026-08-02-aja).</t>
        </is>
      </c>
      <c r="AF196" s="31" t="inlineStr">
        <is>
          <t>Research-only soccer score model; draw-aware, but not yet locked-holdout qualified.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Ajax Amsterdam</t>
        </is>
      </c>
      <c r="AQ196" s="24" t="inlineStr">
        <is>
          <t>Ajax Amsterdam</t>
        </is>
      </c>
      <c r="AR196" s="24" t="inlineStr">
        <is>
          <t>Ajax Amsterdam</t>
        </is>
      </c>
      <c r="AS196" s="24" t="inlineStr">
        <is>
          <t>FC Volendam</t>
        </is>
      </c>
      <c r="AT196" s="24" t="inlineStr">
        <is>
          <t>FC Volendam</t>
        </is>
      </c>
      <c r="AU196" s="24" t="inlineStr">
        <is>
          <t>FC Volendam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34d1568aad0ff11b5db35f118324684f93281e1c21fa7b80be7a4a4e2cb4bb03</t>
        </is>
      </c>
      <c r="BB196" s="24" t="inlineStr">
        <is>
          <t>poisson_dixon_coles</t>
        </is>
      </c>
      <c r="BC196" s="24" t="inlineStr">
        <is>
          <t>soccer-poisson-dc-v1</t>
        </is>
      </c>
      <c r="BD196" s="24" t="inlineStr">
        <is>
          <t>34d1568aad0ff11b5db35f118324684f93281e1c21fa7b80be7a4a4e2cb4bb03</t>
        </is>
      </c>
      <c r="BE196" s="24" t="inlineStr">
        <is>
          <t>soccer-poisson-dc-v1</t>
        </is>
      </c>
      <c r="BF196" s="24" t="inlineStr">
        <is>
          <t>1</t>
        </is>
      </c>
      <c r="BG196" s="24" t="inlineStr">
        <is>
          <t>34d1568aad0ff11b5db35f118324684f93281e1c21fa7b80be7a4a4e2cb4bb03</t>
        </is>
      </c>
      <c r="BH196" s="24" t="inlineStr">
        <is>
          <t>2026-08-02T12:25:27.623402Z</t>
        </is>
      </c>
      <c r="BI196" s="24" t="inlineStr">
        <is>
          <t>["same_event","same_team_same_day","same_league_same_day"]</t>
        </is>
      </c>
      <c r="BJ196" s="25" t="n"/>
      <c r="BK196" s="26" t="n">
        <v>-194</v>
      </c>
      <c r="BL196" s="27" t="n">
        <v>1.515464</v>
      </c>
      <c r="BM196" s="28" t="n">
        <v>0.659864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</row>
    <row r="197" ht="36" customHeight="1">
      <c r="A197" s="24" t="inlineStr">
        <is>
          <t>f7b150997a264103</t>
        </is>
      </c>
      <c r="B197" s="24" t="inlineStr">
        <is>
          <t>2026-08-02T12:28:25.454250Z</t>
        </is>
      </c>
      <c r="C197" s="24" t="inlineStr">
        <is>
          <t>2026-08-02T13:00Z</t>
        </is>
      </c>
      <c r="D197" s="24" t="inlineStr">
        <is>
          <t>401886551</t>
        </is>
      </c>
      <c r="E197" s="24" t="inlineStr">
        <is>
          <t>SOCCER</t>
        </is>
      </c>
      <c r="F197" s="24" t="inlineStr">
        <is>
          <t>Atalanta</t>
        </is>
      </c>
      <c r="G197" s="24" t="inlineStr">
        <is>
          <t>Feyenoord Rotterdam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194</v>
      </c>
      <c r="M197" s="27" t="n">
        <v>2.94</v>
      </c>
      <c r="N197" s="28" t="n">
        <v>0.340136</v>
      </c>
      <c r="O197" s="28" t="n">
        <v>0.575359</v>
      </c>
      <c r="P197" s="28" t="n">
        <v>0.04</v>
      </c>
      <c r="Q197" s="28" t="n">
        <v>0.235223</v>
      </c>
      <c r="R197" s="26" t="n">
        <v>100</v>
      </c>
      <c r="S197" s="29" t="n">
        <v>1.25</v>
      </c>
      <c r="T197" s="24" t="inlineStr">
        <is>
          <t>soccer-poisson-dc-v1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Poisson-DC rates 1.92 (home) / 1.01 (away) from EWMA attack/defense strengths. Executable ask 0.3400 (atc-clbf-fey-ata-2026-08-02-fey).</t>
        </is>
      </c>
      <c r="AF197" s="31" t="inlineStr">
        <is>
          <t>Research-only soccer score model; draw-aware, but not yet locked-holdout qualified.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Atalanta</t>
        </is>
      </c>
      <c r="AQ197" s="24" t="inlineStr">
        <is>
          <t>Atalanta</t>
        </is>
      </c>
      <c r="AR197" s="24" t="inlineStr">
        <is>
          <t>Atalanta</t>
        </is>
      </c>
      <c r="AS197" s="24" t="inlineStr">
        <is>
          <t>Feyenoord Rotterdam</t>
        </is>
      </c>
      <c r="AT197" s="24" t="inlineStr">
        <is>
          <t>Feyenoord Rotterdam</t>
        </is>
      </c>
      <c r="AU197" s="24" t="inlineStr">
        <is>
          <t>Feyenoord Rotterdam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34d1568aad0ff11b5db35f118324684f93281e1c21fa7b80be7a4a4e2cb4bb03</t>
        </is>
      </c>
      <c r="BB197" s="24" t="inlineStr">
        <is>
          <t>poisson_dixon_coles</t>
        </is>
      </c>
      <c r="BC197" s="24" t="inlineStr">
        <is>
          <t>soccer-poisson-dc-v1</t>
        </is>
      </c>
      <c r="BD197" s="24" t="inlineStr">
        <is>
          <t>34d1568aad0ff11b5db35f118324684f93281e1c21fa7b80be7a4a4e2cb4bb03</t>
        </is>
      </c>
      <c r="BE197" s="24" t="inlineStr">
        <is>
          <t>soccer-poisson-dc-v1</t>
        </is>
      </c>
      <c r="BF197" s="24" t="inlineStr">
        <is>
          <t>1</t>
        </is>
      </c>
      <c r="BG197" s="24" t="inlineStr">
        <is>
          <t>34d1568aad0ff11b5db35f118324684f93281e1c21fa7b80be7a4a4e2cb4bb03</t>
        </is>
      </c>
      <c r="BH197" s="24" t="inlineStr">
        <is>
          <t>2026-08-02T12:25:27.610137Z</t>
        </is>
      </c>
      <c r="BI197" s="24" t="inlineStr">
        <is>
          <t>["same_event","same_team_same_day","same_league_same_day"]</t>
        </is>
      </c>
      <c r="BJ197" s="25" t="n"/>
      <c r="BK197" s="26" t="n">
        <v>194</v>
      </c>
      <c r="BL197" s="27" t="n">
        <v>2.94</v>
      </c>
      <c r="BM197" s="28" t="n">
        <v>0.340136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</row>
    <row r="198" ht="36" customHeight="1">
      <c r="A198" s="24" t="inlineStr">
        <is>
          <t>7159839652c64cd6</t>
        </is>
      </c>
      <c r="B198" s="24" t="inlineStr">
        <is>
          <t>2026-08-02T13:03:27.584850Z</t>
        </is>
      </c>
      <c r="C198" s="24" t="inlineStr">
        <is>
          <t>2026-08-02T13:35:00-0400</t>
        </is>
      </c>
      <c r="D198" s="24" t="inlineStr">
        <is>
          <t>401816365</t>
        </is>
      </c>
      <c r="E198" s="24" t="inlineStr">
        <is>
          <t>MLB</t>
        </is>
      </c>
      <c r="F198" s="24" t="inlineStr">
        <is>
          <t>Philadelphia Phillies</t>
        </is>
      </c>
      <c r="G198" s="24" t="inlineStr">
        <is>
          <t>Baltimore Orioles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-130</v>
      </c>
      <c r="M198" s="27" t="n">
        <v>1.769231</v>
      </c>
      <c r="N198" s="28" t="n">
        <v>0.565217</v>
      </c>
      <c r="O198" s="28" t="n">
        <v>0.510397</v>
      </c>
      <c r="P198" s="28" t="n"/>
      <c r="Q198" s="28" t="n">
        <v>-0.05482</v>
      </c>
      <c r="R198" s="26" t="n">
        <v>0</v>
      </c>
      <c r="S198" s="29" t="n">
        <v>1</v>
      </c>
      <c r="T198" s="24" t="inlineStr">
        <is>
          <t>mlb-elo-trend-lr-v7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Learned LR call at threshold 0.6242; executable ask 0.5650 (aec-mlb-phi-bal-2026-08-02); model edge vs ask -0.0546.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3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mlb-phi</t>
        </is>
      </c>
      <c r="AQ198" s="24" t="inlineStr">
        <is>
          <t>Philadelphia Phillies</t>
        </is>
      </c>
      <c r="AR198" s="24" t="inlineStr">
        <is>
          <t>Philadelphia Phillies</t>
        </is>
      </c>
      <c r="AS198" s="24" t="inlineStr">
        <is>
          <t>mlb-bal</t>
        </is>
      </c>
      <c r="AT198" s="24" t="inlineStr">
        <is>
          <t>Baltimore Orioles</t>
        </is>
      </c>
      <c r="AU198" s="24" t="inlineStr">
        <is>
          <t>Baltimore Orioles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464eef695bfbbdaa819ec6f5e4c5bd1068ed20b92915fb2677220ae91e20d8b6</t>
        </is>
      </c>
      <c r="BB198" s="24" t="inlineStr">
        <is>
          <t>learned_lr</t>
        </is>
      </c>
      <c r="BC198" s="24" t="inlineStr">
        <is>
          <t>mlb-elo-trend-lr-v7</t>
        </is>
      </c>
      <c r="BD198" s="24" t="inlineStr">
        <is>
          <t>464eef695bfbbdaa819ec6f5e4c5bd1068ed20b92915fb2677220ae91e20d8b6</t>
        </is>
      </c>
      <c r="BE198" s="24" t="inlineStr">
        <is>
          <t>51a7e03f6b5d6ee3</t>
        </is>
      </c>
      <c r="BF198" s="24" t="inlineStr">
        <is>
          <t>1</t>
        </is>
      </c>
      <c r="BG198" s="24" t="inlineStr">
        <is>
          <t>mlb-elo-trend-lr-v7</t>
        </is>
      </c>
      <c r="BH198" s="24" t="inlineStr">
        <is>
          <t>2026-08-02T13:02:22.367928Z</t>
        </is>
      </c>
      <c r="BI198" s="24" t="inlineStr">
        <is>
          <t>["same_event","same_team_same_day","same_league_same_day"]</t>
        </is>
      </c>
      <c r="BJ198" s="25" t="n"/>
      <c r="BK198" s="26" t="n">
        <v>-130</v>
      </c>
      <c r="BL198" s="27" t="n">
        <v>1.769231</v>
      </c>
      <c r="BM198" s="28" t="n">
        <v>0.565217</v>
      </c>
      <c r="BN198" s="28" t="n">
        <v>0.562189</v>
      </c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0.4831243511</t>
        </is>
      </c>
      <c r="CD198" s="24" t="inlineStr">
        <is>
          <t>-0.050102</t>
        </is>
      </c>
      <c r="CE198" s="24" t="inlineStr">
        <is>
          <t>1.03</t>
        </is>
      </c>
      <c r="CF198" s="24" t="inlineStr">
        <is>
          <t>1.0235</t>
        </is>
      </c>
      <c r="CG198" s="24" t="inlineStr">
        <is>
          <t>2.8</t>
        </is>
      </c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</row>
    <row r="199" ht="36" customHeight="1">
      <c r="A199" s="24" t="inlineStr">
        <is>
          <t>4412e79f8eff484b</t>
        </is>
      </c>
      <c r="B199" s="24" t="inlineStr">
        <is>
          <t>2026-08-02T13:03:27.584850Z</t>
        </is>
      </c>
      <c r="C199" s="24" t="inlineStr">
        <is>
          <t>2026-08-02T13:00:00-0400</t>
        </is>
      </c>
      <c r="D199" s="24" t="inlineStr">
        <is>
          <t>401857107</t>
        </is>
      </c>
      <c r="E199" s="24" t="inlineStr">
        <is>
          <t>WNBA</t>
        </is>
      </c>
      <c r="F199" s="24" t="inlineStr">
        <is>
          <t>Indiana Fever</t>
        </is>
      </c>
      <c r="G199" s="24" t="inlineStr">
        <is>
          <t>Minnesota Lynx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-186</v>
      </c>
      <c r="M199" s="27" t="n">
        <v>1.537634</v>
      </c>
      <c r="N199" s="28" t="n">
        <v>0.65035</v>
      </c>
      <c r="O199" s="28" t="n">
        <v>0.643489</v>
      </c>
      <c r="P199" s="28" t="n"/>
      <c r="Q199" s="28" t="n">
        <v>-0.006861</v>
      </c>
      <c r="R199" s="26" t="n">
        <v>20</v>
      </c>
      <c r="S199" s="29" t="n">
        <v>1.5</v>
      </c>
      <c r="T199" s="24" t="inlineStr">
        <is>
          <t>wnba-elo-trend-lr-v4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wnba-ind</t>
        </is>
      </c>
      <c r="AQ199" s="24" t="inlineStr">
        <is>
          <t>Indiana Fever</t>
        </is>
      </c>
      <c r="AR199" s="24" t="inlineStr">
        <is>
          <t>Indiana Fever</t>
        </is>
      </c>
      <c r="AS199" s="24" t="inlineStr">
        <is>
          <t>wnba-min</t>
        </is>
      </c>
      <c r="AT199" s="24" t="inlineStr">
        <is>
          <t>Minnesota Lynx</t>
        </is>
      </c>
      <c r="AU199" s="24" t="inlineStr">
        <is>
          <t>Minnesota Lynx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7afd5274214b58b7efd7f7febc7be3ab33b92351cda5cc6403c0a39faea0cc8c</t>
        </is>
      </c>
      <c r="BB199" s="24" t="inlineStr">
        <is>
          <t>learned_lr</t>
        </is>
      </c>
      <c r="BC199" s="24" t="inlineStr">
        <is>
          <t>wnba-elo-trend-lr-v4</t>
        </is>
      </c>
      <c r="BD199" s="24" t="inlineStr">
        <is>
          <t>7afd5274214b58b7efd7f7febc7be3ab33b92351cda5cc6403c0a39faea0cc8c</t>
        </is>
      </c>
      <c r="BE199" s="24" t="inlineStr">
        <is>
          <t>cb6d856341c7efe7</t>
        </is>
      </c>
      <c r="BF199" s="24" t="inlineStr">
        <is>
          <t>1</t>
        </is>
      </c>
      <c r="BG199" s="24" t="inlineStr">
        <is>
          <t>wnba-elo-trend-lr-v4</t>
        </is>
      </c>
      <c r="BH199" s="24" t="inlineStr">
        <is>
          <t>2026-08-02T13:02:37.904017Z</t>
        </is>
      </c>
      <c r="BI199" s="24" t="inlineStr">
        <is>
          <t>["same_event","same_team_same_day","same_league_same_day"]</t>
        </is>
      </c>
      <c r="BJ199" s="25" t="n"/>
      <c r="BK199" s="26" t="n">
        <v>-186</v>
      </c>
      <c r="BL199" s="27" t="n">
        <v>1.537634</v>
      </c>
      <c r="BM199" s="28" t="n">
        <v>0.65035</v>
      </c>
      <c r="BN199" s="28" t="n">
        <v>0.643564</v>
      </c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0.6810434571</t>
        </is>
      </c>
      <c r="CD199" s="24" t="inlineStr">
        <is>
          <t>-4.330577</t>
        </is>
      </c>
      <c r="CE199" s="24" t="n"/>
      <c r="CF199" s="24" t="n"/>
      <c r="CG199" s="24" t="n"/>
      <c r="CH199" s="24" t="n"/>
      <c r="CI199" s="24" t="inlineStr">
        <is>
          <t>NO_CALL_AVAILABILITY_PLAYER_UNMAPPED</t>
        </is>
      </c>
      <c r="CJ199" s="24" t="n"/>
      <c r="CK199" s="24" t="n"/>
      <c r="CL199" s="24" t="n"/>
      <c r="CM199" s="24" t="n"/>
      <c r="CN199" s="24" t="n"/>
      <c r="CO199" s="24" t="n"/>
      <c r="CP199" s="24" t="n"/>
    </row>
    <row r="200" ht="36" customHeight="1">
      <c r="A200" s="24" t="inlineStr">
        <is>
          <t>2b09ed0420ac4f34</t>
        </is>
      </c>
      <c r="B200" s="24" t="inlineStr">
        <is>
          <t>2026-08-02T13:03:27.584850Z</t>
        </is>
      </c>
      <c r="C200" s="24" t="inlineStr">
        <is>
          <t>2026-08-02T13:35:00-0400</t>
        </is>
      </c>
      <c r="D200" s="24" t="inlineStr">
        <is>
          <t>401816368</t>
        </is>
      </c>
      <c r="E200" s="24" t="inlineStr">
        <is>
          <t>MLB</t>
        </is>
      </c>
      <c r="F200" s="24" t="inlineStr">
        <is>
          <t>Washington Nationals</t>
        </is>
      </c>
      <c r="G200" s="24" t="inlineStr">
        <is>
          <t>Atlanta Braves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-115</v>
      </c>
      <c r="M200" s="27" t="n">
        <v>1.869565</v>
      </c>
      <c r="N200" s="28" t="n">
        <v>0.534884</v>
      </c>
      <c r="O200" s="28" t="n">
        <v>0.600768</v>
      </c>
      <c r="P200" s="28" t="n"/>
      <c r="Q200" s="28" t="n">
        <v>0.065884</v>
      </c>
      <c r="R200" s="26" t="n">
        <v>54</v>
      </c>
      <c r="S200" s="29" t="n">
        <v>1.25</v>
      </c>
      <c r="T200" s="24" t="inlineStr">
        <is>
          <t>mlb-elo-trend-lr-v7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Learned LR call at threshold 0.6242; executable ask 0.5350 (aec-mlb-wsh-atl-2026-08-02); model edge vs ask +0.0658.</t>
        </is>
      </c>
      <c r="AF200" s="31" t="inlineStr">
        <is>
          <t>Learned model; shadow-qualified via operator override.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3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mlb-wsh</t>
        </is>
      </c>
      <c r="AQ200" s="24" t="inlineStr">
        <is>
          <t>Washington Nationals</t>
        </is>
      </c>
      <c r="AR200" s="24" t="inlineStr">
        <is>
          <t>Washington Nationals</t>
        </is>
      </c>
      <c r="AS200" s="24" t="inlineStr">
        <is>
          <t>mlb-atl</t>
        </is>
      </c>
      <c r="AT200" s="24" t="inlineStr">
        <is>
          <t>Atlanta Braves</t>
        </is>
      </c>
      <c r="AU200" s="24" t="inlineStr">
        <is>
          <t>Atlanta Braves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464eef695bfbbdaa819ec6f5e4c5bd1068ed20b92915fb2677220ae91e20d8b6</t>
        </is>
      </c>
      <c r="BB200" s="24" t="inlineStr">
        <is>
          <t>learned_lr</t>
        </is>
      </c>
      <c r="BC200" s="24" t="inlineStr">
        <is>
          <t>mlb-elo-trend-lr-v7</t>
        </is>
      </c>
      <c r="BD200" s="24" t="inlineStr">
        <is>
          <t>464eef695bfbbdaa819ec6f5e4c5bd1068ed20b92915fb2677220ae91e20d8b6</t>
        </is>
      </c>
      <c r="BE200" s="24" t="inlineStr">
        <is>
          <t>0cf86b60c91a22f5</t>
        </is>
      </c>
      <c r="BF200" s="24" t="inlineStr">
        <is>
          <t>1</t>
        </is>
      </c>
      <c r="BG200" s="24" t="inlineStr">
        <is>
          <t>mlb-elo-trend-lr-v7</t>
        </is>
      </c>
      <c r="BH200" s="24" t="inlineStr">
        <is>
          <t>2026-08-02T13:02:23.469150Z</t>
        </is>
      </c>
      <c r="BI200" s="24" t="inlineStr">
        <is>
          <t>["same_event","same_team_same_day","same_league_same_day"]</t>
        </is>
      </c>
      <c r="BJ200" s="25" t="n"/>
      <c r="BK200" s="26" t="n">
        <v>-115</v>
      </c>
      <c r="BL200" s="27" t="n">
        <v>1.869565</v>
      </c>
      <c r="BM200" s="28" t="n">
        <v>0.534884</v>
      </c>
      <c r="BN200" s="28" t="n">
        <v>0.532338</v>
      </c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0.6335187094</t>
        </is>
      </c>
      <c r="CD200" s="24" t="inlineStr">
        <is>
          <t>1.061773</t>
        </is>
      </c>
      <c r="CE200" s="24" t="inlineStr">
        <is>
          <t>0.929</t>
        </is>
      </c>
      <c r="CF200" s="24" t="inlineStr">
        <is>
          <t>1.0123</t>
        </is>
      </c>
      <c r="CG200" s="24" t="inlineStr">
        <is>
          <t>-3.6</t>
        </is>
      </c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</row>
    <row r="201" ht="36" customHeight="1">
      <c r="A201" s="24" t="inlineStr">
        <is>
          <t>f3b408d4a90f4778</t>
        </is>
      </c>
      <c r="B201" s="24" t="inlineStr">
        <is>
          <t>2026-08-02T13:03:27.584850Z</t>
        </is>
      </c>
      <c r="C201" s="24" t="inlineStr">
        <is>
          <t>2026-08-02T15:30:00-0400</t>
        </is>
      </c>
      <c r="D201" s="24" t="inlineStr">
        <is>
          <t>401857108</t>
        </is>
      </c>
      <c r="E201" s="24" t="inlineStr">
        <is>
          <t>WNBA</t>
        </is>
      </c>
      <c r="F201" s="24" t="inlineStr">
        <is>
          <t>Los Angeles Sparks</t>
        </is>
      </c>
      <c r="G201" s="24" t="inlineStr">
        <is>
          <t>Portland Fire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-104</v>
      </c>
      <c r="M201" s="27" t="n">
        <v>1.961538</v>
      </c>
      <c r="N201" s="28" t="n">
        <v>0.509804</v>
      </c>
      <c r="O201" s="28" t="n">
        <v>0.57112</v>
      </c>
      <c r="P201" s="28" t="n"/>
      <c r="Q201" s="28" t="n">
        <v>0.061316</v>
      </c>
      <c r="R201" s="26" t="n">
        <v>53</v>
      </c>
      <c r="S201" s="29" t="n">
        <v>1.25</v>
      </c>
      <c r="T201" s="24" t="inlineStr">
        <is>
          <t>wnba-elo-trend-lr-v4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Learned LR call at threshold 0.5001; executable ask 0.5100 (aec-wnba-la-por-2026-08-02); model edge vs ask +0.0611.</t>
        </is>
      </c>
      <c r="AF201" s="31" t="inlineStr">
        <is>
          <t>Learned model; shadow-qualified via operator override.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wnba-las</t>
        </is>
      </c>
      <c r="AQ201" s="24" t="inlineStr">
        <is>
          <t>Los Angeles Sparks</t>
        </is>
      </c>
      <c r="AR201" s="24" t="inlineStr">
        <is>
          <t>Los Angeles Sparks</t>
        </is>
      </c>
      <c r="AS201" s="24" t="inlineStr">
        <is>
          <t>wnba-por</t>
        </is>
      </c>
      <c r="AT201" s="24" t="inlineStr">
        <is>
          <t>Portland Fire</t>
        </is>
      </c>
      <c r="AU201" s="24" t="inlineStr">
        <is>
          <t>Portland Fire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58d7c01d51192db8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2026-08-02T13:02:38.926993Z</t>
        </is>
      </c>
      <c r="BI201" s="24" t="inlineStr">
        <is>
          <t>["same_event","same_team_same_day","same_league_same_day"]</t>
        </is>
      </c>
      <c r="BJ201" s="25" t="n"/>
      <c r="BK201" s="26" t="n">
        <v>-104</v>
      </c>
      <c r="BL201" s="27" t="n">
        <v>1.961538</v>
      </c>
      <c r="BM201" s="28" t="n">
        <v>0.509804</v>
      </c>
      <c r="BN201" s="28" t="n">
        <v>0.50495</v>
      </c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0.5937045717</t>
        </is>
      </c>
      <c r="CD201" s="24" t="inlineStr">
        <is>
          <t>-1.420483</t>
        </is>
      </c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</row>
    <row r="202" ht="36" customHeight="1">
      <c r="A202" s="24" t="inlineStr">
        <is>
          <t>b69179dfbf0f4a66</t>
        </is>
      </c>
      <c r="B202" s="24" t="inlineStr">
        <is>
          <t>2026-08-02T13:03:27.584850Z</t>
        </is>
      </c>
      <c r="C202" s="24" t="inlineStr">
        <is>
          <t>2026-08-02T13:37:00-0400</t>
        </is>
      </c>
      <c r="D202" s="24" t="inlineStr">
        <is>
          <t>401816367</t>
        </is>
      </c>
      <c r="E202" s="24" t="inlineStr">
        <is>
          <t>MLB</t>
        </is>
      </c>
      <c r="F202" s="24" t="inlineStr">
        <is>
          <t>St. Louis Cardinals</t>
        </is>
      </c>
      <c r="G202" s="24" t="inlineStr">
        <is>
          <t>Toronto Blue Jays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-108</v>
      </c>
      <c r="M202" s="27" t="n">
        <v>1.925926</v>
      </c>
      <c r="N202" s="28" t="n">
        <v>0.519231</v>
      </c>
      <c r="O202" s="28" t="n">
        <v>0.536276</v>
      </c>
      <c r="P202" s="28" t="n"/>
      <c r="Q202" s="28" t="n">
        <v>0.017045</v>
      </c>
      <c r="R202" s="26" t="n">
        <v>29</v>
      </c>
      <c r="S202" s="29" t="n">
        <v>1</v>
      </c>
      <c r="T202" s="24" t="inlineStr">
        <is>
          <t>mlb-elo-trend-lr-v7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Learned LR call at threshold 0.6242; executable ask 0.5200 (aec-mlb-stl-tor-2026-08-02); model edge vs ask +0.0163.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3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mlb-stl</t>
        </is>
      </c>
      <c r="AQ202" s="24" t="inlineStr">
        <is>
          <t>St. Louis Cardinals</t>
        </is>
      </c>
      <c r="AR202" s="24" t="inlineStr">
        <is>
          <t>St. Louis Cardinals</t>
        </is>
      </c>
      <c r="AS202" s="24" t="inlineStr">
        <is>
          <t>mlb-tor</t>
        </is>
      </c>
      <c r="AT202" s="24" t="inlineStr">
        <is>
          <t>Toronto Blue Jays</t>
        </is>
      </c>
      <c r="AU202" s="24" t="inlineStr">
        <is>
          <t>Toronto Blue Jays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464eef695bfbbdaa819ec6f5e4c5bd1068ed20b92915fb2677220ae91e20d8b6</t>
        </is>
      </c>
      <c r="BB202" s="24" t="inlineStr">
        <is>
          <t>learned_lr</t>
        </is>
      </c>
      <c r="BC202" s="24" t="inlineStr">
        <is>
          <t>mlb-elo-trend-lr-v7</t>
        </is>
      </c>
      <c r="BD202" s="24" t="inlineStr">
        <is>
          <t>464eef695bfbbdaa819ec6f5e4c5bd1068ed20b92915fb2677220ae91e20d8b6</t>
        </is>
      </c>
      <c r="BE202" s="24" t="inlineStr">
        <is>
          <t>429c13d4c562f5e8</t>
        </is>
      </c>
      <c r="BF202" s="24" t="inlineStr">
        <is>
          <t>1</t>
        </is>
      </c>
      <c r="BG202" s="24" t="inlineStr">
        <is>
          <t>mlb-elo-trend-lr-v7</t>
        </is>
      </c>
      <c r="BH202" s="24" t="inlineStr">
        <is>
          <t>2026-08-02T13:02:24.463089Z</t>
        </is>
      </c>
      <c r="BI202" s="24" t="inlineStr">
        <is>
          <t>["same_event","same_team_same_day","same_league_same_day"]</t>
        </is>
      </c>
      <c r="BJ202" s="25" t="n"/>
      <c r="BK202" s="26" t="n">
        <v>-108</v>
      </c>
      <c r="BL202" s="27" t="n">
        <v>1.925926</v>
      </c>
      <c r="BM202" s="28" t="n">
        <v>0.519231</v>
      </c>
      <c r="BN202" s="28" t="n">
        <v>0.517413</v>
      </c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0.5658417148</t>
        </is>
      </c>
      <c r="CD202" s="24" t="inlineStr">
        <is>
          <t>1.499161</t>
        </is>
      </c>
      <c r="CE202" s="24" t="inlineStr">
        <is>
          <t>1.019</t>
        </is>
      </c>
      <c r="CF202" s="24" t="inlineStr">
        <is>
          <t>1.0</t>
        </is>
      </c>
      <c r="CG202" s="24" t="inlineStr">
        <is>
          <t>-2.0</t>
        </is>
      </c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</row>
    <row r="203" ht="36" customHeight="1">
      <c r="A203" s="24" t="inlineStr">
        <is>
          <t>bcadb21e19424480</t>
        </is>
      </c>
      <c r="B203" s="24" t="inlineStr">
        <is>
          <t>2026-08-02T13:03:27.584850Z</t>
        </is>
      </c>
      <c r="C203" s="24" t="inlineStr">
        <is>
          <t>2026-08-02T19:00:00-0400</t>
        </is>
      </c>
      <c r="D203" s="24" t="inlineStr">
        <is>
          <t>401857109</t>
        </is>
      </c>
      <c r="E203" s="24" t="inlineStr">
        <is>
          <t>WNBA</t>
        </is>
      </c>
      <c r="F203" s="24" t="inlineStr">
        <is>
          <t>Connecticut Sun</t>
        </is>
      </c>
      <c r="G203" s="24" t="inlineStr">
        <is>
          <t>Dallas Wings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-525</v>
      </c>
      <c r="M203" s="27" t="n">
        <v>1.190476</v>
      </c>
      <c r="N203" s="28" t="n">
        <v>0.84</v>
      </c>
      <c r="O203" s="28" t="n">
        <v>0.758559</v>
      </c>
      <c r="P203" s="28" t="n"/>
      <c r="Q203" s="28" t="n">
        <v>-0.081441</v>
      </c>
      <c r="R203" s="26" t="n">
        <v>0</v>
      </c>
      <c r="S203" s="29" t="n">
        <v>2</v>
      </c>
      <c r="T203" s="24" t="inlineStr">
        <is>
          <t>wnba-elo-trend-lr-v4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3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wnba-con</t>
        </is>
      </c>
      <c r="AQ203" s="24" t="inlineStr">
        <is>
          <t>Connecticut Sun</t>
        </is>
      </c>
      <c r="AR203" s="24" t="inlineStr">
        <is>
          <t>Connecticut Sun</t>
        </is>
      </c>
      <c r="AS203" s="24" t="inlineStr">
        <is>
          <t>wnba-dal</t>
        </is>
      </c>
      <c r="AT203" s="24" t="inlineStr">
        <is>
          <t>Dallas Wings</t>
        </is>
      </c>
      <c r="AU203" s="24" t="inlineStr">
        <is>
          <t>Dallas Wings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7afd5274214b58b7efd7f7febc7be3ab33b92351cda5cc6403c0a39faea0cc8c</t>
        </is>
      </c>
      <c r="BB203" s="24" t="inlineStr">
        <is>
          <t>learned_lr</t>
        </is>
      </c>
      <c r="BC203" s="24" t="inlineStr">
        <is>
          <t>wnba-elo-trend-lr-v4</t>
        </is>
      </c>
      <c r="BD203" s="24" t="inlineStr">
        <is>
          <t>7afd5274214b58b7efd7f7febc7be3ab33b92351cda5cc6403c0a39faea0cc8c</t>
        </is>
      </c>
      <c r="BE203" s="24" t="inlineStr">
        <is>
          <t>9c0c7cfe02317de7</t>
        </is>
      </c>
      <c r="BF203" s="24" t="inlineStr">
        <is>
          <t>1</t>
        </is>
      </c>
      <c r="BG203" s="24" t="inlineStr">
        <is>
          <t>wnba-elo-trend-lr-v4</t>
        </is>
      </c>
      <c r="BH203" s="24" t="inlineStr">
        <is>
          <t>2026-08-02T13:02:40.294573Z</t>
        </is>
      </c>
      <c r="BI203" s="24" t="inlineStr">
        <is>
          <t>["same_event","same_team_same_day","same_league_same_day"]</t>
        </is>
      </c>
      <c r="BJ203" s="25" t="n"/>
      <c r="BK203" s="26" t="n">
        <v>-525</v>
      </c>
      <c r="BL203" s="27" t="n">
        <v>1.190476</v>
      </c>
      <c r="BM203" s="28" t="n">
        <v>0.84</v>
      </c>
      <c r="BN203" s="28" t="n">
        <v>0.831683</v>
      </c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0.8648169599</t>
        </is>
      </c>
      <c r="CD203" s="24" t="inlineStr">
        <is>
          <t>-2.14749</t>
        </is>
      </c>
      <c r="CE203" s="24" t="n"/>
      <c r="CF203" s="24" t="n"/>
      <c r="CG203" s="24" t="n"/>
      <c r="CH203" s="24" t="n"/>
      <c r="CI203" s="24" t="inlineStr">
        <is>
          <t>NO_CALL_AVAILABILITY_PLAYER_UNMAPPED</t>
        </is>
      </c>
      <c r="CJ203" s="24" t="n"/>
      <c r="CK203" s="24" t="n"/>
      <c r="CL203" s="24" t="n"/>
      <c r="CM203" s="24" t="n"/>
      <c r="CN203" s="24" t="n"/>
      <c r="CO203" s="24" t="n"/>
      <c r="CP203" s="24" t="n"/>
    </row>
    <row r="204" ht="36" customHeight="1">
      <c r="A204" s="24" t="inlineStr">
        <is>
          <t>4be04588674f4671</t>
        </is>
      </c>
      <c r="B204" s="24" t="inlineStr">
        <is>
          <t>2026-08-02T13:03:27.584850Z</t>
        </is>
      </c>
      <c r="C204" s="24" t="inlineStr">
        <is>
          <t>2026-08-02T13:40:00-0400</t>
        </is>
      </c>
      <c r="D204" s="24" t="inlineStr">
        <is>
          <t>401816362</t>
        </is>
      </c>
      <c r="E204" s="24" t="inlineStr">
        <is>
          <t>MLB</t>
        </is>
      </c>
      <c r="F204" s="24" t="inlineStr">
        <is>
          <t>Arizona Diamondbacks</t>
        </is>
      </c>
      <c r="G204" s="24" t="inlineStr">
        <is>
          <t>Cleveland Guardians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-147</v>
      </c>
      <c r="M204" s="27" t="n">
        <v>1.680272</v>
      </c>
      <c r="N204" s="28" t="n">
        <v>0.5951419999999999</v>
      </c>
      <c r="O204" s="28" t="n">
        <v>0.542049</v>
      </c>
      <c r="P204" s="28" t="n"/>
      <c r="Q204" s="28" t="n">
        <v>-0.053093</v>
      </c>
      <c r="R204" s="26" t="n">
        <v>0</v>
      </c>
      <c r="S204" s="29" t="n">
        <v>1</v>
      </c>
      <c r="T204" s="24" t="inlineStr">
        <is>
          <t>mlb-elo-trend-lr-v7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Learned LR call at threshold 0.6242; executable ask 0.5950 (aec-mlb-az-cle-2026-08-02); model edge vs ask -0.0530.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mlb-ari</t>
        </is>
      </c>
      <c r="AQ204" s="24" t="inlineStr">
        <is>
          <t>Arizona Diamondbacks</t>
        </is>
      </c>
      <c r="AR204" s="24" t="inlineStr">
        <is>
          <t>Arizona Diamondbacks</t>
        </is>
      </c>
      <c r="AS204" s="24" t="inlineStr">
        <is>
          <t>mlb-cle</t>
        </is>
      </c>
      <c r="AT204" s="24" t="inlineStr">
        <is>
          <t>Cleveland Guardians</t>
        </is>
      </c>
      <c r="AU204" s="24" t="inlineStr">
        <is>
          <t>Cleveland Guardians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464eef695bfbbdaa819ec6f5e4c5bd1068ed20b92915fb2677220ae91e20d8b6</t>
        </is>
      </c>
      <c r="BB204" s="24" t="inlineStr">
        <is>
          <t>learned_lr</t>
        </is>
      </c>
      <c r="BC204" s="24" t="inlineStr">
        <is>
          <t>mlb-elo-trend-lr-v7</t>
        </is>
      </c>
      <c r="BD204" s="24" t="inlineStr">
        <is>
          <t>464eef695bfbbdaa819ec6f5e4c5bd1068ed20b92915fb2677220ae91e20d8b6</t>
        </is>
      </c>
      <c r="BE204" s="24" t="inlineStr">
        <is>
          <t>0a330b4dea087b01</t>
        </is>
      </c>
      <c r="BF204" s="24" t="inlineStr">
        <is>
          <t>1</t>
        </is>
      </c>
      <c r="BG204" s="24" t="inlineStr">
        <is>
          <t>mlb-elo-trend-lr-v7</t>
        </is>
      </c>
      <c r="BH204" s="24" t="inlineStr">
        <is>
          <t>2026-08-02T13:02:25.478473Z</t>
        </is>
      </c>
      <c r="BI204" s="24" t="inlineStr">
        <is>
          <t>["same_event","same_team_same_day","same_league_same_day"]</t>
        </is>
      </c>
      <c r="BJ204" s="25" t="n"/>
      <c r="BK204" s="26" t="n">
        <v>-147</v>
      </c>
      <c r="BL204" s="27" t="n">
        <v>1.680272</v>
      </c>
      <c r="BM204" s="28" t="n">
        <v>0.5951419999999999</v>
      </c>
      <c r="BN204" s="28" t="n">
        <v>0.59204</v>
      </c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0.5147263352</t>
        </is>
      </c>
      <c r="CD204" s="24" t="inlineStr">
        <is>
          <t>-1.620545</t>
        </is>
      </c>
      <c r="CE204" s="24" t="inlineStr">
        <is>
          <t>0.966</t>
        </is>
      </c>
      <c r="CF204" s="24" t="inlineStr">
        <is>
          <t>1.0106</t>
        </is>
      </c>
      <c r="CG204" s="24" t="inlineStr">
        <is>
          <t>1.0</t>
        </is>
      </c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</row>
    <row r="205" ht="36" customHeight="1">
      <c r="A205" s="24" t="inlineStr">
        <is>
          <t>ea36ef70ce604af7</t>
        </is>
      </c>
      <c r="B205" s="24" t="inlineStr">
        <is>
          <t>2026-08-02T13:03:27.584850Z</t>
        </is>
      </c>
      <c r="C205" s="24" t="inlineStr">
        <is>
          <t>2026-08-02T20:30:00-0400</t>
        </is>
      </c>
      <c r="D205" s="24" t="inlineStr">
        <is>
          <t>401857110</t>
        </is>
      </c>
      <c r="E205" s="24" t="inlineStr">
        <is>
          <t>WNBA</t>
        </is>
      </c>
      <c r="F205" s="24" t="inlineStr">
        <is>
          <t>Toronto Tempo</t>
        </is>
      </c>
      <c r="G205" s="24" t="inlineStr">
        <is>
          <t>Golden State Valkyries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-669</v>
      </c>
      <c r="M205" s="27" t="n">
        <v>1.149477</v>
      </c>
      <c r="N205" s="28" t="n">
        <v>0.869961</v>
      </c>
      <c r="O205" s="28" t="n">
        <v>0.772803</v>
      </c>
      <c r="P205" s="28" t="n"/>
      <c r="Q205" s="28" t="n">
        <v>-0.09715799999999999</v>
      </c>
      <c r="R205" s="26" t="n">
        <v>0</v>
      </c>
      <c r="S205" s="29" t="n">
        <v>2</v>
      </c>
      <c r="T205" s="24" t="inlineStr">
        <is>
          <t>wnba-elo-trend-lr-v4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wnba-tor</t>
        </is>
      </c>
      <c r="AQ205" s="24" t="inlineStr">
        <is>
          <t>Toronto Tempo</t>
        </is>
      </c>
      <c r="AR205" s="24" t="inlineStr">
        <is>
          <t>Toronto Tempo</t>
        </is>
      </c>
      <c r="AS205" s="24" t="inlineStr">
        <is>
          <t>wnba-gsv</t>
        </is>
      </c>
      <c r="AT205" s="24" t="inlineStr">
        <is>
          <t>Golden State Valkyries</t>
        </is>
      </c>
      <c r="AU205" s="24" t="inlineStr">
        <is>
          <t>Golden State Valkyries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7afd5274214b58b7efd7f7febc7be3ab33b92351cda5cc6403c0a39faea0cc8c</t>
        </is>
      </c>
      <c r="BB205" s="24" t="inlineStr">
        <is>
          <t>learned_lr</t>
        </is>
      </c>
      <c r="BC205" s="24" t="inlineStr">
        <is>
          <t>wnba-elo-trend-lr-v4</t>
        </is>
      </c>
      <c r="BD205" s="24" t="inlineStr">
        <is>
          <t>7afd5274214b58b7efd7f7febc7be3ab33b92351cda5cc6403c0a39faea0cc8c</t>
        </is>
      </c>
      <c r="BE205" s="24" t="inlineStr">
        <is>
          <t>c1ef9fc1d2a3714a</t>
        </is>
      </c>
      <c r="BF205" s="24" t="inlineStr">
        <is>
          <t>1</t>
        </is>
      </c>
      <c r="BG205" s="24" t="inlineStr">
        <is>
          <t>wnba-elo-trend-lr-v4</t>
        </is>
      </c>
      <c r="BH205" s="24" t="inlineStr">
        <is>
          <t>2026-08-02T13:02:41.517558Z</t>
        </is>
      </c>
      <c r="BI205" s="24" t="inlineStr">
        <is>
          <t>["same_event","same_team_same_day","same_league_same_day"]</t>
        </is>
      </c>
      <c r="BJ205" s="25" t="n"/>
      <c r="BK205" s="26" t="n">
        <v>-669</v>
      </c>
      <c r="BL205" s="27" t="n">
        <v>1.149477</v>
      </c>
      <c r="BM205" s="28" t="n">
        <v>0.869961</v>
      </c>
      <c r="BN205" s="28" t="n">
        <v>0.861386</v>
      </c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0.8973864278</t>
        </is>
      </c>
      <c r="CD205" s="24" t="inlineStr">
        <is>
          <t>2.248193</t>
        </is>
      </c>
      <c r="CE205" s="24" t="n"/>
      <c r="CF205" s="24" t="n"/>
      <c r="CG205" s="24" t="n"/>
      <c r="CH205" s="24" t="n"/>
      <c r="CI205" s="24" t="inlineStr">
        <is>
          <t>NO_CALL_AVAILABILITY_PLAYER_UNMAPPED</t>
        </is>
      </c>
      <c r="CJ205" s="24" t="n"/>
      <c r="CK205" s="24" t="n"/>
      <c r="CL205" s="24" t="n"/>
      <c r="CM205" s="24" t="n"/>
      <c r="CN205" s="24" t="n"/>
      <c r="CO205" s="24" t="n"/>
      <c r="CP205" s="24" t="n"/>
    </row>
    <row r="206" ht="36" customHeight="1">
      <c r="A206" s="24" t="inlineStr">
        <is>
          <t>07b0cd15a0ff4064</t>
        </is>
      </c>
      <c r="B206" s="24" t="inlineStr">
        <is>
          <t>2026-08-02T13:03:27.584850Z</t>
        </is>
      </c>
      <c r="C206" s="24" t="inlineStr">
        <is>
          <t>2026-08-02T13:40:00-0400</t>
        </is>
      </c>
      <c r="D206" s="24" t="inlineStr">
        <is>
          <t>401816363</t>
        </is>
      </c>
      <c r="E206" s="24" t="inlineStr">
        <is>
          <t>MLB</t>
        </is>
      </c>
      <c r="F206" s="24" t="inlineStr">
        <is>
          <t>Chicago White Sox</t>
        </is>
      </c>
      <c r="G206" s="24" t="inlineStr">
        <is>
          <t>Tampa Bay Rays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-141</v>
      </c>
      <c r="M206" s="27" t="n">
        <v>1.70922</v>
      </c>
      <c r="N206" s="28" t="n">
        <v>0.585062</v>
      </c>
      <c r="O206" s="28" t="n">
        <v>0.565508</v>
      </c>
      <c r="P206" s="28" t="n"/>
      <c r="Q206" s="28" t="n">
        <v>-0.019554</v>
      </c>
      <c r="R206" s="26" t="n">
        <v>12</v>
      </c>
      <c r="S206" s="29" t="n">
        <v>1</v>
      </c>
      <c r="T206" s="24" t="inlineStr">
        <is>
          <t>mlb-elo-trend-lr-v7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Learned LR call at threshold 0.6242; executable ask 0.5850 (aec-mlb-cws-tb-2026-08-02); model edge vs ask -0.0195.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mlb-cws</t>
        </is>
      </c>
      <c r="AQ206" s="24" t="inlineStr">
        <is>
          <t>Chicago White Sox</t>
        </is>
      </c>
      <c r="AR206" s="24" t="inlineStr">
        <is>
          <t>Chicago White Sox</t>
        </is>
      </c>
      <c r="AS206" s="24" t="inlineStr">
        <is>
          <t>mlb-tb</t>
        </is>
      </c>
      <c r="AT206" s="24" t="inlineStr">
        <is>
          <t>Tampa Bay Rays</t>
        </is>
      </c>
      <c r="AU206" s="24" t="inlineStr">
        <is>
          <t>Tampa Bay Rays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464eef695bfbbdaa819ec6f5e4c5bd1068ed20b92915fb2677220ae91e20d8b6</t>
        </is>
      </c>
      <c r="BB206" s="24" t="inlineStr">
        <is>
          <t>learned_lr</t>
        </is>
      </c>
      <c r="BC206" s="24" t="inlineStr">
        <is>
          <t>mlb-elo-trend-lr-v7</t>
        </is>
      </c>
      <c r="BD206" s="24" t="inlineStr">
        <is>
          <t>464eef695bfbbdaa819ec6f5e4c5bd1068ed20b92915fb2677220ae91e20d8b6</t>
        </is>
      </c>
      <c r="BE206" s="24" t="inlineStr">
        <is>
          <t>adafae297aed5d6c</t>
        </is>
      </c>
      <c r="BF206" s="24" t="inlineStr">
        <is>
          <t>1</t>
        </is>
      </c>
      <c r="BG206" s="24" t="inlineStr">
        <is>
          <t>mlb-elo-trend-lr-v7</t>
        </is>
      </c>
      <c r="BH206" s="24" t="inlineStr">
        <is>
          <t>2026-08-02T13:02:28.468924Z</t>
        </is>
      </c>
      <c r="BI206" s="24" t="inlineStr">
        <is>
          <t>["same_event","same_team_same_day","same_league_same_day"]</t>
        </is>
      </c>
      <c r="BJ206" s="25" t="n"/>
      <c r="BK206" s="26" t="n">
        <v>-141</v>
      </c>
      <c r="BL206" s="27" t="n">
        <v>1.70922</v>
      </c>
      <c r="BM206" s="28" t="n">
        <v>0.585062</v>
      </c>
      <c r="BN206" s="28" t="n">
        <v>0.58209</v>
      </c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0.5503982216</t>
        </is>
      </c>
      <c r="CD206" s="24" t="inlineStr">
        <is>
          <t>-0.597101</t>
        </is>
      </c>
      <c r="CE206" s="24" t="inlineStr">
        <is>
          <t>0.965</t>
        </is>
      </c>
      <c r="CF206" s="24" t="inlineStr">
        <is>
          <t>1.0</t>
        </is>
      </c>
      <c r="CG206" s="24" t="inlineStr">
        <is>
          <t>0.2</t>
        </is>
      </c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</row>
    <row r="207" ht="36" customHeight="1">
      <c r="A207" s="24" t="inlineStr">
        <is>
          <t>98e1fef3561a489c</t>
        </is>
      </c>
      <c r="B207" s="24" t="inlineStr">
        <is>
          <t>2026-08-02T13:03:27.584850Z</t>
        </is>
      </c>
      <c r="C207" s="24" t="inlineStr">
        <is>
          <t>2026-08-02T13:40:00-0400</t>
        </is>
      </c>
      <c r="D207" s="24" t="inlineStr">
        <is>
          <t>401816364</t>
        </is>
      </c>
      <c r="E207" s="24" t="inlineStr">
        <is>
          <t>MLB</t>
        </is>
      </c>
      <c r="F207" s="24" t="inlineStr">
        <is>
          <t>Miami Marlins</t>
        </is>
      </c>
      <c r="G207" s="24" t="inlineStr">
        <is>
          <t>New York Mets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111</v>
      </c>
      <c r="M207" s="27" t="n">
        <v>2.11</v>
      </c>
      <c r="N207" s="28" t="n">
        <v>0.473934</v>
      </c>
      <c r="O207" s="28" t="n">
        <v>0.519295</v>
      </c>
      <c r="P207" s="28" t="n"/>
      <c r="Q207" s="28" t="n">
        <v>0.045361</v>
      </c>
      <c r="R207" s="26" t="n">
        <v>43</v>
      </c>
      <c r="S207" s="29" t="n">
        <v>1</v>
      </c>
      <c r="T207" s="24" t="inlineStr">
        <is>
          <t>mlb-elo-trend-lr-v7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Learned LR call at threshold 0.6242; executable ask 0.4750 (aec-mlb-mia-nym-2026-08-02); model edge vs ask +0.0443.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mlb-mia</t>
        </is>
      </c>
      <c r="AQ207" s="24" t="inlineStr">
        <is>
          <t>Miami Marlins</t>
        </is>
      </c>
      <c r="AR207" s="24" t="inlineStr">
        <is>
          <t>Miami Marlins</t>
        </is>
      </c>
      <c r="AS207" s="24" t="inlineStr">
        <is>
          <t>mlb-nym</t>
        </is>
      </c>
      <c r="AT207" s="24" t="inlineStr">
        <is>
          <t>New York Mets</t>
        </is>
      </c>
      <c r="AU207" s="24" t="inlineStr">
        <is>
          <t>New York Mets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464eef695bfbbdaa819ec6f5e4c5bd1068ed20b92915fb2677220ae91e20d8b6</t>
        </is>
      </c>
      <c r="BB207" s="24" t="inlineStr">
        <is>
          <t>learned_lr</t>
        </is>
      </c>
      <c r="BC207" s="24" t="inlineStr">
        <is>
          <t>mlb-elo-trend-lr-v7</t>
        </is>
      </c>
      <c r="BD207" s="24" t="inlineStr">
        <is>
          <t>464eef695bfbbdaa819ec6f5e4c5bd1068ed20b92915fb2677220ae91e20d8b6</t>
        </is>
      </c>
      <c r="BE207" s="24" t="inlineStr">
        <is>
          <t>32ce60e7a56a391a</t>
        </is>
      </c>
      <c r="BF207" s="24" t="inlineStr">
        <is>
          <t>1</t>
        </is>
      </c>
      <c r="BG207" s="24" t="inlineStr">
        <is>
          <t>mlb-elo-trend-lr-v7</t>
        </is>
      </c>
      <c r="BH207" s="24" t="inlineStr">
        <is>
          <t>2026-08-02T13:02:27.350043Z</t>
        </is>
      </c>
      <c r="BI207" s="24" t="inlineStr">
        <is>
          <t>["same_event","same_team_same_day","same_league_same_day"]</t>
        </is>
      </c>
      <c r="BJ207" s="25" t="n"/>
      <c r="BK207" s="26" t="n">
        <v>111</v>
      </c>
      <c r="BL207" s="27" t="n">
        <v>2.11</v>
      </c>
      <c r="BM207" s="28" t="n">
        <v>0.473934</v>
      </c>
      <c r="BN207" s="28" t="n">
        <v>0.472637</v>
      </c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inlineStr">
        <is>
          <t>0.4938777222</t>
        </is>
      </c>
      <c r="CD207" s="24" t="inlineStr">
        <is>
          <t>-0.998113</t>
        </is>
      </c>
      <c r="CE207" s="24" t="inlineStr">
        <is>
          <t>0.978</t>
        </is>
      </c>
      <c r="CF207" s="24" t="inlineStr">
        <is>
          <t>1.0208</t>
        </is>
      </c>
      <c r="CG207" s="24" t="inlineStr">
        <is>
          <t>0.4</t>
        </is>
      </c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</row>
    <row r="208" ht="36" customHeight="1">
      <c r="A208" s="24" t="inlineStr">
        <is>
          <t>7529369a633840e6</t>
        </is>
      </c>
      <c r="B208" s="24" t="inlineStr">
        <is>
          <t>2026-08-02T13:03:27.584850Z</t>
        </is>
      </c>
      <c r="C208" s="24" t="inlineStr">
        <is>
          <t>2026-08-02T13:40:00-0400</t>
        </is>
      </c>
      <c r="D208" s="24" t="inlineStr">
        <is>
          <t>401816366</t>
        </is>
      </c>
      <c r="E208" s="24" t="inlineStr">
        <is>
          <t>MLB</t>
        </is>
      </c>
      <c r="F208" s="24" t="inlineStr">
        <is>
          <t>Pittsburgh Pirates</t>
        </is>
      </c>
      <c r="G208" s="24" t="inlineStr">
        <is>
          <t>Cincinnati Reds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141</v>
      </c>
      <c r="M208" s="27" t="n">
        <v>2.41</v>
      </c>
      <c r="N208" s="28" t="n">
        <v>0.414938</v>
      </c>
      <c r="O208" s="28" t="n">
        <v>0.518429</v>
      </c>
      <c r="P208" s="28" t="n"/>
      <c r="Q208" s="28" t="n">
        <v>0.103491</v>
      </c>
      <c r="R208" s="26" t="n">
        <v>73</v>
      </c>
      <c r="S208" s="29" t="n">
        <v>1</v>
      </c>
      <c r="T208" s="24" t="inlineStr">
        <is>
          <t>mlb-elo-trend-lr-v7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Learned LR call at threshold 0.6242; executable ask 0.4150 (aec-mlb-pit-cin-2026-08-02); model edge vs ask +0.1034.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mlb-pit</t>
        </is>
      </c>
      <c r="AQ208" s="24" t="inlineStr">
        <is>
          <t>Pittsburgh Pirates</t>
        </is>
      </c>
      <c r="AR208" s="24" t="inlineStr">
        <is>
          <t>Pittsburgh Pirates</t>
        </is>
      </c>
      <c r="AS208" s="24" t="inlineStr">
        <is>
          <t>mlb-cin</t>
        </is>
      </c>
      <c r="AT208" s="24" t="inlineStr">
        <is>
          <t>Cincinnati Reds</t>
        </is>
      </c>
      <c r="AU208" s="24" t="inlineStr">
        <is>
          <t>Cincinnati Reds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464eef695bfbbdaa819ec6f5e4c5bd1068ed20b92915fb2677220ae91e20d8b6</t>
        </is>
      </c>
      <c r="BB208" s="24" t="inlineStr">
        <is>
          <t>learned_lr</t>
        </is>
      </c>
      <c r="BC208" s="24" t="inlineStr">
        <is>
          <t>mlb-elo-trend-lr-v7</t>
        </is>
      </c>
      <c r="BD208" s="24" t="inlineStr">
        <is>
          <t>464eef695bfbbdaa819ec6f5e4c5bd1068ed20b92915fb2677220ae91e20d8b6</t>
        </is>
      </c>
      <c r="BE208" s="24" t="inlineStr">
        <is>
          <t>11462ce6ed58f7e0</t>
        </is>
      </c>
      <c r="BF208" s="24" t="inlineStr">
        <is>
          <t>1</t>
        </is>
      </c>
      <c r="BG208" s="24" t="inlineStr">
        <is>
          <t>mlb-elo-trend-lr-v7</t>
        </is>
      </c>
      <c r="BH208" s="24" t="inlineStr">
        <is>
          <t>2026-08-02T13:02:26.431679Z</t>
        </is>
      </c>
      <c r="BI208" s="24" t="inlineStr">
        <is>
          <t>["same_event","same_team_same_day","same_league_same_day"]</t>
        </is>
      </c>
      <c r="BJ208" s="25" t="n"/>
      <c r="BK208" s="26" t="n">
        <v>141</v>
      </c>
      <c r="BL208" s="27" t="n">
        <v>2.41</v>
      </c>
      <c r="BM208" s="28" t="n">
        <v>0.414938</v>
      </c>
      <c r="BN208" s="28" t="n">
        <v>0.412935</v>
      </c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0.4891381657</t>
        </is>
      </c>
      <c r="CD208" s="24" t="inlineStr">
        <is>
          <t>0.471311</t>
        </is>
      </c>
      <c r="CE208" s="24" t="inlineStr">
        <is>
          <t>1.036</t>
        </is>
      </c>
      <c r="CF208" s="24" t="inlineStr">
        <is>
          <t>1.0026</t>
        </is>
      </c>
      <c r="CG208" s="24" t="inlineStr">
        <is>
          <t>-0.8</t>
        </is>
      </c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</row>
    <row r="209" ht="36" customHeight="1">
      <c r="A209" s="24" t="inlineStr">
        <is>
          <t>c6fd1479e3a24db2</t>
        </is>
      </c>
      <c r="B209" s="24" t="inlineStr">
        <is>
          <t>2026-08-02T13:03:27.584850Z</t>
        </is>
      </c>
      <c r="C209" s="24" t="inlineStr">
        <is>
          <t>2026-08-02T14:10:00-0400</t>
        </is>
      </c>
      <c r="D209" s="24" t="inlineStr">
        <is>
          <t>401816370</t>
        </is>
      </c>
      <c r="E209" s="24" t="inlineStr">
        <is>
          <t>MLB</t>
        </is>
      </c>
      <c r="F209" s="24" t="inlineStr">
        <is>
          <t>Texas Rangers</t>
        </is>
      </c>
      <c r="G209" s="24" t="inlineStr">
        <is>
          <t>Houston Astros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-122</v>
      </c>
      <c r="M209" s="27" t="n">
        <v>1.819672</v>
      </c>
      <c r="N209" s="28" t="n">
        <v>0.54955</v>
      </c>
      <c r="O209" s="28" t="n">
        <v>0.538187</v>
      </c>
      <c r="P209" s="28" t="n"/>
      <c r="Q209" s="28" t="n">
        <v>-0.011363</v>
      </c>
      <c r="R209" s="26" t="n">
        <v>15</v>
      </c>
      <c r="S209" s="29" t="n">
        <v>1</v>
      </c>
      <c r="T209" s="24" t="inlineStr">
        <is>
          <t>mlb-elo-trend-lr-v7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Learned LR call at threshold 0.6242; executable ask 0.5500 (aec-mlb-tex-hou-2026-08-02); model edge vs ask -0.0118.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3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mlb-tex</t>
        </is>
      </c>
      <c r="AQ209" s="24" t="inlineStr">
        <is>
          <t>Texas Rangers</t>
        </is>
      </c>
      <c r="AR209" s="24" t="inlineStr">
        <is>
          <t>Texas Rangers</t>
        </is>
      </c>
      <c r="AS209" s="24" t="inlineStr">
        <is>
          <t>mlb-hou</t>
        </is>
      </c>
      <c r="AT209" s="24" t="inlineStr">
        <is>
          <t>Houston Astros</t>
        </is>
      </c>
      <c r="AU209" s="24" t="inlineStr">
        <is>
          <t>Houston Astros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464eef695bfbbdaa819ec6f5e4c5bd1068ed20b92915fb2677220ae91e20d8b6</t>
        </is>
      </c>
      <c r="BB209" s="24" t="inlineStr">
        <is>
          <t>learned_lr</t>
        </is>
      </c>
      <c r="BC209" s="24" t="inlineStr">
        <is>
          <t>mlb-elo-trend-lr-v7</t>
        </is>
      </c>
      <c r="BD209" s="24" t="inlineStr">
        <is>
          <t>464eef695bfbbdaa819ec6f5e4c5bd1068ed20b92915fb2677220ae91e20d8b6</t>
        </is>
      </c>
      <c r="BE209" s="24" t="inlineStr">
        <is>
          <t>2d42dfba300c1668</t>
        </is>
      </c>
      <c r="BF209" s="24" t="inlineStr">
        <is>
          <t>1</t>
        </is>
      </c>
      <c r="BG209" s="24" t="inlineStr">
        <is>
          <t>mlb-elo-trend-lr-v7</t>
        </is>
      </c>
      <c r="BH209" s="24" t="inlineStr">
        <is>
          <t>2026-08-02T13:02:29.373615Z</t>
        </is>
      </c>
      <c r="BI209" s="24" t="inlineStr">
        <is>
          <t>["same_event","same_team_same_day","same_league_same_day"]</t>
        </is>
      </c>
      <c r="BJ209" s="25" t="n"/>
      <c r="BK209" s="26" t="n">
        <v>-122</v>
      </c>
      <c r="BL209" s="27" t="n">
        <v>1.819672</v>
      </c>
      <c r="BM209" s="28" t="n">
        <v>0.54955</v>
      </c>
      <c r="BN209" s="28" t="n">
        <v>0.547264</v>
      </c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0.5570987062</t>
        </is>
      </c>
      <c r="CD209" s="24" t="inlineStr">
        <is>
          <t>1.976345</t>
        </is>
      </c>
      <c r="CE209" s="24" t="inlineStr">
        <is>
          <t>0.956</t>
        </is>
      </c>
      <c r="CF209" s="24" t="inlineStr">
        <is>
          <t>1.0</t>
        </is>
      </c>
      <c r="CG209" s="24" t="inlineStr">
        <is>
          <t>-1.4</t>
        </is>
      </c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</row>
    <row r="210" ht="36" customHeight="1">
      <c r="A210" s="24" t="inlineStr">
        <is>
          <t>174c538afa414958</t>
        </is>
      </c>
      <c r="B210" s="24" t="inlineStr">
        <is>
          <t>2026-08-02T13:03:27.584850Z</t>
        </is>
      </c>
      <c r="C210" s="24" t="inlineStr">
        <is>
          <t>2026-08-02T14:20:00-0400</t>
        </is>
      </c>
      <c r="D210" s="24" t="inlineStr">
        <is>
          <t>401816369</t>
        </is>
      </c>
      <c r="E210" s="24" t="inlineStr">
        <is>
          <t>MLB</t>
        </is>
      </c>
      <c r="F210" s="24" t="inlineStr">
        <is>
          <t>New York Yankees</t>
        </is>
      </c>
      <c r="G210" s="24" t="inlineStr">
        <is>
          <t>Chicago Cubs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115</v>
      </c>
      <c r="M210" s="27" t="n">
        <v>2.15</v>
      </c>
      <c r="N210" s="28" t="n">
        <v>0.465116</v>
      </c>
      <c r="O210" s="28" t="n">
        <v>0.549275</v>
      </c>
      <c r="P210" s="28" t="n"/>
      <c r="Q210" s="28" t="n">
        <v>0.084159</v>
      </c>
      <c r="R210" s="26" t="n">
        <v>63</v>
      </c>
      <c r="S210" s="29" t="n">
        <v>1</v>
      </c>
      <c r="T210" s="24" t="inlineStr">
        <is>
          <t>mlb-elo-trend-lr-v7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Learned LR call at threshold 0.6242; executable ask 0.4650 (aec-mlb-nyy-chc-2026-08-02); model edge vs ask +0.0843.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mlb-nyy</t>
        </is>
      </c>
      <c r="AQ210" s="24" t="inlineStr">
        <is>
          <t>New York Yankees</t>
        </is>
      </c>
      <c r="AR210" s="24" t="inlineStr">
        <is>
          <t>New York Yankees</t>
        </is>
      </c>
      <c r="AS210" s="24" t="inlineStr">
        <is>
          <t>mlb-chc</t>
        </is>
      </c>
      <c r="AT210" s="24" t="inlineStr">
        <is>
          <t>Chicago Cubs</t>
        </is>
      </c>
      <c r="AU210" s="24" t="inlineStr">
        <is>
          <t>Chicago Cubs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464eef695bfbbdaa819ec6f5e4c5bd1068ed20b92915fb2677220ae91e20d8b6</t>
        </is>
      </c>
      <c r="BB210" s="24" t="inlineStr">
        <is>
          <t>learned_lr</t>
        </is>
      </c>
      <c r="BC210" s="24" t="inlineStr">
        <is>
          <t>mlb-elo-trend-lr-v7</t>
        </is>
      </c>
      <c r="BD210" s="24" t="inlineStr">
        <is>
          <t>464eef695bfbbdaa819ec6f5e4c5bd1068ed20b92915fb2677220ae91e20d8b6</t>
        </is>
      </c>
      <c r="BE210" s="24" t="inlineStr">
        <is>
          <t>e903cd504b6f4842</t>
        </is>
      </c>
      <c r="BF210" s="24" t="inlineStr">
        <is>
          <t>1</t>
        </is>
      </c>
      <c r="BG210" s="24" t="inlineStr">
        <is>
          <t>mlb-elo-trend-lr-v7</t>
        </is>
      </c>
      <c r="BH210" s="24" t="inlineStr">
        <is>
          <t>2026-08-02T13:02:30.253494Z</t>
        </is>
      </c>
      <c r="BI210" s="24" t="inlineStr">
        <is>
          <t>["same_event","same_team_same_day","same_league_same_day"]</t>
        </is>
      </c>
      <c r="BJ210" s="25" t="n"/>
      <c r="BK210" s="26" t="n">
        <v>115</v>
      </c>
      <c r="BL210" s="27" t="n">
        <v>2.15</v>
      </c>
      <c r="BM210" s="28" t="n">
        <v>0.465116</v>
      </c>
      <c r="BN210" s="28" t="n">
        <v>0.462687</v>
      </c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0.5479631024</t>
        </is>
      </c>
      <c r="CD210" s="24" t="inlineStr">
        <is>
          <t>0.358864</t>
        </is>
      </c>
      <c r="CE210" s="24" t="inlineStr">
        <is>
          <t>0.986</t>
        </is>
      </c>
      <c r="CF210" s="24" t="inlineStr">
        <is>
          <t>1.0129</t>
        </is>
      </c>
      <c r="CG210" s="24" t="inlineStr">
        <is>
          <t>-0.8</t>
        </is>
      </c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</row>
    <row r="211" ht="36" customHeight="1">
      <c r="A211" s="24" t="inlineStr">
        <is>
          <t>0ff36c071ab14ead</t>
        </is>
      </c>
      <c r="B211" s="24" t="inlineStr">
        <is>
          <t>2026-08-02T13:03:27.584850Z</t>
        </is>
      </c>
      <c r="C211" s="24" t="inlineStr">
        <is>
          <t>2026-08-02T15:10:00-0400</t>
        </is>
      </c>
      <c r="D211" s="24" t="inlineStr">
        <is>
          <t>401816371</t>
        </is>
      </c>
      <c r="E211" s="24" t="inlineStr">
        <is>
          <t>MLB</t>
        </is>
      </c>
      <c r="F211" s="24" t="inlineStr">
        <is>
          <t>Kansas City Royals</t>
        </is>
      </c>
      <c r="G211" s="24" t="inlineStr">
        <is>
          <t>Colorado Rockies</t>
        </is>
      </c>
      <c r="H211" s="24" t="inlineStr">
        <is>
          <t>moneyline</t>
        </is>
      </c>
      <c r="I211" s="24" t="inlineStr">
        <is>
          <t>away</t>
        </is>
      </c>
      <c r="J211" s="25" t="n"/>
      <c r="K211" s="24" t="inlineStr">
        <is>
          <t>polymarket_us</t>
        </is>
      </c>
      <c r="L211" s="26" t="n">
        <v>106</v>
      </c>
      <c r="M211" s="27" t="n">
        <v>2.06</v>
      </c>
      <c r="N211" s="28" t="n">
        <v>0.485437</v>
      </c>
      <c r="O211" s="28" t="n">
        <v>0.600004</v>
      </c>
      <c r="P211" s="28" t="n"/>
      <c r="Q211" s="28" t="n">
        <v>0.114567</v>
      </c>
      <c r="R211" s="26" t="n">
        <v>79</v>
      </c>
      <c r="S211" s="29" t="n">
        <v>1.25</v>
      </c>
      <c r="T211" s="24" t="inlineStr">
        <is>
          <t>mlb-elo-trend-lr-v7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Learned LR call at threshold 0.6242; executable ask 0.4850 (aec-mlb-kc-col-2026-08-02); model edge vs ask +0.1150.</t>
        </is>
      </c>
      <c r="AF211" s="31" t="inlineStr">
        <is>
          <t>Learned model; shadow-qualified via operator override.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mlb-kc</t>
        </is>
      </c>
      <c r="AQ211" s="24" t="inlineStr">
        <is>
          <t>Kansas City Royals</t>
        </is>
      </c>
      <c r="AR211" s="24" t="inlineStr">
        <is>
          <t>Kansas City Royals</t>
        </is>
      </c>
      <c r="AS211" s="24" t="inlineStr">
        <is>
          <t>mlb-col</t>
        </is>
      </c>
      <c r="AT211" s="24" t="inlineStr">
        <is>
          <t>Colorado Rockies</t>
        </is>
      </c>
      <c r="AU211" s="24" t="inlineStr">
        <is>
          <t>Colorado Rockies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464eef695bfbbdaa819ec6f5e4c5bd1068ed20b92915fb2677220ae91e20d8b6</t>
        </is>
      </c>
      <c r="BB211" s="24" t="inlineStr">
        <is>
          <t>learned_lr</t>
        </is>
      </c>
      <c r="BC211" s="24" t="inlineStr">
        <is>
          <t>mlb-elo-trend-lr-v7</t>
        </is>
      </c>
      <c r="BD211" s="24" t="inlineStr">
        <is>
          <t>464eef695bfbbdaa819ec6f5e4c5bd1068ed20b92915fb2677220ae91e20d8b6</t>
        </is>
      </c>
      <c r="BE211" s="24" t="inlineStr">
        <is>
          <t>6c183dcf06abc223</t>
        </is>
      </c>
      <c r="BF211" s="24" t="inlineStr">
        <is>
          <t>1</t>
        </is>
      </c>
      <c r="BG211" s="24" t="inlineStr">
        <is>
          <t>mlb-elo-trend-lr-v7</t>
        </is>
      </c>
      <c r="BH211" s="24" t="inlineStr">
        <is>
          <t>2026-08-02T13:02:31.366658Z</t>
        </is>
      </c>
      <c r="BI211" s="24" t="inlineStr">
        <is>
          <t>["same_event","same_team_same_day","same_league_same_day"]</t>
        </is>
      </c>
      <c r="BJ211" s="25" t="n"/>
      <c r="BK211" s="26" t="n">
        <v>106</v>
      </c>
      <c r="BL211" s="27" t="n">
        <v>2.06</v>
      </c>
      <c r="BM211" s="28" t="n">
        <v>0.485437</v>
      </c>
      <c r="BN211" s="28" t="n">
        <v>0.482587</v>
      </c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inlineStr">
        <is>
          <t>0.4463973804</t>
        </is>
      </c>
      <c r="CD211" s="24" t="inlineStr">
        <is>
          <t>1.55286</t>
        </is>
      </c>
      <c r="CE211" s="24" t="inlineStr">
        <is>
          <t>1.193</t>
        </is>
      </c>
      <c r="CF211" s="24" t="inlineStr">
        <is>
          <t>1.0304</t>
        </is>
      </c>
      <c r="CG211" s="24" t="inlineStr">
        <is>
          <t>1.4</t>
        </is>
      </c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</row>
    <row r="212" ht="36" customHeight="1">
      <c r="A212" s="24" t="inlineStr">
        <is>
          <t>2756ba8aa6f94460</t>
        </is>
      </c>
      <c r="B212" s="24" t="inlineStr">
        <is>
          <t>2026-08-02T13:03:27.584850Z</t>
        </is>
      </c>
      <c r="C212" s="24" t="inlineStr">
        <is>
          <t>2026-08-02T15:15:00-0400</t>
        </is>
      </c>
      <c r="D212" s="24" t="inlineStr">
        <is>
          <t>401816374</t>
        </is>
      </c>
      <c r="E212" s="24" t="inlineStr">
        <is>
          <t>MLB</t>
        </is>
      </c>
      <c r="F212" s="24" t="inlineStr">
        <is>
          <t>Milwaukee Brewers</t>
        </is>
      </c>
      <c r="G212" s="24" t="inlineStr">
        <is>
          <t>Los Angeles Angels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-217</v>
      </c>
      <c r="M212" s="27" t="n">
        <v>1.460829</v>
      </c>
      <c r="N212" s="28" t="n">
        <v>0.684543</v>
      </c>
      <c r="O212" s="28" t="n">
        <v>0.625577</v>
      </c>
      <c r="P212" s="28" t="n"/>
      <c r="Q212" s="28" t="n">
        <v>-0.058966</v>
      </c>
      <c r="R212" s="26" t="n">
        <v>0</v>
      </c>
      <c r="S212" s="29" t="n">
        <v>1.5</v>
      </c>
      <c r="T212" s="24" t="inlineStr">
        <is>
          <t>mlb-elo-trend-lr-v7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Learned LR call at threshold 0.6242; executable ask 0.6850 (aec-mlb-mil-laa-2026-08-02); model edge vs ask -0.0594.</t>
        </is>
      </c>
      <c r="AF212" s="31" t="inlineStr">
        <is>
          <t>Learned model; shadow-qualified via operator override.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mlb-mil</t>
        </is>
      </c>
      <c r="AQ212" s="24" t="inlineStr">
        <is>
          <t>Milwaukee Brewers</t>
        </is>
      </c>
      <c r="AR212" s="24" t="inlineStr">
        <is>
          <t>Milwaukee Brewers</t>
        </is>
      </c>
      <c r="AS212" s="24" t="inlineStr">
        <is>
          <t>mlb-laa</t>
        </is>
      </c>
      <c r="AT212" s="24" t="inlineStr">
        <is>
          <t>Los Angeles Angels</t>
        </is>
      </c>
      <c r="AU212" s="24" t="inlineStr">
        <is>
          <t>Los Angeles Angels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464eef695bfbbdaa819ec6f5e4c5bd1068ed20b92915fb2677220ae91e20d8b6</t>
        </is>
      </c>
      <c r="BB212" s="24" t="inlineStr">
        <is>
          <t>learned_lr</t>
        </is>
      </c>
      <c r="BC212" s="24" t="inlineStr">
        <is>
          <t>mlb-elo-trend-lr-v7</t>
        </is>
      </c>
      <c r="BD212" s="24" t="inlineStr">
        <is>
          <t>464eef695bfbbdaa819ec6f5e4c5bd1068ed20b92915fb2677220ae91e20d8b6</t>
        </is>
      </c>
      <c r="BE212" s="24" t="inlineStr">
        <is>
          <t>54bf739e960196f5</t>
        </is>
      </c>
      <c r="BF212" s="24" t="inlineStr">
        <is>
          <t>1</t>
        </is>
      </c>
      <c r="BG212" s="24" t="inlineStr">
        <is>
          <t>mlb-elo-trend-lr-v7</t>
        </is>
      </c>
      <c r="BH212" s="24" t="inlineStr">
        <is>
          <t>2026-08-02T13:02:32.061064Z</t>
        </is>
      </c>
      <c r="BI212" s="24" t="inlineStr">
        <is>
          <t>["same_event","same_team_same_day","same_league_same_day"]</t>
        </is>
      </c>
      <c r="BJ212" s="25" t="n"/>
      <c r="BK212" s="26" t="n">
        <v>-217</v>
      </c>
      <c r="BL212" s="27" t="n">
        <v>1.460829</v>
      </c>
      <c r="BM212" s="28" t="n">
        <v>0.684543</v>
      </c>
      <c r="BN212" s="28" t="n">
        <v>0.681592</v>
      </c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inlineStr">
        <is>
          <t>0.3268450055</t>
        </is>
      </c>
      <c r="CD212" s="24" t="inlineStr">
        <is>
          <t>-0.59379</t>
        </is>
      </c>
      <c r="CE212" s="24" t="inlineStr">
        <is>
          <t>1.01</t>
        </is>
      </c>
      <c r="CF212" s="24" t="inlineStr">
        <is>
          <t>1.0169</t>
        </is>
      </c>
      <c r="CG212" s="24" t="inlineStr">
        <is>
          <t>0.2</t>
        </is>
      </c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</row>
    <row r="213" ht="36" customHeight="1">
      <c r="A213" s="24" t="inlineStr">
        <is>
          <t>b4a466586af740da</t>
        </is>
      </c>
      <c r="B213" s="24" t="inlineStr">
        <is>
          <t>2026-08-02T13:03:27.584850Z</t>
        </is>
      </c>
      <c r="C213" s="24" t="inlineStr">
        <is>
          <t>2026-08-02T16:05:00-0400</t>
        </is>
      </c>
      <c r="D213" s="24" t="inlineStr">
        <is>
          <t>401816373</t>
        </is>
      </c>
      <c r="E213" s="24" t="inlineStr">
        <is>
          <t>MLB</t>
        </is>
      </c>
      <c r="F213" s="24" t="inlineStr">
        <is>
          <t>Detroit Tigers</t>
        </is>
      </c>
      <c r="G213" s="24" t="inlineStr">
        <is>
          <t>Athletics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-108</v>
      </c>
      <c r="M213" s="27" t="n">
        <v>1.925926</v>
      </c>
      <c r="N213" s="28" t="n">
        <v>0.519231</v>
      </c>
      <c r="O213" s="28" t="n">
        <v>0.559467</v>
      </c>
      <c r="P213" s="28" t="n"/>
      <c r="Q213" s="28" t="n">
        <v>0.040236</v>
      </c>
      <c r="R213" s="26" t="n">
        <v>41</v>
      </c>
      <c r="S213" s="29" t="n">
        <v>1</v>
      </c>
      <c r="T213" s="24" t="inlineStr">
        <is>
          <t>mlb-elo-trend-lr-v7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Learned LR call at threshold 0.6242; executable ask 0.5200 (aec-mlb-det-ath-2026-08-02); model edge vs ask +0.0395.</t>
        </is>
      </c>
      <c r="AF213" s="31" t="inlineStr">
        <is>
          <t>Learned model; shadow-qualified via operator override.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mlb-det</t>
        </is>
      </c>
      <c r="AQ213" s="24" t="inlineStr">
        <is>
          <t>Detroit Tigers</t>
        </is>
      </c>
      <c r="AR213" s="24" t="inlineStr">
        <is>
          <t>Detroit Tigers</t>
        </is>
      </c>
      <c r="AS213" s="24" t="inlineStr">
        <is>
          <t>mlb-ath</t>
        </is>
      </c>
      <c r="AT213" s="24" t="inlineStr">
        <is>
          <t>Athletics</t>
        </is>
      </c>
      <c r="AU213" s="24" t="inlineStr">
        <is>
          <t>Athletics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464eef695bfbbdaa819ec6f5e4c5bd1068ed20b92915fb2677220ae91e20d8b6</t>
        </is>
      </c>
      <c r="BB213" s="24" t="inlineStr">
        <is>
          <t>learned_lr</t>
        </is>
      </c>
      <c r="BC213" s="24" t="inlineStr">
        <is>
          <t>mlb-elo-trend-lr-v7</t>
        </is>
      </c>
      <c r="BD213" s="24" t="inlineStr">
        <is>
          <t>464eef695bfbbdaa819ec6f5e4c5bd1068ed20b92915fb2677220ae91e20d8b6</t>
        </is>
      </c>
      <c r="BE213" s="24" t="inlineStr">
        <is>
          <t>8ee4872235b3acc5</t>
        </is>
      </c>
      <c r="BF213" s="24" t="inlineStr">
        <is>
          <t>1</t>
        </is>
      </c>
      <c r="BG213" s="24" t="inlineStr">
        <is>
          <t>mlb-elo-trend-lr-v7</t>
        </is>
      </c>
      <c r="BH213" s="24" t="inlineStr">
        <is>
          <t>2026-08-02T13:02:33.355553Z</t>
        </is>
      </c>
      <c r="BI213" s="24" t="inlineStr">
        <is>
          <t>["same_event","same_team_same_day","same_league_same_day"]</t>
        </is>
      </c>
      <c r="BJ213" s="25" t="n"/>
      <c r="BK213" s="26" t="n">
        <v>-108</v>
      </c>
      <c r="BL213" s="27" t="n">
        <v>1.925926</v>
      </c>
      <c r="BM213" s="28" t="n">
        <v>0.519231</v>
      </c>
      <c r="BN213" s="28" t="n">
        <v>0.517413</v>
      </c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inlineStr">
        <is>
          <t>0.4182489247</t>
        </is>
      </c>
      <c r="CD213" s="24" t="inlineStr">
        <is>
          <t>-3.449013</t>
        </is>
      </c>
      <c r="CE213" s="24" t="inlineStr">
        <is>
          <t>1.153</t>
        </is>
      </c>
      <c r="CF213" s="24" t="inlineStr">
        <is>
          <t>1.0293</t>
        </is>
      </c>
      <c r="CG213" s="24" t="inlineStr">
        <is>
          <t>1.0</t>
        </is>
      </c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</row>
    <row r="214" ht="36" customHeight="1">
      <c r="A214" s="24" t="inlineStr">
        <is>
          <t>bab1e1b157624f22</t>
        </is>
      </c>
      <c r="B214" s="24" t="inlineStr">
        <is>
          <t>2026-08-02T13:03:27.584850Z</t>
        </is>
      </c>
      <c r="C214" s="24" t="inlineStr">
        <is>
          <t>2026-08-02T16:10:00-0400</t>
        </is>
      </c>
      <c r="D214" s="24" t="inlineStr">
        <is>
          <t>401816375</t>
        </is>
      </c>
      <c r="E214" s="24" t="inlineStr">
        <is>
          <t>MLB</t>
        </is>
      </c>
      <c r="F214" s="24" t="inlineStr">
        <is>
          <t>Minnesota Twins</t>
        </is>
      </c>
      <c r="G214" s="24" t="inlineStr">
        <is>
          <t>Seattle Mariners</t>
        </is>
      </c>
      <c r="H214" s="24" t="inlineStr">
        <is>
          <t>moneyline</t>
        </is>
      </c>
      <c r="I214" s="24" t="inlineStr">
        <is>
          <t>home</t>
        </is>
      </c>
      <c r="J214" s="25" t="n"/>
      <c r="K214" s="24" t="inlineStr">
        <is>
          <t>polymarket_us</t>
        </is>
      </c>
      <c r="L214" s="26" t="n">
        <v>-127</v>
      </c>
      <c r="M214" s="27" t="n">
        <v>1.787402</v>
      </c>
      <c r="N214" s="28" t="n">
        <v>0.5594710000000001</v>
      </c>
      <c r="O214" s="28" t="n">
        <v>0.596425</v>
      </c>
      <c r="P214" s="28" t="n"/>
      <c r="Q214" s="28" t="n">
        <v>0.036954</v>
      </c>
      <c r="R214" s="26" t="n">
        <v>40</v>
      </c>
      <c r="S214" s="29" t="n">
        <v>1.25</v>
      </c>
      <c r="T214" s="24" t="inlineStr">
        <is>
          <t>mlb-elo-trend-lr-v7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Learned LR call at threshold 0.6242; executable ask 0.5600 (aec-mlb-min-sea-2026-08-02); model edge vs ask +0.0364.</t>
        </is>
      </c>
      <c r="AF214" s="31" t="inlineStr">
        <is>
          <t>Learned model; shadow-qualified via operator override.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mlb-min</t>
        </is>
      </c>
      <c r="AQ214" s="24" t="inlineStr">
        <is>
          <t>Minnesota Twins</t>
        </is>
      </c>
      <c r="AR214" s="24" t="inlineStr">
        <is>
          <t>Minnesota Twins</t>
        </is>
      </c>
      <c r="AS214" s="24" t="inlineStr">
        <is>
          <t>mlb-sea</t>
        </is>
      </c>
      <c r="AT214" s="24" t="inlineStr">
        <is>
          <t>Seattle Mariners</t>
        </is>
      </c>
      <c r="AU214" s="24" t="inlineStr">
        <is>
          <t>Seattle Mariners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464eef695bfbbdaa819ec6f5e4c5bd1068ed20b92915fb2677220ae91e20d8b6</t>
        </is>
      </c>
      <c r="BB214" s="24" t="inlineStr">
        <is>
          <t>learned_lr</t>
        </is>
      </c>
      <c r="BC214" s="24" t="inlineStr">
        <is>
          <t>mlb-elo-trend-lr-v7</t>
        </is>
      </c>
      <c r="BD214" s="24" t="inlineStr">
        <is>
          <t>464eef695bfbbdaa819ec6f5e4c5bd1068ed20b92915fb2677220ae91e20d8b6</t>
        </is>
      </c>
      <c r="BE214" s="24" t="inlineStr">
        <is>
          <t>e58bfb84888a3f7a</t>
        </is>
      </c>
      <c r="BF214" s="24" t="inlineStr">
        <is>
          <t>1</t>
        </is>
      </c>
      <c r="BG214" s="24" t="inlineStr">
        <is>
          <t>mlb-elo-trend-lr-v7</t>
        </is>
      </c>
      <c r="BH214" s="24" t="inlineStr">
        <is>
          <t>2026-08-02T13:02:35.411111Z</t>
        </is>
      </c>
      <c r="BI214" s="24" t="inlineStr">
        <is>
          <t>["same_event","same_team_same_day","same_league_same_day"]</t>
        </is>
      </c>
      <c r="BJ214" s="25" t="n"/>
      <c r="BK214" s="26" t="n">
        <v>-127</v>
      </c>
      <c r="BL214" s="27" t="n">
        <v>1.787402</v>
      </c>
      <c r="BM214" s="28" t="n">
        <v>0.5594710000000001</v>
      </c>
      <c r="BN214" s="28" t="n">
        <v>0.557214</v>
      </c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inlineStr">
        <is>
          <t>0.5819178739</t>
        </is>
      </c>
      <c r="CD214" s="24" t="inlineStr">
        <is>
          <t>0.703281</t>
        </is>
      </c>
      <c r="CE214" s="24" t="inlineStr">
        <is>
          <t>0.936</t>
        </is>
      </c>
      <c r="CF214" s="24" t="inlineStr">
        <is>
          <t>1.0</t>
        </is>
      </c>
      <c r="CG214" s="24" t="inlineStr">
        <is>
          <t>1.8</t>
        </is>
      </c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</row>
    <row r="215" ht="36" customHeight="1">
      <c r="A215" s="24" t="inlineStr">
        <is>
          <t>885118d21e9f49e5</t>
        </is>
      </c>
      <c r="B215" s="24" t="inlineStr">
        <is>
          <t>2026-08-02T13:03:27.584850Z</t>
        </is>
      </c>
      <c r="C215" s="24" t="inlineStr">
        <is>
          <t>2026-08-02T16:10:00-0400</t>
        </is>
      </c>
      <c r="D215" s="24" t="inlineStr">
        <is>
          <t>401816376</t>
        </is>
      </c>
      <c r="E215" s="24" t="inlineStr">
        <is>
          <t>MLB</t>
        </is>
      </c>
      <c r="F215" s="24" t="inlineStr">
        <is>
          <t>San Francisco Giants</t>
        </is>
      </c>
      <c r="G215" s="24" t="inlineStr">
        <is>
          <t>San Diego Padres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-138</v>
      </c>
      <c r="M215" s="27" t="n">
        <v>1.724638</v>
      </c>
      <c r="N215" s="28" t="n">
        <v>0.579832</v>
      </c>
      <c r="O215" s="28" t="n">
        <v>0.589174</v>
      </c>
      <c r="P215" s="28" t="n"/>
      <c r="Q215" s="28" t="n">
        <v>0.009342</v>
      </c>
      <c r="R215" s="26" t="n">
        <v>26</v>
      </c>
      <c r="S215" s="29" t="n">
        <v>1.25</v>
      </c>
      <c r="T215" s="24" t="inlineStr">
        <is>
          <t>mlb-elo-trend-lr-v7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Learned LR call at threshold 0.6242; executable ask 0.5800 (aec-mlb-sf-sd-2026-08-02); model edge vs ask +0.0092.</t>
        </is>
      </c>
      <c r="AF215" s="31" t="inlineStr">
        <is>
          <t>Learned model; shadow-qualified via operator override.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3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mlb-sf</t>
        </is>
      </c>
      <c r="AQ215" s="24" t="inlineStr">
        <is>
          <t>San Francisco Giants</t>
        </is>
      </c>
      <c r="AR215" s="24" t="inlineStr">
        <is>
          <t>San Francisco Giants</t>
        </is>
      </c>
      <c r="AS215" s="24" t="inlineStr">
        <is>
          <t>mlb-sd</t>
        </is>
      </c>
      <c r="AT215" s="24" t="inlineStr">
        <is>
          <t>San Diego Padres</t>
        </is>
      </c>
      <c r="AU215" s="24" t="inlineStr">
        <is>
          <t>San Diego Padres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464eef695bfbbdaa819ec6f5e4c5bd1068ed20b92915fb2677220ae91e20d8b6</t>
        </is>
      </c>
      <c r="BB215" s="24" t="inlineStr">
        <is>
          <t>learned_lr</t>
        </is>
      </c>
      <c r="BC215" s="24" t="inlineStr">
        <is>
          <t>mlb-elo-trend-lr-v7</t>
        </is>
      </c>
      <c r="BD215" s="24" t="inlineStr">
        <is>
          <t>464eef695bfbbdaa819ec6f5e4c5bd1068ed20b92915fb2677220ae91e20d8b6</t>
        </is>
      </c>
      <c r="BE215" s="24" t="inlineStr">
        <is>
          <t>fe5bb0382c18ca7a</t>
        </is>
      </c>
      <c r="BF215" s="24" t="inlineStr">
        <is>
          <t>1</t>
        </is>
      </c>
      <c r="BG215" s="24" t="inlineStr">
        <is>
          <t>mlb-elo-trend-lr-v7</t>
        </is>
      </c>
      <c r="BH215" s="24" t="inlineStr">
        <is>
          <t>2026-08-02T13:02:34.353090Z</t>
        </is>
      </c>
      <c r="BI215" s="24" t="inlineStr">
        <is>
          <t>["same_event","same_team_same_day","same_league_same_day"]</t>
        </is>
      </c>
      <c r="BJ215" s="25" t="n"/>
      <c r="BK215" s="26" t="n">
        <v>-138</v>
      </c>
      <c r="BL215" s="27" t="n">
        <v>1.724638</v>
      </c>
      <c r="BM215" s="28" t="n">
        <v>0.579832</v>
      </c>
      <c r="BN215" s="28" t="n">
        <v>0.577114</v>
      </c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inlineStr">
        <is>
          <t>0.5952401601</t>
        </is>
      </c>
      <c r="CD215" s="24" t="inlineStr">
        <is>
          <t>0.046644</t>
        </is>
      </c>
      <c r="CE215" s="24" t="inlineStr">
        <is>
          <t>0.945</t>
        </is>
      </c>
      <c r="CF215" s="24" t="inlineStr">
        <is>
          <t>1.0091</t>
        </is>
      </c>
      <c r="CG215" s="24" t="inlineStr">
        <is>
          <t>-1.6</t>
        </is>
      </c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</row>
    <row r="216" ht="36" customHeight="1">
      <c r="A216" s="24" t="inlineStr">
        <is>
          <t>a0cd56054dbf40ac</t>
        </is>
      </c>
      <c r="B216" s="24" t="inlineStr">
        <is>
          <t>2026-08-02T13:03:27.584850Z</t>
        </is>
      </c>
      <c r="C216" s="24" t="inlineStr">
        <is>
          <t>2026-08-02T19:20:00-0400</t>
        </is>
      </c>
      <c r="D216" s="24" t="inlineStr">
        <is>
          <t>401816372</t>
        </is>
      </c>
      <c r="E216" s="24" t="inlineStr">
        <is>
          <t>MLB</t>
        </is>
      </c>
      <c r="F216" s="24" t="inlineStr">
        <is>
          <t>Boston Red Sox</t>
        </is>
      </c>
      <c r="G216" s="24" t="inlineStr">
        <is>
          <t>Los Angeles Dodgers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-150</v>
      </c>
      <c r="M216" s="27" t="n">
        <v>1.666667</v>
      </c>
      <c r="N216" s="28" t="n">
        <v>0.6</v>
      </c>
      <c r="O216" s="28" t="n">
        <v>0.55935</v>
      </c>
      <c r="P216" s="28" t="n"/>
      <c r="Q216" s="28" t="n">
        <v>-0.04065</v>
      </c>
      <c r="R216" s="26" t="n">
        <v>1</v>
      </c>
      <c r="S216" s="29" t="n">
        <v>1</v>
      </c>
      <c r="T216" s="24" t="inlineStr">
        <is>
          <t>mlb-elo-trend-lr-v7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Learned LR call at threshold 0.6242; executable ask 0.6000 (aec-mlb-bos-lad-2026-08-02); model edge vs ask -0.0406.</t>
        </is>
      </c>
      <c r="AF216" s="31" t="inlineStr">
        <is>
          <t>Learned model; shadow-qualified via operator override.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mlb-bos</t>
        </is>
      </c>
      <c r="AQ216" s="24" t="inlineStr">
        <is>
          <t>Boston Red Sox</t>
        </is>
      </c>
      <c r="AR216" s="24" t="inlineStr">
        <is>
          <t>Boston Red Sox</t>
        </is>
      </c>
      <c r="AS216" s="24" t="inlineStr">
        <is>
          <t>mlb-lad</t>
        </is>
      </c>
      <c r="AT216" s="24" t="inlineStr">
        <is>
          <t>Los Angeles Dodgers</t>
        </is>
      </c>
      <c r="AU216" s="24" t="inlineStr">
        <is>
          <t>Los Angeles Dodgers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464eef695bfbbdaa819ec6f5e4c5bd1068ed20b92915fb2677220ae91e20d8b6</t>
        </is>
      </c>
      <c r="BB216" s="24" t="inlineStr">
        <is>
          <t>learned_lr</t>
        </is>
      </c>
      <c r="BC216" s="24" t="inlineStr">
        <is>
          <t>mlb-elo-trend-lr-v7</t>
        </is>
      </c>
      <c r="BD216" s="24" t="inlineStr">
        <is>
          <t>464eef695bfbbdaa819ec6f5e4c5bd1068ed20b92915fb2677220ae91e20d8b6</t>
        </is>
      </c>
      <c r="BE216" s="24" t="inlineStr">
        <is>
          <t>5b760703f3a80b2b</t>
        </is>
      </c>
      <c r="BF216" s="24" t="inlineStr">
        <is>
          <t>1</t>
        </is>
      </c>
      <c r="BG216" s="24" t="inlineStr">
        <is>
          <t>mlb-elo-trend-lr-v7</t>
        </is>
      </c>
      <c r="BH216" s="24" t="inlineStr">
        <is>
          <t>2026-08-02T13:02:36.280070Z</t>
        </is>
      </c>
      <c r="BI216" s="24" t="inlineStr">
        <is>
          <t>["same_event","same_team_same_day","same_league_same_day"]</t>
        </is>
      </c>
      <c r="BJ216" s="25" t="n"/>
      <c r="BK216" s="26" t="n">
        <v>-150</v>
      </c>
      <c r="BL216" s="27" t="n">
        <v>1.666667</v>
      </c>
      <c r="BM216" s="28" t="n">
        <v>0.6</v>
      </c>
      <c r="BN216" s="28" t="n">
        <v>0.597015</v>
      </c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inlineStr">
        <is>
          <t>0.5465616607</t>
        </is>
      </c>
      <c r="CD216" s="24" t="inlineStr">
        <is>
          <t>-0.812713</t>
        </is>
      </c>
      <c r="CE216" s="24" t="inlineStr">
        <is>
          <t>1.026</t>
        </is>
      </c>
      <c r="CF216" s="24" t="inlineStr">
        <is>
          <t>1.0178</t>
        </is>
      </c>
      <c r="CG216" s="24" t="inlineStr">
        <is>
          <t>2.6</t>
        </is>
      </c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</row>
    <row r="217" ht="36" customHeight="1">
      <c r="A217" s="24" t="inlineStr">
        <is>
          <t>251b015b00914524</t>
        </is>
      </c>
      <c r="B217" s="24" t="inlineStr">
        <is>
          <t>2026-08-02T13:04:08.311739Z</t>
        </is>
      </c>
      <c r="C217" s="24" t="inlineStr">
        <is>
          <t>2026-08-02T17:35Z</t>
        </is>
      </c>
      <c r="D217" s="24" t="inlineStr">
        <is>
          <t>401816365</t>
        </is>
      </c>
      <c r="E217" s="24" t="inlineStr">
        <is>
          <t>MLB</t>
        </is>
      </c>
      <c r="F217" s="24" t="inlineStr">
        <is>
          <t>Philadelphia Phillies</t>
        </is>
      </c>
      <c r="G217" s="24" t="inlineStr">
        <is>
          <t>Baltimore Orioles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-138</v>
      </c>
      <c r="M217" s="27" t="n">
        <v>1.724638</v>
      </c>
      <c r="N217" s="28" t="n">
        <v>0.579832</v>
      </c>
      <c r="O217" s="28" t="n">
        <v>0.614047</v>
      </c>
      <c r="P217" s="28" t="n">
        <v>0.042131</v>
      </c>
      <c r="Q217" s="28" t="n">
        <v>0.034215</v>
      </c>
      <c r="R217" s="26" t="n">
        <v>42</v>
      </c>
      <c r="S217" s="29" t="n">
        <v>1.5</v>
      </c>
      <c r="T217" s="24" t="inlineStr">
        <is>
          <t>measured-edge-margin-v2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Measured Edge Margin: Trend Engine projected 4.52-4.52; raw selected-side p=0.6737, calibrated p=0.6140.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NO_CALL_MODEL_UNVALIDATED</t>
        </is>
      </c>
      <c r="AP217" s="24" t="inlineStr">
        <is>
          <t>mlb-phi</t>
        </is>
      </c>
      <c r="AQ217" s="24" t="inlineStr">
        <is>
          <t>Philadelphia Phillies</t>
        </is>
      </c>
      <c r="AR217" s="24" t="inlineStr">
        <is>
          <t>Philadelphia Phillies</t>
        </is>
      </c>
      <c r="AS217" s="24" t="inlineStr">
        <is>
          <t>mlb-bal</t>
        </is>
      </c>
      <c r="AT217" s="24" t="inlineStr">
        <is>
          <t>Baltimore Orioles</t>
        </is>
      </c>
      <c r="AU217" s="24" t="inlineStr">
        <is>
          <t>Baltimore Orioles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8360b122264b796b0fb193095cfe4506c7e064e5f3f8c0a659aec41efd08dd25</t>
        </is>
      </c>
      <c r="BB217" s="24" t="inlineStr">
        <is>
          <t>flat_probability_shrinkage_toward_half</t>
        </is>
      </c>
      <c r="BC217" s="24" t="inlineStr">
        <is>
          <t>measured-edge-margin-v2</t>
        </is>
      </c>
      <c r="BD217" s="24" t="inlineStr">
        <is>
          <t>8360b122264b796b0fb193095cfe4506c7e064e5f3f8c0a659aec41efd08dd25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2026-08-02T13:04:08.311739Z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-138</v>
      </c>
      <c r="BL217" s="27" t="n">
        <v>1.724638</v>
      </c>
      <c r="BM217" s="28" t="n">
        <v>0.579832</v>
      </c>
      <c r="BN217" s="28" t="n">
        <v>0.577114</v>
      </c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</row>
    <row r="218" ht="36" customHeight="1">
      <c r="A218" s="24" t="inlineStr">
        <is>
          <t>405585b429e24480</t>
        </is>
      </c>
      <c r="B218" s="24" t="inlineStr">
        <is>
          <t>2026-08-02T13:04:08.311739Z</t>
        </is>
      </c>
      <c r="C218" s="24" t="inlineStr">
        <is>
          <t>2026-08-02T17:35Z</t>
        </is>
      </c>
      <c r="D218" s="24" t="inlineStr">
        <is>
          <t>401816365</t>
        </is>
      </c>
      <c r="E218" s="24" t="inlineStr">
        <is>
          <t>MLB</t>
        </is>
      </c>
      <c r="F218" s="24" t="inlineStr">
        <is>
          <t>Philadelphia Phillies</t>
        </is>
      </c>
      <c r="G218" s="24" t="inlineStr">
        <is>
          <t>Baltimore Orioles</t>
        </is>
      </c>
      <c r="H218" s="24" t="inlineStr">
        <is>
          <t>total</t>
        </is>
      </c>
      <c r="I218" s="24" t="inlineStr">
        <is>
          <t>over</t>
        </is>
      </c>
      <c r="J218" s="25" t="n">
        <v>7.5</v>
      </c>
      <c r="K218" s="24" t="inlineStr">
        <is>
          <t>polymarket_us</t>
        </is>
      </c>
      <c r="L218" s="26" t="n">
        <v>-108</v>
      </c>
      <c r="M218" s="27" t="n">
        <v>1.925926</v>
      </c>
      <c r="N218" s="28" t="n">
        <v>0.519231</v>
      </c>
      <c r="O218" s="28" t="n">
        <v>0.540053</v>
      </c>
      <c r="P218" s="28" t="n">
        <v>0.042131</v>
      </c>
      <c r="Q218" s="28" t="n">
        <v>0.020822</v>
      </c>
      <c r="R218" s="26" t="n">
        <v>35</v>
      </c>
      <c r="S218" s="29" t="n">
        <v>1</v>
      </c>
      <c r="T218" s="24" t="inlineStr">
        <is>
          <t>measured-edge-totals-v2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Measured Edge Totals: Trend Engine projected 4.52-4.52; raw selected-side p=0.5939, calibrated p=0.5401.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NO_CALL_MODEL_UNVALIDATED</t>
        </is>
      </c>
      <c r="AP218" s="24" t="inlineStr">
        <is>
          <t>mlb-phi</t>
        </is>
      </c>
      <c r="AQ218" s="24" t="inlineStr">
        <is>
          <t>Philadelphia Phillies</t>
        </is>
      </c>
      <c r="AR218" s="24" t="inlineStr">
        <is>
          <t>Philadelphia Phillies</t>
        </is>
      </c>
      <c r="AS218" s="24" t="inlineStr">
        <is>
          <t>mlb-bal</t>
        </is>
      </c>
      <c r="AT218" s="24" t="inlineStr">
        <is>
          <t>Baltimore Orioles</t>
        </is>
      </c>
      <c r="AU218" s="24" t="inlineStr">
        <is>
          <t>Baltimore Orioles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433578016242b27f9c1c7132cc6b5a2bcc7dd1b0234590c12a944455a88e71bd</t>
        </is>
      </c>
      <c r="BB218" s="24" t="inlineStr">
        <is>
          <t>flat_probability_shrinkage_toward_half</t>
        </is>
      </c>
      <c r="BC218" s="24" t="inlineStr">
        <is>
          <t>measured-edge-totals-v2</t>
        </is>
      </c>
      <c r="BD218" s="24" t="inlineStr">
        <is>
          <t>433578016242b27f9c1c7132cc6b5a2bcc7dd1b0234590c12a944455a88e71bd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2026-08-02T13:04:08.311739Z</t>
        </is>
      </c>
      <c r="BI218" s="24" t="inlineStr">
        <is>
          <t>["same_event","same_team_same_day","same_league_same_day"]</t>
        </is>
      </c>
      <c r="BJ218" s="25" t="n">
        <v>7.5</v>
      </c>
      <c r="BK218" s="26" t="n">
        <v>-108</v>
      </c>
      <c r="BL218" s="27" t="n">
        <v>1.925926</v>
      </c>
      <c r="BM218" s="28" t="n">
        <v>0.519231</v>
      </c>
      <c r="BN218" s="28" t="n">
        <v>0.517413</v>
      </c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</row>
    <row r="219" ht="36" customHeight="1">
      <c r="A219" s="24" t="inlineStr">
        <is>
          <t>839eb94daa8046f4</t>
        </is>
      </c>
      <c r="B219" s="24" t="inlineStr">
        <is>
          <t>2026-08-02T13:04:08.311739Z</t>
        </is>
      </c>
      <c r="C219" s="24" t="inlineStr">
        <is>
          <t>2026-08-02T17:37Z</t>
        </is>
      </c>
      <c r="D219" s="24" t="inlineStr">
        <is>
          <t>401816367</t>
        </is>
      </c>
      <c r="E219" s="24" t="inlineStr">
        <is>
          <t>MLB</t>
        </is>
      </c>
      <c r="F219" s="24" t="inlineStr">
        <is>
          <t>St. Louis Cardinals</t>
        </is>
      </c>
      <c r="G219" s="24" t="inlineStr">
        <is>
          <t>Toronto Blue Jays</t>
        </is>
      </c>
      <c r="H219" s="24" t="inlineStr">
        <is>
          <t>spread</t>
        </is>
      </c>
      <c r="I219" s="24" t="inlineStr">
        <is>
          <t>home</t>
        </is>
      </c>
      <c r="J219" s="25" t="n">
        <v>1.5</v>
      </c>
      <c r="K219" s="24" t="inlineStr">
        <is>
          <t>polymarket_us</t>
        </is>
      </c>
      <c r="L219" s="26" t="n">
        <v>-170</v>
      </c>
      <c r="M219" s="27" t="n">
        <v>1.588235</v>
      </c>
      <c r="N219" s="28" t="n">
        <v>0.62963</v>
      </c>
      <c r="O219" s="28" t="n">
        <v>0.572287</v>
      </c>
      <c r="P219" s="28" t="n">
        <v>0.05172</v>
      </c>
      <c r="Q219" s="28" t="n">
        <v>-0.057343</v>
      </c>
      <c r="R219" s="26" t="n">
        <v>0</v>
      </c>
      <c r="S219" s="29" t="n">
        <v>1.25</v>
      </c>
      <c r="T219" s="24" t="inlineStr">
        <is>
          <t>measured-edge-margin-v2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Measured Edge Margin: Trend Engine projected 5.24-4.76; raw selected-side p=0.6101, calibrated p=0.5723.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NO_CALL_MODEL_UNVALIDATED</t>
        </is>
      </c>
      <c r="AP219" s="24" t="inlineStr">
        <is>
          <t>mlb-stl</t>
        </is>
      </c>
      <c r="AQ219" s="24" t="inlineStr">
        <is>
          <t>St. Louis Cardinals</t>
        </is>
      </c>
      <c r="AR219" s="24" t="inlineStr">
        <is>
          <t>St. Louis Cardinals</t>
        </is>
      </c>
      <c r="AS219" s="24" t="inlineStr">
        <is>
          <t>mlb-tor</t>
        </is>
      </c>
      <c r="AT219" s="24" t="inlineStr">
        <is>
          <t>Toronto Blue Jays</t>
        </is>
      </c>
      <c r="AU219" s="24" t="inlineStr">
        <is>
          <t>Toronto Blue Jays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8360b122264b796b0fb193095cfe4506c7e064e5f3f8c0a659aec41efd08dd25</t>
        </is>
      </c>
      <c r="BB219" s="24" t="inlineStr">
        <is>
          <t>flat_probability_shrinkage_toward_half</t>
        </is>
      </c>
      <c r="BC219" s="24" t="inlineStr">
        <is>
          <t>measured-edge-margin-v2</t>
        </is>
      </c>
      <c r="BD219" s="24" t="inlineStr">
        <is>
          <t>8360b122264b796b0fb193095cfe4506c7e064e5f3f8c0a659aec41efd08dd25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2026-08-02T13:04:08.311739Z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-170</v>
      </c>
      <c r="BL219" s="27" t="n">
        <v>1.588235</v>
      </c>
      <c r="BM219" s="28" t="n">
        <v>0.62963</v>
      </c>
      <c r="BN219" s="28" t="n">
        <v>0.626866</v>
      </c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</row>
    <row r="220" ht="36" customHeight="1">
      <c r="A220" s="24" t="inlineStr">
        <is>
          <t>79a1a9a822ec4daa</t>
        </is>
      </c>
      <c r="B220" s="24" t="inlineStr">
        <is>
          <t>2026-08-02T13:04:08.311739Z</t>
        </is>
      </c>
      <c r="C220" s="24" t="inlineStr">
        <is>
          <t>2026-08-02T17:37Z</t>
        </is>
      </c>
      <c r="D220" s="24" t="inlineStr">
        <is>
          <t>401816367</t>
        </is>
      </c>
      <c r="E220" s="24" t="inlineStr">
        <is>
          <t>MLB</t>
        </is>
      </c>
      <c r="F220" s="24" t="inlineStr">
        <is>
          <t>St. Louis Cardinals</t>
        </is>
      </c>
      <c r="G220" s="24" t="inlineStr">
        <is>
          <t>Toronto Blue Jays</t>
        </is>
      </c>
      <c r="H220" s="24" t="inlineStr">
        <is>
          <t>total</t>
        </is>
      </c>
      <c r="I220" s="24" t="inlineStr">
        <is>
          <t>over</t>
        </is>
      </c>
      <c r="J220" s="25" t="n">
        <v>8.5</v>
      </c>
      <c r="K220" s="24" t="inlineStr">
        <is>
          <t>polymarket_us</t>
        </is>
      </c>
      <c r="L220" s="26" t="n">
        <v>-125</v>
      </c>
      <c r="M220" s="27" t="n">
        <v>1.8</v>
      </c>
      <c r="N220" s="28" t="n">
        <v>0.555556</v>
      </c>
      <c r="O220" s="28" t="n">
        <v>0.542957</v>
      </c>
      <c r="P220" s="28" t="n">
        <v>0.05172</v>
      </c>
      <c r="Q220" s="28" t="n">
        <v>-0.012599</v>
      </c>
      <c r="R220" s="26" t="n">
        <v>13</v>
      </c>
      <c r="S220" s="29" t="n">
        <v>1</v>
      </c>
      <c r="T220" s="24" t="inlineStr">
        <is>
          <t>measured-edge-totals-v2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Measured Edge Totals: Trend Engine projected 5.24-4.76; raw selected-side p=0.6025, calibrated p=0.5430.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NO_CALL_MODEL_UNVALIDATED</t>
        </is>
      </c>
      <c r="AP220" s="24" t="inlineStr">
        <is>
          <t>mlb-stl</t>
        </is>
      </c>
      <c r="AQ220" s="24" t="inlineStr">
        <is>
          <t>St. Louis Cardinals</t>
        </is>
      </c>
      <c r="AR220" s="24" t="inlineStr">
        <is>
          <t>St. Louis Cardinals</t>
        </is>
      </c>
      <c r="AS220" s="24" t="inlineStr">
        <is>
          <t>mlb-tor</t>
        </is>
      </c>
      <c r="AT220" s="24" t="inlineStr">
        <is>
          <t>Toronto Blue Jays</t>
        </is>
      </c>
      <c r="AU220" s="24" t="inlineStr">
        <is>
          <t>Toronto Blue Jays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433578016242b27f9c1c7132cc6b5a2bcc7dd1b0234590c12a944455a88e71bd</t>
        </is>
      </c>
      <c r="BB220" s="24" t="inlineStr">
        <is>
          <t>flat_probability_shrinkage_toward_half</t>
        </is>
      </c>
      <c r="BC220" s="24" t="inlineStr">
        <is>
          <t>measured-edge-totals-v2</t>
        </is>
      </c>
      <c r="BD220" s="24" t="inlineStr">
        <is>
          <t>433578016242b27f9c1c7132cc6b5a2bcc7dd1b0234590c12a944455a88e71bd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2026-08-02T13:04:08.311739Z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-125</v>
      </c>
      <c r="BL220" s="27" t="n">
        <v>1.8</v>
      </c>
      <c r="BM220" s="28" t="n">
        <v>0.555556</v>
      </c>
      <c r="BN220" s="28" t="n">
        <v>0.552239</v>
      </c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</row>
    <row r="221" ht="36" customHeight="1">
      <c r="A221" s="24" t="inlineStr">
        <is>
          <t>2643cdd82baf44dc</t>
        </is>
      </c>
      <c r="B221" s="24" t="inlineStr">
        <is>
          <t>2026-08-02T13:04:08.311739Z</t>
        </is>
      </c>
      <c r="C221" s="24" t="inlineStr">
        <is>
          <t>2026-08-02T17:40Z</t>
        </is>
      </c>
      <c r="D221" s="24" t="inlineStr">
        <is>
          <t>401816362</t>
        </is>
      </c>
      <c r="E221" s="24" t="inlineStr">
        <is>
          <t>MLB</t>
        </is>
      </c>
      <c r="F221" s="24" t="inlineStr">
        <is>
          <t>Arizona Diamondbacks</t>
        </is>
      </c>
      <c r="G221" s="24" t="inlineStr">
        <is>
          <t>Cleveland Guardians</t>
        </is>
      </c>
      <c r="H221" s="24" t="inlineStr">
        <is>
          <t>spread</t>
        </is>
      </c>
      <c r="I221" s="24" t="inlineStr">
        <is>
          <t>away</t>
        </is>
      </c>
      <c r="J221" s="25" t="n">
        <v>1.5</v>
      </c>
      <c r="K221" s="24" t="inlineStr">
        <is>
          <t>polymarket_us</t>
        </is>
      </c>
      <c r="L221" s="26" t="n">
        <v>-153</v>
      </c>
      <c r="M221" s="27" t="n">
        <v>1.653595</v>
      </c>
      <c r="N221" s="28" t="n">
        <v>0.604743</v>
      </c>
      <c r="O221" s="28" t="n">
        <v>0.603615</v>
      </c>
      <c r="P221" s="28" t="n">
        <v>0.042131</v>
      </c>
      <c r="Q221" s="28" t="n">
        <v>-0.001128</v>
      </c>
      <c r="R221" s="26" t="n">
        <v>24</v>
      </c>
      <c r="S221" s="29" t="n">
        <v>1.5</v>
      </c>
      <c r="T221" s="24" t="inlineStr">
        <is>
          <t>measured-edge-margin-v2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Measured Edge Margin: Trend Engine projected 4.39-4.52; raw selected-side p=0.6579, calibrated p=0.6036.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NO_CALL_MODEL_UNVALIDATED</t>
        </is>
      </c>
      <c r="AP221" s="24" t="inlineStr">
        <is>
          <t>mlb-ari</t>
        </is>
      </c>
      <c r="AQ221" s="24" t="inlineStr">
        <is>
          <t>Arizona Diamondbacks</t>
        </is>
      </c>
      <c r="AR221" s="24" t="inlineStr">
        <is>
          <t>Arizona Diamondbacks</t>
        </is>
      </c>
      <c r="AS221" s="24" t="inlineStr">
        <is>
          <t>mlb-cle</t>
        </is>
      </c>
      <c r="AT221" s="24" t="inlineStr">
        <is>
          <t>Cleveland Guardians</t>
        </is>
      </c>
      <c r="AU221" s="24" t="inlineStr">
        <is>
          <t>Cleveland Guardians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8360b122264b796b0fb193095cfe4506c7e064e5f3f8c0a659aec41efd08dd25</t>
        </is>
      </c>
      <c r="BB221" s="24" t="inlineStr">
        <is>
          <t>flat_probability_shrinkage_toward_half</t>
        </is>
      </c>
      <c r="BC221" s="24" t="inlineStr">
        <is>
          <t>measured-edge-margin-v2</t>
        </is>
      </c>
      <c r="BD221" s="24" t="inlineStr">
        <is>
          <t>8360b122264b796b0fb193095cfe4506c7e064e5f3f8c0a659aec41efd08dd25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2026-08-02T13:04:08.311739Z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-153</v>
      </c>
      <c r="BL221" s="27" t="n">
        <v>1.653595</v>
      </c>
      <c r="BM221" s="28" t="n">
        <v>0.604743</v>
      </c>
      <c r="BN221" s="28" t="n">
        <v>0.59901</v>
      </c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</row>
    <row r="222" ht="36" customHeight="1">
      <c r="A222" s="24" t="inlineStr">
        <is>
          <t>8d0333788470422f</t>
        </is>
      </c>
      <c r="B222" s="24" t="inlineStr">
        <is>
          <t>2026-08-02T13:04:08.311739Z</t>
        </is>
      </c>
      <c r="C222" s="24" t="inlineStr">
        <is>
          <t>2026-08-02T17:40Z</t>
        </is>
      </c>
      <c r="D222" s="24" t="inlineStr">
        <is>
          <t>401816362</t>
        </is>
      </c>
      <c r="E222" s="24" t="inlineStr">
        <is>
          <t>MLB</t>
        </is>
      </c>
      <c r="F222" s="24" t="inlineStr">
        <is>
          <t>Arizona Diamondbacks</t>
        </is>
      </c>
      <c r="G222" s="24" t="inlineStr">
        <is>
          <t>Cleveland Guardians</t>
        </is>
      </c>
      <c r="H222" s="24" t="inlineStr">
        <is>
          <t>total</t>
        </is>
      </c>
      <c r="I222" s="24" t="inlineStr">
        <is>
          <t>over</t>
        </is>
      </c>
      <c r="J222" s="25" t="n">
        <v>7.5</v>
      </c>
      <c r="K222" s="24" t="inlineStr">
        <is>
          <t>polymarket_us</t>
        </is>
      </c>
      <c r="L222" s="26" t="n">
        <v>-117</v>
      </c>
      <c r="M222" s="27" t="n">
        <v>1.854701</v>
      </c>
      <c r="N222" s="28" t="n">
        <v>0.539171</v>
      </c>
      <c r="O222" s="28" t="n">
        <v>0.5359350000000001</v>
      </c>
      <c r="P222" s="28" t="n">
        <v>0.042131</v>
      </c>
      <c r="Q222" s="28" t="n">
        <v>-0.003236</v>
      </c>
      <c r="R222" s="26" t="n">
        <v>23</v>
      </c>
      <c r="S222" s="29" t="n">
        <v>1</v>
      </c>
      <c r="T222" s="24" t="inlineStr">
        <is>
          <t>measured-edge-totals-v2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Measured Edge Totals: Trend Engine projected 4.39-4.52; raw selected-side p=0.5819, calibrated p=0.5359.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NO_CALL_MODEL_UNVALIDATED</t>
        </is>
      </c>
      <c r="AP222" s="24" t="inlineStr">
        <is>
          <t>mlb-ari</t>
        </is>
      </c>
      <c r="AQ222" s="24" t="inlineStr">
        <is>
          <t>Arizona Diamondbacks</t>
        </is>
      </c>
      <c r="AR222" s="24" t="inlineStr">
        <is>
          <t>Arizona Diamondbacks</t>
        </is>
      </c>
      <c r="AS222" s="24" t="inlineStr">
        <is>
          <t>mlb-cle</t>
        </is>
      </c>
      <c r="AT222" s="24" t="inlineStr">
        <is>
          <t>Cleveland Guardians</t>
        </is>
      </c>
      <c r="AU222" s="24" t="inlineStr">
        <is>
          <t>Cleveland Guardians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433578016242b27f9c1c7132cc6b5a2bcc7dd1b0234590c12a944455a88e71bd</t>
        </is>
      </c>
      <c r="BB222" s="24" t="inlineStr">
        <is>
          <t>flat_probability_shrinkage_toward_half</t>
        </is>
      </c>
      <c r="BC222" s="24" t="inlineStr">
        <is>
          <t>measured-edge-totals-v2</t>
        </is>
      </c>
      <c r="BD222" s="24" t="inlineStr">
        <is>
          <t>433578016242b27f9c1c7132cc6b5a2bcc7dd1b0234590c12a944455a88e71bd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2026-08-02T13:04:08.311739Z</t>
        </is>
      </c>
      <c r="BI222" s="24" t="inlineStr">
        <is>
          <t>["same_event","same_team_same_day","same_league_same_day"]</t>
        </is>
      </c>
      <c r="BJ222" s="25" t="n">
        <v>7.5</v>
      </c>
      <c r="BK222" s="26" t="n">
        <v>-117</v>
      </c>
      <c r="BL222" s="27" t="n">
        <v>1.854701</v>
      </c>
      <c r="BM222" s="28" t="n">
        <v>0.539171</v>
      </c>
      <c r="BN222" s="28" t="n">
        <v>0.534653</v>
      </c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</row>
    <row r="223" ht="36" customHeight="1">
      <c r="A223" s="24" t="inlineStr">
        <is>
          <t>cd009b22c26443ab</t>
        </is>
      </c>
      <c r="B223" s="24" t="inlineStr">
        <is>
          <t>2026-08-02T13:04:08.311739Z</t>
        </is>
      </c>
      <c r="C223" s="24" t="inlineStr">
        <is>
          <t>2026-08-02T17:40Z</t>
        </is>
      </c>
      <c r="D223" s="24" t="inlineStr">
        <is>
          <t>401816363</t>
        </is>
      </c>
      <c r="E223" s="24" t="inlineStr">
        <is>
          <t>MLB</t>
        </is>
      </c>
      <c r="F223" s="24" t="inlineStr">
        <is>
          <t>Chicago White Sox</t>
        </is>
      </c>
      <c r="G223" s="24" t="inlineStr">
        <is>
          <t>Tampa Bay Rays</t>
        </is>
      </c>
      <c r="H223" s="24" t="inlineStr">
        <is>
          <t>spread</t>
        </is>
      </c>
      <c r="I223" s="24" t="inlineStr">
        <is>
          <t>away</t>
        </is>
      </c>
      <c r="J223" s="25" t="n">
        <v>1.5</v>
      </c>
      <c r="K223" s="24" t="inlineStr">
        <is>
          <t>polymarket_us</t>
        </is>
      </c>
      <c r="L223" s="26" t="n">
        <v>-150</v>
      </c>
      <c r="M223" s="27" t="n">
        <v>1.666667</v>
      </c>
      <c r="N223" s="28" t="n">
        <v>0.6</v>
      </c>
      <c r="O223" s="28" t="n">
        <v>0.600072</v>
      </c>
      <c r="P223" s="28" t="n">
        <v>0.042131</v>
      </c>
      <c r="Q223" s="28" t="n">
        <v>7.2e-05</v>
      </c>
      <c r="R223" s="26" t="n">
        <v>25</v>
      </c>
      <c r="S223" s="29" t="n">
        <v>1.5</v>
      </c>
      <c r="T223" s="24" t="inlineStr">
        <is>
          <t>measured-edge-margin-v2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Measured Edge Margin: Trend Engine projected 4.47-4.63; raw selected-side p=0.6524, calibrated p=0.6001.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NO_CALL_MODEL_UNVALIDATED</t>
        </is>
      </c>
      <c r="AP223" s="24" t="inlineStr">
        <is>
          <t>mlb-cws</t>
        </is>
      </c>
      <c r="AQ223" s="24" t="inlineStr">
        <is>
          <t>Chicago White Sox</t>
        </is>
      </c>
      <c r="AR223" s="24" t="inlineStr">
        <is>
          <t>Chicago White Sox</t>
        </is>
      </c>
      <c r="AS223" s="24" t="inlineStr">
        <is>
          <t>mlb-tb</t>
        </is>
      </c>
      <c r="AT223" s="24" t="inlineStr">
        <is>
          <t>Tampa Bay Rays</t>
        </is>
      </c>
      <c r="AU223" s="24" t="inlineStr">
        <is>
          <t>Tampa Bay Rays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8360b122264b796b0fb193095cfe4506c7e064e5f3f8c0a659aec41efd08dd25</t>
        </is>
      </c>
      <c r="BB223" s="24" t="inlineStr">
        <is>
          <t>flat_probability_shrinkage_toward_half</t>
        </is>
      </c>
      <c r="BC223" s="24" t="inlineStr">
        <is>
          <t>measured-edge-margin-v2</t>
        </is>
      </c>
      <c r="BD223" s="24" t="inlineStr">
        <is>
          <t>8360b122264b796b0fb193095cfe4506c7e064e5f3f8c0a659aec41efd08dd25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2026-08-02T13:04:08.311739Z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-150</v>
      </c>
      <c r="BL223" s="27" t="n">
        <v>1.666667</v>
      </c>
      <c r="BM223" s="28" t="n">
        <v>0.6</v>
      </c>
      <c r="BN223" s="28" t="n">
        <v>0.597015</v>
      </c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</row>
    <row r="224" ht="36" customHeight="1">
      <c r="A224" s="24" t="inlineStr">
        <is>
          <t>692a77d120f944fe</t>
        </is>
      </c>
      <c r="B224" s="24" t="inlineStr">
        <is>
          <t>2026-08-02T13:04:08.311739Z</t>
        </is>
      </c>
      <c r="C224" s="24" t="inlineStr">
        <is>
          <t>2026-08-02T17:40Z</t>
        </is>
      </c>
      <c r="D224" s="24" t="inlineStr">
        <is>
          <t>401816363</t>
        </is>
      </c>
      <c r="E224" s="24" t="inlineStr">
        <is>
          <t>MLB</t>
        </is>
      </c>
      <c r="F224" s="24" t="inlineStr">
        <is>
          <t>Chicago White Sox</t>
        </is>
      </c>
      <c r="G224" s="24" t="inlineStr">
        <is>
          <t>Tampa Bay Rays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104</v>
      </c>
      <c r="M224" s="27" t="n">
        <v>2.04</v>
      </c>
      <c r="N224" s="28" t="n">
        <v>0.490196</v>
      </c>
      <c r="O224" s="28" t="n">
        <v>0.541197</v>
      </c>
      <c r="P224" s="28" t="n">
        <v>0.042131</v>
      </c>
      <c r="Q224" s="28" t="n">
        <v>0.051001</v>
      </c>
      <c r="R224" s="26" t="n">
        <v>50</v>
      </c>
      <c r="S224" s="29" t="n">
        <v>1</v>
      </c>
      <c r="T224" s="24" t="inlineStr">
        <is>
          <t>measured-edge-totals-v2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Measured Edge Totals: Trend Engine projected 4.47-4.63; raw selected-side p=0.5973, calibrated p=0.5412.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mlb-cws</t>
        </is>
      </c>
      <c r="AQ224" s="24" t="inlineStr">
        <is>
          <t>Chicago White Sox</t>
        </is>
      </c>
      <c r="AR224" s="24" t="inlineStr">
        <is>
          <t>Chicago White Sox</t>
        </is>
      </c>
      <c r="AS224" s="24" t="inlineStr">
        <is>
          <t>mlb-tb</t>
        </is>
      </c>
      <c r="AT224" s="24" t="inlineStr">
        <is>
          <t>Tampa Bay Rays</t>
        </is>
      </c>
      <c r="AU224" s="24" t="inlineStr">
        <is>
          <t>Tampa Bay Rays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433578016242b27f9c1c7132cc6b5a2bcc7dd1b0234590c12a944455a88e71bd</t>
        </is>
      </c>
      <c r="BB224" s="24" t="inlineStr">
        <is>
          <t>flat_probability_shrinkage_toward_half</t>
        </is>
      </c>
      <c r="BC224" s="24" t="inlineStr">
        <is>
          <t>measured-edge-totals-v2</t>
        </is>
      </c>
      <c r="BD224" s="24" t="inlineStr">
        <is>
          <t>433578016242b27f9c1c7132cc6b5a2bcc7dd1b0234590c12a944455a88e71bd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2026-08-02T13:04:08.311739Z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104</v>
      </c>
      <c r="BL224" s="27" t="n">
        <v>2.04</v>
      </c>
      <c r="BM224" s="28" t="n">
        <v>0.490196</v>
      </c>
      <c r="BN224" s="28" t="n">
        <v>0.487562</v>
      </c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</row>
    <row r="225" ht="36" customHeight="1">
      <c r="A225" s="24" t="inlineStr">
        <is>
          <t>3ee732a5fd2e424c</t>
        </is>
      </c>
      <c r="B225" s="24" t="inlineStr">
        <is>
          <t>2026-08-02T13:04:08.311739Z</t>
        </is>
      </c>
      <c r="C225" s="24" t="inlineStr">
        <is>
          <t>2026-08-02T17:40Z</t>
        </is>
      </c>
      <c r="D225" s="24" t="inlineStr">
        <is>
          <t>401816364</t>
        </is>
      </c>
      <c r="E225" s="24" t="inlineStr">
        <is>
          <t>MLB</t>
        </is>
      </c>
      <c r="F225" s="24" t="inlineStr">
        <is>
          <t>Miami Marlins</t>
        </is>
      </c>
      <c r="G225" s="24" t="inlineStr">
        <is>
          <t>New York Mets</t>
        </is>
      </c>
      <c r="H225" s="24" t="inlineStr">
        <is>
          <t>spread</t>
        </is>
      </c>
      <c r="I225" s="24" t="inlineStr">
        <is>
          <t>home</t>
        </is>
      </c>
      <c r="J225" s="25" t="n">
        <v>1.5</v>
      </c>
      <c r="K225" s="24" t="inlineStr">
        <is>
          <t>polymarket_us</t>
        </is>
      </c>
      <c r="L225" s="26" t="n">
        <v>-147</v>
      </c>
      <c r="M225" s="27" t="n">
        <v>1.680272</v>
      </c>
      <c r="N225" s="28" t="n">
        <v>0.5951419999999999</v>
      </c>
      <c r="O225" s="28" t="n">
        <v>0.606633</v>
      </c>
      <c r="P225" s="28" t="n">
        <v>0.05172</v>
      </c>
      <c r="Q225" s="28" t="n">
        <v>0.011491</v>
      </c>
      <c r="R225" s="26" t="n">
        <v>25</v>
      </c>
      <c r="S225" s="29" t="n">
        <v>1.25</v>
      </c>
      <c r="T225" s="24" t="inlineStr">
        <is>
          <t>measured-edge-margin-v2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Measured Edge Margin: Trend Engine projected 4.52-4.47; raw selected-side p=0.6624, calibrated p=0.6066.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NO_CALL_MODEL_UNVALIDATED</t>
        </is>
      </c>
      <c r="AP225" s="24" t="inlineStr">
        <is>
          <t>mlb-mia</t>
        </is>
      </c>
      <c r="AQ225" s="24" t="inlineStr">
        <is>
          <t>Miami Marlins</t>
        </is>
      </c>
      <c r="AR225" s="24" t="inlineStr">
        <is>
          <t>Miami Marlins</t>
        </is>
      </c>
      <c r="AS225" s="24" t="inlineStr">
        <is>
          <t>mlb-nym</t>
        </is>
      </c>
      <c r="AT225" s="24" t="inlineStr">
        <is>
          <t>New York Mets</t>
        </is>
      </c>
      <c r="AU225" s="24" t="inlineStr">
        <is>
          <t>New York Mets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8360b122264b796b0fb193095cfe4506c7e064e5f3f8c0a659aec41efd08dd25</t>
        </is>
      </c>
      <c r="BB225" s="24" t="inlineStr">
        <is>
          <t>flat_probability_shrinkage_toward_half</t>
        </is>
      </c>
      <c r="BC225" s="24" t="inlineStr">
        <is>
          <t>measured-edge-margin-v2</t>
        </is>
      </c>
      <c r="BD225" s="24" t="inlineStr">
        <is>
          <t>8360b122264b796b0fb193095cfe4506c7e064e5f3f8c0a659aec41efd08dd25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2026-08-02T13:04:08.311739Z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-147</v>
      </c>
      <c r="BL225" s="27" t="n">
        <v>1.680272</v>
      </c>
      <c r="BM225" s="28" t="n">
        <v>0.5951419999999999</v>
      </c>
      <c r="BN225" s="28" t="n">
        <v>0.59204</v>
      </c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</row>
    <row r="226" ht="36" customHeight="1">
      <c r="A226" s="24" t="inlineStr">
        <is>
          <t>26b96c625aa8467f</t>
        </is>
      </c>
      <c r="B226" s="24" t="inlineStr">
        <is>
          <t>2026-08-02T13:04:08.311739Z</t>
        </is>
      </c>
      <c r="C226" s="24" t="inlineStr">
        <is>
          <t>2026-08-02T17:40Z</t>
        </is>
      </c>
      <c r="D226" s="24" t="inlineStr">
        <is>
          <t>401816364</t>
        </is>
      </c>
      <c r="E226" s="24" t="inlineStr">
        <is>
          <t>MLB</t>
        </is>
      </c>
      <c r="F226" s="24" t="inlineStr">
        <is>
          <t>Miami Marlins</t>
        </is>
      </c>
      <c r="G226" s="24" t="inlineStr">
        <is>
          <t>New York Mets</t>
        </is>
      </c>
      <c r="H226" s="24" t="inlineStr">
        <is>
          <t>total</t>
        </is>
      </c>
      <c r="I226" s="24" t="inlineStr">
        <is>
          <t>over</t>
        </is>
      </c>
      <c r="J226" s="25" t="n">
        <v>8.5</v>
      </c>
      <c r="K226" s="24" t="inlineStr">
        <is>
          <t>polymarket_us</t>
        </is>
      </c>
      <c r="L226" s="26" t="n">
        <v>-111</v>
      </c>
      <c r="M226" s="27" t="n">
        <v>1.900901</v>
      </c>
      <c r="N226" s="28" t="n">
        <v>0.526066</v>
      </c>
      <c r="O226" s="28" t="n">
        <v>0.513503</v>
      </c>
      <c r="P226" s="28" t="n">
        <v>0.05172</v>
      </c>
      <c r="Q226" s="28" t="n">
        <v>-0.012563</v>
      </c>
      <c r="R226" s="26" t="n">
        <v>13</v>
      </c>
      <c r="S226" s="29" t="n">
        <v>1</v>
      </c>
      <c r="T226" s="24" t="inlineStr">
        <is>
          <t>measured-edge-totals-v2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Measured Edge Totals: Trend Engine projected 4.52-4.47; raw selected-side p=0.5162, calibrated p=0.5135.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NO_CALL_MODEL_UNVALIDATED</t>
        </is>
      </c>
      <c r="AP226" s="24" t="inlineStr">
        <is>
          <t>mlb-mia</t>
        </is>
      </c>
      <c r="AQ226" s="24" t="inlineStr">
        <is>
          <t>Miami Marlins</t>
        </is>
      </c>
      <c r="AR226" s="24" t="inlineStr">
        <is>
          <t>Miami Marlins</t>
        </is>
      </c>
      <c r="AS226" s="24" t="inlineStr">
        <is>
          <t>mlb-nym</t>
        </is>
      </c>
      <c r="AT226" s="24" t="inlineStr">
        <is>
          <t>New York Mets</t>
        </is>
      </c>
      <c r="AU226" s="24" t="inlineStr">
        <is>
          <t>New York Mets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433578016242b27f9c1c7132cc6b5a2bcc7dd1b0234590c12a944455a88e71bd</t>
        </is>
      </c>
      <c r="BB226" s="24" t="inlineStr">
        <is>
          <t>flat_probability_shrinkage_toward_half</t>
        </is>
      </c>
      <c r="BC226" s="24" t="inlineStr">
        <is>
          <t>measured-edge-totals-v2</t>
        </is>
      </c>
      <c r="BD226" s="24" t="inlineStr">
        <is>
          <t>433578016242b27f9c1c7132cc6b5a2bcc7dd1b0234590c12a944455a88e71bd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2026-08-02T13:04:08.311739Z</t>
        </is>
      </c>
      <c r="BI226" s="24" t="inlineStr">
        <is>
          <t>["same_event","same_team_same_day","same_league_same_day"]</t>
        </is>
      </c>
      <c r="BJ226" s="25" t="n">
        <v>8.5</v>
      </c>
      <c r="BK226" s="26" t="n">
        <v>-111</v>
      </c>
      <c r="BL226" s="27" t="n">
        <v>1.900901</v>
      </c>
      <c r="BM226" s="28" t="n">
        <v>0.526066</v>
      </c>
      <c r="BN226" s="28" t="n">
        <v>0.522388</v>
      </c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</row>
    <row r="227" ht="36" customHeight="1">
      <c r="A227" s="24" t="inlineStr">
        <is>
          <t>899d8b55a97f42b8</t>
        </is>
      </c>
      <c r="B227" s="24" t="inlineStr">
        <is>
          <t>2026-08-02T13:04:08.311739Z</t>
        </is>
      </c>
      <c r="C227" s="24" t="inlineStr">
        <is>
          <t>2026-08-02T17:40Z</t>
        </is>
      </c>
      <c r="D227" s="24" t="inlineStr">
        <is>
          <t>401816366</t>
        </is>
      </c>
      <c r="E227" s="24" t="inlineStr">
        <is>
          <t>MLB</t>
        </is>
      </c>
      <c r="F227" s="24" t="inlineStr">
        <is>
          <t>Pittsburgh Pirates</t>
        </is>
      </c>
      <c r="G227" s="24" t="inlineStr">
        <is>
          <t>Cincinnati Reds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-150</v>
      </c>
      <c r="M227" s="27" t="n">
        <v>1.666667</v>
      </c>
      <c r="N227" s="28" t="n">
        <v>0.6</v>
      </c>
      <c r="O227" s="28" t="n">
        <v>0.57537</v>
      </c>
      <c r="P227" s="28" t="n">
        <v>0.042131</v>
      </c>
      <c r="Q227" s="28" t="n">
        <v>-0.02463</v>
      </c>
      <c r="R227" s="26" t="n">
        <v>12</v>
      </c>
      <c r="S227" s="29" t="n">
        <v>1.25</v>
      </c>
      <c r="T227" s="24" t="inlineStr">
        <is>
          <t>measured-edge-margin-v2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Measured Edge Margin: Trend Engine projected 4.31-4.86; raw selected-side p=0.6148, calibrated p=0.5754.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NO_CALL_MODEL_UNVALIDATED</t>
        </is>
      </c>
      <c r="AP227" s="24" t="inlineStr">
        <is>
          <t>mlb-pit</t>
        </is>
      </c>
      <c r="AQ227" s="24" t="inlineStr">
        <is>
          <t>Pittsburgh Pirates</t>
        </is>
      </c>
      <c r="AR227" s="24" t="inlineStr">
        <is>
          <t>Pittsburgh Pirates</t>
        </is>
      </c>
      <c r="AS227" s="24" t="inlineStr">
        <is>
          <t>mlb-cin</t>
        </is>
      </c>
      <c r="AT227" s="24" t="inlineStr">
        <is>
          <t>Cincinnati Reds</t>
        </is>
      </c>
      <c r="AU227" s="24" t="inlineStr">
        <is>
          <t>Cincinnati Reds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8360b122264b796b0fb193095cfe4506c7e064e5f3f8c0a659aec41efd08dd25</t>
        </is>
      </c>
      <c r="BB227" s="24" t="inlineStr">
        <is>
          <t>flat_probability_shrinkage_toward_half</t>
        </is>
      </c>
      <c r="BC227" s="24" t="inlineStr">
        <is>
          <t>measured-edge-margin-v2</t>
        </is>
      </c>
      <c r="BD227" s="24" t="inlineStr">
        <is>
          <t>8360b122264b796b0fb193095cfe4506c7e064e5f3f8c0a659aec41efd08dd25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2026-08-02T13:04:08.311739Z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-150</v>
      </c>
      <c r="BL227" s="27" t="n">
        <v>1.666667</v>
      </c>
      <c r="BM227" s="28" t="n">
        <v>0.6</v>
      </c>
      <c r="BN227" s="28" t="n">
        <v>0.594059</v>
      </c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</row>
    <row r="228" ht="36" customHeight="1">
      <c r="A228" s="24" t="inlineStr">
        <is>
          <t>0b2b070e8a124382</t>
        </is>
      </c>
      <c r="B228" s="24" t="inlineStr">
        <is>
          <t>2026-08-02T13:04:08.311739Z</t>
        </is>
      </c>
      <c r="C228" s="24" t="inlineStr">
        <is>
          <t>2026-08-02T17:40Z</t>
        </is>
      </c>
      <c r="D228" s="24" t="inlineStr">
        <is>
          <t>401816366</t>
        </is>
      </c>
      <c r="E228" s="24" t="inlineStr">
        <is>
          <t>MLB</t>
        </is>
      </c>
      <c r="F228" s="24" t="inlineStr">
        <is>
          <t>Pittsburgh Pirates</t>
        </is>
      </c>
      <c r="G228" s="24" t="inlineStr">
        <is>
          <t>Cincinnati Reds</t>
        </is>
      </c>
      <c r="H228" s="24" t="inlineStr">
        <is>
          <t>total</t>
        </is>
      </c>
      <c r="I228" s="24" t="inlineStr">
        <is>
          <t>over</t>
        </is>
      </c>
      <c r="J228" s="25" t="n">
        <v>8.5</v>
      </c>
      <c r="K228" s="24" t="inlineStr">
        <is>
          <t>polymarket_us</t>
        </is>
      </c>
      <c r="L228" s="26" t="n">
        <v>104</v>
      </c>
      <c r="M228" s="27" t="n">
        <v>2.04</v>
      </c>
      <c r="N228" s="28" t="n">
        <v>0.490196</v>
      </c>
      <c r="O228" s="28" t="n">
        <v>0.516305</v>
      </c>
      <c r="P228" s="28" t="n">
        <v>0.042131</v>
      </c>
      <c r="Q228" s="28" t="n">
        <v>0.026109</v>
      </c>
      <c r="R228" s="26" t="n">
        <v>38</v>
      </c>
      <c r="S228" s="29" t="n">
        <v>1</v>
      </c>
      <c r="T228" s="24" t="inlineStr">
        <is>
          <t>measured-edge-totals-v2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Measured Edge Totals: Trend Engine projected 4.31-4.86; raw selected-side p=0.5244, calibrated p=0.5163.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NO_CALL_MODEL_UNVALIDATED</t>
        </is>
      </c>
      <c r="AP228" s="24" t="inlineStr">
        <is>
          <t>mlb-pit</t>
        </is>
      </c>
      <c r="AQ228" s="24" t="inlineStr">
        <is>
          <t>Pittsburgh Pirates</t>
        </is>
      </c>
      <c r="AR228" s="24" t="inlineStr">
        <is>
          <t>Pittsburgh Pirates</t>
        </is>
      </c>
      <c r="AS228" s="24" t="inlineStr">
        <is>
          <t>mlb-cin</t>
        </is>
      </c>
      <c r="AT228" s="24" t="inlineStr">
        <is>
          <t>Cincinnati Reds</t>
        </is>
      </c>
      <c r="AU228" s="24" t="inlineStr">
        <is>
          <t>Cincinnati Reds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433578016242b27f9c1c7132cc6b5a2bcc7dd1b0234590c12a944455a88e71bd</t>
        </is>
      </c>
      <c r="BB228" s="24" t="inlineStr">
        <is>
          <t>flat_probability_shrinkage_toward_half</t>
        </is>
      </c>
      <c r="BC228" s="24" t="inlineStr">
        <is>
          <t>measured-edge-totals-v2</t>
        </is>
      </c>
      <c r="BD228" s="24" t="inlineStr">
        <is>
          <t>433578016242b27f9c1c7132cc6b5a2bcc7dd1b0234590c12a944455a88e71bd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2026-08-02T13:04:08.311739Z</t>
        </is>
      </c>
      <c r="BI228" s="24" t="inlineStr">
        <is>
          <t>["same_event","same_team_same_day","same_league_same_day"]</t>
        </is>
      </c>
      <c r="BJ228" s="25" t="n">
        <v>8.5</v>
      </c>
      <c r="BK228" s="26" t="n">
        <v>104</v>
      </c>
      <c r="BL228" s="27" t="n">
        <v>2.04</v>
      </c>
      <c r="BM228" s="28" t="n">
        <v>0.490196</v>
      </c>
      <c r="BN228" s="28" t="n">
        <v>0.485149</v>
      </c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</row>
    <row r="229" ht="36" customHeight="1">
      <c r="A229" s="24" t="inlineStr">
        <is>
          <t>58e5bb2f19b241c0</t>
        </is>
      </c>
      <c r="B229" s="24" t="inlineStr">
        <is>
          <t>2026-08-02T13:04:08.311739Z</t>
        </is>
      </c>
      <c r="C229" s="24" t="inlineStr">
        <is>
          <t>2026-08-02T18:10Z</t>
        </is>
      </c>
      <c r="D229" s="24" t="inlineStr">
        <is>
          <t>401816370</t>
        </is>
      </c>
      <c r="E229" s="24" t="inlineStr">
        <is>
          <t>MLB</t>
        </is>
      </c>
      <c r="F229" s="24" t="inlineStr">
        <is>
          <t>Texas Rangers</t>
        </is>
      </c>
      <c r="G229" s="24" t="inlineStr">
        <is>
          <t>Houston Astros</t>
        </is>
      </c>
      <c r="H229" s="24" t="inlineStr">
        <is>
          <t>spread</t>
        </is>
      </c>
      <c r="I229" s="24" t="inlineStr">
        <is>
          <t>away</t>
        </is>
      </c>
      <c r="J229" s="25" t="n">
        <v>1.5</v>
      </c>
      <c r="K229" s="24" t="inlineStr">
        <is>
          <t>polymarket_us</t>
        </is>
      </c>
      <c r="L229" s="26" t="n">
        <v>-178</v>
      </c>
      <c r="M229" s="27" t="n">
        <v>1.561798</v>
      </c>
      <c r="N229" s="28" t="n">
        <v>0.640288</v>
      </c>
      <c r="O229" s="28" t="n">
        <v>0.580947</v>
      </c>
      <c r="P229" s="28" t="n">
        <v>0.042131</v>
      </c>
      <c r="Q229" s="28" t="n">
        <v>-0.059341</v>
      </c>
      <c r="R229" s="26" t="n">
        <v>0</v>
      </c>
      <c r="S229" s="29" t="n">
        <v>1.25</v>
      </c>
      <c r="T229" s="24" t="inlineStr">
        <is>
          <t>measured-edge-margin-v2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Measured Edge Margin: Trend Engine projected 4.10-4.64; raw selected-side p=0.6233, calibrated p=0.5809.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NO_CALL_MODEL_UNVALIDATED</t>
        </is>
      </c>
      <c r="AP229" s="24" t="inlineStr">
        <is>
          <t>mlb-tex</t>
        </is>
      </c>
      <c r="AQ229" s="24" t="inlineStr">
        <is>
          <t>Texas Rangers</t>
        </is>
      </c>
      <c r="AR229" s="24" t="inlineStr">
        <is>
          <t>Texas Rangers</t>
        </is>
      </c>
      <c r="AS229" s="24" t="inlineStr">
        <is>
          <t>mlb-hou</t>
        </is>
      </c>
      <c r="AT229" s="24" t="inlineStr">
        <is>
          <t>Houston Astros</t>
        </is>
      </c>
      <c r="AU229" s="24" t="inlineStr">
        <is>
          <t>Houston Astros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8360b122264b796b0fb193095cfe4506c7e064e5f3f8c0a659aec41efd08dd25</t>
        </is>
      </c>
      <c r="BB229" s="24" t="inlineStr">
        <is>
          <t>flat_probability_shrinkage_toward_half</t>
        </is>
      </c>
      <c r="BC229" s="24" t="inlineStr">
        <is>
          <t>measured-edge-margin-v2</t>
        </is>
      </c>
      <c r="BD229" s="24" t="inlineStr">
        <is>
          <t>8360b122264b796b0fb193095cfe4506c7e064e5f3f8c0a659aec41efd08dd25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2026-08-02T13:04:08.311739Z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-178</v>
      </c>
      <c r="BL229" s="27" t="n">
        <v>1.561798</v>
      </c>
      <c r="BM229" s="28" t="n">
        <v>0.640288</v>
      </c>
      <c r="BN229" s="28" t="n">
        <v>0.636816</v>
      </c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</row>
    <row r="230" ht="36" customHeight="1">
      <c r="A230" s="24" t="inlineStr">
        <is>
          <t>e6e8eb4ec5b640f4</t>
        </is>
      </c>
      <c r="B230" s="24" t="inlineStr">
        <is>
          <t>2026-08-02T13:04:08.311739Z</t>
        </is>
      </c>
      <c r="C230" s="24" t="inlineStr">
        <is>
          <t>2026-08-02T18:10Z</t>
        </is>
      </c>
      <c r="D230" s="24" t="inlineStr">
        <is>
          <t>401816370</t>
        </is>
      </c>
      <c r="E230" s="24" t="inlineStr">
        <is>
          <t>MLB</t>
        </is>
      </c>
      <c r="F230" s="24" t="inlineStr">
        <is>
          <t>Texas Rangers</t>
        </is>
      </c>
      <c r="G230" s="24" t="inlineStr">
        <is>
          <t>Houston Astros</t>
        </is>
      </c>
      <c r="H230" s="24" t="inlineStr">
        <is>
          <t>total</t>
        </is>
      </c>
      <c r="I230" s="24" t="inlineStr">
        <is>
          <t>under</t>
        </is>
      </c>
      <c r="J230" s="25" t="n">
        <v>8.5</v>
      </c>
      <c r="K230" s="24" t="inlineStr">
        <is>
          <t>polymarket_us</t>
        </is>
      </c>
      <c r="L230" s="26" t="n">
        <v>104</v>
      </c>
      <c r="M230" s="27" t="n">
        <v>2.04</v>
      </c>
      <c r="N230" s="28" t="n">
        <v>0.490196</v>
      </c>
      <c r="O230" s="28" t="n">
        <v>0.511538</v>
      </c>
      <c r="P230" s="28" t="n">
        <v>0.042131</v>
      </c>
      <c r="Q230" s="28" t="n">
        <v>0.021342</v>
      </c>
      <c r="R230" s="26" t="n">
        <v>35</v>
      </c>
      <c r="S230" s="29" t="n">
        <v>1</v>
      </c>
      <c r="T230" s="24" t="inlineStr">
        <is>
          <t>measured-edge-totals-v2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Measured Edge Totals: Trend Engine projected 4.10-4.64; raw selected-side p=0.5105, calibrated p=0.5115.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NO_CALL_MODEL_UNVALIDATED</t>
        </is>
      </c>
      <c r="AP230" s="24" t="inlineStr">
        <is>
          <t>mlb-tex</t>
        </is>
      </c>
      <c r="AQ230" s="24" t="inlineStr">
        <is>
          <t>Texas Rangers</t>
        </is>
      </c>
      <c r="AR230" s="24" t="inlineStr">
        <is>
          <t>Texas Rangers</t>
        </is>
      </c>
      <c r="AS230" s="24" t="inlineStr">
        <is>
          <t>mlb-hou</t>
        </is>
      </c>
      <c r="AT230" s="24" t="inlineStr">
        <is>
          <t>Houston Astros</t>
        </is>
      </c>
      <c r="AU230" s="24" t="inlineStr">
        <is>
          <t>Houston Astros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433578016242b27f9c1c7132cc6b5a2bcc7dd1b0234590c12a944455a88e71bd</t>
        </is>
      </c>
      <c r="BB230" s="24" t="inlineStr">
        <is>
          <t>flat_probability_shrinkage_toward_half</t>
        </is>
      </c>
      <c r="BC230" s="24" t="inlineStr">
        <is>
          <t>measured-edge-totals-v2</t>
        </is>
      </c>
      <c r="BD230" s="24" t="inlineStr">
        <is>
          <t>433578016242b27f9c1c7132cc6b5a2bcc7dd1b0234590c12a944455a88e71bd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2026-08-02T13:04:08.311739Z</t>
        </is>
      </c>
      <c r="BI230" s="24" t="inlineStr">
        <is>
          <t>["same_event","same_team_same_day","same_league_same_day"]</t>
        </is>
      </c>
      <c r="BJ230" s="25" t="n">
        <v>8.5</v>
      </c>
      <c r="BK230" s="26" t="n">
        <v>104</v>
      </c>
      <c r="BL230" s="27" t="n">
        <v>2.04</v>
      </c>
      <c r="BM230" s="28" t="n">
        <v>0.490196</v>
      </c>
      <c r="BN230" s="28" t="n">
        <v>0.487562</v>
      </c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</row>
    <row r="231" ht="36" customHeight="1">
      <c r="A231" s="24" t="inlineStr">
        <is>
          <t>2b99ce5ca70d43b7</t>
        </is>
      </c>
      <c r="B231" s="24" t="inlineStr">
        <is>
          <t>2026-08-02T13:04:08.311739Z</t>
        </is>
      </c>
      <c r="C231" s="24" t="inlineStr">
        <is>
          <t>2026-08-02T18:20Z</t>
        </is>
      </c>
      <c r="D231" s="24" t="inlineStr">
        <is>
          <t>401816369</t>
        </is>
      </c>
      <c r="E231" s="24" t="inlineStr">
        <is>
          <t>MLB</t>
        </is>
      </c>
      <c r="F231" s="24" t="inlineStr">
        <is>
          <t>New York Yankees</t>
        </is>
      </c>
      <c r="G231" s="24" t="inlineStr">
        <is>
          <t>Chicago Cubs</t>
        </is>
      </c>
      <c r="H231" s="24" t="inlineStr">
        <is>
          <t>spread</t>
        </is>
      </c>
      <c r="I231" s="24" t="inlineStr">
        <is>
          <t>home</t>
        </is>
      </c>
      <c r="J231" s="25" t="n">
        <v>1.5</v>
      </c>
      <c r="K231" s="24" t="inlineStr">
        <is>
          <t>polymarket_us</t>
        </is>
      </c>
      <c r="L231" s="26" t="n">
        <v>-156</v>
      </c>
      <c r="M231" s="27" t="n">
        <v>1.641026</v>
      </c>
      <c r="N231" s="28" t="n">
        <v>0.609375</v>
      </c>
      <c r="O231" s="28" t="n">
        <v>0.607388</v>
      </c>
      <c r="P231" s="28" t="n">
        <v>0.042131</v>
      </c>
      <c r="Q231" s="28" t="n">
        <v>-0.001987</v>
      </c>
      <c r="R231" s="26" t="n">
        <v>24</v>
      </c>
      <c r="S231" s="29" t="n">
        <v>1.5</v>
      </c>
      <c r="T231" s="24" t="inlineStr">
        <is>
          <t>measured-edge-margin-v2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Measured Edge Margin: Trend Engine projected 4.57-4.52; raw selected-side p=0.6636, calibrated p=0.6074.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NO_CALL_MODEL_UNVALIDATED</t>
        </is>
      </c>
      <c r="AP231" s="24" t="inlineStr">
        <is>
          <t>mlb-nyy</t>
        </is>
      </c>
      <c r="AQ231" s="24" t="inlineStr">
        <is>
          <t>New York Yankees</t>
        </is>
      </c>
      <c r="AR231" s="24" t="inlineStr">
        <is>
          <t>New York Yankees</t>
        </is>
      </c>
      <c r="AS231" s="24" t="inlineStr">
        <is>
          <t>mlb-chc</t>
        </is>
      </c>
      <c r="AT231" s="24" t="inlineStr">
        <is>
          <t>Chicago Cubs</t>
        </is>
      </c>
      <c r="AU231" s="24" t="inlineStr">
        <is>
          <t>Chicago Cubs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8360b122264b796b0fb193095cfe4506c7e064e5f3f8c0a659aec41efd08dd25</t>
        </is>
      </c>
      <c r="BB231" s="24" t="inlineStr">
        <is>
          <t>flat_probability_shrinkage_toward_half</t>
        </is>
      </c>
      <c r="BC231" s="24" t="inlineStr">
        <is>
          <t>measured-edge-margin-v2</t>
        </is>
      </c>
      <c r="BD231" s="24" t="inlineStr">
        <is>
          <t>8360b122264b796b0fb193095cfe4506c7e064e5f3f8c0a659aec41efd08dd25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2026-08-02T13:04:08.311739Z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-156</v>
      </c>
      <c r="BL231" s="27" t="n">
        <v>1.641026</v>
      </c>
      <c r="BM231" s="28" t="n">
        <v>0.609375</v>
      </c>
      <c r="BN231" s="28" t="n">
        <v>0.606965</v>
      </c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</row>
    <row r="232" ht="36" customHeight="1">
      <c r="A232" s="24" t="inlineStr">
        <is>
          <t>7130aa3bba594755</t>
        </is>
      </c>
      <c r="B232" s="24" t="inlineStr">
        <is>
          <t>2026-08-02T13:04:08.311739Z</t>
        </is>
      </c>
      <c r="C232" s="24" t="inlineStr">
        <is>
          <t>2026-08-02T18:20Z</t>
        </is>
      </c>
      <c r="D232" s="24" t="inlineStr">
        <is>
          <t>401816369</t>
        </is>
      </c>
      <c r="E232" s="24" t="inlineStr">
        <is>
          <t>MLB</t>
        </is>
      </c>
      <c r="F232" s="24" t="inlineStr">
        <is>
          <t>New York Yankees</t>
        </is>
      </c>
      <c r="G232" s="24" t="inlineStr">
        <is>
          <t>Chicago Cubs</t>
        </is>
      </c>
      <c r="H232" s="24" t="inlineStr">
        <is>
          <t>total</t>
        </is>
      </c>
      <c r="I232" s="24" t="inlineStr">
        <is>
          <t>over</t>
        </is>
      </c>
      <c r="J232" s="25" t="n">
        <v>6.5</v>
      </c>
      <c r="K232" s="24" t="inlineStr">
        <is>
          <t>polymarket_us</t>
        </is>
      </c>
      <c r="L232" s="26" t="n">
        <v>-106</v>
      </c>
      <c r="M232" s="27" t="n">
        <v>1.943396</v>
      </c>
      <c r="N232" s="28" t="n">
        <v>0.514563</v>
      </c>
      <c r="O232" s="28" t="n">
        <v>0.58309</v>
      </c>
      <c r="P232" s="28" t="n">
        <v>0.042131</v>
      </c>
      <c r="Q232" s="28" t="n">
        <v>0.068527</v>
      </c>
      <c r="R232" s="26" t="n">
        <v>59</v>
      </c>
      <c r="S232" s="29" t="n">
        <v>1.25</v>
      </c>
      <c r="T232" s="24" t="inlineStr">
        <is>
          <t>measured-edge-totals-v2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Measured Edge Totals: Trend Engine projected 4.57-4.52; raw selected-side p=0.7199, calibrated p=0.5831.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NO_CALL_MODEL_UNVALIDATED</t>
        </is>
      </c>
      <c r="AP232" s="24" t="inlineStr">
        <is>
          <t>mlb-nyy</t>
        </is>
      </c>
      <c r="AQ232" s="24" t="inlineStr">
        <is>
          <t>New York Yankees</t>
        </is>
      </c>
      <c r="AR232" s="24" t="inlineStr">
        <is>
          <t>New York Yankees</t>
        </is>
      </c>
      <c r="AS232" s="24" t="inlineStr">
        <is>
          <t>mlb-chc</t>
        </is>
      </c>
      <c r="AT232" s="24" t="inlineStr">
        <is>
          <t>Chicago Cubs</t>
        </is>
      </c>
      <c r="AU232" s="24" t="inlineStr">
        <is>
          <t>Chicago Cubs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433578016242b27f9c1c7132cc6b5a2bcc7dd1b0234590c12a944455a88e71bd</t>
        </is>
      </c>
      <c r="BB232" s="24" t="inlineStr">
        <is>
          <t>flat_probability_shrinkage_toward_half</t>
        </is>
      </c>
      <c r="BC232" s="24" t="inlineStr">
        <is>
          <t>measured-edge-totals-v2</t>
        </is>
      </c>
      <c r="BD232" s="24" t="inlineStr">
        <is>
          <t>433578016242b27f9c1c7132cc6b5a2bcc7dd1b0234590c12a944455a88e71bd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2026-08-02T13:04:08.311739Z</t>
        </is>
      </c>
      <c r="BI232" s="24" t="inlineStr">
        <is>
          <t>["same_event","same_team_same_day","same_league_same_day"]</t>
        </is>
      </c>
      <c r="BJ232" s="25" t="n">
        <v>6.5</v>
      </c>
      <c r="BK232" s="26" t="n">
        <v>-106</v>
      </c>
      <c r="BL232" s="27" t="n">
        <v>1.943396</v>
      </c>
      <c r="BM232" s="28" t="n">
        <v>0.514563</v>
      </c>
      <c r="BN232" s="28" t="n">
        <v>0.5124379999999999</v>
      </c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</row>
    <row r="233" ht="36" customHeight="1">
      <c r="A233" s="24" t="inlineStr">
        <is>
          <t>3d73935ec70b43de</t>
        </is>
      </c>
      <c r="B233" s="24" t="inlineStr">
        <is>
          <t>2026-08-02T13:04:08.311739Z</t>
        </is>
      </c>
      <c r="C233" s="24" t="inlineStr">
        <is>
          <t>2026-08-02T19:10Z</t>
        </is>
      </c>
      <c r="D233" s="24" t="inlineStr">
        <is>
          <t>401816371</t>
        </is>
      </c>
      <c r="E233" s="24" t="inlineStr">
        <is>
          <t>MLB</t>
        </is>
      </c>
      <c r="F233" s="24" t="inlineStr">
        <is>
          <t>Kansas City Royals</t>
        </is>
      </c>
      <c r="G233" s="24" t="inlineStr">
        <is>
          <t>Colorado Rockies</t>
        </is>
      </c>
      <c r="H233" s="24" t="inlineStr">
        <is>
          <t>spread</t>
        </is>
      </c>
      <c r="I233" s="24" t="inlineStr">
        <is>
          <t>home</t>
        </is>
      </c>
      <c r="J233" s="25" t="n">
        <v>1.5</v>
      </c>
      <c r="K233" s="24" t="inlineStr">
        <is>
          <t>polymarket_us</t>
        </is>
      </c>
      <c r="L233" s="26" t="n">
        <v>-163</v>
      </c>
      <c r="M233" s="27" t="n">
        <v>1.613497</v>
      </c>
      <c r="N233" s="28" t="n">
        <v>0.619772</v>
      </c>
      <c r="O233" s="28" t="n">
        <v>0.587869</v>
      </c>
      <c r="P233" s="28" t="n">
        <v>0.042131</v>
      </c>
      <c r="Q233" s="28" t="n">
        <v>-0.031903</v>
      </c>
      <c r="R233" s="26" t="n">
        <v>9</v>
      </c>
      <c r="S233" s="29" t="n">
        <v>1.25</v>
      </c>
      <c r="T233" s="24" t="inlineStr">
        <is>
          <t>measured-edge-margin-v2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Measured Edge Margin: Trend Engine projected 5.19-4.94; raw selected-side p=0.6339, calibrated p=0.5879.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NO_CALL_MODEL_UNVALIDATED</t>
        </is>
      </c>
      <c r="AP233" s="24" t="inlineStr">
        <is>
          <t>mlb-kc</t>
        </is>
      </c>
      <c r="AQ233" s="24" t="inlineStr">
        <is>
          <t>Kansas City Royals</t>
        </is>
      </c>
      <c r="AR233" s="24" t="inlineStr">
        <is>
          <t>Kansas City Royals</t>
        </is>
      </c>
      <c r="AS233" s="24" t="inlineStr">
        <is>
          <t>mlb-col</t>
        </is>
      </c>
      <c r="AT233" s="24" t="inlineStr">
        <is>
          <t>Colorado Rockies</t>
        </is>
      </c>
      <c r="AU233" s="24" t="inlineStr">
        <is>
          <t>Colorado Rockies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8360b122264b796b0fb193095cfe4506c7e064e5f3f8c0a659aec41efd08dd25</t>
        </is>
      </c>
      <c r="BB233" s="24" t="inlineStr">
        <is>
          <t>flat_probability_shrinkage_toward_half</t>
        </is>
      </c>
      <c r="BC233" s="24" t="inlineStr">
        <is>
          <t>measured-edge-margin-v2</t>
        </is>
      </c>
      <c r="BD233" s="24" t="inlineStr">
        <is>
          <t>8360b122264b796b0fb193095cfe4506c7e064e5f3f8c0a659aec41efd08dd25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2026-08-02T13:04:08.311739Z</t>
        </is>
      </c>
      <c r="BI233" s="24" t="inlineStr">
        <is>
          <t>["same_event","same_team_same_day","same_league_same_day"]</t>
        </is>
      </c>
      <c r="BJ233" s="25" t="n">
        <v>1.5</v>
      </c>
      <c r="BK233" s="26" t="n">
        <v>-163</v>
      </c>
      <c r="BL233" s="27" t="n">
        <v>1.613497</v>
      </c>
      <c r="BM233" s="28" t="n">
        <v>0.619772</v>
      </c>
      <c r="BN233" s="28" t="n">
        <v>0.616915</v>
      </c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</row>
    <row r="234" ht="36" customHeight="1">
      <c r="A234" s="24" t="inlineStr">
        <is>
          <t>7e3e24814bd54dc0</t>
        </is>
      </c>
      <c r="B234" s="24" t="inlineStr">
        <is>
          <t>2026-08-02T13:04:08.311739Z</t>
        </is>
      </c>
      <c r="C234" s="24" t="inlineStr">
        <is>
          <t>2026-08-02T19:10Z</t>
        </is>
      </c>
      <c r="D234" s="24" t="inlineStr">
        <is>
          <t>401816371</t>
        </is>
      </c>
      <c r="E234" s="24" t="inlineStr">
        <is>
          <t>MLB</t>
        </is>
      </c>
      <c r="F234" s="24" t="inlineStr">
        <is>
          <t>Kansas City Royals</t>
        </is>
      </c>
      <c r="G234" s="24" t="inlineStr">
        <is>
          <t>Colorado Rockies</t>
        </is>
      </c>
      <c r="H234" s="24" t="inlineStr">
        <is>
          <t>total</t>
        </is>
      </c>
      <c r="I234" s="24" t="inlineStr">
        <is>
          <t>under</t>
        </is>
      </c>
      <c r="J234" s="25" t="n">
        <v>12.5</v>
      </c>
      <c r="K234" s="24" t="inlineStr">
        <is>
          <t>polymarket_us</t>
        </is>
      </c>
      <c r="L234" s="26" t="n">
        <v>-111</v>
      </c>
      <c r="M234" s="27" t="n">
        <v>1.900901</v>
      </c>
      <c r="N234" s="28" t="n">
        <v>0.526066</v>
      </c>
      <c r="O234" s="28" t="n">
        <v>0.58039</v>
      </c>
      <c r="P234" s="28" t="n">
        <v>0.042131</v>
      </c>
      <c r="Q234" s="28" t="n">
        <v>0.054324</v>
      </c>
      <c r="R234" s="26" t="n">
        <v>52</v>
      </c>
      <c r="S234" s="29" t="n">
        <v>1.25</v>
      </c>
      <c r="T234" s="24" t="inlineStr">
        <is>
          <t>measured-edge-totals-v2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Measured Edge Totals: Trend Engine projected 5.19-4.94; raw selected-side p=0.7120, calibrated p=0.5804.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NO_CALL_MODEL_UNVALIDATED</t>
        </is>
      </c>
      <c r="AP234" s="24" t="inlineStr">
        <is>
          <t>mlb-kc</t>
        </is>
      </c>
      <c r="AQ234" s="24" t="inlineStr">
        <is>
          <t>Kansas City Royals</t>
        </is>
      </c>
      <c r="AR234" s="24" t="inlineStr">
        <is>
          <t>Kansas City Royals</t>
        </is>
      </c>
      <c r="AS234" s="24" t="inlineStr">
        <is>
          <t>mlb-col</t>
        </is>
      </c>
      <c r="AT234" s="24" t="inlineStr">
        <is>
          <t>Colorado Rockies</t>
        </is>
      </c>
      <c r="AU234" s="24" t="inlineStr">
        <is>
          <t>Colorado Rockies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433578016242b27f9c1c7132cc6b5a2bcc7dd1b0234590c12a944455a88e71bd</t>
        </is>
      </c>
      <c r="BB234" s="24" t="inlineStr">
        <is>
          <t>flat_probability_shrinkage_toward_half</t>
        </is>
      </c>
      <c r="BC234" s="24" t="inlineStr">
        <is>
          <t>measured-edge-totals-v2</t>
        </is>
      </c>
      <c r="BD234" s="24" t="inlineStr">
        <is>
          <t>433578016242b27f9c1c7132cc6b5a2bcc7dd1b0234590c12a944455a88e71bd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2026-08-02T13:04:08.311739Z</t>
        </is>
      </c>
      <c r="BI234" s="24" t="inlineStr">
        <is>
          <t>["same_event","same_team_same_day","same_league_same_day"]</t>
        </is>
      </c>
      <c r="BJ234" s="25" t="n">
        <v>12.5</v>
      </c>
      <c r="BK234" s="26" t="n">
        <v>-111</v>
      </c>
      <c r="BL234" s="27" t="n">
        <v>1.900901</v>
      </c>
      <c r="BM234" s="28" t="n">
        <v>0.526066</v>
      </c>
      <c r="BN234" s="28" t="n">
        <v>0.522388</v>
      </c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</row>
    <row r="235" ht="36" customHeight="1">
      <c r="A235" s="24" t="inlineStr">
        <is>
          <t>990c47dd47c04c8f</t>
        </is>
      </c>
      <c r="B235" s="24" t="inlineStr">
        <is>
          <t>2026-08-02T13:04:08.311739Z</t>
        </is>
      </c>
      <c r="C235" s="24" t="inlineStr">
        <is>
          <t>2026-08-02T19:15Z</t>
        </is>
      </c>
      <c r="D235" s="24" t="inlineStr">
        <is>
          <t>401816374</t>
        </is>
      </c>
      <c r="E235" s="24" t="inlineStr">
        <is>
          <t>MLB</t>
        </is>
      </c>
      <c r="F235" s="24" t="inlineStr">
        <is>
          <t>Milwaukee Brewers</t>
        </is>
      </c>
      <c r="G235" s="24" t="inlineStr">
        <is>
          <t>Los Angeles Angels</t>
        </is>
      </c>
      <c r="H235" s="24" t="inlineStr">
        <is>
          <t>spread</t>
        </is>
      </c>
      <c r="I235" s="24" t="inlineStr">
        <is>
          <t>home</t>
        </is>
      </c>
      <c r="J235" s="25" t="n">
        <v>1.5</v>
      </c>
      <c r="K235" s="24" t="inlineStr">
        <is>
          <t>polymarket_us</t>
        </is>
      </c>
      <c r="L235" s="26" t="n">
        <v>125</v>
      </c>
      <c r="M235" s="27" t="n">
        <v>2.25</v>
      </c>
      <c r="N235" s="28" t="n">
        <v>0.444444</v>
      </c>
      <c r="O235" s="28" t="n">
        <v>0.598235</v>
      </c>
      <c r="P235" s="28" t="n">
        <v>0.042131</v>
      </c>
      <c r="Q235" s="28" t="n">
        <v>0.153791</v>
      </c>
      <c r="R235" s="26" t="n">
        <v>100</v>
      </c>
      <c r="S235" s="29" t="n">
        <v>1.25</v>
      </c>
      <c r="T235" s="24" t="inlineStr">
        <is>
          <t>measured-edge-margin-v2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Measured Edge Margin: Trend Engine projected 4.33-4.07; raw selected-side p=0.6496, calibrated p=0.5982.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NO_CALL_MODEL_UNVALIDATED</t>
        </is>
      </c>
      <c r="AP235" s="24" t="inlineStr">
        <is>
          <t>mlb-mil</t>
        </is>
      </c>
      <c r="AQ235" s="24" t="inlineStr">
        <is>
          <t>Milwaukee Brewers</t>
        </is>
      </c>
      <c r="AR235" s="24" t="inlineStr">
        <is>
          <t>Milwaukee Brewers</t>
        </is>
      </c>
      <c r="AS235" s="24" t="inlineStr">
        <is>
          <t>mlb-laa</t>
        </is>
      </c>
      <c r="AT235" s="24" t="inlineStr">
        <is>
          <t>Los Angeles Angels</t>
        </is>
      </c>
      <c r="AU235" s="24" t="inlineStr">
        <is>
          <t>Los Angeles Angels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8360b122264b796b0fb193095cfe4506c7e064e5f3f8c0a659aec41efd08dd25</t>
        </is>
      </c>
      <c r="BB235" s="24" t="inlineStr">
        <is>
          <t>flat_probability_shrinkage_toward_half</t>
        </is>
      </c>
      <c r="BC235" s="24" t="inlineStr">
        <is>
          <t>measured-edge-margin-v2</t>
        </is>
      </c>
      <c r="BD235" s="24" t="inlineStr">
        <is>
          <t>8360b122264b796b0fb193095cfe4506c7e064e5f3f8c0a659aec41efd08dd25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2026-08-02T13:04:08.311739Z</t>
        </is>
      </c>
      <c r="BI235" s="24" t="inlineStr">
        <is>
          <t>["same_event","same_team_same_day","same_league_same_day"]</t>
        </is>
      </c>
      <c r="BJ235" s="25" t="n">
        <v>1.5</v>
      </c>
      <c r="BK235" s="26" t="n">
        <v>125</v>
      </c>
      <c r="BL235" s="27" t="n">
        <v>2.25</v>
      </c>
      <c r="BM235" s="28" t="n">
        <v>0.444444</v>
      </c>
      <c r="BN235" s="28" t="n">
        <v>0.442786</v>
      </c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</row>
    <row r="236" ht="36" customHeight="1">
      <c r="A236" s="24" t="inlineStr">
        <is>
          <t>61ccea1762bc4bb0</t>
        </is>
      </c>
      <c r="B236" s="24" t="inlineStr">
        <is>
          <t>2026-08-02T13:04:08.311739Z</t>
        </is>
      </c>
      <c r="C236" s="24" t="inlineStr">
        <is>
          <t>2026-08-02T19:15Z</t>
        </is>
      </c>
      <c r="D236" s="24" t="inlineStr">
        <is>
          <t>401816374</t>
        </is>
      </c>
      <c r="E236" s="24" t="inlineStr">
        <is>
          <t>MLB</t>
        </is>
      </c>
      <c r="F236" s="24" t="inlineStr">
        <is>
          <t>Milwaukee Brewers</t>
        </is>
      </c>
      <c r="G236" s="24" t="inlineStr">
        <is>
          <t>Los Angeles Angels</t>
        </is>
      </c>
      <c r="H236" s="24" t="inlineStr">
        <is>
          <t>total</t>
        </is>
      </c>
      <c r="I236" s="24" t="inlineStr">
        <is>
          <t>over</t>
        </is>
      </c>
      <c r="J236" s="25" t="n">
        <v>7.5</v>
      </c>
      <c r="K236" s="24" t="inlineStr">
        <is>
          <t>polymarket_us</t>
        </is>
      </c>
      <c r="L236" s="26" t="n">
        <v>-106</v>
      </c>
      <c r="M236" s="27" t="n">
        <v>1.943396</v>
      </c>
      <c r="N236" s="28" t="n">
        <v>0.514563</v>
      </c>
      <c r="O236" s="28" t="n">
        <v>0.521105</v>
      </c>
      <c r="P236" s="28" t="n">
        <v>0.042131</v>
      </c>
      <c r="Q236" s="28" t="n">
        <v>0.006542</v>
      </c>
      <c r="R236" s="26" t="n">
        <v>28</v>
      </c>
      <c r="S236" s="29" t="n">
        <v>1</v>
      </c>
      <c r="T236" s="24" t="inlineStr">
        <is>
          <t>measured-edge-totals-v2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Measured Edge Totals: Trend Engine projected 4.33-4.07; raw selected-side p=0.5385, calibrated p=0.5211.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NO_CALL_MODEL_UNVALIDATED</t>
        </is>
      </c>
      <c r="AP236" s="24" t="inlineStr">
        <is>
          <t>mlb-mil</t>
        </is>
      </c>
      <c r="AQ236" s="24" t="inlineStr">
        <is>
          <t>Milwaukee Brewers</t>
        </is>
      </c>
      <c r="AR236" s="24" t="inlineStr">
        <is>
          <t>Milwaukee Brewers</t>
        </is>
      </c>
      <c r="AS236" s="24" t="inlineStr">
        <is>
          <t>mlb-laa</t>
        </is>
      </c>
      <c r="AT236" s="24" t="inlineStr">
        <is>
          <t>Los Angeles Angels</t>
        </is>
      </c>
      <c r="AU236" s="24" t="inlineStr">
        <is>
          <t>Los Angeles Angels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433578016242b27f9c1c7132cc6b5a2bcc7dd1b0234590c12a944455a88e71bd</t>
        </is>
      </c>
      <c r="BB236" s="24" t="inlineStr">
        <is>
          <t>flat_probability_shrinkage_toward_half</t>
        </is>
      </c>
      <c r="BC236" s="24" t="inlineStr">
        <is>
          <t>measured-edge-totals-v2</t>
        </is>
      </c>
      <c r="BD236" s="24" t="inlineStr">
        <is>
          <t>433578016242b27f9c1c7132cc6b5a2bcc7dd1b0234590c12a944455a88e71bd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2026-08-02T13:04:08.311739Z</t>
        </is>
      </c>
      <c r="BI236" s="24" t="inlineStr">
        <is>
          <t>["same_event","same_team_same_day","same_league_same_day"]</t>
        </is>
      </c>
      <c r="BJ236" s="25" t="n">
        <v>7.5</v>
      </c>
      <c r="BK236" s="26" t="n">
        <v>-106</v>
      </c>
      <c r="BL236" s="27" t="n">
        <v>1.943396</v>
      </c>
      <c r="BM236" s="28" t="n">
        <v>0.514563</v>
      </c>
      <c r="BN236" s="28" t="n">
        <v>0.5124379999999999</v>
      </c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</row>
    <row r="237" ht="36" customHeight="1">
      <c r="A237" s="24" t="inlineStr">
        <is>
          <t>332661e9efa14a25</t>
        </is>
      </c>
      <c r="B237" s="24" t="inlineStr">
        <is>
          <t>2026-08-02T13:04:08.311739Z</t>
        </is>
      </c>
      <c r="C237" s="24" t="inlineStr">
        <is>
          <t>2026-08-02T20:05Z</t>
        </is>
      </c>
      <c r="D237" s="24" t="inlineStr">
        <is>
          <t>401816373</t>
        </is>
      </c>
      <c r="E237" s="24" t="inlineStr">
        <is>
          <t>MLB</t>
        </is>
      </c>
      <c r="F237" s="24" t="inlineStr">
        <is>
          <t>Detroit Tigers</t>
        </is>
      </c>
      <c r="G237" s="24" t="inlineStr">
        <is>
          <t>Athletics</t>
        </is>
      </c>
      <c r="H237" s="24" t="inlineStr">
        <is>
          <t>spread</t>
        </is>
      </c>
      <c r="I237" s="24" t="inlineStr">
        <is>
          <t>home</t>
        </is>
      </c>
      <c r="J237" s="25" t="n">
        <v>1.5</v>
      </c>
      <c r="K237" s="24" t="inlineStr">
        <is>
          <t>polymarket_us</t>
        </is>
      </c>
      <c r="L237" s="26" t="n">
        <v>-138</v>
      </c>
      <c r="M237" s="27" t="n">
        <v>1.724638</v>
      </c>
      <c r="N237" s="28" t="n">
        <v>0.579832</v>
      </c>
      <c r="O237" s="28" t="n">
        <v>0.600433</v>
      </c>
      <c r="P237" s="28" t="n">
        <v>0.042131</v>
      </c>
      <c r="Q237" s="28" t="n">
        <v>0.020601</v>
      </c>
      <c r="R237" s="26" t="n">
        <v>35</v>
      </c>
      <c r="S237" s="29" t="n">
        <v>1.5</v>
      </c>
      <c r="T237" s="24" t="inlineStr">
        <is>
          <t>measured-edge-margin-v2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Measured Edge Margin: Trend Engine projected 4.86-4.74; raw selected-side p=0.6530, calibrated p=0.6004.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NO_CALL_MODEL_UNVALIDATED</t>
        </is>
      </c>
      <c r="AP237" s="24" t="inlineStr">
        <is>
          <t>mlb-det</t>
        </is>
      </c>
      <c r="AQ237" s="24" t="inlineStr">
        <is>
          <t>Detroit Tigers</t>
        </is>
      </c>
      <c r="AR237" s="24" t="inlineStr">
        <is>
          <t>Detroit Tigers</t>
        </is>
      </c>
      <c r="AS237" s="24" t="inlineStr">
        <is>
          <t>mlb-ath</t>
        </is>
      </c>
      <c r="AT237" s="24" t="inlineStr">
        <is>
          <t>Athletics</t>
        </is>
      </c>
      <c r="AU237" s="24" t="inlineStr">
        <is>
          <t>Athletics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8360b122264b796b0fb193095cfe4506c7e064e5f3f8c0a659aec41efd08dd25</t>
        </is>
      </c>
      <c r="BB237" s="24" t="inlineStr">
        <is>
          <t>flat_probability_shrinkage_toward_half</t>
        </is>
      </c>
      <c r="BC237" s="24" t="inlineStr">
        <is>
          <t>measured-edge-margin-v2</t>
        </is>
      </c>
      <c r="BD237" s="24" t="inlineStr">
        <is>
          <t>8360b122264b796b0fb193095cfe4506c7e064e5f3f8c0a659aec41efd08dd25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2026-08-02T13:04:08.311739Z</t>
        </is>
      </c>
      <c r="BI237" s="24" t="inlineStr">
        <is>
          <t>["same_event","same_team_same_day","same_league_same_day"]</t>
        </is>
      </c>
      <c r="BJ237" s="25" t="n">
        <v>1.5</v>
      </c>
      <c r="BK237" s="26" t="n">
        <v>-138</v>
      </c>
      <c r="BL237" s="27" t="n">
        <v>1.724638</v>
      </c>
      <c r="BM237" s="28" t="n">
        <v>0.579832</v>
      </c>
      <c r="BN237" s="28" t="n">
        <v>0.577114</v>
      </c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</row>
    <row r="238" ht="36" customHeight="1">
      <c r="A238" s="24" t="inlineStr">
        <is>
          <t>eafc353e67654d93</t>
        </is>
      </c>
      <c r="B238" s="24" t="inlineStr">
        <is>
          <t>2026-08-02T13:04:08.311739Z</t>
        </is>
      </c>
      <c r="C238" s="24" t="inlineStr">
        <is>
          <t>2026-08-02T20:05Z</t>
        </is>
      </c>
      <c r="D238" s="24" t="inlineStr">
        <is>
          <t>401816373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Athletics</t>
        </is>
      </c>
      <c r="H238" s="24" t="inlineStr">
        <is>
          <t>total</t>
        </is>
      </c>
      <c r="I238" s="24" t="inlineStr">
        <is>
          <t>under</t>
        </is>
      </c>
      <c r="J238" s="25" t="n">
        <v>10.5</v>
      </c>
      <c r="K238" s="24" t="inlineStr">
        <is>
          <t>polymarket_us</t>
        </is>
      </c>
      <c r="L238" s="26" t="n">
        <v>113</v>
      </c>
      <c r="M238" s="27" t="n">
        <v>2.13</v>
      </c>
      <c r="N238" s="28" t="n">
        <v>0.469484</v>
      </c>
      <c r="O238" s="28" t="n">
        <v>0.54605</v>
      </c>
      <c r="P238" s="28" t="n">
        <v>0.042131</v>
      </c>
      <c r="Q238" s="28" t="n">
        <v>0.076566</v>
      </c>
      <c r="R238" s="26" t="n">
        <v>63</v>
      </c>
      <c r="S238" s="29" t="n">
        <v>1</v>
      </c>
      <c r="T238" s="24" t="inlineStr">
        <is>
          <t>measured-edge-totals-v2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Measured Edge Totals: Trend Engine projected 4.86-4.74; raw selected-side p=0.6115, calibrated p=0.5460.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mlb-ath</t>
        </is>
      </c>
      <c r="AT238" s="24" t="inlineStr">
        <is>
          <t>Athletics</t>
        </is>
      </c>
      <c r="AU238" s="24" t="inlineStr">
        <is>
          <t>Athletics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433578016242b27f9c1c7132cc6b5a2bcc7dd1b0234590c12a944455a88e71bd</t>
        </is>
      </c>
      <c r="BB238" s="24" t="inlineStr">
        <is>
          <t>flat_probability_shrinkage_toward_half</t>
        </is>
      </c>
      <c r="BC238" s="24" t="inlineStr">
        <is>
          <t>measured-edge-totals-v2</t>
        </is>
      </c>
      <c r="BD238" s="24" t="inlineStr">
        <is>
          <t>433578016242b27f9c1c7132cc6b5a2bcc7dd1b0234590c12a944455a88e71bd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2026-08-02T13:04:08.311739Z</t>
        </is>
      </c>
      <c r="BI238" s="24" t="inlineStr">
        <is>
          <t>["same_event","same_team_same_day","same_league_same_day"]</t>
        </is>
      </c>
      <c r="BJ238" s="25" t="n">
        <v>10.5</v>
      </c>
      <c r="BK238" s="26" t="n">
        <v>113</v>
      </c>
      <c r="BL238" s="27" t="n">
        <v>2.13</v>
      </c>
      <c r="BM238" s="28" t="n">
        <v>0.469484</v>
      </c>
      <c r="BN238" s="28" t="n">
        <v>0.467662</v>
      </c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</row>
    <row r="239" ht="36" customHeight="1">
      <c r="A239" s="24" t="inlineStr">
        <is>
          <t>b2c1cc9d0d9a4874</t>
        </is>
      </c>
      <c r="B239" s="24" t="inlineStr">
        <is>
          <t>2026-08-02T13:04:08.311739Z</t>
        </is>
      </c>
      <c r="C239" s="24" t="inlineStr">
        <is>
          <t>2026-08-02T20:10Z</t>
        </is>
      </c>
      <c r="D239" s="24" t="inlineStr">
        <is>
          <t>401816375</t>
        </is>
      </c>
      <c r="E239" s="24" t="inlineStr">
        <is>
          <t>MLB</t>
        </is>
      </c>
      <c r="F239" s="24" t="inlineStr">
        <is>
          <t>Minnesota Twins</t>
        </is>
      </c>
      <c r="G239" s="24" t="inlineStr">
        <is>
          <t>Seattle Mariners</t>
        </is>
      </c>
      <c r="H239" s="24" t="inlineStr">
        <is>
          <t>spread</t>
        </is>
      </c>
      <c r="I239" s="24" t="inlineStr">
        <is>
          <t>away</t>
        </is>
      </c>
      <c r="J239" s="25" t="n">
        <v>1.5</v>
      </c>
      <c r="K239" s="24" t="inlineStr">
        <is>
          <t>polymarket_us</t>
        </is>
      </c>
      <c r="L239" s="26" t="n">
        <v>-174</v>
      </c>
      <c r="M239" s="27" t="n">
        <v>1.574713</v>
      </c>
      <c r="N239" s="28" t="n">
        <v>0.635036</v>
      </c>
      <c r="O239" s="28" t="n">
        <v>0.607158</v>
      </c>
      <c r="P239" s="28" t="n">
        <v>0.042131</v>
      </c>
      <c r="Q239" s="28" t="n">
        <v>-0.027878</v>
      </c>
      <c r="R239" s="26" t="n">
        <v>11</v>
      </c>
      <c r="S239" s="29" t="n">
        <v>1.5</v>
      </c>
      <c r="T239" s="24" t="inlineStr">
        <is>
          <t>measured-edge-margin-v2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Measured Edge Margin: Trend Engine projected 4.39-4.46; raw selected-side p=0.6633, calibrated p=0.6072.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NO_CALL_MODEL_UNVALIDATED</t>
        </is>
      </c>
      <c r="AP239" s="24" t="inlineStr">
        <is>
          <t>mlb-min</t>
        </is>
      </c>
      <c r="AQ239" s="24" t="inlineStr">
        <is>
          <t>Minnesota Twins</t>
        </is>
      </c>
      <c r="AR239" s="24" t="inlineStr">
        <is>
          <t>Minnesota Twins</t>
        </is>
      </c>
      <c r="AS239" s="24" t="inlineStr">
        <is>
          <t>mlb-sea</t>
        </is>
      </c>
      <c r="AT239" s="24" t="inlineStr">
        <is>
          <t>Seattle Mariners</t>
        </is>
      </c>
      <c r="AU239" s="24" t="inlineStr">
        <is>
          <t>Seattle Mariners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8360b122264b796b0fb193095cfe4506c7e064e5f3f8c0a659aec41efd08dd25</t>
        </is>
      </c>
      <c r="BB239" s="24" t="inlineStr">
        <is>
          <t>flat_probability_shrinkage_toward_half</t>
        </is>
      </c>
      <c r="BC239" s="24" t="inlineStr">
        <is>
          <t>measured-edge-margin-v2</t>
        </is>
      </c>
      <c r="BD239" s="24" t="inlineStr">
        <is>
          <t>8360b122264b796b0fb193095cfe4506c7e064e5f3f8c0a659aec41efd08dd25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2026-08-02T13:04:08.311739Z</t>
        </is>
      </c>
      <c r="BI239" s="24" t="inlineStr">
        <is>
          <t>["same_event","same_team_same_day","same_league_same_day"]</t>
        </is>
      </c>
      <c r="BJ239" s="25" t="n">
        <v>1.5</v>
      </c>
      <c r="BK239" s="26" t="n">
        <v>-174</v>
      </c>
      <c r="BL239" s="27" t="n">
        <v>1.574713</v>
      </c>
      <c r="BM239" s="28" t="n">
        <v>0.635036</v>
      </c>
      <c r="BN239" s="28" t="n">
        <v>0.631841</v>
      </c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</row>
    <row r="240" ht="36" customHeight="1">
      <c r="A240" s="24" t="inlineStr">
        <is>
          <t>6a7d4fe6430642c6</t>
        </is>
      </c>
      <c r="B240" s="24" t="inlineStr">
        <is>
          <t>2026-08-02T13:04:08.311739Z</t>
        </is>
      </c>
      <c r="C240" s="24" t="inlineStr">
        <is>
          <t>2026-08-02T20:10Z</t>
        </is>
      </c>
      <c r="D240" s="24" t="inlineStr">
        <is>
          <t>401816375</t>
        </is>
      </c>
      <c r="E240" s="24" t="inlineStr">
        <is>
          <t>MLB</t>
        </is>
      </c>
      <c r="F240" s="24" t="inlineStr">
        <is>
          <t>Minnesota Twins</t>
        </is>
      </c>
      <c r="G240" s="24" t="inlineStr">
        <is>
          <t>Seattle Mariners</t>
        </is>
      </c>
      <c r="H240" s="24" t="inlineStr">
        <is>
          <t>total</t>
        </is>
      </c>
      <c r="I240" s="24" t="inlineStr">
        <is>
          <t>over</t>
        </is>
      </c>
      <c r="J240" s="25" t="n">
        <v>7.5</v>
      </c>
      <c r="K240" s="24" t="inlineStr">
        <is>
          <t>polymarket_us</t>
        </is>
      </c>
      <c r="L240" s="26" t="n">
        <v>120</v>
      </c>
      <c r="M240" s="27" t="n">
        <v>2.2</v>
      </c>
      <c r="N240" s="28" t="n">
        <v>0.454545</v>
      </c>
      <c r="O240" s="28" t="n">
        <v>0.534432</v>
      </c>
      <c r="P240" s="28" t="n">
        <v>0.042131</v>
      </c>
      <c r="Q240" s="28" t="n">
        <v>0.079887</v>
      </c>
      <c r="R240" s="26" t="n">
        <v>65</v>
      </c>
      <c r="S240" s="29" t="n">
        <v>1</v>
      </c>
      <c r="T240" s="24" t="inlineStr">
        <is>
          <t>measured-edge-totals-v2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Measured Edge Totals: Trend Engine projected 4.39-4.46; raw selected-side p=0.5775, calibrated p=0.5344.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NO_CALL_MODEL_UNVALIDATED</t>
        </is>
      </c>
      <c r="AP240" s="24" t="inlineStr">
        <is>
          <t>mlb-min</t>
        </is>
      </c>
      <c r="AQ240" s="24" t="inlineStr">
        <is>
          <t>Minnesota Twins</t>
        </is>
      </c>
      <c r="AR240" s="24" t="inlineStr">
        <is>
          <t>Minnesota Twins</t>
        </is>
      </c>
      <c r="AS240" s="24" t="inlineStr">
        <is>
          <t>mlb-sea</t>
        </is>
      </c>
      <c r="AT240" s="24" t="inlineStr">
        <is>
          <t>Seattle Mariners</t>
        </is>
      </c>
      <c r="AU240" s="24" t="inlineStr">
        <is>
          <t>Seattle Mariners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433578016242b27f9c1c7132cc6b5a2bcc7dd1b0234590c12a944455a88e71bd</t>
        </is>
      </c>
      <c r="BB240" s="24" t="inlineStr">
        <is>
          <t>flat_probability_shrinkage_toward_half</t>
        </is>
      </c>
      <c r="BC240" s="24" t="inlineStr">
        <is>
          <t>measured-edge-totals-v2</t>
        </is>
      </c>
      <c r="BD240" s="24" t="inlineStr">
        <is>
          <t>433578016242b27f9c1c7132cc6b5a2bcc7dd1b0234590c12a944455a88e71bd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2026-08-02T13:04:08.311739Z</t>
        </is>
      </c>
      <c r="BI240" s="24" t="inlineStr">
        <is>
          <t>["same_event","same_team_same_day","same_league_same_day"]</t>
        </is>
      </c>
      <c r="BJ240" s="25" t="n">
        <v>7.5</v>
      </c>
      <c r="BK240" s="26" t="n">
        <v>120</v>
      </c>
      <c r="BL240" s="27" t="n">
        <v>2.2</v>
      </c>
      <c r="BM240" s="28" t="n">
        <v>0.454545</v>
      </c>
      <c r="BN240" s="28" t="n">
        <v>0.452736</v>
      </c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</row>
    <row r="241" ht="36" customHeight="1">
      <c r="A241" s="24" t="inlineStr">
        <is>
          <t>31b86db8f43c4b77</t>
        </is>
      </c>
      <c r="B241" s="24" t="inlineStr">
        <is>
          <t>2026-08-02T13:04:08.311739Z</t>
        </is>
      </c>
      <c r="C241" s="24" t="inlineStr">
        <is>
          <t>2026-08-02T20:10Z</t>
        </is>
      </c>
      <c r="D241" s="24" t="inlineStr">
        <is>
          <t>401816376</t>
        </is>
      </c>
      <c r="E241" s="24" t="inlineStr">
        <is>
          <t>MLB</t>
        </is>
      </c>
      <c r="F241" s="24" t="inlineStr">
        <is>
          <t>San Francisco Giants</t>
        </is>
      </c>
      <c r="G241" s="24" t="inlineStr">
        <is>
          <t>San Diego Padres</t>
        </is>
      </c>
      <c r="H241" s="24" t="inlineStr">
        <is>
          <t>spread</t>
        </is>
      </c>
      <c r="I241" s="24" t="inlineStr">
        <is>
          <t>away</t>
        </is>
      </c>
      <c r="J241" s="25" t="n">
        <v>1.5</v>
      </c>
      <c r="K241" s="24" t="inlineStr">
        <is>
          <t>polymarket_us</t>
        </is>
      </c>
      <c r="L241" s="26" t="n">
        <v>-156</v>
      </c>
      <c r="M241" s="27" t="n">
        <v>1.641026</v>
      </c>
      <c r="N241" s="28" t="n">
        <v>0.609375</v>
      </c>
      <c r="O241" s="28" t="n">
        <v>0.585933</v>
      </c>
      <c r="P241" s="28" t="n">
        <v>0.042131</v>
      </c>
      <c r="Q241" s="28" t="n">
        <v>-0.023442</v>
      </c>
      <c r="R241" s="26" t="n">
        <v>13</v>
      </c>
      <c r="S241" s="29" t="n">
        <v>1.25</v>
      </c>
      <c r="T241" s="24" t="inlineStr">
        <is>
          <t>measured-edge-margin-v2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Measured Edge Margin: Trend Engine projected 4.27-4.69; raw selected-side p=0.6309, calibrated p=0.5859.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NO_CALL_MODEL_UNVALIDATED</t>
        </is>
      </c>
      <c r="AP241" s="24" t="inlineStr">
        <is>
          <t>mlb-sf</t>
        </is>
      </c>
      <c r="AQ241" s="24" t="inlineStr">
        <is>
          <t>San Francisco Giants</t>
        </is>
      </c>
      <c r="AR241" s="24" t="inlineStr">
        <is>
          <t>San Francisco Giants</t>
        </is>
      </c>
      <c r="AS241" s="24" t="inlineStr">
        <is>
          <t>mlb-sd</t>
        </is>
      </c>
      <c r="AT241" s="24" t="inlineStr">
        <is>
          <t>San Diego Padres</t>
        </is>
      </c>
      <c r="AU241" s="24" t="inlineStr">
        <is>
          <t>San Diego Padres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8360b122264b796b0fb193095cfe4506c7e064e5f3f8c0a659aec41efd08dd25</t>
        </is>
      </c>
      <c r="BB241" s="24" t="inlineStr">
        <is>
          <t>flat_probability_shrinkage_toward_half</t>
        </is>
      </c>
      <c r="BC241" s="24" t="inlineStr">
        <is>
          <t>measured-edge-margin-v2</t>
        </is>
      </c>
      <c r="BD241" s="24" t="inlineStr">
        <is>
          <t>8360b122264b796b0fb193095cfe4506c7e064e5f3f8c0a659aec41efd08dd25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2026-08-02T13:04:08.311739Z</t>
        </is>
      </c>
      <c r="BI241" s="24" t="inlineStr">
        <is>
          <t>["same_event","same_team_same_day","same_league_same_day"]</t>
        </is>
      </c>
      <c r="BJ241" s="25" t="n">
        <v>1.5</v>
      </c>
      <c r="BK241" s="26" t="n">
        <v>-156</v>
      </c>
      <c r="BL241" s="27" t="n">
        <v>1.641026</v>
      </c>
      <c r="BM241" s="28" t="n">
        <v>0.609375</v>
      </c>
      <c r="BN241" s="28" t="n">
        <v>0.606965</v>
      </c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</row>
    <row r="242" ht="36" customHeight="1">
      <c r="A242" s="24" t="inlineStr">
        <is>
          <t>0e7368bcf2974fb9</t>
        </is>
      </c>
      <c r="B242" s="24" t="inlineStr">
        <is>
          <t>2026-08-02T13:04:08.311739Z</t>
        </is>
      </c>
      <c r="C242" s="24" t="inlineStr">
        <is>
          <t>2026-08-02T20:10Z</t>
        </is>
      </c>
      <c r="D242" s="24" t="inlineStr">
        <is>
          <t>401816376</t>
        </is>
      </c>
      <c r="E242" s="24" t="inlineStr">
        <is>
          <t>MLB</t>
        </is>
      </c>
      <c r="F242" s="24" t="inlineStr">
        <is>
          <t>San Francisco Giants</t>
        </is>
      </c>
      <c r="G242" s="24" t="inlineStr">
        <is>
          <t>San Diego Padres</t>
        </is>
      </c>
      <c r="H242" s="24" t="inlineStr">
        <is>
          <t>total</t>
        </is>
      </c>
      <c r="I242" s="24" t="inlineStr">
        <is>
          <t>over</t>
        </is>
      </c>
      <c r="J242" s="25" t="n">
        <v>8.5</v>
      </c>
      <c r="K242" s="24" t="inlineStr">
        <is>
          <t>polymarket_us</t>
        </is>
      </c>
      <c r="L242" s="26" t="n">
        <v>115</v>
      </c>
      <c r="M242" s="27" t="n">
        <v>2.15</v>
      </c>
      <c r="N242" s="28" t="n">
        <v>0.465116</v>
      </c>
      <c r="O242" s="28" t="n">
        <v>0.511213</v>
      </c>
      <c r="P242" s="28" t="n">
        <v>0.042131</v>
      </c>
      <c r="Q242" s="28" t="n">
        <v>0.046097</v>
      </c>
      <c r="R242" s="26" t="n">
        <v>48</v>
      </c>
      <c r="S242" s="29" t="n">
        <v>1</v>
      </c>
      <c r="T242" s="24" t="inlineStr">
        <is>
          <t>measured-edge-totals-v2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Measured Edge Totals: Trend Engine projected 4.27-4.69; raw selected-side p=0.5095, calibrated p=0.5112.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NO_CALL_MODEL_UNVALIDATED</t>
        </is>
      </c>
      <c r="AP242" s="24" t="inlineStr">
        <is>
          <t>mlb-sf</t>
        </is>
      </c>
      <c r="AQ242" s="24" t="inlineStr">
        <is>
          <t>San Francisco Giants</t>
        </is>
      </c>
      <c r="AR242" s="24" t="inlineStr">
        <is>
          <t>San Francisco Giants</t>
        </is>
      </c>
      <c r="AS242" s="24" t="inlineStr">
        <is>
          <t>mlb-sd</t>
        </is>
      </c>
      <c r="AT242" s="24" t="inlineStr">
        <is>
          <t>San Diego Padres</t>
        </is>
      </c>
      <c r="AU242" s="24" t="inlineStr">
        <is>
          <t>San Diego Padres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433578016242b27f9c1c7132cc6b5a2bcc7dd1b0234590c12a944455a88e71bd</t>
        </is>
      </c>
      <c r="BB242" s="24" t="inlineStr">
        <is>
          <t>flat_probability_shrinkage_toward_half</t>
        </is>
      </c>
      <c r="BC242" s="24" t="inlineStr">
        <is>
          <t>measured-edge-totals-v2</t>
        </is>
      </c>
      <c r="BD242" s="24" t="inlineStr">
        <is>
          <t>433578016242b27f9c1c7132cc6b5a2bcc7dd1b0234590c12a944455a88e71bd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2026-08-02T13:04:08.311739Z</t>
        </is>
      </c>
      <c r="BI242" s="24" t="inlineStr">
        <is>
          <t>["same_event","same_team_same_day","same_league_same_day"]</t>
        </is>
      </c>
      <c r="BJ242" s="25" t="n">
        <v>8.5</v>
      </c>
      <c r="BK242" s="26" t="n">
        <v>115</v>
      </c>
      <c r="BL242" s="27" t="n">
        <v>2.15</v>
      </c>
      <c r="BM242" s="28" t="n">
        <v>0.465116</v>
      </c>
      <c r="BN242" s="28" t="n">
        <v>0.462687</v>
      </c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</row>
    <row r="243" ht="36" customHeight="1">
      <c r="A243" s="24" t="inlineStr">
        <is>
          <t>ba00346c54b04db9</t>
        </is>
      </c>
      <c r="B243" s="24" t="inlineStr">
        <is>
          <t>2026-08-02T13:04:08.311739Z</t>
        </is>
      </c>
      <c r="C243" s="24" t="inlineStr">
        <is>
          <t>2026-08-02T23:20Z</t>
        </is>
      </c>
      <c r="D243" s="24" t="inlineStr">
        <is>
          <t>401816372</t>
        </is>
      </c>
      <c r="E243" s="24" t="inlineStr">
        <is>
          <t>MLB</t>
        </is>
      </c>
      <c r="F243" s="24" t="inlineStr">
        <is>
          <t>Boston Red Sox</t>
        </is>
      </c>
      <c r="G243" s="24" t="inlineStr">
        <is>
          <t>Los Angeles Dodgers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-138</v>
      </c>
      <c r="M243" s="27" t="n">
        <v>1.724638</v>
      </c>
      <c r="N243" s="28" t="n">
        <v>0.579832</v>
      </c>
      <c r="O243" s="28" t="n">
        <v>0.626152</v>
      </c>
      <c r="P243" s="28" t="n">
        <v>0.042131</v>
      </c>
      <c r="Q243" s="28" t="n">
        <v>0.04632</v>
      </c>
      <c r="R243" s="26" t="n">
        <v>48</v>
      </c>
      <c r="S243" s="29" t="n">
        <v>1.5</v>
      </c>
      <c r="T243" s="24" t="inlineStr">
        <is>
          <t>measured-edge-margin-v2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Measured Edge Margin: Trend Engine projected 4.62-4.38; raw selected-side p=0.6922, calibrated p=0.6262.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NO_CALL_MODEL_UNVALIDATED</t>
        </is>
      </c>
      <c r="AP243" s="24" t="inlineStr">
        <is>
          <t>mlb-bos</t>
        </is>
      </c>
      <c r="AQ243" s="24" t="inlineStr">
        <is>
          <t>Boston Red Sox</t>
        </is>
      </c>
      <c r="AR243" s="24" t="inlineStr">
        <is>
          <t>Boston Red Sox</t>
        </is>
      </c>
      <c r="AS243" s="24" t="inlineStr">
        <is>
          <t>mlb-lad</t>
        </is>
      </c>
      <c r="AT243" s="24" t="inlineStr">
        <is>
          <t>Los Angeles Dodgers</t>
        </is>
      </c>
      <c r="AU243" s="24" t="inlineStr">
        <is>
          <t>Los Angeles Dodgers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8360b122264b796b0fb193095cfe4506c7e064e5f3f8c0a659aec41efd08dd25</t>
        </is>
      </c>
      <c r="BB243" s="24" t="inlineStr">
        <is>
          <t>flat_probability_shrinkage_toward_half</t>
        </is>
      </c>
      <c r="BC243" s="24" t="inlineStr">
        <is>
          <t>measured-edge-margin-v2</t>
        </is>
      </c>
      <c r="BD243" s="24" t="inlineStr">
        <is>
          <t>8360b122264b796b0fb193095cfe4506c7e064e5f3f8c0a659aec41efd08dd25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2026-08-02T13:04:08.311739Z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-138</v>
      </c>
      <c r="BL243" s="27" t="n">
        <v>1.724638</v>
      </c>
      <c r="BM243" s="28" t="n">
        <v>0.579832</v>
      </c>
      <c r="BN243" s="28" t="n">
        <v>0.577114</v>
      </c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</row>
    <row r="244" ht="36" customHeight="1">
      <c r="A244" s="24" t="inlineStr">
        <is>
          <t>d9f47d6f256a43f7</t>
        </is>
      </c>
      <c r="B244" s="24" t="inlineStr">
        <is>
          <t>2026-08-02T13:04:08.311739Z</t>
        </is>
      </c>
      <c r="C244" s="24" t="inlineStr">
        <is>
          <t>2026-08-02T23:20Z</t>
        </is>
      </c>
      <c r="D244" s="24" t="inlineStr">
        <is>
          <t>401816372</t>
        </is>
      </c>
      <c r="E244" s="24" t="inlineStr">
        <is>
          <t>MLB</t>
        </is>
      </c>
      <c r="F244" s="24" t="inlineStr">
        <is>
          <t>Boston Red Sox</t>
        </is>
      </c>
      <c r="G244" s="24" t="inlineStr">
        <is>
          <t>Los Angeles Dodgers</t>
        </is>
      </c>
      <c r="H244" s="24" t="inlineStr">
        <is>
          <t>total</t>
        </is>
      </c>
      <c r="I244" s="24" t="inlineStr">
        <is>
          <t>over</t>
        </is>
      </c>
      <c r="J244" s="25" t="n">
        <v>8.5</v>
      </c>
      <c r="K244" s="24" t="inlineStr">
        <is>
          <t>polymarket_us</t>
        </is>
      </c>
      <c r="L244" s="26" t="n">
        <v>100</v>
      </c>
      <c r="M244" s="27" t="n">
        <v>2</v>
      </c>
      <c r="N244" s="28" t="n">
        <v>0.5</v>
      </c>
      <c r="O244" s="28" t="n">
        <v>0.511042</v>
      </c>
      <c r="P244" s="28" t="n">
        <v>0.042131</v>
      </c>
      <c r="Q244" s="28" t="n">
        <v>0.011042</v>
      </c>
      <c r="R244" s="26" t="n">
        <v>30</v>
      </c>
      <c r="S244" s="29" t="n">
        <v>1</v>
      </c>
      <c r="T244" s="24" t="inlineStr">
        <is>
          <t>measured-edge-totals-v2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Measured Edge Totals: Trend Engine projected 4.62-4.38; raw selected-side p=0.5091, calibrated p=0.5110.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NO_CALL_MODEL_UNVALIDATED</t>
        </is>
      </c>
      <c r="AP244" s="24" t="inlineStr">
        <is>
          <t>mlb-bos</t>
        </is>
      </c>
      <c r="AQ244" s="24" t="inlineStr">
        <is>
          <t>Boston Red Sox</t>
        </is>
      </c>
      <c r="AR244" s="24" t="inlineStr">
        <is>
          <t>Boston Red Sox</t>
        </is>
      </c>
      <c r="AS244" s="24" t="inlineStr">
        <is>
          <t>mlb-lad</t>
        </is>
      </c>
      <c r="AT244" s="24" t="inlineStr">
        <is>
          <t>Los Angeles Dodgers</t>
        </is>
      </c>
      <c r="AU244" s="24" t="inlineStr">
        <is>
          <t>Los Angeles Dodgers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433578016242b27f9c1c7132cc6b5a2bcc7dd1b0234590c12a944455a88e71bd</t>
        </is>
      </c>
      <c r="BB244" s="24" t="inlineStr">
        <is>
          <t>flat_probability_shrinkage_toward_half</t>
        </is>
      </c>
      <c r="BC244" s="24" t="inlineStr">
        <is>
          <t>measured-edge-totals-v2</t>
        </is>
      </c>
      <c r="BD244" s="24" t="inlineStr">
        <is>
          <t>433578016242b27f9c1c7132cc6b5a2bcc7dd1b0234590c12a944455a88e71bd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2026-08-02T13:04:08.311739Z</t>
        </is>
      </c>
      <c r="BI244" s="24" t="inlineStr">
        <is>
          <t>["same_event","same_team_same_day","same_league_same_day"]</t>
        </is>
      </c>
      <c r="BJ244" s="25" t="n">
        <v>8.5</v>
      </c>
      <c r="BK244" s="26" t="n">
        <v>100</v>
      </c>
      <c r="BL244" s="27" t="n">
        <v>2</v>
      </c>
      <c r="BM244" s="28" t="n">
        <v>0.5</v>
      </c>
      <c r="BN244" s="28" t="n">
        <v>0.497512</v>
      </c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</row>
    <row r="245" ht="36" customHeight="1">
      <c r="A245" s="24" t="inlineStr">
        <is>
          <t>7c721554e58a4058</t>
        </is>
      </c>
      <c r="B245" s="24" t="inlineStr">
        <is>
          <t>2026-08-02T13:05:47.245126Z</t>
        </is>
      </c>
      <c r="C245" s="24" t="inlineStr">
        <is>
          <t>2026-08-02T17:30Z</t>
        </is>
      </c>
      <c r="D245" s="24" t="inlineStr">
        <is>
          <t>401841470</t>
        </is>
      </c>
      <c r="E245" s="24" t="inlineStr">
        <is>
          <t>SOCCER</t>
        </is>
      </c>
      <c r="F245" s="24" t="inlineStr">
        <is>
          <t>Gimnasia La Plata</t>
        </is>
      </c>
      <c r="G245" s="24" t="inlineStr">
        <is>
          <t>Aldosivi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233</v>
      </c>
      <c r="M245" s="27" t="n">
        <v>3.33</v>
      </c>
      <c r="N245" s="28" t="n">
        <v>0.3003</v>
      </c>
      <c r="O245" s="28" t="n">
        <v>0.456135</v>
      </c>
      <c r="P245" s="28" t="n">
        <v>0.2</v>
      </c>
      <c r="Q245" s="28" t="n">
        <v>0.155835</v>
      </c>
      <c r="R245" s="26" t="n">
        <v>8</v>
      </c>
      <c r="S245" s="29" t="n">
        <v>1</v>
      </c>
      <c r="T245" s="24" t="inlineStr">
        <is>
          <t>soccer-poisson-dc-v1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Poisson-DC rates 1.64 (home) / 1.24 (away) from EWMA attack/defense strengths. Executable ask 0.3000 (atc-lpa-ald-gim-2026-08-02-ald).</t>
        </is>
      </c>
      <c r="AF245" s="31" t="inlineStr">
        <is>
          <t>Research-only soccer score model; draw-aware, but not yet locked-holdout qualified.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3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Gimnasia La Plata</t>
        </is>
      </c>
      <c r="AQ245" s="24" t="inlineStr">
        <is>
          <t>Gimnasia La Plata</t>
        </is>
      </c>
      <c r="AR245" s="24" t="inlineStr">
        <is>
          <t>Gimnasia La Plata</t>
        </is>
      </c>
      <c r="AS245" s="24" t="inlineStr">
        <is>
          <t>Aldosivi</t>
        </is>
      </c>
      <c r="AT245" s="24" t="inlineStr">
        <is>
          <t>Aldosivi</t>
        </is>
      </c>
      <c r="AU245" s="24" t="inlineStr">
        <is>
          <t>Aldosivi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34d1568aad0ff11b5db35f118324684f93281e1c21fa7b80be7a4a4e2cb4bb03</t>
        </is>
      </c>
      <c r="BB245" s="24" t="inlineStr">
        <is>
          <t>poisson_dixon_coles</t>
        </is>
      </c>
      <c r="BC245" s="24" t="inlineStr">
        <is>
          <t>soccer-poisson-dc-v1</t>
        </is>
      </c>
      <c r="BD245" s="24" t="inlineStr">
        <is>
          <t>34d1568aad0ff11b5db35f118324684f93281e1c21fa7b80be7a4a4e2cb4bb03</t>
        </is>
      </c>
      <c r="BE245" s="24" t="inlineStr">
        <is>
          <t>soccer-poisson-dc-v1</t>
        </is>
      </c>
      <c r="BF245" s="24" t="inlineStr">
        <is>
          <t>1</t>
        </is>
      </c>
      <c r="BG245" s="24" t="inlineStr">
        <is>
          <t>34d1568aad0ff11b5db35f118324684f93281e1c21fa7b80be7a4a4e2cb4bb03</t>
        </is>
      </c>
      <c r="BH245" s="24" t="inlineStr">
        <is>
          <t>2026-08-02T13:02:42.194950Z</t>
        </is>
      </c>
      <c r="BI245" s="24" t="inlineStr">
        <is>
          <t>["same_event","same_team_same_day","same_league_same_day"]</t>
        </is>
      </c>
      <c r="BJ245" s="25" t="n"/>
      <c r="BK245" s="26" t="n">
        <v>233</v>
      </c>
      <c r="BL245" s="27" t="n">
        <v>3.33</v>
      </c>
      <c r="BM245" s="28" t="n">
        <v>0.3003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</row>
    <row r="246" ht="36" customHeight="1">
      <c r="A246" s="24" t="inlineStr">
        <is>
          <t>dab0826c29264bd3</t>
        </is>
      </c>
      <c r="B246" s="24" t="inlineStr">
        <is>
          <t>2026-08-02T13:05:47.245126Z</t>
        </is>
      </c>
      <c r="C246" s="24" t="inlineStr">
        <is>
          <t>2026-08-02T20:00Z</t>
        </is>
      </c>
      <c r="D246" s="24" t="inlineStr">
        <is>
          <t>401841473</t>
        </is>
      </c>
      <c r="E246" s="24" t="inlineStr">
        <is>
          <t>SOCCER</t>
        </is>
      </c>
      <c r="F246" s="24" t="inlineStr">
        <is>
          <t>Boca Juniors</t>
        </is>
      </c>
      <c r="G246" s="24" t="inlineStr">
        <is>
          <t>Newell's Old Boys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335</v>
      </c>
      <c r="M246" s="27" t="n">
        <v>4.35</v>
      </c>
      <c r="N246" s="28" t="n">
        <v>0.229885</v>
      </c>
      <c r="O246" s="28" t="n">
        <v>0.398039</v>
      </c>
      <c r="P246" s="28" t="n">
        <v>0.2</v>
      </c>
      <c r="Q246" s="28" t="n">
        <v>0.168154</v>
      </c>
      <c r="R246" s="26" t="n">
        <v>14</v>
      </c>
      <c r="S246" s="29" t="n">
        <v>1</v>
      </c>
      <c r="T246" s="24" t="inlineStr">
        <is>
          <t>soccer-poisson-dc-v1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Poisson-DC rates 1.46 (home) / 1.30 (away) from EWMA attack/defense strengths. Executable ask 0.2300 (atc-lpa-new-boc-2026-08-02-new).</t>
        </is>
      </c>
      <c r="AF246" s="31" t="inlineStr">
        <is>
          <t>Research-only soccer score model; draw-aware, but not yet locked-holdout qualified.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Boca Juniors</t>
        </is>
      </c>
      <c r="AQ246" s="24" t="inlineStr">
        <is>
          <t>Boca Juniors</t>
        </is>
      </c>
      <c r="AR246" s="24" t="inlineStr">
        <is>
          <t>Boca Juniors</t>
        </is>
      </c>
      <c r="AS246" s="24" t="inlineStr">
        <is>
          <t>Newell's Old Boys</t>
        </is>
      </c>
      <c r="AT246" s="24" t="inlineStr">
        <is>
          <t>Newell's Old Boys</t>
        </is>
      </c>
      <c r="AU246" s="24" t="inlineStr">
        <is>
          <t>Newell's Old Boys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34d1568aad0ff11b5db35f118324684f93281e1c21fa7b80be7a4a4e2cb4bb03</t>
        </is>
      </c>
      <c r="BB246" s="24" t="inlineStr">
        <is>
          <t>poisson_dixon_coles</t>
        </is>
      </c>
      <c r="BC246" s="24" t="inlineStr">
        <is>
          <t>soccer-poisson-dc-v1</t>
        </is>
      </c>
      <c r="BD246" s="24" t="inlineStr">
        <is>
          <t>34d1568aad0ff11b5db35f118324684f93281e1c21fa7b80be7a4a4e2cb4bb03</t>
        </is>
      </c>
      <c r="BE246" s="24" t="inlineStr">
        <is>
          <t>soccer-poisson-dc-v1</t>
        </is>
      </c>
      <c r="BF246" s="24" t="inlineStr">
        <is>
          <t>1</t>
        </is>
      </c>
      <c r="BG246" s="24" t="inlineStr">
        <is>
          <t>34d1568aad0ff11b5db35f118324684f93281e1c21fa7b80be7a4a4e2cb4bb03</t>
        </is>
      </c>
      <c r="BH246" s="24" t="inlineStr">
        <is>
          <t>2026-08-02T13:02:42.189291Z</t>
        </is>
      </c>
      <c r="BI246" s="24" t="inlineStr">
        <is>
          <t>["same_event","same_team_same_day","same_league_same_day"]</t>
        </is>
      </c>
      <c r="BJ246" s="25" t="n"/>
      <c r="BK246" s="26" t="n">
        <v>335</v>
      </c>
      <c r="BL246" s="27" t="n">
        <v>4.35</v>
      </c>
      <c r="BM246" s="28" t="n">
        <v>0.229885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</row>
    <row r="247" ht="36" customHeight="1">
      <c r="A247" s="24" t="inlineStr">
        <is>
          <t>42e75bb62dab496d</t>
        </is>
      </c>
      <c r="B247" s="24" t="inlineStr">
        <is>
          <t>2026-08-02T13:05:47.245126Z</t>
        </is>
      </c>
      <c r="C247" s="24" t="inlineStr">
        <is>
          <t>2026-08-02T22:15Z</t>
        </is>
      </c>
      <c r="D247" s="24" t="inlineStr">
        <is>
          <t>401841476</t>
        </is>
      </c>
      <c r="E247" s="24" t="inlineStr">
        <is>
          <t>SOCCER</t>
        </is>
      </c>
      <c r="F247" s="24" t="inlineStr">
        <is>
          <t>Rosario Central</t>
        </is>
      </c>
      <c r="G247" s="24" t="inlineStr">
        <is>
          <t>River Plate</t>
        </is>
      </c>
      <c r="H247" s="24" t="inlineStr">
        <is>
          <t>moneyline</t>
        </is>
      </c>
      <c r="I247" s="24" t="inlineStr">
        <is>
          <t>home</t>
        </is>
      </c>
      <c r="J247" s="25" t="n"/>
      <c r="K247" s="24" t="inlineStr">
        <is>
          <t>polymarket_us</t>
        </is>
      </c>
      <c r="L247" s="26" t="n">
        <v>113</v>
      </c>
      <c r="M247" s="27" t="n">
        <v>2.13</v>
      </c>
      <c r="N247" s="28" t="n">
        <v>0.469484</v>
      </c>
      <c r="O247" s="28" t="n">
        <v>0.5359159999999999</v>
      </c>
      <c r="P247" s="28" t="n">
        <v>0.2</v>
      </c>
      <c r="Q247" s="28" t="n">
        <v>0.066432</v>
      </c>
      <c r="R247" s="26" t="n">
        <v>0</v>
      </c>
      <c r="S247" s="29" t="n">
        <v>1</v>
      </c>
      <c r="T247" s="24" t="inlineStr">
        <is>
          <t>soccer-poisson-dc-v1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Poisson-DC rates 1.84 (home) / 1.10 (away) from EWMA attack/defense strengths. Executable ask 0.4700 (atc-lpa-riv-ros-2026-08-02-riv).</t>
        </is>
      </c>
      <c r="AF247" s="31" t="inlineStr">
        <is>
          <t>Research-only soccer score model; draw-aware, but not yet locked-holdout qualified.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3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Rosario Central</t>
        </is>
      </c>
      <c r="AQ247" s="24" t="inlineStr">
        <is>
          <t>Rosario Central</t>
        </is>
      </c>
      <c r="AR247" s="24" t="inlineStr">
        <is>
          <t>Rosario Central</t>
        </is>
      </c>
      <c r="AS247" s="24" t="inlineStr">
        <is>
          <t>River Plate</t>
        </is>
      </c>
      <c r="AT247" s="24" t="inlineStr">
        <is>
          <t>River Plate</t>
        </is>
      </c>
      <c r="AU247" s="24" t="inlineStr">
        <is>
          <t>River Plate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34d1568aad0ff11b5db35f118324684f93281e1c21fa7b80be7a4a4e2cb4bb03</t>
        </is>
      </c>
      <c r="BB247" s="24" t="inlineStr">
        <is>
          <t>poisson_dixon_coles</t>
        </is>
      </c>
      <c r="BC247" s="24" t="inlineStr">
        <is>
          <t>soccer-poisson-dc-v1</t>
        </is>
      </c>
      <c r="BD247" s="24" t="inlineStr">
        <is>
          <t>34d1568aad0ff11b5db35f118324684f93281e1c21fa7b80be7a4a4e2cb4bb03</t>
        </is>
      </c>
      <c r="BE247" s="24" t="inlineStr">
        <is>
          <t>soccer-poisson-dc-v1</t>
        </is>
      </c>
      <c r="BF247" s="24" t="inlineStr">
        <is>
          <t>1</t>
        </is>
      </c>
      <c r="BG247" s="24" t="inlineStr">
        <is>
          <t>34d1568aad0ff11b5db35f118324684f93281e1c21fa7b80be7a4a4e2cb4bb03</t>
        </is>
      </c>
      <c r="BH247" s="24" t="inlineStr">
        <is>
          <t>2026-08-02T13:02:42.667349Z</t>
        </is>
      </c>
      <c r="BI247" s="24" t="inlineStr">
        <is>
          <t>["same_event","same_team_same_day","same_league_same_day"]</t>
        </is>
      </c>
      <c r="BJ247" s="25" t="n"/>
      <c r="BK247" s="26" t="n">
        <v>113</v>
      </c>
      <c r="BL247" s="27" t="n">
        <v>2.13</v>
      </c>
      <c r="BM247" s="28" t="n">
        <v>0.469484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</row>
    <row r="248" ht="36" customHeight="1">
      <c r="A248" s="24" t="inlineStr">
        <is>
          <t>551c3bf0d8cd4df9</t>
        </is>
      </c>
      <c r="B248" s="24" t="inlineStr">
        <is>
          <t>2026-08-02T13:05:47.245126Z</t>
        </is>
      </c>
      <c r="C248" s="24" t="inlineStr">
        <is>
          <t>2026-08-02T18:00Z</t>
        </is>
      </c>
      <c r="D248" s="24" t="inlineStr">
        <is>
          <t>401844015</t>
        </is>
      </c>
      <c r="E248" s="24" t="inlineStr">
        <is>
          <t>SOCCER</t>
        </is>
      </c>
      <c r="F248" s="24" t="inlineStr">
        <is>
          <t>Agropecuario</t>
        </is>
      </c>
      <c r="G248" s="24" t="inlineStr">
        <is>
          <t>Chacarita Juniors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122</v>
      </c>
      <c r="M248" s="27" t="n">
        <v>2.22</v>
      </c>
      <c r="N248" s="28" t="n">
        <v>0.45045</v>
      </c>
      <c r="O248" s="28" t="n">
        <v>0.456135</v>
      </c>
      <c r="P248" s="28" t="n">
        <v>0.2</v>
      </c>
      <c r="Q248" s="28" t="n">
        <v>0.005685</v>
      </c>
      <c r="R248" s="26" t="n">
        <v>0</v>
      </c>
      <c r="S248" s="29" t="n">
        <v>1</v>
      </c>
      <c r="T248" s="24" t="inlineStr">
        <is>
          <t>soccer-poisson-dc-v1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Poisson-DC rates 1.64 (home) / 1.24 (away) from EWMA attack/defense strengths. Executable ask 0.4500 (atc-arg2-cjh-caa-2026-08-01-cjh).</t>
        </is>
      </c>
      <c r="AF248" s="31" t="inlineStr">
        <is>
          <t>Research-only soccer score model; draw-aware, but not yet locked-holdout qualified.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NO_CALL_LOW_EDGE</t>
        </is>
      </c>
      <c r="AP248" s="24" t="inlineStr">
        <is>
          <t>Agropecuario</t>
        </is>
      </c>
      <c r="AQ248" s="24" t="inlineStr">
        <is>
          <t>Agropecuario</t>
        </is>
      </c>
      <c r="AR248" s="24" t="inlineStr">
        <is>
          <t>Agropecuario</t>
        </is>
      </c>
      <c r="AS248" s="24" t="inlineStr">
        <is>
          <t>Chacarita Juniors</t>
        </is>
      </c>
      <c r="AT248" s="24" t="inlineStr">
        <is>
          <t>Chacarita Juniors</t>
        </is>
      </c>
      <c r="AU248" s="24" t="inlineStr">
        <is>
          <t>Chacarita Juniors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34d1568aad0ff11b5db35f118324684f93281e1c21fa7b80be7a4a4e2cb4bb03</t>
        </is>
      </c>
      <c r="BB248" s="24" t="inlineStr">
        <is>
          <t>poisson_dixon_coles</t>
        </is>
      </c>
      <c r="BC248" s="24" t="inlineStr">
        <is>
          <t>soccer-poisson-dc-v1</t>
        </is>
      </c>
      <c r="BD248" s="24" t="inlineStr">
        <is>
          <t>34d1568aad0ff11b5db35f118324684f93281e1c21fa7b80be7a4a4e2cb4bb03</t>
        </is>
      </c>
      <c r="BE248" s="24" t="inlineStr">
        <is>
          <t>soccer-poisson-dc-v1</t>
        </is>
      </c>
      <c r="BF248" s="24" t="inlineStr">
        <is>
          <t>1</t>
        </is>
      </c>
      <c r="BG248" s="24" t="inlineStr">
        <is>
          <t>34d1568aad0ff11b5db35f118324684f93281e1c21fa7b80be7a4a4e2cb4bb03</t>
        </is>
      </c>
      <c r="BH248" s="24" t="inlineStr">
        <is>
          <t>2026-08-02T13:02:43.309952Z</t>
        </is>
      </c>
      <c r="BI248" s="24" t="inlineStr">
        <is>
          <t>["same_event","same_team_same_day","same_league_same_day"]</t>
        </is>
      </c>
      <c r="BJ248" s="25" t="n"/>
      <c r="BK248" s="26" t="n">
        <v>122</v>
      </c>
      <c r="BL248" s="27" t="n">
        <v>2.22</v>
      </c>
      <c r="BM248" s="28" t="n">
        <v>0.45045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</row>
    <row r="249" ht="36" customHeight="1">
      <c r="A249" s="24" t="inlineStr">
        <is>
          <t>819deb50c7a54112</t>
        </is>
      </c>
      <c r="B249" s="24" t="inlineStr">
        <is>
          <t>2026-08-02T13:05:47.245126Z</t>
        </is>
      </c>
      <c r="C249" s="24" t="inlineStr">
        <is>
          <t>2026-08-02T18:00Z</t>
        </is>
      </c>
      <c r="D249" s="24" t="inlineStr">
        <is>
          <t>401844019</t>
        </is>
      </c>
      <c r="E249" s="24" t="inlineStr">
        <is>
          <t>SOCCER</t>
        </is>
      </c>
      <c r="F249" s="24" t="inlineStr">
        <is>
          <t>San Miguel</t>
        </is>
      </c>
      <c r="G249" s="24" t="inlineStr">
        <is>
          <t>San Telmo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178</v>
      </c>
      <c r="M249" s="27" t="n">
        <v>2.78</v>
      </c>
      <c r="N249" s="28" t="n">
        <v>0.359712</v>
      </c>
      <c r="O249" s="28" t="n">
        <v>0.456135</v>
      </c>
      <c r="P249" s="28" t="n">
        <v>0.2</v>
      </c>
      <c r="Q249" s="28" t="n">
        <v>0.09642299999999999</v>
      </c>
      <c r="R249" s="26" t="n">
        <v>0</v>
      </c>
      <c r="S249" s="29" t="n">
        <v>1</v>
      </c>
      <c r="T249" s="24" t="inlineStr">
        <is>
          <t>soccer-poisson-dc-v1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Poisson-DC rates 1.64 (home) / 1.24 (away) from EWMA attack/defense strengths. Executable ask 0.3600 (atc-arg2-ste-casm-2026-08-02-ste).</t>
        </is>
      </c>
      <c r="AF249" s="31" t="inlineStr">
        <is>
          <t>Research-only soccer score model; draw-aware, but not yet locked-holdout qualified.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3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San Miguel</t>
        </is>
      </c>
      <c r="AQ249" s="24" t="inlineStr">
        <is>
          <t>San Miguel</t>
        </is>
      </c>
      <c r="AR249" s="24" t="inlineStr">
        <is>
          <t>San Miguel</t>
        </is>
      </c>
      <c r="AS249" s="24" t="inlineStr">
        <is>
          <t>San Telmo</t>
        </is>
      </c>
      <c r="AT249" s="24" t="inlineStr">
        <is>
          <t>San Telmo</t>
        </is>
      </c>
      <c r="AU249" s="24" t="inlineStr">
        <is>
          <t>San Telmo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34d1568aad0ff11b5db35f118324684f93281e1c21fa7b80be7a4a4e2cb4bb03</t>
        </is>
      </c>
      <c r="BB249" s="24" t="inlineStr">
        <is>
          <t>poisson_dixon_coles</t>
        </is>
      </c>
      <c r="BC249" s="24" t="inlineStr">
        <is>
          <t>soccer-poisson-dc-v1</t>
        </is>
      </c>
      <c r="BD249" s="24" t="inlineStr">
        <is>
          <t>34d1568aad0ff11b5db35f118324684f93281e1c21fa7b80be7a4a4e2cb4bb03</t>
        </is>
      </c>
      <c r="BE249" s="24" t="inlineStr">
        <is>
          <t>soccer-poisson-dc-v1</t>
        </is>
      </c>
      <c r="BF249" s="24" t="inlineStr">
        <is>
          <t>1</t>
        </is>
      </c>
      <c r="BG249" s="24" t="inlineStr">
        <is>
          <t>34d1568aad0ff11b5db35f118324684f93281e1c21fa7b80be7a4a4e2cb4bb03</t>
        </is>
      </c>
      <c r="BH249" s="24" t="inlineStr">
        <is>
          <t>2026-08-02T13:02:43.878798Z</t>
        </is>
      </c>
      <c r="BI249" s="24" t="inlineStr">
        <is>
          <t>["same_event","same_team_same_day","same_league_same_day"]</t>
        </is>
      </c>
      <c r="BJ249" s="25" t="n"/>
      <c r="BK249" s="26" t="n">
        <v>178</v>
      </c>
      <c r="BL249" s="27" t="n">
        <v>2.78</v>
      </c>
      <c r="BM249" s="28" t="n">
        <v>0.359712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</row>
    <row r="250" ht="36" customHeight="1">
      <c r="A250" s="24" t="inlineStr">
        <is>
          <t>523f0a7582894c0d</t>
        </is>
      </c>
      <c r="B250" s="24" t="inlineStr">
        <is>
          <t>2026-08-02T13:05:47.245126Z</t>
        </is>
      </c>
      <c r="C250" s="24" t="inlineStr">
        <is>
          <t>2026-08-02T18:30Z</t>
        </is>
      </c>
      <c r="D250" s="24" t="inlineStr">
        <is>
          <t>401844012</t>
        </is>
      </c>
      <c r="E250" s="24" t="inlineStr">
        <is>
          <t>SOCCER</t>
        </is>
      </c>
      <c r="F250" s="24" t="inlineStr">
        <is>
          <t>Gimnasia y Tiro (Salta)</t>
        </is>
      </c>
      <c r="G250" s="24" t="inlineStr">
        <is>
          <t>Temperley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117</v>
      </c>
      <c r="M250" s="27" t="n">
        <v>2.17</v>
      </c>
      <c r="N250" s="28" t="n">
        <v>0.460829</v>
      </c>
      <c r="O250" s="28" t="n">
        <v>0.456135</v>
      </c>
      <c r="P250" s="28" t="n">
        <v>0.2</v>
      </c>
      <c r="Q250" s="28" t="n">
        <v>-0.004694</v>
      </c>
      <c r="R250" s="26" t="n">
        <v>0</v>
      </c>
      <c r="S250" s="29" t="n">
        <v>1</v>
      </c>
      <c r="T250" s="24" t="inlineStr">
        <is>
          <t>soccer-poisson-dc-v1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Poisson-DC rates 1.64 (home) / 1.24 (away) from EWMA attack/defense strengths. Executable ask 0.4600 (atc-arg2-cat-gyt-2026-08-02-cat).</t>
        </is>
      </c>
      <c r="AF250" s="31" t="inlineStr">
        <is>
          <t>Research-only soccer score model; draw-aware, but not yet locked-holdout qualified.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NO_CALL_LOW_EDGE</t>
        </is>
      </c>
      <c r="AP250" s="24" t="inlineStr">
        <is>
          <t>Gimnasia y Tiro (Salta)</t>
        </is>
      </c>
      <c r="AQ250" s="24" t="inlineStr">
        <is>
          <t>Gimnasia y Tiro (Salta)</t>
        </is>
      </c>
      <c r="AR250" s="24" t="inlineStr">
        <is>
          <t>Gimnasia y Tiro (Salta)</t>
        </is>
      </c>
      <c r="AS250" s="24" t="inlineStr">
        <is>
          <t>Temperley</t>
        </is>
      </c>
      <c r="AT250" s="24" t="inlineStr">
        <is>
          <t>Temperley</t>
        </is>
      </c>
      <c r="AU250" s="24" t="inlineStr">
        <is>
          <t>Temperley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34d1568aad0ff11b5db35f118324684f93281e1c21fa7b80be7a4a4e2cb4bb03</t>
        </is>
      </c>
      <c r="BB250" s="24" t="inlineStr">
        <is>
          <t>poisson_dixon_coles</t>
        </is>
      </c>
      <c r="BC250" s="24" t="inlineStr">
        <is>
          <t>soccer-poisson-dc-v1</t>
        </is>
      </c>
      <c r="BD250" s="24" t="inlineStr">
        <is>
          <t>34d1568aad0ff11b5db35f118324684f93281e1c21fa7b80be7a4a4e2cb4bb03</t>
        </is>
      </c>
      <c r="BE250" s="24" t="inlineStr">
        <is>
          <t>soccer-poisson-dc-v1</t>
        </is>
      </c>
      <c r="BF250" s="24" t="inlineStr">
        <is>
          <t>1</t>
        </is>
      </c>
      <c r="BG250" s="24" t="inlineStr">
        <is>
          <t>34d1568aad0ff11b5db35f118324684f93281e1c21fa7b80be7a4a4e2cb4bb03</t>
        </is>
      </c>
      <c r="BH250" s="24" t="inlineStr">
        <is>
          <t>2026-08-02T13:02:43.831258Z</t>
        </is>
      </c>
      <c r="BI250" s="24" t="inlineStr">
        <is>
          <t>["same_event","same_team_same_day","same_league_same_day"]</t>
        </is>
      </c>
      <c r="BJ250" s="25" t="n"/>
      <c r="BK250" s="26" t="n">
        <v>117</v>
      </c>
      <c r="BL250" s="27" t="n">
        <v>2.17</v>
      </c>
      <c r="BM250" s="28" t="n">
        <v>0.460829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</row>
    <row r="251" ht="36" customHeight="1">
      <c r="A251" s="24" t="inlineStr">
        <is>
          <t>1200c5c49b7f46ba</t>
        </is>
      </c>
      <c r="B251" s="24" t="inlineStr">
        <is>
          <t>2026-08-02T13:05:47.245126Z</t>
        </is>
      </c>
      <c r="C251" s="24" t="inlineStr">
        <is>
          <t>2026-08-02T19:00Z</t>
        </is>
      </c>
      <c r="D251" s="24" t="inlineStr">
        <is>
          <t>401844026</t>
        </is>
      </c>
      <c r="E251" s="24" t="inlineStr">
        <is>
          <t>SOCCER</t>
        </is>
      </c>
      <c r="F251" s="24" t="inlineStr">
        <is>
          <t>All Boys</t>
        </is>
      </c>
      <c r="G251" s="24" t="inlineStr">
        <is>
          <t>Deportivo Madryn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-104</v>
      </c>
      <c r="M251" s="27" t="n">
        <v>1.961538</v>
      </c>
      <c r="N251" s="28" t="n">
        <v>0.509804</v>
      </c>
      <c r="O251" s="28" t="n">
        <v>0.456135</v>
      </c>
      <c r="P251" s="28" t="n">
        <v>0.2</v>
      </c>
      <c r="Q251" s="28" t="n">
        <v>-0.053669</v>
      </c>
      <c r="R251" s="26" t="n">
        <v>0</v>
      </c>
      <c r="S251" s="29" t="n">
        <v>1</v>
      </c>
      <c r="T251" s="24" t="inlineStr">
        <is>
          <t>soccer-poisson-dc-v1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Poisson-DC rates 1.64 (home) / 1.24 (away) from EWMA attack/defense strengths. Executable ask 0.5100 (atc-arg2-dma-abo-2026-08-02-dma).</t>
        </is>
      </c>
      <c r="AF251" s="31" t="inlineStr">
        <is>
          <t>Research-only soccer score model; draw-aware, but not yet locked-holdout qualified.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NO_CALL_LOW_EDGE</t>
        </is>
      </c>
      <c r="AP251" s="24" t="inlineStr">
        <is>
          <t>All Boys</t>
        </is>
      </c>
      <c r="AQ251" s="24" t="inlineStr">
        <is>
          <t>All Boys</t>
        </is>
      </c>
      <c r="AR251" s="24" t="inlineStr">
        <is>
          <t>All Boys</t>
        </is>
      </c>
      <c r="AS251" s="24" t="inlineStr">
        <is>
          <t>Deportivo Madryn</t>
        </is>
      </c>
      <c r="AT251" s="24" t="inlineStr">
        <is>
          <t>Deportivo Madryn</t>
        </is>
      </c>
      <c r="AU251" s="24" t="inlineStr">
        <is>
          <t>Deportivo Madryn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34d1568aad0ff11b5db35f118324684f93281e1c21fa7b80be7a4a4e2cb4bb03</t>
        </is>
      </c>
      <c r="BB251" s="24" t="inlineStr">
        <is>
          <t>poisson_dixon_coles</t>
        </is>
      </c>
      <c r="BC251" s="24" t="inlineStr">
        <is>
          <t>soccer-poisson-dc-v1</t>
        </is>
      </c>
      <c r="BD251" s="24" t="inlineStr">
        <is>
          <t>34d1568aad0ff11b5db35f118324684f93281e1c21fa7b80be7a4a4e2cb4bb03</t>
        </is>
      </c>
      <c r="BE251" s="24" t="inlineStr">
        <is>
          <t>soccer-poisson-dc-v1</t>
        </is>
      </c>
      <c r="BF251" s="24" t="inlineStr">
        <is>
          <t>1</t>
        </is>
      </c>
      <c r="BG251" s="24" t="inlineStr">
        <is>
          <t>34d1568aad0ff11b5db35f118324684f93281e1c21fa7b80be7a4a4e2cb4bb03</t>
        </is>
      </c>
      <c r="BH251" s="24" t="inlineStr">
        <is>
          <t>2026-08-02T13:02:44.367919Z</t>
        </is>
      </c>
      <c r="BI251" s="24" t="inlineStr">
        <is>
          <t>["same_event","same_team_same_day","same_league_same_day"]</t>
        </is>
      </c>
      <c r="BJ251" s="25" t="n"/>
      <c r="BK251" s="26" t="n">
        <v>-104</v>
      </c>
      <c r="BL251" s="27" t="n">
        <v>1.961538</v>
      </c>
      <c r="BM251" s="28" t="n">
        <v>0.509804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</row>
    <row r="252" ht="36" customHeight="1">
      <c r="A252" s="24" t="inlineStr">
        <is>
          <t>cc5cc9fb61cf44e4</t>
        </is>
      </c>
      <c r="B252" s="24" t="inlineStr">
        <is>
          <t>2026-08-02T13:05:47.245126Z</t>
        </is>
      </c>
      <c r="C252" s="24" t="inlineStr">
        <is>
          <t>2026-08-02T19:30Z</t>
        </is>
      </c>
      <c r="D252" s="24" t="inlineStr">
        <is>
          <t>401844014</t>
        </is>
      </c>
      <c r="E252" s="24" t="inlineStr">
        <is>
          <t>SOCCER</t>
        </is>
      </c>
      <c r="F252" s="24" t="inlineStr">
        <is>
          <t>Los Andes</t>
        </is>
      </c>
      <c r="G252" s="24" t="inlineStr">
        <is>
          <t>Central Norte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156</v>
      </c>
      <c r="M252" s="27" t="n">
        <v>2.56</v>
      </c>
      <c r="N252" s="28" t="n">
        <v>0.390625</v>
      </c>
      <c r="O252" s="28" t="n">
        <v>0.456135</v>
      </c>
      <c r="P252" s="28" t="n">
        <v>0.2</v>
      </c>
      <c r="Q252" s="28" t="n">
        <v>0.06551</v>
      </c>
      <c r="R252" s="26" t="n">
        <v>0</v>
      </c>
      <c r="S252" s="29" t="n">
        <v>1</v>
      </c>
      <c r="T252" s="24" t="inlineStr">
        <is>
          <t>soccer-poisson-dc-v1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Poisson-DC rates 1.64 (home) / 1.24 (away) from EWMA attack/defense strengths. Executable ask 0.3900 (atc-arg2-ccns-ala-2026-08-02-ccns).</t>
        </is>
      </c>
      <c r="AF252" s="31" t="inlineStr">
        <is>
          <t>Research-only soccer score model; draw-aware, but not yet locked-holdout qualified.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3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Los Andes</t>
        </is>
      </c>
      <c r="AQ252" s="24" t="inlineStr">
        <is>
          <t>Los Andes</t>
        </is>
      </c>
      <c r="AR252" s="24" t="inlineStr">
        <is>
          <t>Los Andes</t>
        </is>
      </c>
      <c r="AS252" s="24" t="inlineStr">
        <is>
          <t>Central Norte</t>
        </is>
      </c>
      <c r="AT252" s="24" t="inlineStr">
        <is>
          <t>Central Norte</t>
        </is>
      </c>
      <c r="AU252" s="24" t="inlineStr">
        <is>
          <t>Central Norte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34d1568aad0ff11b5db35f118324684f93281e1c21fa7b80be7a4a4e2cb4bb03</t>
        </is>
      </c>
      <c r="BB252" s="24" t="inlineStr">
        <is>
          <t>poisson_dixon_coles</t>
        </is>
      </c>
      <c r="BC252" s="24" t="inlineStr">
        <is>
          <t>soccer-poisson-dc-v1</t>
        </is>
      </c>
      <c r="BD252" s="24" t="inlineStr">
        <is>
          <t>34d1568aad0ff11b5db35f118324684f93281e1c21fa7b80be7a4a4e2cb4bb03</t>
        </is>
      </c>
      <c r="BE252" s="24" t="inlineStr">
        <is>
          <t>soccer-poisson-dc-v1</t>
        </is>
      </c>
      <c r="BF252" s="24" t="inlineStr">
        <is>
          <t>1</t>
        </is>
      </c>
      <c r="BG252" s="24" t="inlineStr">
        <is>
          <t>34d1568aad0ff11b5db35f118324684f93281e1c21fa7b80be7a4a4e2cb4bb03</t>
        </is>
      </c>
      <c r="BH252" s="24" t="inlineStr">
        <is>
          <t>2026-08-02T13:02:44.924772Z</t>
        </is>
      </c>
      <c r="BI252" s="24" t="inlineStr">
        <is>
          <t>["same_event","same_team_same_day","same_league_same_day"]</t>
        </is>
      </c>
      <c r="BJ252" s="25" t="n"/>
      <c r="BK252" s="26" t="n">
        <v>156</v>
      </c>
      <c r="BL252" s="27" t="n">
        <v>2.56</v>
      </c>
      <c r="BM252" s="28" t="n">
        <v>0.390625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</row>
    <row r="253" ht="36" customHeight="1">
      <c r="A253" s="24" t="inlineStr">
        <is>
          <t>ee6e795c74d548b3</t>
        </is>
      </c>
      <c r="B253" s="24" t="inlineStr">
        <is>
          <t>2026-08-02T13:05:47.245126Z</t>
        </is>
      </c>
      <c r="C253" s="24" t="inlineStr">
        <is>
          <t>2026-08-03T01:00Z</t>
        </is>
      </c>
      <c r="D253" s="24" t="inlineStr">
        <is>
          <t>401877966</t>
        </is>
      </c>
      <c r="E253" s="24" t="inlineStr">
        <is>
          <t>SOCCER</t>
        </is>
      </c>
      <c r="F253" s="24" t="inlineStr">
        <is>
          <t>Once Caldas</t>
        </is>
      </c>
      <c r="G253" s="24" t="inlineStr">
        <is>
          <t>Independiente Santa Fe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117</v>
      </c>
      <c r="M253" s="27" t="n">
        <v>2.17</v>
      </c>
      <c r="N253" s="28" t="n">
        <v>0.460829</v>
      </c>
      <c r="O253" s="28" t="n">
        <v>0.456135</v>
      </c>
      <c r="P253" s="28" t="n">
        <v>0.2</v>
      </c>
      <c r="Q253" s="28" t="n">
        <v>-0.004694</v>
      </c>
      <c r="R253" s="26" t="n">
        <v>0</v>
      </c>
      <c r="S253" s="29" t="n">
        <v>1</v>
      </c>
      <c r="T253" s="24" t="inlineStr">
        <is>
          <t>soccer-poisson-dc-v1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Poisson-DC rates 1.64 (home) / 1.24 (away) from EWMA attack/defense strengths. Executable ask 0.4600 (atc-lco-san-onc-2026-08-02-san).</t>
        </is>
      </c>
      <c r="AF253" s="31" t="inlineStr">
        <is>
          <t>Research-only soccer score model; draw-aware, but not yet locked-holdout qualified.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NO_CALL_LOW_EDGE</t>
        </is>
      </c>
      <c r="AP253" s="24" t="inlineStr">
        <is>
          <t>Once Caldas</t>
        </is>
      </c>
      <c r="AQ253" s="24" t="inlineStr">
        <is>
          <t>Once Caldas</t>
        </is>
      </c>
      <c r="AR253" s="24" t="inlineStr">
        <is>
          <t>Once Caldas</t>
        </is>
      </c>
      <c r="AS253" s="24" t="inlineStr">
        <is>
          <t>Independiente Santa Fe</t>
        </is>
      </c>
      <c r="AT253" s="24" t="inlineStr">
        <is>
          <t>Independiente Santa Fe</t>
        </is>
      </c>
      <c r="AU253" s="24" t="inlineStr">
        <is>
          <t>Independiente Santa Fe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34d1568aad0ff11b5db35f118324684f93281e1c21fa7b80be7a4a4e2cb4bb03</t>
        </is>
      </c>
      <c r="BB253" s="24" t="inlineStr">
        <is>
          <t>poisson_dixon_coles</t>
        </is>
      </c>
      <c r="BC253" s="24" t="inlineStr">
        <is>
          <t>soccer-poisson-dc-v1</t>
        </is>
      </c>
      <c r="BD253" s="24" t="inlineStr">
        <is>
          <t>34d1568aad0ff11b5db35f118324684f93281e1c21fa7b80be7a4a4e2cb4bb03</t>
        </is>
      </c>
      <c r="BE253" s="24" t="inlineStr">
        <is>
          <t>soccer-poisson-dc-v1</t>
        </is>
      </c>
      <c r="BF253" s="24" t="inlineStr">
        <is>
          <t>1</t>
        </is>
      </c>
      <c r="BG253" s="24" t="inlineStr">
        <is>
          <t>34d1568aad0ff11b5db35f118324684f93281e1c21fa7b80be7a4a4e2cb4bb03</t>
        </is>
      </c>
      <c r="BH253" s="24" t="inlineStr">
        <is>
          <t>2026-08-02T13:02:45.478968Z</t>
        </is>
      </c>
      <c r="BI253" s="24" t="inlineStr">
        <is>
          <t>["same_event","same_team_same_day","same_league_same_day"]</t>
        </is>
      </c>
      <c r="BJ253" s="25" t="n"/>
      <c r="BK253" s="26" t="n">
        <v>117</v>
      </c>
      <c r="BL253" s="27" t="n">
        <v>2.17</v>
      </c>
      <c r="BM253" s="28" t="n">
        <v>0.460829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</row>
    <row r="254" ht="36" customHeight="1">
      <c r="A254" s="24" t="inlineStr">
        <is>
          <t>c13d8ccd3aa74184</t>
        </is>
      </c>
      <c r="B254" s="24" t="inlineStr">
        <is>
          <t>2026-08-02T13:05:47.245126Z</t>
        </is>
      </c>
      <c r="C254" s="24" t="inlineStr">
        <is>
          <t>2026-08-02T19:00Z</t>
        </is>
      </c>
      <c r="D254" s="24" t="inlineStr">
        <is>
          <t>401850609</t>
        </is>
      </c>
      <c r="E254" s="24" t="inlineStr">
        <is>
          <t>SOCCER</t>
        </is>
      </c>
      <c r="F254" s="24" t="inlineStr">
        <is>
          <t>O'Higgins</t>
        </is>
      </c>
      <c r="G254" s="24" t="inlineStr">
        <is>
          <t>La Serena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150</v>
      </c>
      <c r="M254" s="27" t="n">
        <v>2.5</v>
      </c>
      <c r="N254" s="28" t="n">
        <v>0.4</v>
      </c>
      <c r="O254" s="28" t="n">
        <v>0.5359159999999999</v>
      </c>
      <c r="P254" s="28" t="n">
        <v>0.2</v>
      </c>
      <c r="Q254" s="28" t="n">
        <v>0.135916</v>
      </c>
      <c r="R254" s="26" t="n">
        <v>0</v>
      </c>
      <c r="S254" s="29" t="n">
        <v>1</v>
      </c>
      <c r="T254" s="24" t="inlineStr">
        <is>
          <t>soccer-poisson-dc-v1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Poisson-DC rates 1.84 (home) / 1.10 (away) from EWMA attack/defense strengths. Executable ask 0.4000 (atc-pdc-ser-ohi-2026-08-02-ser).</t>
        </is>
      </c>
      <c r="AF254" s="31" t="inlineStr">
        <is>
          <t>Research-only soccer score model; draw-aware, but not yet locked-holdout qualified.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3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O'Higgins</t>
        </is>
      </c>
      <c r="AQ254" s="24" t="inlineStr">
        <is>
          <t>O'Higgins</t>
        </is>
      </c>
      <c r="AR254" s="24" t="inlineStr">
        <is>
          <t>O'Higgins</t>
        </is>
      </c>
      <c r="AS254" s="24" t="inlineStr">
        <is>
          <t>La Serena</t>
        </is>
      </c>
      <c r="AT254" s="24" t="inlineStr">
        <is>
          <t>La Serena</t>
        </is>
      </c>
      <c r="AU254" s="24" t="inlineStr">
        <is>
          <t>La Serena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34d1568aad0ff11b5db35f118324684f93281e1c21fa7b80be7a4a4e2cb4bb03</t>
        </is>
      </c>
      <c r="BB254" s="24" t="inlineStr">
        <is>
          <t>poisson_dixon_coles</t>
        </is>
      </c>
      <c r="BC254" s="24" t="inlineStr">
        <is>
          <t>soccer-poisson-dc-v1</t>
        </is>
      </c>
      <c r="BD254" s="24" t="inlineStr">
        <is>
          <t>34d1568aad0ff11b5db35f118324684f93281e1c21fa7b80be7a4a4e2cb4bb03</t>
        </is>
      </c>
      <c r="BE254" s="24" t="inlineStr">
        <is>
          <t>soccer-poisson-dc-v1</t>
        </is>
      </c>
      <c r="BF254" s="24" t="inlineStr">
        <is>
          <t>1</t>
        </is>
      </c>
      <c r="BG254" s="24" t="inlineStr">
        <is>
          <t>34d1568aad0ff11b5db35f118324684f93281e1c21fa7b80be7a4a4e2cb4bb03</t>
        </is>
      </c>
      <c r="BH254" s="24" t="inlineStr">
        <is>
          <t>2026-08-02T13:02:46.605203Z</t>
        </is>
      </c>
      <c r="BI254" s="24" t="inlineStr">
        <is>
          <t>["same_event","same_team_same_day","same_league_same_day"]</t>
        </is>
      </c>
      <c r="BJ254" s="25" t="n"/>
      <c r="BK254" s="26" t="n">
        <v>150</v>
      </c>
      <c r="BL254" s="27" t="n">
        <v>2.5</v>
      </c>
      <c r="BM254" s="28" t="n">
        <v>0.4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</row>
    <row r="255" ht="36" customHeight="1">
      <c r="A255" s="24" t="inlineStr">
        <is>
          <t>3acf535bcb8b4527</t>
        </is>
      </c>
      <c r="B255" s="24" t="inlineStr">
        <is>
          <t>2026-08-02T13:05:47.245126Z</t>
        </is>
      </c>
      <c r="C255" s="24" t="inlineStr">
        <is>
          <t>2026-08-02T21:30Z</t>
        </is>
      </c>
      <c r="D255" s="24" t="inlineStr">
        <is>
          <t>401850607</t>
        </is>
      </c>
      <c r="E255" s="24" t="inlineStr">
        <is>
          <t>SOCCER</t>
        </is>
      </c>
      <c r="F255" s="24" t="inlineStr">
        <is>
          <t>Huachipato</t>
        </is>
      </c>
      <c r="G255" s="24" t="inlineStr">
        <is>
          <t>Universidad de Chile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-170</v>
      </c>
      <c r="M255" s="27" t="n">
        <v>1.588235</v>
      </c>
      <c r="N255" s="28" t="n">
        <v>0.62963</v>
      </c>
      <c r="O255" s="28" t="n">
        <v>0.414794</v>
      </c>
      <c r="P255" s="28" t="n">
        <v>0.19</v>
      </c>
      <c r="Q255" s="28" t="n">
        <v>-0.214836</v>
      </c>
      <c r="R255" s="26" t="n">
        <v>0</v>
      </c>
      <c r="S255" s="29" t="n">
        <v>1</v>
      </c>
      <c r="T255" s="24" t="inlineStr">
        <is>
          <t>soccer-poisson-dc-v1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Poisson-DC rates 1.41 (home) / 1.16 (away) from EWMA attack/defense strengths. Executable ask 0.6300 (atc-pdc-unc-hua-2026-08-02-unc).</t>
        </is>
      </c>
      <c r="AF255" s="31" t="inlineStr">
        <is>
          <t>Research-only soccer score model; draw-aware, but not yet locked-holdout qualified.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NO_CALL_LOW_EDGE</t>
        </is>
      </c>
      <c r="AP255" s="24" t="inlineStr">
        <is>
          <t>Huachipato</t>
        </is>
      </c>
      <c r="AQ255" s="24" t="inlineStr">
        <is>
          <t>Huachipato</t>
        </is>
      </c>
      <c r="AR255" s="24" t="inlineStr">
        <is>
          <t>Huachipato</t>
        </is>
      </c>
      <c r="AS255" s="24" t="inlineStr">
        <is>
          <t>Universidad de Chile</t>
        </is>
      </c>
      <c r="AT255" s="24" t="inlineStr">
        <is>
          <t>Universidad de Chile</t>
        </is>
      </c>
      <c r="AU255" s="24" t="inlineStr">
        <is>
          <t>Universidad de Chile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34d1568aad0ff11b5db35f118324684f93281e1c21fa7b80be7a4a4e2cb4bb03</t>
        </is>
      </c>
      <c r="BB255" s="24" t="inlineStr">
        <is>
          <t>poisson_dixon_coles</t>
        </is>
      </c>
      <c r="BC255" s="24" t="inlineStr">
        <is>
          <t>soccer-poisson-dc-v1</t>
        </is>
      </c>
      <c r="BD255" s="24" t="inlineStr">
        <is>
          <t>34d1568aad0ff11b5db35f118324684f93281e1c21fa7b80be7a4a4e2cb4bb03</t>
        </is>
      </c>
      <c r="BE255" s="24" t="inlineStr">
        <is>
          <t>soccer-poisson-dc-v1</t>
        </is>
      </c>
      <c r="BF255" s="24" t="inlineStr">
        <is>
          <t>1</t>
        </is>
      </c>
      <c r="BG255" s="24" t="inlineStr">
        <is>
          <t>34d1568aad0ff11b5db35f118324684f93281e1c21fa7b80be7a4a4e2cb4bb03</t>
        </is>
      </c>
      <c r="BH255" s="24" t="inlineStr">
        <is>
          <t>2026-08-02T13:02:46.553813Z</t>
        </is>
      </c>
      <c r="BI255" s="24" t="inlineStr">
        <is>
          <t>["same_event","same_team_same_day","same_league_same_day"]</t>
        </is>
      </c>
      <c r="BJ255" s="25" t="n"/>
      <c r="BK255" s="26" t="n">
        <v>-170</v>
      </c>
      <c r="BL255" s="27" t="n">
        <v>1.588235</v>
      </c>
      <c r="BM255" s="28" t="n">
        <v>0.62963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</row>
    <row r="256" ht="36" customHeight="1">
      <c r="A256" s="24" t="inlineStr">
        <is>
          <t>7ab1c307320046bd</t>
        </is>
      </c>
      <c r="B256" s="24" t="inlineStr">
        <is>
          <t>2026-08-02T13:05:47.245126Z</t>
        </is>
      </c>
      <c r="C256" s="24" t="inlineStr">
        <is>
          <t>2026-08-02T15:00Z</t>
        </is>
      </c>
      <c r="D256" s="24" t="inlineStr">
        <is>
          <t>401872734</t>
        </is>
      </c>
      <c r="E256" s="24" t="inlineStr">
        <is>
          <t>SOCCER</t>
        </is>
      </c>
      <c r="F256" s="24" t="inlineStr">
        <is>
          <t>Boston River</t>
        </is>
      </c>
      <c r="G256" s="24" t="inlineStr">
        <is>
          <t>Racing (Montevideo)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-127</v>
      </c>
      <c r="M256" s="27" t="n">
        <v>1.787402</v>
      </c>
      <c r="N256" s="28" t="n">
        <v>0.5594710000000001</v>
      </c>
      <c r="O256" s="28" t="n">
        <v>0.5359159999999999</v>
      </c>
      <c r="P256" s="28" t="n">
        <v>0.2</v>
      </c>
      <c r="Q256" s="28" t="n">
        <v>-0.023555</v>
      </c>
      <c r="R256" s="26" t="n">
        <v>0</v>
      </c>
      <c r="S256" s="29" t="n">
        <v>1</v>
      </c>
      <c r="T256" s="24" t="inlineStr">
        <is>
          <t>soccer-poisson-dc-v1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Poisson-DC rates 1.84 (home) / 1.10 (away) from EWMA attack/defense strengths. Executable ask 0.5600 (atc-uru1-rcm-bri-2026-08-02-rcm).</t>
        </is>
      </c>
      <c r="AF256" s="31" t="inlineStr">
        <is>
          <t>Research-only soccer score model; draw-aware, but not yet locked-holdout qualified.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NO_CALL_LOW_EDGE</t>
        </is>
      </c>
      <c r="AP256" s="24" t="inlineStr">
        <is>
          <t>Boston River</t>
        </is>
      </c>
      <c r="AQ256" s="24" t="inlineStr">
        <is>
          <t>Boston River</t>
        </is>
      </c>
      <c r="AR256" s="24" t="inlineStr">
        <is>
          <t>Boston River</t>
        </is>
      </c>
      <c r="AS256" s="24" t="inlineStr">
        <is>
          <t>Racing (Montevideo)</t>
        </is>
      </c>
      <c r="AT256" s="24" t="inlineStr">
        <is>
          <t>Racing (Montevideo)</t>
        </is>
      </c>
      <c r="AU256" s="24" t="inlineStr">
        <is>
          <t>Racing (Montevideo)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34d1568aad0ff11b5db35f118324684f93281e1c21fa7b80be7a4a4e2cb4bb03</t>
        </is>
      </c>
      <c r="BB256" s="24" t="inlineStr">
        <is>
          <t>poisson_dixon_coles</t>
        </is>
      </c>
      <c r="BC256" s="24" t="inlineStr">
        <is>
          <t>soccer-poisson-dc-v1</t>
        </is>
      </c>
      <c r="BD256" s="24" t="inlineStr">
        <is>
          <t>34d1568aad0ff11b5db35f118324684f93281e1c21fa7b80be7a4a4e2cb4bb03</t>
        </is>
      </c>
      <c r="BE256" s="24" t="inlineStr">
        <is>
          <t>soccer-poisson-dc-v1</t>
        </is>
      </c>
      <c r="BF256" s="24" t="inlineStr">
        <is>
          <t>1</t>
        </is>
      </c>
      <c r="BG256" s="24" t="inlineStr">
        <is>
          <t>34d1568aad0ff11b5db35f118324684f93281e1c21fa7b80be7a4a4e2cb4bb03</t>
        </is>
      </c>
      <c r="BH256" s="24" t="inlineStr">
        <is>
          <t>2026-08-02T13:02:47.678863Z</t>
        </is>
      </c>
      <c r="BI256" s="24" t="inlineStr">
        <is>
          <t>["same_event","same_team_same_day","same_league_same_day"]</t>
        </is>
      </c>
      <c r="BJ256" s="25" t="n"/>
      <c r="BK256" s="26" t="n">
        <v>-127</v>
      </c>
      <c r="BL256" s="27" t="n">
        <v>1.787402</v>
      </c>
      <c r="BM256" s="28" t="n">
        <v>0.5594710000000001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</row>
    <row r="257" ht="36" customHeight="1">
      <c r="A257" s="24" t="inlineStr">
        <is>
          <t>22ef903cdc0143d2</t>
        </is>
      </c>
      <c r="B257" s="24" t="inlineStr">
        <is>
          <t>2026-08-02T13:05:47.245126Z</t>
        </is>
      </c>
      <c r="C257" s="24" t="inlineStr">
        <is>
          <t>2026-08-02T20:30Z</t>
        </is>
      </c>
      <c r="D257" s="24" t="inlineStr">
        <is>
          <t>401859644</t>
        </is>
      </c>
      <c r="E257" s="24" t="inlineStr">
        <is>
          <t>SOCCER</t>
        </is>
      </c>
      <c r="F257" s="24" t="inlineStr">
        <is>
          <t>Guayaquil City FC</t>
        </is>
      </c>
      <c r="G257" s="24" t="inlineStr">
        <is>
          <t>Macará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-186</v>
      </c>
      <c r="M257" s="27" t="n">
        <v>1.537634</v>
      </c>
      <c r="N257" s="28" t="n">
        <v>0.65035</v>
      </c>
      <c r="O257" s="28" t="n">
        <v>0.456135</v>
      </c>
      <c r="P257" s="28" t="n">
        <v>0.2</v>
      </c>
      <c r="Q257" s="28" t="n">
        <v>-0.194215</v>
      </c>
      <c r="R257" s="26" t="n">
        <v>0</v>
      </c>
      <c r="S257" s="29" t="n">
        <v>1</v>
      </c>
      <c r="T257" s="24" t="inlineStr">
        <is>
          <t>soccer-poisson-dc-v1</t>
        </is>
      </c>
      <c r="U257" s="24" t="inlineStr">
        <is>
          <t>open</t>
        </is>
      </c>
      <c r="V257" s="24" t="n"/>
      <c r="W257" s="26" t="n"/>
      <c r="X257" s="26" t="n"/>
      <c r="Y257" s="25" t="n"/>
      <c r="Z257" s="26" t="n"/>
      <c r="AA257" s="28" t="n"/>
      <c r="AB257" s="28" t="n"/>
      <c r="AC257" s="30" t="n"/>
      <c r="AD257" s="24" t="n"/>
      <c r="AE257" s="31" t="inlineStr">
        <is>
          <t>Poisson-DC rates 1.64 (home) / 1.24 (away) from EWMA attack/defense strengths. Executable ask 0.6500 (atc-ecu1-mac-gua-2026-08-02-mac).</t>
        </is>
      </c>
      <c r="AF257" s="31" t="inlineStr">
        <is>
          <t>Research-only soccer score model; draw-aware, but not yet locked-holdout qualified.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NO_CALL_LOW_EDGE</t>
        </is>
      </c>
      <c r="AP257" s="24" t="inlineStr">
        <is>
          <t>Guayaquil City FC</t>
        </is>
      </c>
      <c r="AQ257" s="24" t="inlineStr">
        <is>
          <t>Guayaquil City FC</t>
        </is>
      </c>
      <c r="AR257" s="24" t="inlineStr">
        <is>
          <t>Guayaquil City FC</t>
        </is>
      </c>
      <c r="AS257" s="24" t="inlineStr">
        <is>
          <t>Macará</t>
        </is>
      </c>
      <c r="AT257" s="24" t="inlineStr">
        <is>
          <t>Macará</t>
        </is>
      </c>
      <c r="AU257" s="24" t="inlineStr">
        <is>
          <t>Macará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34d1568aad0ff11b5db35f118324684f93281e1c21fa7b80be7a4a4e2cb4bb03</t>
        </is>
      </c>
      <c r="BB257" s="24" t="inlineStr">
        <is>
          <t>poisson_dixon_coles</t>
        </is>
      </c>
      <c r="BC257" s="24" t="inlineStr">
        <is>
          <t>soccer-poisson-dc-v1</t>
        </is>
      </c>
      <c r="BD257" s="24" t="inlineStr">
        <is>
          <t>34d1568aad0ff11b5db35f118324684f93281e1c21fa7b80be7a4a4e2cb4bb03</t>
        </is>
      </c>
      <c r="BE257" s="24" t="inlineStr">
        <is>
          <t>soccer-poisson-dc-v1</t>
        </is>
      </c>
      <c r="BF257" s="24" t="inlineStr">
        <is>
          <t>1</t>
        </is>
      </c>
      <c r="BG257" s="24" t="inlineStr">
        <is>
          <t>34d1568aad0ff11b5db35f118324684f93281e1c21fa7b80be7a4a4e2cb4bb03</t>
        </is>
      </c>
      <c r="BH257" s="24" t="inlineStr">
        <is>
          <t>2026-08-02T13:02:48.243225Z</t>
        </is>
      </c>
      <c r="BI257" s="24" t="inlineStr">
        <is>
          <t>["same_event","same_team_same_day","same_league_same_day"]</t>
        </is>
      </c>
      <c r="BJ257" s="25" t="n"/>
      <c r="BK257" s="26" t="n">
        <v>-186</v>
      </c>
      <c r="BL257" s="27" t="n">
        <v>1.537634</v>
      </c>
      <c r="BM257" s="28" t="n">
        <v>0.65035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</row>
    <row r="258" ht="36" customHeight="1">
      <c r="A258" s="24" t="inlineStr">
        <is>
          <t>73f7d42af0514ee8</t>
        </is>
      </c>
      <c r="B258" s="24" t="inlineStr">
        <is>
          <t>2026-08-02T13:05:47.245126Z</t>
        </is>
      </c>
      <c r="C258" s="24" t="inlineStr">
        <is>
          <t>2026-08-02T23:10Z</t>
        </is>
      </c>
      <c r="D258" s="24" t="inlineStr">
        <is>
          <t>401859718</t>
        </is>
      </c>
      <c r="E258" s="24" t="inlineStr">
        <is>
          <t>SOCCER</t>
        </is>
      </c>
      <c r="F258" s="24" t="inlineStr">
        <is>
          <t>Barcelona SC</t>
        </is>
      </c>
      <c r="G258" s="24" t="inlineStr">
        <is>
          <t>Leones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polymarket_us</t>
        </is>
      </c>
      <c r="L258" s="26" t="n">
        <v>203</v>
      </c>
      <c r="M258" s="27" t="n">
        <v>3.03</v>
      </c>
      <c r="N258" s="28" t="n">
        <v>0.330033</v>
      </c>
      <c r="O258" s="28" t="n">
        <v>0.406677</v>
      </c>
      <c r="P258" s="28" t="n">
        <v>0.19</v>
      </c>
      <c r="Q258" s="28" t="n">
        <v>0.076644</v>
      </c>
      <c r="R258" s="26" t="n">
        <v>0</v>
      </c>
      <c r="S258" s="29" t="n">
        <v>1</v>
      </c>
      <c r="T258" s="24" t="inlineStr">
        <is>
          <t>soccer-poisson-dc-v1</t>
        </is>
      </c>
      <c r="U258" s="24" t="inlineStr">
        <is>
          <t>open</t>
        </is>
      </c>
      <c r="V258" s="24" t="n"/>
      <c r="W258" s="26" t="n"/>
      <c r="X258" s="26" t="n"/>
      <c r="Y258" s="25" t="n"/>
      <c r="Z258" s="26" t="n"/>
      <c r="AA258" s="28" t="n"/>
      <c r="AB258" s="28" t="n"/>
      <c r="AC258" s="30" t="n"/>
      <c r="AD258" s="24" t="n"/>
      <c r="AE258" s="31" t="inlineStr">
        <is>
          <t>Poisson-DC rates 1.38 (home) / 1.56 (away) from EWMA attack/defense strengths. Executable ask 0.3300 (atc-ecu1-leo-bsc-2026-08-02-bsc).</t>
        </is>
      </c>
      <c r="AF258" s="31" t="inlineStr">
        <is>
          <t>Research-only soccer score model; draw-aware, but not yet locked-holdout qualified.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3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Barcelona SC</t>
        </is>
      </c>
      <c r="AQ258" s="24" t="inlineStr">
        <is>
          <t>Barcelona SC</t>
        </is>
      </c>
      <c r="AR258" s="24" t="inlineStr">
        <is>
          <t>Barcelona SC</t>
        </is>
      </c>
      <c r="AS258" s="24" t="inlineStr">
        <is>
          <t>Leones</t>
        </is>
      </c>
      <c r="AT258" s="24" t="inlineStr">
        <is>
          <t>Leones</t>
        </is>
      </c>
      <c r="AU258" s="24" t="inlineStr">
        <is>
          <t>Leones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34d1568aad0ff11b5db35f118324684f93281e1c21fa7b80be7a4a4e2cb4bb03</t>
        </is>
      </c>
      <c r="BB258" s="24" t="inlineStr">
        <is>
          <t>poisson_dixon_coles</t>
        </is>
      </c>
      <c r="BC258" s="24" t="inlineStr">
        <is>
          <t>soccer-poisson-dc-v1</t>
        </is>
      </c>
      <c r="BD258" s="24" t="inlineStr">
        <is>
          <t>34d1568aad0ff11b5db35f118324684f93281e1c21fa7b80be7a4a4e2cb4bb03</t>
        </is>
      </c>
      <c r="BE258" s="24" t="inlineStr">
        <is>
          <t>soccer-poisson-dc-v1</t>
        </is>
      </c>
      <c r="BF258" s="24" t="inlineStr">
        <is>
          <t>1</t>
        </is>
      </c>
      <c r="BG258" s="24" t="inlineStr">
        <is>
          <t>34d1568aad0ff11b5db35f118324684f93281e1c21fa7b80be7a4a4e2cb4bb03</t>
        </is>
      </c>
      <c r="BH258" s="24" t="inlineStr">
        <is>
          <t>2026-08-02T13:02:48.734342Z</t>
        </is>
      </c>
      <c r="BI258" s="24" t="inlineStr">
        <is>
          <t>["same_event","same_team_same_day","same_league_same_day"]</t>
        </is>
      </c>
      <c r="BJ258" s="25" t="n"/>
      <c r="BK258" s="26" t="n">
        <v>203</v>
      </c>
      <c r="BL258" s="27" t="n">
        <v>3.03</v>
      </c>
      <c r="BM258" s="28" t="n">
        <v>0.330033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</row>
    <row r="259" ht="36" customHeight="1">
      <c r="A259" s="24" t="inlineStr">
        <is>
          <t>ba6383f0b7054d55</t>
        </is>
      </c>
      <c r="B259" s="24" t="inlineStr">
        <is>
          <t>2026-08-02T13:05:47.245126Z</t>
        </is>
      </c>
      <c r="C259" s="24" t="inlineStr">
        <is>
          <t>2026-08-02T14:30Z</t>
        </is>
      </c>
      <c r="D259" s="24" t="inlineStr">
        <is>
          <t>401898711</t>
        </is>
      </c>
      <c r="E259" s="24" t="inlineStr">
        <is>
          <t>SOCCER</t>
        </is>
      </c>
      <c r="F259" s="24" t="inlineStr">
        <is>
          <t>Udinese</t>
        </is>
      </c>
      <c r="G259" s="24" t="inlineStr">
        <is>
          <t>Trabzonspor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156</v>
      </c>
      <c r="M259" s="27" t="n">
        <v>2.56</v>
      </c>
      <c r="N259" s="28" t="n">
        <v>0.390625</v>
      </c>
      <c r="O259" s="28" t="n">
        <v>0.395816</v>
      </c>
      <c r="P259" s="28" t="n">
        <v>0.2</v>
      </c>
      <c r="Q259" s="28" t="n">
        <v>0.005191</v>
      </c>
      <c r="R259" s="26" t="n">
        <v>0</v>
      </c>
      <c r="S259" s="29" t="n">
        <v>1</v>
      </c>
      <c r="T259" s="24" t="inlineStr">
        <is>
          <t>soccer-poisson-dc-v1</t>
        </is>
      </c>
      <c r="U259" s="24" t="inlineStr">
        <is>
          <t>open</t>
        </is>
      </c>
      <c r="V259" s="24" t="n"/>
      <c r="W259" s="26" t="n"/>
      <c r="X259" s="26" t="n"/>
      <c r="Y259" s="25" t="n"/>
      <c r="Z259" s="26" t="n"/>
      <c r="AA259" s="28" t="n"/>
      <c r="AB259" s="28" t="n"/>
      <c r="AC259" s="30" t="n"/>
      <c r="AD259" s="24" t="n"/>
      <c r="AE259" s="31" t="inlineStr">
        <is>
          <t>Poisson-DC rates 1.26 (home) / 1.06 (away) from EWMA attack/defense strengths. Executable ask 0.3900 (atc-clbf-tra-udi-2026-08-02-tra).</t>
        </is>
      </c>
      <c r="AF259" s="31" t="inlineStr">
        <is>
          <t>Research-only soccer score model; draw-aware, but not yet locked-holdout qualified.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NO_CALL_LOW_EDGE</t>
        </is>
      </c>
      <c r="AP259" s="24" t="inlineStr">
        <is>
          <t>Udinese</t>
        </is>
      </c>
      <c r="AQ259" s="24" t="inlineStr">
        <is>
          <t>Udinese</t>
        </is>
      </c>
      <c r="AR259" s="24" t="inlineStr">
        <is>
          <t>Udinese</t>
        </is>
      </c>
      <c r="AS259" s="24" t="inlineStr">
        <is>
          <t>Trabzonspor</t>
        </is>
      </c>
      <c r="AT259" s="24" t="inlineStr">
        <is>
          <t>Trabzonspor</t>
        </is>
      </c>
      <c r="AU259" s="24" t="inlineStr">
        <is>
          <t>Trabzonspor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34d1568aad0ff11b5db35f118324684f93281e1c21fa7b80be7a4a4e2cb4bb03</t>
        </is>
      </c>
      <c r="BB259" s="24" t="inlineStr">
        <is>
          <t>poisson_dixon_coles</t>
        </is>
      </c>
      <c r="BC259" s="24" t="inlineStr">
        <is>
          <t>soccer-poisson-dc-v1</t>
        </is>
      </c>
      <c r="BD259" s="24" t="inlineStr">
        <is>
          <t>34d1568aad0ff11b5db35f118324684f93281e1c21fa7b80be7a4a4e2cb4bb03</t>
        </is>
      </c>
      <c r="BE259" s="24" t="inlineStr">
        <is>
          <t>soccer-poisson-dc-v1</t>
        </is>
      </c>
      <c r="BF259" s="24" t="inlineStr">
        <is>
          <t>1</t>
        </is>
      </c>
      <c r="BG259" s="24" t="inlineStr">
        <is>
          <t>34d1568aad0ff11b5db35f118324684f93281e1c21fa7b80be7a4a4e2cb4bb03</t>
        </is>
      </c>
      <c r="BH259" s="24" t="inlineStr">
        <is>
          <t>2026-08-02T13:02:50.866524Z</t>
        </is>
      </c>
      <c r="BI259" s="24" t="inlineStr">
        <is>
          <t>["same_event","same_team_same_day","same_league_same_day"]</t>
        </is>
      </c>
      <c r="BJ259" s="25" t="n"/>
      <c r="BK259" s="26" t="n">
        <v>156</v>
      </c>
      <c r="BL259" s="27" t="n">
        <v>2.56</v>
      </c>
      <c r="BM259" s="28" t="n">
        <v>0.390625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</row>
    <row r="260" ht="36" customHeight="1">
      <c r="A260" s="24" t="inlineStr">
        <is>
          <t>4c2af96f03e14754</t>
        </is>
      </c>
      <c r="B260" s="24" t="inlineStr">
        <is>
          <t>2026-08-02T13:05:47.245126Z</t>
        </is>
      </c>
      <c r="C260" s="24" t="inlineStr">
        <is>
          <t>2026-08-02T16:00Z</t>
        </is>
      </c>
      <c r="D260" s="24" t="inlineStr">
        <is>
          <t>401897751</t>
        </is>
      </c>
      <c r="E260" s="24" t="inlineStr">
        <is>
          <t>SOCCER</t>
        </is>
      </c>
      <c r="F260" s="24" t="inlineStr">
        <is>
          <t>Wrexham</t>
        </is>
      </c>
      <c r="G260" s="24" t="inlineStr">
        <is>
          <t>Sunderland</t>
        </is>
      </c>
      <c r="H260" s="24" t="inlineStr">
        <is>
          <t>moneyline</t>
        </is>
      </c>
      <c r="I260" s="24" t="inlineStr">
        <is>
          <t>home</t>
        </is>
      </c>
      <c r="J260" s="25" t="n"/>
      <c r="K260" s="24" t="inlineStr">
        <is>
          <t>polymarket_us</t>
        </is>
      </c>
      <c r="L260" s="26" t="n">
        <v>108</v>
      </c>
      <c r="M260" s="27" t="n">
        <v>2.08</v>
      </c>
      <c r="N260" s="28" t="n">
        <v>0.480769</v>
      </c>
      <c r="O260" s="28" t="n">
        <v>0.395592</v>
      </c>
      <c r="P260" s="28" t="n">
        <v>0.04</v>
      </c>
      <c r="Q260" s="28" t="n">
        <v>-0.085177</v>
      </c>
      <c r="R260" s="26" t="n">
        <v>0</v>
      </c>
      <c r="S260" s="29" t="n">
        <v>1.5</v>
      </c>
      <c r="T260" s="24" t="inlineStr">
        <is>
          <t>soccer-poisson-dc-v1</t>
        </is>
      </c>
      <c r="U260" s="24" t="inlineStr">
        <is>
          <t>open</t>
        </is>
      </c>
      <c r="V260" s="24" t="n"/>
      <c r="W260" s="26" t="n"/>
      <c r="X260" s="26" t="n"/>
      <c r="Y260" s="25" t="n"/>
      <c r="Z260" s="26" t="n"/>
      <c r="AA260" s="28" t="n"/>
      <c r="AB260" s="28" t="n"/>
      <c r="AC260" s="30" t="n"/>
      <c r="AD260" s="24" t="n"/>
      <c r="AE260" s="31" t="inlineStr">
        <is>
          <t>Poisson-DC rates 1.40 (home) / 1.24 (away) from EWMA attack/defense strengths. Executable ask 0.4800 (atc-clbf-sun-wre-2026-08-02-sun).</t>
        </is>
      </c>
      <c r="AF260" s="31" t="inlineStr">
        <is>
          <t>Research-only soccer score model; draw-aware, but not yet locked-holdout qualified.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NO_CALL_LOW_EDGE</t>
        </is>
      </c>
      <c r="AP260" s="24" t="inlineStr">
        <is>
          <t>Wrexham</t>
        </is>
      </c>
      <c r="AQ260" s="24" t="inlineStr">
        <is>
          <t>Wrexham</t>
        </is>
      </c>
      <c r="AR260" s="24" t="inlineStr">
        <is>
          <t>Wrexham</t>
        </is>
      </c>
      <c r="AS260" s="24" t="inlineStr">
        <is>
          <t>Sunderland</t>
        </is>
      </c>
      <c r="AT260" s="24" t="inlineStr">
        <is>
          <t>Sunderland</t>
        </is>
      </c>
      <c r="AU260" s="24" t="inlineStr">
        <is>
          <t>Sunderland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34d1568aad0ff11b5db35f118324684f93281e1c21fa7b80be7a4a4e2cb4bb03</t>
        </is>
      </c>
      <c r="BB260" s="24" t="inlineStr">
        <is>
          <t>poisson_dixon_coles</t>
        </is>
      </c>
      <c r="BC260" s="24" t="inlineStr">
        <is>
          <t>soccer-poisson-dc-v1</t>
        </is>
      </c>
      <c r="BD260" s="24" t="inlineStr">
        <is>
          <t>34d1568aad0ff11b5db35f118324684f93281e1c21fa7b80be7a4a4e2cb4bb03</t>
        </is>
      </c>
      <c r="BE260" s="24" t="inlineStr">
        <is>
          <t>soccer-poisson-dc-v1</t>
        </is>
      </c>
      <c r="BF260" s="24" t="inlineStr">
        <is>
          <t>1</t>
        </is>
      </c>
      <c r="BG260" s="24" t="inlineStr">
        <is>
          <t>34d1568aad0ff11b5db35f118324684f93281e1c21fa7b80be7a4a4e2cb4bb03</t>
        </is>
      </c>
      <c r="BH260" s="24" t="inlineStr">
        <is>
          <t>2026-08-02T13:02:50.974234Z</t>
        </is>
      </c>
      <c r="BI260" s="24" t="inlineStr">
        <is>
          <t>["same_event","same_team_same_day","same_league_same_day"]</t>
        </is>
      </c>
      <c r="BJ260" s="25" t="n"/>
      <c r="BK260" s="26" t="n">
        <v>108</v>
      </c>
      <c r="BL260" s="27" t="n">
        <v>2.08</v>
      </c>
      <c r="BM260" s="28" t="n">
        <v>0.480769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</row>
    <row r="261" ht="36" customHeight="1">
      <c r="A261" s="24" t="inlineStr">
        <is>
          <t>3758890e10e44b89</t>
        </is>
      </c>
      <c r="B261" s="24" t="inlineStr">
        <is>
          <t>2026-08-02T13:05:47.245126Z</t>
        </is>
      </c>
      <c r="C261" s="24" t="inlineStr">
        <is>
          <t>2026-08-02T20:00Z</t>
        </is>
      </c>
      <c r="D261" s="24" t="inlineStr">
        <is>
          <t>401863533</t>
        </is>
      </c>
      <c r="E261" s="24" t="inlineStr">
        <is>
          <t>SOCCER</t>
        </is>
      </c>
      <c r="F261" s="24" t="inlineStr">
        <is>
          <t>Leeds United</t>
        </is>
      </c>
      <c r="G261" s="24" t="inlineStr">
        <is>
          <t>Liverpool</t>
        </is>
      </c>
      <c r="H261" s="24" t="inlineStr">
        <is>
          <t>moneyline</t>
        </is>
      </c>
      <c r="I261" s="24" t="inlineStr">
        <is>
          <t>home</t>
        </is>
      </c>
      <c r="J261" s="25" t="n"/>
      <c r="K261" s="24" t="inlineStr">
        <is>
          <t>polymarket_us</t>
        </is>
      </c>
      <c r="L261" s="26" t="n">
        <v>-138</v>
      </c>
      <c r="M261" s="27" t="n">
        <v>1.724638</v>
      </c>
      <c r="N261" s="28" t="n">
        <v>0.579832</v>
      </c>
      <c r="O261" s="28" t="n">
        <v>0.482992</v>
      </c>
      <c r="P261" s="28" t="n">
        <v>0.04</v>
      </c>
      <c r="Q261" s="28" t="n">
        <v>-0.09684</v>
      </c>
      <c r="R261" s="26" t="n">
        <v>0</v>
      </c>
      <c r="S261" s="29" t="n">
        <v>1</v>
      </c>
      <c r="T261" s="24" t="inlineStr">
        <is>
          <t>soccer-poisson-dc-v1</t>
        </is>
      </c>
      <c r="U261" s="24" t="inlineStr">
        <is>
          <t>open</t>
        </is>
      </c>
      <c r="V261" s="24" t="n"/>
      <c r="W261" s="26" t="n"/>
      <c r="X261" s="26" t="n"/>
      <c r="Y261" s="25" t="n"/>
      <c r="Z261" s="26" t="n"/>
      <c r="AA261" s="28" t="n"/>
      <c r="AB261" s="28" t="n"/>
      <c r="AC261" s="30" t="n"/>
      <c r="AD261" s="24" t="n"/>
      <c r="AE261" s="31" t="inlineStr">
        <is>
          <t>Poisson-DC rates 1.69 (home) / 1.17 (away) from EWMA attack/defense strengths. Executable ask 0.5800 (atc-clbf-lfc-lee-2026-08-02-lfc).</t>
        </is>
      </c>
      <c r="AF261" s="31" t="inlineStr">
        <is>
          <t>Research-only soccer score model; draw-aware, but not yet locked-holdout qualified.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NO_CALL_LOW_EDGE</t>
        </is>
      </c>
      <c r="AP261" s="24" t="inlineStr">
        <is>
          <t>Leeds United</t>
        </is>
      </c>
      <c r="AQ261" s="24" t="inlineStr">
        <is>
          <t>Leeds United</t>
        </is>
      </c>
      <c r="AR261" s="24" t="inlineStr">
        <is>
          <t>Leeds United</t>
        </is>
      </c>
      <c r="AS261" s="24" t="inlineStr">
        <is>
          <t>Liverpool</t>
        </is>
      </c>
      <c r="AT261" s="24" t="inlineStr">
        <is>
          <t>Liverpool</t>
        </is>
      </c>
      <c r="AU261" s="24" t="inlineStr">
        <is>
          <t>Liverpool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34d1568aad0ff11b5db35f118324684f93281e1c21fa7b80be7a4a4e2cb4bb03</t>
        </is>
      </c>
      <c r="BB261" s="24" t="inlineStr">
        <is>
          <t>poisson_dixon_coles</t>
        </is>
      </c>
      <c r="BC261" s="24" t="inlineStr">
        <is>
          <t>soccer-poisson-dc-v1</t>
        </is>
      </c>
      <c r="BD261" s="24" t="inlineStr">
        <is>
          <t>34d1568aad0ff11b5db35f118324684f93281e1c21fa7b80be7a4a4e2cb4bb03</t>
        </is>
      </c>
      <c r="BE261" s="24" t="inlineStr">
        <is>
          <t>soccer-poisson-dc-v1</t>
        </is>
      </c>
      <c r="BF261" s="24" t="inlineStr">
        <is>
          <t>1</t>
        </is>
      </c>
      <c r="BG261" s="24" t="inlineStr">
        <is>
          <t>34d1568aad0ff11b5db35f118324684f93281e1c21fa7b80be7a4a4e2cb4bb03</t>
        </is>
      </c>
      <c r="BH261" s="24" t="inlineStr">
        <is>
          <t>2026-08-02T13:02:51.442026Z</t>
        </is>
      </c>
      <c r="BI261" s="24" t="inlineStr">
        <is>
          <t>["same_event","same_team_same_day","same_league_same_day"]</t>
        </is>
      </c>
      <c r="BJ261" s="25" t="n"/>
      <c r="BK261" s="26" t="n">
        <v>-138</v>
      </c>
      <c r="BL261" s="27" t="n">
        <v>1.724638</v>
      </c>
      <c r="BM261" s="28" t="n">
        <v>0.579832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2026-08-02T13:06:06Z</dcterms:created>
  <dcterms:modified xsi:type="dcterms:W3CDTF">2026-08-02T13:06:06Z</dcterms:modified>
</cp:coreProperties>
</file>