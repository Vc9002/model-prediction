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46" headerRowCount="1">
  <autoFilter ref="A1:CO4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COUNTA('Picks'!$A$2:$A$46)</f>
        <v/>
      </c>
      <c r="C4" s="6">
        <f>COUNTIF('Picks'!$U$2:$U$46,"open")</f>
        <v/>
      </c>
      <c r="E4" s="6">
        <f>COUNTIF('Picks'!$U$2:$U$46,"settled")</f>
        <v/>
      </c>
      <c r="G4" s="6">
        <f>IF(COUNTIFS('Picks'!$U$2:$U$46,"settled",'Picks'!$V$2:$V$46,"win")+COUNTIFS('Picks'!$U$2:$U$46,"settled",'Picks'!$V$2:$V$46,"loss")&gt;=$L$2,"Ready","Insufficient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COUNTIF('Picks'!$BX$2:$BX$46,"&gt;0")</f>
        <v/>
      </c>
      <c r="C7" s="6">
        <f>COUNTIFS('Picks'!$BX$2:$BX$46,"&gt;0",'Picks'!$V$2:$V$46,"win")&amp;"-"&amp;COUNTIFS('Picks'!$BX$2:$BX$46,"&gt;0",'Picks'!$V$2:$V$46,"loss")</f>
        <v/>
      </c>
      <c r="E7" s="7">
        <f>IFERROR(COUNTIFS('Picks'!$BX$2:$BX$46,"&gt;0",'Picks'!$V$2:$V$46,"win")/(COUNTIFS('Picks'!$BX$2:$BX$46,"&gt;0",'Picks'!$V$2:$V$46,"win")+COUNTIFS('Picks'!$BX$2:$BX$46,"&gt;0",'Picks'!$V$2:$V$46,"loss")),0)</f>
        <v/>
      </c>
      <c r="G7" s="7">
        <f>IFERROR(SUM('Picks'!$BY$2:$BY$46)/SUM('Picks'!$BX$2:$BX$46),0)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SUM('Picks'!$BY$2:$BY$46)</f>
        <v/>
      </c>
      <c r="C10" s="9">
        <f>IFERROR(AVERAGEIF('Picks'!$AB$2:$AB$46,"&lt;&gt;",'Picks'!$AB$2:$AB$46),0)</f>
        <v/>
      </c>
      <c r="E10" s="6">
        <f>COUNTIFS('Picks'!$AM$2:$AM$46,"QUALIFIED_SHADOW_CALL",'Picks'!$U$2:$U$46,"settled")</f>
        <v/>
      </c>
      <c r="G10" s="8">
        <f>SUMIFS('Picks'!$AC$2:$AC$46,'Picks'!$AM$2:$AM$46,"QUALIFIED_SHADOW_CALL")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COUNTIFS('Picks'!$H$2:$H$46,$A14,'Picks'!$U$2:$U$46,"settled")</f>
        <v/>
      </c>
      <c r="C14" s="13">
        <f>COUNTIFS('Picks'!$H$2:$H$46,$A14,'Picks'!$U$2:$U$46,"settled",'Picks'!$V$2:$V$46,"win")</f>
        <v/>
      </c>
      <c r="D14" s="13">
        <f>COUNTIFS('Picks'!$H$2:$H$46,$A14,'Picks'!$U$2:$U$46,"settled",'Picks'!$V$2:$V$46,"loss")</f>
        <v/>
      </c>
      <c r="E14" s="14">
        <f>IFERROR(C14/(C14+D14),0)</f>
        <v/>
      </c>
      <c r="F14" s="15">
        <f>SUMIFS('Picks'!$BY$2:$BY$46,'Picks'!$H$2:$H$46,$A14)</f>
        <v/>
      </c>
      <c r="G14" s="16">
        <f>IFERROR(AVERAGEIFS('Picks'!$AB$2:$AB$46,'Picks'!$H$2:$H$46,$A14,'Picks'!$U$2:$U$46,"settled"),0)</f>
        <v/>
      </c>
    </row>
    <row r="15">
      <c r="A15" s="17" t="inlineStr">
        <is>
          <t>spread</t>
        </is>
      </c>
      <c r="B15" s="18">
        <f>COUNTIFS('Picks'!$H$2:$H$46,$A15,'Picks'!$U$2:$U$46,"settled")</f>
        <v/>
      </c>
      <c r="C15" s="18">
        <f>COUNTIFS('Picks'!$H$2:$H$46,$A15,'Picks'!$U$2:$U$46,"settled",'Picks'!$V$2:$V$46,"win")</f>
        <v/>
      </c>
      <c r="D15" s="18">
        <f>COUNTIFS('Picks'!$H$2:$H$46,$A15,'Picks'!$U$2:$U$46,"settled",'Picks'!$V$2:$V$46,"loss")</f>
        <v/>
      </c>
      <c r="E15" s="19">
        <f>IFERROR(C15/(C15+D15),0)</f>
        <v/>
      </c>
      <c r="F15" s="20">
        <f>SUMIFS('Picks'!$BY$2:$BY$46,'Picks'!$H$2:$H$46,$A15)</f>
        <v/>
      </c>
      <c r="G15" s="21">
        <f>IFERROR(AVERAGEIFS('Picks'!$AB$2:$AB$46,'Picks'!$H$2:$H$46,$A15,'Picks'!$U$2:$U$46,"settled"),0)</f>
        <v/>
      </c>
    </row>
    <row r="16">
      <c r="A16" s="12" t="inlineStr">
        <is>
          <t>total</t>
        </is>
      </c>
      <c r="B16" s="13">
        <f>COUNTIFS('Picks'!$H$2:$H$46,$A16,'Picks'!$U$2:$U$46,"settled")</f>
        <v/>
      </c>
      <c r="C16" s="13">
        <f>COUNTIFS('Picks'!$H$2:$H$46,$A16,'Picks'!$U$2:$U$46,"settled",'Picks'!$V$2:$V$46,"win")</f>
        <v/>
      </c>
      <c r="D16" s="13">
        <f>COUNTIFS('Picks'!$H$2:$H$46,$A16,'Picks'!$U$2:$U$46,"settled",'Picks'!$V$2:$V$46,"loss")</f>
        <v/>
      </c>
      <c r="E16" s="14">
        <f>IFERROR(C16/(C16+D16),0)</f>
        <v/>
      </c>
      <c r="F16" s="15">
        <f>SUMIFS('Picks'!$BY$2:$BY$46,'Picks'!$H$2:$H$46,$A16)</f>
        <v/>
      </c>
      <c r="G16" s="16">
        <f>IFERROR(AVERAGEIFS('Picks'!$AB$2:$AB$46,'Picks'!$H$2:$H$46,$A16,'Picks'!$U$2:$U$46,"settled"),0)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25528d43c7c547fd</t>
        </is>
      </c>
      <c r="B2" s="24" t="inlineStr">
        <is>
          <t>2026-07-24T23:40:24.344007Z</t>
        </is>
      </c>
      <c r="C2" s="24" t="inlineStr">
        <is>
          <t>2026-07-24T20:05:00-0400</t>
        </is>
      </c>
      <c r="D2" s="24" t="inlineStr">
        <is>
          <t>401816248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106</v>
      </c>
      <c r="M2" s="27" t="n">
        <v>2.06</v>
      </c>
      <c r="N2" s="28" t="n">
        <v>0.485437</v>
      </c>
      <c r="O2" s="28" t="n">
        <v>0.588465</v>
      </c>
      <c r="P2" s="28" t="n"/>
      <c r="Q2" s="28" t="n">
        <v>0.103028</v>
      </c>
      <c r="R2" s="26" t="n">
        <v>100</v>
      </c>
      <c r="S2" s="29" t="n">
        <v>1.5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4</v>
      </c>
      <c r="X2" s="26" t="n">
        <v>5</v>
      </c>
      <c r="Y2" s="25" t="n"/>
      <c r="Z2" s="26" t="n"/>
      <c r="AA2" s="28" t="n"/>
      <c r="AB2" s="28" t="n"/>
      <c r="AC2" s="30" t="n">
        <v>1.59</v>
      </c>
      <c r="AD2" s="24" t="inlineStr">
        <is>
          <t>2026-07-25T03:59:35.372834Z</t>
        </is>
      </c>
      <c r="AE2" s="31" t="inlineStr">
        <is>
          <t>Learned LR call at threshold 0.5750; executable ask 0.4850 (aec-mlb-sea-tex-2026-07-24).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NO_CALL_LARGE_DISAGREEMENT_REVIEW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learned_lr</t>
        </is>
      </c>
      <c r="BC2" s="24" t="inlineStr">
        <is>
          <t>mlb-elo-trend-lr-v5</t>
        </is>
      </c>
      <c r="BD2" s="24" t="inlineStr">
        <is>
          <t>8a12d027cf1d2c206cb369c47da80e014f8ac4dfc414ffee96ae34656c46fef5</t>
        </is>
      </c>
      <c r="BE2" s="24" t="inlineStr">
        <is>
          <t>79eb281d550dd0ce</t>
        </is>
      </c>
      <c r="BF2" s="24" t="inlineStr">
        <is>
          <t>1</t>
        </is>
      </c>
      <c r="BG2" s="24" t="inlineStr">
        <is>
          <t>mlb-elo-trend-lr-v5</t>
        </is>
      </c>
      <c r="BH2" s="24" t="inlineStr">
        <is>
          <t>2026-07-24T23:40:05.731659Z</t>
        </is>
      </c>
      <c r="BI2" s="24" t="inlineStr">
        <is>
          <t>["same_event","same_team_same_day","same_league_same_day"]</t>
        </is>
      </c>
      <c r="BJ2" s="25" t="n"/>
      <c r="BK2" s="26" t="n">
        <v>106</v>
      </c>
      <c r="BL2" s="27" t="n">
        <v>2.06</v>
      </c>
      <c r="BM2" s="28" t="n">
        <v>0.485437</v>
      </c>
      <c r="BN2" s="28" t="n">
        <v>0.482587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6470107684e849eb</t>
        </is>
      </c>
      <c r="B3" s="24" t="inlineStr">
        <is>
          <t>2026-07-24T23:40:24.344007Z</t>
        </is>
      </c>
      <c r="C3" s="24" t="inlineStr">
        <is>
          <t>2026-07-24T20:10:00-0400</t>
        </is>
      </c>
      <c r="D3" s="24" t="inlineStr">
        <is>
          <t>401816244</t>
        </is>
      </c>
      <c r="E3" s="24" t="inlineStr">
        <is>
          <t>MLB</t>
        </is>
      </c>
      <c r="F3" s="24" t="inlineStr">
        <is>
          <t>Athletics</t>
        </is>
      </c>
      <c r="G3" s="24" t="inlineStr">
        <is>
          <t>Minnesota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0.5307229999999999</v>
      </c>
      <c r="P3" s="28" t="n"/>
      <c r="Q3" s="28" t="n">
        <v>-0.040092</v>
      </c>
      <c r="R3" s="26" t="n">
        <v>0</v>
      </c>
      <c r="S3" s="29" t="n">
        <v>0.75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loss</t>
        </is>
      </c>
      <c r="W3" s="26" t="n">
        <v>2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2026-07-25T03:59:36.010284Z</t>
        </is>
      </c>
      <c r="AE3" s="31" t="inlineStr">
        <is>
          <t>Learned LR call at threshold 0.5750; executable ask 0.5700 (aec-mlb-ath-min-2026-07-24).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mlb-ath</t>
        </is>
      </c>
      <c r="AQ3" s="24" t="inlineStr">
        <is>
          <t>Athletics</t>
        </is>
      </c>
      <c r="AR3" s="24" t="inlineStr">
        <is>
          <t>Athletics</t>
        </is>
      </c>
      <c r="AS3" s="24" t="inlineStr">
        <is>
          <t>mlb-min</t>
        </is>
      </c>
      <c r="AT3" s="24" t="inlineStr">
        <is>
          <t>Minnesota Twins</t>
        </is>
      </c>
      <c r="AU3" s="24" t="inlineStr">
        <is>
          <t>Minnesota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learned_lr</t>
        </is>
      </c>
      <c r="BC3" s="24" t="inlineStr">
        <is>
          <t>mlb-elo-trend-lr-v5</t>
        </is>
      </c>
      <c r="BD3" s="24" t="inlineStr">
        <is>
          <t>8a12d027cf1d2c206cb369c47da80e014f8ac4dfc414ffee96ae34656c46fef5</t>
        </is>
      </c>
      <c r="BE3" s="24" t="inlineStr">
        <is>
          <t>32d586049ac41eec</t>
        </is>
      </c>
      <c r="BF3" s="24" t="inlineStr">
        <is>
          <t>1</t>
        </is>
      </c>
      <c r="BG3" s="24" t="inlineStr">
        <is>
          <t>mlb-elo-trend-lr-v5</t>
        </is>
      </c>
      <c r="BH3" s="24" t="inlineStr">
        <is>
          <t>2026-07-24T23:40:07.043793Z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545f9cc46b9f4f05</t>
        </is>
      </c>
      <c r="B4" s="24" t="inlineStr">
        <is>
          <t>2026-07-25T00:14:59.789159Z</t>
        </is>
      </c>
      <c r="C4" s="24" t="inlineStr">
        <is>
          <t>2026-07-24T20:15:00-0400</t>
        </is>
      </c>
      <c r="D4" s="24" t="inlineStr">
        <is>
          <t>401816245</t>
        </is>
      </c>
      <c r="E4" s="24" t="inlineStr">
        <is>
          <t>MLB</t>
        </is>
      </c>
      <c r="F4" s="24" t="inlineStr">
        <is>
          <t>Cincinnati Reds</t>
        </is>
      </c>
      <c r="G4" s="24" t="inlineStr">
        <is>
          <t>St. Louis Cardinals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0.549377</v>
      </c>
      <c r="P4" s="28" t="n"/>
      <c r="Q4" s="28" t="n">
        <v>-0.035685</v>
      </c>
      <c r="R4" s="26" t="n">
        <v>2</v>
      </c>
      <c r="S4" s="29" t="n">
        <v>1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4</v>
      </c>
      <c r="X4" s="26" t="n">
        <v>2</v>
      </c>
      <c r="Y4" s="25" t="n"/>
      <c r="Z4" s="26" t="n"/>
      <c r="AA4" s="28" t="n"/>
      <c r="AB4" s="28" t="n"/>
      <c r="AC4" s="30" t="n">
        <v>-1</v>
      </c>
      <c r="AD4" s="24" t="inlineStr">
        <is>
          <t>2026-07-25T03:59:36.651414Z</t>
        </is>
      </c>
      <c r="AE4" s="31" t="inlineStr">
        <is>
          <t>Learned LR call at threshold 0.5750; executable ask 0.5850 (aec-mlb-cin-stl-2026-07-24).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mlb-cin</t>
        </is>
      </c>
      <c r="AQ4" s="24" t="inlineStr">
        <is>
          <t>Cincinnati Reds</t>
        </is>
      </c>
      <c r="AR4" s="24" t="inlineStr">
        <is>
          <t>Cincinnati Reds</t>
        </is>
      </c>
      <c r="AS4" s="24" t="inlineStr">
        <is>
          <t>mlb-stl</t>
        </is>
      </c>
      <c r="AT4" s="24" t="inlineStr">
        <is>
          <t>St. Louis Cardinals</t>
        </is>
      </c>
      <c r="AU4" s="24" t="inlineStr">
        <is>
          <t>St. Louis Cardinals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73756967beddc98c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2026-07-24T23:40:08.101543Z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3fe6067b082548ce</t>
        </is>
      </c>
      <c r="B5" s="24" t="inlineStr">
        <is>
          <t>2026-07-24T20:09:00Z</t>
        </is>
      </c>
      <c r="C5" s="24" t="inlineStr">
        <is>
          <t>2026-07-24T16:10:00-0400</t>
        </is>
      </c>
      <c r="D5" s="24" t="inlineStr">
        <is>
          <t>401816246</t>
        </is>
      </c>
      <c r="E5" s="24" t="inlineStr">
        <is>
          <t>MLB</t>
        </is>
      </c>
      <c r="F5" s="24" t="inlineStr">
        <is>
          <t>Colorado Rockies</t>
        </is>
      </c>
      <c r="G5" s="24" t="inlineStr">
        <is>
          <t>Milwaukee Brewers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-245</v>
      </c>
      <c r="M5" s="27" t="n">
        <v>1.408163</v>
      </c>
      <c r="N5" s="28" t="n">
        <v>0.710145</v>
      </c>
      <c r="O5" s="28" t="n">
        <v>0.640807</v>
      </c>
      <c r="P5" s="28" t="n"/>
      <c r="Q5" s="28" t="n">
        <v>-0.069338</v>
      </c>
      <c r="R5" s="26" t="n">
        <v>0</v>
      </c>
      <c r="S5" s="29" t="n">
        <v>2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/>
      <c r="AA5" s="28" t="n"/>
      <c r="AB5" s="28" t="n"/>
      <c r="AC5" s="30" t="n">
        <v>-2</v>
      </c>
      <c r="AD5" s="24" t="inlineStr">
        <is>
          <t>2026-07-25T00:31:02.441199Z</t>
        </is>
      </c>
      <c r="AE5" s="31" t="inlineStr">
        <is>
          <t>BACKFILL 2026-07-24: Learned LR call at threshold 0.5750; executable ask 0.7100 (aec-mlb-col-mil-2026-07-24); reconstructed using the freshest pregame BBO snapshot for this game after the original run silently lost this pick to a same-day re-forecast bug.</t>
        </is>
      </c>
      <c r="AF5" s="31" t="inlineStr">
        <is>
          <t>Backfilled after original pick lost to _clear_today_open bug (fixed 2026-07-25); reconstructed from genuinely pregame data.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mlb-col</t>
        </is>
      </c>
      <c r="AQ5" s="24" t="inlineStr">
        <is>
          <t>Colorado Rockies</t>
        </is>
      </c>
      <c r="AR5" s="24" t="inlineStr">
        <is>
          <t>Colorado Rockies</t>
        </is>
      </c>
      <c r="AS5" s="24" t="inlineStr">
        <is>
          <t>mlb-mil</t>
        </is>
      </c>
      <c r="AT5" s="24" t="inlineStr">
        <is>
          <t>Milwaukee Brewers</t>
        </is>
      </c>
      <c r="AU5" s="24" t="inlineStr">
        <is>
          <t>Milwaukee Brewers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learned_lr</t>
        </is>
      </c>
      <c r="BC5" s="24" t="inlineStr">
        <is>
          <t>mlb-elo-trend-lr-v5</t>
        </is>
      </c>
      <c r="BD5" s="24" t="inlineStr">
        <is>
          <t>8a12d027cf1d2c206cb369c47da80e014f8ac4dfc414ffee96ae34656c46fef5</t>
        </is>
      </c>
      <c r="BE5" s="24" t="inlineStr">
        <is>
          <t>8709de87fe60f3fe</t>
        </is>
      </c>
      <c r="BF5" s="24" t="inlineStr">
        <is>
          <t>1</t>
        </is>
      </c>
      <c r="BG5" s="24" t="inlineStr">
        <is>
          <t>mlb-elo-trend-lr-v5</t>
        </is>
      </c>
      <c r="BH5" s="24" t="inlineStr">
        <is>
          <t>2026-07-24T18:12:54.726973Z</t>
        </is>
      </c>
      <c r="BI5" s="24" t="inlineStr">
        <is>
          <t>["same_event","same_team_same_day","same_league_same_day"]</t>
        </is>
      </c>
      <c r="BJ5" s="25" t="n"/>
      <c r="BK5" s="26" t="n">
        <v>-245</v>
      </c>
      <c r="BL5" s="27" t="n">
        <v>1.408163</v>
      </c>
      <c r="BM5" s="28" t="n">
        <v>0.710145</v>
      </c>
      <c r="BN5" s="28" t="n">
        <v>0.706468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797edb7f42a441ad</t>
        </is>
      </c>
      <c r="B6" s="24" t="inlineStr">
        <is>
          <t>2026-07-24T22:39:00Z</t>
        </is>
      </c>
      <c r="C6" s="24" t="inlineStr">
        <is>
          <t>2026-07-24T18:40:00-0400</t>
        </is>
      </c>
      <c r="D6" s="24" t="inlineStr">
        <is>
          <t>401816237</t>
        </is>
      </c>
      <c r="E6" s="24" t="inlineStr">
        <is>
          <t>MLB</t>
        </is>
      </c>
      <c r="F6" s="24" t="inlineStr">
        <is>
          <t>Chicago Cubs</t>
        </is>
      </c>
      <c r="G6" s="24" t="inlineStr">
        <is>
          <t>Pittsburgh Pirates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0.502911</v>
      </c>
      <c r="P6" s="28" t="n"/>
      <c r="Q6" s="28" t="n">
        <v>0.002911</v>
      </c>
      <c r="R6" s="26" t="n">
        <v>21</v>
      </c>
      <c r="S6" s="29" t="n">
        <v>0.5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</v>
      </c>
      <c r="Y6" s="25" t="n"/>
      <c r="Z6" s="26" t="n"/>
      <c r="AA6" s="28" t="n"/>
      <c r="AB6" s="28" t="n"/>
      <c r="AC6" s="30" t="n">
        <v>0.5</v>
      </c>
      <c r="AD6" s="24" t="inlineStr">
        <is>
          <t>2026-07-25T02:30:12.848248Z</t>
        </is>
      </c>
      <c r="AE6" s="31" t="inlineStr">
        <is>
          <t>BACKFILL 2026-07-24: Learned LR call at threshold 0.5750; executable ask 0.5000 (aec-mlb-chc-pit-2026-07-24); reconstructed using the freshest pregame BBO snapshot for this game after the original run silently lost this pick to a same-day re-forecast bug.</t>
        </is>
      </c>
      <c r="AF6" s="31" t="inlineStr">
        <is>
          <t>Backfilled after original pick lost to _clear_today_open bug (fixed 2026-07-25); reconstructed from genuinely pregame data.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mlb-chc</t>
        </is>
      </c>
      <c r="AQ6" s="24" t="inlineStr">
        <is>
          <t>Chicago Cubs</t>
        </is>
      </c>
      <c r="AR6" s="24" t="inlineStr">
        <is>
          <t>Chicago Cubs</t>
        </is>
      </c>
      <c r="AS6" s="24" t="inlineStr">
        <is>
          <t>mlb-pit</t>
        </is>
      </c>
      <c r="AT6" s="24" t="inlineStr">
        <is>
          <t>Pittsburgh Pirates</t>
        </is>
      </c>
      <c r="AU6" s="24" t="inlineStr">
        <is>
          <t>Pittsburgh Pirates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learned_lr</t>
        </is>
      </c>
      <c r="BC6" s="24" t="inlineStr">
        <is>
          <t>mlb-elo-trend-lr-v5</t>
        </is>
      </c>
      <c r="BD6" s="24" t="inlineStr">
        <is>
          <t>8a12d027cf1d2c206cb369c47da80e014f8ac4dfc414ffee96ae34656c46fef5</t>
        </is>
      </c>
      <c r="BE6" s="24" t="inlineStr">
        <is>
          <t>0db73bd38d3dddfd</t>
        </is>
      </c>
      <c r="BF6" s="24" t="inlineStr">
        <is>
          <t>1</t>
        </is>
      </c>
      <c r="BG6" s="24" t="inlineStr">
        <is>
          <t>mlb-elo-trend-lr-v5</t>
        </is>
      </c>
      <c r="BH6" s="24" t="inlineStr">
        <is>
          <t>2026-07-24T21:17:05.662526Z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>
        <v>0.497512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2fb2da0ab97a49a5</t>
        </is>
      </c>
      <c r="B7" s="24" t="inlineStr">
        <is>
          <t>2026-07-24T22:39:00Z</t>
        </is>
      </c>
      <c r="C7" s="24" t="inlineStr">
        <is>
          <t>2026-07-24T18:40:00-0400</t>
        </is>
      </c>
      <c r="D7" s="24" t="inlineStr">
        <is>
          <t>401816239</t>
        </is>
      </c>
      <c r="E7" s="24" t="inlineStr">
        <is>
          <t>MLB</t>
        </is>
      </c>
      <c r="F7" s="24" t="inlineStr">
        <is>
          <t>Kansas City Royals</t>
        </is>
      </c>
      <c r="G7" s="24" t="inlineStr">
        <is>
          <t>Detroit Tigers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-245</v>
      </c>
      <c r="M7" s="27" t="n">
        <v>1.408163</v>
      </c>
      <c r="N7" s="28" t="n">
        <v>0.710145</v>
      </c>
      <c r="O7" s="28" t="n">
        <v>0.514395</v>
      </c>
      <c r="P7" s="28" t="n"/>
      <c r="Q7" s="28" t="n">
        <v>-0.19575</v>
      </c>
      <c r="R7" s="26" t="n">
        <v>0</v>
      </c>
      <c r="S7" s="29" t="n">
        <v>0.75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/>
      <c r="AA7" s="28" t="n"/>
      <c r="AB7" s="28" t="n"/>
      <c r="AC7" s="30" t="n">
        <v>0.3061</v>
      </c>
      <c r="AD7" s="24" t="inlineStr">
        <is>
          <t>2026-07-25T02:30:13.526941Z</t>
        </is>
      </c>
      <c r="AE7" s="31" t="inlineStr">
        <is>
          <t>BACKFILL 2026-07-24: Learned LR call at threshold 0.5750; executable ask 0.7100 (aec-mlb-kc-det-2026-07-24); reconstructed using the freshest pregame BBO snapshot for this game after the original run silently lost this pick to a same-day re-forecast bug.</t>
        </is>
      </c>
      <c r="AF7" s="31" t="inlineStr">
        <is>
          <t>Backfilled after original pick lost to _clear_today_open bug (fixed 2026-07-25); reconstructed from genuinely pregame data.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mlb-kc</t>
        </is>
      </c>
      <c r="AQ7" s="24" t="inlineStr">
        <is>
          <t>Kansas City Royals</t>
        </is>
      </c>
      <c r="AR7" s="24" t="inlineStr">
        <is>
          <t>Kansas City Royals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learned_lr</t>
        </is>
      </c>
      <c r="BC7" s="24" t="inlineStr">
        <is>
          <t>mlb-elo-trend-lr-v5</t>
        </is>
      </c>
      <c r="BD7" s="24" t="inlineStr">
        <is>
          <t>8a12d027cf1d2c206cb369c47da80e014f8ac4dfc414ffee96ae34656c46fef5</t>
        </is>
      </c>
      <c r="BE7" s="24" t="inlineStr">
        <is>
          <t>c6682ff3aeb79a2a</t>
        </is>
      </c>
      <c r="BF7" s="24" t="inlineStr">
        <is>
          <t>1</t>
        </is>
      </c>
      <c r="BG7" s="24" t="inlineStr">
        <is>
          <t>mlb-elo-trend-lr-v5</t>
        </is>
      </c>
      <c r="BH7" s="24" t="inlineStr">
        <is>
          <t>2026-07-24T21:17:04.954417Z</t>
        </is>
      </c>
      <c r="BI7" s="24" t="inlineStr">
        <is>
          <t>["same_event","same_team_same_day","same_league_same_day"]</t>
        </is>
      </c>
      <c r="BJ7" s="25" t="n"/>
      <c r="BK7" s="26" t="n">
        <v>-245</v>
      </c>
      <c r="BL7" s="27" t="n">
        <v>1.408163</v>
      </c>
      <c r="BM7" s="28" t="n">
        <v>0.710145</v>
      </c>
      <c r="BN7" s="28" t="n">
        <v>0.706468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62bdaed12abd4579</t>
        </is>
      </c>
      <c r="B8" s="24" t="inlineStr">
        <is>
          <t>2026-07-24T22:44:00Z</t>
        </is>
      </c>
      <c r="C8" s="24" t="inlineStr">
        <is>
          <t>2026-07-24T18:45:00-0400</t>
        </is>
      </c>
      <c r="D8" s="24" t="inlineStr">
        <is>
          <t>401816235</t>
        </is>
      </c>
      <c r="E8" s="24" t="inlineStr">
        <is>
          <t>MLB</t>
        </is>
      </c>
      <c r="F8" s="24" t="inlineStr">
        <is>
          <t>Arizona Diamondbacks</t>
        </is>
      </c>
      <c r="G8" s="24" t="inlineStr">
        <is>
          <t>Washington Nationals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0.5273679999999999</v>
      </c>
      <c r="P8" s="28" t="n"/>
      <c r="Q8" s="28" t="n">
        <v>0.062252</v>
      </c>
      <c r="R8" s="26" t="n">
        <v>51</v>
      </c>
      <c r="S8" s="29" t="n">
        <v>0.75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</v>
      </c>
      <c r="Y8" s="25" t="n"/>
      <c r="Z8" s="26" t="n"/>
      <c r="AA8" s="28" t="n"/>
      <c r="AB8" s="28" t="n"/>
      <c r="AC8" s="30" t="n">
        <v>-0.75</v>
      </c>
      <c r="AD8" s="24" t="inlineStr">
        <is>
          <t>2026-07-25T02:30:14.193420Z</t>
        </is>
      </c>
      <c r="AE8" s="31" t="inlineStr">
        <is>
          <t>BACKFILL 2026-07-24: Learned LR call at threshold 0.5750; executable ask 0.4650 (aec-mlb-az-wsh-2026-07-24); reconstructed using the freshest pregame BBO snapshot for this game after the original run silently lost this pick to a same-day re-forecast bug.</t>
        </is>
      </c>
      <c r="AF8" s="31" t="inlineStr">
        <is>
          <t>Backfilled after original pick lost to _clear_today_open bug (fixed 2026-07-25); reconstructed from genuinely pregame data.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mlb-ari</t>
        </is>
      </c>
      <c r="AQ8" s="24" t="inlineStr">
        <is>
          <t>Arizona Diamondbacks</t>
        </is>
      </c>
      <c r="AR8" s="24" t="inlineStr">
        <is>
          <t>Arizona Diamondbacks</t>
        </is>
      </c>
      <c r="AS8" s="24" t="inlineStr">
        <is>
          <t>mlb-wsh</t>
        </is>
      </c>
      <c r="AT8" s="24" t="inlineStr">
        <is>
          <t>Washington Nationals</t>
        </is>
      </c>
      <c r="AU8" s="24" t="inlineStr">
        <is>
          <t>Washington Nationals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learned_lr</t>
        </is>
      </c>
      <c r="BC8" s="24" t="inlineStr">
        <is>
          <t>mlb-elo-trend-lr-v5</t>
        </is>
      </c>
      <c r="BD8" s="24" t="inlineStr">
        <is>
          <t>8a12d027cf1d2c206cb369c47da80e014f8ac4dfc414ffee96ae34656c46fef5</t>
        </is>
      </c>
      <c r="BE8" s="24" t="inlineStr">
        <is>
          <t>7b3e962d9e9d69df</t>
        </is>
      </c>
      <c r="BF8" s="24" t="inlineStr">
        <is>
          <t>1</t>
        </is>
      </c>
      <c r="BG8" s="24" t="inlineStr">
        <is>
          <t>mlb-elo-trend-lr-v5</t>
        </is>
      </c>
      <c r="BH8" s="24" t="inlineStr">
        <is>
          <t>2026-07-24T21:17:08.236153Z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fe3e7d8a27d24bdd</t>
        </is>
      </c>
      <c r="B9" s="24" t="inlineStr">
        <is>
          <t>2026-07-24T22:44:00Z</t>
        </is>
      </c>
      <c r="C9" s="24" t="inlineStr">
        <is>
          <t>2026-07-24T18:45:00-0400</t>
        </is>
      </c>
      <c r="D9" s="24" t="inlineStr">
        <is>
          <t>401816241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0.510304</v>
      </c>
      <c r="P9" s="28" t="n"/>
      <c r="Q9" s="28" t="n">
        <v>-0.049167</v>
      </c>
      <c r="R9" s="26" t="n">
        <v>0</v>
      </c>
      <c r="S9" s="29" t="n">
        <v>0.5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-0.5</v>
      </c>
      <c r="AD9" s="24" t="inlineStr">
        <is>
          <t>2026-07-25T02:30:14.894840Z</t>
        </is>
      </c>
      <c r="AE9" s="31" t="inlineStr">
        <is>
          <t>BACKFILL 2026-07-24: Learned LR call at threshold 0.5750; executable ask 0.5600 (aec-mlb-nyy-phi-2026-07-24); reconstructed using the freshest pregame BBO snapshot for this game after the original run silently lost this pick to a same-day re-forecast bug.</t>
        </is>
      </c>
      <c r="AF9" s="31" t="inlineStr">
        <is>
          <t>Backfilled after original pick lost to _clear_today_open bug (fixed 2026-07-25); reconstructed from genuinely pregame data.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mlb-phi</t>
        </is>
      </c>
      <c r="AT9" s="24" t="inlineStr">
        <is>
          <t>Philadelphia Phillies</t>
        </is>
      </c>
      <c r="AU9" s="24" t="inlineStr">
        <is>
          <t>Philadelphia Phillies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learned_lr</t>
        </is>
      </c>
      <c r="BC9" s="24" t="inlineStr">
        <is>
          <t>mlb-elo-trend-lr-v5</t>
        </is>
      </c>
      <c r="BD9" s="24" t="inlineStr">
        <is>
          <t>8a12d027cf1d2c206cb369c47da80e014f8ac4dfc414ffee96ae34656c46fef5</t>
        </is>
      </c>
      <c r="BE9" s="24" t="inlineStr">
        <is>
          <t>46b943bff41b36e6</t>
        </is>
      </c>
      <c r="BF9" s="24" t="inlineStr">
        <is>
          <t>1</t>
        </is>
      </c>
      <c r="BG9" s="24" t="inlineStr">
        <is>
          <t>mlb-elo-trend-lr-v5</t>
        </is>
      </c>
      <c r="BH9" s="24" t="inlineStr">
        <is>
          <t>2026-07-24T21:17:06.847662Z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>
        <v>0.557214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8e806809077145d8</t>
        </is>
      </c>
      <c r="B10" s="24" t="inlineStr">
        <is>
          <t>2026-07-24T23:04:00Z</t>
        </is>
      </c>
      <c r="C10" s="24" t="inlineStr">
        <is>
          <t>2026-07-24T19:05:00-0400</t>
        </is>
      </c>
      <c r="D10" s="24" t="inlineStr">
        <is>
          <t>401816236</t>
        </is>
      </c>
      <c r="E10" s="24" t="inlineStr">
        <is>
          <t>MLB</t>
        </is>
      </c>
      <c r="F10" s="24" t="inlineStr">
        <is>
          <t>Atlanta Braves</t>
        </is>
      </c>
      <c r="G10" s="24" t="inlineStr">
        <is>
          <t>Baltimore Orioles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-120</v>
      </c>
      <c r="M10" s="27" t="n">
        <v>1.833333</v>
      </c>
      <c r="N10" s="28" t="n">
        <v>0.545455</v>
      </c>
      <c r="O10" s="28" t="n">
        <v>0.506958</v>
      </c>
      <c r="P10" s="28" t="n"/>
      <c r="Q10" s="28" t="n">
        <v>-0.038497</v>
      </c>
      <c r="R10" s="26" t="n">
        <v>1</v>
      </c>
      <c r="S10" s="29" t="n">
        <v>0.5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6</v>
      </c>
      <c r="Y10" s="25" t="n"/>
      <c r="Z10" s="26" t="n"/>
      <c r="AA10" s="28" t="n"/>
      <c r="AB10" s="28" t="n"/>
      <c r="AC10" s="30" t="n">
        <v>-0.5</v>
      </c>
      <c r="AD10" s="24" t="inlineStr">
        <is>
          <t>2026-07-25T02:30:15.664226Z</t>
        </is>
      </c>
      <c r="AE10" s="31" t="inlineStr">
        <is>
          <t>BACKFILL 2026-07-24: Learned LR call at threshold 0.5750; executable ask 0.5450 (aec-mlb-atl-bal-2026-07-24); reconstructed using the freshest pregame BBO snapshot for this game after the original run silently lost this pick to a same-day re-forecast bug.</t>
        </is>
      </c>
      <c r="AF10" s="31" t="inlineStr">
        <is>
          <t>Backfilled after original pick lost to _clear_today_open bug (fixed 2026-07-25); reconstructed from genuinely pregame data.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mlb-atl</t>
        </is>
      </c>
      <c r="AQ10" s="24" t="inlineStr">
        <is>
          <t>Atlanta Braves</t>
        </is>
      </c>
      <c r="AR10" s="24" t="inlineStr">
        <is>
          <t>Atlanta Braves</t>
        </is>
      </c>
      <c r="AS10" s="24" t="inlineStr">
        <is>
          <t>mlb-bal</t>
        </is>
      </c>
      <c r="AT10" s="24" t="inlineStr">
        <is>
          <t>Baltimore Orioles</t>
        </is>
      </c>
      <c r="AU10" s="24" t="inlineStr">
        <is>
          <t>Baltimore Orioles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learned_lr</t>
        </is>
      </c>
      <c r="BC10" s="24" t="inlineStr">
        <is>
          <t>mlb-elo-trend-lr-v5</t>
        </is>
      </c>
      <c r="BD10" s="24" t="inlineStr">
        <is>
          <t>8a12d027cf1d2c206cb369c47da80e014f8ac4dfc414ffee96ae34656c46fef5</t>
        </is>
      </c>
      <c r="BE10" s="24" t="inlineStr">
        <is>
          <t>a5f9881fb87c075d</t>
        </is>
      </c>
      <c r="BF10" s="24" t="inlineStr">
        <is>
          <t>1</t>
        </is>
      </c>
      <c r="BG10" s="24" t="inlineStr">
        <is>
          <t>mlb-elo-trend-lr-v5</t>
        </is>
      </c>
      <c r="BH10" s="24" t="inlineStr">
        <is>
          <t>2026-07-24T21:17:09.220873Z</t>
        </is>
      </c>
      <c r="BI10" s="24" t="inlineStr">
        <is>
          <t>["same_event","same_team_same_day","same_league_same_day"]</t>
        </is>
      </c>
      <c r="BJ10" s="25" t="n"/>
      <c r="BK10" s="26" t="n">
        <v>-120</v>
      </c>
      <c r="BL10" s="27" t="n">
        <v>1.833333</v>
      </c>
      <c r="BM10" s="28" t="n">
        <v>0.545455</v>
      </c>
      <c r="BN10" s="28" t="n">
        <v>0.542289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867d0bce63d8492a</t>
        </is>
      </c>
      <c r="B11" s="24" t="inlineStr">
        <is>
          <t>2026-07-24T23:09:00Z</t>
        </is>
      </c>
      <c r="C11" s="24" t="inlineStr">
        <is>
          <t>2026-07-24T19:10:00-0400</t>
        </is>
      </c>
      <c r="D11" s="24" t="inlineStr">
        <is>
          <t>401816238</t>
        </is>
      </c>
      <c r="E11" s="24" t="inlineStr">
        <is>
          <t>MLB</t>
        </is>
      </c>
      <c r="F11" s="24" t="inlineStr">
        <is>
          <t>Cleveland Guardians</t>
        </is>
      </c>
      <c r="G11" s="24" t="inlineStr">
        <is>
          <t>Tampa Bay Rays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-125</v>
      </c>
      <c r="M11" s="27" t="n">
        <v>1.8</v>
      </c>
      <c r="N11" s="28" t="n">
        <v>0.555556</v>
      </c>
      <c r="O11" s="28" t="n">
        <v>0.54098</v>
      </c>
      <c r="P11" s="28" t="n"/>
      <c r="Q11" s="28" t="n">
        <v>-0.014576</v>
      </c>
      <c r="R11" s="26" t="n">
        <v>13</v>
      </c>
      <c r="S11" s="29" t="n">
        <v>1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11</v>
      </c>
      <c r="Y11" s="25" t="n"/>
      <c r="Z11" s="26" t="n"/>
      <c r="AA11" s="28" t="n"/>
      <c r="AB11" s="28" t="n"/>
      <c r="AC11" s="30" t="n">
        <v>0.8</v>
      </c>
      <c r="AD11" s="24" t="inlineStr">
        <is>
          <t>2026-07-25T02:30:16.385533Z</t>
        </is>
      </c>
      <c r="AE11" s="31" t="inlineStr">
        <is>
          <t>BACKFILL 2026-07-24: Learned LR call at threshold 0.5750; executable ask 0.5550 (aec-mlb-cle-tb-2026-07-24); reconstructed using the freshest pregame BBO snapshot for this game after the original run silently lost this pick to a same-day re-forecast bug.</t>
        </is>
      </c>
      <c r="AF11" s="31" t="inlineStr">
        <is>
          <t>Backfilled after original pick lost to _clear_today_open bug (fixed 2026-07-25); reconstructed from genuinely pregame data.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mlb-cle</t>
        </is>
      </c>
      <c r="AQ11" s="24" t="inlineStr">
        <is>
          <t>Cleveland Guardians</t>
        </is>
      </c>
      <c r="AR11" s="24" t="inlineStr">
        <is>
          <t>Cleveland Guardians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learned_lr</t>
        </is>
      </c>
      <c r="BC11" s="24" t="inlineStr">
        <is>
          <t>mlb-elo-trend-lr-v5</t>
        </is>
      </c>
      <c r="BD11" s="24" t="inlineStr">
        <is>
          <t>8a12d027cf1d2c206cb369c47da80e014f8ac4dfc414ffee96ae34656c46fef5</t>
        </is>
      </c>
      <c r="BE11" s="24" t="inlineStr">
        <is>
          <t>f67aa7bad2ac360f</t>
        </is>
      </c>
      <c r="BF11" s="24" t="inlineStr">
        <is>
          <t>1</t>
        </is>
      </c>
      <c r="BG11" s="24" t="inlineStr">
        <is>
          <t>mlb-elo-trend-lr-v5</t>
        </is>
      </c>
      <c r="BH11" s="24" t="inlineStr">
        <is>
          <t>2026-07-24T21:17:10.317059Z</t>
        </is>
      </c>
      <c r="BI11" s="24" t="inlineStr">
        <is>
          <t>["same_event","same_team_same_day","same_league_same_day"]</t>
        </is>
      </c>
      <c r="BJ11" s="25" t="n"/>
      <c r="BK11" s="26" t="n">
        <v>-125</v>
      </c>
      <c r="BL11" s="27" t="n">
        <v>1.8</v>
      </c>
      <c r="BM11" s="28" t="n">
        <v>0.555556</v>
      </c>
      <c r="BN11" s="28" t="n">
        <v>0.552239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ef95cb8f980f4060</t>
        </is>
      </c>
      <c r="B12" s="24" t="inlineStr">
        <is>
          <t>2026-07-24T23:09:00Z</t>
        </is>
      </c>
      <c r="C12" s="24" t="inlineStr">
        <is>
          <t>2026-07-24T19:10:00-0400</t>
        </is>
      </c>
      <c r="D12" s="24" t="inlineStr">
        <is>
          <t>401816240</t>
        </is>
      </c>
      <c r="E12" s="24" t="inlineStr">
        <is>
          <t>MLB</t>
        </is>
      </c>
      <c r="F12" s="24" t="inlineStr">
        <is>
          <t>Los Angeles Dodgers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0.559795</v>
      </c>
      <c r="P12" s="28" t="n"/>
      <c r="Q12" s="28" t="n">
        <v>0.01434</v>
      </c>
      <c r="R12" s="26" t="n">
        <v>27</v>
      </c>
      <c r="S12" s="29" t="n">
        <v>1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0.8333</v>
      </c>
      <c r="AD12" s="24" t="inlineStr">
        <is>
          <t>2026-07-25T02:30:17.028474Z</t>
        </is>
      </c>
      <c r="AE12" s="31" t="inlineStr">
        <is>
          <t>BACKFILL 2026-07-24: Learned LR call at threshold 0.5750; executable ask 0.5450 (aec-mlb-lad-nym-2026-07-24); reconstructed using the freshest pregame BBO snapshot for this game after the original run silently lost this pick to a same-day re-forecast bug.</t>
        </is>
      </c>
      <c r="AF12" s="31" t="inlineStr">
        <is>
          <t>Backfilled after original pick lost to _clear_today_open bug (fixed 2026-07-25); reconstructed from genuinely pregame data.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mlb-lad</t>
        </is>
      </c>
      <c r="AQ12" s="24" t="inlineStr">
        <is>
          <t>Los Angeles Dodgers</t>
        </is>
      </c>
      <c r="AR12" s="24" t="inlineStr">
        <is>
          <t>Los Angeles Dodgers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learned_lr</t>
        </is>
      </c>
      <c r="BC12" s="24" t="inlineStr">
        <is>
          <t>mlb-elo-trend-lr-v5</t>
        </is>
      </c>
      <c r="BD12" s="24" t="inlineStr">
        <is>
          <t>8a12d027cf1d2c206cb369c47da80e014f8ac4dfc414ffee96ae34656c46fef5</t>
        </is>
      </c>
      <c r="BE12" s="24" t="inlineStr">
        <is>
          <t>c9beddb401e3a3c8</t>
        </is>
      </c>
      <c r="BF12" s="24" t="inlineStr">
        <is>
          <t>1</t>
        </is>
      </c>
      <c r="BG12" s="24" t="inlineStr">
        <is>
          <t>mlb-elo-trend-lr-v5</t>
        </is>
      </c>
      <c r="BH12" s="24" t="inlineStr">
        <is>
          <t>2026-07-24T21:17:12.657758Z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81f45c800d6a4394</t>
        </is>
      </c>
      <c r="B13" s="24" t="inlineStr">
        <is>
          <t>2026-07-24T23:09:00Z</t>
        </is>
      </c>
      <c r="C13" s="24" t="inlineStr">
        <is>
          <t>2026-07-24T19:10:00-0400</t>
        </is>
      </c>
      <c r="D13" s="24" t="inlineStr">
        <is>
          <t>401816242</t>
        </is>
      </c>
      <c r="E13" s="24" t="inlineStr">
        <is>
          <t>MLB</t>
        </is>
      </c>
      <c r="F13" s="24" t="inlineStr">
        <is>
          <t>San Diego Padres</t>
        </is>
      </c>
      <c r="G13" s="24" t="inlineStr">
        <is>
          <t>Miami Marlins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-120</v>
      </c>
      <c r="M13" s="27" t="n">
        <v>1.833333</v>
      </c>
      <c r="N13" s="28" t="n">
        <v>0.545455</v>
      </c>
      <c r="O13" s="28" t="n">
        <v>0.587495</v>
      </c>
      <c r="P13" s="28" t="n"/>
      <c r="Q13" s="28" t="n">
        <v>0.04204</v>
      </c>
      <c r="R13" s="26" t="n">
        <v>41</v>
      </c>
      <c r="S13" s="29" t="n">
        <v>1.25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2026-07-25T02:30:17.679795Z</t>
        </is>
      </c>
      <c r="AE13" s="31" t="inlineStr">
        <is>
          <t>BACKFILL 2026-07-24: Learned LR call at threshold 0.5750; executable ask 0.5450 (aec-mlb-sd-mia-2026-07-24); reconstructed using the freshest pregame BBO snapshot for this game after the original run silently lost this pick to a same-day re-forecast bug.</t>
        </is>
      </c>
      <c r="AF13" s="31" t="inlineStr">
        <is>
          <t>Backfilled after original pick lost to _clear_today_open bug (fixed 2026-07-25); reconstructed from genuinely pregame data.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mlb-sd</t>
        </is>
      </c>
      <c r="AQ13" s="24" t="inlineStr">
        <is>
          <t>San Diego Padres</t>
        </is>
      </c>
      <c r="AR13" s="24" t="inlineStr">
        <is>
          <t>San Diego Padres</t>
        </is>
      </c>
      <c r="AS13" s="24" t="inlineStr">
        <is>
          <t>mlb-mia</t>
        </is>
      </c>
      <c r="AT13" s="24" t="inlineStr">
        <is>
          <t>Miami Marlins</t>
        </is>
      </c>
      <c r="AU13" s="24" t="inlineStr">
        <is>
          <t>Miami Marlins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learned_lr</t>
        </is>
      </c>
      <c r="BC13" s="24" t="inlineStr">
        <is>
          <t>mlb-elo-trend-lr-v5</t>
        </is>
      </c>
      <c r="BD13" s="24" t="inlineStr">
        <is>
          <t>8a12d027cf1d2c206cb369c47da80e014f8ac4dfc414ffee96ae34656c46fef5</t>
        </is>
      </c>
      <c r="BE13" s="24" t="inlineStr">
        <is>
          <t>164667b7e69f3da0</t>
        </is>
      </c>
      <c r="BF13" s="24" t="inlineStr">
        <is>
          <t>1</t>
        </is>
      </c>
      <c r="BG13" s="24" t="inlineStr">
        <is>
          <t>mlb-elo-trend-lr-v5</t>
        </is>
      </c>
      <c r="BH13" s="24" t="inlineStr">
        <is>
          <t>2026-07-24T21:17:11.478643Z</t>
        </is>
      </c>
      <c r="BI13" s="24" t="inlineStr">
        <is>
          <t>["same_event","same_team_same_day","same_league_same_day"]</t>
        </is>
      </c>
      <c r="BJ13" s="25" t="n"/>
      <c r="BK13" s="26" t="n">
        <v>-120</v>
      </c>
      <c r="BL13" s="27" t="n">
        <v>1.833333</v>
      </c>
      <c r="BM13" s="28" t="n">
        <v>0.545455</v>
      </c>
      <c r="BN13" s="28" t="n">
        <v>0.542289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aef09c18633a4ca6</t>
        </is>
      </c>
      <c r="B14" s="24" t="inlineStr">
        <is>
          <t>2026-07-24T23:14:00Z</t>
        </is>
      </c>
      <c r="C14" s="24" t="inlineStr">
        <is>
          <t>2026-07-24T19:15:00-0400</t>
        </is>
      </c>
      <c r="D14" s="24" t="inlineStr">
        <is>
          <t>401816243</t>
        </is>
      </c>
      <c r="E14" s="24" t="inlineStr">
        <is>
          <t>MLB</t>
        </is>
      </c>
      <c r="F14" s="24" t="inlineStr">
        <is>
          <t>Toronto Blue Jays</t>
        </is>
      </c>
      <c r="G14" s="24" t="inlineStr">
        <is>
          <t>Boston Red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0.526052</v>
      </c>
      <c r="P14" s="28" t="n"/>
      <c r="Q14" s="28" t="n">
        <v>-0.013119</v>
      </c>
      <c r="R14" s="26" t="n">
        <v>13</v>
      </c>
      <c r="S14" s="29" t="n">
        <v>0.75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6</v>
      </c>
      <c r="Y14" s="25" t="n"/>
      <c r="Z14" s="26" t="n"/>
      <c r="AA14" s="28" t="n"/>
      <c r="AB14" s="28" t="n"/>
      <c r="AC14" s="30" t="n">
        <v>0.641</v>
      </c>
      <c r="AD14" s="24" t="inlineStr">
        <is>
          <t>2026-07-25T03:59:37.289075Z</t>
        </is>
      </c>
      <c r="AE14" s="31" t="inlineStr">
        <is>
          <t>BACKFILL 2026-07-24: Learned LR call at threshold 0.5750; executable ask 0.5400 (aec-mlb-tor-bos-2026-07-24); reconstructed using the freshest pregame BBO snapshot for this game after the original run silently lost this pick to a same-day re-forecast bug.</t>
        </is>
      </c>
      <c r="AF14" s="31" t="inlineStr">
        <is>
          <t>Backfilled after original pick lost to _clear_today_open bug (fixed 2026-07-25); reconstructed from genuinely pregame data.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mlb-tor</t>
        </is>
      </c>
      <c r="AQ14" s="24" t="inlineStr">
        <is>
          <t>Toronto Blue Jays</t>
        </is>
      </c>
      <c r="AR14" s="24" t="inlineStr">
        <is>
          <t>Toronto Blue Jays</t>
        </is>
      </c>
      <c r="AS14" s="24" t="inlineStr">
        <is>
          <t>mlb-bos</t>
        </is>
      </c>
      <c r="AT14" s="24" t="inlineStr">
        <is>
          <t>Boston Red Sox</t>
        </is>
      </c>
      <c r="AU14" s="24" t="inlineStr">
        <is>
          <t>Boston Red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learned_lr</t>
        </is>
      </c>
      <c r="BC14" s="24" t="inlineStr">
        <is>
          <t>mlb-elo-trend-lr-v5</t>
        </is>
      </c>
      <c r="BD14" s="24" t="inlineStr">
        <is>
          <t>8a12d027cf1d2c206cb369c47da80e014f8ac4dfc414ffee96ae34656c46fef5</t>
        </is>
      </c>
      <c r="BE14" s="24" t="inlineStr">
        <is>
          <t>22fa7668b7708bf4</t>
        </is>
      </c>
      <c r="BF14" s="24" t="inlineStr">
        <is>
          <t>1</t>
        </is>
      </c>
      <c r="BG14" s="24" t="inlineStr">
        <is>
          <t>mlb-elo-trend-lr-v5</t>
        </is>
      </c>
      <c r="BH14" s="24" t="inlineStr">
        <is>
          <t>2026-07-24T21:17:13.845637Z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5ad194adcbfc486b</t>
        </is>
      </c>
      <c r="B15" s="24" t="inlineStr">
        <is>
          <t>2026-07-24T23:39:00Z</t>
        </is>
      </c>
      <c r="C15" s="24" t="inlineStr">
        <is>
          <t>2026-07-24T19:40:00-0400</t>
        </is>
      </c>
      <c r="D15" s="24" t="inlineStr">
        <is>
          <t>401816247</t>
        </is>
      </c>
      <c r="E15" s="24" t="inlineStr">
        <is>
          <t>MLB</t>
        </is>
      </c>
      <c r="F15" s="24" t="inlineStr">
        <is>
          <t>Houston Astros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-125</v>
      </c>
      <c r="M15" s="27" t="n">
        <v>1.8</v>
      </c>
      <c r="N15" s="28" t="n">
        <v>0.555556</v>
      </c>
      <c r="O15" s="28" t="n">
        <v>0.518176</v>
      </c>
      <c r="P15" s="28" t="n"/>
      <c r="Q15" s="28" t="n">
        <v>-0.03738</v>
      </c>
      <c r="R15" s="26" t="n">
        <v>1</v>
      </c>
      <c r="S15" s="29" t="n">
        <v>0.75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9</v>
      </c>
      <c r="X15" s="26" t="n">
        <v>5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2026-07-25T03:59:37.928484Z</t>
        </is>
      </c>
      <c r="AE15" s="31" t="inlineStr">
        <is>
          <t>BACKFILL 2026-07-24: Learned LR call at threshold 0.5750; executable ask 0.5550 (aec-mlb-hou-cws-2026-07-24); reconstructed using the freshest pregame BBO snapshot for this game after the original run silently lost this pick to a same-day re-forecast bug.</t>
        </is>
      </c>
      <c r="AF15" s="31" t="inlineStr">
        <is>
          <t>Backfilled after original pick lost to _clear_today_open bug (fixed 2026-07-25); reconstructed from genuinely pregame data.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mlb-hou</t>
        </is>
      </c>
      <c r="AQ15" s="24" t="inlineStr">
        <is>
          <t>Houston Astros</t>
        </is>
      </c>
      <c r="AR15" s="24" t="inlineStr">
        <is>
          <t>Houston Astros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learned_lr</t>
        </is>
      </c>
      <c r="BC15" s="24" t="inlineStr">
        <is>
          <t>mlb-elo-trend-lr-v5</t>
        </is>
      </c>
      <c r="BD15" s="24" t="inlineStr">
        <is>
          <t>8a12d027cf1d2c206cb369c47da80e014f8ac4dfc414ffee96ae34656c46fef5</t>
        </is>
      </c>
      <c r="BE15" s="24" t="inlineStr">
        <is>
          <t>c43993ddeb53c7fe</t>
        </is>
      </c>
      <c r="BF15" s="24" t="inlineStr">
        <is>
          <t>1</t>
        </is>
      </c>
      <c r="BG15" s="24" t="inlineStr">
        <is>
          <t>mlb-elo-trend-lr-v5</t>
        </is>
      </c>
      <c r="BH15" s="24" t="inlineStr">
        <is>
          <t>2026-07-24T21:17:14.907859Z</t>
        </is>
      </c>
      <c r="BI15" s="24" t="inlineStr">
        <is>
          <t>["same_event","same_team_same_day","same_league_same_day"]</t>
        </is>
      </c>
      <c r="BJ15" s="25" t="n"/>
      <c r="BK15" s="26" t="n">
        <v>-125</v>
      </c>
      <c r="BL15" s="27" t="n">
        <v>1.8</v>
      </c>
      <c r="BM15" s="28" t="n">
        <v>0.555556</v>
      </c>
      <c r="BN15" s="28" t="n">
        <v>0.552239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0eb85ee568904626</t>
        </is>
      </c>
      <c r="B16" s="24" t="inlineStr">
        <is>
          <t>2026-07-25T02:14:00Z</t>
        </is>
      </c>
      <c r="C16" s="24" t="inlineStr">
        <is>
          <t>2026-07-24T22:15:00-0400</t>
        </is>
      </c>
      <c r="D16" s="24" t="inlineStr">
        <is>
          <t>401816249</t>
        </is>
      </c>
      <c r="E16" s="24" t="inlineStr">
        <is>
          <t>MLB</t>
        </is>
      </c>
      <c r="F16" s="24" t="inlineStr">
        <is>
          <t>Los Angeles Angels</t>
        </is>
      </c>
      <c r="G16" s="24" t="inlineStr">
        <is>
          <t>San Francisco Giants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0.572973</v>
      </c>
      <c r="P16" s="28" t="n"/>
      <c r="Q16" s="28" t="n">
        <v>-0.022169</v>
      </c>
      <c r="R16" s="26" t="n">
        <v>9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6</v>
      </c>
      <c r="X16" s="26" t="n">
        <v>7</v>
      </c>
      <c r="Y16" s="25" t="n"/>
      <c r="Z16" s="26" t="n"/>
      <c r="AA16" s="28" t="n"/>
      <c r="AB16" s="28" t="n"/>
      <c r="AC16" s="30" t="n">
        <v>0.8502999999999999</v>
      </c>
      <c r="AD16" s="24" t="inlineStr">
        <is>
          <t>2026-07-25T15:25:20.955748Z</t>
        </is>
      </c>
      <c r="AE16" s="31" t="inlineStr">
        <is>
          <t>BACKFILL 2026-07-24: Learned LR call at threshold 0.5750; executable ask 0.5950 (aec-mlb-laa-sf-2026-07-24); reconstructed after a same-day re-forecast run (predating the _clear_today_open fix) cleared this pick and never recreated it.</t>
        </is>
      </c>
      <c r="AF16" s="31" t="inlineStr">
        <is>
          <t>Backfilled after original pick lost to _clear_today_open bug (fixed 2026-07-25); reconstructed from genuinely pregame data.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mlb-laa</t>
        </is>
      </c>
      <c r="AQ16" s="24" t="inlineStr">
        <is>
          <t>Los Angeles Angels</t>
        </is>
      </c>
      <c r="AR16" s="24" t="inlineStr">
        <is>
          <t>Los Angeles Angels</t>
        </is>
      </c>
      <c r="AS16" s="24" t="inlineStr">
        <is>
          <t>mlb-sf</t>
        </is>
      </c>
      <c r="AT16" s="24" t="inlineStr">
        <is>
          <t>San Francisco Giants</t>
        </is>
      </c>
      <c r="AU16" s="24" t="inlineStr">
        <is>
          <t>San Francisco Giants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learned_lr</t>
        </is>
      </c>
      <c r="BC16" s="24" t="inlineStr">
        <is>
          <t>mlb-elo-trend-lr-v5</t>
        </is>
      </c>
      <c r="BD16" s="24" t="inlineStr">
        <is>
          <t>8a12d027cf1d2c206cb369c47da80e014f8ac4dfc414ffee96ae34656c46fef5</t>
        </is>
      </c>
      <c r="BE16" s="24" t="inlineStr">
        <is>
          <t>9072ba031ec06338</t>
        </is>
      </c>
      <c r="BF16" s="24" t="inlineStr">
        <is>
          <t>1</t>
        </is>
      </c>
      <c r="BG16" s="24" t="inlineStr">
        <is>
          <t>mlb-elo-trend-lr-v5</t>
        </is>
      </c>
      <c r="BH16" s="24" t="inlineStr">
        <is>
          <t>2026-07-25T00:28:44.645802Z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fad53380a628400a</t>
        </is>
      </c>
      <c r="B17" s="24" t="inlineStr">
        <is>
          <t>2026-07-25T16:13:14.594087Z</t>
        </is>
      </c>
      <c r="C17" s="24" t="inlineStr">
        <is>
          <t>2026-07-25T13:10:00-0400</t>
        </is>
      </c>
      <c r="D17" s="24" t="inlineStr">
        <is>
          <t>401816254</t>
        </is>
      </c>
      <c r="E17" s="24" t="inlineStr">
        <is>
          <t>MLB</t>
        </is>
      </c>
      <c r="F17" s="24" t="inlineStr">
        <is>
          <t>Kansas City Royals</t>
        </is>
      </c>
      <c r="G17" s="24" t="inlineStr">
        <is>
          <t>Detroit Tigers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-153</v>
      </c>
      <c r="M17" s="27" t="n">
        <v>1.653595</v>
      </c>
      <c r="N17" s="28" t="n">
        <v>0.604743</v>
      </c>
      <c r="O17" s="28" t="n">
        <v>0.591131</v>
      </c>
      <c r="P17" s="28" t="n"/>
      <c r="Q17" s="28" t="n">
        <v>-0.013612</v>
      </c>
      <c r="R17" s="26" t="n">
        <v>13</v>
      </c>
      <c r="S17" s="29" t="n">
        <v>1.5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2</v>
      </c>
      <c r="Y17" s="25" t="n"/>
      <c r="Z17" s="26" t="n"/>
      <c r="AA17" s="28" t="n"/>
      <c r="AB17" s="28" t="n"/>
      <c r="AC17" s="30" t="n">
        <v>-1.5</v>
      </c>
      <c r="AD17" s="24" t="inlineStr">
        <is>
          <t>2026-07-25T19:53:37.410703Z</t>
        </is>
      </c>
      <c r="AE17" s="31" t="inlineStr">
        <is>
          <t>Learned LR call at threshold 0.5690; executable ask 0.6050 (aec-mlb-kc-det-2026-07-25).</t>
        </is>
      </c>
      <c r="AF17" s="31" t="inlineStr">
        <is>
          <t>Learned model; promotion gate not yet open; zero-unit research until review.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mlb-kc</t>
        </is>
      </c>
      <c r="AQ17" s="24" t="inlineStr">
        <is>
          <t>Kansas City Royals</t>
        </is>
      </c>
      <c r="AR17" s="24" t="inlineStr">
        <is>
          <t>Kansas City Royals</t>
        </is>
      </c>
      <c r="AS17" s="24" t="inlineStr">
        <is>
          <t>mlb-det</t>
        </is>
      </c>
      <c r="AT17" s="24" t="inlineStr">
        <is>
          <t>Detroit Tigers</t>
        </is>
      </c>
      <c r="AU17" s="24" t="inlineStr">
        <is>
          <t>Detroit Tigers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10a412e78306d1f4d1a66590dd7cd2087ed53520bfa3bb925889a6371153732f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10a412e78306d1f4d1a66590dd7cd2087ed53520bfa3bb925889a6371153732f</t>
        </is>
      </c>
      <c r="BE17" s="24" t="inlineStr">
        <is>
          <t>d6d80db4c0064f65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2026-07-25T16:12:03.063110Z</t>
        </is>
      </c>
      <c r="BI17" s="24" t="inlineStr">
        <is>
          <t>["same_event","same_team_same_day","same_league_same_day"]</t>
        </is>
      </c>
      <c r="BJ17" s="25" t="n"/>
      <c r="BK17" s="26" t="n">
        <v>-153</v>
      </c>
      <c r="BL17" s="27" t="n">
        <v>1.653595</v>
      </c>
      <c r="BM17" s="28" t="n">
        <v>0.604743</v>
      </c>
      <c r="BN17" s="28" t="n">
        <v>0.60199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0.6075687895</t>
        </is>
      </c>
      <c r="CD17" s="24" t="inlineStr">
        <is>
          <t>0.526674</t>
        </is>
      </c>
      <c r="CE17" s="24" t="inlineStr">
        <is>
          <t>0.98</t>
        </is>
      </c>
      <c r="CF17" s="24" t="n"/>
      <c r="CG17" s="24" t="n"/>
      <c r="CH17" s="24" t="inlineStr">
        <is>
          <t>-0.87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d059b44efb704551</t>
        </is>
      </c>
      <c r="B18" s="24" t="inlineStr">
        <is>
          <t>2026-07-25T19:56:13.028676Z</t>
        </is>
      </c>
      <c r="C18" s="24" t="inlineStr">
        <is>
          <t>2026-07-25T16:05:00-0400</t>
        </is>
      </c>
      <c r="D18" s="24" t="inlineStr">
        <is>
          <t>401816250</t>
        </is>
      </c>
      <c r="E18" s="24" t="inlineStr">
        <is>
          <t>MLB</t>
        </is>
      </c>
      <c r="F18" s="24" t="inlineStr">
        <is>
          <t>Arizona Diamondbacks</t>
        </is>
      </c>
      <c r="G18" s="24" t="inlineStr">
        <is>
          <t>Washington Nationals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0.706759</v>
      </c>
      <c r="P18" s="28" t="n"/>
      <c r="Q18" s="28" t="n">
        <v>0.147288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5</v>
      </c>
      <c r="Y18" s="25" t="n"/>
      <c r="Z18" s="26" t="n"/>
      <c r="AA18" s="28" t="n"/>
      <c r="AB18" s="28" t="n"/>
      <c r="AC18" s="30" t="n">
        <v>1.5748</v>
      </c>
      <c r="AD18" s="24" t="inlineStr">
        <is>
          <t>2026-07-25T22:49:18.317906Z</t>
        </is>
      </c>
      <c r="AE18" s="31" t="inlineStr">
        <is>
          <t>Learned LR call at threshold 0.5690; executable ask 0.5600 (aec-mlb-az-wsh-2026-07-25).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mlb-ari</t>
        </is>
      </c>
      <c r="AQ18" s="24" t="inlineStr">
        <is>
          <t>Arizona Diamondbacks</t>
        </is>
      </c>
      <c r="AR18" s="24" t="inlineStr">
        <is>
          <t>Arizona Diamondbacks</t>
        </is>
      </c>
      <c r="AS18" s="24" t="inlineStr">
        <is>
          <t>mlb-wsh</t>
        </is>
      </c>
      <c r="AT18" s="24" t="inlineStr">
        <is>
          <t>Washington Nationals</t>
        </is>
      </c>
      <c r="AU18" s="24" t="inlineStr">
        <is>
          <t>Washington Nationals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10a412e78306d1f4d1a66590dd7cd2087ed53520bfa3bb925889a6371153732f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10a412e78306d1f4d1a66590dd7cd2087ed53520bfa3bb925889a6371153732f</t>
        </is>
      </c>
      <c r="BE18" s="24" t="inlineStr">
        <is>
          <t>2fef0aa37610add0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2026-07-25T19:54:15.806472Z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>
        <v>0.557214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0.4832709168</t>
        </is>
      </c>
      <c r="CD18" s="24" t="inlineStr">
        <is>
          <t>-1.557247</t>
        </is>
      </c>
      <c r="CE18" s="24" t="inlineStr">
        <is>
          <t>1.0</t>
        </is>
      </c>
      <c r="CF18" s="24" t="n"/>
      <c r="CG18" s="24" t="n"/>
      <c r="CH18" s="24" t="inlineStr">
        <is>
          <t>-2.38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16bb720c3a8d423b</t>
        </is>
      </c>
      <c r="B19" s="24" t="inlineStr">
        <is>
          <t>2026-07-25T19:56:13.028676Z</t>
        </is>
      </c>
      <c r="C19" s="24" t="inlineStr">
        <is>
          <t>2026-07-25T16:05:00-0400</t>
        </is>
      </c>
      <c r="D19" s="24" t="inlineStr">
        <is>
          <t>401816264</t>
        </is>
      </c>
      <c r="E19" s="24" t="inlineStr">
        <is>
          <t>MLB</t>
        </is>
      </c>
      <c r="F19" s="24" t="inlineStr">
        <is>
          <t>Los Angeles Angels</t>
        </is>
      </c>
      <c r="G19" s="24" t="inlineStr">
        <is>
          <t>San Francisco Giants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-120</v>
      </c>
      <c r="M19" s="27" t="n">
        <v>1.833333</v>
      </c>
      <c r="N19" s="28" t="n">
        <v>0.545455</v>
      </c>
      <c r="O19" s="28" t="n">
        <v>0.707445</v>
      </c>
      <c r="P19" s="28" t="n"/>
      <c r="Q19" s="28" t="n">
        <v>0.16199</v>
      </c>
      <c r="R19" s="26" t="n">
        <v>100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9</v>
      </c>
      <c r="Y19" s="25" t="n"/>
      <c r="Z19" s="26" t="n"/>
      <c r="AA19" s="28" t="n"/>
      <c r="AB19" s="28" t="n"/>
      <c r="AC19" s="30" t="n">
        <v>1.6667</v>
      </c>
      <c r="AD19" s="24" t="inlineStr">
        <is>
          <t>2026-07-25T22:49:18.692896Z</t>
        </is>
      </c>
      <c r="AE19" s="31" t="inlineStr">
        <is>
          <t>Learned LR call at threshold 0.5690; executable ask 0.5450 (aec-mlb-laa-sf-2026-07-25).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mlb-laa</t>
        </is>
      </c>
      <c r="AQ19" s="24" t="inlineStr">
        <is>
          <t>Los Angeles Angels</t>
        </is>
      </c>
      <c r="AR19" s="24" t="inlineStr">
        <is>
          <t>Los Angeles Angels</t>
        </is>
      </c>
      <c r="AS19" s="24" t="inlineStr">
        <is>
          <t>mlb-sf</t>
        </is>
      </c>
      <c r="AT19" s="24" t="inlineStr">
        <is>
          <t>San Francisco Giants</t>
        </is>
      </c>
      <c r="AU19" s="24" t="inlineStr">
        <is>
          <t>San Francisco Giants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10a412e78306d1f4d1a66590dd7cd2087ed53520bfa3bb925889a6371153732f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10a412e78306d1f4d1a66590dd7cd2087ed53520bfa3bb925889a6371153732f</t>
        </is>
      </c>
      <c r="BE19" s="24" t="inlineStr">
        <is>
          <t>8863cc8ce5b40a1d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2026-07-25T19:54:17.248754Z</t>
        </is>
      </c>
      <c r="BI19" s="24" t="inlineStr">
        <is>
          <t>["same_event","same_team_same_day","same_league_same_day"]</t>
        </is>
      </c>
      <c r="BJ19" s="25" t="n"/>
      <c r="BK19" s="26" t="n">
        <v>-120</v>
      </c>
      <c r="BL19" s="27" t="n">
        <v>1.833333</v>
      </c>
      <c r="BM19" s="28" t="n">
        <v>0.545455</v>
      </c>
      <c r="BN19" s="28" t="n">
        <v>0.542289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0.5910200645</t>
        </is>
      </c>
      <c r="CD19" s="24" t="inlineStr">
        <is>
          <t>1.053308</t>
        </is>
      </c>
      <c r="CE19" s="24" t="inlineStr">
        <is>
          <t>0.96</t>
        </is>
      </c>
      <c r="CF19" s="24" t="n"/>
      <c r="CG19" s="24" t="n"/>
      <c r="CH19" s="24" t="inlineStr">
        <is>
          <t>-2.77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ef03a7424b8f44fb</t>
        </is>
      </c>
      <c r="B20" s="24" t="inlineStr">
        <is>
          <t>2026-07-25T19:56:13.028676Z</t>
        </is>
      </c>
      <c r="C20" s="24" t="inlineStr">
        <is>
          <t>2026-07-25T16:10:00-0400</t>
        </is>
      </c>
      <c r="D20" s="24" t="inlineStr">
        <is>
          <t>401816257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Miami Marlins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0.6451710000000001</v>
      </c>
      <c r="P20" s="28" t="n"/>
      <c r="Q20" s="28" t="n">
        <v>0.07435600000000001</v>
      </c>
      <c r="R20" s="26" t="n">
        <v>57</v>
      </c>
      <c r="S20" s="29" t="n">
        <v>2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2</v>
      </c>
      <c r="Y20" s="25" t="n"/>
      <c r="Z20" s="26" t="n"/>
      <c r="AA20" s="28" t="n"/>
      <c r="AB20" s="28" t="n"/>
      <c r="AC20" s="30" t="n">
        <v>-2</v>
      </c>
      <c r="AD20" s="24" t="inlineStr">
        <is>
          <t>2026-07-26T00:01:55.929982Z</t>
        </is>
      </c>
      <c r="AE20" s="31" t="inlineStr">
        <is>
          <t>Learned LR call at threshold 0.5690; executable ask 0.5700 (aec-mlb-sd-mia-2026-07-25).</t>
        </is>
      </c>
      <c r="AF20" s="31" t="inlineStr">
        <is>
          <t>Learned model; promotion gate not yet open; zero-unit research until review.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mlb-mia</t>
        </is>
      </c>
      <c r="AT20" s="24" t="inlineStr">
        <is>
          <t>Miami Marlins</t>
        </is>
      </c>
      <c r="AU20" s="24" t="inlineStr">
        <is>
          <t>Miami Marlins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10a412e78306d1f4d1a66590dd7cd2087ed53520bfa3bb925889a6371153732f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10a412e78306d1f4d1a66590dd7cd2087ed53520bfa3bb925889a6371153732f</t>
        </is>
      </c>
      <c r="BE20" s="24" t="inlineStr">
        <is>
          <t>bd6850e29eada6af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2026-07-25T19:54:18.355539Z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>
        <v>0.567164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0.5121449899</t>
        </is>
      </c>
      <c r="CD20" s="24" t="inlineStr">
        <is>
          <t>-2.399361</t>
        </is>
      </c>
      <c r="CE20" s="24" t="inlineStr">
        <is>
          <t>0.99</t>
        </is>
      </c>
      <c r="CF20" s="24" t="n"/>
      <c r="CG20" s="24" t="n"/>
      <c r="CH20" s="24" t="inlineStr">
        <is>
          <t>-1.19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8231c5ae11ed415d</t>
        </is>
      </c>
      <c r="B21" s="24" t="inlineStr">
        <is>
          <t>2026-07-25T19:56:13.028676Z</t>
        </is>
      </c>
      <c r="C21" s="24" t="inlineStr">
        <is>
          <t>2026-07-25T16:10:00-0400</t>
        </is>
      </c>
      <c r="D21" s="24" t="inlineStr">
        <is>
          <t>401816258</t>
        </is>
      </c>
      <c r="E21" s="24" t="inlineStr">
        <is>
          <t>MLB</t>
        </is>
      </c>
      <c r="F21" s="24" t="inlineStr">
        <is>
          <t>Toronto Blue Jays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0.527004</v>
      </c>
      <c r="P21" s="28" t="n"/>
      <c r="Q21" s="28" t="n">
        <v>0.0172</v>
      </c>
      <c r="R21" s="26" t="n">
        <v>59</v>
      </c>
      <c r="S21" s="29" t="n">
        <v>0.75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0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2026-07-25T22:49:19.072311Z</t>
        </is>
      </c>
      <c r="AE21" s="31" t="inlineStr">
        <is>
          <t>Learned LR call at threshold 0.5690; executable ask 0.5100 (aec-mlb-tor-bos-2026-07-25).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mlb-tor</t>
        </is>
      </c>
      <c r="AQ21" s="24" t="inlineStr">
        <is>
          <t>Toronto Blue Jays</t>
        </is>
      </c>
      <c r="AR21" s="24" t="inlineStr">
        <is>
          <t>Toronto Blue Jays</t>
        </is>
      </c>
      <c r="AS21" s="24" t="inlineStr">
        <is>
          <t>mlb-bos</t>
        </is>
      </c>
      <c r="AT21" s="24" t="inlineStr">
        <is>
          <t>Boston Red Sox</t>
        </is>
      </c>
      <c r="AU21" s="24" t="inlineStr">
        <is>
          <t>Boston Red Sox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c8001da872f8ea6d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2026-07-25T19:54:19.350997Z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>
        <v>0.507463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0.6098870035</t>
        </is>
      </c>
      <c r="CD21" s="24" t="inlineStr">
        <is>
          <t>1.431426</t>
        </is>
      </c>
      <c r="CE21" s="24" t="inlineStr">
        <is>
          <t>1.04</t>
        </is>
      </c>
      <c r="CF21" s="24" t="n"/>
      <c r="CG21" s="24" t="n"/>
      <c r="CH21" s="24" t="inlineStr">
        <is>
          <t>-0.19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cf69e63e9e83445a</t>
        </is>
      </c>
      <c r="B22" s="24" t="inlineStr">
        <is>
          <t>2026-07-25T19:56:13.028676Z</t>
        </is>
      </c>
      <c r="C22" s="24" t="inlineStr">
        <is>
          <t>2026-07-25T18:05:00-0400</t>
        </is>
      </c>
      <c r="D22" s="24" t="inlineStr">
        <is>
          <t>401816256</t>
        </is>
      </c>
      <c r="E22" s="24" t="inlineStr">
        <is>
          <t>MLB</t>
        </is>
      </c>
      <c r="F22" s="24" t="inlineStr">
        <is>
          <t>New York Yankees</t>
        </is>
      </c>
      <c r="G22" s="24" t="inlineStr">
        <is>
          <t>Philadelphia Phillies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0.546941</v>
      </c>
      <c r="P22" s="28" t="n"/>
      <c r="Q22" s="28" t="n">
        <v>0.077457</v>
      </c>
      <c r="R22" s="26" t="n">
        <v>89</v>
      </c>
      <c r="S22" s="29" t="n">
        <v>1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2026-07-26T03:33:59.751925Z</t>
        </is>
      </c>
      <c r="AE22" s="31" t="inlineStr">
        <is>
          <t>Learned LR call at threshold 0.5690; executable ask 0.4700 (aec-mlb-nyy-phi-2026-07-25).</t>
        </is>
      </c>
      <c r="AF22" s="31" t="inlineStr">
        <is>
          <t>Learned model; promotion gate not yet open; zero-unit research until review.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NO_CALL_EXPOSURE_LIMIT</t>
        </is>
      </c>
      <c r="AP22" s="24" t="inlineStr">
        <is>
          <t>mlb-nyy</t>
        </is>
      </c>
      <c r="AQ22" s="24" t="inlineStr">
        <is>
          <t>New York Yankees</t>
        </is>
      </c>
      <c r="AR22" s="24" t="inlineStr">
        <is>
          <t>New York Yankees</t>
        </is>
      </c>
      <c r="AS22" s="24" t="inlineStr">
        <is>
          <t>mlb-phi</t>
        </is>
      </c>
      <c r="AT22" s="24" t="inlineStr">
        <is>
          <t>Philadelphia Phillies</t>
        </is>
      </c>
      <c r="AU22" s="24" t="inlineStr">
        <is>
          <t>Philadelphia Phillies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10a412e78306d1f4d1a66590dd7cd2087ed53520bfa3bb925889a6371153732f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10a412e78306d1f4d1a66590dd7cd2087ed53520bfa3bb925889a6371153732f</t>
        </is>
      </c>
      <c r="BE22" s="24" t="inlineStr">
        <is>
          <t>aacee633ac56e853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2026-07-25T19:54:20.637652Z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>
        <v>0.467662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0.5250194834</t>
        </is>
      </c>
      <c r="CD22" s="24" t="inlineStr">
        <is>
          <t>0.764165</t>
        </is>
      </c>
      <c r="CE22" s="24" t="inlineStr">
        <is>
          <t>1.01</t>
        </is>
      </c>
      <c r="CF22" s="24" t="n"/>
      <c r="CG22" s="24" t="n"/>
      <c r="CH22" s="24" t="inlineStr">
        <is>
          <t>-0.4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ad9253f83d14463b</t>
        </is>
      </c>
      <c r="B23" s="24" t="inlineStr">
        <is>
          <t>2026-07-25T19:56:13.028676Z</t>
        </is>
      </c>
      <c r="C23" s="24" t="inlineStr">
        <is>
          <t>2026-07-25T18:10:00-0400</t>
        </is>
      </c>
      <c r="D23" s="24" t="inlineStr">
        <is>
          <t>401816253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Tampa Bay Rays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0.6146470000000001</v>
      </c>
      <c r="P23" s="28" t="n"/>
      <c r="Q23" s="28" t="n">
        <v>0.08858099999999999</v>
      </c>
      <c r="R23" s="26" t="n">
        <v>64</v>
      </c>
      <c r="S23" s="29" t="n">
        <v>1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3</v>
      </c>
      <c r="Y23" s="25" t="n"/>
      <c r="Z23" s="26" t="n"/>
      <c r="AA23" s="28" t="n"/>
      <c r="AB23" s="28" t="n"/>
      <c r="AC23" s="30" t="n">
        <v>0.9009</v>
      </c>
      <c r="AD23" s="24" t="inlineStr">
        <is>
          <t>2026-07-26T03:34:00.458025Z</t>
        </is>
      </c>
      <c r="AE23" s="31" t="inlineStr">
        <is>
          <t>Learned LR call at threshold 0.5690; executable ask 0.5250 (aec-mlb-cle-tb-2026-07-25).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mlb-tb</t>
        </is>
      </c>
      <c r="AT23" s="24" t="inlineStr">
        <is>
          <t>Tampa Bay Rays</t>
        </is>
      </c>
      <c r="AU23" s="24" t="inlineStr">
        <is>
          <t>Tampa Bay Rays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10a412e78306d1f4d1a66590dd7cd2087ed53520bfa3bb925889a6371153732f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10a412e78306d1f4d1a66590dd7cd2087ed53520bfa3bb925889a6371153732f</t>
        </is>
      </c>
      <c r="BE23" s="24" t="inlineStr">
        <is>
          <t>9498bb787406ec04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2026-07-25T19:54:21.566967Z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0.5498194022</t>
        </is>
      </c>
      <c r="CD23" s="24" t="inlineStr">
        <is>
          <t>0.593127</t>
        </is>
      </c>
      <c r="CE23" s="24" t="inlineStr">
        <is>
          <t>0.96</t>
        </is>
      </c>
      <c r="CF23" s="24" t="n"/>
      <c r="CG23" s="24" t="n"/>
      <c r="CH23" s="24" t="inlineStr">
        <is>
          <t>-1.27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65eb59569aa14072</t>
        </is>
      </c>
      <c r="B24" s="24" t="inlineStr">
        <is>
          <t>2026-07-25T22:24:10.611095Z</t>
        </is>
      </c>
      <c r="C24" s="24" t="inlineStr">
        <is>
          <t>2026-07-25T18:40:00-0400</t>
        </is>
      </c>
      <c r="D24" s="24" t="inlineStr">
        <is>
          <t>401816252</t>
        </is>
      </c>
      <c r="E24" s="24" t="inlineStr">
        <is>
          <t>MLB</t>
        </is>
      </c>
      <c r="F24" s="24" t="inlineStr">
        <is>
          <t>Chicago Cubs</t>
        </is>
      </c>
      <c r="G24" s="24" t="inlineStr">
        <is>
          <t>Pittsburgh Pirates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0.566176</v>
      </c>
      <c r="P24" s="28" t="n"/>
      <c r="Q24" s="28" t="n">
        <v>0.031292</v>
      </c>
      <c r="R24" s="26" t="n">
        <v>66</v>
      </c>
      <c r="S24" s="29" t="n">
        <v>1.25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loss</t>
        </is>
      </c>
      <c r="W24" s="26" t="n">
        <v>11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2026-07-26T03:34:00.705249Z</t>
        </is>
      </c>
      <c r="AE24" s="31" t="inlineStr">
        <is>
          <t>Learned LR call at threshold 0.5690; executable ask 0.5350 (aec-mlb-chc-pit-2026-07-25).</t>
        </is>
      </c>
      <c r="AF24" s="31" t="inlineStr">
        <is>
          <t>Learned model; promotion gate not yet open; zero-unit research until review.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mlb-chc</t>
        </is>
      </c>
      <c r="AQ24" s="24" t="inlineStr">
        <is>
          <t>Chicago Cubs</t>
        </is>
      </c>
      <c r="AR24" s="24" t="inlineStr">
        <is>
          <t>Chicago Cubs</t>
        </is>
      </c>
      <c r="AS24" s="24" t="inlineStr">
        <is>
          <t>mlb-pit</t>
        </is>
      </c>
      <c r="AT24" s="24" t="inlineStr">
        <is>
          <t>Pittsburgh Pirates</t>
        </is>
      </c>
      <c r="AU24" s="24" t="inlineStr">
        <is>
          <t>Pittsburgh Pirates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10a412e78306d1f4d1a66590dd7cd2087ed53520bfa3bb925889a6371153732f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10a412e78306d1f4d1a66590dd7cd2087ed53520bfa3bb925889a6371153732f</t>
        </is>
      </c>
      <c r="BE24" s="24" t="inlineStr">
        <is>
          <t>61cc053297e5f6df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2026-07-25T22:22:20.691487Z</t>
        </is>
      </c>
      <c r="BI24" s="24" t="inlineStr">
        <is>
          <t>["same_event","same_team_same_day","same_league_same_day"]</t>
        </is>
      </c>
      <c r="BJ24" s="25" t="n"/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0.4912443015</t>
        </is>
      </c>
      <c r="CD24" s="24" t="inlineStr">
        <is>
          <t>-0.326562</t>
        </is>
      </c>
      <c r="CE24" s="24" t="inlineStr">
        <is>
          <t>1.0</t>
        </is>
      </c>
      <c r="CF24" s="24" t="n"/>
      <c r="CG24" s="24" t="n"/>
      <c r="CH24" s="24" t="inlineStr">
        <is>
          <t>-0.48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6d11e0e020804f6b</t>
        </is>
      </c>
      <c r="B25" s="24" t="inlineStr">
        <is>
          <t>2026-07-25T23:04:33.291918Z</t>
        </is>
      </c>
      <c r="C25" s="24" t="inlineStr">
        <is>
          <t>2026-07-25T19:05:00-0400</t>
        </is>
      </c>
      <c r="D25" s="24" t="inlineStr">
        <is>
          <t>401816251</t>
        </is>
      </c>
      <c r="E25" s="24" t="inlineStr">
        <is>
          <t>MLB</t>
        </is>
      </c>
      <c r="F25" s="24" t="inlineStr">
        <is>
          <t>Atlanta Braves</t>
        </is>
      </c>
      <c r="G25" s="24" t="inlineStr">
        <is>
          <t>Baltimore Orioles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-104</v>
      </c>
      <c r="M25" s="27" t="n">
        <v>1.961538</v>
      </c>
      <c r="N25" s="28" t="n">
        <v>0.509804</v>
      </c>
      <c r="O25" s="28" t="n">
        <v>0.598249</v>
      </c>
      <c r="P25" s="28" t="n"/>
      <c r="Q25" s="28" t="n">
        <v>0.088445</v>
      </c>
      <c r="R25" s="26" t="n">
        <v>94</v>
      </c>
      <c r="S25" s="29" t="n">
        <v>1.5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3</v>
      </c>
      <c r="Y25" s="25" t="n"/>
      <c r="Z25" s="26" t="n"/>
      <c r="AA25" s="28" t="n"/>
      <c r="AB25" s="28" t="n"/>
      <c r="AC25" s="30" t="n">
        <v>1.4423</v>
      </c>
      <c r="AD25" s="24" t="inlineStr">
        <is>
          <t>2026-07-26T03:34:00.923757Z</t>
        </is>
      </c>
      <c r="AE25" s="31" t="inlineStr">
        <is>
          <t>Learned LR call at threshold 0.5690; executable ask 0.5100 (aec-mlb-atl-bal-2026-07-25).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NO_CALL_EXPOSURE_LIMIT</t>
        </is>
      </c>
      <c r="AP25" s="24" t="inlineStr">
        <is>
          <t>mlb-atl</t>
        </is>
      </c>
      <c r="AQ25" s="24" t="inlineStr">
        <is>
          <t>Atlanta Braves</t>
        </is>
      </c>
      <c r="AR25" s="24" t="inlineStr">
        <is>
          <t>Atlanta Braves</t>
        </is>
      </c>
      <c r="AS25" s="24" t="inlineStr">
        <is>
          <t>mlb-bal</t>
        </is>
      </c>
      <c r="AT25" s="24" t="inlineStr">
        <is>
          <t>Baltimore Orioles</t>
        </is>
      </c>
      <c r="AU25" s="24" t="inlineStr">
        <is>
          <t>Baltimore Orioles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10a412e78306d1f4d1a66590dd7cd2087ed53520bfa3bb925889a6371153732f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10a412e78306d1f4d1a66590dd7cd2087ed53520bfa3bb925889a6371153732f</t>
        </is>
      </c>
      <c r="BE25" s="24" t="inlineStr">
        <is>
          <t>b0f8897af59f8218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2026-07-25T22:50:07.934208Z</t>
        </is>
      </c>
      <c r="BI25" s="24" t="inlineStr">
        <is>
          <t>["same_event","same_team_same_day","same_league_same_day"]</t>
        </is>
      </c>
      <c r="BJ25" s="25" t="n"/>
      <c r="BK25" s="26" t="n">
        <v>-104</v>
      </c>
      <c r="BL25" s="27" t="n">
        <v>1.961538</v>
      </c>
      <c r="BM25" s="28" t="n">
        <v>0.509804</v>
      </c>
      <c r="BN25" s="28" t="n">
        <v>0.507463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0.4805983803</t>
        </is>
      </c>
      <c r="CD25" s="24" t="inlineStr">
        <is>
          <t>-1.06997</t>
        </is>
      </c>
      <c r="CE25" s="24" t="inlineStr">
        <is>
          <t>1.01</t>
        </is>
      </c>
      <c r="CF25" s="24" t="n"/>
      <c r="CG25" s="24" t="n"/>
      <c r="CH25" s="24" t="inlineStr">
        <is>
          <t>-0.81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08df937fcc024415</t>
        </is>
      </c>
      <c r="B26" s="24" t="inlineStr">
        <is>
          <t>2026-07-25T23:04:33.291918Z</t>
        </is>
      </c>
      <c r="C26" s="24" t="inlineStr">
        <is>
          <t>2026-07-25T19:10:00-0400</t>
        </is>
      </c>
      <c r="D26" s="24" t="inlineStr">
        <is>
          <t>401816259</t>
        </is>
      </c>
      <c r="E26" s="24" t="inlineStr">
        <is>
          <t>MLB</t>
        </is>
      </c>
      <c r="F26" s="24" t="inlineStr">
        <is>
          <t>Athletics</t>
        </is>
      </c>
      <c r="G26" s="24" t="inlineStr">
        <is>
          <t>Minnesota Twins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-141</v>
      </c>
      <c r="M26" s="27" t="n">
        <v>1.70922</v>
      </c>
      <c r="N26" s="28" t="n">
        <v>0.585062</v>
      </c>
      <c r="O26" s="28" t="n">
        <v>0.655327</v>
      </c>
      <c r="P26" s="28" t="n"/>
      <c r="Q26" s="28" t="n">
        <v>0.07026499999999999</v>
      </c>
      <c r="R26" s="26" t="n">
        <v>85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2</v>
      </c>
      <c r="Y26" s="25" t="n"/>
      <c r="Z26" s="26" t="n"/>
      <c r="AA26" s="28" t="n"/>
      <c r="AB26" s="28" t="n"/>
      <c r="AC26" s="30" t="n">
        <v>1.4184</v>
      </c>
      <c r="AD26" s="24" t="inlineStr">
        <is>
          <t>2026-07-26T03:34:01.261896Z</t>
        </is>
      </c>
      <c r="AE26" s="31" t="inlineStr">
        <is>
          <t>Learned LR call at threshold 0.5690; executable ask 0.5850 (aec-mlb-ath-min-2026-07-25).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NO_CALL_EXPOSURE_LIMIT</t>
        </is>
      </c>
      <c r="AP26" s="24" t="inlineStr">
        <is>
          <t>mlb-ath</t>
        </is>
      </c>
      <c r="AQ26" s="24" t="inlineStr">
        <is>
          <t>Athletics</t>
        </is>
      </c>
      <c r="AR26" s="24" t="inlineStr">
        <is>
          <t>Athletics</t>
        </is>
      </c>
      <c r="AS26" s="24" t="inlineStr">
        <is>
          <t>mlb-min</t>
        </is>
      </c>
      <c r="AT26" s="24" t="inlineStr">
        <is>
          <t>Minnesota Twins</t>
        </is>
      </c>
      <c r="AU26" s="24" t="inlineStr">
        <is>
          <t>Minnesota Twins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10a412e78306d1f4d1a66590dd7cd2087ed53520bfa3bb925889a6371153732f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10a412e78306d1f4d1a66590dd7cd2087ed53520bfa3bb925889a6371153732f</t>
        </is>
      </c>
      <c r="BE26" s="24" t="inlineStr">
        <is>
          <t>8074196c2383cd19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2026-07-25T22:50:11.999483Z</t>
        </is>
      </c>
      <c r="BI26" s="24" t="inlineStr">
        <is>
          <t>["same_event","same_team_same_day","same_league_same_day"]</t>
        </is>
      </c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0.574450019</t>
        </is>
      </c>
      <c r="CD26" s="24" t="inlineStr">
        <is>
          <t>-0.051147</t>
        </is>
      </c>
      <c r="CE26" s="24" t="inlineStr">
        <is>
          <t>1.0</t>
        </is>
      </c>
      <c r="CF26" s="24" t="n"/>
      <c r="CG26" s="24" t="n"/>
      <c r="CH26" s="24" t="inlineStr">
        <is>
          <t>-1.76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92a4d8cfa3144cb3</t>
        </is>
      </c>
      <c r="B27" s="24" t="inlineStr">
        <is>
          <t>2026-07-25T23:04:33.291918Z</t>
        </is>
      </c>
      <c r="C27" s="24" t="inlineStr">
        <is>
          <t>2026-07-25T19:10:00-0400</t>
        </is>
      </c>
      <c r="D27" s="24" t="inlineStr">
        <is>
          <t>401816261</t>
        </is>
      </c>
      <c r="E27" s="24" t="inlineStr">
        <is>
          <t>MLB</t>
        </is>
      </c>
      <c r="F27" s="24" t="inlineStr">
        <is>
          <t>Colorado Rockies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-213</v>
      </c>
      <c r="M27" s="27" t="n">
        <v>1.469484</v>
      </c>
      <c r="N27" s="28" t="n">
        <v>0.680511</v>
      </c>
      <c r="O27" s="28" t="n">
        <v>0.585776</v>
      </c>
      <c r="P27" s="28" t="n"/>
      <c r="Q27" s="28" t="n">
        <v>-0.094735</v>
      </c>
      <c r="R27" s="26" t="n">
        <v>3</v>
      </c>
      <c r="S27" s="29" t="n">
        <v>1.25</v>
      </c>
      <c r="T27" s="24" t="inlineStr">
        <is>
          <t>mlb-elo-trend-lr-v6</t>
        </is>
      </c>
      <c r="U27" s="24" t="inlineStr">
        <is>
          <t>settled</t>
        </is>
      </c>
      <c r="V27" s="24" t="inlineStr">
        <is>
          <t>win</t>
        </is>
      </c>
      <c r="W27" s="26" t="n">
        <v>5</v>
      </c>
      <c r="X27" s="26" t="n">
        <v>8</v>
      </c>
      <c r="Y27" s="25" t="n"/>
      <c r="Z27" s="26" t="n"/>
      <c r="AA27" s="28" t="n"/>
      <c r="AB27" s="28" t="n"/>
      <c r="AC27" s="30" t="n">
        <v>0.5869</v>
      </c>
      <c r="AD27" s="24" t="inlineStr">
        <is>
          <t>2026-07-26T03:34:01.696770Z</t>
        </is>
      </c>
      <c r="AE27" s="31" t="inlineStr">
        <is>
          <t>Learned LR call at threshold 0.5690; executable ask 0.6800 (aec-mlb-col-mil-2026-07-25).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mlb-col</t>
        </is>
      </c>
      <c r="AQ27" s="24" t="inlineStr">
        <is>
          <t>Colorado Rockies</t>
        </is>
      </c>
      <c r="AR27" s="24" t="inlineStr">
        <is>
          <t>Colorado Rockies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10a412e78306d1f4d1a66590dd7cd2087ed53520bfa3bb925889a6371153732f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10a412e78306d1f4d1a66590dd7cd2087ed53520bfa3bb925889a6371153732f</t>
        </is>
      </c>
      <c r="BE27" s="24" t="inlineStr">
        <is>
          <t>74c7ff2840abe7fb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2026-07-25T22:50:10.667797Z</t>
        </is>
      </c>
      <c r="BI27" s="24" t="inlineStr">
        <is>
          <t>["same_event","same_team_same_day","same_league_same_day"]</t>
        </is>
      </c>
      <c r="BJ27" s="25" t="n"/>
      <c r="BK27" s="26" t="n">
        <v>-213</v>
      </c>
      <c r="BL27" s="27" t="n">
        <v>1.469484</v>
      </c>
      <c r="BM27" s="28" t="n">
        <v>0.680511</v>
      </c>
      <c r="BN27" s="28" t="n">
        <v>0.676617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0.7661240932</t>
        </is>
      </c>
      <c r="CD27" s="24" t="inlineStr">
        <is>
          <t>0.243505</t>
        </is>
      </c>
      <c r="CE27" s="24" t="inlineStr">
        <is>
          <t>0.98</t>
        </is>
      </c>
      <c r="CF27" s="24" t="n"/>
      <c r="CG27" s="24" t="n"/>
      <c r="CH27" s="24" t="inlineStr">
        <is>
          <t>-0.57</t>
        </is>
      </c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edf90ab6182d4c90</t>
        </is>
      </c>
      <c r="B28" s="24" t="inlineStr">
        <is>
          <t>2026-07-25T23:04:33.291918Z</t>
        </is>
      </c>
      <c r="C28" s="24" t="inlineStr">
        <is>
          <t>2026-07-25T19:10:00-0400</t>
        </is>
      </c>
      <c r="D28" s="24" t="inlineStr">
        <is>
          <t>401816262</t>
        </is>
      </c>
      <c r="E28" s="24" t="inlineStr">
        <is>
          <t>MLB</t>
        </is>
      </c>
      <c r="F28" s="24" t="inlineStr">
        <is>
          <t>Houston Astros</t>
        </is>
      </c>
      <c r="G28" s="24" t="inlineStr">
        <is>
          <t>Chicago White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0.597365</v>
      </c>
      <c r="P28" s="28" t="n"/>
      <c r="Q28" s="28" t="n">
        <v>0.058194</v>
      </c>
      <c r="R28" s="26" t="n">
        <v>79</v>
      </c>
      <c r="S28" s="29" t="n">
        <v>1.5</v>
      </c>
      <c r="T28" s="24" t="inlineStr">
        <is>
          <t>mlb-elo-trend-lr-v6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/>
      <c r="Z28" s="26" t="n"/>
      <c r="AA28" s="28" t="n"/>
      <c r="AB28" s="28" t="n"/>
      <c r="AC28" s="30" t="n">
        <v>-1.5</v>
      </c>
      <c r="AD28" s="24" t="inlineStr">
        <is>
          <t>2026-07-26T03:34:02.045311Z</t>
        </is>
      </c>
      <c r="AE28" s="31" t="inlineStr">
        <is>
          <t>Learned LR call at threshold 0.5690; executable ask 0.5400 (aec-mlb-hou-cws-2026-07-25).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mlb-hou</t>
        </is>
      </c>
      <c r="AQ28" s="24" t="inlineStr">
        <is>
          <t>Houston Astros</t>
        </is>
      </c>
      <c r="AR28" s="24" t="inlineStr">
        <is>
          <t>Houston Astros</t>
        </is>
      </c>
      <c r="AS28" s="24" t="inlineStr">
        <is>
          <t>mlb-cws</t>
        </is>
      </c>
      <c r="AT28" s="24" t="inlineStr">
        <is>
          <t>Chicago White Sox</t>
        </is>
      </c>
      <c r="AU28" s="24" t="inlineStr">
        <is>
          <t>Chicago White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10a412e78306d1f4d1a66590dd7cd2087ed53520bfa3bb925889a6371153732f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10a412e78306d1f4d1a66590dd7cd2087ed53520bfa3bb925889a6371153732f</t>
        </is>
      </c>
      <c r="BE28" s="24" t="inlineStr">
        <is>
          <t>99426d9e271ba40f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2026-07-25T22:50:09.206081Z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0.5495737644</t>
        </is>
      </c>
      <c r="CD28" s="24" t="inlineStr">
        <is>
          <t>-0.365446</t>
        </is>
      </c>
      <c r="CE28" s="24" t="inlineStr">
        <is>
          <t>0.99</t>
        </is>
      </c>
      <c r="CF28" s="24" t="n"/>
      <c r="CG28" s="24" t="n"/>
      <c r="CH28" s="24" t="inlineStr">
        <is>
          <t>-0.85</t>
        </is>
      </c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e3c5c9772f274232</t>
        </is>
      </c>
      <c r="B29" s="24" t="inlineStr">
        <is>
          <t>2026-07-25T23:04:33.291918Z</t>
        </is>
      </c>
      <c r="C29" s="24" t="inlineStr">
        <is>
          <t>2026-07-25T19:15:00-0400</t>
        </is>
      </c>
      <c r="D29" s="24" t="inlineStr">
        <is>
          <t>401816255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Mets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0.506008</v>
      </c>
      <c r="P29" s="28" t="n"/>
      <c r="Q29" s="28" t="n">
        <v>-0.089134</v>
      </c>
      <c r="R29" s="26" t="n">
        <v>5</v>
      </c>
      <c r="S29" s="29" t="n">
        <v>0.5</v>
      </c>
      <c r="T29" s="24" t="inlineStr">
        <is>
          <t>mlb-elo-trend-lr-v6</t>
        </is>
      </c>
      <c r="U29" s="24" t="inlineStr">
        <is>
          <t>settled</t>
        </is>
      </c>
      <c r="V29" s="24" t="inlineStr">
        <is>
          <t>win</t>
        </is>
      </c>
      <c r="W29" s="26" t="n">
        <v>4</v>
      </c>
      <c r="X29" s="26" t="n">
        <v>3</v>
      </c>
      <c r="Y29" s="25" t="n"/>
      <c r="Z29" s="26" t="n"/>
      <c r="AA29" s="28" t="n"/>
      <c r="AB29" s="28" t="n"/>
      <c r="AC29" s="30" t="n">
        <v>0.3401</v>
      </c>
      <c r="AD29" s="24" t="inlineStr">
        <is>
          <t>2026-07-26T03:34:02.258716Z</t>
        </is>
      </c>
      <c r="AE29" s="31" t="inlineStr">
        <is>
          <t>Learned LR call at threshold 0.5690; executable ask 0.5950 (aec-mlb-lad-nym-2026-07-25).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mlb-nym</t>
        </is>
      </c>
      <c r="AT29" s="24" t="inlineStr">
        <is>
          <t>New York Mets</t>
        </is>
      </c>
      <c r="AU29" s="24" t="inlineStr">
        <is>
          <t>New York Mets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10a412e78306d1f4d1a66590dd7cd2087ed53520bfa3bb925889a6371153732f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10a412e78306d1f4d1a66590dd7cd2087ed53520bfa3bb925889a6371153732f</t>
        </is>
      </c>
      <c r="BE29" s="24" t="inlineStr">
        <is>
          <t>35d98c7876b819da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2026-07-25T22:50:15.766168Z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0.3742927358</t>
        </is>
      </c>
      <c r="CD29" s="24" t="inlineStr">
        <is>
          <t>-0.95341</t>
        </is>
      </c>
      <c r="CE29" s="24" t="inlineStr">
        <is>
          <t>0.97</t>
        </is>
      </c>
      <c r="CF29" s="24" t="n"/>
      <c r="CG29" s="24" t="n"/>
      <c r="CH29" s="24" t="inlineStr">
        <is>
          <t>0.56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3e5637d55c1947f7</t>
        </is>
      </c>
      <c r="B30" s="24" t="inlineStr">
        <is>
          <t>2026-07-25T23:04:33.291918Z</t>
        </is>
      </c>
      <c r="C30" s="24" t="inlineStr">
        <is>
          <t>2026-07-25T19:15:00-0400</t>
        </is>
      </c>
      <c r="D30" s="24" t="inlineStr">
        <is>
          <t>401816260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St. Louis Cardinals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0.685245</v>
      </c>
      <c r="P30" s="28" t="n"/>
      <c r="Q30" s="28" t="n">
        <v>0.185245</v>
      </c>
      <c r="R30" s="26" t="n">
        <v>100</v>
      </c>
      <c r="S30" s="29" t="n">
        <v>2</v>
      </c>
      <c r="T30" s="24" t="inlineStr">
        <is>
          <t>mlb-elo-trend-lr-v6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7</v>
      </c>
      <c r="Y30" s="25" t="n"/>
      <c r="Z30" s="26" t="n"/>
      <c r="AA30" s="28" t="n"/>
      <c r="AB30" s="28" t="n"/>
      <c r="AC30" s="30" t="n">
        <v>2</v>
      </c>
      <c r="AD30" s="24" t="inlineStr">
        <is>
          <t>2026-07-26T03:34:02.468282Z</t>
        </is>
      </c>
      <c r="AE30" s="31" t="inlineStr">
        <is>
          <t>Learned LR call at threshold 0.5690; executable ask 0.5000 (aec-mlb-cin-stl-2026-07-25).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mlb-stl</t>
        </is>
      </c>
      <c r="AT30" s="24" t="inlineStr">
        <is>
          <t>St. Louis Cardinals</t>
        </is>
      </c>
      <c r="AU30" s="24" t="inlineStr">
        <is>
          <t>St. Louis Cardinals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10a412e78306d1f4d1a66590dd7cd2087ed53520bfa3bb925889a6371153732f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10a412e78306d1f4d1a66590dd7cd2087ed53520bfa3bb925889a6371153732f</t>
        </is>
      </c>
      <c r="BE30" s="24" t="inlineStr">
        <is>
          <t>0fad44f254db7d02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2026-07-25T22:50:14.595978Z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>
        <v>0.497512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0.5554985391</t>
        </is>
      </c>
      <c r="CD30" s="24" t="inlineStr">
        <is>
          <t>-1.066813</t>
        </is>
      </c>
      <c r="CE30" s="24" t="inlineStr">
        <is>
          <t>0.99</t>
        </is>
      </c>
      <c r="CF30" s="24" t="n"/>
      <c r="CG30" s="24" t="n"/>
      <c r="CH30" s="24" t="inlineStr">
        <is>
          <t>-2.04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ca3330d623614926</t>
        </is>
      </c>
      <c r="B31" s="24" t="inlineStr">
        <is>
          <t>2026-07-25T23:04:33.291918Z</t>
        </is>
      </c>
      <c r="C31" s="24" t="inlineStr">
        <is>
          <t>2026-07-25T19:15:00-0400</t>
        </is>
      </c>
      <c r="D31" s="24" t="inlineStr">
        <is>
          <t>401816263</t>
        </is>
      </c>
      <c r="E31" s="24" t="inlineStr">
        <is>
          <t>MLB</t>
        </is>
      </c>
      <c r="F31" s="24" t="inlineStr">
        <is>
          <t>Seattle Mariners</t>
        </is>
      </c>
      <c r="G31" s="24" t="inlineStr">
        <is>
          <t>Texas Rangers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102</v>
      </c>
      <c r="M31" s="27" t="n">
        <v>2.02</v>
      </c>
      <c r="N31" s="28" t="n">
        <v>0.49505</v>
      </c>
      <c r="O31" s="28" t="n">
        <v>0.528938</v>
      </c>
      <c r="P31" s="28" t="n"/>
      <c r="Q31" s="28" t="n">
        <v>0.033888</v>
      </c>
      <c r="R31" s="26" t="n">
        <v>67</v>
      </c>
      <c r="S31" s="29" t="n">
        <v>0.75</v>
      </c>
      <c r="T31" s="24" t="inlineStr">
        <is>
          <t>mlb-elo-trend-lr-v6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7</v>
      </c>
      <c r="Y31" s="25" t="n"/>
      <c r="Z31" s="26" t="n"/>
      <c r="AA31" s="28" t="n"/>
      <c r="AB31" s="28" t="n"/>
      <c r="AC31" s="30" t="n">
        <v>0.765</v>
      </c>
      <c r="AD31" s="24" t="inlineStr">
        <is>
          <t>2026-07-26T03:34:02.680076Z</t>
        </is>
      </c>
      <c r="AE31" s="31" t="inlineStr">
        <is>
          <t>Learned LR call at threshold 0.5690; executable ask 0.4950 (aec-mlb-sea-tex-2026-07-25).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mlb-sea</t>
        </is>
      </c>
      <c r="AQ31" s="24" t="inlineStr">
        <is>
          <t>Seattle Mariners</t>
        </is>
      </c>
      <c r="AR31" s="24" t="inlineStr">
        <is>
          <t>Seattle Mariners</t>
        </is>
      </c>
      <c r="AS31" s="24" t="inlineStr">
        <is>
          <t>mlb-tex</t>
        </is>
      </c>
      <c r="AT31" s="24" t="inlineStr">
        <is>
          <t>Texas Rangers</t>
        </is>
      </c>
      <c r="AU31" s="24" t="inlineStr">
        <is>
          <t>Texas Rangers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10a412e78306d1f4d1a66590dd7cd2087ed53520bfa3bb925889a6371153732f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10a412e78306d1f4d1a66590dd7cd2087ed53520bfa3bb925889a6371153732f</t>
        </is>
      </c>
      <c r="BE31" s="24" t="inlineStr">
        <is>
          <t>130172df1163a059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2026-07-25T22:50:13.568802Z</t>
        </is>
      </c>
      <c r="BI31" s="24" t="inlineStr">
        <is>
          <t>["same_event","same_team_same_day","same_league_same_day"]</t>
        </is>
      </c>
      <c r="BJ31" s="25" t="n"/>
      <c r="BK31" s="26" t="n">
        <v>102</v>
      </c>
      <c r="BL31" s="27" t="n">
        <v>2.02</v>
      </c>
      <c r="BM31" s="28" t="n">
        <v>0.49505</v>
      </c>
      <c r="BN31" s="28" t="n">
        <v>0.492537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0.492334675</t>
        </is>
      </c>
      <c r="CD31" s="24" t="inlineStr">
        <is>
          <t>-0.43076</t>
        </is>
      </c>
      <c r="CE31" s="24" t="inlineStr">
        <is>
          <t>1.02</t>
        </is>
      </c>
      <c r="CF31" s="24" t="n"/>
      <c r="CG31" s="24" t="n"/>
      <c r="CH31" s="24" t="inlineStr">
        <is>
          <t>0.05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6e22a33af453400a</t>
        </is>
      </c>
      <c r="B32" s="24" t="inlineStr">
        <is>
          <t>2026-07-26T12:48:45.878703Z</t>
        </is>
      </c>
      <c r="C32" s="24" t="inlineStr">
        <is>
          <t>2026-07-26T12:15:00-0400</t>
        </is>
      </c>
      <c r="D32" s="24" t="inlineStr">
        <is>
          <t>401816268</t>
        </is>
      </c>
      <c r="E32" s="24" t="inlineStr">
        <is>
          <t>MLB</t>
        </is>
      </c>
      <c r="F32" s="24" t="inlineStr">
        <is>
          <t>Cleveland Guardians</t>
        </is>
      </c>
      <c r="G32" s="24" t="inlineStr">
        <is>
          <t>Tampa Bay Rays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125</v>
      </c>
      <c r="M32" s="27" t="n">
        <v>2.25</v>
      </c>
      <c r="N32" s="28" t="n">
        <v>0.444444</v>
      </c>
      <c r="O32" s="28" t="n">
        <v>0.517361</v>
      </c>
      <c r="P32" s="28" t="n"/>
      <c r="Q32" s="28" t="n">
        <v>0.072917</v>
      </c>
      <c r="R32" s="26" t="n">
        <v>57</v>
      </c>
      <c r="S32" s="29" t="n">
        <v>0.75</v>
      </c>
      <c r="T32" s="24" t="inlineStr">
        <is>
          <t>mlb-elo-trend-lr-v6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-0.75</v>
      </c>
      <c r="AD32" s="24" t="inlineStr">
        <is>
          <t>2026-07-26T18:25:19.272822Z</t>
        </is>
      </c>
      <c r="AE32" s="31" t="inlineStr">
        <is>
          <t>Learned LR call at threshold 0.5690; executable ask 0.4450 (aec-mlb-cle-tb-2026-07-26).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mlb-cle</t>
        </is>
      </c>
      <c r="AQ32" s="24" t="inlineStr">
        <is>
          <t>Cleveland Guardians</t>
        </is>
      </c>
      <c r="AR32" s="24" t="inlineStr">
        <is>
          <t>Cleveland Guardians</t>
        </is>
      </c>
      <c r="AS32" s="24" t="inlineStr">
        <is>
          <t>mlb-tb</t>
        </is>
      </c>
      <c r="AT32" s="24" t="inlineStr">
        <is>
          <t>Tampa Bay Rays</t>
        </is>
      </c>
      <c r="AU32" s="24" t="inlineStr">
        <is>
          <t>Tampa Bay Rays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10a412e78306d1f4d1a66590dd7cd2087ed53520bfa3bb925889a6371153732f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10a412e78306d1f4d1a66590dd7cd2087ed53520bfa3bb925889a6371153732f</t>
        </is>
      </c>
      <c r="BE32" s="24" t="inlineStr">
        <is>
          <t>c5ef23c568ffe4c5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2026-07-26T12:45:21.769042Z</t>
        </is>
      </c>
      <c r="BI32" s="24" t="inlineStr">
        <is>
          <t>["same_event","same_team_same_day","same_league_same_day"]</t>
        </is>
      </c>
      <c r="BJ32" s="25" t="n"/>
      <c r="BK32" s="26" t="n">
        <v>125</v>
      </c>
      <c r="BL32" s="27" t="n">
        <v>2.25</v>
      </c>
      <c r="BM32" s="28" t="n">
        <v>0.444444</v>
      </c>
      <c r="BN32" s="28" t="n">
        <v>0.442786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0.5498194022</t>
        </is>
      </c>
      <c r="CD32" s="24" t="inlineStr">
        <is>
          <t>0.593127</t>
        </is>
      </c>
      <c r="CE32" s="24" t="inlineStr">
        <is>
          <t>0.96</t>
        </is>
      </c>
      <c r="CF32" s="24" t="n"/>
      <c r="CG32" s="24" t="n"/>
      <c r="CH32" s="24" t="inlineStr">
        <is>
          <t>0.6</t>
        </is>
      </c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09a1ceefea134e39</t>
        </is>
      </c>
      <c r="B33" s="24" t="inlineStr">
        <is>
          <t>2026-07-26T12:48:45.878703Z</t>
        </is>
      </c>
      <c r="C33" s="24" t="inlineStr">
        <is>
          <t>2026-07-26T13:35:00-0400</t>
        </is>
      </c>
      <c r="D33" s="24" t="inlineStr">
        <is>
          <t>401816265</t>
        </is>
      </c>
      <c r="E33" s="24" t="inlineStr">
        <is>
          <t>MLB</t>
        </is>
      </c>
      <c r="F33" s="24" t="inlineStr">
        <is>
          <t>Arizona Diamondbacks</t>
        </is>
      </c>
      <c r="G33" s="24" t="inlineStr">
        <is>
          <t>Washington Nationals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-111</v>
      </c>
      <c r="M33" s="27" t="n">
        <v>1.900901</v>
      </c>
      <c r="N33" s="28" t="n">
        <v>0.526066</v>
      </c>
      <c r="O33" s="28" t="n">
        <v>0.709483</v>
      </c>
      <c r="P33" s="28" t="n"/>
      <c r="Q33" s="28" t="n">
        <v>0.183417</v>
      </c>
      <c r="R33" s="26" t="n">
        <v>100</v>
      </c>
      <c r="S33" s="29" t="n">
        <v>2</v>
      </c>
      <c r="T33" s="24" t="inlineStr">
        <is>
          <t>mlb-elo-trend-lr-v6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0.5690; executable ask 0.5250 (aec-mlb-az-wsh-2026-07-26).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mlb-ari</t>
        </is>
      </c>
      <c r="AQ33" s="24" t="inlineStr">
        <is>
          <t>Arizona Diamondbacks</t>
        </is>
      </c>
      <c r="AR33" s="24" t="inlineStr">
        <is>
          <t>Arizona Diamondbacks</t>
        </is>
      </c>
      <c r="AS33" s="24" t="inlineStr">
        <is>
          <t>mlb-wsh</t>
        </is>
      </c>
      <c r="AT33" s="24" t="inlineStr">
        <is>
          <t>Washington Nationals</t>
        </is>
      </c>
      <c r="AU33" s="24" t="inlineStr">
        <is>
          <t>Washington Nationals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10a412e78306d1f4d1a66590dd7cd2087ed53520bfa3bb925889a6371153732f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10a412e78306d1f4d1a66590dd7cd2087ed53520bfa3bb925889a6371153732f</t>
        </is>
      </c>
      <c r="BE33" s="24" t="inlineStr">
        <is>
          <t>e06933348ee1d73e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2026-07-26T12:45:26.806731Z</t>
        </is>
      </c>
      <c r="BI33" s="24" t="inlineStr">
        <is>
          <t>["same_event","same_team_same_day","same_league_same_day"]</t>
        </is>
      </c>
      <c r="BJ33" s="25" t="n"/>
      <c r="BK33" s="26" t="n">
        <v>-111</v>
      </c>
      <c r="BL33" s="27" t="n">
        <v>1.900901</v>
      </c>
      <c r="BM33" s="28" t="n">
        <v>0.526066</v>
      </c>
      <c r="BN33" s="28" t="n">
        <v>0.522388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0.4832709168</t>
        </is>
      </c>
      <c r="CD33" s="24" t="inlineStr">
        <is>
          <t>-1.557247</t>
        </is>
      </c>
      <c r="CE33" s="24" t="inlineStr">
        <is>
          <t>1.0</t>
        </is>
      </c>
      <c r="CF33" s="24" t="n"/>
      <c r="CG33" s="24" t="n"/>
      <c r="CH33" s="24" t="inlineStr">
        <is>
          <t>3.8</t>
        </is>
      </c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e6bcde5dcbf54ff4</t>
        </is>
      </c>
      <c r="B34" s="24" t="inlineStr">
        <is>
          <t>2026-07-26T12:48:45.878703Z</t>
        </is>
      </c>
      <c r="C34" s="24" t="inlineStr">
        <is>
          <t>2026-07-26T13:35:00-0400</t>
        </is>
      </c>
      <c r="D34" s="24" t="inlineStr">
        <is>
          <t>401816266</t>
        </is>
      </c>
      <c r="E34" s="24" t="inlineStr">
        <is>
          <t>MLB</t>
        </is>
      </c>
      <c r="F34" s="24" t="inlineStr">
        <is>
          <t>Atlanta Braves</t>
        </is>
      </c>
      <c r="G34" s="24" t="inlineStr">
        <is>
          <t>Baltimore Orioles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0.534238</v>
      </c>
      <c r="P34" s="28" t="n"/>
      <c r="Q34" s="28" t="n">
        <v>0.029288</v>
      </c>
      <c r="R34" s="26" t="n">
        <v>36</v>
      </c>
      <c r="S34" s="29" t="n">
        <v>0.75</v>
      </c>
      <c r="T34" s="24" t="inlineStr">
        <is>
          <t>mlb-elo-trend-lr-v6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0.5690; executable ask 0.5050 (aec-mlb-atl-bal-2026-07-26).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mlb-atl</t>
        </is>
      </c>
      <c r="AQ34" s="24" t="inlineStr">
        <is>
          <t>Atlanta Braves</t>
        </is>
      </c>
      <c r="AR34" s="24" t="inlineStr">
        <is>
          <t>Atlanta Braves</t>
        </is>
      </c>
      <c r="AS34" s="24" t="inlineStr">
        <is>
          <t>mlb-bal</t>
        </is>
      </c>
      <c r="AT34" s="24" t="inlineStr">
        <is>
          <t>Baltimore Orioles</t>
        </is>
      </c>
      <c r="AU34" s="24" t="inlineStr">
        <is>
          <t>Baltimore Orioles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10a412e78306d1f4d1a66590dd7cd2087ed53520bfa3bb925889a6371153732f</t>
        </is>
      </c>
      <c r="BB34" s="24" t="inlineStr">
        <is>
          <t>learned_lr</t>
        </is>
      </c>
      <c r="BC34" s="24" t="inlineStr">
        <is>
          <t>mlb-elo-trend-lr-v6</t>
        </is>
      </c>
      <c r="BD34" s="24" t="inlineStr">
        <is>
          <t>10a412e78306d1f4d1a66590dd7cd2087ed53520bfa3bb925889a6371153732f</t>
        </is>
      </c>
      <c r="BE34" s="24" t="inlineStr">
        <is>
          <t>02c2231f4040c432</t>
        </is>
      </c>
      <c r="BF34" s="24" t="inlineStr">
        <is>
          <t>1</t>
        </is>
      </c>
      <c r="BG34" s="24" t="inlineStr">
        <is>
          <t>mlb-elo-trend-lr-v6</t>
        </is>
      </c>
      <c r="BH34" s="24" t="inlineStr">
        <is>
          <t>2026-07-26T12:45:27.980422Z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0.4805983803</t>
        </is>
      </c>
      <c r="CD34" s="24" t="inlineStr">
        <is>
          <t>-1.06997</t>
        </is>
      </c>
      <c r="CE34" s="24" t="inlineStr">
        <is>
          <t>1.01</t>
        </is>
      </c>
      <c r="CF34" s="24" t="n"/>
      <c r="CG34" s="24" t="n"/>
      <c r="CH34" s="24" t="inlineStr">
        <is>
          <t>0.1</t>
        </is>
      </c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4e058a3c359349f6</t>
        </is>
      </c>
      <c r="B35" s="24" t="inlineStr">
        <is>
          <t>2026-07-26T12:48:45.878703Z</t>
        </is>
      </c>
      <c r="C35" s="24" t="inlineStr">
        <is>
          <t>2026-07-26T13:35:00-0400</t>
        </is>
      </c>
      <c r="D35" s="24" t="inlineStr">
        <is>
          <t>401816267</t>
        </is>
      </c>
      <c r="E35" s="24" t="inlineStr">
        <is>
          <t>MLB</t>
        </is>
      </c>
      <c r="F35" s="24" t="inlineStr">
        <is>
          <t>Chicago Cubs</t>
        </is>
      </c>
      <c r="G35" s="24" t="inlineStr">
        <is>
          <t>Pittsburgh Pirates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-120</v>
      </c>
      <c r="M35" s="27" t="n">
        <v>1.833333</v>
      </c>
      <c r="N35" s="28" t="n">
        <v>0.545455</v>
      </c>
      <c r="O35" s="28" t="n">
        <v>0.631521</v>
      </c>
      <c r="P35" s="28" t="n"/>
      <c r="Q35" s="28" t="n">
        <v>0.086066</v>
      </c>
      <c r="R35" s="26" t="n">
        <v>65</v>
      </c>
      <c r="S35" s="29" t="n">
        <v>1.75</v>
      </c>
      <c r="T35" s="24" t="inlineStr">
        <is>
          <t>mlb-elo-trend-lr-v6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0.5690; executable ask 0.5450 (aec-mlb-chc-pit-2026-07-26).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mlb-chc</t>
        </is>
      </c>
      <c r="AQ35" s="24" t="inlineStr">
        <is>
          <t>Chicago Cubs</t>
        </is>
      </c>
      <c r="AR35" s="24" t="inlineStr">
        <is>
          <t>Chicago Cubs</t>
        </is>
      </c>
      <c r="AS35" s="24" t="inlineStr">
        <is>
          <t>mlb-pit</t>
        </is>
      </c>
      <c r="AT35" s="24" t="inlineStr">
        <is>
          <t>Pittsburgh Pirates</t>
        </is>
      </c>
      <c r="AU35" s="24" t="inlineStr">
        <is>
          <t>Pittsburgh Pirates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10a412e78306d1f4d1a66590dd7cd2087ed53520bfa3bb925889a6371153732f</t>
        </is>
      </c>
      <c r="BB35" s="24" t="inlineStr">
        <is>
          <t>learned_lr</t>
        </is>
      </c>
      <c r="BC35" s="24" t="inlineStr">
        <is>
          <t>mlb-elo-trend-lr-v6</t>
        </is>
      </c>
      <c r="BD35" s="24" t="inlineStr">
        <is>
          <t>10a412e78306d1f4d1a66590dd7cd2087ed53520bfa3bb925889a6371153732f</t>
        </is>
      </c>
      <c r="BE35" s="24" t="inlineStr">
        <is>
          <t>db34c66819f2c034</t>
        </is>
      </c>
      <c r="BF35" s="24" t="inlineStr">
        <is>
          <t>1</t>
        </is>
      </c>
      <c r="BG35" s="24" t="inlineStr">
        <is>
          <t>mlb-elo-trend-lr-v6</t>
        </is>
      </c>
      <c r="BH35" s="24" t="inlineStr">
        <is>
          <t>2026-07-26T12:45:25.302203Z</t>
        </is>
      </c>
      <c r="BI35" s="24" t="inlineStr">
        <is>
          <t>["same_event","same_team_same_day","same_league_same_day"]</t>
        </is>
      </c>
      <c r="BJ35" s="25" t="n"/>
      <c r="BK35" s="26" t="n">
        <v>-120</v>
      </c>
      <c r="BL35" s="27" t="n">
        <v>1.833333</v>
      </c>
      <c r="BM35" s="28" t="n">
        <v>0.545455</v>
      </c>
      <c r="BN35" s="28" t="n">
        <v>0.542289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0.4912443015</t>
        </is>
      </c>
      <c r="CD35" s="24" t="inlineStr">
        <is>
          <t>-0.326562</t>
        </is>
      </c>
      <c r="CE35" s="24" t="inlineStr">
        <is>
          <t>1.0</t>
        </is>
      </c>
      <c r="CF35" s="24" t="n"/>
      <c r="CG35" s="24" t="n"/>
      <c r="CH35" s="24" t="inlineStr">
        <is>
          <t>-1.43</t>
        </is>
      </c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02ff8fdc1dd540ed</t>
        </is>
      </c>
      <c r="B36" s="24" t="inlineStr">
        <is>
          <t>2026-07-26T12:48:45.878703Z</t>
        </is>
      </c>
      <c r="C36" s="24" t="inlineStr">
        <is>
          <t>2026-07-26T13:35:00-0400</t>
        </is>
      </c>
      <c r="D36" s="24" t="inlineStr">
        <is>
          <t>401816273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0.609142</v>
      </c>
      <c r="P36" s="28" t="n"/>
      <c r="Q36" s="28" t="n">
        <v>0.038327</v>
      </c>
      <c r="R36" s="26" t="n">
        <v>41</v>
      </c>
      <c r="S36" s="29" t="n">
        <v>1.5</v>
      </c>
      <c r="T36" s="24" t="inlineStr">
        <is>
          <t>mlb-elo-trend-lr-v6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Learned LR call at threshold 0.5690; executable ask 0.5700 (aec-mlb-tor-bos-2026-07-26).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10a412e78306d1f4d1a66590dd7cd2087ed53520bfa3bb925889a6371153732f</t>
        </is>
      </c>
      <c r="BB36" s="24" t="inlineStr">
        <is>
          <t>learned_lr</t>
        </is>
      </c>
      <c r="BC36" s="24" t="inlineStr">
        <is>
          <t>mlb-elo-trend-lr-v6</t>
        </is>
      </c>
      <c r="BD36" s="24" t="inlineStr">
        <is>
          <t>10a412e78306d1f4d1a66590dd7cd2087ed53520bfa3bb925889a6371153732f</t>
        </is>
      </c>
      <c r="BE36" s="24" t="inlineStr">
        <is>
          <t>617498b239035ded</t>
        </is>
      </c>
      <c r="BF36" s="24" t="inlineStr">
        <is>
          <t>1</t>
        </is>
      </c>
      <c r="BG36" s="24" t="inlineStr">
        <is>
          <t>mlb-elo-trend-lr-v6</t>
        </is>
      </c>
      <c r="BH36" s="24" t="inlineStr">
        <is>
          <t>2026-07-26T12:45:23.647339Z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0.6098870035</t>
        </is>
      </c>
      <c r="CD36" s="24" t="inlineStr">
        <is>
          <t>1.431426</t>
        </is>
      </c>
      <c r="CE36" s="24" t="inlineStr">
        <is>
          <t>1.04</t>
        </is>
      </c>
      <c r="CF36" s="24" t="n"/>
      <c r="CG36" s="24" t="n"/>
      <c r="CH36" s="24" t="inlineStr">
        <is>
          <t>-1.36</t>
        </is>
      </c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67109b31a47c4754</t>
        </is>
      </c>
      <c r="B37" s="24" t="inlineStr">
        <is>
          <t>2026-07-26T12:48:45.878703Z</t>
        </is>
      </c>
      <c r="C37" s="24" t="inlineStr">
        <is>
          <t>2026-07-26T13:40:00-0400</t>
        </is>
      </c>
      <c r="D37" s="24" t="inlineStr">
        <is>
          <t>401816269</t>
        </is>
      </c>
      <c r="E37" s="24" t="inlineStr">
        <is>
          <t>MLB</t>
        </is>
      </c>
      <c r="F37" s="24" t="inlineStr">
        <is>
          <t>Kansas City Royals</t>
        </is>
      </c>
      <c r="G37" s="24" t="inlineStr">
        <is>
          <t>Detroit Tigers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-174</v>
      </c>
      <c r="M37" s="27" t="n">
        <v>1.574713</v>
      </c>
      <c r="N37" s="28" t="n">
        <v>0.635036</v>
      </c>
      <c r="O37" s="28" t="n">
        <v>0.550399</v>
      </c>
      <c r="P37" s="28" t="n"/>
      <c r="Q37" s="28" t="n">
        <v>-0.084637</v>
      </c>
      <c r="R37" s="26" t="n">
        <v>0</v>
      </c>
      <c r="S37" s="29" t="n">
        <v>1</v>
      </c>
      <c r="T37" s="24" t="inlineStr">
        <is>
          <t>mlb-elo-trend-lr-v6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0.5690; executable ask 0.6350 (aec-mlb-kc-det-2026-07-26).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mlb-kc</t>
        </is>
      </c>
      <c r="AQ37" s="24" t="inlineStr">
        <is>
          <t>Kansas City Royals</t>
        </is>
      </c>
      <c r="AR37" s="24" t="inlineStr">
        <is>
          <t>Kansas City Royals</t>
        </is>
      </c>
      <c r="AS37" s="24" t="inlineStr">
        <is>
          <t>mlb-det</t>
        </is>
      </c>
      <c r="AT37" s="24" t="inlineStr">
        <is>
          <t>Detroit Tigers</t>
        </is>
      </c>
      <c r="AU37" s="24" t="inlineStr">
        <is>
          <t>Detroit Tigers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10a412e78306d1f4d1a66590dd7cd2087ed53520bfa3bb925889a6371153732f</t>
        </is>
      </c>
      <c r="BB37" s="24" t="inlineStr">
        <is>
          <t>learned_lr</t>
        </is>
      </c>
      <c r="BC37" s="24" t="inlineStr">
        <is>
          <t>mlb-elo-trend-lr-v6</t>
        </is>
      </c>
      <c r="BD37" s="24" t="inlineStr">
        <is>
          <t>10a412e78306d1f4d1a66590dd7cd2087ed53520bfa3bb925889a6371153732f</t>
        </is>
      </c>
      <c r="BE37" s="24" t="inlineStr">
        <is>
          <t>ab13ade7b58c9aa8</t>
        </is>
      </c>
      <c r="BF37" s="24" t="inlineStr">
        <is>
          <t>1</t>
        </is>
      </c>
      <c r="BG37" s="24" t="inlineStr">
        <is>
          <t>mlb-elo-trend-lr-v6</t>
        </is>
      </c>
      <c r="BH37" s="24" t="inlineStr">
        <is>
          <t>2026-07-26T12:45:29.765826Z</t>
        </is>
      </c>
      <c r="BI37" s="24" t="inlineStr">
        <is>
          <t>["same_event","same_team_same_day","same_league_same_day"]</t>
        </is>
      </c>
      <c r="BJ37" s="25" t="n"/>
      <c r="BK37" s="26" t="n">
        <v>-174</v>
      </c>
      <c r="BL37" s="27" t="n">
        <v>1.574713</v>
      </c>
      <c r="BM37" s="28" t="n">
        <v>0.635036</v>
      </c>
      <c r="BN37" s="28" t="n">
        <v>0.631841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0.6075687895</t>
        </is>
      </c>
      <c r="CD37" s="24" t="inlineStr">
        <is>
          <t>0.526674</t>
        </is>
      </c>
      <c r="CE37" s="24" t="inlineStr">
        <is>
          <t>0.98</t>
        </is>
      </c>
      <c r="CF37" s="24" t="n"/>
      <c r="CG37" s="24" t="n"/>
      <c r="CH37" s="24" t="inlineStr">
        <is>
          <t>-0.29</t>
        </is>
      </c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b263f0dc47df4609</t>
        </is>
      </c>
      <c r="B38" s="24" t="inlineStr">
        <is>
          <t>2026-07-26T12:48:45.878703Z</t>
        </is>
      </c>
      <c r="C38" s="24" t="inlineStr">
        <is>
          <t>2026-07-26T13:40:00-0400</t>
        </is>
      </c>
      <c r="D38" s="24" t="inlineStr">
        <is>
          <t>401816270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New York Mets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0.542648</v>
      </c>
      <c r="P38" s="28" t="n"/>
      <c r="Q38" s="28" t="n">
        <v>0.132812</v>
      </c>
      <c r="R38" s="26" t="n">
        <v>87</v>
      </c>
      <c r="S38" s="29" t="n">
        <v>1</v>
      </c>
      <c r="T38" s="24" t="inlineStr">
        <is>
          <t>mlb-elo-trend-lr-v6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0.5690; executable ask 0.4100 (aec-mlb-lad-nym-2026-07-26).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mlb-nym</t>
        </is>
      </c>
      <c r="AT38" s="24" t="inlineStr">
        <is>
          <t>New York Mets</t>
        </is>
      </c>
      <c r="AU38" s="24" t="inlineStr">
        <is>
          <t>New York Mets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10a412e78306d1f4d1a66590dd7cd2087ed53520bfa3bb925889a6371153732f</t>
        </is>
      </c>
      <c r="BB38" s="24" t="inlineStr">
        <is>
          <t>learned_lr</t>
        </is>
      </c>
      <c r="BC38" s="24" t="inlineStr">
        <is>
          <t>mlb-elo-trend-lr-v6</t>
        </is>
      </c>
      <c r="BD38" s="24" t="inlineStr">
        <is>
          <t>10a412e78306d1f4d1a66590dd7cd2087ed53520bfa3bb925889a6371153732f</t>
        </is>
      </c>
      <c r="BE38" s="24" t="inlineStr">
        <is>
          <t>0ad0538283a703c8</t>
        </is>
      </c>
      <c r="BF38" s="24" t="inlineStr">
        <is>
          <t>1</t>
        </is>
      </c>
      <c r="BG38" s="24" t="inlineStr">
        <is>
          <t>mlb-elo-trend-lr-v6</t>
        </is>
      </c>
      <c r="BH38" s="24" t="inlineStr">
        <is>
          <t>2026-07-26T12:45:32.381224Z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>
        <v>0.40796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0.3742927358</t>
        </is>
      </c>
      <c r="CD38" s="24" t="inlineStr">
        <is>
          <t>-0.95341</t>
        </is>
      </c>
      <c r="CE38" s="24" t="inlineStr">
        <is>
          <t>0.97</t>
        </is>
      </c>
      <c r="CF38" s="24" t="n"/>
      <c r="CG38" s="24" t="n"/>
      <c r="CH38" s="24" t="inlineStr">
        <is>
          <t>-0.12</t>
        </is>
      </c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811f7acb47cc4843</t>
        </is>
      </c>
      <c r="B39" s="24" t="inlineStr">
        <is>
          <t>2026-07-26T12:48:45.878703Z</t>
        </is>
      </c>
      <c r="C39" s="24" t="inlineStr">
        <is>
          <t>2026-07-26T13:40:00-0400</t>
        </is>
      </c>
      <c r="D39" s="24" t="inlineStr">
        <is>
          <t>401816272</t>
        </is>
      </c>
      <c r="E39" s="24" t="inlineStr">
        <is>
          <t>MLB</t>
        </is>
      </c>
      <c r="F39" s="24" t="inlineStr">
        <is>
          <t>San Diego Padres</t>
        </is>
      </c>
      <c r="G39" s="24" t="inlineStr">
        <is>
          <t>Miami Marlins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-120</v>
      </c>
      <c r="M39" s="27" t="n">
        <v>1.833333</v>
      </c>
      <c r="N39" s="28" t="n">
        <v>0.545455</v>
      </c>
      <c r="O39" s="28" t="n">
        <v>0.573639</v>
      </c>
      <c r="P39" s="28" t="n"/>
      <c r="Q39" s="28" t="n">
        <v>0.028184</v>
      </c>
      <c r="R39" s="26" t="n">
        <v>36</v>
      </c>
      <c r="S39" s="29" t="n">
        <v>1.25</v>
      </c>
      <c r="T39" s="24" t="inlineStr">
        <is>
          <t>mlb-elo-trend-lr-v6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0.5690; executable ask 0.5450 (aec-mlb-sd-mia-2026-07-26).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mlb-sd</t>
        </is>
      </c>
      <c r="AQ39" s="24" t="inlineStr">
        <is>
          <t>San Diego Padres</t>
        </is>
      </c>
      <c r="AR39" s="24" t="inlineStr">
        <is>
          <t>San Diego Padres</t>
        </is>
      </c>
      <c r="AS39" s="24" t="inlineStr">
        <is>
          <t>mlb-mia</t>
        </is>
      </c>
      <c r="AT39" s="24" t="inlineStr">
        <is>
          <t>Miami Marlins</t>
        </is>
      </c>
      <c r="AU39" s="24" t="inlineStr">
        <is>
          <t>Miami Marlins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10a412e78306d1f4d1a66590dd7cd2087ed53520bfa3bb925889a6371153732f</t>
        </is>
      </c>
      <c r="BB39" s="24" t="inlineStr">
        <is>
          <t>learned_lr</t>
        </is>
      </c>
      <c r="BC39" s="24" t="inlineStr">
        <is>
          <t>mlb-elo-trend-lr-v6</t>
        </is>
      </c>
      <c r="BD39" s="24" t="inlineStr">
        <is>
          <t>10a412e78306d1f4d1a66590dd7cd2087ed53520bfa3bb925889a6371153732f</t>
        </is>
      </c>
      <c r="BE39" s="24" t="inlineStr">
        <is>
          <t>8504bc80207f60bf</t>
        </is>
      </c>
      <c r="BF39" s="24" t="inlineStr">
        <is>
          <t>1</t>
        </is>
      </c>
      <c r="BG39" s="24" t="inlineStr">
        <is>
          <t>mlb-elo-trend-lr-v6</t>
        </is>
      </c>
      <c r="BH39" s="24" t="inlineStr">
        <is>
          <t>2026-07-26T12:45:31.083521Z</t>
        </is>
      </c>
      <c r="BI39" s="24" t="inlineStr">
        <is>
          <t>["same_event","same_team_same_day","same_league_same_day"]</t>
        </is>
      </c>
      <c r="BJ39" s="25" t="n"/>
      <c r="BK39" s="26" t="n">
        <v>-120</v>
      </c>
      <c r="BL39" s="27" t="n">
        <v>1.833333</v>
      </c>
      <c r="BM39" s="28" t="n">
        <v>0.545455</v>
      </c>
      <c r="BN39" s="28" t="n">
        <v>0.542289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0.5121449899</t>
        </is>
      </c>
      <c r="CD39" s="24" t="inlineStr">
        <is>
          <t>-2.399361</t>
        </is>
      </c>
      <c r="CE39" s="24" t="inlineStr">
        <is>
          <t>0.99</t>
        </is>
      </c>
      <c r="CF39" s="24" t="n"/>
      <c r="CG39" s="24" t="n"/>
      <c r="CH39" s="24" t="inlineStr">
        <is>
          <t>-0.14</t>
        </is>
      </c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64cc35250c2442da</t>
        </is>
      </c>
      <c r="B40" s="24" t="inlineStr">
        <is>
          <t>2026-07-26T17:56:02.643847Z</t>
        </is>
      </c>
      <c r="C40" s="24" t="inlineStr">
        <is>
          <t>2026-07-26T14:10:00-0400</t>
        </is>
      </c>
      <c r="D40" s="24" t="inlineStr">
        <is>
          <t>401816274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Minnesota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-147</v>
      </c>
      <c r="M40" s="27" t="n">
        <v>1.680272</v>
      </c>
      <c r="N40" s="28" t="n">
        <v>0.5951419999999999</v>
      </c>
      <c r="O40" s="28" t="n">
        <v>0.601826</v>
      </c>
      <c r="P40" s="28" t="n"/>
      <c r="Q40" s="28" t="n">
        <v>0.006684</v>
      </c>
      <c r="R40" s="26" t="n">
        <v>25</v>
      </c>
      <c r="S40" s="29" t="n">
        <v>1.5</v>
      </c>
      <c r="T40" s="24" t="inlineStr">
        <is>
          <t>mlb-elo-trend-lr-v6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Learned LR call at threshold 0.5690; executable ask 0.5950 (aec-mlb-ath-min-2026-07-26).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mlb-ath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mlb-min</t>
        </is>
      </c>
      <c r="AT40" s="24" t="inlineStr">
        <is>
          <t>Minnesota Twins</t>
        </is>
      </c>
      <c r="AU40" s="24" t="inlineStr">
        <is>
          <t>Minnesota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10a412e78306d1f4d1a66590dd7cd2087ed53520bfa3bb925889a6371153732f</t>
        </is>
      </c>
      <c r="BB40" s="24" t="inlineStr">
        <is>
          <t>learned_lr</t>
        </is>
      </c>
      <c r="BC40" s="24" t="inlineStr">
        <is>
          <t>mlb-elo-trend-lr-v6</t>
        </is>
      </c>
      <c r="BD40" s="24" t="inlineStr">
        <is>
          <t>10a412e78306d1f4d1a66590dd7cd2087ed53520bfa3bb925889a6371153732f</t>
        </is>
      </c>
      <c r="BE40" s="24" t="inlineStr">
        <is>
          <t>957cc4ec14af077f</t>
        </is>
      </c>
      <c r="BF40" s="24" t="inlineStr">
        <is>
          <t>1</t>
        </is>
      </c>
      <c r="BG40" s="24" t="inlineStr">
        <is>
          <t>mlb-elo-trend-lr-v6</t>
        </is>
      </c>
      <c r="BH40" s="24" t="inlineStr">
        <is>
          <t>2026-07-26T17:53:53.914839Z</t>
        </is>
      </c>
      <c r="BI40" s="24" t="inlineStr">
        <is>
          <t>["same_event","same_team_same_day","same_league_same_day"]</t>
        </is>
      </c>
      <c r="BJ40" s="25" t="n"/>
      <c r="BK40" s="26" t="n">
        <v>-147</v>
      </c>
      <c r="BL40" s="27" t="n">
        <v>1.680272</v>
      </c>
      <c r="BM40" s="28" t="n">
        <v>0.5951419999999999</v>
      </c>
      <c r="BN40" s="28" t="n">
        <v>0.59204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0.574450019</t>
        </is>
      </c>
      <c r="CD40" s="24" t="inlineStr">
        <is>
          <t>-0.051147</t>
        </is>
      </c>
      <c r="CE40" s="24" t="inlineStr">
        <is>
          <t>1.0</t>
        </is>
      </c>
      <c r="CF40" s="24" t="n"/>
      <c r="CG40" s="24" t="n"/>
      <c r="CH40" s="24" t="inlineStr">
        <is>
          <t>-0.96</t>
        </is>
      </c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adb43705638f49ea</t>
        </is>
      </c>
      <c r="B41" s="24" t="inlineStr">
        <is>
          <t>2026-07-26T17:56:02.643847Z</t>
        </is>
      </c>
      <c r="C41" s="24" t="inlineStr">
        <is>
          <t>2026-07-26T14:10:00-0400</t>
        </is>
      </c>
      <c r="D41" s="24" t="inlineStr">
        <is>
          <t>401816276</t>
        </is>
      </c>
      <c r="E41" s="24" t="inlineStr">
        <is>
          <t>MLB</t>
        </is>
      </c>
      <c r="F41" s="24" t="inlineStr">
        <is>
          <t>Colorado Rockies</t>
        </is>
      </c>
      <c r="G41" s="24" t="inlineStr">
        <is>
          <t>Milwaukee Brewers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0.860663</v>
      </c>
      <c r="P41" s="28" t="n"/>
      <c r="Q41" s="28" t="n">
        <v>0.100471</v>
      </c>
      <c r="R41" s="26" t="n">
        <v>72</v>
      </c>
      <c r="S41" s="29" t="n">
        <v>2</v>
      </c>
      <c r="T41" s="24" t="inlineStr">
        <is>
          <t>mlb-elo-trend-lr-v6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Learned LR call at threshold 0.5690; executable ask 0.7600 (aec-mlb-col-mil-2026-07-26).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mlb-col</t>
        </is>
      </c>
      <c r="AQ41" s="24" t="inlineStr">
        <is>
          <t>Colorado Rockies</t>
        </is>
      </c>
      <c r="AR41" s="24" t="inlineStr">
        <is>
          <t>Colorado Rockies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10a412e78306d1f4d1a66590dd7cd2087ed53520bfa3bb925889a6371153732f</t>
        </is>
      </c>
      <c r="BB41" s="24" t="inlineStr">
        <is>
          <t>learned_lr</t>
        </is>
      </c>
      <c r="BC41" s="24" t="inlineStr">
        <is>
          <t>mlb-elo-trend-lr-v6</t>
        </is>
      </c>
      <c r="BD41" s="24" t="inlineStr">
        <is>
          <t>10a412e78306d1f4d1a66590dd7cd2087ed53520bfa3bb925889a6371153732f</t>
        </is>
      </c>
      <c r="BE41" s="24" t="inlineStr">
        <is>
          <t>b16669b146172d5b</t>
        </is>
      </c>
      <c r="BF41" s="24" t="inlineStr">
        <is>
          <t>1</t>
        </is>
      </c>
      <c r="BG41" s="24" t="inlineStr">
        <is>
          <t>mlb-elo-trend-lr-v6</t>
        </is>
      </c>
      <c r="BH41" s="24" t="inlineStr">
        <is>
          <t>2026-07-26T17:53:52.064462Z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>
        <v>0.756219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0.7661240932</t>
        </is>
      </c>
      <c r="CD41" s="24" t="inlineStr">
        <is>
          <t>0.243505</t>
        </is>
      </c>
      <c r="CE41" s="24" t="inlineStr">
        <is>
          <t>0.98</t>
        </is>
      </c>
      <c r="CF41" s="24" t="n"/>
      <c r="CG41" s="24" t="n"/>
      <c r="CH41" s="24" t="inlineStr">
        <is>
          <t>-5.71</t>
        </is>
      </c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08f2e6a5911b49be</t>
        </is>
      </c>
      <c r="B42" s="24" t="inlineStr">
        <is>
          <t>2026-07-26T17:56:02.643847Z</t>
        </is>
      </c>
      <c r="C42" s="24" t="inlineStr">
        <is>
          <t>2026-07-26T14:10:00-0400</t>
        </is>
      </c>
      <c r="D42" s="24" t="inlineStr">
        <is>
          <t>401816277</t>
        </is>
      </c>
      <c r="E42" s="24" t="inlineStr">
        <is>
          <t>MLB</t>
        </is>
      </c>
      <c r="F42" s="24" t="inlineStr">
        <is>
          <t>Houston Astros</t>
        </is>
      </c>
      <c r="G42" s="24" t="inlineStr">
        <is>
          <t>Chicago White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0.76295</v>
      </c>
      <c r="P42" s="28" t="n"/>
      <c r="Q42" s="28" t="n">
        <v>0.243719</v>
      </c>
      <c r="R42" s="26" t="n">
        <v>100</v>
      </c>
      <c r="S42" s="29" t="n">
        <v>2</v>
      </c>
      <c r="T42" s="24" t="inlineStr">
        <is>
          <t>mlb-elo-trend-lr-v6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Learned LR call at threshold 0.5690; executable ask 0.5200 (aec-mlb-hou-cws-2026-07-26).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mlb-hou</t>
        </is>
      </c>
      <c r="AQ42" s="24" t="inlineStr">
        <is>
          <t>Houston Astros</t>
        </is>
      </c>
      <c r="AR42" s="24" t="inlineStr">
        <is>
          <t>Houston Astros</t>
        </is>
      </c>
      <c r="AS42" s="24" t="inlineStr">
        <is>
          <t>mlb-cws</t>
        </is>
      </c>
      <c r="AT42" s="24" t="inlineStr">
        <is>
          <t>Chicago White Sox</t>
        </is>
      </c>
      <c r="AU42" s="24" t="inlineStr">
        <is>
          <t>Chicago White Sox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10a412e78306d1f4d1a66590dd7cd2087ed53520bfa3bb925889a6371153732f</t>
        </is>
      </c>
      <c r="BB42" s="24" t="inlineStr">
        <is>
          <t>learned_lr</t>
        </is>
      </c>
      <c r="BC42" s="24" t="inlineStr">
        <is>
          <t>mlb-elo-trend-lr-v6</t>
        </is>
      </c>
      <c r="BD42" s="24" t="inlineStr">
        <is>
          <t>10a412e78306d1f4d1a66590dd7cd2087ed53520bfa3bb925889a6371153732f</t>
        </is>
      </c>
      <c r="BE42" s="24" t="inlineStr">
        <is>
          <t>def27f316aaee3f3</t>
        </is>
      </c>
      <c r="BF42" s="24" t="inlineStr">
        <is>
          <t>1</t>
        </is>
      </c>
      <c r="BG42" s="24" t="inlineStr">
        <is>
          <t>mlb-elo-trend-lr-v6</t>
        </is>
      </c>
      <c r="BH42" s="24" t="inlineStr">
        <is>
          <t>2026-07-26T17:53:52.943898Z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0.5495737644</t>
        </is>
      </c>
      <c r="CD42" s="24" t="inlineStr">
        <is>
          <t>-0.365446</t>
        </is>
      </c>
      <c r="CE42" s="24" t="inlineStr">
        <is>
          <t>0.99</t>
        </is>
      </c>
      <c r="CF42" s="24" t="n"/>
      <c r="CG42" s="24" t="n"/>
      <c r="CH42" s="24" t="inlineStr">
        <is>
          <t>-3.55</t>
        </is>
      </c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1693f579da2c4e1b</t>
        </is>
      </c>
      <c r="B43" s="24" t="inlineStr">
        <is>
          <t>2026-07-26T17:56:02.643847Z</t>
        </is>
      </c>
      <c r="C43" s="24" t="inlineStr">
        <is>
          <t>2026-07-26T14:15:00-0400</t>
        </is>
      </c>
      <c r="D43" s="24" t="inlineStr">
        <is>
          <t>401816275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St. Louis Cardinals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0.569279</v>
      </c>
      <c r="P43" s="28" t="n"/>
      <c r="Q43" s="28" t="n">
        <v>0.019729</v>
      </c>
      <c r="R43" s="26" t="n">
        <v>31</v>
      </c>
      <c r="S43" s="29" t="n">
        <v>1.25</v>
      </c>
      <c r="T43" s="24" t="inlineStr">
        <is>
          <t>mlb-elo-trend-lr-v6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Learned LR call at threshold 0.5690; executable ask 0.5500 (aec-mlb-cin-stl-2026-07-26).</t>
        </is>
      </c>
      <c r="AF43" s="31" t="inlineStr">
        <is>
          <t>Learned model; promotion gate not yet open; zero-unit research until review.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mlb-stl</t>
        </is>
      </c>
      <c r="AT43" s="24" t="inlineStr">
        <is>
          <t>St. Louis Cardinals</t>
        </is>
      </c>
      <c r="AU43" s="24" t="inlineStr">
        <is>
          <t>St. Louis Cardinals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10a412e78306d1f4d1a66590dd7cd2087ed53520bfa3bb925889a6371153732f</t>
        </is>
      </c>
      <c r="BB43" s="24" t="inlineStr">
        <is>
          <t>learned_lr</t>
        </is>
      </c>
      <c r="BC43" s="24" t="inlineStr">
        <is>
          <t>mlb-elo-trend-lr-v6</t>
        </is>
      </c>
      <c r="BD43" s="24" t="inlineStr">
        <is>
          <t>10a412e78306d1f4d1a66590dd7cd2087ed53520bfa3bb925889a6371153732f</t>
        </is>
      </c>
      <c r="BE43" s="24" t="inlineStr">
        <is>
          <t>f68c536a1cdbc8f9</t>
        </is>
      </c>
      <c r="BF43" s="24" t="inlineStr">
        <is>
          <t>1</t>
        </is>
      </c>
      <c r="BG43" s="24" t="inlineStr">
        <is>
          <t>mlb-elo-trend-lr-v6</t>
        </is>
      </c>
      <c r="BH43" s="24" t="inlineStr">
        <is>
          <t>2026-07-26T17:53:54.792406Z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0.5554985391</t>
        </is>
      </c>
      <c r="CD43" s="24" t="inlineStr">
        <is>
          <t>-1.066813</t>
        </is>
      </c>
      <c r="CE43" s="24" t="inlineStr">
        <is>
          <t>0.99</t>
        </is>
      </c>
      <c r="CF43" s="24" t="n"/>
      <c r="CG43" s="24" t="n"/>
      <c r="CH43" s="24" t="inlineStr">
        <is>
          <t>-0.3</t>
        </is>
      </c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da9748108377478e</t>
        </is>
      </c>
      <c r="B44" s="24" t="inlineStr">
        <is>
          <t>2026-07-26T18:26:27.600695Z</t>
        </is>
      </c>
      <c r="C44" s="24" t="inlineStr">
        <is>
          <t>2026-07-26T14:35:00-0400</t>
        </is>
      </c>
      <c r="D44" s="24" t="inlineStr">
        <is>
          <t>401816278</t>
        </is>
      </c>
      <c r="E44" s="24" t="inlineStr">
        <is>
          <t>MLB</t>
        </is>
      </c>
      <c r="F44" s="24" t="inlineStr">
        <is>
          <t>Seattle Mariners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-102</v>
      </c>
      <c r="M44" s="27" t="n">
        <v>1.980392</v>
      </c>
      <c r="N44" s="28" t="n">
        <v>0.50495</v>
      </c>
      <c r="O44" s="28" t="n">
        <v>0.505307</v>
      </c>
      <c r="P44" s="28" t="n"/>
      <c r="Q44" s="28" t="n">
        <v>0.000357</v>
      </c>
      <c r="R44" s="26" t="n">
        <v>21</v>
      </c>
      <c r="S44" s="29" t="n">
        <v>0.5</v>
      </c>
      <c r="T44" s="24" t="inlineStr">
        <is>
          <t>mlb-elo-trend-lr-v6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Learned LR call at threshold 0.5690; executable ask 0.5050 (aec-mlb-sea-tex-2026-07-26).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mlb-sea</t>
        </is>
      </c>
      <c r="AQ44" s="24" t="inlineStr">
        <is>
          <t>Seattle Mariners</t>
        </is>
      </c>
      <c r="AR44" s="24" t="inlineStr">
        <is>
          <t>Seattle Mariners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10a412e78306d1f4d1a66590dd7cd2087ed53520bfa3bb925889a6371153732f</t>
        </is>
      </c>
      <c r="BB44" s="24" t="inlineStr">
        <is>
          <t>learned_lr</t>
        </is>
      </c>
      <c r="BC44" s="24" t="inlineStr">
        <is>
          <t>mlb-elo-trend-lr-v6</t>
        </is>
      </c>
      <c r="BD44" s="24" t="inlineStr">
        <is>
          <t>10a412e78306d1f4d1a66590dd7cd2087ed53520bfa3bb925889a6371153732f</t>
        </is>
      </c>
      <c r="BE44" s="24" t="inlineStr">
        <is>
          <t>00ba68e7dd721aff</t>
        </is>
      </c>
      <c r="BF44" s="24" t="inlineStr">
        <is>
          <t>1</t>
        </is>
      </c>
      <c r="BG44" s="24" t="inlineStr">
        <is>
          <t>mlb-elo-trend-lr-v6</t>
        </is>
      </c>
      <c r="BH44" s="24" t="inlineStr">
        <is>
          <t>2026-07-26T18:26:09.586089Z</t>
        </is>
      </c>
      <c r="BI44" s="24" t="inlineStr">
        <is>
          <t>["same_event","same_team_same_day","same_league_same_day"]</t>
        </is>
      </c>
      <c r="BJ44" s="25" t="n"/>
      <c r="BK44" s="26" t="n">
        <v>-102</v>
      </c>
      <c r="BL44" s="27" t="n">
        <v>1.980392</v>
      </c>
      <c r="BM44" s="28" t="n">
        <v>0.50495</v>
      </c>
      <c r="BN44" s="28" t="n">
        <v>0.502488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0.492334675</t>
        </is>
      </c>
      <c r="CD44" s="24" t="inlineStr">
        <is>
          <t>-0.43076</t>
        </is>
      </c>
      <c r="CE44" s="24" t="inlineStr">
        <is>
          <t>1.02</t>
        </is>
      </c>
      <c r="CF44" s="24" t="n"/>
      <c r="CG44" s="24" t="n"/>
      <c r="CH44" s="24" t="inlineStr">
        <is>
          <t>0.38</t>
        </is>
      </c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4b45dbe897ac4fb8</t>
        </is>
      </c>
      <c r="B45" s="24" t="inlineStr">
        <is>
          <t>2026-07-26T18:26:27.600695Z</t>
        </is>
      </c>
      <c r="C45" s="24" t="inlineStr">
        <is>
          <t>2026-07-26T16:05:00-0400</t>
        </is>
      </c>
      <c r="D45" s="24" t="inlineStr">
        <is>
          <t>401816279</t>
        </is>
      </c>
      <c r="E45" s="24" t="inlineStr">
        <is>
          <t>MLB</t>
        </is>
      </c>
      <c r="F45" s="24" t="inlineStr">
        <is>
          <t>Los Angeles Angels</t>
        </is>
      </c>
      <c r="G45" s="24" t="inlineStr">
        <is>
          <t>San Francisco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100</v>
      </c>
      <c r="M45" s="27" t="n">
        <v>2</v>
      </c>
      <c r="N45" s="28" t="n">
        <v>0.5</v>
      </c>
      <c r="O45" s="28" t="n">
        <v>0.525689</v>
      </c>
      <c r="P45" s="28" t="n"/>
      <c r="Q45" s="28" t="n">
        <v>0.025689</v>
      </c>
      <c r="R45" s="26" t="n">
        <v>34</v>
      </c>
      <c r="S45" s="29" t="n">
        <v>0.75</v>
      </c>
      <c r="T45" s="24" t="inlineStr">
        <is>
          <t>mlb-elo-trend-lr-v6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Learned LR call at threshold 0.5690; executable ask 0.5000 (aec-mlb-laa-sf-2026-07-26).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mlb-laa</t>
        </is>
      </c>
      <c r="AQ45" s="24" t="inlineStr">
        <is>
          <t>Los Angeles Angels</t>
        </is>
      </c>
      <c r="AR45" s="24" t="inlineStr">
        <is>
          <t>Los Angeles Angels</t>
        </is>
      </c>
      <c r="AS45" s="24" t="inlineStr">
        <is>
          <t>mlb-sf</t>
        </is>
      </c>
      <c r="AT45" s="24" t="inlineStr">
        <is>
          <t>San Francisco Giants</t>
        </is>
      </c>
      <c r="AU45" s="24" t="inlineStr">
        <is>
          <t>San Francisco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10a412e78306d1f4d1a66590dd7cd2087ed53520bfa3bb925889a6371153732f</t>
        </is>
      </c>
      <c r="BB45" s="24" t="inlineStr">
        <is>
          <t>learned_lr</t>
        </is>
      </c>
      <c r="BC45" s="24" t="inlineStr">
        <is>
          <t>mlb-elo-trend-lr-v6</t>
        </is>
      </c>
      <c r="BD45" s="24" t="inlineStr">
        <is>
          <t>10a412e78306d1f4d1a66590dd7cd2087ed53520bfa3bb925889a6371153732f</t>
        </is>
      </c>
      <c r="BE45" s="24" t="inlineStr">
        <is>
          <t>187942ed70dd936a</t>
        </is>
      </c>
      <c r="BF45" s="24" t="inlineStr">
        <is>
          <t>1</t>
        </is>
      </c>
      <c r="BG45" s="24" t="inlineStr">
        <is>
          <t>mlb-elo-trend-lr-v6</t>
        </is>
      </c>
      <c r="BH45" s="24" t="inlineStr">
        <is>
          <t>2026-07-26T18:26:10.629070Z</t>
        </is>
      </c>
      <c r="BI45" s="24" t="inlineStr">
        <is>
          <t>["same_event","same_team_same_day","same_league_same_day"]</t>
        </is>
      </c>
      <c r="BJ45" s="25" t="n"/>
      <c r="BK45" s="26" t="n">
        <v>100</v>
      </c>
      <c r="BL45" s="27" t="n">
        <v>2</v>
      </c>
      <c r="BM45" s="28" t="n">
        <v>0.5</v>
      </c>
      <c r="BN45" s="28" t="n">
        <v>0.497512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0.5910200645</t>
        </is>
      </c>
      <c r="CD45" s="24" t="inlineStr">
        <is>
          <t>1.053308</t>
        </is>
      </c>
      <c r="CE45" s="24" t="inlineStr">
        <is>
          <t>0.96</t>
        </is>
      </c>
      <c r="CF45" s="24" t="n"/>
      <c r="CG45" s="24" t="n"/>
      <c r="CH45" s="24" t="inlineStr">
        <is>
          <t>-0.05</t>
        </is>
      </c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c0753eb5dc654ac2</t>
        </is>
      </c>
      <c r="B46" s="24" t="inlineStr">
        <is>
          <t>2026-07-26T18:26:27.600695Z</t>
        </is>
      </c>
      <c r="C46" s="24" t="inlineStr">
        <is>
          <t>2026-07-26T19:20:00-0400</t>
        </is>
      </c>
      <c r="D46" s="24" t="inlineStr">
        <is>
          <t>401816271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Philadelphia Phillies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-178</v>
      </c>
      <c r="M46" s="27" t="n">
        <v>1.561798</v>
      </c>
      <c r="N46" s="28" t="n">
        <v>0.640288</v>
      </c>
      <c r="O46" s="28" t="n">
        <v>0.613204</v>
      </c>
      <c r="P46" s="28" t="n"/>
      <c r="Q46" s="28" t="n">
        <v>-0.027084</v>
      </c>
      <c r="R46" s="26" t="n">
        <v>8</v>
      </c>
      <c r="S46" s="29" t="n">
        <v>1.75</v>
      </c>
      <c r="T46" s="24" t="inlineStr">
        <is>
          <t>mlb-elo-trend-lr-v6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Learned LR call at threshold 0.5690; executable ask 0.6400 (aec-mlb-nyy-phi-2026-07-26).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10a412e78306d1f4d1a66590dd7cd2087ed53520bfa3bb925889a6371153732f</t>
        </is>
      </c>
      <c r="BB46" s="24" t="inlineStr">
        <is>
          <t>learned_lr</t>
        </is>
      </c>
      <c r="BC46" s="24" t="inlineStr">
        <is>
          <t>mlb-elo-trend-lr-v6</t>
        </is>
      </c>
      <c r="BD46" s="24" t="inlineStr">
        <is>
          <t>10a412e78306d1f4d1a66590dd7cd2087ed53520bfa3bb925889a6371153732f</t>
        </is>
      </c>
      <c r="BE46" s="24" t="inlineStr">
        <is>
          <t>ca9068d953d8b094</t>
        </is>
      </c>
      <c r="BF46" s="24" t="inlineStr">
        <is>
          <t>1</t>
        </is>
      </c>
      <c r="BG46" s="24" t="inlineStr">
        <is>
          <t>mlb-elo-trend-lr-v6</t>
        </is>
      </c>
      <c r="BH46" s="24" t="inlineStr">
        <is>
          <t>2026-07-26T18:26:12.125118Z</t>
        </is>
      </c>
      <c r="BI46" s="24" t="inlineStr">
        <is>
          <t>["same_event","same_team_same_day","same_league_same_day"]</t>
        </is>
      </c>
      <c r="BJ46" s="25" t="n"/>
      <c r="BK46" s="26" t="n">
        <v>-178</v>
      </c>
      <c r="BL46" s="27" t="n">
        <v>1.561798</v>
      </c>
      <c r="BM46" s="28" t="n">
        <v>0.640288</v>
      </c>
      <c r="BN46" s="28" t="n">
        <v>0.636816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0.5250194834</t>
        </is>
      </c>
      <c r="CD46" s="24" t="inlineStr">
        <is>
          <t>0.764165</t>
        </is>
      </c>
      <c r="CE46" s="24" t="inlineStr">
        <is>
          <t>1.01</t>
        </is>
      </c>
      <c r="CF46" s="24" t="n"/>
      <c r="CG46" s="24" t="n"/>
      <c r="CH46" s="24" t="inlineStr">
        <is>
          <t>-1.35</t>
        </is>
      </c>
      <c r="CI46" s="24" t="n"/>
      <c r="CJ46" s="24" t="n"/>
      <c r="CK46" s="24" t="n"/>
      <c r="CL46" s="24" t="n"/>
      <c r="CM46" s="24" t="n"/>
      <c r="CN46" s="24" t="n"/>
      <c r="CO4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2026-07-26T18:26:32Z</dcterms:created>
  <dcterms:modified xsi:type="dcterms:W3CDTF">2026-07-26T18:26:32Z</dcterms:modified>
</cp:coreProperties>
</file>